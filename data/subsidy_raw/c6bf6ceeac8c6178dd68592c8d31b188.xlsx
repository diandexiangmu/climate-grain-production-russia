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filterPrivacy="1" showInkAnnotation="0" codeName="ЭтаКнига" defaultThemeVersion="124226"/>
  <bookViews>
    <workbookView xWindow="-120" yWindow="-120" windowWidth="23256" windowHeight="13176" tabRatio="692" firstSheet="5" activeTab="5"/>
  </bookViews>
  <sheets>
    <sheet name="data_1" sheetId="1" state="hidden" r:id="rId1"/>
    <sheet name="1.4 (1.4.1-1.4.2)" sheetId="16" state="hidden" r:id="rId2"/>
    <sheet name="Направления" sheetId="100" state="hidden" r:id="rId3"/>
    <sheet name="dataФО" sheetId="102" state="hidden" r:id="rId4"/>
    <sheet name="Списки" sheetId="101" state="hidden" r:id="rId5"/>
    <sheet name="Итого" sheetId="81" r:id="rId6"/>
    <sheet name="1" sheetId="98" r:id="rId7"/>
    <sheet name="1.1" sheetId="33" r:id="rId8"/>
    <sheet name="1.2" sheetId="87" r:id="rId9"/>
    <sheet name="1.3" sheetId="89" r:id="rId10"/>
    <sheet name="1.4" sheetId="113" r:id="rId11"/>
    <sheet name="1.5" sheetId="88" r:id="rId12"/>
    <sheet name="1.6" sheetId="115" r:id="rId13"/>
    <sheet name="1.7" sheetId="106" r:id="rId14"/>
    <sheet name="2" sheetId="93" r:id="rId15"/>
    <sheet name="3" sheetId="114" r:id="rId16"/>
    <sheet name="4" sheetId="116" r:id="rId17"/>
  </sheets>
  <definedNames>
    <definedName name="_FilterDatabase" localSheetId="6" hidden="1">'1'!$C$12:$H$106</definedName>
    <definedName name="_FilterDatabase" localSheetId="7" hidden="1">'1.1'!$C$14:$R$106</definedName>
    <definedName name="_FilterDatabase" localSheetId="8" hidden="1">'1.2'!$C$12:$T$106</definedName>
    <definedName name="_FilterDatabase" localSheetId="9" hidden="1">'1.3'!$C$12:$AN$106</definedName>
    <definedName name="_FilterDatabase" localSheetId="10" hidden="1">'1.4'!$B$14:$R$106</definedName>
    <definedName name="_FilterDatabase" localSheetId="11" hidden="1">'1.5'!$V$14:$V$106</definedName>
    <definedName name="_FilterDatabase" localSheetId="12" hidden="1">'1.6'!$S$12:$S$106</definedName>
    <definedName name="_FilterDatabase" localSheetId="13" hidden="1">'1.7'!$B$14:$R$106</definedName>
    <definedName name="_FilterDatabase" localSheetId="14" hidden="1">'2'!$IK$12:$IK$106</definedName>
    <definedName name="_FilterDatabase" localSheetId="15" hidden="1">'3'!$C$14:$BN$106</definedName>
    <definedName name="_FilterDatabase" localSheetId="16" hidden="1">'4'!$C$12:$CD$106</definedName>
    <definedName name="_FilterDatabase" localSheetId="0" hidden="1">data_1!$MB$13:$MK$109</definedName>
    <definedName name="_FilterDatabase" localSheetId="5" hidden="1">Итого!$D$12:$S$106</definedName>
    <definedName name="_FilterDatabase" localSheetId="4" hidden="1">Списки!$B$3:$D$87</definedName>
    <definedName name="date">data_1!$D$2</definedName>
    <definedName name="Print_Area" localSheetId="8">'1.2'!$A$1:$R$106</definedName>
    <definedName name="Print_Area" localSheetId="1">'1.4 (1.4.1-1.4.2)'!$A$2:$BG$109</definedName>
    <definedName name="Print_Area" localSheetId="13">'1.7'!$A$1:$R$106</definedName>
    <definedName name="Print_Area" localSheetId="5">Итого!$A$1:$S$106</definedName>
    <definedName name="Print_Titles" localSheetId="6">'1'!$B:$B,'1'!$7:$11</definedName>
    <definedName name="Print_Titles" localSheetId="7">'1.1'!$B:$B,'1.1'!$7:$11</definedName>
    <definedName name="Print_Titles" localSheetId="8">'1.2'!$B:$B,'1.2'!$7:$11</definedName>
    <definedName name="Print_Titles" localSheetId="9">'1.3'!$B:$B,'1.3'!$7:$11</definedName>
    <definedName name="Print_Titles" localSheetId="10">'1.4'!$B:$B,'1.4'!$7:$11</definedName>
    <definedName name="Print_Titles" localSheetId="1">'1.4 (1.4.1-1.4.2)'!$B:$C,'1.4 (1.4.1-1.4.2)'!$7:$12</definedName>
    <definedName name="Print_Titles" localSheetId="11">'1.5'!$B:$B,'1.5'!$7:$11</definedName>
    <definedName name="Print_Titles" localSheetId="12">'1.6'!$B:$B,'1.6'!$7:$11</definedName>
    <definedName name="Print_Titles" localSheetId="13">'1.7'!$B:$B,'1.7'!$7:$11</definedName>
    <definedName name="Print_Titles" localSheetId="14">'2'!$B:$B,'2'!$7:$11</definedName>
    <definedName name="Print_Titles" localSheetId="15">'3'!$B:$B,'3'!$7:$11</definedName>
    <definedName name="Print_Titles" localSheetId="16">'4'!$B:$B,'4'!$7:$11</definedName>
    <definedName name="Print_Titles" localSheetId="5">Итого!$C:$C,Итого!$7:$11</definedName>
    <definedName name="ЕдиницаВыбор">Списки!$H$17:$H$19</definedName>
    <definedName name="ЕдиницаДоведение">#REF!</definedName>
    <definedName name="ЕдиницаМатрица">Списки!$H$17:$I$19</definedName>
    <definedName name="_xlnm.Print_Titles" localSheetId="6">'1'!$A:$B,'1'!$7:$11</definedName>
    <definedName name="_xlnm.Print_Titles" localSheetId="7">'1.1'!$A:$B,'1.1'!$7:$11</definedName>
    <definedName name="_xlnm.Print_Titles" localSheetId="8">'1.2'!$A:$B,'1.2'!$7:$11</definedName>
    <definedName name="_xlnm.Print_Titles" localSheetId="9">'1.3'!$A:$B,'1.3'!$7:$11</definedName>
    <definedName name="_xlnm.Print_Titles" localSheetId="10">'1.4'!$A:$B,'1.4'!$7:$11</definedName>
    <definedName name="_xlnm.Print_Titles" localSheetId="11">'1.5'!$A:$B,'1.5'!$7:$11</definedName>
    <definedName name="_xlnm.Print_Titles" localSheetId="12">'1.6'!$A:$B,'1.6'!$7:$11</definedName>
    <definedName name="_xlnm.Print_Titles" localSheetId="13">'1.7'!$A:$B,'1.7'!$7:$11</definedName>
    <definedName name="_xlnm.Print_Titles" localSheetId="14">'2'!$A:$B,'2'!$7:$11</definedName>
    <definedName name="_xlnm.Print_Titles" localSheetId="15">'3'!$A:$B,'3'!$7:$11</definedName>
    <definedName name="_xlnm.Print_Titles" localSheetId="16">'4'!$A:$B,'4'!$7:$11</definedName>
    <definedName name="_xlnm.Print_Titles" localSheetId="5">Итого!$A:$C,Итого!$7:$11</definedName>
    <definedName name="КОЛ01704">data_1!$CT$14:$CT$108</definedName>
    <definedName name="КОЛ01705">data_1!$CU$14:$CU$108</definedName>
    <definedName name="КОЛ01706">data_1!$CV$14:$CV$108</definedName>
    <definedName name="КОЛ01707">data_1!$CW$14:$CW$108</definedName>
    <definedName name="КОЛ01708">data_1!$CX$14:$CX$108</definedName>
    <definedName name="КОЛ01709">data_1!$CY$14:$CY$108</definedName>
    <definedName name="КОЛ01710">data_1!$DA$14:$DA$108</definedName>
    <definedName name="КОЛ01711">data_1!$DB$14:$DB$108</definedName>
    <definedName name="КОЛ01712">data_1!$DC$14:$DC$108</definedName>
    <definedName name="КОЛ01713">data_1!$DD$14:$DD$108</definedName>
    <definedName name="КОЛ01714">data_1!$DE$14:$DE$108</definedName>
    <definedName name="КОЛ01715">data_1!$DF$14:$DF$108</definedName>
    <definedName name="КОЛ01716">data_1!$DG$14:$DG$108</definedName>
    <definedName name="КОЛ01719">data_1!$DI$14:$DI$108</definedName>
    <definedName name="КОЛ01721">data_1!$DH$14:$DH$108</definedName>
    <definedName name="КОЛ01723">data_1!$DK$14:$DK$108</definedName>
    <definedName name="КОЛ01751">data_1!$DJ$14:$DJ$108</definedName>
    <definedName name="КОЛ01752">data_1!$CZ$14:$CZ$108</definedName>
    <definedName name="КОЛ03704">data_1!$ED$14:$ED$108</definedName>
    <definedName name="КОЛ03705">data_1!$EE$14:$EE$108</definedName>
    <definedName name="КОЛ03706">data_1!$EF$14:$EF$108</definedName>
    <definedName name="КОЛ03707">data_1!$EG$14:$EG$108</definedName>
    <definedName name="КОЛ03708">data_1!$EH$14:$EH$108</definedName>
    <definedName name="КОЛ03709">data_1!$EI$14:$EI$108</definedName>
    <definedName name="КОЛ03710">data_1!$EK$14:$EK$108</definedName>
    <definedName name="КОЛ03711">data_1!$EL$14:$EL$108</definedName>
    <definedName name="КОЛ03712">data_1!$EM$14:$EM$108</definedName>
    <definedName name="КОЛ03713">data_1!$EN$14:$EN$108</definedName>
    <definedName name="КОЛ03714">data_1!$EO$14:$EO$108</definedName>
    <definedName name="КОЛ03715">data_1!$EP$14:$EP$108</definedName>
    <definedName name="КОЛ03716">data_1!$EQ$14:$EQ$108</definedName>
    <definedName name="КОЛ03719">data_1!$ES$14:$ES$108</definedName>
    <definedName name="КОЛ03721">data_1!$ER$14:$ER$108</definedName>
    <definedName name="КОЛ03723">data_1!$EU$14:$EU$108</definedName>
    <definedName name="КОЛ03751">data_1!$ET$14:$ET$108</definedName>
    <definedName name="КОЛ03752">data_1!$EJ$14:$EJ$108</definedName>
    <definedName name="КОЛ04904">data_1!$FN$14:$FN$108</definedName>
    <definedName name="КОЛ04905">data_1!$FO$14:$FO$108</definedName>
    <definedName name="КОЛ04906">data_1!$FP$14:$FP$108</definedName>
    <definedName name="КОЛ04907">data_1!$FQ$14:$FQ$108</definedName>
    <definedName name="КОЛ04908">data_1!$FR$14:$FR$108</definedName>
    <definedName name="КОЛ04909">data_1!$FS$14:$FS$108</definedName>
    <definedName name="КОЛ04910">data_1!$FU$14:$FU$108</definedName>
    <definedName name="КОЛ04911">data_1!$FV$14:$FV$108</definedName>
    <definedName name="КОЛ04912">data_1!$FW$14:$FW$108</definedName>
    <definedName name="КОЛ04913">data_1!$FX$14:$FX$108</definedName>
    <definedName name="КОЛ04914">data_1!$FY$14:$FY$108</definedName>
    <definedName name="КОЛ04915">data_1!$FZ$14:$FZ$108</definedName>
    <definedName name="КОЛ04916">data_1!$GA$14:$GA$108</definedName>
    <definedName name="КОЛ04919">data_1!$GC$14:$GC$108</definedName>
    <definedName name="КОЛ04921">data_1!$GB$14:$GB$108</definedName>
    <definedName name="КОЛ04923">data_1!$GE$14:$GE$108</definedName>
    <definedName name="КОЛ04951">data_1!$GD$14:$GD$108</definedName>
    <definedName name="КОЛ04952">data_1!$FT$14:$FT$108</definedName>
    <definedName name="КОЛ05104">data_1!$GX$14:$GX$108</definedName>
    <definedName name="КОЛ05105">data_1!$GY$14:$GY$108</definedName>
    <definedName name="КОЛ05106">data_1!$GZ$14:$GZ$108</definedName>
    <definedName name="КОЛ05107">data_1!$HA$14:$HA$108</definedName>
    <definedName name="КОЛ05108">data_1!$HB$14:$HB$108</definedName>
    <definedName name="КОЛ05109">data_1!$HC$14:$HC$108</definedName>
    <definedName name="КОЛ05110">data_1!$HE$14:$HE$108</definedName>
    <definedName name="КОЛ05111">data_1!$HF$14:$HF$108</definedName>
    <definedName name="КОЛ05112">data_1!$HG$14:$HG$108</definedName>
    <definedName name="КОЛ05113">data_1!$HH$14:$HH$108</definedName>
    <definedName name="КОЛ05114">data_1!$HI$14:$HI$108</definedName>
    <definedName name="КОЛ05115">data_1!$HJ$14:$HJ$108</definedName>
    <definedName name="КОЛ05116">data_1!$HK$14:$HK$108</definedName>
    <definedName name="КОЛ05119">data_1!$HM$14:$HM$108</definedName>
    <definedName name="КОЛ05121">data_1!$HL$14:$HL$108</definedName>
    <definedName name="КОЛ05123">data_1!$HO$14:$HO$108</definedName>
    <definedName name="КОЛ05151">data_1!$HN$14:$HN$108</definedName>
    <definedName name="КОЛ05152">data_1!$HD$14:$HD$108</definedName>
    <definedName name="КОЛ05204">data_1!$IH$14:$IH$108</definedName>
    <definedName name="КОЛ05205">data_1!$II$14:$II$108</definedName>
    <definedName name="КОЛ05206">data_1!$IJ$14:$IJ$108</definedName>
    <definedName name="КОЛ05207">data_1!$IK$14:$IK$108</definedName>
    <definedName name="КОЛ05208">data_1!$IL$14:$IL$108</definedName>
    <definedName name="КОЛ05209">data_1!$IM$14:$IM$108</definedName>
    <definedName name="КОЛ05210">data_1!$IO$14:$IO$108</definedName>
    <definedName name="КОЛ05211">data_1!$IP$14:$IP$108</definedName>
    <definedName name="КОЛ05212">data_1!$IQ$14:$IQ$108</definedName>
    <definedName name="КОЛ05213">data_1!$IR$14:$IR$108</definedName>
    <definedName name="КОЛ05214">data_1!$IS$14:$IS$108</definedName>
    <definedName name="КОЛ05215">data_1!$IT$14:$IT$108</definedName>
    <definedName name="КОЛ05216">data_1!$IU$14:$IU$108</definedName>
    <definedName name="КОЛ05219">data_1!$IW$14:$IW$108</definedName>
    <definedName name="КОЛ05221">data_1!$IV$14:$IV$108</definedName>
    <definedName name="КОЛ05223">data_1!$IY$14:$IY$108</definedName>
    <definedName name="КОЛ05251">data_1!$IX$14:$IX$108</definedName>
    <definedName name="КОЛ05252">data_1!$IN$14:$IN$108</definedName>
    <definedName name="КОЛ05304">data_1!$JR$14:$JR$108</definedName>
    <definedName name="КОЛ05305">data_1!$JS$14:$JS$108</definedName>
    <definedName name="КОЛ05306">data_1!$JT$14:$JT$108</definedName>
    <definedName name="КОЛ05307">data_1!$JU$14:$JU$108</definedName>
    <definedName name="КОЛ05308">data_1!$JV$14:$JV$108</definedName>
    <definedName name="КОЛ05309">data_1!$JW$14:$JW$108</definedName>
    <definedName name="КОЛ05310">data_1!$JY$14:$JY$108</definedName>
    <definedName name="КОЛ05311">data_1!$JZ$14:$JZ$108</definedName>
    <definedName name="КОЛ05312">data_1!$KA$14:$KA$108</definedName>
    <definedName name="КОЛ05313">data_1!$KB$14:$KB$108</definedName>
    <definedName name="КОЛ05314">data_1!$KC$14:$KC$108</definedName>
    <definedName name="КОЛ05315">data_1!$KD$14:$KD$108</definedName>
    <definedName name="КОЛ05316">data_1!$KE$14:$KE$108</definedName>
    <definedName name="КОЛ05319">data_1!$KG$14:$KG$108</definedName>
    <definedName name="КОЛ05321">data_1!$KF$14:$KF$108</definedName>
    <definedName name="КОЛ05323">data_1!$KI$14:$KI$108</definedName>
    <definedName name="КОЛ05351">data_1!$KH$14:$KH$108</definedName>
    <definedName name="КОЛ05352">data_1!$JX$14:$JX$108</definedName>
    <definedName name="КОЛ05404">data_1!$LB$14:$LB$108</definedName>
    <definedName name="КОЛ05405">data_1!$LC$14:$LC$108</definedName>
    <definedName name="КОЛ05406">data_1!$LD$14:$LD$108</definedName>
    <definedName name="КОЛ05407">data_1!$LE$14:$LE$108</definedName>
    <definedName name="КОЛ05408">data_1!$LF$14:$LF$108</definedName>
    <definedName name="КОЛ05409">data_1!$LG$14:$LG$108</definedName>
    <definedName name="КОЛ05410">data_1!$LI$14:$LI$108</definedName>
    <definedName name="КОЛ05411">data_1!$LJ$14:$LJ$108</definedName>
    <definedName name="КОЛ05412">data_1!$LK$14:$LK$108</definedName>
    <definedName name="КОЛ05413">data_1!$LL$14:$LL$108</definedName>
    <definedName name="КОЛ05414">data_1!$LM$14:$LM$108</definedName>
    <definedName name="КОЛ05415">data_1!$LN$14:$LN$108</definedName>
    <definedName name="КОЛ05416">data_1!$LO$14:$LO$108</definedName>
    <definedName name="КОЛ05419">data_1!$LQ$14:$LQ$108</definedName>
    <definedName name="КОЛ05421">data_1!$LP$14:$LP$108</definedName>
    <definedName name="КОЛ05423">data_1!$LS$14:$LS$108</definedName>
    <definedName name="КОЛ05451">data_1!$LR$14:$LR$108</definedName>
    <definedName name="КОЛ05452">data_1!$LH$14:$LH$108</definedName>
    <definedName name="КОЛ05504">data_1!$ML$14:$ML$108</definedName>
    <definedName name="КОЛ05505">data_1!$MM$14:$MM$108</definedName>
    <definedName name="КОЛ05506">data_1!$MN$14:$MN$108</definedName>
    <definedName name="КОЛ05507">data_1!$MO$14:$MO$108</definedName>
    <definedName name="КОЛ05508">data_1!$MP$14:$MP$108</definedName>
    <definedName name="КОЛ05509">data_1!$MQ$14:$MQ$108</definedName>
    <definedName name="КОЛ05510">data_1!$MS$14:$MS$108</definedName>
    <definedName name="КОЛ05511">data_1!$MT$14:$MT$108</definedName>
    <definedName name="КОЛ05512">data_1!$MU$14:$MU$108</definedName>
    <definedName name="КОЛ05513">data_1!$MV$14:$MV$108</definedName>
    <definedName name="КОЛ05514">data_1!$MW$14:$MW$108</definedName>
    <definedName name="КОЛ05515">data_1!$MX$14:$MX$108</definedName>
    <definedName name="КОЛ05516">data_1!$MY$14:$MY$108</definedName>
    <definedName name="КОЛ05519">data_1!$NA$14:$NA$108</definedName>
    <definedName name="КОЛ05521">data_1!$MZ$14:$MZ$108</definedName>
    <definedName name="КОЛ05523">data_1!$NC$14:$NC$108</definedName>
    <definedName name="КОЛ05551">data_1!$NB$14:$NB$108</definedName>
    <definedName name="КОЛ05552">data_1!$MR$14:$MR$108</definedName>
    <definedName name="КОЛ05804" localSheetId="16">data_1!#REF!</definedName>
    <definedName name="КОЛ05804">data_1!#REF!</definedName>
    <definedName name="КОЛ05805" localSheetId="16">data_1!#REF!</definedName>
    <definedName name="КОЛ05805">data_1!#REF!</definedName>
    <definedName name="КОЛ05806" localSheetId="16">data_1!#REF!</definedName>
    <definedName name="КОЛ05806">data_1!#REF!</definedName>
    <definedName name="КОЛ05807" localSheetId="16">data_1!#REF!</definedName>
    <definedName name="КОЛ05807">data_1!#REF!</definedName>
    <definedName name="КОЛ05808" localSheetId="16">data_1!#REF!</definedName>
    <definedName name="КОЛ05808">data_1!#REF!</definedName>
    <definedName name="КОЛ05809" localSheetId="16">data_1!#REF!</definedName>
    <definedName name="КОЛ05809">data_1!#REF!</definedName>
    <definedName name="КОЛ05810" localSheetId="16">data_1!#REF!</definedName>
    <definedName name="КОЛ05810">data_1!#REF!</definedName>
    <definedName name="КОЛ05811" localSheetId="16">data_1!#REF!</definedName>
    <definedName name="КОЛ05811">data_1!#REF!</definedName>
    <definedName name="КОЛ05812" localSheetId="16">data_1!#REF!</definedName>
    <definedName name="КОЛ05812">data_1!#REF!</definedName>
    <definedName name="КОЛ05813" localSheetId="16">data_1!#REF!</definedName>
    <definedName name="КОЛ05813">data_1!#REF!</definedName>
    <definedName name="КОЛ05814" localSheetId="16">data_1!#REF!</definedName>
    <definedName name="КОЛ05814">data_1!#REF!</definedName>
    <definedName name="КОЛ05815" localSheetId="16">data_1!#REF!</definedName>
    <definedName name="КОЛ05815">data_1!#REF!</definedName>
    <definedName name="КОЛ05816" localSheetId="16">data_1!#REF!</definedName>
    <definedName name="КОЛ05816">data_1!#REF!</definedName>
    <definedName name="КОЛ05819" localSheetId="16">data_1!#REF!</definedName>
    <definedName name="КОЛ05819">data_1!#REF!</definedName>
    <definedName name="КОЛ05821" localSheetId="16">data_1!#REF!</definedName>
    <definedName name="КОЛ05821">data_1!#REF!</definedName>
    <definedName name="КОЛ05823" localSheetId="16">data_1!#REF!</definedName>
    <definedName name="КОЛ05823">data_1!#REF!</definedName>
    <definedName name="КОЛ05851" localSheetId="16">data_1!#REF!</definedName>
    <definedName name="КОЛ05851">data_1!#REF!</definedName>
    <definedName name="КОЛ05852" localSheetId="16">data_1!#REF!</definedName>
    <definedName name="КОЛ05852">data_1!#REF!</definedName>
    <definedName name="КОЛ05904" localSheetId="16">data_1!#REF!</definedName>
    <definedName name="КОЛ05904">data_1!#REF!</definedName>
    <definedName name="КОЛ05905" localSheetId="16">data_1!#REF!</definedName>
    <definedName name="КОЛ05905">data_1!#REF!</definedName>
    <definedName name="КОЛ05906" localSheetId="16">data_1!#REF!</definedName>
    <definedName name="КОЛ05906">data_1!#REF!</definedName>
    <definedName name="КОЛ05907" localSheetId="16">data_1!#REF!</definedName>
    <definedName name="КОЛ05907">data_1!#REF!</definedName>
    <definedName name="КОЛ05908" localSheetId="16">data_1!#REF!</definedName>
    <definedName name="КОЛ05908">data_1!#REF!</definedName>
    <definedName name="КОЛ05909" localSheetId="16">data_1!#REF!</definedName>
    <definedName name="КОЛ05909">data_1!#REF!</definedName>
    <definedName name="КОЛ05910" localSheetId="16">data_1!#REF!</definedName>
    <definedName name="КОЛ05910">data_1!#REF!</definedName>
    <definedName name="КОЛ05911" localSheetId="16">data_1!#REF!</definedName>
    <definedName name="КОЛ05911">data_1!#REF!</definedName>
    <definedName name="КОЛ05912" localSheetId="16">data_1!#REF!</definedName>
    <definedName name="КОЛ05912">data_1!#REF!</definedName>
    <definedName name="КОЛ05913" localSheetId="16">data_1!#REF!</definedName>
    <definedName name="КОЛ05913">data_1!#REF!</definedName>
    <definedName name="КОЛ05914" localSheetId="16">data_1!#REF!</definedName>
    <definedName name="КОЛ05914">data_1!#REF!</definedName>
    <definedName name="КОЛ05915" localSheetId="16">data_1!#REF!</definedName>
    <definedName name="КОЛ05915">data_1!#REF!</definedName>
    <definedName name="КОЛ05916" localSheetId="16">data_1!#REF!</definedName>
    <definedName name="КОЛ05916">data_1!#REF!</definedName>
    <definedName name="КОЛ05919" localSheetId="16">data_1!#REF!</definedName>
    <definedName name="КОЛ05919">data_1!#REF!</definedName>
    <definedName name="КОЛ05921" localSheetId="16">data_1!#REF!</definedName>
    <definedName name="КОЛ05921">data_1!#REF!</definedName>
    <definedName name="КОЛ05923" localSheetId="16">data_1!#REF!</definedName>
    <definedName name="КОЛ05923">data_1!#REF!</definedName>
    <definedName name="КОЛ05951" localSheetId="16">data_1!#REF!</definedName>
    <definedName name="КОЛ05951">data_1!#REF!</definedName>
    <definedName name="КОЛ05952" localSheetId="16">data_1!#REF!</definedName>
    <definedName name="КОЛ05952">data_1!#REF!</definedName>
    <definedName name="КОЛ06004">data_1!$NV$14:$NV$108</definedName>
    <definedName name="КОЛ06005">data_1!$NW$14:$NW$108</definedName>
    <definedName name="КОЛ06006">data_1!$NX$14:$NX$108</definedName>
    <definedName name="КОЛ06007">data_1!$NY$14:$NY$108</definedName>
    <definedName name="КОЛ06008">data_1!$NZ$14:$NZ$108</definedName>
    <definedName name="КОЛ06009">data_1!$OA$14:$OA$108</definedName>
    <definedName name="КОЛ06010">data_1!$OC$14:$OC$108</definedName>
    <definedName name="КОЛ06011">data_1!$OD$14:$OD$108</definedName>
    <definedName name="КОЛ06012">data_1!$OE$14:$OE$108</definedName>
    <definedName name="КОЛ06013">data_1!$OF$14:$OF$108</definedName>
    <definedName name="КОЛ06014">data_1!$OG$14:$OG$108</definedName>
    <definedName name="КОЛ06015">data_1!$OH$14:$OH$108</definedName>
    <definedName name="КОЛ06016">data_1!$OI$14:$OI$108</definedName>
    <definedName name="КОЛ06019">data_1!$OK$14:$OK$108</definedName>
    <definedName name="КОЛ06021">data_1!$OJ$14:$OJ$108</definedName>
    <definedName name="КОЛ06023">data_1!$OM$14:$OM$108</definedName>
    <definedName name="КОЛ06051">data_1!$OL$14:$OL$108</definedName>
    <definedName name="КОЛ06052">data_1!$OB$14:$OB$108</definedName>
    <definedName name="КОЛ06104">data_1!$BJ$14:$BJ$108</definedName>
    <definedName name="КОЛ06105">data_1!$BK$14:$BK$108</definedName>
    <definedName name="КОЛ06106">data_1!$BL$14:$BL$108</definedName>
    <definedName name="КОЛ06107">data_1!$BM$14:$BM$108</definedName>
    <definedName name="КОЛ06108">data_1!$BN$14:$BN$108</definedName>
    <definedName name="КОЛ06109">data_1!$BO$14:$BO$108</definedName>
    <definedName name="КОЛ06110">data_1!$BQ$14:$BQ$108</definedName>
    <definedName name="КОЛ06111">data_1!$BR$14:$BR$108</definedName>
    <definedName name="КОЛ06112">data_1!$BS$14:$BS$108</definedName>
    <definedName name="КОЛ06113">data_1!$BT$14:$BT$108</definedName>
    <definedName name="КОЛ06114">data_1!$BU$14:$BU$108</definedName>
    <definedName name="КОЛ06115">data_1!$BV$14:$BV$108</definedName>
    <definedName name="КОЛ06116">data_1!$BW$14:$BW$108</definedName>
    <definedName name="КОЛ06119">data_1!$BY$14:$BY$108</definedName>
    <definedName name="КОЛ06121">data_1!$BX$14:$BX$108</definedName>
    <definedName name="КОЛ06123">data_1!$CA$14:$CA$108</definedName>
    <definedName name="КОЛ06151">data_1!$BZ$14:$BZ$108</definedName>
    <definedName name="КОЛ06152">data_1!$BP$14:$BP$108</definedName>
    <definedName name="КОЛ06404">data_1!$PX$14:$PX$108</definedName>
    <definedName name="КОЛ06405">data_1!$PY$14:$PY$108</definedName>
    <definedName name="КОЛ06406">data_1!$PZ$14:$PZ$108</definedName>
    <definedName name="КОЛ06407">data_1!$QA$14:$QA$108</definedName>
    <definedName name="КОЛ06408">data_1!$QB$14:$QB$108</definedName>
    <definedName name="КОЛ06409">data_1!$QC$14:$QC$108</definedName>
    <definedName name="КОЛ06410">data_1!$QE$14:$QE$108</definedName>
    <definedName name="КОЛ06411">data_1!$QF$14:$QF$108</definedName>
    <definedName name="КОЛ06412">data_1!$QG$14:$QG$108</definedName>
    <definedName name="КОЛ06413">data_1!$QH$14:$QH$108</definedName>
    <definedName name="КОЛ06414">data_1!$QI$14:$QI$108</definedName>
    <definedName name="КОЛ06415">data_1!$QJ$14:$QJ$108</definedName>
    <definedName name="КОЛ06416">data_1!$QK$14:$QK$108</definedName>
    <definedName name="КОЛ06419">data_1!$QM$14:$QM$108</definedName>
    <definedName name="КОЛ06421">data_1!$QL$14:$QL$108</definedName>
    <definedName name="КОЛ06423">data_1!$QO$14:$QO$108</definedName>
    <definedName name="КОЛ06451">data_1!$QN$14:$QN$108</definedName>
    <definedName name="КОЛ06452">data_1!$QD$14:$QD$108</definedName>
    <definedName name="КОЛ06604">data_1!$RH$14:$RH$108</definedName>
    <definedName name="КОЛ06605">data_1!$RI$14:$RI$108</definedName>
    <definedName name="КОЛ06606">data_1!$RJ$14:$RJ$108</definedName>
    <definedName name="КОЛ06607">data_1!$RK$14:$RK$108</definedName>
    <definedName name="КОЛ06608">data_1!$RL$14:$RL$108</definedName>
    <definedName name="КОЛ06609">data_1!$RM$14:$RM$108</definedName>
    <definedName name="КОЛ06610">data_1!$RO$14:$RO$108</definedName>
    <definedName name="КОЛ06611">data_1!$RP$14:$RP$108</definedName>
    <definedName name="КОЛ06612">data_1!$RQ$14:$RQ$108</definedName>
    <definedName name="КОЛ06613">data_1!$RR$14:$RR$108</definedName>
    <definedName name="КОЛ06614">data_1!$RS$14:$RS$108</definedName>
    <definedName name="КОЛ06615">data_1!$RT$14:$RT$108</definedName>
    <definedName name="КОЛ06616">data_1!$RU$14:$RU$108</definedName>
    <definedName name="КОЛ06619">data_1!$RW$14:$RW$108</definedName>
    <definedName name="КОЛ06621">data_1!$RV$14:$RV$108</definedName>
    <definedName name="КОЛ06623">data_1!$RY$14:$RY$108</definedName>
    <definedName name="КОЛ06651">data_1!$RX$14:$RX$108</definedName>
    <definedName name="КОЛ06652">data_1!$RN$14:$RN$108</definedName>
    <definedName name="КОЛ06804">data_1!$SR$14:$SR$108</definedName>
    <definedName name="КОЛ06805">data_1!$SS$14:$SS$108</definedName>
    <definedName name="КОЛ06806">data_1!$ST$14:$ST$108</definedName>
    <definedName name="КОЛ06807">data_1!$SU$14:$SU$108</definedName>
    <definedName name="КОЛ06808">data_1!$SV$14:$SV$108</definedName>
    <definedName name="КОЛ06809">data_1!$SW$14:$SW$108</definedName>
    <definedName name="КОЛ06810">data_1!$SY$14:$SY$108</definedName>
    <definedName name="КОЛ06811">data_1!$SZ$14:$SZ$108</definedName>
    <definedName name="КОЛ06812">data_1!$TA$14:$TA$108</definedName>
    <definedName name="КОЛ06813">data_1!$TB$14:$TB$108</definedName>
    <definedName name="КОЛ06814">data_1!$TC$14:$TC$108</definedName>
    <definedName name="КОЛ06815">data_1!$TD$14:$TD$108</definedName>
    <definedName name="КОЛ06816">data_1!$TE$14:$TE$108</definedName>
    <definedName name="КОЛ06819">data_1!$TG$14:$TG$108</definedName>
    <definedName name="КОЛ06821">data_1!$TF$14:$TF$108</definedName>
    <definedName name="КОЛ06823">data_1!$TI$14:$TI$108</definedName>
    <definedName name="КОЛ06851">data_1!$TH$14:$TH$108</definedName>
    <definedName name="КОЛ06852">data_1!$SX$14:$SX$108</definedName>
    <definedName name="КОЛ07004">data_1!$UB$14:$UB$108</definedName>
    <definedName name="КОЛ07005">data_1!$UC$14:$UC$108</definedName>
    <definedName name="КОЛ07006">data_1!$UD$14:$UD$108</definedName>
    <definedName name="КОЛ07007">data_1!$UE$14:$UE$108</definedName>
    <definedName name="КОЛ07008">data_1!$UF$14:$UF$108</definedName>
    <definedName name="КОЛ07009">data_1!$UG$14:$UG$108</definedName>
    <definedName name="КОЛ07010">data_1!$UI$14:$UI$108</definedName>
    <definedName name="КОЛ07011">data_1!$UJ$14:$UJ$108</definedName>
    <definedName name="КОЛ07012">data_1!$UK$14:$UK$108</definedName>
    <definedName name="КОЛ07013">data_1!$UL$14:$UL$108</definedName>
    <definedName name="КОЛ07014">data_1!$UM$14:$UM$108</definedName>
    <definedName name="КОЛ07015">data_1!$UN$14:$UN$108</definedName>
    <definedName name="КОЛ07016">data_1!$UO$14:$UO$108</definedName>
    <definedName name="КОЛ07019">data_1!$UQ$14:$UQ$108</definedName>
    <definedName name="КОЛ07021">data_1!$UP$14:$UP$108</definedName>
    <definedName name="КОЛ07023">data_1!$US$14:$US$108</definedName>
    <definedName name="КОЛ07051">data_1!$UR$14:$UR$108</definedName>
    <definedName name="КОЛ07052">data_1!$UH$14:$UH$108</definedName>
    <definedName name="КОЛ1020">data_1!$F$14:$F$108</definedName>
    <definedName name="КОЛ1704">data_1!$CB$14:$CB$108</definedName>
    <definedName name="КОЛ1705">data_1!$CC$14:$CC$108</definedName>
    <definedName name="КОЛ1706">data_1!$CD$14:$CD$108</definedName>
    <definedName name="КОЛ1707">data_1!$CE$14:$CE$108</definedName>
    <definedName name="КОЛ1708">data_1!$CF$14:$CF$108</definedName>
    <definedName name="КОЛ1709">data_1!$CG$14:$CG$108</definedName>
    <definedName name="КОЛ1710">data_1!$CI$14:$CI$108</definedName>
    <definedName name="КОЛ1711">data_1!$CJ$14:$CJ$108</definedName>
    <definedName name="КОЛ1712">data_1!$CK$14:$CK$108</definedName>
    <definedName name="КОЛ1713">data_1!$CL$14:$CL$108</definedName>
    <definedName name="КОЛ1714">data_1!$CM$14:$CM$108</definedName>
    <definedName name="КОЛ1715">data_1!$CN$14:$CN$108</definedName>
    <definedName name="КОЛ1716">data_1!$CO$14:$CO$108</definedName>
    <definedName name="КОЛ1719">data_1!$CQ$14:$CQ$108</definedName>
    <definedName name="КОЛ1721">data_1!$CP$14:$CP$108</definedName>
    <definedName name="КОЛ1723">data_1!$CS$14:$CS$108</definedName>
    <definedName name="КОЛ1751">data_1!$CR$14:$CR$108</definedName>
    <definedName name="КОЛ1752">data_1!$CH$14:$CH$108</definedName>
    <definedName name="КОЛ3704">data_1!$H$14:$H$108</definedName>
    <definedName name="КОЛ3705">data_1!$I$14:$I$108</definedName>
    <definedName name="КОЛ3706">data_1!$J$14:$J$108</definedName>
    <definedName name="КОЛ3707">data_1!$K$14:$K$108</definedName>
    <definedName name="КОЛ3708">data_1!$L$14:$L$108</definedName>
    <definedName name="КОЛ3709">data_1!$M$14:$M$108</definedName>
    <definedName name="КОЛ3710">data_1!$O$14:$O$108</definedName>
    <definedName name="КОЛ3711">data_1!$P$14:$P$108</definedName>
    <definedName name="КОЛ3712">data_1!$Q$14:$Q$108</definedName>
    <definedName name="КОЛ3713">data_1!$R$14:$R$108</definedName>
    <definedName name="КОЛ3714">data_1!$S$14:$S$108</definedName>
    <definedName name="КОЛ3715">data_1!$T$14:$T$108</definedName>
    <definedName name="КОЛ3716">data_1!$U$14:$U$108</definedName>
    <definedName name="КОЛ3719">data_1!$W$14:$W$108</definedName>
    <definedName name="КОЛ3721">data_1!$V$14:$V$108</definedName>
    <definedName name="КОЛ3723">data_1!$Y$14:$Y$108</definedName>
    <definedName name="КОЛ3751">data_1!$X$14:$X$108</definedName>
    <definedName name="КОЛ3752">data_1!$N$14:$N$108</definedName>
    <definedName name="КОЛ4504">data_1!$AR$14:$AR$108</definedName>
    <definedName name="КОЛ4505">data_1!$AS$14:$AS$108</definedName>
    <definedName name="КОЛ4506">data_1!$AT$14:$AT$108</definedName>
    <definedName name="КОЛ4507">data_1!$AU$14:$AU$108</definedName>
    <definedName name="КОЛ4508">data_1!$AV$14:$AV$108</definedName>
    <definedName name="КОЛ4509">data_1!$AW$14:$AW$108</definedName>
    <definedName name="КОЛ4510">data_1!$AY$14:$AY$108</definedName>
    <definedName name="КОЛ4511">data_1!$AZ$14:$AZ$108</definedName>
    <definedName name="КОЛ4512">data_1!$BA$14:$BA$108</definedName>
    <definedName name="КОЛ4513">data_1!$BB$14:$BB$108</definedName>
    <definedName name="КОЛ4514">data_1!$BC$14:$BC$108</definedName>
    <definedName name="КОЛ4515">data_1!$BD$14:$BD$108</definedName>
    <definedName name="КОЛ4516">data_1!$BE$14:$BE$108</definedName>
    <definedName name="КОЛ4519">data_1!$BG$14:$BG$108</definedName>
    <definedName name="КОЛ4521">data_1!$BF$14:$BF$108</definedName>
    <definedName name="КОЛ4523">data_1!$BI$14:$BI$108</definedName>
    <definedName name="КОЛ4551">data_1!$BH$14:$BH$108</definedName>
    <definedName name="КОЛ4552">data_1!$AX$14:$AX$108</definedName>
    <definedName name="КОЛ4904" localSheetId="16">data_1!#REF!</definedName>
    <definedName name="КОЛ4904">data_1!#REF!</definedName>
    <definedName name="КОЛ4905" localSheetId="16">data_1!#REF!</definedName>
    <definedName name="КОЛ4905">data_1!#REF!</definedName>
    <definedName name="КОЛ4906" localSheetId="16">data_1!#REF!</definedName>
    <definedName name="КОЛ4906">data_1!#REF!</definedName>
    <definedName name="КОЛ4907" localSheetId="16">data_1!#REF!</definedName>
    <definedName name="КОЛ4907">data_1!#REF!</definedName>
    <definedName name="КОЛ4908" localSheetId="16">data_1!#REF!</definedName>
    <definedName name="КОЛ4908">data_1!#REF!</definedName>
    <definedName name="КОЛ4909" localSheetId="16">data_1!#REF!</definedName>
    <definedName name="КОЛ4909">data_1!#REF!</definedName>
    <definedName name="КОЛ4910" localSheetId="16">data_1!#REF!</definedName>
    <definedName name="КОЛ4910">data_1!#REF!</definedName>
    <definedName name="КОЛ4911" localSheetId="16">data_1!#REF!</definedName>
    <definedName name="КОЛ4911">data_1!#REF!</definedName>
    <definedName name="КОЛ4912" localSheetId="16">data_1!#REF!</definedName>
    <definedName name="КОЛ4912">data_1!#REF!</definedName>
    <definedName name="КОЛ4913" localSheetId="16">data_1!#REF!</definedName>
    <definedName name="КОЛ4913">data_1!#REF!</definedName>
    <definedName name="КОЛ4914" localSheetId="16">data_1!#REF!</definedName>
    <definedName name="КОЛ4914">data_1!#REF!</definedName>
    <definedName name="КОЛ4915" localSheetId="16">data_1!#REF!</definedName>
    <definedName name="КОЛ4915">data_1!#REF!</definedName>
    <definedName name="КОЛ4916" localSheetId="16">data_1!#REF!</definedName>
    <definedName name="КОЛ4916">data_1!#REF!</definedName>
    <definedName name="КОЛ4919" localSheetId="16">data_1!#REF!</definedName>
    <definedName name="КОЛ4919">data_1!#REF!</definedName>
    <definedName name="КОЛ4921" localSheetId="16">data_1!#REF!</definedName>
    <definedName name="КОЛ4921">data_1!#REF!</definedName>
    <definedName name="КОЛ4923" localSheetId="16">data_1!#REF!</definedName>
    <definedName name="КОЛ4923">data_1!#REF!</definedName>
    <definedName name="КОЛ4951" localSheetId="16">data_1!#REF!</definedName>
    <definedName name="КОЛ4951">data_1!#REF!</definedName>
    <definedName name="КОЛ4952" localSheetId="16">data_1!#REF!</definedName>
    <definedName name="КОЛ4952">data_1!#REF!</definedName>
    <definedName name="КОЛ5104">data_1!$GF$14:$GF$108</definedName>
    <definedName name="КОЛ5105">data_1!$GG$14:$GG$108</definedName>
    <definedName name="КОЛ5106">data_1!$GH$14:$GH$108</definedName>
    <definedName name="КОЛ5107">data_1!$GI$14:$GI$108</definedName>
    <definedName name="КОЛ5108">data_1!$GJ$14:$GJ$108</definedName>
    <definedName name="КОЛ5109">data_1!$GK$14:$GK$108</definedName>
    <definedName name="КОЛ5110">data_1!$GM$14:$GM$108</definedName>
    <definedName name="КОЛ5111">data_1!$GN$14:$GN$108</definedName>
    <definedName name="КОЛ5112">data_1!$GO$14:$GO$108</definedName>
    <definedName name="КОЛ5113">data_1!$GP$14:$GP$108</definedName>
    <definedName name="КОЛ5114">data_1!$GQ$14:$GQ$108</definedName>
    <definedName name="КОЛ5115">data_1!$GR$14:$GR$108</definedName>
    <definedName name="КОЛ5116">data_1!$GS$14:$GS$108</definedName>
    <definedName name="КОЛ5119">data_1!$GU$14:$GU$108</definedName>
    <definedName name="КОЛ5121">data_1!$GT$14:$GT$108</definedName>
    <definedName name="КОЛ5123">data_1!$GW$14:$GW$108</definedName>
    <definedName name="КОЛ5151">data_1!$GV$14:$GV$108</definedName>
    <definedName name="КОЛ5152">data_1!$GL$14:$GL$108</definedName>
    <definedName name="КОЛ5204">data_1!$HP$14:$HP$108</definedName>
    <definedName name="КОЛ5205">data_1!$HQ$14:$HQ$108</definedName>
    <definedName name="КОЛ5206">data_1!$HR$14:$HR$108</definedName>
    <definedName name="КОЛ5207">data_1!$HS$14:$HS$108</definedName>
    <definedName name="КОЛ5208">data_1!$HT$14:$HT$108</definedName>
    <definedName name="КОЛ5209">data_1!$HU$14:$HU$108</definedName>
    <definedName name="КОЛ5210">data_1!$HW$14:$HW$108</definedName>
    <definedName name="КОЛ5211">data_1!$HX$14:$HX$108</definedName>
    <definedName name="КОЛ5212">data_1!$HY$14:$HY$108</definedName>
    <definedName name="КОЛ5213">data_1!$HZ$14:$HZ$108</definedName>
    <definedName name="КОЛ5214">data_1!$IA$14:$IA$108</definedName>
    <definedName name="КОЛ5215">data_1!$IB$14:$IB$108</definedName>
    <definedName name="КОЛ5216">data_1!$IC$14:$IC$108</definedName>
    <definedName name="КОЛ5219">data_1!$IE$14:$IE$108</definedName>
    <definedName name="КОЛ5221">data_1!$ID$14:$ID$108</definedName>
    <definedName name="КОЛ5223">data_1!$IG$14:$IG$108</definedName>
    <definedName name="КОЛ5251">data_1!$IF$14:$IF$108</definedName>
    <definedName name="КОЛ5252">data_1!$HV$14:$HV$108</definedName>
    <definedName name="КОЛ5304">data_1!$IZ$14:$IZ$108</definedName>
    <definedName name="КОЛ5305">data_1!$JA$14:$JA$108</definedName>
    <definedName name="КОЛ5306">data_1!$JB$14:$JB$108</definedName>
    <definedName name="КОЛ5307">data_1!$JC$14:$JC$108</definedName>
    <definedName name="КОЛ5308">data_1!$JD$14:$JD$108</definedName>
    <definedName name="КОЛ5309">data_1!$JE$14:$JE$108</definedName>
    <definedName name="КОЛ5310">data_1!$JG$14:$JG$108</definedName>
    <definedName name="КОЛ5311">data_1!$JH$14:$JH$108</definedName>
    <definedName name="КОЛ5312">data_1!$JI$14:$JI$108</definedName>
    <definedName name="КОЛ5313">data_1!$JJ$14:$JJ$108</definedName>
    <definedName name="КОЛ5314">data_1!$JK$14:$JK$108</definedName>
    <definedName name="КОЛ5315">data_1!$JL$14:$JL$108</definedName>
    <definedName name="КОЛ5316">data_1!$JM$14:$JM$108</definedName>
    <definedName name="КОЛ5319">data_1!$JO$14:$JO$108</definedName>
    <definedName name="КОЛ5321">data_1!$JN$14:$JN$108</definedName>
    <definedName name="КОЛ5323">data_1!$JQ$14:$JQ$108</definedName>
    <definedName name="КОЛ5351">data_1!$JP$14:$JP$108</definedName>
    <definedName name="КОЛ5352">data_1!$JF$14:$JF$108</definedName>
    <definedName name="КОЛ5404">data_1!$KJ$14:$KJ$108</definedName>
    <definedName name="КОЛ5405">data_1!$KK$14:$KK$108</definedName>
    <definedName name="КОЛ5406">data_1!$KL$14:$KL$108</definedName>
    <definedName name="КОЛ5407">data_1!$KM$14:$KM$108</definedName>
    <definedName name="КОЛ5408">data_1!$KN$14:$KN$108</definedName>
    <definedName name="КОЛ5409">data_1!$KO$14:$KO$108</definedName>
    <definedName name="КОЛ5410">data_1!$KQ$14:$KQ$108</definedName>
    <definedName name="КОЛ5411">data_1!$KR$14:$KR$108</definedName>
    <definedName name="КОЛ5412">data_1!$KS$14:$KS$108</definedName>
    <definedName name="КОЛ5413">data_1!$KT$14:$KT$108</definedName>
    <definedName name="КОЛ5414">data_1!$KU$14:$KU$108</definedName>
    <definedName name="КОЛ5415">data_1!$KV$14:$KV$108</definedName>
    <definedName name="КОЛ5416">data_1!$KW$14:$KW$108</definedName>
    <definedName name="КОЛ5419">data_1!$KY$14:$KY$108</definedName>
    <definedName name="КОЛ5421">data_1!$KX$14:$KX$108</definedName>
    <definedName name="КОЛ5423">data_1!$LA$14:$LA$108</definedName>
    <definedName name="КОЛ5451">data_1!$KZ$14:$KZ$108</definedName>
    <definedName name="КОЛ5452">data_1!$KP$14:$KP$108</definedName>
    <definedName name="КОЛ5504" localSheetId="16">data_1!#REF!</definedName>
    <definedName name="КОЛ5504">data_1!#REF!</definedName>
    <definedName name="КОЛ5505" localSheetId="16">data_1!#REF!</definedName>
    <definedName name="КОЛ5505">data_1!#REF!</definedName>
    <definedName name="КОЛ5506" localSheetId="16">data_1!#REF!</definedName>
    <definedName name="КОЛ5506">data_1!#REF!</definedName>
    <definedName name="КОЛ5507" localSheetId="16">data_1!#REF!</definedName>
    <definedName name="КОЛ5507">data_1!#REF!</definedName>
    <definedName name="КОЛ5508" localSheetId="16">data_1!#REF!</definedName>
    <definedName name="КОЛ5508">data_1!#REF!</definedName>
    <definedName name="КОЛ5509" localSheetId="16">data_1!#REF!</definedName>
    <definedName name="КОЛ5509">data_1!#REF!</definedName>
    <definedName name="КОЛ5510" localSheetId="16">data_1!#REF!</definedName>
    <definedName name="КОЛ5510">data_1!#REF!</definedName>
    <definedName name="КОЛ5511" localSheetId="16">data_1!#REF!</definedName>
    <definedName name="КОЛ5511">data_1!#REF!</definedName>
    <definedName name="КОЛ5512" localSheetId="16">data_1!#REF!</definedName>
    <definedName name="КОЛ5512">data_1!#REF!</definedName>
    <definedName name="КОЛ5513" localSheetId="16">data_1!#REF!</definedName>
    <definedName name="КОЛ5513">data_1!#REF!</definedName>
    <definedName name="КОЛ5514" localSheetId="16">data_1!#REF!</definedName>
    <definedName name="КОЛ5514">data_1!#REF!</definedName>
    <definedName name="КОЛ5515" localSheetId="16">data_1!#REF!</definedName>
    <definedName name="КОЛ5515">data_1!#REF!</definedName>
    <definedName name="КОЛ5516" localSheetId="16">data_1!#REF!</definedName>
    <definedName name="КОЛ5516">data_1!#REF!</definedName>
    <definedName name="КОЛ5519" localSheetId="16">data_1!#REF!</definedName>
    <definedName name="КОЛ5519">data_1!#REF!</definedName>
    <definedName name="КОЛ5521" localSheetId="16">data_1!#REF!</definedName>
    <definedName name="КОЛ5521">data_1!#REF!</definedName>
    <definedName name="КОЛ5523" localSheetId="16">data_1!#REF!</definedName>
    <definedName name="КОЛ5523">data_1!#REF!</definedName>
    <definedName name="КОЛ5551" localSheetId="16">data_1!#REF!</definedName>
    <definedName name="КОЛ5551">data_1!#REF!</definedName>
    <definedName name="КОЛ5552" localSheetId="16">data_1!#REF!</definedName>
    <definedName name="КОЛ5552">data_1!#REF!</definedName>
    <definedName name="КОЛ5704">data_1!$ON$14:$ON$108</definedName>
    <definedName name="КОЛ5705">data_1!$OO$14:$OO$108</definedName>
    <definedName name="КОЛ5706">data_1!$OP$14:$OP$108</definedName>
    <definedName name="КОЛ5707">data_1!$OQ$14:$OQ$108</definedName>
    <definedName name="КОЛ5708">data_1!$OR$14:$OR$108</definedName>
    <definedName name="КОЛ5709">data_1!$OS$14:$OS$108</definedName>
    <definedName name="КОЛ5710">data_1!$OU$14:$OU$108</definedName>
    <definedName name="КОЛ5711">data_1!$OV$14:$OV$108</definedName>
    <definedName name="КОЛ5712">data_1!$OW$14:$OW$108</definedName>
    <definedName name="КОЛ5713">data_1!$OX$14:$OX$108</definedName>
    <definedName name="КОЛ5714">data_1!$OY$14:$OY$108</definedName>
    <definedName name="КОЛ5715">data_1!$OZ$14:$OZ$108</definedName>
    <definedName name="КОЛ5716">data_1!$PA$14:$PA$108</definedName>
    <definedName name="КОЛ5719">data_1!$PC$14:$PC$108</definedName>
    <definedName name="КОЛ5721">data_1!$PB$14:$PB$108</definedName>
    <definedName name="КОЛ5723">data_1!$PE$14:$PE$108</definedName>
    <definedName name="КОЛ5751">data_1!$PD$14:$PD$108</definedName>
    <definedName name="КОЛ5752">data_1!$OT$14:$OT$108</definedName>
    <definedName name="КОЛ5804">data_1!$LT$14:$LT$108</definedName>
    <definedName name="КОЛ5805">data_1!$LU$14:$LU$108</definedName>
    <definedName name="КОЛ5806">data_1!$LV$14:$LV$108</definedName>
    <definedName name="КОЛ5807">data_1!$LW$14:$LW$108</definedName>
    <definedName name="КОЛ5808">data_1!$LX$14:$LX$108</definedName>
    <definedName name="КОЛ5809">data_1!$LY$14:$LY$108</definedName>
    <definedName name="КОЛ5810">data_1!$MA$14:$MA$108</definedName>
    <definedName name="КОЛ5811">data_1!$MB$14:$MB$108</definedName>
    <definedName name="КОЛ5812">data_1!$MC$14:$MC$108</definedName>
    <definedName name="КОЛ5813">data_1!$MD$14:$MD$108</definedName>
    <definedName name="КОЛ5814">data_1!$ME$14:$ME$108</definedName>
    <definedName name="КОЛ5815">data_1!$MF$14:$MF$108</definedName>
    <definedName name="КОЛ5816">data_1!$MG$14:$MG$108</definedName>
    <definedName name="КОЛ5819">data_1!$MI$14:$MI$108</definedName>
    <definedName name="КОЛ5821">data_1!$MH$14:$MH$108</definedName>
    <definedName name="КОЛ5823">data_1!$MK$14:$MK$108</definedName>
    <definedName name="КОЛ5851">data_1!$MJ$14:$MJ$108</definedName>
    <definedName name="КОЛ5852">data_1!$LZ$14:$LZ$108</definedName>
    <definedName name="КОЛ5904">data_1!$DL$14:$DL$108</definedName>
    <definedName name="КОЛ5905">data_1!$DM$14:$DM$108</definedName>
    <definedName name="КОЛ5906">data_1!$DN$14:$DN$108</definedName>
    <definedName name="КОЛ5907">data_1!$DO$14:$DO$108</definedName>
    <definedName name="КОЛ5908">data_1!$DP$14:$DP$108</definedName>
    <definedName name="КОЛ5909">data_1!$DQ$14:$DQ$108</definedName>
    <definedName name="КОЛ5910">data_1!$DS$14:$DS$108</definedName>
    <definedName name="КОЛ5911">data_1!$DT$14:$DT$108</definedName>
    <definedName name="КОЛ5912">data_1!$DU$14:$DU$108</definedName>
    <definedName name="КОЛ5913">data_1!$DV$14:$DV$108</definedName>
    <definedName name="КОЛ5914">data_1!$DW$14:$DW$108</definedName>
    <definedName name="КОЛ5915">data_1!$DX$14:$DX$108</definedName>
    <definedName name="КОЛ5916">data_1!$DY$14:$DY$108</definedName>
    <definedName name="КОЛ5919">data_1!$EA$14:$EA$108</definedName>
    <definedName name="КОЛ5921">data_1!$DZ$14:$DZ$108</definedName>
    <definedName name="КОЛ5923">data_1!$EC$14:$EC$108</definedName>
    <definedName name="КОЛ5951">data_1!$EB$14:$EB$108</definedName>
    <definedName name="КОЛ5952">data_1!$DR$14:$DR$108</definedName>
    <definedName name="КОЛ6004">data_1!$ND$14:$ND$108</definedName>
    <definedName name="КОЛ6005">data_1!$NE$14:$NE$108</definedName>
    <definedName name="КОЛ6006">data_1!$NF$14:$NF$108</definedName>
    <definedName name="КОЛ6007">data_1!$NG$14:$NG$108</definedName>
    <definedName name="КОЛ6008">data_1!$NH$14:$NH$108</definedName>
    <definedName name="КОЛ6009">data_1!$NI$14:$NI$108</definedName>
    <definedName name="КОЛ6010">data_1!$NK$14:$NK$108</definedName>
    <definedName name="КОЛ6011">data_1!$NL$14:$NL$108</definedName>
    <definedName name="КОЛ6012">data_1!$NM$14:$NM$108</definedName>
    <definedName name="КОЛ6013">data_1!$NN$14:$NN$108</definedName>
    <definedName name="КОЛ6014">data_1!$NO$14:$NO$108</definedName>
    <definedName name="КОЛ6015">data_1!$NP$14:$NP$108</definedName>
    <definedName name="КОЛ6016">data_1!$NQ$14:$NQ$108</definedName>
    <definedName name="КОЛ6019">data_1!$NS$14:$NS$108</definedName>
    <definedName name="КОЛ6021">data_1!$NR$14:$NR$108</definedName>
    <definedName name="КОЛ6023">data_1!$NU$14:$NU$108</definedName>
    <definedName name="КОЛ6051">data_1!$NT$14:$NT$108</definedName>
    <definedName name="КОЛ6052">data_1!$NJ$14:$NJ$108</definedName>
    <definedName name="КОЛ6104">data_1!$EV$14:$EV$108</definedName>
    <definedName name="КОЛ6105">data_1!$EW$14:$EW$108</definedName>
    <definedName name="КОЛ6106">data_1!$EX$14:$EX$108</definedName>
    <definedName name="КОЛ6107">data_1!$EY$14:$EY$108</definedName>
    <definedName name="КОЛ6108">data_1!$EZ$14:$EZ$108</definedName>
    <definedName name="КОЛ6109">data_1!$FA$14:$FA$108</definedName>
    <definedName name="КОЛ6110">data_1!$FC$14:$FC$108</definedName>
    <definedName name="КОЛ6111">data_1!$FD$14:$FD$108</definedName>
    <definedName name="КОЛ6112">data_1!$FE$14:$FE$108</definedName>
    <definedName name="КОЛ6113">data_1!$FF$14:$FF$108</definedName>
    <definedName name="КОЛ6114">data_1!$FG$14:$FG$108</definedName>
    <definedName name="КОЛ6115">data_1!$FH$14:$FH$108</definedName>
    <definedName name="КОЛ6116">data_1!$FI$14:$FI$108</definedName>
    <definedName name="КОЛ6119">data_1!$FK$14:$FK$108</definedName>
    <definedName name="КОЛ6121">data_1!$FJ$14:$FJ$108</definedName>
    <definedName name="КОЛ6123">data_1!$FM$14:$FM$108</definedName>
    <definedName name="КОЛ6151">data_1!$FL$14:$FL$108</definedName>
    <definedName name="КОЛ6152">data_1!$FB$14:$FB$108</definedName>
    <definedName name="КОЛ6204">data_1!$Z$14:$Z$108</definedName>
    <definedName name="КОЛ6205">data_1!$AA$14:$AA$108</definedName>
    <definedName name="КОЛ6206">data_1!$AB$14:$AB$108</definedName>
    <definedName name="КОЛ6207">data_1!$AC$14:$AC$108</definedName>
    <definedName name="КОЛ6208">data_1!$AD$14:$AD$108</definedName>
    <definedName name="КОЛ6209">data_1!$AE$14:$AE$108</definedName>
    <definedName name="КОЛ6210">data_1!$AG$14:$AG$108</definedName>
    <definedName name="КОЛ6211">data_1!$AH$14:$AH$108</definedName>
    <definedName name="КОЛ6212">data_1!$AI$14:$AI$108</definedName>
    <definedName name="КОЛ6213">data_1!$AJ$14:$AJ$108</definedName>
    <definedName name="КОЛ6214">data_1!$AK$14:$AK$108</definedName>
    <definedName name="КОЛ6215">data_1!$AL$14:$AL$108</definedName>
    <definedName name="КОЛ6216">data_1!$AM$14:$AM$108</definedName>
    <definedName name="КОЛ6219">data_1!$AO$14:$AO$108</definedName>
    <definedName name="КОЛ6221">data_1!$AN$14:$AN$108</definedName>
    <definedName name="КОЛ6223">data_1!$AQ$14:$AQ$108</definedName>
    <definedName name="КОЛ6251">data_1!$AP$14:$AP$108</definedName>
    <definedName name="КОЛ6252">data_1!$AF$14:$AF$108</definedName>
    <definedName name="КОЛ6304">data_1!$PF$14:$PF$108</definedName>
    <definedName name="КОЛ6305">data_1!$PG$14:$PG$108</definedName>
    <definedName name="КОЛ6306">data_1!$PH$14:$PH$108</definedName>
    <definedName name="КОЛ6307">data_1!$PI$14:$PI$108</definedName>
    <definedName name="КОЛ6308">data_1!$PJ$14:$PJ$108</definedName>
    <definedName name="КОЛ6309">data_1!$PK$14:$PK$108</definedName>
    <definedName name="КОЛ6310">data_1!$PM$14:$PM$108</definedName>
    <definedName name="КОЛ6311">data_1!$PN$14:$PN$108</definedName>
    <definedName name="КОЛ6312">data_1!$PO$14:$PO$108</definedName>
    <definedName name="КОЛ6313">data_1!$PP$14:$PP$108</definedName>
    <definedName name="КОЛ6314">data_1!$PQ$14:$PQ$108</definedName>
    <definedName name="КОЛ6315">data_1!$PR$14:$PR$108</definedName>
    <definedName name="КОЛ6316">data_1!$PS$14:$PS$108</definedName>
    <definedName name="КОЛ6319">data_1!$PU$14:$PU$108</definedName>
    <definedName name="КОЛ6321">data_1!$PT$14:$PT$108</definedName>
    <definedName name="КОЛ6323">data_1!$PW$14:$PW$108</definedName>
    <definedName name="КОЛ6351">data_1!$PV$14:$PV$108</definedName>
    <definedName name="КОЛ6352">data_1!$PL$14:$PL$108</definedName>
    <definedName name="КОЛ6504">data_1!$QP$14:$QP$108</definedName>
    <definedName name="КОЛ6505">data_1!$QQ$14:$QQ$108</definedName>
    <definedName name="КОЛ6506">data_1!$QR$14:$QR$108</definedName>
    <definedName name="КОЛ6507">data_1!$QS$14:$QS$108</definedName>
    <definedName name="КОЛ6508">data_1!$QT$14:$QT$108</definedName>
    <definedName name="КОЛ6509">data_1!$QU$14:$QU$108</definedName>
    <definedName name="КОЛ6510">data_1!$QW$14:$QW$108</definedName>
    <definedName name="КОЛ6511">data_1!$QX$14:$QX$108</definedName>
    <definedName name="КОЛ6512">data_1!$QY$14:$QY$108</definedName>
    <definedName name="КОЛ6513">data_1!$QZ$14:$QZ$108</definedName>
    <definedName name="КОЛ6514">data_1!$RA$14:$RA$108</definedName>
    <definedName name="КОЛ6515">data_1!$RB$14:$RB$108</definedName>
    <definedName name="КОЛ6516">data_1!$RC$14:$RC$108</definedName>
    <definedName name="КОЛ6519">data_1!$RE$14:$RE$108</definedName>
    <definedName name="КОЛ6521">data_1!$RD$14:$RD$108</definedName>
    <definedName name="КОЛ6523">data_1!$RG$14:$RG$108</definedName>
    <definedName name="КОЛ6551">data_1!$RF$14:$RF$108</definedName>
    <definedName name="КОЛ6552">data_1!$QV$14:$QV$108</definedName>
    <definedName name="КОЛ6604">data_1!$RH$14:$RH$108</definedName>
    <definedName name="КОЛ6605">data_1!$RI$14:$RI$108</definedName>
    <definedName name="КОЛ6606">data_1!$RJ$14:$RJ$108</definedName>
    <definedName name="КОЛ6607">data_1!$RK$14:$RK$108</definedName>
    <definedName name="КОЛ6608">data_1!$RL$14:$RL$108</definedName>
    <definedName name="КОЛ6609">data_1!$RM$14:$RM$108</definedName>
    <definedName name="КОЛ6610">data_1!$RO$14:$RO$108</definedName>
    <definedName name="КОЛ6611">data_1!$RP$14:$RP$108</definedName>
    <definedName name="КОЛ6612">data_1!$RQ$14:$RQ$108</definedName>
    <definedName name="КОЛ6613">data_1!$RR$14:$RR$108</definedName>
    <definedName name="КОЛ6614">data_1!$RS$14:$RS$108</definedName>
    <definedName name="КОЛ6615">data_1!$RT$14:$RT$108</definedName>
    <definedName name="КОЛ6616">data_1!$RU$14:$RU$108</definedName>
    <definedName name="КОЛ6619">data_1!$RW$14:$RW$108</definedName>
    <definedName name="КОЛ6621">data_1!$RV$14:$RV$108</definedName>
    <definedName name="КОЛ6623">data_1!$RY$14:$RY$108</definedName>
    <definedName name="КОЛ6651">data_1!$RX$14:$RX$108</definedName>
    <definedName name="КОЛ6652">data_1!$RN$14:$RN$108</definedName>
    <definedName name="КОЛ6704">data_1!$RZ$14:$RZ$108</definedName>
    <definedName name="КОЛ6705">data_1!$SA$14:$SA$108</definedName>
    <definedName name="КОЛ6706">data_1!$SB$14:$SB$108</definedName>
    <definedName name="КОЛ6707">data_1!$SC$14:$SC$108</definedName>
    <definedName name="КОЛ6708">data_1!$SD$14:$SD$108</definedName>
    <definedName name="КОЛ6709">data_1!$SE$14:$SE$108</definedName>
    <definedName name="КОЛ6710">data_1!$SG$14:$SG$108</definedName>
    <definedName name="КОЛ6711">data_1!$SH$14:$SH$108</definedName>
    <definedName name="КОЛ6712">data_1!$SI$14:$SI$108</definedName>
    <definedName name="КОЛ6713">data_1!$SJ$14:$SJ$108</definedName>
    <definedName name="КОЛ6714">data_1!$SK$14:$SK$108</definedName>
    <definedName name="КОЛ6715">data_1!$SL$14:$SL$108</definedName>
    <definedName name="КОЛ6716">data_1!$SM$14:$SM$108</definedName>
    <definedName name="КОЛ6719">data_1!$SO$14:$SO$108</definedName>
    <definedName name="КОЛ6721">data_1!$SN$14:$SN$108</definedName>
    <definedName name="КОЛ6723">data_1!$SQ$14:$SQ$108</definedName>
    <definedName name="КОЛ6751">data_1!$SP$14:$SP$108</definedName>
    <definedName name="КОЛ6752">data_1!$SF$14:$SF$108</definedName>
    <definedName name="КОЛ6804">data_1!$SR$14:$SR$108</definedName>
    <definedName name="КОЛ6805">data_1!$SS$14:$SS$108</definedName>
    <definedName name="КОЛ6806">data_1!$ST$14:$ST$108</definedName>
    <definedName name="КОЛ6807">data_1!$SU$14:$SU$108</definedName>
    <definedName name="КОЛ6808">data_1!$SV$14:$SV$108</definedName>
    <definedName name="КОЛ6809">data_1!$SW$14:$SW$108</definedName>
    <definedName name="КОЛ6810">data_1!$SY$14:$SY$108</definedName>
    <definedName name="КОЛ6811">data_1!$SZ$14:$SZ$108</definedName>
    <definedName name="КОЛ6812">data_1!$TA$14:$TA$108</definedName>
    <definedName name="КОЛ6813">data_1!$TB$14:$TB$108</definedName>
    <definedName name="КОЛ6814">data_1!$TC$14:$TC$108</definedName>
    <definedName name="КОЛ6815">data_1!$TD$14:$TD$108</definedName>
    <definedName name="КОЛ6816">data_1!$TE$14:$TE$108</definedName>
    <definedName name="КОЛ6819">data_1!$TG$14:$TG$108</definedName>
    <definedName name="КОЛ6821">data_1!$TF$14:$TF$108</definedName>
    <definedName name="КОЛ6823">data_1!$TI$14:$TI$108</definedName>
    <definedName name="КОЛ6851">data_1!$TH$14:$TH$108</definedName>
    <definedName name="КОЛ6852">data_1!$SX$14:$SX$108</definedName>
    <definedName name="КОЛ6904">data_1!$TJ$14:$TJ$108</definedName>
    <definedName name="КОЛ6905">data_1!$TK$14:$TK$108</definedName>
    <definedName name="КОЛ6906">data_1!$TL$14:$TL$108</definedName>
    <definedName name="КОЛ6907">data_1!$TM$14:$TM$108</definedName>
    <definedName name="КОЛ6908">data_1!$TN$14:$TN$108</definedName>
    <definedName name="КОЛ6909">data_1!$TO$14:$TO$108</definedName>
    <definedName name="КОЛ6910">data_1!$TQ$14:$TQ$108</definedName>
    <definedName name="КОЛ6911">data_1!$TR$14:$TR$108</definedName>
    <definedName name="КОЛ6912">data_1!$TS$14:$TS$108</definedName>
    <definedName name="КОЛ6913">data_1!$TT$14:$TT$108</definedName>
    <definedName name="КОЛ6914">data_1!$TU$14:$TU$108</definedName>
    <definedName name="КОЛ6915">data_1!$TV$14:$TV$108</definedName>
    <definedName name="КОЛ6916">data_1!$TW$14:$TW$108</definedName>
    <definedName name="КОЛ6919">data_1!$TY$14:$TY$108</definedName>
    <definedName name="КОЛ6921">data_1!$TX$14:$TX$108</definedName>
    <definedName name="КОЛ6923">data_1!$UA$14:$UA$108</definedName>
    <definedName name="КОЛ6951">data_1!$TZ$14:$TZ$108</definedName>
    <definedName name="КОЛ6952">data_1!$TP$14:$TP$108</definedName>
    <definedName name="КолонкиМатрица">Списки!$Q$3:$R$562</definedName>
    <definedName name="МассивИтоговФО">dataФО!$F$13:$US$23</definedName>
    <definedName name="_xlnm.Print_Area" localSheetId="7">'1.1'!$A$1:$R$106</definedName>
    <definedName name="_xlnm.Print_Area" localSheetId="8">'1.2'!$A$1:$T$106</definedName>
    <definedName name="_xlnm.Print_Area" localSheetId="10">'1.4'!$A$1:$R$106</definedName>
    <definedName name="_xlnm.Print_Area" localSheetId="13">'1.7'!$A$1:$R$106</definedName>
    <definedName name="_xlnm.Print_Area" localSheetId="5">Итого!$A$1:$S$106</definedName>
    <definedName name="Размерность">Итого!#REF!</definedName>
    <definedName name="РегионыВыбор">Списки!$B$3:$B$87</definedName>
    <definedName name="РегионыМатрица">Списки!$B$3:$D$87</definedName>
    <definedName name="ФОвыбор">Списки!$K$17:$K$24</definedName>
    <definedName name="ФОматрица">Списки!$H$3:$M$13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US23" i="102" l="1"/>
  <c r="UR23" i="102"/>
  <c r="UQ23" i="102"/>
  <c r="UP23" i="102"/>
  <c r="UO23" i="102"/>
  <c r="UN23" i="102"/>
  <c r="UM23" i="102"/>
  <c r="UL23" i="102"/>
  <c r="UK23" i="102"/>
  <c r="UJ23" i="102"/>
  <c r="UI23" i="102"/>
  <c r="UH23" i="102"/>
  <c r="UG23" i="102"/>
  <c r="UF23" i="102"/>
  <c r="UE23" i="102"/>
  <c r="UD23" i="102"/>
  <c r="UC23" i="102"/>
  <c r="UB23" i="102"/>
  <c r="US22" i="102"/>
  <c r="UR22" i="102"/>
  <c r="UQ22" i="102"/>
  <c r="UP22" i="102"/>
  <c r="UO22" i="102"/>
  <c r="UN22" i="102"/>
  <c r="UM22" i="102"/>
  <c r="UL22" i="102"/>
  <c r="UK22" i="102"/>
  <c r="UJ22" i="102"/>
  <c r="UI22" i="102"/>
  <c r="UH22" i="102"/>
  <c r="UG22" i="102"/>
  <c r="UF22" i="102"/>
  <c r="UE22" i="102"/>
  <c r="UD22" i="102"/>
  <c r="UC22" i="102"/>
  <c r="UB22" i="102"/>
  <c r="US21" i="102"/>
  <c r="UR21" i="102"/>
  <c r="UQ21" i="102"/>
  <c r="UP21" i="102"/>
  <c r="UO21" i="102"/>
  <c r="UN21" i="102"/>
  <c r="UM21" i="102"/>
  <c r="UL21" i="102"/>
  <c r="UK21" i="102"/>
  <c r="UJ21" i="102"/>
  <c r="UI21" i="102"/>
  <c r="UH21" i="102"/>
  <c r="UG21" i="102"/>
  <c r="UF21" i="102"/>
  <c r="UE21" i="102"/>
  <c r="UD21" i="102"/>
  <c r="UC21" i="102"/>
  <c r="UB21" i="102"/>
  <c r="US20" i="102"/>
  <c r="UR20" i="102"/>
  <c r="UQ20" i="102"/>
  <c r="UP20" i="102"/>
  <c r="UO20" i="102"/>
  <c r="UN20" i="102"/>
  <c r="UM20" i="102"/>
  <c r="UL20" i="102"/>
  <c r="UK20" i="102"/>
  <c r="UJ20" i="102"/>
  <c r="UI20" i="102"/>
  <c r="UH20" i="102"/>
  <c r="UG20" i="102"/>
  <c r="UF20" i="102"/>
  <c r="UE20" i="102"/>
  <c r="UD20" i="102"/>
  <c r="UC20" i="102"/>
  <c r="UB20" i="102"/>
  <c r="US19" i="102"/>
  <c r="UR19" i="102"/>
  <c r="UQ19" i="102"/>
  <c r="UP19" i="102"/>
  <c r="UO19" i="102"/>
  <c r="UN19" i="102"/>
  <c r="UM19" i="102"/>
  <c r="UL19" i="102"/>
  <c r="UK19" i="102"/>
  <c r="UJ19" i="102"/>
  <c r="UI19" i="102"/>
  <c r="UH19" i="102"/>
  <c r="UG19" i="102"/>
  <c r="UF19" i="102"/>
  <c r="UE19" i="102"/>
  <c r="UD19" i="102"/>
  <c r="UC19" i="102"/>
  <c r="UB19" i="102"/>
  <c r="US18" i="102"/>
  <c r="UR18" i="102"/>
  <c r="UQ18" i="102"/>
  <c r="UP18" i="102"/>
  <c r="UO18" i="102"/>
  <c r="UN18" i="102"/>
  <c r="UM18" i="102"/>
  <c r="UL18" i="102"/>
  <c r="UK18" i="102"/>
  <c r="UJ18" i="102"/>
  <c r="UI18" i="102"/>
  <c r="UH18" i="102"/>
  <c r="UG18" i="102"/>
  <c r="UF18" i="102"/>
  <c r="UE18" i="102"/>
  <c r="UD18" i="102"/>
  <c r="UC18" i="102"/>
  <c r="UB18" i="102"/>
  <c r="US17" i="102"/>
  <c r="UR17" i="102"/>
  <c r="UQ17" i="102"/>
  <c r="UP17" i="102"/>
  <c r="UO17" i="102"/>
  <c r="UN17" i="102"/>
  <c r="UM17" i="102"/>
  <c r="UL17" i="102"/>
  <c r="UK17" i="102"/>
  <c r="UJ17" i="102"/>
  <c r="UI17" i="102"/>
  <c r="UH17" i="102"/>
  <c r="UG17" i="102"/>
  <c r="UF17" i="102"/>
  <c r="UE17" i="102"/>
  <c r="UD17" i="102"/>
  <c r="UC17" i="102"/>
  <c r="UB17" i="102"/>
  <c r="US16" i="102"/>
  <c r="UR16" i="102"/>
  <c r="UQ16" i="102"/>
  <c r="UP16" i="102"/>
  <c r="UO16" i="102"/>
  <c r="UN16" i="102"/>
  <c r="UM16" i="102"/>
  <c r="UL16" i="102"/>
  <c r="UK16" i="102"/>
  <c r="UJ16" i="102"/>
  <c r="UI16" i="102"/>
  <c r="UH16" i="102"/>
  <c r="UG16" i="102"/>
  <c r="UF16" i="102"/>
  <c r="UE16" i="102"/>
  <c r="UD16" i="102"/>
  <c r="UC16" i="102"/>
  <c r="UC14" i="102" s="1"/>
  <c r="UB16" i="102"/>
  <c r="US15" i="102"/>
  <c r="UR15" i="102"/>
  <c r="UQ15" i="102"/>
  <c r="UP15" i="102"/>
  <c r="UO15" i="102"/>
  <c r="UN15" i="102"/>
  <c r="UM15" i="102"/>
  <c r="UM14" i="102" s="1"/>
  <c r="UL15" i="102"/>
  <c r="UK15" i="102"/>
  <c r="UJ15" i="102"/>
  <c r="UI15" i="102"/>
  <c r="UH15" i="102"/>
  <c r="UH14" i="102" s="1"/>
  <c r="UG15" i="102"/>
  <c r="UF15" i="102"/>
  <c r="UE15" i="102"/>
  <c r="UE14" i="102" s="1"/>
  <c r="UD15" i="102"/>
  <c r="UC15" i="102"/>
  <c r="UB15" i="102"/>
  <c r="UG14" i="102"/>
  <c r="US13" i="102"/>
  <c r="UR13" i="102"/>
  <c r="UQ13" i="102"/>
  <c r="UP13" i="102"/>
  <c r="UO13" i="102"/>
  <c r="UN13" i="102"/>
  <c r="UM13" i="102"/>
  <c r="UL13" i="102"/>
  <c r="UK13" i="102"/>
  <c r="UJ13" i="102"/>
  <c r="UI13" i="102"/>
  <c r="UH13" i="102"/>
  <c r="UG13" i="102"/>
  <c r="UF13" i="102"/>
  <c r="UE13" i="102"/>
  <c r="UD13" i="102"/>
  <c r="UC13" i="102"/>
  <c r="UB13" i="102"/>
  <c r="US13" i="1"/>
  <c r="UR13" i="1"/>
  <c r="UQ13" i="1"/>
  <c r="UP13" i="1"/>
  <c r="UO13" i="1"/>
  <c r="UN13" i="1"/>
  <c r="UM13" i="1"/>
  <c r="UL13" i="1"/>
  <c r="UK13" i="1"/>
  <c r="UJ13" i="1"/>
  <c r="UI13" i="1"/>
  <c r="UH13" i="1"/>
  <c r="UG13" i="1"/>
  <c r="UF13" i="1"/>
  <c r="UE13" i="1"/>
  <c r="UD13" i="1"/>
  <c r="UC13" i="1"/>
  <c r="UB13" i="1"/>
  <c r="US14" i="102" l="1"/>
  <c r="UQ14" i="102"/>
  <c r="UD14" i="102"/>
  <c r="UP14" i="102"/>
  <c r="UR14" i="102"/>
  <c r="UO14" i="102"/>
  <c r="UN14" i="102"/>
  <c r="UB14" i="102"/>
  <c r="UK14" i="102"/>
  <c r="UI14" i="102"/>
  <c r="UJ14" i="102"/>
  <c r="UF14" i="102"/>
  <c r="UL14" i="102"/>
  <c r="UA23" i="102" l="1"/>
  <c r="TZ23" i="102"/>
  <c r="TY23" i="102"/>
  <c r="TX23" i="102"/>
  <c r="TW23" i="102"/>
  <c r="TV23" i="102"/>
  <c r="TU23" i="102"/>
  <c r="TT23" i="102"/>
  <c r="TS23" i="102"/>
  <c r="TR23" i="102"/>
  <c r="TQ23" i="102"/>
  <c r="TP23" i="102"/>
  <c r="TO23" i="102"/>
  <c r="TN23" i="102"/>
  <c r="TM23" i="102"/>
  <c r="TL23" i="102"/>
  <c r="TK23" i="102"/>
  <c r="TJ23" i="102"/>
  <c r="UA22" i="102"/>
  <c r="TZ22" i="102"/>
  <c r="TY22" i="102"/>
  <c r="TX22" i="102"/>
  <c r="TW22" i="102"/>
  <c r="TV22" i="102"/>
  <c r="TU22" i="102"/>
  <c r="TT22" i="102"/>
  <c r="TS22" i="102"/>
  <c r="TR22" i="102"/>
  <c r="TQ22" i="102"/>
  <c r="TP22" i="102"/>
  <c r="TO22" i="102"/>
  <c r="TN22" i="102"/>
  <c r="TM22" i="102"/>
  <c r="TL22" i="102"/>
  <c r="TK22" i="102"/>
  <c r="TJ22" i="102"/>
  <c r="UA21" i="102"/>
  <c r="TZ21" i="102"/>
  <c r="TY21" i="102"/>
  <c r="TX21" i="102"/>
  <c r="TW21" i="102"/>
  <c r="TV21" i="102"/>
  <c r="TU21" i="102"/>
  <c r="TT21" i="102"/>
  <c r="TS21" i="102"/>
  <c r="TR21" i="102"/>
  <c r="TQ21" i="102"/>
  <c r="TP21" i="102"/>
  <c r="TO21" i="102"/>
  <c r="TN21" i="102"/>
  <c r="TM21" i="102"/>
  <c r="TL21" i="102"/>
  <c r="TK21" i="102"/>
  <c r="TJ21" i="102"/>
  <c r="UA20" i="102"/>
  <c r="TZ20" i="102"/>
  <c r="TY20" i="102"/>
  <c r="TX20" i="102"/>
  <c r="TW20" i="102"/>
  <c r="TV20" i="102"/>
  <c r="TU20" i="102"/>
  <c r="TT20" i="102"/>
  <c r="TS20" i="102"/>
  <c r="TR20" i="102"/>
  <c r="TQ20" i="102"/>
  <c r="TP20" i="102"/>
  <c r="TO20" i="102"/>
  <c r="TN20" i="102"/>
  <c r="TM20" i="102"/>
  <c r="TL20" i="102"/>
  <c r="TK20" i="102"/>
  <c r="TJ20" i="102"/>
  <c r="UA19" i="102"/>
  <c r="TZ19" i="102"/>
  <c r="TY19" i="102"/>
  <c r="TX19" i="102"/>
  <c r="TW19" i="102"/>
  <c r="TV19" i="102"/>
  <c r="TU19" i="102"/>
  <c r="TT19" i="102"/>
  <c r="TS19" i="102"/>
  <c r="TR19" i="102"/>
  <c r="TQ19" i="102"/>
  <c r="TP19" i="102"/>
  <c r="TO19" i="102"/>
  <c r="TN19" i="102"/>
  <c r="TM19" i="102"/>
  <c r="TL19" i="102"/>
  <c r="TK19" i="102"/>
  <c r="TJ19" i="102"/>
  <c r="UA18" i="102"/>
  <c r="TZ18" i="102"/>
  <c r="TY18" i="102"/>
  <c r="TX18" i="102"/>
  <c r="TW18" i="102"/>
  <c r="TV18" i="102"/>
  <c r="TU18" i="102"/>
  <c r="TT18" i="102"/>
  <c r="TS18" i="102"/>
  <c r="TR18" i="102"/>
  <c r="TQ18" i="102"/>
  <c r="TP18" i="102"/>
  <c r="TO18" i="102"/>
  <c r="TN18" i="102"/>
  <c r="TM18" i="102"/>
  <c r="TL18" i="102"/>
  <c r="TK18" i="102"/>
  <c r="TJ18" i="102"/>
  <c r="UA17" i="102"/>
  <c r="TZ17" i="102"/>
  <c r="TY17" i="102"/>
  <c r="TX17" i="102"/>
  <c r="TW17" i="102"/>
  <c r="TV17" i="102"/>
  <c r="TU17" i="102"/>
  <c r="TT17" i="102"/>
  <c r="TS17" i="102"/>
  <c r="TR17" i="102"/>
  <c r="TQ17" i="102"/>
  <c r="TP17" i="102"/>
  <c r="TO17" i="102"/>
  <c r="TN17" i="102"/>
  <c r="TM17" i="102"/>
  <c r="TL17" i="102"/>
  <c r="TK17" i="102"/>
  <c r="TJ17" i="102"/>
  <c r="UA16" i="102"/>
  <c r="TZ16" i="102"/>
  <c r="TY16" i="102"/>
  <c r="TX16" i="102"/>
  <c r="TW16" i="102"/>
  <c r="TV16" i="102"/>
  <c r="TU16" i="102"/>
  <c r="TT16" i="102"/>
  <c r="TS16" i="102"/>
  <c r="TR16" i="102"/>
  <c r="TQ16" i="102"/>
  <c r="TP16" i="102"/>
  <c r="TO16" i="102"/>
  <c r="TN16" i="102"/>
  <c r="TM16" i="102"/>
  <c r="TL16" i="102"/>
  <c r="TK16" i="102"/>
  <c r="TJ16" i="102"/>
  <c r="UA15" i="102"/>
  <c r="TZ15" i="102"/>
  <c r="TY15" i="102"/>
  <c r="TX15" i="102"/>
  <c r="TW15" i="102"/>
  <c r="TV15" i="102"/>
  <c r="TU15" i="102"/>
  <c r="TT15" i="102"/>
  <c r="TS15" i="102"/>
  <c r="TR15" i="102"/>
  <c r="TQ15" i="102"/>
  <c r="TP15" i="102"/>
  <c r="TO15" i="102"/>
  <c r="TN15" i="102"/>
  <c r="TM15" i="102"/>
  <c r="TL15" i="102"/>
  <c r="TK15" i="102"/>
  <c r="TJ15" i="102"/>
  <c r="TI23" i="102"/>
  <c r="TH23" i="102"/>
  <c r="TG23" i="102"/>
  <c r="TF23" i="102"/>
  <c r="TE23" i="102"/>
  <c r="TD23" i="102"/>
  <c r="TC23" i="102"/>
  <c r="TB23" i="102"/>
  <c r="TA23" i="102"/>
  <c r="SZ23" i="102"/>
  <c r="SY23" i="102"/>
  <c r="SX23" i="102"/>
  <c r="SW23" i="102"/>
  <c r="SV23" i="102"/>
  <c r="SU23" i="102"/>
  <c r="ST23" i="102"/>
  <c r="SS23" i="102"/>
  <c r="SR23" i="102"/>
  <c r="TI22" i="102"/>
  <c r="TH22" i="102"/>
  <c r="TG22" i="102"/>
  <c r="TF22" i="102"/>
  <c r="TE22" i="102"/>
  <c r="TD22" i="102"/>
  <c r="TC22" i="102"/>
  <c r="TB22" i="102"/>
  <c r="TA22" i="102"/>
  <c r="SZ22" i="102"/>
  <c r="SY22" i="102"/>
  <c r="SX22" i="102"/>
  <c r="SW22" i="102"/>
  <c r="SV22" i="102"/>
  <c r="SU22" i="102"/>
  <c r="ST22" i="102"/>
  <c r="SS22" i="102"/>
  <c r="SR22" i="102"/>
  <c r="TI21" i="102"/>
  <c r="TH21" i="102"/>
  <c r="TG21" i="102"/>
  <c r="TF21" i="102"/>
  <c r="TE21" i="102"/>
  <c r="TD21" i="102"/>
  <c r="TC21" i="102"/>
  <c r="TB21" i="102"/>
  <c r="TA21" i="102"/>
  <c r="SZ21" i="102"/>
  <c r="SY21" i="102"/>
  <c r="SX21" i="102"/>
  <c r="SW21" i="102"/>
  <c r="SV21" i="102"/>
  <c r="SU21" i="102"/>
  <c r="ST21" i="102"/>
  <c r="SS21" i="102"/>
  <c r="SR21" i="102"/>
  <c r="TI20" i="102"/>
  <c r="TH20" i="102"/>
  <c r="TG20" i="102"/>
  <c r="TF20" i="102"/>
  <c r="TE20" i="102"/>
  <c r="TD20" i="102"/>
  <c r="TC20" i="102"/>
  <c r="TB20" i="102"/>
  <c r="TA20" i="102"/>
  <c r="SZ20" i="102"/>
  <c r="SY20" i="102"/>
  <c r="SX20" i="102"/>
  <c r="SW20" i="102"/>
  <c r="SV20" i="102"/>
  <c r="SU20" i="102"/>
  <c r="ST20" i="102"/>
  <c r="SS20" i="102"/>
  <c r="SR20" i="102"/>
  <c r="TI19" i="102"/>
  <c r="TH19" i="102"/>
  <c r="TG19" i="102"/>
  <c r="TF19" i="102"/>
  <c r="TE19" i="102"/>
  <c r="TD19" i="102"/>
  <c r="TC19" i="102"/>
  <c r="TB19" i="102"/>
  <c r="TA19" i="102"/>
  <c r="SZ19" i="102"/>
  <c r="SY19" i="102"/>
  <c r="SX19" i="102"/>
  <c r="SW19" i="102"/>
  <c r="SV19" i="102"/>
  <c r="SU19" i="102"/>
  <c r="ST19" i="102"/>
  <c r="SS19" i="102"/>
  <c r="SR19" i="102"/>
  <c r="TI18" i="102"/>
  <c r="TH18" i="102"/>
  <c r="TG18" i="102"/>
  <c r="TF18" i="102"/>
  <c r="TE18" i="102"/>
  <c r="TD18" i="102"/>
  <c r="TC18" i="102"/>
  <c r="TB18" i="102"/>
  <c r="TA18" i="102"/>
  <c r="SZ18" i="102"/>
  <c r="SY18" i="102"/>
  <c r="SX18" i="102"/>
  <c r="SW18" i="102"/>
  <c r="SV18" i="102"/>
  <c r="SU18" i="102"/>
  <c r="ST18" i="102"/>
  <c r="SS18" i="102"/>
  <c r="SR18" i="102"/>
  <c r="TI17" i="102"/>
  <c r="TH17" i="102"/>
  <c r="TG17" i="102"/>
  <c r="TF17" i="102"/>
  <c r="TE17" i="102"/>
  <c r="TD17" i="102"/>
  <c r="TC17" i="102"/>
  <c r="TB17" i="102"/>
  <c r="TA17" i="102"/>
  <c r="SZ17" i="102"/>
  <c r="SY17" i="102"/>
  <c r="SX17" i="102"/>
  <c r="SW17" i="102"/>
  <c r="SV17" i="102"/>
  <c r="SU17" i="102"/>
  <c r="ST17" i="102"/>
  <c r="SS17" i="102"/>
  <c r="SR17" i="102"/>
  <c r="TI16" i="102"/>
  <c r="TH16" i="102"/>
  <c r="TG16" i="102"/>
  <c r="TG14" i="102" s="1"/>
  <c r="TF16" i="102"/>
  <c r="TE16" i="102"/>
  <c r="TD16" i="102"/>
  <c r="TC16" i="102"/>
  <c r="TB16" i="102"/>
  <c r="TA16" i="102"/>
  <c r="SZ16" i="102"/>
  <c r="SY16" i="102"/>
  <c r="SX16" i="102"/>
  <c r="SW16" i="102"/>
  <c r="SV16" i="102"/>
  <c r="SU16" i="102"/>
  <c r="SU14" i="102" s="1"/>
  <c r="ST16" i="102"/>
  <c r="SS16" i="102"/>
  <c r="SR16" i="102"/>
  <c r="TI15" i="102"/>
  <c r="TI14" i="102" s="1"/>
  <c r="TH15" i="102"/>
  <c r="TG15" i="102"/>
  <c r="TF15" i="102"/>
  <c r="TE15" i="102"/>
  <c r="TD15" i="102"/>
  <c r="TC15" i="102"/>
  <c r="TB15" i="102"/>
  <c r="TA15" i="102"/>
  <c r="SZ15" i="102"/>
  <c r="SY15" i="102"/>
  <c r="SX15" i="102"/>
  <c r="SW15" i="102"/>
  <c r="SV15" i="102"/>
  <c r="SU15" i="102"/>
  <c r="ST15" i="102"/>
  <c r="SS15" i="102"/>
  <c r="SR15" i="102"/>
  <c r="SQ23" i="102"/>
  <c r="SP23" i="102"/>
  <c r="SO23" i="102"/>
  <c r="SN23" i="102"/>
  <c r="SM23" i="102"/>
  <c r="SL23" i="102"/>
  <c r="SK23" i="102"/>
  <c r="SJ23" i="102"/>
  <c r="SI23" i="102"/>
  <c r="SH23" i="102"/>
  <c r="SG23" i="102"/>
  <c r="SF23" i="102"/>
  <c r="SE23" i="102"/>
  <c r="SD23" i="102"/>
  <c r="SC23" i="102"/>
  <c r="SB23" i="102"/>
  <c r="SA23" i="102"/>
  <c r="RZ23" i="102"/>
  <c r="SQ22" i="102"/>
  <c r="SP22" i="102"/>
  <c r="SO22" i="102"/>
  <c r="SN22" i="102"/>
  <c r="SM22" i="102"/>
  <c r="SL22" i="102"/>
  <c r="SK22" i="102"/>
  <c r="SJ22" i="102"/>
  <c r="SI22" i="102"/>
  <c r="SH22" i="102"/>
  <c r="SG22" i="102"/>
  <c r="SF22" i="102"/>
  <c r="SE22" i="102"/>
  <c r="SD22" i="102"/>
  <c r="SC22" i="102"/>
  <c r="SB22" i="102"/>
  <c r="SA22" i="102"/>
  <c r="RZ22" i="102"/>
  <c r="SQ21" i="102"/>
  <c r="SP21" i="102"/>
  <c r="SO21" i="102"/>
  <c r="SN21" i="102"/>
  <c r="SM21" i="102"/>
  <c r="SL21" i="102"/>
  <c r="SK21" i="102"/>
  <c r="SJ21" i="102"/>
  <c r="SI21" i="102"/>
  <c r="SH21" i="102"/>
  <c r="SG21" i="102"/>
  <c r="SF21" i="102"/>
  <c r="SE21" i="102"/>
  <c r="SD21" i="102"/>
  <c r="SC21" i="102"/>
  <c r="SB21" i="102"/>
  <c r="SA21" i="102"/>
  <c r="RZ21" i="102"/>
  <c r="SQ20" i="102"/>
  <c r="SP20" i="102"/>
  <c r="SO20" i="102"/>
  <c r="SN20" i="102"/>
  <c r="SM20" i="102"/>
  <c r="SL20" i="102"/>
  <c r="SK20" i="102"/>
  <c r="SJ20" i="102"/>
  <c r="SI20" i="102"/>
  <c r="SH20" i="102"/>
  <c r="SG20" i="102"/>
  <c r="SF20" i="102"/>
  <c r="SE20" i="102"/>
  <c r="SD20" i="102"/>
  <c r="SC20" i="102"/>
  <c r="SB20" i="102"/>
  <c r="SA20" i="102"/>
  <c r="RZ20" i="102"/>
  <c r="SQ19" i="102"/>
  <c r="SP19" i="102"/>
  <c r="SO19" i="102"/>
  <c r="SN19" i="102"/>
  <c r="SM19" i="102"/>
  <c r="SL19" i="102"/>
  <c r="SK19" i="102"/>
  <c r="SJ19" i="102"/>
  <c r="SI19" i="102"/>
  <c r="SH19" i="102"/>
  <c r="SG19" i="102"/>
  <c r="SF19" i="102"/>
  <c r="SE19" i="102"/>
  <c r="SD19" i="102"/>
  <c r="SC19" i="102"/>
  <c r="SB19" i="102"/>
  <c r="SA19" i="102"/>
  <c r="RZ19" i="102"/>
  <c r="SQ18" i="102"/>
  <c r="SP18" i="102"/>
  <c r="SO18" i="102"/>
  <c r="SN18" i="102"/>
  <c r="SM18" i="102"/>
  <c r="SL18" i="102"/>
  <c r="SK18" i="102"/>
  <c r="SJ18" i="102"/>
  <c r="SI18" i="102"/>
  <c r="SH18" i="102"/>
  <c r="SG18" i="102"/>
  <c r="SF18" i="102"/>
  <c r="SE18" i="102"/>
  <c r="SD18" i="102"/>
  <c r="SC18" i="102"/>
  <c r="SB18" i="102"/>
  <c r="SA18" i="102"/>
  <c r="RZ18" i="102"/>
  <c r="SQ17" i="102"/>
  <c r="SP17" i="102"/>
  <c r="SO17" i="102"/>
  <c r="SN17" i="102"/>
  <c r="SM17" i="102"/>
  <c r="SL17" i="102"/>
  <c r="SK17" i="102"/>
  <c r="SJ17" i="102"/>
  <c r="SI17" i="102"/>
  <c r="SH17" i="102"/>
  <c r="SG17" i="102"/>
  <c r="SF17" i="102"/>
  <c r="SE17" i="102"/>
  <c r="SD17" i="102"/>
  <c r="SC17" i="102"/>
  <c r="SB17" i="102"/>
  <c r="SA17" i="102"/>
  <c r="RZ17" i="102"/>
  <c r="SQ16" i="102"/>
  <c r="SP16" i="102"/>
  <c r="SO16" i="102"/>
  <c r="SN16" i="102"/>
  <c r="SM16" i="102"/>
  <c r="SL16" i="102"/>
  <c r="SK16" i="102"/>
  <c r="SJ16" i="102"/>
  <c r="SI16" i="102"/>
  <c r="SH16" i="102"/>
  <c r="SG16" i="102"/>
  <c r="SF16" i="102"/>
  <c r="SE16" i="102"/>
  <c r="SD16" i="102"/>
  <c r="SC16" i="102"/>
  <c r="SB16" i="102"/>
  <c r="SA16" i="102"/>
  <c r="RZ16" i="102"/>
  <c r="SQ15" i="102"/>
  <c r="SP15" i="102"/>
  <c r="SO15" i="102"/>
  <c r="SN15" i="102"/>
  <c r="SM15" i="102"/>
  <c r="SL15" i="102"/>
  <c r="SK15" i="102"/>
  <c r="SJ15" i="102"/>
  <c r="SI15" i="102"/>
  <c r="SH15" i="102"/>
  <c r="SG15" i="102"/>
  <c r="SF15" i="102"/>
  <c r="SE15" i="102"/>
  <c r="SD15" i="102"/>
  <c r="SC15" i="102"/>
  <c r="SB15" i="102"/>
  <c r="SA15" i="102"/>
  <c r="RZ15" i="102"/>
  <c r="RY23" i="102"/>
  <c r="RX23" i="102"/>
  <c r="RW23" i="102"/>
  <c r="RV23" i="102"/>
  <c r="RU23" i="102"/>
  <c r="RT23" i="102"/>
  <c r="RS23" i="102"/>
  <c r="RR23" i="102"/>
  <c r="RQ23" i="102"/>
  <c r="RP23" i="102"/>
  <c r="RO23" i="102"/>
  <c r="RN23" i="102"/>
  <c r="RM23" i="102"/>
  <c r="RL23" i="102"/>
  <c r="RK23" i="102"/>
  <c r="RJ23" i="102"/>
  <c r="RI23" i="102"/>
  <c r="RH23" i="102"/>
  <c r="RY22" i="102"/>
  <c r="RX22" i="102"/>
  <c r="RW22" i="102"/>
  <c r="RV22" i="102"/>
  <c r="RU22" i="102"/>
  <c r="RT22" i="102"/>
  <c r="RS22" i="102"/>
  <c r="RR22" i="102"/>
  <c r="RQ22" i="102"/>
  <c r="RP22" i="102"/>
  <c r="RO22" i="102"/>
  <c r="RN22" i="102"/>
  <c r="RM22" i="102"/>
  <c r="RL22" i="102"/>
  <c r="RK22" i="102"/>
  <c r="RJ22" i="102"/>
  <c r="RI22" i="102"/>
  <c r="RH22" i="102"/>
  <c r="RY21" i="102"/>
  <c r="RX21" i="102"/>
  <c r="RW21" i="102"/>
  <c r="RV21" i="102"/>
  <c r="RU21" i="102"/>
  <c r="RT21" i="102"/>
  <c r="RS21" i="102"/>
  <c r="RR21" i="102"/>
  <c r="RQ21" i="102"/>
  <c r="RP21" i="102"/>
  <c r="RO21" i="102"/>
  <c r="RN21" i="102"/>
  <c r="RM21" i="102"/>
  <c r="RL21" i="102"/>
  <c r="RK21" i="102"/>
  <c r="RJ21" i="102"/>
  <c r="RI21" i="102"/>
  <c r="RH21" i="102"/>
  <c r="RY20" i="102"/>
  <c r="RX20" i="102"/>
  <c r="RW20" i="102"/>
  <c r="RV20" i="102"/>
  <c r="RU20" i="102"/>
  <c r="RT20" i="102"/>
  <c r="RS20" i="102"/>
  <c r="RR20" i="102"/>
  <c r="RQ20" i="102"/>
  <c r="RP20" i="102"/>
  <c r="RO20" i="102"/>
  <c r="RN20" i="102"/>
  <c r="RM20" i="102"/>
  <c r="RL20" i="102"/>
  <c r="RK20" i="102"/>
  <c r="RJ20" i="102"/>
  <c r="RI20" i="102"/>
  <c r="RH20" i="102"/>
  <c r="RY19" i="102"/>
  <c r="RX19" i="102"/>
  <c r="RW19" i="102"/>
  <c r="RV19" i="102"/>
  <c r="RU19" i="102"/>
  <c r="RT19" i="102"/>
  <c r="RS19" i="102"/>
  <c r="RR19" i="102"/>
  <c r="RQ19" i="102"/>
  <c r="RP19" i="102"/>
  <c r="RO19" i="102"/>
  <c r="RN19" i="102"/>
  <c r="RM19" i="102"/>
  <c r="RL19" i="102"/>
  <c r="RK19" i="102"/>
  <c r="RJ19" i="102"/>
  <c r="RI19" i="102"/>
  <c r="RH19" i="102"/>
  <c r="RY18" i="102"/>
  <c r="RX18" i="102"/>
  <c r="RW18" i="102"/>
  <c r="RV18" i="102"/>
  <c r="RU18" i="102"/>
  <c r="RT18" i="102"/>
  <c r="RS18" i="102"/>
  <c r="RR18" i="102"/>
  <c r="RQ18" i="102"/>
  <c r="RP18" i="102"/>
  <c r="RO18" i="102"/>
  <c r="RN18" i="102"/>
  <c r="RM18" i="102"/>
  <c r="RL18" i="102"/>
  <c r="RK18" i="102"/>
  <c r="RJ18" i="102"/>
  <c r="RI18" i="102"/>
  <c r="RH18" i="102"/>
  <c r="RY17" i="102"/>
  <c r="RX17" i="102"/>
  <c r="RW17" i="102"/>
  <c r="RV17" i="102"/>
  <c r="RU17" i="102"/>
  <c r="RT17" i="102"/>
  <c r="RS17" i="102"/>
  <c r="RR17" i="102"/>
  <c r="RQ17" i="102"/>
  <c r="RP17" i="102"/>
  <c r="RO17" i="102"/>
  <c r="RN17" i="102"/>
  <c r="RM17" i="102"/>
  <c r="RL17" i="102"/>
  <c r="RK17" i="102"/>
  <c r="RJ17" i="102"/>
  <c r="RI17" i="102"/>
  <c r="RH17" i="102"/>
  <c r="RY16" i="102"/>
  <c r="RX16" i="102"/>
  <c r="RW16" i="102"/>
  <c r="RV16" i="102"/>
  <c r="RU16" i="102"/>
  <c r="RT16" i="102"/>
  <c r="RS16" i="102"/>
  <c r="RR16" i="102"/>
  <c r="RQ16" i="102"/>
  <c r="RP16" i="102"/>
  <c r="RO16" i="102"/>
  <c r="RN16" i="102"/>
  <c r="RM16" i="102"/>
  <c r="RL16" i="102"/>
  <c r="RK16" i="102"/>
  <c r="RK14" i="102" s="1"/>
  <c r="RJ16" i="102"/>
  <c r="RI16" i="102"/>
  <c r="RH16" i="102"/>
  <c r="RY15" i="102"/>
  <c r="RX15" i="102"/>
  <c r="RW15" i="102"/>
  <c r="RV15" i="102"/>
  <c r="RU15" i="102"/>
  <c r="RT15" i="102"/>
  <c r="RS15" i="102"/>
  <c r="RR15" i="102"/>
  <c r="RQ15" i="102"/>
  <c r="RP15" i="102"/>
  <c r="RO15" i="102"/>
  <c r="RN15" i="102"/>
  <c r="RM15" i="102"/>
  <c r="RL15" i="102"/>
  <c r="RK15" i="102"/>
  <c r="RJ15" i="102"/>
  <c r="RI15" i="102"/>
  <c r="RH15" i="102"/>
  <c r="RG23" i="102"/>
  <c r="RF23" i="102"/>
  <c r="RE23" i="102"/>
  <c r="RD23" i="102"/>
  <c r="RC23" i="102"/>
  <c r="RB23" i="102"/>
  <c r="RA23" i="102"/>
  <c r="QZ23" i="102"/>
  <c r="QY23" i="102"/>
  <c r="QX23" i="102"/>
  <c r="QW23" i="102"/>
  <c r="QV23" i="102"/>
  <c r="QU23" i="102"/>
  <c r="QT23" i="102"/>
  <c r="QS23" i="102"/>
  <c r="QR23" i="102"/>
  <c r="QQ23" i="102"/>
  <c r="QP23" i="102"/>
  <c r="RG22" i="102"/>
  <c r="RF22" i="102"/>
  <c r="RE22" i="102"/>
  <c r="RD22" i="102"/>
  <c r="RC22" i="102"/>
  <c r="RB22" i="102"/>
  <c r="RA22" i="102"/>
  <c r="QZ22" i="102"/>
  <c r="QY22" i="102"/>
  <c r="QX22" i="102"/>
  <c r="QW22" i="102"/>
  <c r="QV22" i="102"/>
  <c r="QU22" i="102"/>
  <c r="QT22" i="102"/>
  <c r="QS22" i="102"/>
  <c r="QR22" i="102"/>
  <c r="QQ22" i="102"/>
  <c r="QP22" i="102"/>
  <c r="RG21" i="102"/>
  <c r="RF21" i="102"/>
  <c r="RE21" i="102"/>
  <c r="RD21" i="102"/>
  <c r="RC21" i="102"/>
  <c r="RB21" i="102"/>
  <c r="RA21" i="102"/>
  <c r="QZ21" i="102"/>
  <c r="QY21" i="102"/>
  <c r="QX21" i="102"/>
  <c r="QW21" i="102"/>
  <c r="QV21" i="102"/>
  <c r="QU21" i="102"/>
  <c r="QT21" i="102"/>
  <c r="QS21" i="102"/>
  <c r="QR21" i="102"/>
  <c r="QQ21" i="102"/>
  <c r="QP21" i="102"/>
  <c r="RG20" i="102"/>
  <c r="RF20" i="102"/>
  <c r="RE20" i="102"/>
  <c r="RD20" i="102"/>
  <c r="RC20" i="102"/>
  <c r="RB20" i="102"/>
  <c r="RA20" i="102"/>
  <c r="QZ20" i="102"/>
  <c r="QY20" i="102"/>
  <c r="QX20" i="102"/>
  <c r="QW20" i="102"/>
  <c r="QV20" i="102"/>
  <c r="QU20" i="102"/>
  <c r="QT20" i="102"/>
  <c r="QS20" i="102"/>
  <c r="QR20" i="102"/>
  <c r="QQ20" i="102"/>
  <c r="QP20" i="102"/>
  <c r="RG19" i="102"/>
  <c r="RF19" i="102"/>
  <c r="RE19" i="102"/>
  <c r="RD19" i="102"/>
  <c r="RC19" i="102"/>
  <c r="RB19" i="102"/>
  <c r="RA19" i="102"/>
  <c r="QZ19" i="102"/>
  <c r="QY19" i="102"/>
  <c r="QX19" i="102"/>
  <c r="QW19" i="102"/>
  <c r="QV19" i="102"/>
  <c r="QU19" i="102"/>
  <c r="QT19" i="102"/>
  <c r="QS19" i="102"/>
  <c r="QR19" i="102"/>
  <c r="QQ19" i="102"/>
  <c r="QP19" i="102"/>
  <c r="RG18" i="102"/>
  <c r="RF18" i="102"/>
  <c r="RE18" i="102"/>
  <c r="RD18" i="102"/>
  <c r="RC18" i="102"/>
  <c r="RB18" i="102"/>
  <c r="RA18" i="102"/>
  <c r="QZ18" i="102"/>
  <c r="QY18" i="102"/>
  <c r="QX18" i="102"/>
  <c r="QW18" i="102"/>
  <c r="QV18" i="102"/>
  <c r="QU18" i="102"/>
  <c r="QT18" i="102"/>
  <c r="QS18" i="102"/>
  <c r="QR18" i="102"/>
  <c r="QQ18" i="102"/>
  <c r="QP18" i="102"/>
  <c r="RG17" i="102"/>
  <c r="RF17" i="102"/>
  <c r="RE17" i="102"/>
  <c r="RD17" i="102"/>
  <c r="RC17" i="102"/>
  <c r="RB17" i="102"/>
  <c r="RA17" i="102"/>
  <c r="QZ17" i="102"/>
  <c r="QY17" i="102"/>
  <c r="QX17" i="102"/>
  <c r="QW17" i="102"/>
  <c r="QV17" i="102"/>
  <c r="QU17" i="102"/>
  <c r="QT17" i="102"/>
  <c r="QS17" i="102"/>
  <c r="QR17" i="102"/>
  <c r="QQ17" i="102"/>
  <c r="QP17" i="102"/>
  <c r="RG16" i="102"/>
  <c r="RF16" i="102"/>
  <c r="RE16" i="102"/>
  <c r="RD16" i="102"/>
  <c r="RC16" i="102"/>
  <c r="RB16" i="102"/>
  <c r="RA16" i="102"/>
  <c r="QZ16" i="102"/>
  <c r="QY16" i="102"/>
  <c r="QX16" i="102"/>
  <c r="QW16" i="102"/>
  <c r="QV16" i="102"/>
  <c r="QU16" i="102"/>
  <c r="QT16" i="102"/>
  <c r="QS16" i="102"/>
  <c r="QR16" i="102"/>
  <c r="QQ16" i="102"/>
  <c r="QP16" i="102"/>
  <c r="RG15" i="102"/>
  <c r="RF15" i="102"/>
  <c r="RE15" i="102"/>
  <c r="RD15" i="102"/>
  <c r="RC15" i="102"/>
  <c r="RB15" i="102"/>
  <c r="RA15" i="102"/>
  <c r="QZ15" i="102"/>
  <c r="QY15" i="102"/>
  <c r="QX15" i="102"/>
  <c r="QW15" i="102"/>
  <c r="QV15" i="102"/>
  <c r="QU15" i="102"/>
  <c r="QT15" i="102"/>
  <c r="QS15" i="102"/>
  <c r="QR15" i="102"/>
  <c r="QQ15" i="102"/>
  <c r="QP15" i="102"/>
  <c r="QO23" i="102"/>
  <c r="QN23" i="102"/>
  <c r="QM23" i="102"/>
  <c r="QL23" i="102"/>
  <c r="QK23" i="102"/>
  <c r="QJ23" i="102"/>
  <c r="QI23" i="102"/>
  <c r="QH23" i="102"/>
  <c r="QG23" i="102"/>
  <c r="QF23" i="102"/>
  <c r="QE23" i="102"/>
  <c r="QD23" i="102"/>
  <c r="QC23" i="102"/>
  <c r="QB23" i="102"/>
  <c r="QA23" i="102"/>
  <c r="PZ23" i="102"/>
  <c r="PY23" i="102"/>
  <c r="PX23" i="102"/>
  <c r="QO22" i="102"/>
  <c r="QN22" i="102"/>
  <c r="QM22" i="102"/>
  <c r="QL22" i="102"/>
  <c r="QK22" i="102"/>
  <c r="QJ22" i="102"/>
  <c r="QI22" i="102"/>
  <c r="QH22" i="102"/>
  <c r="QG22" i="102"/>
  <c r="QF22" i="102"/>
  <c r="QE22" i="102"/>
  <c r="QD22" i="102"/>
  <c r="QC22" i="102"/>
  <c r="QB22" i="102"/>
  <c r="QA22" i="102"/>
  <c r="PZ22" i="102"/>
  <c r="PY22" i="102"/>
  <c r="PX22" i="102"/>
  <c r="QO21" i="102"/>
  <c r="QN21" i="102"/>
  <c r="QM21" i="102"/>
  <c r="QL21" i="102"/>
  <c r="QK21" i="102"/>
  <c r="QJ21" i="102"/>
  <c r="QI21" i="102"/>
  <c r="QH21" i="102"/>
  <c r="QG21" i="102"/>
  <c r="QF21" i="102"/>
  <c r="QE21" i="102"/>
  <c r="QD21" i="102"/>
  <c r="QC21" i="102"/>
  <c r="QB21" i="102"/>
  <c r="QA21" i="102"/>
  <c r="PZ21" i="102"/>
  <c r="PY21" i="102"/>
  <c r="PX21" i="102"/>
  <c r="QO20" i="102"/>
  <c r="QN20" i="102"/>
  <c r="QM20" i="102"/>
  <c r="QL20" i="102"/>
  <c r="QK20" i="102"/>
  <c r="QJ20" i="102"/>
  <c r="QI20" i="102"/>
  <c r="QH20" i="102"/>
  <c r="QG20" i="102"/>
  <c r="QF20" i="102"/>
  <c r="QE20" i="102"/>
  <c r="QD20" i="102"/>
  <c r="QC20" i="102"/>
  <c r="QB20" i="102"/>
  <c r="QA20" i="102"/>
  <c r="PZ20" i="102"/>
  <c r="PY20" i="102"/>
  <c r="PX20" i="102"/>
  <c r="QO19" i="102"/>
  <c r="QN19" i="102"/>
  <c r="QM19" i="102"/>
  <c r="QL19" i="102"/>
  <c r="QK19" i="102"/>
  <c r="QJ19" i="102"/>
  <c r="QI19" i="102"/>
  <c r="QH19" i="102"/>
  <c r="QG19" i="102"/>
  <c r="QF19" i="102"/>
  <c r="QE19" i="102"/>
  <c r="QD19" i="102"/>
  <c r="QC19" i="102"/>
  <c r="QB19" i="102"/>
  <c r="QA19" i="102"/>
  <c r="PZ19" i="102"/>
  <c r="PY19" i="102"/>
  <c r="PX19" i="102"/>
  <c r="QO18" i="102"/>
  <c r="QN18" i="102"/>
  <c r="QM18" i="102"/>
  <c r="QL18" i="102"/>
  <c r="QK18" i="102"/>
  <c r="QJ18" i="102"/>
  <c r="QI18" i="102"/>
  <c r="QH18" i="102"/>
  <c r="QG18" i="102"/>
  <c r="QF18" i="102"/>
  <c r="QE18" i="102"/>
  <c r="QD18" i="102"/>
  <c r="QC18" i="102"/>
  <c r="QB18" i="102"/>
  <c r="QA18" i="102"/>
  <c r="PZ18" i="102"/>
  <c r="PY18" i="102"/>
  <c r="PX18" i="102"/>
  <c r="QO17" i="102"/>
  <c r="QN17" i="102"/>
  <c r="QM17" i="102"/>
  <c r="QL17" i="102"/>
  <c r="QK17" i="102"/>
  <c r="QJ17" i="102"/>
  <c r="QI17" i="102"/>
  <c r="QH17" i="102"/>
  <c r="QG17" i="102"/>
  <c r="QF17" i="102"/>
  <c r="QE17" i="102"/>
  <c r="QD17" i="102"/>
  <c r="QC17" i="102"/>
  <c r="QB17" i="102"/>
  <c r="QA17" i="102"/>
  <c r="PZ17" i="102"/>
  <c r="PY17" i="102"/>
  <c r="PX17" i="102"/>
  <c r="QO16" i="102"/>
  <c r="QN16" i="102"/>
  <c r="QM16" i="102"/>
  <c r="QL16" i="102"/>
  <c r="QK16" i="102"/>
  <c r="QJ16" i="102"/>
  <c r="QI16" i="102"/>
  <c r="QH16" i="102"/>
  <c r="QG16" i="102"/>
  <c r="QF16" i="102"/>
  <c r="QE16" i="102"/>
  <c r="QD16" i="102"/>
  <c r="QC16" i="102"/>
  <c r="QB16" i="102"/>
  <c r="QA16" i="102"/>
  <c r="PZ16" i="102"/>
  <c r="PY16" i="102"/>
  <c r="PX16" i="102"/>
  <c r="QO15" i="102"/>
  <c r="QN15" i="102"/>
  <c r="QM15" i="102"/>
  <c r="QL15" i="102"/>
  <c r="QK15" i="102"/>
  <c r="QJ15" i="102"/>
  <c r="QI15" i="102"/>
  <c r="QH15" i="102"/>
  <c r="QG15" i="102"/>
  <c r="QF15" i="102"/>
  <c r="QE15" i="102"/>
  <c r="QD15" i="102"/>
  <c r="QC15" i="102"/>
  <c r="QB15" i="102"/>
  <c r="QA15" i="102"/>
  <c r="PZ15" i="102"/>
  <c r="PY15" i="102"/>
  <c r="PX15" i="102"/>
  <c r="UA13" i="102"/>
  <c r="TZ13" i="102"/>
  <c r="TY13" i="102"/>
  <c r="TX13" i="102"/>
  <c r="TW13" i="102"/>
  <c r="TV13" i="102"/>
  <c r="TU13" i="102"/>
  <c r="TT13" i="102"/>
  <c r="TS13" i="102"/>
  <c r="TR13" i="102"/>
  <c r="TQ13" i="102"/>
  <c r="TP13" i="102"/>
  <c r="TO13" i="102"/>
  <c r="TN13" i="102"/>
  <c r="TM13" i="102"/>
  <c r="TL13" i="102"/>
  <c r="TK13" i="102"/>
  <c r="TJ13" i="102"/>
  <c r="TI13" i="102"/>
  <c r="TH13" i="102"/>
  <c r="TG13" i="102"/>
  <c r="TF13" i="102"/>
  <c r="TE13" i="102"/>
  <c r="TD13" i="102"/>
  <c r="TC13" i="102"/>
  <c r="TB13" i="102"/>
  <c r="TA13" i="102"/>
  <c r="SZ13" i="102"/>
  <c r="SY13" i="102"/>
  <c r="SX13" i="102"/>
  <c r="SW13" i="102"/>
  <c r="SV13" i="102"/>
  <c r="SU13" i="102"/>
  <c r="ST13" i="102"/>
  <c r="SS13" i="102"/>
  <c r="SR13" i="102"/>
  <c r="SQ13" i="102"/>
  <c r="SP13" i="102"/>
  <c r="SO13" i="102"/>
  <c r="SN13" i="102"/>
  <c r="SM13" i="102"/>
  <c r="SL13" i="102"/>
  <c r="SK13" i="102"/>
  <c r="SJ13" i="102"/>
  <c r="SI13" i="102"/>
  <c r="SH13" i="102"/>
  <c r="SG13" i="102"/>
  <c r="SF13" i="102"/>
  <c r="SE13" i="102"/>
  <c r="SD13" i="102"/>
  <c r="SC13" i="102"/>
  <c r="SB13" i="102"/>
  <c r="SA13" i="102"/>
  <c r="RZ13" i="102"/>
  <c r="RY13" i="102"/>
  <c r="RX13" i="102"/>
  <c r="RW13" i="102"/>
  <c r="RV13" i="102"/>
  <c r="RU13" i="102"/>
  <c r="RT13" i="102"/>
  <c r="RS13" i="102"/>
  <c r="RR13" i="102"/>
  <c r="RQ13" i="102"/>
  <c r="RP13" i="102"/>
  <c r="RO13" i="102"/>
  <c r="RN13" i="102"/>
  <c r="RM13" i="102"/>
  <c r="RL13" i="102"/>
  <c r="RK13" i="102"/>
  <c r="RJ13" i="102"/>
  <c r="RI13" i="102"/>
  <c r="RH13" i="102"/>
  <c r="RG13" i="102"/>
  <c r="RF13" i="102"/>
  <c r="RE13" i="102"/>
  <c r="RD13" i="102"/>
  <c r="RC13" i="102"/>
  <c r="RB13" i="102"/>
  <c r="RA13" i="102"/>
  <c r="QZ13" i="102"/>
  <c r="QY13" i="102"/>
  <c r="QX13" i="102"/>
  <c r="QW13" i="102"/>
  <c r="QV13" i="102"/>
  <c r="QU13" i="102"/>
  <c r="QT13" i="102"/>
  <c r="QS13" i="102"/>
  <c r="QR13" i="102"/>
  <c r="QQ13" i="102"/>
  <c r="QP13" i="102"/>
  <c r="QO13" i="102"/>
  <c r="QN13" i="102"/>
  <c r="QM13" i="102"/>
  <c r="QL13" i="102"/>
  <c r="QK13" i="102"/>
  <c r="QJ13" i="102"/>
  <c r="QI13" i="102"/>
  <c r="QH13" i="102"/>
  <c r="QG13" i="102"/>
  <c r="QF13" i="102"/>
  <c r="QE13" i="102"/>
  <c r="QD13" i="102"/>
  <c r="QC13" i="102"/>
  <c r="QB13" i="102"/>
  <c r="QA13" i="102"/>
  <c r="PZ13" i="102"/>
  <c r="PY13" i="102"/>
  <c r="PX13" i="102"/>
  <c r="UA13" i="1"/>
  <c r="TZ13" i="1"/>
  <c r="TY13" i="1"/>
  <c r="TX13" i="1"/>
  <c r="TW13" i="1"/>
  <c r="TV13" i="1"/>
  <c r="TU13" i="1"/>
  <c r="TT13" i="1"/>
  <c r="TS13" i="1"/>
  <c r="TR13" i="1"/>
  <c r="TQ13" i="1"/>
  <c r="TP13" i="1"/>
  <c r="TO13" i="1"/>
  <c r="TN13" i="1"/>
  <c r="TM13" i="1"/>
  <c r="TL13" i="1"/>
  <c r="TK13" i="1"/>
  <c r="TJ13" i="1"/>
  <c r="TI13" i="1"/>
  <c r="TH13" i="1"/>
  <c r="TG13" i="1"/>
  <c r="TF13" i="1"/>
  <c r="TE13" i="1"/>
  <c r="TD13" i="1"/>
  <c r="TC13" i="1"/>
  <c r="TB13" i="1"/>
  <c r="TA13" i="1"/>
  <c r="SZ13" i="1"/>
  <c r="SY13" i="1"/>
  <c r="SX13" i="1"/>
  <c r="SW13" i="1"/>
  <c r="SV13" i="1"/>
  <c r="SU13" i="1"/>
  <c r="ST13" i="1"/>
  <c r="SS13" i="1"/>
  <c r="SR13" i="1"/>
  <c r="SQ13" i="1"/>
  <c r="SP13" i="1"/>
  <c r="SO13" i="1"/>
  <c r="SN13" i="1"/>
  <c r="SM13" i="1"/>
  <c r="SL13" i="1"/>
  <c r="SK13" i="1"/>
  <c r="SJ13" i="1"/>
  <c r="SI13" i="1"/>
  <c r="SH13" i="1"/>
  <c r="SG13" i="1"/>
  <c r="SF13" i="1"/>
  <c r="SE13" i="1"/>
  <c r="SD13" i="1"/>
  <c r="SC13" i="1"/>
  <c r="SB13" i="1"/>
  <c r="SA13" i="1"/>
  <c r="RZ13" i="1"/>
  <c r="RY13" i="1"/>
  <c r="RX13" i="1"/>
  <c r="RW13" i="1"/>
  <c r="RV13" i="1"/>
  <c r="RU13" i="1"/>
  <c r="RT13" i="1"/>
  <c r="RS13" i="1"/>
  <c r="RR13" i="1"/>
  <c r="RQ13" i="1"/>
  <c r="RP13" i="1"/>
  <c r="RO13" i="1"/>
  <c r="RN13" i="1"/>
  <c r="RM13" i="1"/>
  <c r="RL13" i="1"/>
  <c r="RK13" i="1"/>
  <c r="RJ13" i="1"/>
  <c r="RI13" i="1"/>
  <c r="RH13" i="1"/>
  <c r="RG13" i="1"/>
  <c r="RF13" i="1"/>
  <c r="RE13" i="1"/>
  <c r="RD13" i="1"/>
  <c r="RC13" i="1"/>
  <c r="RB13" i="1"/>
  <c r="RA13" i="1"/>
  <c r="QZ13" i="1"/>
  <c r="QY13" i="1"/>
  <c r="QX13" i="1"/>
  <c r="QW13" i="1"/>
  <c r="QV13" i="1"/>
  <c r="QU13" i="1"/>
  <c r="QT13" i="1"/>
  <c r="QS13" i="1"/>
  <c r="QR13" i="1"/>
  <c r="QQ13" i="1"/>
  <c r="QP13" i="1"/>
  <c r="TA14" i="102" l="1"/>
  <c r="QV14" i="102"/>
  <c r="SW14" i="102"/>
  <c r="TE14" i="102"/>
  <c r="SS14" i="102"/>
  <c r="QB14" i="102"/>
  <c r="TP14" i="102"/>
  <c r="TX14" i="102"/>
  <c r="TN14" i="102"/>
  <c r="TV14" i="102"/>
  <c r="RP14" i="102"/>
  <c r="QJ14" i="102"/>
  <c r="SC14" i="102"/>
  <c r="SK14" i="102"/>
  <c r="SV14" i="102"/>
  <c r="TD14" i="102"/>
  <c r="TK14" i="102"/>
  <c r="SY14" i="102"/>
  <c r="RS14" i="102"/>
  <c r="TU14" i="102"/>
  <c r="TS14" i="102"/>
  <c r="UA14" i="102"/>
  <c r="SL14" i="102"/>
  <c r="SD14" i="102"/>
  <c r="RA14" i="102"/>
  <c r="RI14" i="102"/>
  <c r="RQ14" i="102"/>
  <c r="RY14" i="102"/>
  <c r="QK14" i="102"/>
  <c r="QA14" i="102"/>
  <c r="QI14" i="102"/>
  <c r="RD14" i="102"/>
  <c r="RH14" i="102"/>
  <c r="RX14" i="102"/>
  <c r="RR14" i="102"/>
  <c r="QC14" i="102"/>
  <c r="RJ14" i="102"/>
  <c r="TC14" i="102"/>
  <c r="SE14" i="102"/>
  <c r="SM14" i="102"/>
  <c r="SR14" i="102"/>
  <c r="SZ14" i="102"/>
  <c r="TH14" i="102"/>
  <c r="TQ14" i="102"/>
  <c r="TY14" i="102"/>
  <c r="TO14" i="102"/>
  <c r="TW14" i="102"/>
  <c r="ST14" i="102"/>
  <c r="TB14" i="102"/>
  <c r="SX14" i="102"/>
  <c r="TF14" i="102"/>
  <c r="QQ14" i="102"/>
  <c r="QY14" i="102"/>
  <c r="RG14" i="102"/>
  <c r="QW14" i="102"/>
  <c r="RE14" i="102"/>
  <c r="QU14" i="102"/>
  <c r="RC14" i="102"/>
  <c r="SG14" i="102"/>
  <c r="SO14" i="102"/>
  <c r="PX14" i="102"/>
  <c r="QF14" i="102"/>
  <c r="QN14" i="102"/>
  <c r="QD14" i="102"/>
  <c r="QL14" i="102"/>
  <c r="QR14" i="102"/>
  <c r="QZ14" i="102"/>
  <c r="QP14" i="102"/>
  <c r="QX14" i="102"/>
  <c r="RF14" i="102"/>
  <c r="RN14" i="102"/>
  <c r="RV14" i="102"/>
  <c r="RL14" i="102"/>
  <c r="RT14" i="102"/>
  <c r="TM14" i="102"/>
  <c r="TL14" i="102"/>
  <c r="TT14" i="102"/>
  <c r="TJ14" i="102"/>
  <c r="TR14" i="102"/>
  <c r="TZ14" i="102"/>
  <c r="PY14" i="102"/>
  <c r="QO14" i="102"/>
  <c r="RO14" i="102"/>
  <c r="RW14" i="102"/>
  <c r="RM14" i="102"/>
  <c r="RU14" i="102"/>
  <c r="SA14" i="102"/>
  <c r="SI14" i="102"/>
  <c r="SQ14" i="102"/>
  <c r="QG14" i="102"/>
  <c r="QE14" i="102"/>
  <c r="QM14" i="102"/>
  <c r="PZ14" i="102"/>
  <c r="QH14" i="102"/>
  <c r="QS14" i="102"/>
  <c r="QT14" i="102"/>
  <c r="RB14" i="102"/>
  <c r="SB14" i="102"/>
  <c r="SJ14" i="102"/>
  <c r="RZ14" i="102"/>
  <c r="SH14" i="102"/>
  <c r="SP14" i="102"/>
  <c r="SF14" i="102"/>
  <c r="SN14" i="102"/>
  <c r="QO13" i="1"/>
  <c r="QN13" i="1"/>
  <c r="QM13" i="1"/>
  <c r="QL13" i="1"/>
  <c r="QK13" i="1"/>
  <c r="QJ13" i="1"/>
  <c r="QI13" i="1"/>
  <c r="QH13" i="1"/>
  <c r="QG13" i="1"/>
  <c r="QF13" i="1"/>
  <c r="QE13" i="1"/>
  <c r="QD13" i="1"/>
  <c r="QC13" i="1"/>
  <c r="QB13" i="1"/>
  <c r="QA13" i="1"/>
  <c r="PZ13" i="1"/>
  <c r="PY13" i="1"/>
  <c r="PX13" i="1"/>
  <c r="G15" i="102" l="1"/>
  <c r="H15" i="102"/>
  <c r="I15" i="102"/>
  <c r="J15" i="102"/>
  <c r="K15" i="102"/>
  <c r="L15" i="102"/>
  <c r="M15" i="102"/>
  <c r="N15" i="102"/>
  <c r="O15" i="102"/>
  <c r="P15" i="102"/>
  <c r="Q15" i="102"/>
  <c r="R15" i="102"/>
  <c r="S15" i="102"/>
  <c r="T15" i="102"/>
  <c r="U15" i="102"/>
  <c r="V15" i="102"/>
  <c r="W15" i="102"/>
  <c r="X15" i="102"/>
  <c r="Y15" i="102"/>
  <c r="Z15" i="102"/>
  <c r="AA15" i="102"/>
  <c r="AB15" i="102"/>
  <c r="AC15" i="102"/>
  <c r="AD15" i="102"/>
  <c r="AE15" i="102"/>
  <c r="AF15" i="102"/>
  <c r="AG15" i="102"/>
  <c r="AH15" i="102"/>
  <c r="AI15" i="102"/>
  <c r="AJ15" i="102"/>
  <c r="AK15" i="102"/>
  <c r="AL15" i="102"/>
  <c r="AM15" i="102"/>
  <c r="AN15" i="102"/>
  <c r="AO15" i="102"/>
  <c r="AP15" i="102"/>
  <c r="AQ15" i="102"/>
  <c r="AR15" i="102"/>
  <c r="AS15" i="102"/>
  <c r="AT15" i="102"/>
  <c r="AU15" i="102"/>
  <c r="AV15" i="102"/>
  <c r="AW15" i="102"/>
  <c r="AX15" i="102"/>
  <c r="AY15" i="102"/>
  <c r="AZ15" i="102"/>
  <c r="BA15" i="102"/>
  <c r="BB15" i="102"/>
  <c r="BC15" i="102"/>
  <c r="BD15" i="102"/>
  <c r="BE15" i="102"/>
  <c r="BF15" i="102"/>
  <c r="BG15" i="102"/>
  <c r="BH15" i="102"/>
  <c r="BI15" i="102"/>
  <c r="BJ15" i="102"/>
  <c r="BK15" i="102"/>
  <c r="BL15" i="102"/>
  <c r="BM15" i="102"/>
  <c r="BN15" i="102"/>
  <c r="BO15" i="102"/>
  <c r="BP15" i="102"/>
  <c r="BQ15" i="102"/>
  <c r="BR15" i="102"/>
  <c r="BS15" i="102"/>
  <c r="BT15" i="102"/>
  <c r="BU15" i="102"/>
  <c r="BV15" i="102"/>
  <c r="BW15" i="102"/>
  <c r="BX15" i="102"/>
  <c r="BY15" i="102"/>
  <c r="BZ15" i="102"/>
  <c r="CA15" i="102"/>
  <c r="CB15" i="102"/>
  <c r="CC15" i="102"/>
  <c r="CD15" i="102"/>
  <c r="CE15" i="102"/>
  <c r="CF15" i="102"/>
  <c r="CG15" i="102"/>
  <c r="CH15" i="102"/>
  <c r="CI15" i="102"/>
  <c r="CJ15" i="102"/>
  <c r="CK15" i="102"/>
  <c r="CL15" i="102"/>
  <c r="CM15" i="102"/>
  <c r="CN15" i="102"/>
  <c r="CO15" i="102"/>
  <c r="CP15" i="102"/>
  <c r="CQ15" i="102"/>
  <c r="CR15" i="102"/>
  <c r="CS15" i="102"/>
  <c r="CT15" i="102"/>
  <c r="CU15" i="102"/>
  <c r="CV15" i="102"/>
  <c r="CW15" i="102"/>
  <c r="CX15" i="102"/>
  <c r="CY15" i="102"/>
  <c r="CZ15" i="102"/>
  <c r="DA15" i="102"/>
  <c r="DB15" i="102"/>
  <c r="DC15" i="102"/>
  <c r="DD15" i="102"/>
  <c r="DE15" i="102"/>
  <c r="DF15" i="102"/>
  <c r="DG15" i="102"/>
  <c r="DH15" i="102"/>
  <c r="DI15" i="102"/>
  <c r="DJ15" i="102"/>
  <c r="DK15" i="102"/>
  <c r="DL15" i="102"/>
  <c r="DM15" i="102"/>
  <c r="DN15" i="102"/>
  <c r="DO15" i="102"/>
  <c r="DP15" i="102"/>
  <c r="DQ15" i="102"/>
  <c r="DR15" i="102"/>
  <c r="DS15" i="102"/>
  <c r="DT15" i="102"/>
  <c r="DU15" i="102"/>
  <c r="DV15" i="102"/>
  <c r="DW15" i="102"/>
  <c r="DX15" i="102"/>
  <c r="DY15" i="102"/>
  <c r="DZ15" i="102"/>
  <c r="EA15" i="102"/>
  <c r="EB15" i="102"/>
  <c r="EC15" i="102"/>
  <c r="ED15" i="102"/>
  <c r="EE15" i="102"/>
  <c r="EF15" i="102"/>
  <c r="EG15" i="102"/>
  <c r="EH15" i="102"/>
  <c r="EI15" i="102"/>
  <c r="EJ15" i="102"/>
  <c r="EK15" i="102"/>
  <c r="EL15" i="102"/>
  <c r="EM15" i="102"/>
  <c r="EN15" i="102"/>
  <c r="EO15" i="102"/>
  <c r="EP15" i="102"/>
  <c r="EQ15" i="102"/>
  <c r="ER15" i="102"/>
  <c r="ES15" i="102"/>
  <c r="ET15" i="102"/>
  <c r="EU15" i="102"/>
  <c r="EV15" i="102"/>
  <c r="EW15" i="102"/>
  <c r="EX15" i="102"/>
  <c r="EY15" i="102"/>
  <c r="EZ15" i="102"/>
  <c r="FA15" i="102"/>
  <c r="FB15" i="102"/>
  <c r="FC15" i="102"/>
  <c r="FD15" i="102"/>
  <c r="FE15" i="102"/>
  <c r="FF15" i="102"/>
  <c r="FG15" i="102"/>
  <c r="FH15" i="102"/>
  <c r="FI15" i="102"/>
  <c r="FJ15" i="102"/>
  <c r="FK15" i="102"/>
  <c r="FL15" i="102"/>
  <c r="FM15" i="102"/>
  <c r="FN15" i="102"/>
  <c r="FO15" i="102"/>
  <c r="FP15" i="102"/>
  <c r="FQ15" i="102"/>
  <c r="FR15" i="102"/>
  <c r="FS15" i="102"/>
  <c r="FT15" i="102"/>
  <c r="FU15" i="102"/>
  <c r="FV15" i="102"/>
  <c r="FW15" i="102"/>
  <c r="FX15" i="102"/>
  <c r="FY15" i="102"/>
  <c r="FZ15" i="102"/>
  <c r="GA15" i="102"/>
  <c r="GB15" i="102"/>
  <c r="GC15" i="102"/>
  <c r="GD15" i="102"/>
  <c r="GE15" i="102"/>
  <c r="GF15" i="102"/>
  <c r="GG15" i="102"/>
  <c r="GH15" i="102"/>
  <c r="GI15" i="102"/>
  <c r="GJ15" i="102"/>
  <c r="GK15" i="102"/>
  <c r="GL15" i="102"/>
  <c r="GM15" i="102"/>
  <c r="GN15" i="102"/>
  <c r="GO15" i="102"/>
  <c r="GP15" i="102"/>
  <c r="GQ15" i="102"/>
  <c r="GR15" i="102"/>
  <c r="GS15" i="102"/>
  <c r="GT15" i="102"/>
  <c r="GU15" i="102"/>
  <c r="GV15" i="102"/>
  <c r="GW15" i="102"/>
  <c r="GX15" i="102"/>
  <c r="GY15" i="102"/>
  <c r="GZ15" i="102"/>
  <c r="HA15" i="102"/>
  <c r="HB15" i="102"/>
  <c r="HC15" i="102"/>
  <c r="HD15" i="102"/>
  <c r="HE15" i="102"/>
  <c r="HF15" i="102"/>
  <c r="HG15" i="102"/>
  <c r="HH15" i="102"/>
  <c r="HI15" i="102"/>
  <c r="HJ15" i="102"/>
  <c r="HK15" i="102"/>
  <c r="HL15" i="102"/>
  <c r="HM15" i="102"/>
  <c r="HN15" i="102"/>
  <c r="HO15" i="102"/>
  <c r="HP15" i="102"/>
  <c r="HQ15" i="102"/>
  <c r="HR15" i="102"/>
  <c r="HS15" i="102"/>
  <c r="HT15" i="102"/>
  <c r="HU15" i="102"/>
  <c r="HV15" i="102"/>
  <c r="HW15" i="102"/>
  <c r="HX15" i="102"/>
  <c r="HY15" i="102"/>
  <c r="HZ15" i="102"/>
  <c r="IA15" i="102"/>
  <c r="IB15" i="102"/>
  <c r="IC15" i="102"/>
  <c r="ID15" i="102"/>
  <c r="IE15" i="102"/>
  <c r="IF15" i="102"/>
  <c r="IG15" i="102"/>
  <c r="IH15" i="102"/>
  <c r="II15" i="102"/>
  <c r="IJ15" i="102"/>
  <c r="IK15" i="102"/>
  <c r="IL15" i="102"/>
  <c r="IM15" i="102"/>
  <c r="IN15" i="102"/>
  <c r="IO15" i="102"/>
  <c r="IP15" i="102"/>
  <c r="IQ15" i="102"/>
  <c r="IR15" i="102"/>
  <c r="IS15" i="102"/>
  <c r="IT15" i="102"/>
  <c r="IU15" i="102"/>
  <c r="IV15" i="102"/>
  <c r="IW15" i="102"/>
  <c r="IX15" i="102"/>
  <c r="IY15" i="102"/>
  <c r="IZ15" i="102"/>
  <c r="JA15" i="102"/>
  <c r="JB15" i="102"/>
  <c r="JC15" i="102"/>
  <c r="JD15" i="102"/>
  <c r="JE15" i="102"/>
  <c r="JF15" i="102"/>
  <c r="JG15" i="102"/>
  <c r="JH15" i="102"/>
  <c r="JI15" i="102"/>
  <c r="JJ15" i="102"/>
  <c r="JK15" i="102"/>
  <c r="JL15" i="102"/>
  <c r="JM15" i="102"/>
  <c r="JN15" i="102"/>
  <c r="JO15" i="102"/>
  <c r="JP15" i="102"/>
  <c r="JQ15" i="102"/>
  <c r="JR15" i="102"/>
  <c r="JS15" i="102"/>
  <c r="JT15" i="102"/>
  <c r="JU15" i="102"/>
  <c r="JV15" i="102"/>
  <c r="JW15" i="102"/>
  <c r="JX15" i="102"/>
  <c r="JY15" i="102"/>
  <c r="JZ15" i="102"/>
  <c r="KA15" i="102"/>
  <c r="KB15" i="102"/>
  <c r="KC15" i="102"/>
  <c r="KD15" i="102"/>
  <c r="KE15" i="102"/>
  <c r="KF15" i="102"/>
  <c r="KG15" i="102"/>
  <c r="KH15" i="102"/>
  <c r="KI15" i="102"/>
  <c r="KJ15" i="102"/>
  <c r="KK15" i="102"/>
  <c r="KL15" i="102"/>
  <c r="KM15" i="102"/>
  <c r="KN15" i="102"/>
  <c r="KO15" i="102"/>
  <c r="KP15" i="102"/>
  <c r="KQ15" i="102"/>
  <c r="KR15" i="102"/>
  <c r="KS15" i="102"/>
  <c r="KT15" i="102"/>
  <c r="KU15" i="102"/>
  <c r="KV15" i="102"/>
  <c r="KW15" i="102"/>
  <c r="KX15" i="102"/>
  <c r="KY15" i="102"/>
  <c r="KZ15" i="102"/>
  <c r="LA15" i="102"/>
  <c r="LB15" i="102"/>
  <c r="LC15" i="102"/>
  <c r="LD15" i="102"/>
  <c r="LE15" i="102"/>
  <c r="LF15" i="102"/>
  <c r="LG15" i="102"/>
  <c r="LH15" i="102"/>
  <c r="LI15" i="102"/>
  <c r="LJ15" i="102"/>
  <c r="LK15" i="102"/>
  <c r="LL15" i="102"/>
  <c r="LM15" i="102"/>
  <c r="LN15" i="102"/>
  <c r="LO15" i="102"/>
  <c r="LP15" i="102"/>
  <c r="LQ15" i="102"/>
  <c r="LR15" i="102"/>
  <c r="LS15" i="102"/>
  <c r="LT15" i="102"/>
  <c r="LU15" i="102"/>
  <c r="LV15" i="102"/>
  <c r="LW15" i="102"/>
  <c r="LX15" i="102"/>
  <c r="LY15" i="102"/>
  <c r="LZ15" i="102"/>
  <c r="MA15" i="102"/>
  <c r="MB15" i="102"/>
  <c r="MC15" i="102"/>
  <c r="MD15" i="102"/>
  <c r="ME15" i="102"/>
  <c r="MF15" i="102"/>
  <c r="MG15" i="102"/>
  <c r="MH15" i="102"/>
  <c r="MI15" i="102"/>
  <c r="MJ15" i="102"/>
  <c r="MK15" i="102"/>
  <c r="ML15" i="102"/>
  <c r="MM15" i="102"/>
  <c r="MN15" i="102"/>
  <c r="MO15" i="102"/>
  <c r="MP15" i="102"/>
  <c r="MQ15" i="102"/>
  <c r="MR15" i="102"/>
  <c r="MS15" i="102"/>
  <c r="MT15" i="102"/>
  <c r="MU15" i="102"/>
  <c r="MV15" i="102"/>
  <c r="MW15" i="102"/>
  <c r="MX15" i="102"/>
  <c r="MY15" i="102"/>
  <c r="MZ15" i="102"/>
  <c r="NA15" i="102"/>
  <c r="NB15" i="102"/>
  <c r="NC15" i="102"/>
  <c r="ND15" i="102"/>
  <c r="NE15" i="102"/>
  <c r="NF15" i="102"/>
  <c r="NG15" i="102"/>
  <c r="NH15" i="102"/>
  <c r="NI15" i="102"/>
  <c r="NJ15" i="102"/>
  <c r="NK15" i="102"/>
  <c r="NL15" i="102"/>
  <c r="NM15" i="102"/>
  <c r="NN15" i="102"/>
  <c r="NO15" i="102"/>
  <c r="NP15" i="102"/>
  <c r="NQ15" i="102"/>
  <c r="NR15" i="102"/>
  <c r="NS15" i="102"/>
  <c r="NT15" i="102"/>
  <c r="NU15" i="102"/>
  <c r="NV15" i="102"/>
  <c r="NW15" i="102"/>
  <c r="NX15" i="102"/>
  <c r="NY15" i="102"/>
  <c r="NZ15" i="102"/>
  <c r="OA15" i="102"/>
  <c r="OB15" i="102"/>
  <c r="OC15" i="102"/>
  <c r="OD15" i="102"/>
  <c r="OE15" i="102"/>
  <c r="OF15" i="102"/>
  <c r="OG15" i="102"/>
  <c r="OH15" i="102"/>
  <c r="OI15" i="102"/>
  <c r="OJ15" i="102"/>
  <c r="OK15" i="102"/>
  <c r="OL15" i="102"/>
  <c r="OM15" i="102"/>
  <c r="ON15" i="102"/>
  <c r="OO15" i="102"/>
  <c r="OP15" i="102"/>
  <c r="OQ15" i="102"/>
  <c r="OR15" i="102"/>
  <c r="OS15" i="102"/>
  <c r="OT15" i="102"/>
  <c r="OU15" i="102"/>
  <c r="OV15" i="102"/>
  <c r="OW15" i="102"/>
  <c r="OX15" i="102"/>
  <c r="OY15" i="102"/>
  <c r="OZ15" i="102"/>
  <c r="PA15" i="102"/>
  <c r="PB15" i="102"/>
  <c r="PC15" i="102"/>
  <c r="PD15" i="102"/>
  <c r="PE15" i="102"/>
  <c r="PF15" i="102"/>
  <c r="PG15" i="102"/>
  <c r="PH15" i="102"/>
  <c r="PI15" i="102"/>
  <c r="PJ15" i="102"/>
  <c r="PK15" i="102"/>
  <c r="PL15" i="102"/>
  <c r="PM15" i="102"/>
  <c r="PN15" i="102"/>
  <c r="PO15" i="102"/>
  <c r="PP15" i="102"/>
  <c r="PQ15" i="102"/>
  <c r="PR15" i="102"/>
  <c r="PS15" i="102"/>
  <c r="PT15" i="102"/>
  <c r="PU15" i="102"/>
  <c r="PV15" i="102"/>
  <c r="PW15" i="102"/>
  <c r="G16" i="102"/>
  <c r="H16" i="102"/>
  <c r="I16" i="102"/>
  <c r="J16" i="102"/>
  <c r="K16" i="102"/>
  <c r="L16" i="102"/>
  <c r="M16" i="102"/>
  <c r="N16" i="102"/>
  <c r="O16" i="102"/>
  <c r="P16" i="102"/>
  <c r="Q16" i="102"/>
  <c r="R16" i="102"/>
  <c r="S16" i="102"/>
  <c r="T16" i="102"/>
  <c r="U16" i="102"/>
  <c r="V16" i="102"/>
  <c r="W16" i="102"/>
  <c r="X16" i="102"/>
  <c r="Y16" i="102"/>
  <c r="Z16" i="102"/>
  <c r="AA16" i="102"/>
  <c r="AB16" i="102"/>
  <c r="AC16" i="102"/>
  <c r="AD16" i="102"/>
  <c r="AE16" i="102"/>
  <c r="AF16" i="102"/>
  <c r="AG16" i="102"/>
  <c r="AH16" i="102"/>
  <c r="AI16" i="102"/>
  <c r="AJ16" i="102"/>
  <c r="AK16" i="102"/>
  <c r="AL16" i="102"/>
  <c r="AM16" i="102"/>
  <c r="AN16" i="102"/>
  <c r="AO16" i="102"/>
  <c r="AP16" i="102"/>
  <c r="AQ16" i="102"/>
  <c r="AR16" i="102"/>
  <c r="AS16" i="102"/>
  <c r="AT16" i="102"/>
  <c r="AU16" i="102"/>
  <c r="AV16" i="102"/>
  <c r="AW16" i="102"/>
  <c r="AX16" i="102"/>
  <c r="AY16" i="102"/>
  <c r="AZ16" i="102"/>
  <c r="BA16" i="102"/>
  <c r="BB16" i="102"/>
  <c r="BC16" i="102"/>
  <c r="BD16" i="102"/>
  <c r="BE16" i="102"/>
  <c r="BF16" i="102"/>
  <c r="BG16" i="102"/>
  <c r="BH16" i="102"/>
  <c r="BI16" i="102"/>
  <c r="BJ16" i="102"/>
  <c r="BK16" i="102"/>
  <c r="BL16" i="102"/>
  <c r="BM16" i="102"/>
  <c r="BN16" i="102"/>
  <c r="BO16" i="102"/>
  <c r="BP16" i="102"/>
  <c r="BQ16" i="102"/>
  <c r="BR16" i="102"/>
  <c r="BS16" i="102"/>
  <c r="BT16" i="102"/>
  <c r="BU16" i="102"/>
  <c r="BV16" i="102"/>
  <c r="BW16" i="102"/>
  <c r="BX16" i="102"/>
  <c r="BY16" i="102"/>
  <c r="BZ16" i="102"/>
  <c r="CA16" i="102"/>
  <c r="CB16" i="102"/>
  <c r="CC16" i="102"/>
  <c r="CD16" i="102"/>
  <c r="CE16" i="102"/>
  <c r="CF16" i="102"/>
  <c r="CG16" i="102"/>
  <c r="CH16" i="102"/>
  <c r="CI16" i="102"/>
  <c r="CJ16" i="102"/>
  <c r="CK16" i="102"/>
  <c r="CL16" i="102"/>
  <c r="CM16" i="102"/>
  <c r="CN16" i="102"/>
  <c r="CO16" i="102"/>
  <c r="CP16" i="102"/>
  <c r="CQ16" i="102"/>
  <c r="CR16" i="102"/>
  <c r="CS16" i="102"/>
  <c r="CT16" i="102"/>
  <c r="CU16" i="102"/>
  <c r="CV16" i="102"/>
  <c r="CW16" i="102"/>
  <c r="CX16" i="102"/>
  <c r="CY16" i="102"/>
  <c r="CZ16" i="102"/>
  <c r="DA16" i="102"/>
  <c r="DB16" i="102"/>
  <c r="DC16" i="102"/>
  <c r="DD16" i="102"/>
  <c r="DE16" i="102"/>
  <c r="DF16" i="102"/>
  <c r="DG16" i="102"/>
  <c r="DH16" i="102"/>
  <c r="DI16" i="102"/>
  <c r="DJ16" i="102"/>
  <c r="DK16" i="102"/>
  <c r="DL16" i="102"/>
  <c r="DM16" i="102"/>
  <c r="DN16" i="102"/>
  <c r="DO16" i="102"/>
  <c r="DP16" i="102"/>
  <c r="DQ16" i="102"/>
  <c r="DR16" i="102"/>
  <c r="DS16" i="102"/>
  <c r="DT16" i="102"/>
  <c r="DU16" i="102"/>
  <c r="DV16" i="102"/>
  <c r="DW16" i="102"/>
  <c r="DX16" i="102"/>
  <c r="DY16" i="102"/>
  <c r="DZ16" i="102"/>
  <c r="EA16" i="102"/>
  <c r="EB16" i="102"/>
  <c r="EC16" i="102"/>
  <c r="ED16" i="102"/>
  <c r="EE16" i="102"/>
  <c r="EF16" i="102"/>
  <c r="EG16" i="102"/>
  <c r="EH16" i="102"/>
  <c r="EI16" i="102"/>
  <c r="EJ16" i="102"/>
  <c r="EK16" i="102"/>
  <c r="EL16" i="102"/>
  <c r="EM16" i="102"/>
  <c r="EN16" i="102"/>
  <c r="EO16" i="102"/>
  <c r="EP16" i="102"/>
  <c r="EQ16" i="102"/>
  <c r="ER16" i="102"/>
  <c r="ES16" i="102"/>
  <c r="ET16" i="102"/>
  <c r="EU16" i="102"/>
  <c r="EV16" i="102"/>
  <c r="EW16" i="102"/>
  <c r="EX16" i="102"/>
  <c r="EY16" i="102"/>
  <c r="EZ16" i="102"/>
  <c r="FA16" i="102"/>
  <c r="FB16" i="102"/>
  <c r="FC16" i="102"/>
  <c r="FD16" i="102"/>
  <c r="FE16" i="102"/>
  <c r="FF16" i="102"/>
  <c r="FG16" i="102"/>
  <c r="FH16" i="102"/>
  <c r="FI16" i="102"/>
  <c r="FJ16" i="102"/>
  <c r="FK16" i="102"/>
  <c r="FL16" i="102"/>
  <c r="FM16" i="102"/>
  <c r="FN16" i="102"/>
  <c r="FO16" i="102"/>
  <c r="FP16" i="102"/>
  <c r="FQ16" i="102"/>
  <c r="FR16" i="102"/>
  <c r="FS16" i="102"/>
  <c r="FT16" i="102"/>
  <c r="FU16" i="102"/>
  <c r="FV16" i="102"/>
  <c r="FW16" i="102"/>
  <c r="FX16" i="102"/>
  <c r="FY16" i="102"/>
  <c r="FZ16" i="102"/>
  <c r="GA16" i="102"/>
  <c r="GB16" i="102"/>
  <c r="GC16" i="102"/>
  <c r="GD16" i="102"/>
  <c r="GE16" i="102"/>
  <c r="GF16" i="102"/>
  <c r="GG16" i="102"/>
  <c r="GH16" i="102"/>
  <c r="GI16" i="102"/>
  <c r="GJ16" i="102"/>
  <c r="GK16" i="102"/>
  <c r="GL16" i="102"/>
  <c r="GM16" i="102"/>
  <c r="GN16" i="102"/>
  <c r="GO16" i="102"/>
  <c r="GP16" i="102"/>
  <c r="GQ16" i="102"/>
  <c r="GR16" i="102"/>
  <c r="GS16" i="102"/>
  <c r="GT16" i="102"/>
  <c r="GU16" i="102"/>
  <c r="GV16" i="102"/>
  <c r="GW16" i="102"/>
  <c r="GX16" i="102"/>
  <c r="GY16" i="102"/>
  <c r="GZ16" i="102"/>
  <c r="HA16" i="102"/>
  <c r="HB16" i="102"/>
  <c r="HC16" i="102"/>
  <c r="HD16" i="102"/>
  <c r="HE16" i="102"/>
  <c r="HF16" i="102"/>
  <c r="HG16" i="102"/>
  <c r="HH16" i="102"/>
  <c r="HI16" i="102"/>
  <c r="HJ16" i="102"/>
  <c r="HK16" i="102"/>
  <c r="HL16" i="102"/>
  <c r="HM16" i="102"/>
  <c r="HN16" i="102"/>
  <c r="HO16" i="102"/>
  <c r="HP16" i="102"/>
  <c r="HQ16" i="102"/>
  <c r="HR16" i="102"/>
  <c r="HS16" i="102"/>
  <c r="HT16" i="102"/>
  <c r="HU16" i="102"/>
  <c r="HV16" i="102"/>
  <c r="HW16" i="102"/>
  <c r="HX16" i="102"/>
  <c r="HY16" i="102"/>
  <c r="HZ16" i="102"/>
  <c r="IA16" i="102"/>
  <c r="IB16" i="102"/>
  <c r="IC16" i="102"/>
  <c r="ID16" i="102"/>
  <c r="IE16" i="102"/>
  <c r="IF16" i="102"/>
  <c r="IG16" i="102"/>
  <c r="IH16" i="102"/>
  <c r="II16" i="102"/>
  <c r="IJ16" i="102"/>
  <c r="IK16" i="102"/>
  <c r="IL16" i="102"/>
  <c r="IM16" i="102"/>
  <c r="IN16" i="102"/>
  <c r="IO16" i="102"/>
  <c r="IP16" i="102"/>
  <c r="IQ16" i="102"/>
  <c r="IR16" i="102"/>
  <c r="IS16" i="102"/>
  <c r="IT16" i="102"/>
  <c r="IU16" i="102"/>
  <c r="IV16" i="102"/>
  <c r="IW16" i="102"/>
  <c r="IX16" i="102"/>
  <c r="IY16" i="102"/>
  <c r="IZ16" i="102"/>
  <c r="JA16" i="102"/>
  <c r="JB16" i="102"/>
  <c r="JC16" i="102"/>
  <c r="JD16" i="102"/>
  <c r="JE16" i="102"/>
  <c r="JF16" i="102"/>
  <c r="JG16" i="102"/>
  <c r="JH16" i="102"/>
  <c r="JI16" i="102"/>
  <c r="JJ16" i="102"/>
  <c r="JK16" i="102"/>
  <c r="JL16" i="102"/>
  <c r="JM16" i="102"/>
  <c r="JN16" i="102"/>
  <c r="JO16" i="102"/>
  <c r="JP16" i="102"/>
  <c r="JQ16" i="102"/>
  <c r="JR16" i="102"/>
  <c r="JS16" i="102"/>
  <c r="JT16" i="102"/>
  <c r="JU16" i="102"/>
  <c r="JV16" i="102"/>
  <c r="JW16" i="102"/>
  <c r="JX16" i="102"/>
  <c r="JY16" i="102"/>
  <c r="JZ16" i="102"/>
  <c r="KA16" i="102"/>
  <c r="KB16" i="102"/>
  <c r="KC16" i="102"/>
  <c r="KD16" i="102"/>
  <c r="KE16" i="102"/>
  <c r="KF16" i="102"/>
  <c r="KG16" i="102"/>
  <c r="KH16" i="102"/>
  <c r="KI16" i="102"/>
  <c r="KJ16" i="102"/>
  <c r="KK16" i="102"/>
  <c r="KL16" i="102"/>
  <c r="KM16" i="102"/>
  <c r="KN16" i="102"/>
  <c r="KO16" i="102"/>
  <c r="KP16" i="102"/>
  <c r="KQ16" i="102"/>
  <c r="KR16" i="102"/>
  <c r="KS16" i="102"/>
  <c r="KT16" i="102"/>
  <c r="KU16" i="102"/>
  <c r="KV16" i="102"/>
  <c r="KW16" i="102"/>
  <c r="KX16" i="102"/>
  <c r="KY16" i="102"/>
  <c r="KZ16" i="102"/>
  <c r="LA16" i="102"/>
  <c r="LB16" i="102"/>
  <c r="LC16" i="102"/>
  <c r="LD16" i="102"/>
  <c r="LE16" i="102"/>
  <c r="LF16" i="102"/>
  <c r="LG16" i="102"/>
  <c r="LH16" i="102"/>
  <c r="LI16" i="102"/>
  <c r="LJ16" i="102"/>
  <c r="LK16" i="102"/>
  <c r="LL16" i="102"/>
  <c r="LM16" i="102"/>
  <c r="LN16" i="102"/>
  <c r="LO16" i="102"/>
  <c r="LP16" i="102"/>
  <c r="LQ16" i="102"/>
  <c r="LR16" i="102"/>
  <c r="LS16" i="102"/>
  <c r="LT16" i="102"/>
  <c r="LU16" i="102"/>
  <c r="LV16" i="102"/>
  <c r="LW16" i="102"/>
  <c r="LX16" i="102"/>
  <c r="LY16" i="102"/>
  <c r="LZ16" i="102"/>
  <c r="MA16" i="102"/>
  <c r="MB16" i="102"/>
  <c r="MC16" i="102"/>
  <c r="MD16" i="102"/>
  <c r="ME16" i="102"/>
  <c r="MF16" i="102"/>
  <c r="MG16" i="102"/>
  <c r="MH16" i="102"/>
  <c r="MI16" i="102"/>
  <c r="MJ16" i="102"/>
  <c r="MK16" i="102"/>
  <c r="ML16" i="102"/>
  <c r="MM16" i="102"/>
  <c r="MN16" i="102"/>
  <c r="MO16" i="102"/>
  <c r="MP16" i="102"/>
  <c r="MQ16" i="102"/>
  <c r="MR16" i="102"/>
  <c r="MS16" i="102"/>
  <c r="MT16" i="102"/>
  <c r="MU16" i="102"/>
  <c r="MV16" i="102"/>
  <c r="MW16" i="102"/>
  <c r="MX16" i="102"/>
  <c r="MY16" i="102"/>
  <c r="MZ16" i="102"/>
  <c r="NA16" i="102"/>
  <c r="NB16" i="102"/>
  <c r="NC16" i="102"/>
  <c r="ND16" i="102"/>
  <c r="NE16" i="102"/>
  <c r="NF16" i="102"/>
  <c r="NG16" i="102"/>
  <c r="NH16" i="102"/>
  <c r="NI16" i="102"/>
  <c r="NJ16" i="102"/>
  <c r="NK16" i="102"/>
  <c r="NL16" i="102"/>
  <c r="NM16" i="102"/>
  <c r="NN16" i="102"/>
  <c r="NO16" i="102"/>
  <c r="NP16" i="102"/>
  <c r="NQ16" i="102"/>
  <c r="NR16" i="102"/>
  <c r="NS16" i="102"/>
  <c r="NT16" i="102"/>
  <c r="NU16" i="102"/>
  <c r="NV16" i="102"/>
  <c r="NW16" i="102"/>
  <c r="NX16" i="102"/>
  <c r="NY16" i="102"/>
  <c r="NZ16" i="102"/>
  <c r="OA16" i="102"/>
  <c r="OB16" i="102"/>
  <c r="OC16" i="102"/>
  <c r="OD16" i="102"/>
  <c r="OE16" i="102"/>
  <c r="OF16" i="102"/>
  <c r="OG16" i="102"/>
  <c r="OH16" i="102"/>
  <c r="OI16" i="102"/>
  <c r="OJ16" i="102"/>
  <c r="OK16" i="102"/>
  <c r="OL16" i="102"/>
  <c r="OM16" i="102"/>
  <c r="ON16" i="102"/>
  <c r="OO16" i="102"/>
  <c r="OP16" i="102"/>
  <c r="OQ16" i="102"/>
  <c r="OR16" i="102"/>
  <c r="OS16" i="102"/>
  <c r="OT16" i="102"/>
  <c r="OU16" i="102"/>
  <c r="OV16" i="102"/>
  <c r="OW16" i="102"/>
  <c r="OX16" i="102"/>
  <c r="OY16" i="102"/>
  <c r="OZ16" i="102"/>
  <c r="PA16" i="102"/>
  <c r="PB16" i="102"/>
  <c r="PC16" i="102"/>
  <c r="PD16" i="102"/>
  <c r="PE16" i="102"/>
  <c r="PF16" i="102"/>
  <c r="PG16" i="102"/>
  <c r="PH16" i="102"/>
  <c r="PI16" i="102"/>
  <c r="PJ16" i="102"/>
  <c r="PK16" i="102"/>
  <c r="PL16" i="102"/>
  <c r="PM16" i="102"/>
  <c r="PN16" i="102"/>
  <c r="PO16" i="102"/>
  <c r="PP16" i="102"/>
  <c r="PQ16" i="102"/>
  <c r="PR16" i="102"/>
  <c r="PS16" i="102"/>
  <c r="PT16" i="102"/>
  <c r="PU16" i="102"/>
  <c r="PV16" i="102"/>
  <c r="PW16" i="102"/>
  <c r="G17" i="102"/>
  <c r="H17" i="102"/>
  <c r="I17" i="102"/>
  <c r="J17" i="102"/>
  <c r="K17" i="102"/>
  <c r="L17" i="102"/>
  <c r="M17" i="102"/>
  <c r="N17" i="102"/>
  <c r="O17" i="102"/>
  <c r="P17" i="102"/>
  <c r="Q17" i="102"/>
  <c r="R17" i="102"/>
  <c r="S17" i="102"/>
  <c r="T17" i="102"/>
  <c r="U17" i="102"/>
  <c r="V17" i="102"/>
  <c r="W17" i="102"/>
  <c r="X17" i="102"/>
  <c r="Y17" i="102"/>
  <c r="Z17" i="102"/>
  <c r="AA17" i="102"/>
  <c r="AB17" i="102"/>
  <c r="AC17" i="102"/>
  <c r="AD17" i="102"/>
  <c r="AE17" i="102"/>
  <c r="AF17" i="102"/>
  <c r="AG17" i="102"/>
  <c r="AH17" i="102"/>
  <c r="AI17" i="102"/>
  <c r="AJ17" i="102"/>
  <c r="AK17" i="102"/>
  <c r="AL17" i="102"/>
  <c r="AM17" i="102"/>
  <c r="AN17" i="102"/>
  <c r="AO17" i="102"/>
  <c r="AP17" i="102"/>
  <c r="AQ17" i="102"/>
  <c r="AR17" i="102"/>
  <c r="AS17" i="102"/>
  <c r="AT17" i="102"/>
  <c r="AU17" i="102"/>
  <c r="AV17" i="102"/>
  <c r="AW17" i="102"/>
  <c r="AX17" i="102"/>
  <c r="AY17" i="102"/>
  <c r="AZ17" i="102"/>
  <c r="BA17" i="102"/>
  <c r="BB17" i="102"/>
  <c r="BC17" i="102"/>
  <c r="BD17" i="102"/>
  <c r="BE17" i="102"/>
  <c r="BF17" i="102"/>
  <c r="BG17" i="102"/>
  <c r="BH17" i="102"/>
  <c r="BI17" i="102"/>
  <c r="BJ17" i="102"/>
  <c r="BK17" i="102"/>
  <c r="BL17" i="102"/>
  <c r="BM17" i="102"/>
  <c r="BN17" i="102"/>
  <c r="BO17" i="102"/>
  <c r="BP17" i="102"/>
  <c r="BQ17" i="102"/>
  <c r="BR17" i="102"/>
  <c r="BS17" i="102"/>
  <c r="BT17" i="102"/>
  <c r="BU17" i="102"/>
  <c r="BV17" i="102"/>
  <c r="BW17" i="102"/>
  <c r="BX17" i="102"/>
  <c r="BY17" i="102"/>
  <c r="BZ17" i="102"/>
  <c r="CA17" i="102"/>
  <c r="CB17" i="102"/>
  <c r="CC17" i="102"/>
  <c r="CD17" i="102"/>
  <c r="CE17" i="102"/>
  <c r="CF17" i="102"/>
  <c r="CG17" i="102"/>
  <c r="CH17" i="102"/>
  <c r="CI17" i="102"/>
  <c r="CJ17" i="102"/>
  <c r="CK17" i="102"/>
  <c r="CL17" i="102"/>
  <c r="CM17" i="102"/>
  <c r="CN17" i="102"/>
  <c r="CO17" i="102"/>
  <c r="CP17" i="102"/>
  <c r="CQ17" i="102"/>
  <c r="CR17" i="102"/>
  <c r="CS17" i="102"/>
  <c r="CT17" i="102"/>
  <c r="CU17" i="102"/>
  <c r="CV17" i="102"/>
  <c r="CW17" i="102"/>
  <c r="CX17" i="102"/>
  <c r="CY17" i="102"/>
  <c r="CZ17" i="102"/>
  <c r="DA17" i="102"/>
  <c r="DB17" i="102"/>
  <c r="DC17" i="102"/>
  <c r="DD17" i="102"/>
  <c r="DE17" i="102"/>
  <c r="DF17" i="102"/>
  <c r="DG17" i="102"/>
  <c r="DH17" i="102"/>
  <c r="DI17" i="102"/>
  <c r="DJ17" i="102"/>
  <c r="DK17" i="102"/>
  <c r="DL17" i="102"/>
  <c r="DM17" i="102"/>
  <c r="DN17" i="102"/>
  <c r="DO17" i="102"/>
  <c r="DP17" i="102"/>
  <c r="DQ17" i="102"/>
  <c r="DR17" i="102"/>
  <c r="DS17" i="102"/>
  <c r="DT17" i="102"/>
  <c r="DU17" i="102"/>
  <c r="DV17" i="102"/>
  <c r="DW17" i="102"/>
  <c r="DX17" i="102"/>
  <c r="DY17" i="102"/>
  <c r="DZ17" i="102"/>
  <c r="EA17" i="102"/>
  <c r="EB17" i="102"/>
  <c r="EC17" i="102"/>
  <c r="ED17" i="102"/>
  <c r="EE17" i="102"/>
  <c r="EF17" i="102"/>
  <c r="EG17" i="102"/>
  <c r="EH17" i="102"/>
  <c r="EI17" i="102"/>
  <c r="EJ17" i="102"/>
  <c r="EK17" i="102"/>
  <c r="EL17" i="102"/>
  <c r="EM17" i="102"/>
  <c r="EN17" i="102"/>
  <c r="EO17" i="102"/>
  <c r="EP17" i="102"/>
  <c r="EQ17" i="102"/>
  <c r="ER17" i="102"/>
  <c r="ES17" i="102"/>
  <c r="ET17" i="102"/>
  <c r="EU17" i="102"/>
  <c r="EV17" i="102"/>
  <c r="EW17" i="102"/>
  <c r="EX17" i="102"/>
  <c r="EY17" i="102"/>
  <c r="EZ17" i="102"/>
  <c r="FA17" i="102"/>
  <c r="FB17" i="102"/>
  <c r="FC17" i="102"/>
  <c r="FD17" i="102"/>
  <c r="FE17" i="102"/>
  <c r="FF17" i="102"/>
  <c r="FG17" i="102"/>
  <c r="FH17" i="102"/>
  <c r="FI17" i="102"/>
  <c r="FJ17" i="102"/>
  <c r="FK17" i="102"/>
  <c r="FL17" i="102"/>
  <c r="FM17" i="102"/>
  <c r="FN17" i="102"/>
  <c r="FO17" i="102"/>
  <c r="FP17" i="102"/>
  <c r="FQ17" i="102"/>
  <c r="FR17" i="102"/>
  <c r="FS17" i="102"/>
  <c r="FT17" i="102"/>
  <c r="FU17" i="102"/>
  <c r="FV17" i="102"/>
  <c r="FW17" i="102"/>
  <c r="FX17" i="102"/>
  <c r="FY17" i="102"/>
  <c r="FZ17" i="102"/>
  <c r="GA17" i="102"/>
  <c r="GB17" i="102"/>
  <c r="GC17" i="102"/>
  <c r="GD17" i="102"/>
  <c r="GE17" i="102"/>
  <c r="GF17" i="102"/>
  <c r="GG17" i="102"/>
  <c r="GH17" i="102"/>
  <c r="GI17" i="102"/>
  <c r="GJ17" i="102"/>
  <c r="GK17" i="102"/>
  <c r="GL17" i="102"/>
  <c r="GM17" i="102"/>
  <c r="GN17" i="102"/>
  <c r="GO17" i="102"/>
  <c r="GP17" i="102"/>
  <c r="GQ17" i="102"/>
  <c r="GR17" i="102"/>
  <c r="GS17" i="102"/>
  <c r="GT17" i="102"/>
  <c r="GU17" i="102"/>
  <c r="GV17" i="102"/>
  <c r="GW17" i="102"/>
  <c r="GX17" i="102"/>
  <c r="GY17" i="102"/>
  <c r="GZ17" i="102"/>
  <c r="HA17" i="102"/>
  <c r="HB17" i="102"/>
  <c r="HC17" i="102"/>
  <c r="HD17" i="102"/>
  <c r="HE17" i="102"/>
  <c r="HF17" i="102"/>
  <c r="HG17" i="102"/>
  <c r="HH17" i="102"/>
  <c r="HI17" i="102"/>
  <c r="HJ17" i="102"/>
  <c r="HK17" i="102"/>
  <c r="HL17" i="102"/>
  <c r="HM17" i="102"/>
  <c r="HN17" i="102"/>
  <c r="HO17" i="102"/>
  <c r="HP17" i="102"/>
  <c r="HQ17" i="102"/>
  <c r="HR17" i="102"/>
  <c r="HS17" i="102"/>
  <c r="HT17" i="102"/>
  <c r="HU17" i="102"/>
  <c r="HV17" i="102"/>
  <c r="HW17" i="102"/>
  <c r="HX17" i="102"/>
  <c r="HY17" i="102"/>
  <c r="HZ17" i="102"/>
  <c r="IA17" i="102"/>
  <c r="IB17" i="102"/>
  <c r="IC17" i="102"/>
  <c r="ID17" i="102"/>
  <c r="IE17" i="102"/>
  <c r="IF17" i="102"/>
  <c r="IG17" i="102"/>
  <c r="IH17" i="102"/>
  <c r="II17" i="102"/>
  <c r="IJ17" i="102"/>
  <c r="IK17" i="102"/>
  <c r="IL17" i="102"/>
  <c r="IM17" i="102"/>
  <c r="IN17" i="102"/>
  <c r="IO17" i="102"/>
  <c r="IP17" i="102"/>
  <c r="IQ17" i="102"/>
  <c r="IR17" i="102"/>
  <c r="IS17" i="102"/>
  <c r="IT17" i="102"/>
  <c r="IU17" i="102"/>
  <c r="IV17" i="102"/>
  <c r="IW17" i="102"/>
  <c r="IX17" i="102"/>
  <c r="IY17" i="102"/>
  <c r="IZ17" i="102"/>
  <c r="JA17" i="102"/>
  <c r="JB17" i="102"/>
  <c r="JC17" i="102"/>
  <c r="JD17" i="102"/>
  <c r="JE17" i="102"/>
  <c r="JF17" i="102"/>
  <c r="JG17" i="102"/>
  <c r="JH17" i="102"/>
  <c r="JI17" i="102"/>
  <c r="JJ17" i="102"/>
  <c r="JK17" i="102"/>
  <c r="JL17" i="102"/>
  <c r="JM17" i="102"/>
  <c r="JN17" i="102"/>
  <c r="JO17" i="102"/>
  <c r="JP17" i="102"/>
  <c r="JQ17" i="102"/>
  <c r="JR17" i="102"/>
  <c r="JS17" i="102"/>
  <c r="JT17" i="102"/>
  <c r="JU17" i="102"/>
  <c r="JV17" i="102"/>
  <c r="JW17" i="102"/>
  <c r="JX17" i="102"/>
  <c r="JY17" i="102"/>
  <c r="JZ17" i="102"/>
  <c r="KA17" i="102"/>
  <c r="KB17" i="102"/>
  <c r="KC17" i="102"/>
  <c r="KD17" i="102"/>
  <c r="KE17" i="102"/>
  <c r="KF17" i="102"/>
  <c r="KG17" i="102"/>
  <c r="KH17" i="102"/>
  <c r="KI17" i="102"/>
  <c r="KJ17" i="102"/>
  <c r="KK17" i="102"/>
  <c r="KL17" i="102"/>
  <c r="KM17" i="102"/>
  <c r="KN17" i="102"/>
  <c r="KO17" i="102"/>
  <c r="KP17" i="102"/>
  <c r="KQ17" i="102"/>
  <c r="KR17" i="102"/>
  <c r="KS17" i="102"/>
  <c r="KT17" i="102"/>
  <c r="KU17" i="102"/>
  <c r="KV17" i="102"/>
  <c r="KW17" i="102"/>
  <c r="KX17" i="102"/>
  <c r="KY17" i="102"/>
  <c r="KZ17" i="102"/>
  <c r="LA17" i="102"/>
  <c r="LB17" i="102"/>
  <c r="LC17" i="102"/>
  <c r="LD17" i="102"/>
  <c r="LE17" i="102"/>
  <c r="LF17" i="102"/>
  <c r="LG17" i="102"/>
  <c r="LH17" i="102"/>
  <c r="LI17" i="102"/>
  <c r="LJ17" i="102"/>
  <c r="LK17" i="102"/>
  <c r="LL17" i="102"/>
  <c r="LM17" i="102"/>
  <c r="LN17" i="102"/>
  <c r="LO17" i="102"/>
  <c r="LP17" i="102"/>
  <c r="LQ17" i="102"/>
  <c r="LR17" i="102"/>
  <c r="LS17" i="102"/>
  <c r="LT17" i="102"/>
  <c r="LU17" i="102"/>
  <c r="LV17" i="102"/>
  <c r="LW17" i="102"/>
  <c r="LX17" i="102"/>
  <c r="LY17" i="102"/>
  <c r="LZ17" i="102"/>
  <c r="MA17" i="102"/>
  <c r="MB17" i="102"/>
  <c r="MC17" i="102"/>
  <c r="MD17" i="102"/>
  <c r="ME17" i="102"/>
  <c r="MF17" i="102"/>
  <c r="MG17" i="102"/>
  <c r="MH17" i="102"/>
  <c r="MI17" i="102"/>
  <c r="MJ17" i="102"/>
  <c r="MK17" i="102"/>
  <c r="ML17" i="102"/>
  <c r="MM17" i="102"/>
  <c r="MN17" i="102"/>
  <c r="MO17" i="102"/>
  <c r="MP17" i="102"/>
  <c r="MQ17" i="102"/>
  <c r="MR17" i="102"/>
  <c r="MS17" i="102"/>
  <c r="MT17" i="102"/>
  <c r="MU17" i="102"/>
  <c r="MV17" i="102"/>
  <c r="MW17" i="102"/>
  <c r="MX17" i="102"/>
  <c r="MY17" i="102"/>
  <c r="MZ17" i="102"/>
  <c r="NA17" i="102"/>
  <c r="NB17" i="102"/>
  <c r="NC17" i="102"/>
  <c r="ND17" i="102"/>
  <c r="NE17" i="102"/>
  <c r="NF17" i="102"/>
  <c r="NG17" i="102"/>
  <c r="NH17" i="102"/>
  <c r="NI17" i="102"/>
  <c r="NJ17" i="102"/>
  <c r="NK17" i="102"/>
  <c r="NL17" i="102"/>
  <c r="NM17" i="102"/>
  <c r="NN17" i="102"/>
  <c r="NO17" i="102"/>
  <c r="NP17" i="102"/>
  <c r="NQ17" i="102"/>
  <c r="NR17" i="102"/>
  <c r="NS17" i="102"/>
  <c r="NT17" i="102"/>
  <c r="NU17" i="102"/>
  <c r="NV17" i="102"/>
  <c r="NW17" i="102"/>
  <c r="NX17" i="102"/>
  <c r="NY17" i="102"/>
  <c r="NZ17" i="102"/>
  <c r="OA17" i="102"/>
  <c r="OB17" i="102"/>
  <c r="OC17" i="102"/>
  <c r="OD17" i="102"/>
  <c r="OE17" i="102"/>
  <c r="OF17" i="102"/>
  <c r="OG17" i="102"/>
  <c r="OH17" i="102"/>
  <c r="OI17" i="102"/>
  <c r="OJ17" i="102"/>
  <c r="OK17" i="102"/>
  <c r="OL17" i="102"/>
  <c r="OM17" i="102"/>
  <c r="ON17" i="102"/>
  <c r="OO17" i="102"/>
  <c r="OP17" i="102"/>
  <c r="OQ17" i="102"/>
  <c r="OR17" i="102"/>
  <c r="OS17" i="102"/>
  <c r="OT17" i="102"/>
  <c r="OU17" i="102"/>
  <c r="OV17" i="102"/>
  <c r="OW17" i="102"/>
  <c r="OX17" i="102"/>
  <c r="OY17" i="102"/>
  <c r="OZ17" i="102"/>
  <c r="PA17" i="102"/>
  <c r="PB17" i="102"/>
  <c r="PC17" i="102"/>
  <c r="PD17" i="102"/>
  <c r="PE17" i="102"/>
  <c r="PF17" i="102"/>
  <c r="PG17" i="102"/>
  <c r="PH17" i="102"/>
  <c r="PI17" i="102"/>
  <c r="PJ17" i="102"/>
  <c r="PK17" i="102"/>
  <c r="PL17" i="102"/>
  <c r="PM17" i="102"/>
  <c r="PN17" i="102"/>
  <c r="PO17" i="102"/>
  <c r="PP17" i="102"/>
  <c r="PQ17" i="102"/>
  <c r="PR17" i="102"/>
  <c r="PS17" i="102"/>
  <c r="PT17" i="102"/>
  <c r="PU17" i="102"/>
  <c r="PV17" i="102"/>
  <c r="PW17" i="102"/>
  <c r="G18" i="102"/>
  <c r="H18" i="102"/>
  <c r="I18" i="102"/>
  <c r="J18" i="102"/>
  <c r="K18" i="102"/>
  <c r="L18" i="102"/>
  <c r="M18" i="102"/>
  <c r="N18" i="102"/>
  <c r="O18" i="102"/>
  <c r="P18" i="102"/>
  <c r="Q18" i="102"/>
  <c r="R18" i="102"/>
  <c r="S18" i="102"/>
  <c r="T18" i="102"/>
  <c r="U18" i="102"/>
  <c r="V18" i="102"/>
  <c r="W18" i="102"/>
  <c r="X18" i="102"/>
  <c r="Y18" i="102"/>
  <c r="Z18" i="102"/>
  <c r="AA18" i="102"/>
  <c r="AB18" i="102"/>
  <c r="AC18" i="102"/>
  <c r="AD18" i="102"/>
  <c r="AE18" i="102"/>
  <c r="AF18" i="102"/>
  <c r="AG18" i="102"/>
  <c r="AH18" i="102"/>
  <c r="AI18" i="102"/>
  <c r="AJ18" i="102"/>
  <c r="AK18" i="102"/>
  <c r="AL18" i="102"/>
  <c r="AM18" i="102"/>
  <c r="AN18" i="102"/>
  <c r="AO18" i="102"/>
  <c r="AP18" i="102"/>
  <c r="AQ18" i="102"/>
  <c r="AR18" i="102"/>
  <c r="AS18" i="102"/>
  <c r="AT18" i="102"/>
  <c r="AU18" i="102"/>
  <c r="AV18" i="102"/>
  <c r="AW18" i="102"/>
  <c r="AX18" i="102"/>
  <c r="AY18" i="102"/>
  <c r="AZ18" i="102"/>
  <c r="BA18" i="102"/>
  <c r="BB18" i="102"/>
  <c r="BC18" i="102"/>
  <c r="BD18" i="102"/>
  <c r="BE18" i="102"/>
  <c r="BF18" i="102"/>
  <c r="BG18" i="102"/>
  <c r="BH18" i="102"/>
  <c r="BI18" i="102"/>
  <c r="BJ18" i="102"/>
  <c r="BK18" i="102"/>
  <c r="BL18" i="102"/>
  <c r="BM18" i="102"/>
  <c r="BN18" i="102"/>
  <c r="BO18" i="102"/>
  <c r="BP18" i="102"/>
  <c r="BQ18" i="102"/>
  <c r="BR18" i="102"/>
  <c r="BS18" i="102"/>
  <c r="BT18" i="102"/>
  <c r="BU18" i="102"/>
  <c r="BV18" i="102"/>
  <c r="BW18" i="102"/>
  <c r="BX18" i="102"/>
  <c r="BY18" i="102"/>
  <c r="BZ18" i="102"/>
  <c r="CA18" i="102"/>
  <c r="CB18" i="102"/>
  <c r="CC18" i="102"/>
  <c r="CD18" i="102"/>
  <c r="CE18" i="102"/>
  <c r="CF18" i="102"/>
  <c r="CG18" i="102"/>
  <c r="CH18" i="102"/>
  <c r="CI18" i="102"/>
  <c r="CJ18" i="102"/>
  <c r="CK18" i="102"/>
  <c r="CL18" i="102"/>
  <c r="CM18" i="102"/>
  <c r="CN18" i="102"/>
  <c r="CO18" i="102"/>
  <c r="CP18" i="102"/>
  <c r="CQ18" i="102"/>
  <c r="CR18" i="102"/>
  <c r="CS18" i="102"/>
  <c r="CT18" i="102"/>
  <c r="CU18" i="102"/>
  <c r="CV18" i="102"/>
  <c r="CW18" i="102"/>
  <c r="CX18" i="102"/>
  <c r="CY18" i="102"/>
  <c r="CZ18" i="102"/>
  <c r="DA18" i="102"/>
  <c r="DB18" i="102"/>
  <c r="DC18" i="102"/>
  <c r="DD18" i="102"/>
  <c r="DE18" i="102"/>
  <c r="DF18" i="102"/>
  <c r="DG18" i="102"/>
  <c r="DH18" i="102"/>
  <c r="DI18" i="102"/>
  <c r="DJ18" i="102"/>
  <c r="DK18" i="102"/>
  <c r="DL18" i="102"/>
  <c r="DM18" i="102"/>
  <c r="DN18" i="102"/>
  <c r="DO18" i="102"/>
  <c r="DP18" i="102"/>
  <c r="DQ18" i="102"/>
  <c r="DR18" i="102"/>
  <c r="DS18" i="102"/>
  <c r="DT18" i="102"/>
  <c r="DU18" i="102"/>
  <c r="DV18" i="102"/>
  <c r="DW18" i="102"/>
  <c r="DX18" i="102"/>
  <c r="DY18" i="102"/>
  <c r="DZ18" i="102"/>
  <c r="EA18" i="102"/>
  <c r="EB18" i="102"/>
  <c r="EC18" i="102"/>
  <c r="ED18" i="102"/>
  <c r="EE18" i="102"/>
  <c r="EF18" i="102"/>
  <c r="EG18" i="102"/>
  <c r="EH18" i="102"/>
  <c r="EI18" i="102"/>
  <c r="EJ18" i="102"/>
  <c r="EK18" i="102"/>
  <c r="EL18" i="102"/>
  <c r="EM18" i="102"/>
  <c r="EN18" i="102"/>
  <c r="EO18" i="102"/>
  <c r="EP18" i="102"/>
  <c r="EQ18" i="102"/>
  <c r="ER18" i="102"/>
  <c r="ES18" i="102"/>
  <c r="ET18" i="102"/>
  <c r="EU18" i="102"/>
  <c r="EV18" i="102"/>
  <c r="EW18" i="102"/>
  <c r="EX18" i="102"/>
  <c r="EY18" i="102"/>
  <c r="EZ18" i="102"/>
  <c r="FA18" i="102"/>
  <c r="FB18" i="102"/>
  <c r="FC18" i="102"/>
  <c r="FD18" i="102"/>
  <c r="FE18" i="102"/>
  <c r="FF18" i="102"/>
  <c r="FG18" i="102"/>
  <c r="FH18" i="102"/>
  <c r="FI18" i="102"/>
  <c r="FJ18" i="102"/>
  <c r="FK18" i="102"/>
  <c r="FL18" i="102"/>
  <c r="FM18" i="102"/>
  <c r="FN18" i="102"/>
  <c r="FO18" i="102"/>
  <c r="FP18" i="102"/>
  <c r="FQ18" i="102"/>
  <c r="FR18" i="102"/>
  <c r="FS18" i="102"/>
  <c r="FT18" i="102"/>
  <c r="FU18" i="102"/>
  <c r="FV18" i="102"/>
  <c r="FW18" i="102"/>
  <c r="FX18" i="102"/>
  <c r="FY18" i="102"/>
  <c r="FZ18" i="102"/>
  <c r="GA18" i="102"/>
  <c r="GB18" i="102"/>
  <c r="GC18" i="102"/>
  <c r="GD18" i="102"/>
  <c r="GE18" i="102"/>
  <c r="GF18" i="102"/>
  <c r="GG18" i="102"/>
  <c r="GH18" i="102"/>
  <c r="GI18" i="102"/>
  <c r="GJ18" i="102"/>
  <c r="GK18" i="102"/>
  <c r="GL18" i="102"/>
  <c r="GM18" i="102"/>
  <c r="GN18" i="102"/>
  <c r="GO18" i="102"/>
  <c r="GP18" i="102"/>
  <c r="GQ18" i="102"/>
  <c r="GR18" i="102"/>
  <c r="GS18" i="102"/>
  <c r="GT18" i="102"/>
  <c r="GU18" i="102"/>
  <c r="GV18" i="102"/>
  <c r="GW18" i="102"/>
  <c r="GX18" i="102"/>
  <c r="GY18" i="102"/>
  <c r="GZ18" i="102"/>
  <c r="HA18" i="102"/>
  <c r="HB18" i="102"/>
  <c r="HC18" i="102"/>
  <c r="HD18" i="102"/>
  <c r="HE18" i="102"/>
  <c r="HF18" i="102"/>
  <c r="HG18" i="102"/>
  <c r="HH18" i="102"/>
  <c r="HI18" i="102"/>
  <c r="HJ18" i="102"/>
  <c r="HK18" i="102"/>
  <c r="HL18" i="102"/>
  <c r="HM18" i="102"/>
  <c r="HN18" i="102"/>
  <c r="HO18" i="102"/>
  <c r="HP18" i="102"/>
  <c r="HQ18" i="102"/>
  <c r="HR18" i="102"/>
  <c r="HS18" i="102"/>
  <c r="HT18" i="102"/>
  <c r="HU18" i="102"/>
  <c r="HV18" i="102"/>
  <c r="HW18" i="102"/>
  <c r="HX18" i="102"/>
  <c r="HY18" i="102"/>
  <c r="HZ18" i="102"/>
  <c r="IA18" i="102"/>
  <c r="IB18" i="102"/>
  <c r="IC18" i="102"/>
  <c r="ID18" i="102"/>
  <c r="IE18" i="102"/>
  <c r="IF18" i="102"/>
  <c r="IG18" i="102"/>
  <c r="IH18" i="102"/>
  <c r="II18" i="102"/>
  <c r="IJ18" i="102"/>
  <c r="IK18" i="102"/>
  <c r="IL18" i="102"/>
  <c r="IM18" i="102"/>
  <c r="IN18" i="102"/>
  <c r="IO18" i="102"/>
  <c r="IP18" i="102"/>
  <c r="IQ18" i="102"/>
  <c r="IR18" i="102"/>
  <c r="IS18" i="102"/>
  <c r="IT18" i="102"/>
  <c r="IU18" i="102"/>
  <c r="IV18" i="102"/>
  <c r="IW18" i="102"/>
  <c r="IX18" i="102"/>
  <c r="IY18" i="102"/>
  <c r="IZ18" i="102"/>
  <c r="JA18" i="102"/>
  <c r="JB18" i="102"/>
  <c r="JC18" i="102"/>
  <c r="JD18" i="102"/>
  <c r="JE18" i="102"/>
  <c r="JF18" i="102"/>
  <c r="JG18" i="102"/>
  <c r="JH18" i="102"/>
  <c r="JI18" i="102"/>
  <c r="JJ18" i="102"/>
  <c r="JK18" i="102"/>
  <c r="JL18" i="102"/>
  <c r="JM18" i="102"/>
  <c r="JN18" i="102"/>
  <c r="JO18" i="102"/>
  <c r="JP18" i="102"/>
  <c r="JQ18" i="102"/>
  <c r="JR18" i="102"/>
  <c r="JS18" i="102"/>
  <c r="JT18" i="102"/>
  <c r="JU18" i="102"/>
  <c r="JV18" i="102"/>
  <c r="JW18" i="102"/>
  <c r="JX18" i="102"/>
  <c r="JY18" i="102"/>
  <c r="JZ18" i="102"/>
  <c r="KA18" i="102"/>
  <c r="KB18" i="102"/>
  <c r="KC18" i="102"/>
  <c r="KD18" i="102"/>
  <c r="KE18" i="102"/>
  <c r="KF18" i="102"/>
  <c r="KG18" i="102"/>
  <c r="KH18" i="102"/>
  <c r="KI18" i="102"/>
  <c r="KJ18" i="102"/>
  <c r="KK18" i="102"/>
  <c r="KL18" i="102"/>
  <c r="KM18" i="102"/>
  <c r="KN18" i="102"/>
  <c r="KO18" i="102"/>
  <c r="KP18" i="102"/>
  <c r="KQ18" i="102"/>
  <c r="KR18" i="102"/>
  <c r="KS18" i="102"/>
  <c r="KT18" i="102"/>
  <c r="KU18" i="102"/>
  <c r="KV18" i="102"/>
  <c r="KW18" i="102"/>
  <c r="KX18" i="102"/>
  <c r="KY18" i="102"/>
  <c r="KZ18" i="102"/>
  <c r="LA18" i="102"/>
  <c r="LB18" i="102"/>
  <c r="LC18" i="102"/>
  <c r="LD18" i="102"/>
  <c r="LE18" i="102"/>
  <c r="LF18" i="102"/>
  <c r="LG18" i="102"/>
  <c r="LH18" i="102"/>
  <c r="LI18" i="102"/>
  <c r="LJ18" i="102"/>
  <c r="LK18" i="102"/>
  <c r="LL18" i="102"/>
  <c r="LM18" i="102"/>
  <c r="LN18" i="102"/>
  <c r="LO18" i="102"/>
  <c r="LP18" i="102"/>
  <c r="LQ18" i="102"/>
  <c r="LR18" i="102"/>
  <c r="LS18" i="102"/>
  <c r="LT18" i="102"/>
  <c r="LU18" i="102"/>
  <c r="LV18" i="102"/>
  <c r="LW18" i="102"/>
  <c r="LX18" i="102"/>
  <c r="LY18" i="102"/>
  <c r="LZ18" i="102"/>
  <c r="MA18" i="102"/>
  <c r="MB18" i="102"/>
  <c r="MC18" i="102"/>
  <c r="MD18" i="102"/>
  <c r="ME18" i="102"/>
  <c r="MF18" i="102"/>
  <c r="MG18" i="102"/>
  <c r="MH18" i="102"/>
  <c r="MI18" i="102"/>
  <c r="MJ18" i="102"/>
  <c r="MK18" i="102"/>
  <c r="ML18" i="102"/>
  <c r="MM18" i="102"/>
  <c r="MN18" i="102"/>
  <c r="MO18" i="102"/>
  <c r="MP18" i="102"/>
  <c r="MQ18" i="102"/>
  <c r="MR18" i="102"/>
  <c r="MS18" i="102"/>
  <c r="MT18" i="102"/>
  <c r="MU18" i="102"/>
  <c r="MV18" i="102"/>
  <c r="MW18" i="102"/>
  <c r="MX18" i="102"/>
  <c r="MY18" i="102"/>
  <c r="MZ18" i="102"/>
  <c r="NA18" i="102"/>
  <c r="NB18" i="102"/>
  <c r="NC18" i="102"/>
  <c r="ND18" i="102"/>
  <c r="NE18" i="102"/>
  <c r="NF18" i="102"/>
  <c r="NG18" i="102"/>
  <c r="NH18" i="102"/>
  <c r="NI18" i="102"/>
  <c r="NJ18" i="102"/>
  <c r="NK18" i="102"/>
  <c r="NL18" i="102"/>
  <c r="NM18" i="102"/>
  <c r="NN18" i="102"/>
  <c r="NO18" i="102"/>
  <c r="NP18" i="102"/>
  <c r="NQ18" i="102"/>
  <c r="NR18" i="102"/>
  <c r="NS18" i="102"/>
  <c r="NT18" i="102"/>
  <c r="NU18" i="102"/>
  <c r="NV18" i="102"/>
  <c r="NW18" i="102"/>
  <c r="NX18" i="102"/>
  <c r="NY18" i="102"/>
  <c r="NZ18" i="102"/>
  <c r="OA18" i="102"/>
  <c r="OB18" i="102"/>
  <c r="OC18" i="102"/>
  <c r="OD18" i="102"/>
  <c r="OE18" i="102"/>
  <c r="OF18" i="102"/>
  <c r="OG18" i="102"/>
  <c r="OH18" i="102"/>
  <c r="OI18" i="102"/>
  <c r="OJ18" i="102"/>
  <c r="OK18" i="102"/>
  <c r="OL18" i="102"/>
  <c r="OM18" i="102"/>
  <c r="ON18" i="102"/>
  <c r="OO18" i="102"/>
  <c r="OP18" i="102"/>
  <c r="OQ18" i="102"/>
  <c r="OR18" i="102"/>
  <c r="OS18" i="102"/>
  <c r="OT18" i="102"/>
  <c r="OU18" i="102"/>
  <c r="OV18" i="102"/>
  <c r="OW18" i="102"/>
  <c r="OX18" i="102"/>
  <c r="OY18" i="102"/>
  <c r="OZ18" i="102"/>
  <c r="PA18" i="102"/>
  <c r="PB18" i="102"/>
  <c r="PC18" i="102"/>
  <c r="PD18" i="102"/>
  <c r="PE18" i="102"/>
  <c r="PF18" i="102"/>
  <c r="PG18" i="102"/>
  <c r="PH18" i="102"/>
  <c r="PI18" i="102"/>
  <c r="PJ18" i="102"/>
  <c r="PK18" i="102"/>
  <c r="PL18" i="102"/>
  <c r="PM18" i="102"/>
  <c r="PN18" i="102"/>
  <c r="PO18" i="102"/>
  <c r="PP18" i="102"/>
  <c r="PQ18" i="102"/>
  <c r="PR18" i="102"/>
  <c r="PS18" i="102"/>
  <c r="PT18" i="102"/>
  <c r="PU18" i="102"/>
  <c r="PV18" i="102"/>
  <c r="PW18" i="102"/>
  <c r="G19" i="102"/>
  <c r="H19" i="102"/>
  <c r="I19" i="102"/>
  <c r="J19" i="102"/>
  <c r="K19" i="102"/>
  <c r="L19" i="102"/>
  <c r="M19" i="102"/>
  <c r="N19" i="102"/>
  <c r="O19" i="102"/>
  <c r="P19" i="102"/>
  <c r="Q19" i="102"/>
  <c r="R19" i="102"/>
  <c r="S19" i="102"/>
  <c r="T19" i="102"/>
  <c r="U19" i="102"/>
  <c r="V19" i="102"/>
  <c r="W19" i="102"/>
  <c r="X19" i="102"/>
  <c r="Y19" i="102"/>
  <c r="Z19" i="102"/>
  <c r="AA19" i="102"/>
  <c r="AB19" i="102"/>
  <c r="AC19" i="102"/>
  <c r="AD19" i="102"/>
  <c r="AE19" i="102"/>
  <c r="AF19" i="102"/>
  <c r="AG19" i="102"/>
  <c r="AH19" i="102"/>
  <c r="AI19" i="102"/>
  <c r="AJ19" i="102"/>
  <c r="AK19" i="102"/>
  <c r="AL19" i="102"/>
  <c r="AM19" i="102"/>
  <c r="AN19" i="102"/>
  <c r="AO19" i="102"/>
  <c r="AP19" i="102"/>
  <c r="AQ19" i="102"/>
  <c r="AR19" i="102"/>
  <c r="AS19" i="102"/>
  <c r="AT19" i="102"/>
  <c r="AU19" i="102"/>
  <c r="AV19" i="102"/>
  <c r="AW19" i="102"/>
  <c r="AX19" i="102"/>
  <c r="AY19" i="102"/>
  <c r="AZ19" i="102"/>
  <c r="BA19" i="102"/>
  <c r="BB19" i="102"/>
  <c r="BC19" i="102"/>
  <c r="BD19" i="102"/>
  <c r="BE19" i="102"/>
  <c r="BF19" i="102"/>
  <c r="BG19" i="102"/>
  <c r="BH19" i="102"/>
  <c r="BI19" i="102"/>
  <c r="BJ19" i="102"/>
  <c r="BK19" i="102"/>
  <c r="BL19" i="102"/>
  <c r="BM19" i="102"/>
  <c r="BN19" i="102"/>
  <c r="BO19" i="102"/>
  <c r="BP19" i="102"/>
  <c r="BQ19" i="102"/>
  <c r="BR19" i="102"/>
  <c r="BS19" i="102"/>
  <c r="BT19" i="102"/>
  <c r="BU19" i="102"/>
  <c r="BV19" i="102"/>
  <c r="BW19" i="102"/>
  <c r="BX19" i="102"/>
  <c r="BY19" i="102"/>
  <c r="BZ19" i="102"/>
  <c r="CA19" i="102"/>
  <c r="CB19" i="102"/>
  <c r="CC19" i="102"/>
  <c r="CD19" i="102"/>
  <c r="CE19" i="102"/>
  <c r="CF19" i="102"/>
  <c r="CG19" i="102"/>
  <c r="CH19" i="102"/>
  <c r="CI19" i="102"/>
  <c r="CJ19" i="102"/>
  <c r="CK19" i="102"/>
  <c r="CL19" i="102"/>
  <c r="CM19" i="102"/>
  <c r="CN19" i="102"/>
  <c r="CO19" i="102"/>
  <c r="CP19" i="102"/>
  <c r="CQ19" i="102"/>
  <c r="CR19" i="102"/>
  <c r="CS19" i="102"/>
  <c r="CT19" i="102"/>
  <c r="CU19" i="102"/>
  <c r="CV19" i="102"/>
  <c r="CW19" i="102"/>
  <c r="CX19" i="102"/>
  <c r="CY19" i="102"/>
  <c r="CZ19" i="102"/>
  <c r="DA19" i="102"/>
  <c r="DB19" i="102"/>
  <c r="DC19" i="102"/>
  <c r="DD19" i="102"/>
  <c r="DE19" i="102"/>
  <c r="DF19" i="102"/>
  <c r="DG19" i="102"/>
  <c r="DH19" i="102"/>
  <c r="DI19" i="102"/>
  <c r="DJ19" i="102"/>
  <c r="DK19" i="102"/>
  <c r="DL19" i="102"/>
  <c r="DM19" i="102"/>
  <c r="DN19" i="102"/>
  <c r="DO19" i="102"/>
  <c r="DP19" i="102"/>
  <c r="DQ19" i="102"/>
  <c r="DR19" i="102"/>
  <c r="DS19" i="102"/>
  <c r="DT19" i="102"/>
  <c r="DU19" i="102"/>
  <c r="DV19" i="102"/>
  <c r="DW19" i="102"/>
  <c r="DX19" i="102"/>
  <c r="DY19" i="102"/>
  <c r="DZ19" i="102"/>
  <c r="EA19" i="102"/>
  <c r="EB19" i="102"/>
  <c r="EC19" i="102"/>
  <c r="ED19" i="102"/>
  <c r="EE19" i="102"/>
  <c r="EF19" i="102"/>
  <c r="EG19" i="102"/>
  <c r="EH19" i="102"/>
  <c r="EI19" i="102"/>
  <c r="EJ19" i="102"/>
  <c r="EK19" i="102"/>
  <c r="EL19" i="102"/>
  <c r="EM19" i="102"/>
  <c r="EN19" i="102"/>
  <c r="EO19" i="102"/>
  <c r="EP19" i="102"/>
  <c r="EQ19" i="102"/>
  <c r="ER19" i="102"/>
  <c r="ES19" i="102"/>
  <c r="ET19" i="102"/>
  <c r="EU19" i="102"/>
  <c r="EV19" i="102"/>
  <c r="EW19" i="102"/>
  <c r="EX19" i="102"/>
  <c r="EY19" i="102"/>
  <c r="EZ19" i="102"/>
  <c r="FA19" i="102"/>
  <c r="FB19" i="102"/>
  <c r="FC19" i="102"/>
  <c r="FD19" i="102"/>
  <c r="FE19" i="102"/>
  <c r="FF19" i="102"/>
  <c r="FG19" i="102"/>
  <c r="FH19" i="102"/>
  <c r="FI19" i="102"/>
  <c r="FJ19" i="102"/>
  <c r="FK19" i="102"/>
  <c r="FL19" i="102"/>
  <c r="FM19" i="102"/>
  <c r="FN19" i="102"/>
  <c r="FO19" i="102"/>
  <c r="FP19" i="102"/>
  <c r="FQ19" i="102"/>
  <c r="FR19" i="102"/>
  <c r="FS19" i="102"/>
  <c r="FT19" i="102"/>
  <c r="FU19" i="102"/>
  <c r="FV19" i="102"/>
  <c r="FW19" i="102"/>
  <c r="FX19" i="102"/>
  <c r="FY19" i="102"/>
  <c r="FZ19" i="102"/>
  <c r="GA19" i="102"/>
  <c r="GB19" i="102"/>
  <c r="GC19" i="102"/>
  <c r="GD19" i="102"/>
  <c r="GE19" i="102"/>
  <c r="GF19" i="102"/>
  <c r="GG19" i="102"/>
  <c r="GH19" i="102"/>
  <c r="GI19" i="102"/>
  <c r="GJ19" i="102"/>
  <c r="GK19" i="102"/>
  <c r="GL19" i="102"/>
  <c r="GM19" i="102"/>
  <c r="GN19" i="102"/>
  <c r="GO19" i="102"/>
  <c r="GP19" i="102"/>
  <c r="GQ19" i="102"/>
  <c r="GR19" i="102"/>
  <c r="GS19" i="102"/>
  <c r="GT19" i="102"/>
  <c r="GU19" i="102"/>
  <c r="GV19" i="102"/>
  <c r="GW19" i="102"/>
  <c r="GX19" i="102"/>
  <c r="GY19" i="102"/>
  <c r="GZ19" i="102"/>
  <c r="HA19" i="102"/>
  <c r="HB19" i="102"/>
  <c r="HC19" i="102"/>
  <c r="HD19" i="102"/>
  <c r="HE19" i="102"/>
  <c r="HF19" i="102"/>
  <c r="HG19" i="102"/>
  <c r="HH19" i="102"/>
  <c r="HI19" i="102"/>
  <c r="HJ19" i="102"/>
  <c r="HK19" i="102"/>
  <c r="HL19" i="102"/>
  <c r="HM19" i="102"/>
  <c r="HN19" i="102"/>
  <c r="HO19" i="102"/>
  <c r="HP19" i="102"/>
  <c r="HQ19" i="102"/>
  <c r="HR19" i="102"/>
  <c r="HS19" i="102"/>
  <c r="HT19" i="102"/>
  <c r="HU19" i="102"/>
  <c r="HV19" i="102"/>
  <c r="HW19" i="102"/>
  <c r="HX19" i="102"/>
  <c r="HY19" i="102"/>
  <c r="HZ19" i="102"/>
  <c r="IA19" i="102"/>
  <c r="IB19" i="102"/>
  <c r="IC19" i="102"/>
  <c r="ID19" i="102"/>
  <c r="IE19" i="102"/>
  <c r="IF19" i="102"/>
  <c r="IG19" i="102"/>
  <c r="IH19" i="102"/>
  <c r="II19" i="102"/>
  <c r="IJ19" i="102"/>
  <c r="IK19" i="102"/>
  <c r="IL19" i="102"/>
  <c r="IM19" i="102"/>
  <c r="IN19" i="102"/>
  <c r="IO19" i="102"/>
  <c r="IP19" i="102"/>
  <c r="IQ19" i="102"/>
  <c r="IR19" i="102"/>
  <c r="IS19" i="102"/>
  <c r="IT19" i="102"/>
  <c r="IU19" i="102"/>
  <c r="IV19" i="102"/>
  <c r="IW19" i="102"/>
  <c r="IX19" i="102"/>
  <c r="IY19" i="102"/>
  <c r="IZ19" i="102"/>
  <c r="JA19" i="102"/>
  <c r="JB19" i="102"/>
  <c r="JC19" i="102"/>
  <c r="JD19" i="102"/>
  <c r="JE19" i="102"/>
  <c r="JF19" i="102"/>
  <c r="JG19" i="102"/>
  <c r="JH19" i="102"/>
  <c r="JI19" i="102"/>
  <c r="JJ19" i="102"/>
  <c r="JK19" i="102"/>
  <c r="JL19" i="102"/>
  <c r="JM19" i="102"/>
  <c r="JN19" i="102"/>
  <c r="JO19" i="102"/>
  <c r="JP19" i="102"/>
  <c r="JQ19" i="102"/>
  <c r="JR19" i="102"/>
  <c r="JS19" i="102"/>
  <c r="JT19" i="102"/>
  <c r="JU19" i="102"/>
  <c r="JV19" i="102"/>
  <c r="JW19" i="102"/>
  <c r="JX19" i="102"/>
  <c r="JY19" i="102"/>
  <c r="JZ19" i="102"/>
  <c r="KA19" i="102"/>
  <c r="KB19" i="102"/>
  <c r="KC19" i="102"/>
  <c r="KD19" i="102"/>
  <c r="KE19" i="102"/>
  <c r="KF19" i="102"/>
  <c r="KG19" i="102"/>
  <c r="KH19" i="102"/>
  <c r="KI19" i="102"/>
  <c r="KJ19" i="102"/>
  <c r="KK19" i="102"/>
  <c r="KL19" i="102"/>
  <c r="KM19" i="102"/>
  <c r="KN19" i="102"/>
  <c r="KO19" i="102"/>
  <c r="KP19" i="102"/>
  <c r="KQ19" i="102"/>
  <c r="KR19" i="102"/>
  <c r="KS19" i="102"/>
  <c r="KT19" i="102"/>
  <c r="KU19" i="102"/>
  <c r="KV19" i="102"/>
  <c r="KW19" i="102"/>
  <c r="KX19" i="102"/>
  <c r="KY19" i="102"/>
  <c r="KZ19" i="102"/>
  <c r="LA19" i="102"/>
  <c r="LB19" i="102"/>
  <c r="LC19" i="102"/>
  <c r="LD19" i="102"/>
  <c r="LE19" i="102"/>
  <c r="LF19" i="102"/>
  <c r="LG19" i="102"/>
  <c r="LH19" i="102"/>
  <c r="LI19" i="102"/>
  <c r="LJ19" i="102"/>
  <c r="LK19" i="102"/>
  <c r="LL19" i="102"/>
  <c r="LM19" i="102"/>
  <c r="LN19" i="102"/>
  <c r="LO19" i="102"/>
  <c r="LP19" i="102"/>
  <c r="LQ19" i="102"/>
  <c r="LR19" i="102"/>
  <c r="LS19" i="102"/>
  <c r="LT19" i="102"/>
  <c r="LU19" i="102"/>
  <c r="LV19" i="102"/>
  <c r="LW19" i="102"/>
  <c r="LX19" i="102"/>
  <c r="LY19" i="102"/>
  <c r="LZ19" i="102"/>
  <c r="MA19" i="102"/>
  <c r="MB19" i="102"/>
  <c r="MC19" i="102"/>
  <c r="MD19" i="102"/>
  <c r="ME19" i="102"/>
  <c r="MF19" i="102"/>
  <c r="MG19" i="102"/>
  <c r="MH19" i="102"/>
  <c r="MI19" i="102"/>
  <c r="MJ19" i="102"/>
  <c r="MK19" i="102"/>
  <c r="ML19" i="102"/>
  <c r="MM19" i="102"/>
  <c r="MN19" i="102"/>
  <c r="MO19" i="102"/>
  <c r="MP19" i="102"/>
  <c r="MQ19" i="102"/>
  <c r="MR19" i="102"/>
  <c r="MS19" i="102"/>
  <c r="MT19" i="102"/>
  <c r="MU19" i="102"/>
  <c r="MV19" i="102"/>
  <c r="MW19" i="102"/>
  <c r="MX19" i="102"/>
  <c r="MY19" i="102"/>
  <c r="MZ19" i="102"/>
  <c r="NA19" i="102"/>
  <c r="NB19" i="102"/>
  <c r="NC19" i="102"/>
  <c r="ND19" i="102"/>
  <c r="NE19" i="102"/>
  <c r="NF19" i="102"/>
  <c r="NG19" i="102"/>
  <c r="NH19" i="102"/>
  <c r="NI19" i="102"/>
  <c r="NJ19" i="102"/>
  <c r="NK19" i="102"/>
  <c r="NL19" i="102"/>
  <c r="NM19" i="102"/>
  <c r="NN19" i="102"/>
  <c r="NO19" i="102"/>
  <c r="NP19" i="102"/>
  <c r="NQ19" i="102"/>
  <c r="NR19" i="102"/>
  <c r="NS19" i="102"/>
  <c r="NT19" i="102"/>
  <c r="NU19" i="102"/>
  <c r="NV19" i="102"/>
  <c r="NW19" i="102"/>
  <c r="NX19" i="102"/>
  <c r="NY19" i="102"/>
  <c r="NZ19" i="102"/>
  <c r="OA19" i="102"/>
  <c r="OB19" i="102"/>
  <c r="OC19" i="102"/>
  <c r="OD19" i="102"/>
  <c r="OE19" i="102"/>
  <c r="OF19" i="102"/>
  <c r="OG19" i="102"/>
  <c r="OH19" i="102"/>
  <c r="OI19" i="102"/>
  <c r="OJ19" i="102"/>
  <c r="OK19" i="102"/>
  <c r="OL19" i="102"/>
  <c r="OM19" i="102"/>
  <c r="ON19" i="102"/>
  <c r="OO19" i="102"/>
  <c r="OP19" i="102"/>
  <c r="OQ19" i="102"/>
  <c r="OR19" i="102"/>
  <c r="OS19" i="102"/>
  <c r="OT19" i="102"/>
  <c r="OU19" i="102"/>
  <c r="OV19" i="102"/>
  <c r="OW19" i="102"/>
  <c r="OX19" i="102"/>
  <c r="OY19" i="102"/>
  <c r="OZ19" i="102"/>
  <c r="PA19" i="102"/>
  <c r="PB19" i="102"/>
  <c r="PC19" i="102"/>
  <c r="PD19" i="102"/>
  <c r="PE19" i="102"/>
  <c r="PF19" i="102"/>
  <c r="PG19" i="102"/>
  <c r="PH19" i="102"/>
  <c r="PI19" i="102"/>
  <c r="PJ19" i="102"/>
  <c r="PK19" i="102"/>
  <c r="PL19" i="102"/>
  <c r="PM19" i="102"/>
  <c r="PN19" i="102"/>
  <c r="PO19" i="102"/>
  <c r="PP19" i="102"/>
  <c r="PQ19" i="102"/>
  <c r="PR19" i="102"/>
  <c r="PS19" i="102"/>
  <c r="PT19" i="102"/>
  <c r="PU19" i="102"/>
  <c r="PV19" i="102"/>
  <c r="PW19" i="102"/>
  <c r="G20" i="102"/>
  <c r="H20" i="102"/>
  <c r="I20" i="102"/>
  <c r="J20" i="102"/>
  <c r="K20" i="102"/>
  <c r="L20" i="102"/>
  <c r="M20" i="102"/>
  <c r="N20" i="102"/>
  <c r="O20" i="102"/>
  <c r="P20" i="102"/>
  <c r="Q20" i="102"/>
  <c r="R20" i="102"/>
  <c r="S20" i="102"/>
  <c r="T20" i="102"/>
  <c r="U20" i="102"/>
  <c r="V20" i="102"/>
  <c r="W20" i="102"/>
  <c r="X20" i="102"/>
  <c r="Y20" i="102"/>
  <c r="Z20" i="102"/>
  <c r="AA20" i="102"/>
  <c r="AB20" i="102"/>
  <c r="AC20" i="102"/>
  <c r="AD20" i="102"/>
  <c r="AE20" i="102"/>
  <c r="AF20" i="102"/>
  <c r="AG20" i="102"/>
  <c r="AH20" i="102"/>
  <c r="AI20" i="102"/>
  <c r="AJ20" i="102"/>
  <c r="AK20" i="102"/>
  <c r="AL20" i="102"/>
  <c r="AM20" i="102"/>
  <c r="AN20" i="102"/>
  <c r="AO20" i="102"/>
  <c r="AP20" i="102"/>
  <c r="AQ20" i="102"/>
  <c r="AR20" i="102"/>
  <c r="AS20" i="102"/>
  <c r="AT20" i="102"/>
  <c r="AU20" i="102"/>
  <c r="AV20" i="102"/>
  <c r="AW20" i="102"/>
  <c r="AX20" i="102"/>
  <c r="AY20" i="102"/>
  <c r="AZ20" i="102"/>
  <c r="BA20" i="102"/>
  <c r="BB20" i="102"/>
  <c r="BC20" i="102"/>
  <c r="BD20" i="102"/>
  <c r="BE20" i="102"/>
  <c r="BF20" i="102"/>
  <c r="BG20" i="102"/>
  <c r="BH20" i="102"/>
  <c r="BI20" i="102"/>
  <c r="BJ20" i="102"/>
  <c r="BK20" i="102"/>
  <c r="BL20" i="102"/>
  <c r="BM20" i="102"/>
  <c r="BN20" i="102"/>
  <c r="BO20" i="102"/>
  <c r="BP20" i="102"/>
  <c r="BQ20" i="102"/>
  <c r="BR20" i="102"/>
  <c r="BS20" i="102"/>
  <c r="BT20" i="102"/>
  <c r="BU20" i="102"/>
  <c r="BV20" i="102"/>
  <c r="BW20" i="102"/>
  <c r="BX20" i="102"/>
  <c r="BY20" i="102"/>
  <c r="BZ20" i="102"/>
  <c r="CA20" i="102"/>
  <c r="CB20" i="102"/>
  <c r="CC20" i="102"/>
  <c r="CD20" i="102"/>
  <c r="CE20" i="102"/>
  <c r="CF20" i="102"/>
  <c r="CG20" i="102"/>
  <c r="CH20" i="102"/>
  <c r="CI20" i="102"/>
  <c r="CJ20" i="102"/>
  <c r="CK20" i="102"/>
  <c r="CL20" i="102"/>
  <c r="CM20" i="102"/>
  <c r="CN20" i="102"/>
  <c r="CO20" i="102"/>
  <c r="CP20" i="102"/>
  <c r="CQ20" i="102"/>
  <c r="CR20" i="102"/>
  <c r="CS20" i="102"/>
  <c r="CT20" i="102"/>
  <c r="CU20" i="102"/>
  <c r="CV20" i="102"/>
  <c r="CW20" i="102"/>
  <c r="CX20" i="102"/>
  <c r="CY20" i="102"/>
  <c r="CZ20" i="102"/>
  <c r="DA20" i="102"/>
  <c r="DB20" i="102"/>
  <c r="DC20" i="102"/>
  <c r="DD20" i="102"/>
  <c r="DE20" i="102"/>
  <c r="DF20" i="102"/>
  <c r="DG20" i="102"/>
  <c r="DH20" i="102"/>
  <c r="DI20" i="102"/>
  <c r="DJ20" i="102"/>
  <c r="DK20" i="102"/>
  <c r="DL20" i="102"/>
  <c r="DM20" i="102"/>
  <c r="DN20" i="102"/>
  <c r="DO20" i="102"/>
  <c r="DP20" i="102"/>
  <c r="DQ20" i="102"/>
  <c r="DR20" i="102"/>
  <c r="DS20" i="102"/>
  <c r="DT20" i="102"/>
  <c r="DU20" i="102"/>
  <c r="DV20" i="102"/>
  <c r="DW20" i="102"/>
  <c r="DX20" i="102"/>
  <c r="DY20" i="102"/>
  <c r="DZ20" i="102"/>
  <c r="EA20" i="102"/>
  <c r="EB20" i="102"/>
  <c r="EC20" i="102"/>
  <c r="ED20" i="102"/>
  <c r="EE20" i="102"/>
  <c r="EF20" i="102"/>
  <c r="EG20" i="102"/>
  <c r="EH20" i="102"/>
  <c r="EI20" i="102"/>
  <c r="EJ20" i="102"/>
  <c r="EK20" i="102"/>
  <c r="EL20" i="102"/>
  <c r="EM20" i="102"/>
  <c r="EN20" i="102"/>
  <c r="EO20" i="102"/>
  <c r="EP20" i="102"/>
  <c r="EQ20" i="102"/>
  <c r="ER20" i="102"/>
  <c r="ES20" i="102"/>
  <c r="ET20" i="102"/>
  <c r="EU20" i="102"/>
  <c r="EV20" i="102"/>
  <c r="EW20" i="102"/>
  <c r="EX20" i="102"/>
  <c r="EY20" i="102"/>
  <c r="EZ20" i="102"/>
  <c r="FA20" i="102"/>
  <c r="FB20" i="102"/>
  <c r="FC20" i="102"/>
  <c r="FD20" i="102"/>
  <c r="FE20" i="102"/>
  <c r="FF20" i="102"/>
  <c r="FG20" i="102"/>
  <c r="FH20" i="102"/>
  <c r="FI20" i="102"/>
  <c r="FJ20" i="102"/>
  <c r="FK20" i="102"/>
  <c r="FL20" i="102"/>
  <c r="FM20" i="102"/>
  <c r="FN20" i="102"/>
  <c r="FO20" i="102"/>
  <c r="FP20" i="102"/>
  <c r="FQ20" i="102"/>
  <c r="FR20" i="102"/>
  <c r="FS20" i="102"/>
  <c r="FT20" i="102"/>
  <c r="FU20" i="102"/>
  <c r="FV20" i="102"/>
  <c r="FW20" i="102"/>
  <c r="FX20" i="102"/>
  <c r="FY20" i="102"/>
  <c r="FZ20" i="102"/>
  <c r="GA20" i="102"/>
  <c r="GB20" i="102"/>
  <c r="GC20" i="102"/>
  <c r="GD20" i="102"/>
  <c r="GE20" i="102"/>
  <c r="GF20" i="102"/>
  <c r="GG20" i="102"/>
  <c r="GH20" i="102"/>
  <c r="GI20" i="102"/>
  <c r="GJ20" i="102"/>
  <c r="GK20" i="102"/>
  <c r="GL20" i="102"/>
  <c r="GM20" i="102"/>
  <c r="GN20" i="102"/>
  <c r="GO20" i="102"/>
  <c r="GP20" i="102"/>
  <c r="GQ20" i="102"/>
  <c r="GR20" i="102"/>
  <c r="GS20" i="102"/>
  <c r="GT20" i="102"/>
  <c r="GU20" i="102"/>
  <c r="GV20" i="102"/>
  <c r="GW20" i="102"/>
  <c r="GX20" i="102"/>
  <c r="GY20" i="102"/>
  <c r="GZ20" i="102"/>
  <c r="HA20" i="102"/>
  <c r="HB20" i="102"/>
  <c r="HC20" i="102"/>
  <c r="HD20" i="102"/>
  <c r="HE20" i="102"/>
  <c r="HF20" i="102"/>
  <c r="HG20" i="102"/>
  <c r="HH20" i="102"/>
  <c r="HI20" i="102"/>
  <c r="HJ20" i="102"/>
  <c r="HK20" i="102"/>
  <c r="HL20" i="102"/>
  <c r="HM20" i="102"/>
  <c r="HN20" i="102"/>
  <c r="HO20" i="102"/>
  <c r="HP20" i="102"/>
  <c r="HQ20" i="102"/>
  <c r="HR20" i="102"/>
  <c r="HS20" i="102"/>
  <c r="HT20" i="102"/>
  <c r="HU20" i="102"/>
  <c r="HV20" i="102"/>
  <c r="HW20" i="102"/>
  <c r="HX20" i="102"/>
  <c r="HY20" i="102"/>
  <c r="HZ20" i="102"/>
  <c r="IA20" i="102"/>
  <c r="IB20" i="102"/>
  <c r="IC20" i="102"/>
  <c r="ID20" i="102"/>
  <c r="IE20" i="102"/>
  <c r="IF20" i="102"/>
  <c r="IG20" i="102"/>
  <c r="IH20" i="102"/>
  <c r="II20" i="102"/>
  <c r="IJ20" i="102"/>
  <c r="IK20" i="102"/>
  <c r="IL20" i="102"/>
  <c r="IM20" i="102"/>
  <c r="IN20" i="102"/>
  <c r="IO20" i="102"/>
  <c r="IP20" i="102"/>
  <c r="IQ20" i="102"/>
  <c r="IR20" i="102"/>
  <c r="IS20" i="102"/>
  <c r="IT20" i="102"/>
  <c r="IU20" i="102"/>
  <c r="IV20" i="102"/>
  <c r="IW20" i="102"/>
  <c r="IX20" i="102"/>
  <c r="IY20" i="102"/>
  <c r="IZ20" i="102"/>
  <c r="JA20" i="102"/>
  <c r="JB20" i="102"/>
  <c r="JC20" i="102"/>
  <c r="JD20" i="102"/>
  <c r="JE20" i="102"/>
  <c r="JF20" i="102"/>
  <c r="JG20" i="102"/>
  <c r="JH20" i="102"/>
  <c r="JI20" i="102"/>
  <c r="JJ20" i="102"/>
  <c r="JK20" i="102"/>
  <c r="JL20" i="102"/>
  <c r="JM20" i="102"/>
  <c r="JN20" i="102"/>
  <c r="JO20" i="102"/>
  <c r="JP20" i="102"/>
  <c r="JQ20" i="102"/>
  <c r="JR20" i="102"/>
  <c r="JS20" i="102"/>
  <c r="JT20" i="102"/>
  <c r="JU20" i="102"/>
  <c r="JV20" i="102"/>
  <c r="JW20" i="102"/>
  <c r="JX20" i="102"/>
  <c r="JY20" i="102"/>
  <c r="JZ20" i="102"/>
  <c r="KA20" i="102"/>
  <c r="KB20" i="102"/>
  <c r="KC20" i="102"/>
  <c r="KD20" i="102"/>
  <c r="KE20" i="102"/>
  <c r="KF20" i="102"/>
  <c r="KG20" i="102"/>
  <c r="KH20" i="102"/>
  <c r="KI20" i="102"/>
  <c r="KJ20" i="102"/>
  <c r="KK20" i="102"/>
  <c r="KL20" i="102"/>
  <c r="KM20" i="102"/>
  <c r="KN20" i="102"/>
  <c r="KO20" i="102"/>
  <c r="KP20" i="102"/>
  <c r="KQ20" i="102"/>
  <c r="KR20" i="102"/>
  <c r="KS20" i="102"/>
  <c r="KT20" i="102"/>
  <c r="KU20" i="102"/>
  <c r="KV20" i="102"/>
  <c r="KW20" i="102"/>
  <c r="KX20" i="102"/>
  <c r="KY20" i="102"/>
  <c r="KZ20" i="102"/>
  <c r="LA20" i="102"/>
  <c r="LB20" i="102"/>
  <c r="LC20" i="102"/>
  <c r="LD20" i="102"/>
  <c r="LE20" i="102"/>
  <c r="LF20" i="102"/>
  <c r="LG20" i="102"/>
  <c r="LH20" i="102"/>
  <c r="LI20" i="102"/>
  <c r="LJ20" i="102"/>
  <c r="LK20" i="102"/>
  <c r="LL20" i="102"/>
  <c r="LM20" i="102"/>
  <c r="LN20" i="102"/>
  <c r="LO20" i="102"/>
  <c r="LP20" i="102"/>
  <c r="LQ20" i="102"/>
  <c r="LR20" i="102"/>
  <c r="LS20" i="102"/>
  <c r="LT20" i="102"/>
  <c r="LU20" i="102"/>
  <c r="LV20" i="102"/>
  <c r="LW20" i="102"/>
  <c r="LX20" i="102"/>
  <c r="LY20" i="102"/>
  <c r="LZ20" i="102"/>
  <c r="MA20" i="102"/>
  <c r="MB20" i="102"/>
  <c r="MC20" i="102"/>
  <c r="MD20" i="102"/>
  <c r="ME20" i="102"/>
  <c r="MF20" i="102"/>
  <c r="MG20" i="102"/>
  <c r="MH20" i="102"/>
  <c r="MI20" i="102"/>
  <c r="MJ20" i="102"/>
  <c r="MK20" i="102"/>
  <c r="ML20" i="102"/>
  <c r="MM20" i="102"/>
  <c r="MN20" i="102"/>
  <c r="MO20" i="102"/>
  <c r="MP20" i="102"/>
  <c r="MQ20" i="102"/>
  <c r="MR20" i="102"/>
  <c r="MS20" i="102"/>
  <c r="MT20" i="102"/>
  <c r="MU20" i="102"/>
  <c r="MV20" i="102"/>
  <c r="MW20" i="102"/>
  <c r="MX20" i="102"/>
  <c r="MY20" i="102"/>
  <c r="MZ20" i="102"/>
  <c r="NA20" i="102"/>
  <c r="NB20" i="102"/>
  <c r="NC20" i="102"/>
  <c r="ND20" i="102"/>
  <c r="NE20" i="102"/>
  <c r="NF20" i="102"/>
  <c r="NG20" i="102"/>
  <c r="NH20" i="102"/>
  <c r="NI20" i="102"/>
  <c r="NJ20" i="102"/>
  <c r="NK20" i="102"/>
  <c r="NL20" i="102"/>
  <c r="NM20" i="102"/>
  <c r="NN20" i="102"/>
  <c r="NO20" i="102"/>
  <c r="NP20" i="102"/>
  <c r="NQ20" i="102"/>
  <c r="NR20" i="102"/>
  <c r="NS20" i="102"/>
  <c r="NT20" i="102"/>
  <c r="NU20" i="102"/>
  <c r="NV20" i="102"/>
  <c r="NW20" i="102"/>
  <c r="NX20" i="102"/>
  <c r="NY20" i="102"/>
  <c r="NZ20" i="102"/>
  <c r="OA20" i="102"/>
  <c r="OB20" i="102"/>
  <c r="OC20" i="102"/>
  <c r="OD20" i="102"/>
  <c r="OE20" i="102"/>
  <c r="OF20" i="102"/>
  <c r="OG20" i="102"/>
  <c r="OH20" i="102"/>
  <c r="OI20" i="102"/>
  <c r="OJ20" i="102"/>
  <c r="OK20" i="102"/>
  <c r="OL20" i="102"/>
  <c r="OM20" i="102"/>
  <c r="ON20" i="102"/>
  <c r="OO20" i="102"/>
  <c r="OP20" i="102"/>
  <c r="OQ20" i="102"/>
  <c r="OR20" i="102"/>
  <c r="OS20" i="102"/>
  <c r="OT20" i="102"/>
  <c r="OU20" i="102"/>
  <c r="OV20" i="102"/>
  <c r="OW20" i="102"/>
  <c r="OX20" i="102"/>
  <c r="OY20" i="102"/>
  <c r="OZ20" i="102"/>
  <c r="PA20" i="102"/>
  <c r="PB20" i="102"/>
  <c r="PC20" i="102"/>
  <c r="PD20" i="102"/>
  <c r="PE20" i="102"/>
  <c r="PF20" i="102"/>
  <c r="PG20" i="102"/>
  <c r="PH20" i="102"/>
  <c r="PI20" i="102"/>
  <c r="PJ20" i="102"/>
  <c r="PK20" i="102"/>
  <c r="PL20" i="102"/>
  <c r="PM20" i="102"/>
  <c r="PN20" i="102"/>
  <c r="PO20" i="102"/>
  <c r="PP20" i="102"/>
  <c r="PQ20" i="102"/>
  <c r="PR20" i="102"/>
  <c r="PS20" i="102"/>
  <c r="PT20" i="102"/>
  <c r="PU20" i="102"/>
  <c r="PV20" i="102"/>
  <c r="PW20" i="102"/>
  <c r="G21" i="102"/>
  <c r="H21" i="102"/>
  <c r="I21" i="102"/>
  <c r="J21" i="102"/>
  <c r="K21" i="102"/>
  <c r="L21" i="102"/>
  <c r="M21" i="102"/>
  <c r="N21" i="102"/>
  <c r="O21" i="102"/>
  <c r="P21" i="102"/>
  <c r="Q21" i="102"/>
  <c r="R21" i="102"/>
  <c r="S21" i="102"/>
  <c r="T21" i="102"/>
  <c r="U21" i="102"/>
  <c r="V21" i="102"/>
  <c r="W21" i="102"/>
  <c r="X21" i="102"/>
  <c r="Y21" i="102"/>
  <c r="Z21" i="102"/>
  <c r="AA21" i="102"/>
  <c r="AB21" i="102"/>
  <c r="AC21" i="102"/>
  <c r="AD21" i="102"/>
  <c r="AE21" i="102"/>
  <c r="AF21" i="102"/>
  <c r="AG21" i="102"/>
  <c r="AH21" i="102"/>
  <c r="AI21" i="102"/>
  <c r="AJ21" i="102"/>
  <c r="AK21" i="102"/>
  <c r="AL21" i="102"/>
  <c r="AM21" i="102"/>
  <c r="AN21" i="102"/>
  <c r="AO21" i="102"/>
  <c r="AP21" i="102"/>
  <c r="AQ21" i="102"/>
  <c r="AR21" i="102"/>
  <c r="AS21" i="102"/>
  <c r="AT21" i="102"/>
  <c r="AU21" i="102"/>
  <c r="AV21" i="102"/>
  <c r="AW21" i="102"/>
  <c r="AX21" i="102"/>
  <c r="AY21" i="102"/>
  <c r="AZ21" i="102"/>
  <c r="BA21" i="102"/>
  <c r="BB21" i="102"/>
  <c r="BC21" i="102"/>
  <c r="BD21" i="102"/>
  <c r="BE21" i="102"/>
  <c r="BF21" i="102"/>
  <c r="BG21" i="102"/>
  <c r="BH21" i="102"/>
  <c r="BI21" i="102"/>
  <c r="BJ21" i="102"/>
  <c r="BK21" i="102"/>
  <c r="BL21" i="102"/>
  <c r="BM21" i="102"/>
  <c r="BN21" i="102"/>
  <c r="BO21" i="102"/>
  <c r="BP21" i="102"/>
  <c r="BQ21" i="102"/>
  <c r="BR21" i="102"/>
  <c r="BS21" i="102"/>
  <c r="BT21" i="102"/>
  <c r="BU21" i="102"/>
  <c r="BV21" i="102"/>
  <c r="BW21" i="102"/>
  <c r="BX21" i="102"/>
  <c r="BY21" i="102"/>
  <c r="BZ21" i="102"/>
  <c r="CA21" i="102"/>
  <c r="CB21" i="102"/>
  <c r="CC21" i="102"/>
  <c r="CD21" i="102"/>
  <c r="CE21" i="102"/>
  <c r="CF21" i="102"/>
  <c r="CG21" i="102"/>
  <c r="CH21" i="102"/>
  <c r="CI21" i="102"/>
  <c r="CJ21" i="102"/>
  <c r="CK21" i="102"/>
  <c r="CL21" i="102"/>
  <c r="CM21" i="102"/>
  <c r="CN21" i="102"/>
  <c r="CO21" i="102"/>
  <c r="CP21" i="102"/>
  <c r="CQ21" i="102"/>
  <c r="CR21" i="102"/>
  <c r="CS21" i="102"/>
  <c r="CT21" i="102"/>
  <c r="CU21" i="102"/>
  <c r="CV21" i="102"/>
  <c r="CW21" i="102"/>
  <c r="CX21" i="102"/>
  <c r="CY21" i="102"/>
  <c r="CZ21" i="102"/>
  <c r="DA21" i="102"/>
  <c r="DB21" i="102"/>
  <c r="DC21" i="102"/>
  <c r="DD21" i="102"/>
  <c r="DE21" i="102"/>
  <c r="DF21" i="102"/>
  <c r="DG21" i="102"/>
  <c r="DH21" i="102"/>
  <c r="DI21" i="102"/>
  <c r="DJ21" i="102"/>
  <c r="DK21" i="102"/>
  <c r="DL21" i="102"/>
  <c r="DM21" i="102"/>
  <c r="DN21" i="102"/>
  <c r="DO21" i="102"/>
  <c r="DP21" i="102"/>
  <c r="DQ21" i="102"/>
  <c r="DR21" i="102"/>
  <c r="DS21" i="102"/>
  <c r="DT21" i="102"/>
  <c r="DU21" i="102"/>
  <c r="DV21" i="102"/>
  <c r="DW21" i="102"/>
  <c r="DX21" i="102"/>
  <c r="DY21" i="102"/>
  <c r="DZ21" i="102"/>
  <c r="EA21" i="102"/>
  <c r="EB21" i="102"/>
  <c r="EC21" i="102"/>
  <c r="ED21" i="102"/>
  <c r="EE21" i="102"/>
  <c r="EF21" i="102"/>
  <c r="EG21" i="102"/>
  <c r="EH21" i="102"/>
  <c r="EI21" i="102"/>
  <c r="EJ21" i="102"/>
  <c r="EK21" i="102"/>
  <c r="EL21" i="102"/>
  <c r="EM21" i="102"/>
  <c r="EN21" i="102"/>
  <c r="EO21" i="102"/>
  <c r="EP21" i="102"/>
  <c r="EQ21" i="102"/>
  <c r="ER21" i="102"/>
  <c r="ES21" i="102"/>
  <c r="ET21" i="102"/>
  <c r="EU21" i="102"/>
  <c r="EV21" i="102"/>
  <c r="EW21" i="102"/>
  <c r="EX21" i="102"/>
  <c r="EY21" i="102"/>
  <c r="EZ21" i="102"/>
  <c r="FA21" i="102"/>
  <c r="FB21" i="102"/>
  <c r="FC21" i="102"/>
  <c r="FD21" i="102"/>
  <c r="FE21" i="102"/>
  <c r="FF21" i="102"/>
  <c r="FG21" i="102"/>
  <c r="FH21" i="102"/>
  <c r="FI21" i="102"/>
  <c r="FJ21" i="102"/>
  <c r="FK21" i="102"/>
  <c r="FL21" i="102"/>
  <c r="FM21" i="102"/>
  <c r="FN21" i="102"/>
  <c r="FO21" i="102"/>
  <c r="FP21" i="102"/>
  <c r="FQ21" i="102"/>
  <c r="FR21" i="102"/>
  <c r="FS21" i="102"/>
  <c r="FT21" i="102"/>
  <c r="FU21" i="102"/>
  <c r="FV21" i="102"/>
  <c r="FW21" i="102"/>
  <c r="FX21" i="102"/>
  <c r="FY21" i="102"/>
  <c r="FZ21" i="102"/>
  <c r="GA21" i="102"/>
  <c r="GB21" i="102"/>
  <c r="GC21" i="102"/>
  <c r="GD21" i="102"/>
  <c r="GE21" i="102"/>
  <c r="GF21" i="102"/>
  <c r="GG21" i="102"/>
  <c r="GH21" i="102"/>
  <c r="GI21" i="102"/>
  <c r="GJ21" i="102"/>
  <c r="GK21" i="102"/>
  <c r="GL21" i="102"/>
  <c r="GM21" i="102"/>
  <c r="GN21" i="102"/>
  <c r="GO21" i="102"/>
  <c r="GP21" i="102"/>
  <c r="GQ21" i="102"/>
  <c r="GR21" i="102"/>
  <c r="GS21" i="102"/>
  <c r="GT21" i="102"/>
  <c r="GU21" i="102"/>
  <c r="GV21" i="102"/>
  <c r="GW21" i="102"/>
  <c r="GX21" i="102"/>
  <c r="GY21" i="102"/>
  <c r="GZ21" i="102"/>
  <c r="HA21" i="102"/>
  <c r="HB21" i="102"/>
  <c r="HC21" i="102"/>
  <c r="HD21" i="102"/>
  <c r="HE21" i="102"/>
  <c r="HF21" i="102"/>
  <c r="HG21" i="102"/>
  <c r="HH21" i="102"/>
  <c r="HI21" i="102"/>
  <c r="HJ21" i="102"/>
  <c r="HK21" i="102"/>
  <c r="HL21" i="102"/>
  <c r="HM21" i="102"/>
  <c r="HN21" i="102"/>
  <c r="HO21" i="102"/>
  <c r="HP21" i="102"/>
  <c r="HQ21" i="102"/>
  <c r="HR21" i="102"/>
  <c r="HS21" i="102"/>
  <c r="HT21" i="102"/>
  <c r="HU21" i="102"/>
  <c r="HV21" i="102"/>
  <c r="HW21" i="102"/>
  <c r="HX21" i="102"/>
  <c r="HY21" i="102"/>
  <c r="HZ21" i="102"/>
  <c r="IA21" i="102"/>
  <c r="IB21" i="102"/>
  <c r="IC21" i="102"/>
  <c r="ID21" i="102"/>
  <c r="IE21" i="102"/>
  <c r="IF21" i="102"/>
  <c r="IG21" i="102"/>
  <c r="IH21" i="102"/>
  <c r="II21" i="102"/>
  <c r="IJ21" i="102"/>
  <c r="IK21" i="102"/>
  <c r="IL21" i="102"/>
  <c r="IM21" i="102"/>
  <c r="IN21" i="102"/>
  <c r="IO21" i="102"/>
  <c r="IP21" i="102"/>
  <c r="IQ21" i="102"/>
  <c r="IR21" i="102"/>
  <c r="IS21" i="102"/>
  <c r="IT21" i="102"/>
  <c r="IU21" i="102"/>
  <c r="IV21" i="102"/>
  <c r="IW21" i="102"/>
  <c r="IX21" i="102"/>
  <c r="IY21" i="102"/>
  <c r="IZ21" i="102"/>
  <c r="JA21" i="102"/>
  <c r="JB21" i="102"/>
  <c r="JC21" i="102"/>
  <c r="JD21" i="102"/>
  <c r="JE21" i="102"/>
  <c r="JF21" i="102"/>
  <c r="JG21" i="102"/>
  <c r="JH21" i="102"/>
  <c r="JI21" i="102"/>
  <c r="JJ21" i="102"/>
  <c r="JK21" i="102"/>
  <c r="JL21" i="102"/>
  <c r="JM21" i="102"/>
  <c r="JN21" i="102"/>
  <c r="JO21" i="102"/>
  <c r="JP21" i="102"/>
  <c r="JQ21" i="102"/>
  <c r="JR21" i="102"/>
  <c r="JS21" i="102"/>
  <c r="JT21" i="102"/>
  <c r="JU21" i="102"/>
  <c r="JV21" i="102"/>
  <c r="JW21" i="102"/>
  <c r="JX21" i="102"/>
  <c r="JY21" i="102"/>
  <c r="JZ21" i="102"/>
  <c r="KA21" i="102"/>
  <c r="KB21" i="102"/>
  <c r="KC21" i="102"/>
  <c r="KD21" i="102"/>
  <c r="KE21" i="102"/>
  <c r="KF21" i="102"/>
  <c r="KG21" i="102"/>
  <c r="KH21" i="102"/>
  <c r="KI21" i="102"/>
  <c r="KJ21" i="102"/>
  <c r="KK21" i="102"/>
  <c r="KL21" i="102"/>
  <c r="KM21" i="102"/>
  <c r="KN21" i="102"/>
  <c r="KO21" i="102"/>
  <c r="KP21" i="102"/>
  <c r="KQ21" i="102"/>
  <c r="KR21" i="102"/>
  <c r="KS21" i="102"/>
  <c r="KT21" i="102"/>
  <c r="KU21" i="102"/>
  <c r="KV21" i="102"/>
  <c r="KW21" i="102"/>
  <c r="KX21" i="102"/>
  <c r="KY21" i="102"/>
  <c r="KZ21" i="102"/>
  <c r="LA21" i="102"/>
  <c r="LB21" i="102"/>
  <c r="LC21" i="102"/>
  <c r="LD21" i="102"/>
  <c r="LE21" i="102"/>
  <c r="LF21" i="102"/>
  <c r="LG21" i="102"/>
  <c r="LH21" i="102"/>
  <c r="LI21" i="102"/>
  <c r="LJ21" i="102"/>
  <c r="LK21" i="102"/>
  <c r="LL21" i="102"/>
  <c r="LM21" i="102"/>
  <c r="LN21" i="102"/>
  <c r="LO21" i="102"/>
  <c r="LP21" i="102"/>
  <c r="LQ21" i="102"/>
  <c r="LR21" i="102"/>
  <c r="LS21" i="102"/>
  <c r="LT21" i="102"/>
  <c r="LU21" i="102"/>
  <c r="LV21" i="102"/>
  <c r="LW21" i="102"/>
  <c r="LX21" i="102"/>
  <c r="LY21" i="102"/>
  <c r="LZ21" i="102"/>
  <c r="MA21" i="102"/>
  <c r="MB21" i="102"/>
  <c r="MC21" i="102"/>
  <c r="MD21" i="102"/>
  <c r="ME21" i="102"/>
  <c r="MF21" i="102"/>
  <c r="MG21" i="102"/>
  <c r="MH21" i="102"/>
  <c r="MI21" i="102"/>
  <c r="MJ21" i="102"/>
  <c r="MK21" i="102"/>
  <c r="ML21" i="102"/>
  <c r="MM21" i="102"/>
  <c r="MN21" i="102"/>
  <c r="MO21" i="102"/>
  <c r="MP21" i="102"/>
  <c r="MQ21" i="102"/>
  <c r="MR21" i="102"/>
  <c r="MS21" i="102"/>
  <c r="MT21" i="102"/>
  <c r="MU21" i="102"/>
  <c r="MV21" i="102"/>
  <c r="MW21" i="102"/>
  <c r="MX21" i="102"/>
  <c r="MY21" i="102"/>
  <c r="MZ21" i="102"/>
  <c r="NA21" i="102"/>
  <c r="NB21" i="102"/>
  <c r="NC21" i="102"/>
  <c r="ND21" i="102"/>
  <c r="NE21" i="102"/>
  <c r="NF21" i="102"/>
  <c r="NG21" i="102"/>
  <c r="NH21" i="102"/>
  <c r="NI21" i="102"/>
  <c r="NJ21" i="102"/>
  <c r="NK21" i="102"/>
  <c r="NL21" i="102"/>
  <c r="NM21" i="102"/>
  <c r="NN21" i="102"/>
  <c r="NO21" i="102"/>
  <c r="NP21" i="102"/>
  <c r="NQ21" i="102"/>
  <c r="NR21" i="102"/>
  <c r="NS21" i="102"/>
  <c r="NT21" i="102"/>
  <c r="NU21" i="102"/>
  <c r="NV21" i="102"/>
  <c r="NW21" i="102"/>
  <c r="NX21" i="102"/>
  <c r="NY21" i="102"/>
  <c r="NZ21" i="102"/>
  <c r="OA21" i="102"/>
  <c r="OB21" i="102"/>
  <c r="OC21" i="102"/>
  <c r="OD21" i="102"/>
  <c r="OE21" i="102"/>
  <c r="OF21" i="102"/>
  <c r="OG21" i="102"/>
  <c r="OH21" i="102"/>
  <c r="OI21" i="102"/>
  <c r="OJ21" i="102"/>
  <c r="OK21" i="102"/>
  <c r="OL21" i="102"/>
  <c r="OM21" i="102"/>
  <c r="ON21" i="102"/>
  <c r="OO21" i="102"/>
  <c r="OP21" i="102"/>
  <c r="OQ21" i="102"/>
  <c r="OR21" i="102"/>
  <c r="OS21" i="102"/>
  <c r="OT21" i="102"/>
  <c r="OU21" i="102"/>
  <c r="OV21" i="102"/>
  <c r="OW21" i="102"/>
  <c r="OX21" i="102"/>
  <c r="OY21" i="102"/>
  <c r="OZ21" i="102"/>
  <c r="PA21" i="102"/>
  <c r="PB21" i="102"/>
  <c r="PC21" i="102"/>
  <c r="PD21" i="102"/>
  <c r="PE21" i="102"/>
  <c r="PF21" i="102"/>
  <c r="PG21" i="102"/>
  <c r="PH21" i="102"/>
  <c r="PI21" i="102"/>
  <c r="PJ21" i="102"/>
  <c r="PK21" i="102"/>
  <c r="PL21" i="102"/>
  <c r="PM21" i="102"/>
  <c r="PN21" i="102"/>
  <c r="PO21" i="102"/>
  <c r="PP21" i="102"/>
  <c r="PQ21" i="102"/>
  <c r="PR21" i="102"/>
  <c r="PS21" i="102"/>
  <c r="PT21" i="102"/>
  <c r="PU21" i="102"/>
  <c r="PV21" i="102"/>
  <c r="PW21" i="102"/>
  <c r="G22" i="102"/>
  <c r="H22" i="102"/>
  <c r="I22" i="102"/>
  <c r="J22" i="102"/>
  <c r="K22" i="102"/>
  <c r="L22" i="102"/>
  <c r="M22" i="102"/>
  <c r="N22" i="102"/>
  <c r="O22" i="102"/>
  <c r="P22" i="102"/>
  <c r="Q22" i="102"/>
  <c r="R22" i="102"/>
  <c r="S22" i="102"/>
  <c r="T22" i="102"/>
  <c r="U22" i="102"/>
  <c r="V22" i="102"/>
  <c r="W22" i="102"/>
  <c r="X22" i="102"/>
  <c r="Y22" i="102"/>
  <c r="Z22" i="102"/>
  <c r="AA22" i="102"/>
  <c r="AB22" i="102"/>
  <c r="AC22" i="102"/>
  <c r="AD22" i="102"/>
  <c r="AE22" i="102"/>
  <c r="AF22" i="102"/>
  <c r="AG22" i="102"/>
  <c r="AH22" i="102"/>
  <c r="AI22" i="102"/>
  <c r="AJ22" i="102"/>
  <c r="AK22" i="102"/>
  <c r="AL22" i="102"/>
  <c r="AM22" i="102"/>
  <c r="AN22" i="102"/>
  <c r="AO22" i="102"/>
  <c r="AP22" i="102"/>
  <c r="AQ22" i="102"/>
  <c r="AR22" i="102"/>
  <c r="AS22" i="102"/>
  <c r="AT22" i="102"/>
  <c r="AU22" i="102"/>
  <c r="AV22" i="102"/>
  <c r="AW22" i="102"/>
  <c r="AX22" i="102"/>
  <c r="AY22" i="102"/>
  <c r="AZ22" i="102"/>
  <c r="BA22" i="102"/>
  <c r="BB22" i="102"/>
  <c r="BC22" i="102"/>
  <c r="BD22" i="102"/>
  <c r="BE22" i="102"/>
  <c r="BF22" i="102"/>
  <c r="BG22" i="102"/>
  <c r="BH22" i="102"/>
  <c r="BI22" i="102"/>
  <c r="BJ22" i="102"/>
  <c r="BK22" i="102"/>
  <c r="BL22" i="102"/>
  <c r="BM22" i="102"/>
  <c r="BN22" i="102"/>
  <c r="BO22" i="102"/>
  <c r="BP22" i="102"/>
  <c r="BQ22" i="102"/>
  <c r="BR22" i="102"/>
  <c r="BS22" i="102"/>
  <c r="BT22" i="102"/>
  <c r="BU22" i="102"/>
  <c r="BV22" i="102"/>
  <c r="BW22" i="102"/>
  <c r="BX22" i="102"/>
  <c r="BY22" i="102"/>
  <c r="BZ22" i="102"/>
  <c r="CA22" i="102"/>
  <c r="CB22" i="102"/>
  <c r="CC22" i="102"/>
  <c r="CD22" i="102"/>
  <c r="CE22" i="102"/>
  <c r="CF22" i="102"/>
  <c r="CG22" i="102"/>
  <c r="CH22" i="102"/>
  <c r="CI22" i="102"/>
  <c r="CJ22" i="102"/>
  <c r="CK22" i="102"/>
  <c r="CL22" i="102"/>
  <c r="CM22" i="102"/>
  <c r="CN22" i="102"/>
  <c r="CO22" i="102"/>
  <c r="CP22" i="102"/>
  <c r="CQ22" i="102"/>
  <c r="CR22" i="102"/>
  <c r="CS22" i="102"/>
  <c r="CT22" i="102"/>
  <c r="CU22" i="102"/>
  <c r="CV22" i="102"/>
  <c r="CW22" i="102"/>
  <c r="CX22" i="102"/>
  <c r="CY22" i="102"/>
  <c r="CZ22" i="102"/>
  <c r="DA22" i="102"/>
  <c r="DB22" i="102"/>
  <c r="DC22" i="102"/>
  <c r="DD22" i="102"/>
  <c r="DE22" i="102"/>
  <c r="DF22" i="102"/>
  <c r="DG22" i="102"/>
  <c r="DH22" i="102"/>
  <c r="DI22" i="102"/>
  <c r="DJ22" i="102"/>
  <c r="DK22" i="102"/>
  <c r="DL22" i="102"/>
  <c r="DM22" i="102"/>
  <c r="DN22" i="102"/>
  <c r="DO22" i="102"/>
  <c r="DP22" i="102"/>
  <c r="DQ22" i="102"/>
  <c r="DR22" i="102"/>
  <c r="DS22" i="102"/>
  <c r="DT22" i="102"/>
  <c r="DU22" i="102"/>
  <c r="DV22" i="102"/>
  <c r="DW22" i="102"/>
  <c r="DX22" i="102"/>
  <c r="DY22" i="102"/>
  <c r="DZ22" i="102"/>
  <c r="EA22" i="102"/>
  <c r="EB22" i="102"/>
  <c r="EC22" i="102"/>
  <c r="ED22" i="102"/>
  <c r="EE22" i="102"/>
  <c r="EF22" i="102"/>
  <c r="EG22" i="102"/>
  <c r="EH22" i="102"/>
  <c r="EI22" i="102"/>
  <c r="EJ22" i="102"/>
  <c r="EK22" i="102"/>
  <c r="EL22" i="102"/>
  <c r="EM22" i="102"/>
  <c r="EN22" i="102"/>
  <c r="EO22" i="102"/>
  <c r="EP22" i="102"/>
  <c r="EQ22" i="102"/>
  <c r="ER22" i="102"/>
  <c r="ES22" i="102"/>
  <c r="ET22" i="102"/>
  <c r="EU22" i="102"/>
  <c r="EV22" i="102"/>
  <c r="EW22" i="102"/>
  <c r="EX22" i="102"/>
  <c r="EY22" i="102"/>
  <c r="EZ22" i="102"/>
  <c r="FA22" i="102"/>
  <c r="FB22" i="102"/>
  <c r="FC22" i="102"/>
  <c r="FD22" i="102"/>
  <c r="FE22" i="102"/>
  <c r="FF22" i="102"/>
  <c r="FG22" i="102"/>
  <c r="FH22" i="102"/>
  <c r="FI22" i="102"/>
  <c r="FJ22" i="102"/>
  <c r="FK22" i="102"/>
  <c r="FL22" i="102"/>
  <c r="FM22" i="102"/>
  <c r="FN22" i="102"/>
  <c r="FO22" i="102"/>
  <c r="FP22" i="102"/>
  <c r="FQ22" i="102"/>
  <c r="FR22" i="102"/>
  <c r="FS22" i="102"/>
  <c r="FT22" i="102"/>
  <c r="FU22" i="102"/>
  <c r="FV22" i="102"/>
  <c r="FW22" i="102"/>
  <c r="FX22" i="102"/>
  <c r="FY22" i="102"/>
  <c r="FZ22" i="102"/>
  <c r="GA22" i="102"/>
  <c r="GB22" i="102"/>
  <c r="GC22" i="102"/>
  <c r="GD22" i="102"/>
  <c r="GE22" i="102"/>
  <c r="GF22" i="102"/>
  <c r="GG22" i="102"/>
  <c r="GH22" i="102"/>
  <c r="GI22" i="102"/>
  <c r="GJ22" i="102"/>
  <c r="GK22" i="102"/>
  <c r="GL22" i="102"/>
  <c r="GM22" i="102"/>
  <c r="GN22" i="102"/>
  <c r="GO22" i="102"/>
  <c r="GP22" i="102"/>
  <c r="GQ22" i="102"/>
  <c r="GR22" i="102"/>
  <c r="GS22" i="102"/>
  <c r="GT22" i="102"/>
  <c r="GU22" i="102"/>
  <c r="GV22" i="102"/>
  <c r="GW22" i="102"/>
  <c r="GX22" i="102"/>
  <c r="GY22" i="102"/>
  <c r="GZ22" i="102"/>
  <c r="HA22" i="102"/>
  <c r="HB22" i="102"/>
  <c r="HC22" i="102"/>
  <c r="HD22" i="102"/>
  <c r="HE22" i="102"/>
  <c r="HF22" i="102"/>
  <c r="HG22" i="102"/>
  <c r="HH22" i="102"/>
  <c r="HI22" i="102"/>
  <c r="HJ22" i="102"/>
  <c r="HK22" i="102"/>
  <c r="HL22" i="102"/>
  <c r="HM22" i="102"/>
  <c r="HN22" i="102"/>
  <c r="HO22" i="102"/>
  <c r="HP22" i="102"/>
  <c r="HQ22" i="102"/>
  <c r="HR22" i="102"/>
  <c r="HS22" i="102"/>
  <c r="HT22" i="102"/>
  <c r="HU22" i="102"/>
  <c r="HV22" i="102"/>
  <c r="HW22" i="102"/>
  <c r="HX22" i="102"/>
  <c r="HY22" i="102"/>
  <c r="HZ22" i="102"/>
  <c r="IA22" i="102"/>
  <c r="IB22" i="102"/>
  <c r="IC22" i="102"/>
  <c r="ID22" i="102"/>
  <c r="IE22" i="102"/>
  <c r="IF22" i="102"/>
  <c r="IG22" i="102"/>
  <c r="IH22" i="102"/>
  <c r="II22" i="102"/>
  <c r="IJ22" i="102"/>
  <c r="IK22" i="102"/>
  <c r="IL22" i="102"/>
  <c r="IM22" i="102"/>
  <c r="IN22" i="102"/>
  <c r="IO22" i="102"/>
  <c r="IP22" i="102"/>
  <c r="IQ22" i="102"/>
  <c r="IR22" i="102"/>
  <c r="IS22" i="102"/>
  <c r="IT22" i="102"/>
  <c r="IU22" i="102"/>
  <c r="IV22" i="102"/>
  <c r="IW22" i="102"/>
  <c r="IX22" i="102"/>
  <c r="IY22" i="102"/>
  <c r="IZ22" i="102"/>
  <c r="JA22" i="102"/>
  <c r="JB22" i="102"/>
  <c r="JC22" i="102"/>
  <c r="JD22" i="102"/>
  <c r="JE22" i="102"/>
  <c r="JF22" i="102"/>
  <c r="JG22" i="102"/>
  <c r="JH22" i="102"/>
  <c r="JI22" i="102"/>
  <c r="JJ22" i="102"/>
  <c r="JK22" i="102"/>
  <c r="JL22" i="102"/>
  <c r="JM22" i="102"/>
  <c r="JN22" i="102"/>
  <c r="JO22" i="102"/>
  <c r="JP22" i="102"/>
  <c r="JQ22" i="102"/>
  <c r="JR22" i="102"/>
  <c r="JS22" i="102"/>
  <c r="JT22" i="102"/>
  <c r="JU22" i="102"/>
  <c r="JV22" i="102"/>
  <c r="JW22" i="102"/>
  <c r="JX22" i="102"/>
  <c r="JY22" i="102"/>
  <c r="JZ22" i="102"/>
  <c r="KA22" i="102"/>
  <c r="KB22" i="102"/>
  <c r="KC22" i="102"/>
  <c r="KD22" i="102"/>
  <c r="KE22" i="102"/>
  <c r="KF22" i="102"/>
  <c r="KG22" i="102"/>
  <c r="KH22" i="102"/>
  <c r="KI22" i="102"/>
  <c r="KJ22" i="102"/>
  <c r="KK22" i="102"/>
  <c r="KL22" i="102"/>
  <c r="KM22" i="102"/>
  <c r="KN22" i="102"/>
  <c r="KO22" i="102"/>
  <c r="KP22" i="102"/>
  <c r="KQ22" i="102"/>
  <c r="KR22" i="102"/>
  <c r="KS22" i="102"/>
  <c r="KT22" i="102"/>
  <c r="KU22" i="102"/>
  <c r="KV22" i="102"/>
  <c r="KW22" i="102"/>
  <c r="KX22" i="102"/>
  <c r="KY22" i="102"/>
  <c r="KZ22" i="102"/>
  <c r="LA22" i="102"/>
  <c r="LB22" i="102"/>
  <c r="LC22" i="102"/>
  <c r="LD22" i="102"/>
  <c r="LE22" i="102"/>
  <c r="LF22" i="102"/>
  <c r="LG22" i="102"/>
  <c r="LH22" i="102"/>
  <c r="LI22" i="102"/>
  <c r="LJ22" i="102"/>
  <c r="LK22" i="102"/>
  <c r="LL22" i="102"/>
  <c r="LM22" i="102"/>
  <c r="LN22" i="102"/>
  <c r="LO22" i="102"/>
  <c r="LP22" i="102"/>
  <c r="LQ22" i="102"/>
  <c r="LR22" i="102"/>
  <c r="LS22" i="102"/>
  <c r="LT22" i="102"/>
  <c r="LU22" i="102"/>
  <c r="LV22" i="102"/>
  <c r="LW22" i="102"/>
  <c r="LX22" i="102"/>
  <c r="LY22" i="102"/>
  <c r="LZ22" i="102"/>
  <c r="MA22" i="102"/>
  <c r="MB22" i="102"/>
  <c r="MC22" i="102"/>
  <c r="MD22" i="102"/>
  <c r="ME22" i="102"/>
  <c r="MF22" i="102"/>
  <c r="MG22" i="102"/>
  <c r="MH22" i="102"/>
  <c r="MI22" i="102"/>
  <c r="MJ22" i="102"/>
  <c r="MK22" i="102"/>
  <c r="ML22" i="102"/>
  <c r="MM22" i="102"/>
  <c r="MN22" i="102"/>
  <c r="MO22" i="102"/>
  <c r="MP22" i="102"/>
  <c r="MQ22" i="102"/>
  <c r="MR22" i="102"/>
  <c r="MS22" i="102"/>
  <c r="MT22" i="102"/>
  <c r="MU22" i="102"/>
  <c r="MV22" i="102"/>
  <c r="MW22" i="102"/>
  <c r="MX22" i="102"/>
  <c r="MY22" i="102"/>
  <c r="MZ22" i="102"/>
  <c r="NA22" i="102"/>
  <c r="NB22" i="102"/>
  <c r="NC22" i="102"/>
  <c r="ND22" i="102"/>
  <c r="NE22" i="102"/>
  <c r="NF22" i="102"/>
  <c r="NG22" i="102"/>
  <c r="NH22" i="102"/>
  <c r="NI22" i="102"/>
  <c r="NJ22" i="102"/>
  <c r="NK22" i="102"/>
  <c r="NL22" i="102"/>
  <c r="NM22" i="102"/>
  <c r="NN22" i="102"/>
  <c r="NO22" i="102"/>
  <c r="NP22" i="102"/>
  <c r="NQ22" i="102"/>
  <c r="NR22" i="102"/>
  <c r="NS22" i="102"/>
  <c r="NT22" i="102"/>
  <c r="NU22" i="102"/>
  <c r="NV22" i="102"/>
  <c r="NW22" i="102"/>
  <c r="NX22" i="102"/>
  <c r="NY22" i="102"/>
  <c r="NZ22" i="102"/>
  <c r="OA22" i="102"/>
  <c r="OB22" i="102"/>
  <c r="OC22" i="102"/>
  <c r="OD22" i="102"/>
  <c r="OE22" i="102"/>
  <c r="OF22" i="102"/>
  <c r="OG22" i="102"/>
  <c r="OH22" i="102"/>
  <c r="OI22" i="102"/>
  <c r="OJ22" i="102"/>
  <c r="OK22" i="102"/>
  <c r="OL22" i="102"/>
  <c r="OM22" i="102"/>
  <c r="ON22" i="102"/>
  <c r="OO22" i="102"/>
  <c r="OP22" i="102"/>
  <c r="OQ22" i="102"/>
  <c r="OR22" i="102"/>
  <c r="OS22" i="102"/>
  <c r="OT22" i="102"/>
  <c r="OU22" i="102"/>
  <c r="OV22" i="102"/>
  <c r="OW22" i="102"/>
  <c r="OX22" i="102"/>
  <c r="OY22" i="102"/>
  <c r="OZ22" i="102"/>
  <c r="PA22" i="102"/>
  <c r="PB22" i="102"/>
  <c r="PC22" i="102"/>
  <c r="PD22" i="102"/>
  <c r="PE22" i="102"/>
  <c r="PF22" i="102"/>
  <c r="PG22" i="102"/>
  <c r="PH22" i="102"/>
  <c r="PI22" i="102"/>
  <c r="PJ22" i="102"/>
  <c r="PK22" i="102"/>
  <c r="PL22" i="102"/>
  <c r="PM22" i="102"/>
  <c r="PN22" i="102"/>
  <c r="PO22" i="102"/>
  <c r="PP22" i="102"/>
  <c r="PQ22" i="102"/>
  <c r="PR22" i="102"/>
  <c r="PS22" i="102"/>
  <c r="PT22" i="102"/>
  <c r="PU22" i="102"/>
  <c r="PV22" i="102"/>
  <c r="PW22" i="102"/>
  <c r="G23" i="102"/>
  <c r="H23" i="102"/>
  <c r="I23" i="102"/>
  <c r="J23" i="102"/>
  <c r="K23" i="102"/>
  <c r="L23" i="102"/>
  <c r="M23" i="102"/>
  <c r="N23" i="102"/>
  <c r="O23" i="102"/>
  <c r="P23" i="102"/>
  <c r="Q23" i="102"/>
  <c r="R23" i="102"/>
  <c r="S23" i="102"/>
  <c r="T23" i="102"/>
  <c r="U23" i="102"/>
  <c r="V23" i="102"/>
  <c r="W23" i="102"/>
  <c r="X23" i="102"/>
  <c r="Y23" i="102"/>
  <c r="Z23" i="102"/>
  <c r="AA23" i="102"/>
  <c r="AB23" i="102"/>
  <c r="AC23" i="102"/>
  <c r="AD23" i="102"/>
  <c r="AE23" i="102"/>
  <c r="AF23" i="102"/>
  <c r="AG23" i="102"/>
  <c r="AH23" i="102"/>
  <c r="AI23" i="102"/>
  <c r="AJ23" i="102"/>
  <c r="AK23" i="102"/>
  <c r="AL23" i="102"/>
  <c r="AM23" i="102"/>
  <c r="AN23" i="102"/>
  <c r="AO23" i="102"/>
  <c r="AP23" i="102"/>
  <c r="AQ23" i="102"/>
  <c r="AR23" i="102"/>
  <c r="AS23" i="102"/>
  <c r="AT23" i="102"/>
  <c r="AU23" i="102"/>
  <c r="AV23" i="102"/>
  <c r="AW23" i="102"/>
  <c r="AX23" i="102"/>
  <c r="AY23" i="102"/>
  <c r="AZ23" i="102"/>
  <c r="BA23" i="102"/>
  <c r="BB23" i="102"/>
  <c r="BC23" i="102"/>
  <c r="BD23" i="102"/>
  <c r="BE23" i="102"/>
  <c r="BF23" i="102"/>
  <c r="BG23" i="102"/>
  <c r="BH23" i="102"/>
  <c r="BI23" i="102"/>
  <c r="BJ23" i="102"/>
  <c r="BK23" i="102"/>
  <c r="BL23" i="102"/>
  <c r="BM23" i="102"/>
  <c r="BN23" i="102"/>
  <c r="BO23" i="102"/>
  <c r="BP23" i="102"/>
  <c r="BQ23" i="102"/>
  <c r="BR23" i="102"/>
  <c r="BS23" i="102"/>
  <c r="BT23" i="102"/>
  <c r="BU23" i="102"/>
  <c r="BV23" i="102"/>
  <c r="BW23" i="102"/>
  <c r="BX23" i="102"/>
  <c r="BY23" i="102"/>
  <c r="BZ23" i="102"/>
  <c r="CA23" i="102"/>
  <c r="CB23" i="102"/>
  <c r="CC23" i="102"/>
  <c r="CD23" i="102"/>
  <c r="CE23" i="102"/>
  <c r="CF23" i="102"/>
  <c r="CG23" i="102"/>
  <c r="CH23" i="102"/>
  <c r="CI23" i="102"/>
  <c r="CJ23" i="102"/>
  <c r="CK23" i="102"/>
  <c r="CL23" i="102"/>
  <c r="CM23" i="102"/>
  <c r="CN23" i="102"/>
  <c r="CO23" i="102"/>
  <c r="CP23" i="102"/>
  <c r="CQ23" i="102"/>
  <c r="CR23" i="102"/>
  <c r="CS23" i="102"/>
  <c r="CT23" i="102"/>
  <c r="CU23" i="102"/>
  <c r="CV23" i="102"/>
  <c r="CW23" i="102"/>
  <c r="CX23" i="102"/>
  <c r="CY23" i="102"/>
  <c r="CZ23" i="102"/>
  <c r="DA23" i="102"/>
  <c r="DB23" i="102"/>
  <c r="DC23" i="102"/>
  <c r="DD23" i="102"/>
  <c r="DE23" i="102"/>
  <c r="DF23" i="102"/>
  <c r="DG23" i="102"/>
  <c r="DH23" i="102"/>
  <c r="DI23" i="102"/>
  <c r="DJ23" i="102"/>
  <c r="DK23" i="102"/>
  <c r="DL23" i="102"/>
  <c r="DM23" i="102"/>
  <c r="DN23" i="102"/>
  <c r="DO23" i="102"/>
  <c r="DP23" i="102"/>
  <c r="DQ23" i="102"/>
  <c r="DR23" i="102"/>
  <c r="DS23" i="102"/>
  <c r="DT23" i="102"/>
  <c r="DU23" i="102"/>
  <c r="DV23" i="102"/>
  <c r="DW23" i="102"/>
  <c r="DX23" i="102"/>
  <c r="DY23" i="102"/>
  <c r="DZ23" i="102"/>
  <c r="EA23" i="102"/>
  <c r="EB23" i="102"/>
  <c r="EC23" i="102"/>
  <c r="ED23" i="102"/>
  <c r="EE23" i="102"/>
  <c r="EF23" i="102"/>
  <c r="EG23" i="102"/>
  <c r="EH23" i="102"/>
  <c r="EI23" i="102"/>
  <c r="EJ23" i="102"/>
  <c r="EK23" i="102"/>
  <c r="EL23" i="102"/>
  <c r="EM23" i="102"/>
  <c r="EN23" i="102"/>
  <c r="EO23" i="102"/>
  <c r="EP23" i="102"/>
  <c r="EQ23" i="102"/>
  <c r="ER23" i="102"/>
  <c r="ES23" i="102"/>
  <c r="ET23" i="102"/>
  <c r="EU23" i="102"/>
  <c r="EV23" i="102"/>
  <c r="EW23" i="102"/>
  <c r="EX23" i="102"/>
  <c r="EY23" i="102"/>
  <c r="EZ23" i="102"/>
  <c r="FA23" i="102"/>
  <c r="FB23" i="102"/>
  <c r="FC23" i="102"/>
  <c r="FD23" i="102"/>
  <c r="FE23" i="102"/>
  <c r="FF23" i="102"/>
  <c r="FG23" i="102"/>
  <c r="FH23" i="102"/>
  <c r="FI23" i="102"/>
  <c r="FJ23" i="102"/>
  <c r="FK23" i="102"/>
  <c r="FL23" i="102"/>
  <c r="FM23" i="102"/>
  <c r="FN23" i="102"/>
  <c r="FO23" i="102"/>
  <c r="FP23" i="102"/>
  <c r="FQ23" i="102"/>
  <c r="FR23" i="102"/>
  <c r="FS23" i="102"/>
  <c r="FT23" i="102"/>
  <c r="FU23" i="102"/>
  <c r="FV23" i="102"/>
  <c r="FW23" i="102"/>
  <c r="FX23" i="102"/>
  <c r="FY23" i="102"/>
  <c r="FZ23" i="102"/>
  <c r="GA23" i="102"/>
  <c r="GB23" i="102"/>
  <c r="GC23" i="102"/>
  <c r="GD23" i="102"/>
  <c r="GE23" i="102"/>
  <c r="GF23" i="102"/>
  <c r="GG23" i="102"/>
  <c r="GH23" i="102"/>
  <c r="GI23" i="102"/>
  <c r="GJ23" i="102"/>
  <c r="GK23" i="102"/>
  <c r="GL23" i="102"/>
  <c r="GM23" i="102"/>
  <c r="GN23" i="102"/>
  <c r="GO23" i="102"/>
  <c r="GP23" i="102"/>
  <c r="GQ23" i="102"/>
  <c r="GR23" i="102"/>
  <c r="GS23" i="102"/>
  <c r="GT23" i="102"/>
  <c r="GU23" i="102"/>
  <c r="GV23" i="102"/>
  <c r="GW23" i="102"/>
  <c r="GX23" i="102"/>
  <c r="GY23" i="102"/>
  <c r="GZ23" i="102"/>
  <c r="HA23" i="102"/>
  <c r="HB23" i="102"/>
  <c r="HC23" i="102"/>
  <c r="HD23" i="102"/>
  <c r="HE23" i="102"/>
  <c r="HF23" i="102"/>
  <c r="HG23" i="102"/>
  <c r="HH23" i="102"/>
  <c r="HI23" i="102"/>
  <c r="HJ23" i="102"/>
  <c r="HK23" i="102"/>
  <c r="HL23" i="102"/>
  <c r="HM23" i="102"/>
  <c r="HN23" i="102"/>
  <c r="HO23" i="102"/>
  <c r="HP23" i="102"/>
  <c r="HQ23" i="102"/>
  <c r="HR23" i="102"/>
  <c r="HS23" i="102"/>
  <c r="HT23" i="102"/>
  <c r="HU23" i="102"/>
  <c r="HV23" i="102"/>
  <c r="HW23" i="102"/>
  <c r="HX23" i="102"/>
  <c r="HY23" i="102"/>
  <c r="HZ23" i="102"/>
  <c r="IA23" i="102"/>
  <c r="IB23" i="102"/>
  <c r="IC23" i="102"/>
  <c r="ID23" i="102"/>
  <c r="IE23" i="102"/>
  <c r="IF23" i="102"/>
  <c r="IG23" i="102"/>
  <c r="IH23" i="102"/>
  <c r="II23" i="102"/>
  <c r="IJ23" i="102"/>
  <c r="IK23" i="102"/>
  <c r="IL23" i="102"/>
  <c r="IM23" i="102"/>
  <c r="IN23" i="102"/>
  <c r="IO23" i="102"/>
  <c r="IP23" i="102"/>
  <c r="IQ23" i="102"/>
  <c r="IR23" i="102"/>
  <c r="IS23" i="102"/>
  <c r="IT23" i="102"/>
  <c r="IU23" i="102"/>
  <c r="IV23" i="102"/>
  <c r="IW23" i="102"/>
  <c r="IX23" i="102"/>
  <c r="IY23" i="102"/>
  <c r="IZ23" i="102"/>
  <c r="JA23" i="102"/>
  <c r="JB23" i="102"/>
  <c r="JC23" i="102"/>
  <c r="JD23" i="102"/>
  <c r="JE23" i="102"/>
  <c r="JF23" i="102"/>
  <c r="JG23" i="102"/>
  <c r="JH23" i="102"/>
  <c r="JI23" i="102"/>
  <c r="JJ23" i="102"/>
  <c r="JK23" i="102"/>
  <c r="JL23" i="102"/>
  <c r="JM23" i="102"/>
  <c r="JN23" i="102"/>
  <c r="JO23" i="102"/>
  <c r="JP23" i="102"/>
  <c r="JQ23" i="102"/>
  <c r="JR23" i="102"/>
  <c r="JS23" i="102"/>
  <c r="JT23" i="102"/>
  <c r="JU23" i="102"/>
  <c r="JV23" i="102"/>
  <c r="JW23" i="102"/>
  <c r="JX23" i="102"/>
  <c r="JY23" i="102"/>
  <c r="JZ23" i="102"/>
  <c r="KA23" i="102"/>
  <c r="KB23" i="102"/>
  <c r="KC23" i="102"/>
  <c r="KD23" i="102"/>
  <c r="KE23" i="102"/>
  <c r="KF23" i="102"/>
  <c r="KG23" i="102"/>
  <c r="KH23" i="102"/>
  <c r="KI23" i="102"/>
  <c r="KJ23" i="102"/>
  <c r="KK23" i="102"/>
  <c r="KL23" i="102"/>
  <c r="KM23" i="102"/>
  <c r="KN23" i="102"/>
  <c r="KO23" i="102"/>
  <c r="KP23" i="102"/>
  <c r="KQ23" i="102"/>
  <c r="KR23" i="102"/>
  <c r="KS23" i="102"/>
  <c r="KT23" i="102"/>
  <c r="KU23" i="102"/>
  <c r="KV23" i="102"/>
  <c r="KW23" i="102"/>
  <c r="KX23" i="102"/>
  <c r="KY23" i="102"/>
  <c r="KZ23" i="102"/>
  <c r="LA23" i="102"/>
  <c r="LB23" i="102"/>
  <c r="LC23" i="102"/>
  <c r="LD23" i="102"/>
  <c r="LE23" i="102"/>
  <c r="LF23" i="102"/>
  <c r="LG23" i="102"/>
  <c r="LH23" i="102"/>
  <c r="LI23" i="102"/>
  <c r="LJ23" i="102"/>
  <c r="LK23" i="102"/>
  <c r="LL23" i="102"/>
  <c r="LM23" i="102"/>
  <c r="LN23" i="102"/>
  <c r="LO23" i="102"/>
  <c r="LP23" i="102"/>
  <c r="LQ23" i="102"/>
  <c r="LR23" i="102"/>
  <c r="LS23" i="102"/>
  <c r="LT23" i="102"/>
  <c r="LU23" i="102"/>
  <c r="LV23" i="102"/>
  <c r="LW23" i="102"/>
  <c r="LX23" i="102"/>
  <c r="LY23" i="102"/>
  <c r="LZ23" i="102"/>
  <c r="MA23" i="102"/>
  <c r="MB23" i="102"/>
  <c r="MC23" i="102"/>
  <c r="MD23" i="102"/>
  <c r="ME23" i="102"/>
  <c r="MF23" i="102"/>
  <c r="MG23" i="102"/>
  <c r="MH23" i="102"/>
  <c r="MI23" i="102"/>
  <c r="MJ23" i="102"/>
  <c r="MK23" i="102"/>
  <c r="ML23" i="102"/>
  <c r="MM23" i="102"/>
  <c r="MN23" i="102"/>
  <c r="MO23" i="102"/>
  <c r="MP23" i="102"/>
  <c r="MQ23" i="102"/>
  <c r="MR23" i="102"/>
  <c r="MS23" i="102"/>
  <c r="MT23" i="102"/>
  <c r="MU23" i="102"/>
  <c r="MV23" i="102"/>
  <c r="MW23" i="102"/>
  <c r="MX23" i="102"/>
  <c r="MY23" i="102"/>
  <c r="MZ23" i="102"/>
  <c r="NA23" i="102"/>
  <c r="NB23" i="102"/>
  <c r="NC23" i="102"/>
  <c r="ND23" i="102"/>
  <c r="NE23" i="102"/>
  <c r="NF23" i="102"/>
  <c r="NG23" i="102"/>
  <c r="NH23" i="102"/>
  <c r="NI23" i="102"/>
  <c r="NJ23" i="102"/>
  <c r="NK23" i="102"/>
  <c r="NL23" i="102"/>
  <c r="NM23" i="102"/>
  <c r="NN23" i="102"/>
  <c r="NO23" i="102"/>
  <c r="NP23" i="102"/>
  <c r="NQ23" i="102"/>
  <c r="NR23" i="102"/>
  <c r="NS23" i="102"/>
  <c r="NT23" i="102"/>
  <c r="NU23" i="102"/>
  <c r="NV23" i="102"/>
  <c r="NW23" i="102"/>
  <c r="NX23" i="102"/>
  <c r="NY23" i="102"/>
  <c r="NZ23" i="102"/>
  <c r="OA23" i="102"/>
  <c r="OB23" i="102"/>
  <c r="OC23" i="102"/>
  <c r="OD23" i="102"/>
  <c r="OE23" i="102"/>
  <c r="OF23" i="102"/>
  <c r="OG23" i="102"/>
  <c r="OH23" i="102"/>
  <c r="OI23" i="102"/>
  <c r="OJ23" i="102"/>
  <c r="OK23" i="102"/>
  <c r="OL23" i="102"/>
  <c r="OM23" i="102"/>
  <c r="ON23" i="102"/>
  <c r="OO23" i="102"/>
  <c r="OP23" i="102"/>
  <c r="OQ23" i="102"/>
  <c r="OR23" i="102"/>
  <c r="OS23" i="102"/>
  <c r="OT23" i="102"/>
  <c r="OU23" i="102"/>
  <c r="OV23" i="102"/>
  <c r="OW23" i="102"/>
  <c r="OX23" i="102"/>
  <c r="OY23" i="102"/>
  <c r="OZ23" i="102"/>
  <c r="PA23" i="102"/>
  <c r="PB23" i="102"/>
  <c r="PC23" i="102"/>
  <c r="PD23" i="102"/>
  <c r="PE23" i="102"/>
  <c r="PF23" i="102"/>
  <c r="PG23" i="102"/>
  <c r="PH23" i="102"/>
  <c r="PI23" i="102"/>
  <c r="PJ23" i="102"/>
  <c r="PK23" i="102"/>
  <c r="PL23" i="102"/>
  <c r="PM23" i="102"/>
  <c r="PN23" i="102"/>
  <c r="PO23" i="102"/>
  <c r="PP23" i="102"/>
  <c r="PQ23" i="102"/>
  <c r="PR23" i="102"/>
  <c r="PS23" i="102"/>
  <c r="PT23" i="102"/>
  <c r="PU23" i="102"/>
  <c r="PV23" i="102"/>
  <c r="PW23" i="102"/>
  <c r="F16" i="102"/>
  <c r="PW13" i="102"/>
  <c r="PV13" i="102"/>
  <c r="PU13" i="102"/>
  <c r="PT13" i="102"/>
  <c r="PS13" i="102"/>
  <c r="PR13" i="102"/>
  <c r="PQ13" i="102"/>
  <c r="PP13" i="102"/>
  <c r="PO13" i="102"/>
  <c r="PN13" i="102"/>
  <c r="PM13" i="102"/>
  <c r="PL13" i="102"/>
  <c r="PK13" i="102"/>
  <c r="PJ13" i="102"/>
  <c r="PI13" i="102"/>
  <c r="PH13" i="102"/>
  <c r="PG13" i="102"/>
  <c r="PF13" i="102"/>
  <c r="PE13" i="102"/>
  <c r="PD13" i="102"/>
  <c r="PC13" i="102"/>
  <c r="PB13" i="102"/>
  <c r="PA13" i="102"/>
  <c r="OZ13" i="102"/>
  <c r="OY13" i="102"/>
  <c r="OX13" i="102"/>
  <c r="OW13" i="102"/>
  <c r="OV13" i="102"/>
  <c r="OU13" i="102"/>
  <c r="OT13" i="102"/>
  <c r="OS13" i="102"/>
  <c r="OR13" i="102"/>
  <c r="OQ13" i="102"/>
  <c r="OP13" i="102"/>
  <c r="OO13" i="102"/>
  <c r="ON13" i="102"/>
  <c r="OM13" i="102"/>
  <c r="OL13" i="102"/>
  <c r="OK13" i="102"/>
  <c r="OJ13" i="102"/>
  <c r="OI13" i="102"/>
  <c r="OH13" i="102"/>
  <c r="OG13" i="102"/>
  <c r="OF13" i="102"/>
  <c r="OE13" i="102"/>
  <c r="OD13" i="102"/>
  <c r="OC13" i="102"/>
  <c r="OB13" i="102"/>
  <c r="OA13" i="102"/>
  <c r="NZ13" i="102"/>
  <c r="NY13" i="102"/>
  <c r="NX13" i="102"/>
  <c r="NW13" i="102"/>
  <c r="NV13" i="102"/>
  <c r="NU13" i="102"/>
  <c r="NT13" i="102"/>
  <c r="NS13" i="102"/>
  <c r="NR13" i="102"/>
  <c r="NQ13" i="102"/>
  <c r="NP13" i="102"/>
  <c r="NO13" i="102"/>
  <c r="NN13" i="102"/>
  <c r="NM13" i="102"/>
  <c r="NL13" i="102"/>
  <c r="NK13" i="102"/>
  <c r="NJ13" i="102"/>
  <c r="NI13" i="102"/>
  <c r="NH13" i="102"/>
  <c r="NG13" i="102"/>
  <c r="NF13" i="102"/>
  <c r="NE13" i="102"/>
  <c r="ND13" i="102"/>
  <c r="NC13" i="102"/>
  <c r="NB13" i="102"/>
  <c r="NA13" i="102"/>
  <c r="MZ13" i="102"/>
  <c r="MY13" i="102"/>
  <c r="MX13" i="102"/>
  <c r="MW13" i="102"/>
  <c r="MV13" i="102"/>
  <c r="MU13" i="102"/>
  <c r="MT13" i="102"/>
  <c r="MS13" i="102"/>
  <c r="MR13" i="102"/>
  <c r="MQ13" i="102"/>
  <c r="MP13" i="102"/>
  <c r="MO13" i="102"/>
  <c r="MN13" i="102"/>
  <c r="MM13" i="102"/>
  <c r="ML13" i="102"/>
  <c r="MK13" i="102"/>
  <c r="MJ13" i="102"/>
  <c r="MI13" i="102"/>
  <c r="MH13" i="102"/>
  <c r="MG13" i="102"/>
  <c r="MF13" i="102"/>
  <c r="ME13" i="102"/>
  <c r="MD13" i="102"/>
  <c r="MC13" i="102"/>
  <c r="MB13" i="102"/>
  <c r="MA13" i="102"/>
  <c r="LZ13" i="102"/>
  <c r="LY13" i="102"/>
  <c r="LX13" i="102"/>
  <c r="LW13" i="102"/>
  <c r="LV13" i="102"/>
  <c r="LU13" i="102"/>
  <c r="LT13" i="102"/>
  <c r="LS13" i="102"/>
  <c r="LR13" i="102"/>
  <c r="LQ13" i="102"/>
  <c r="LP13" i="102"/>
  <c r="LO13" i="102"/>
  <c r="LN13" i="102"/>
  <c r="LM13" i="102"/>
  <c r="LL13" i="102"/>
  <c r="LK13" i="102"/>
  <c r="LJ13" i="102"/>
  <c r="LI13" i="102"/>
  <c r="LH13" i="102"/>
  <c r="LG13" i="102"/>
  <c r="LF13" i="102"/>
  <c r="LE13" i="102"/>
  <c r="LD13" i="102"/>
  <c r="LC13" i="102"/>
  <c r="LB13" i="102"/>
  <c r="LA13" i="102"/>
  <c r="KZ13" i="102"/>
  <c r="KY13" i="102"/>
  <c r="KX13" i="102"/>
  <c r="KW13" i="102"/>
  <c r="KV13" i="102"/>
  <c r="KU13" i="102"/>
  <c r="KT13" i="102"/>
  <c r="KS13" i="102"/>
  <c r="KR13" i="102"/>
  <c r="KQ13" i="102"/>
  <c r="KP13" i="102"/>
  <c r="KO13" i="102"/>
  <c r="KN13" i="102"/>
  <c r="KM13" i="102"/>
  <c r="KL13" i="102"/>
  <c r="KK13" i="102"/>
  <c r="KJ13" i="102"/>
  <c r="KI13" i="102"/>
  <c r="KH13" i="102"/>
  <c r="KG13" i="102"/>
  <c r="KF13" i="102"/>
  <c r="KE13" i="102"/>
  <c r="KD13" i="102"/>
  <c r="KC13" i="102"/>
  <c r="KB13" i="102"/>
  <c r="KA13" i="102"/>
  <c r="JZ13" i="102"/>
  <c r="JY13" i="102"/>
  <c r="JX13" i="102"/>
  <c r="JW13" i="102"/>
  <c r="JV13" i="102"/>
  <c r="JU13" i="102"/>
  <c r="JT13" i="102"/>
  <c r="JS13" i="102"/>
  <c r="JR13" i="102"/>
  <c r="JQ13" i="102"/>
  <c r="JP13" i="102"/>
  <c r="JO13" i="102"/>
  <c r="JN13" i="102"/>
  <c r="JM13" i="102"/>
  <c r="JL13" i="102"/>
  <c r="JK13" i="102"/>
  <c r="JJ13" i="102"/>
  <c r="JI13" i="102"/>
  <c r="JH13" i="102"/>
  <c r="JG13" i="102"/>
  <c r="JF13" i="102"/>
  <c r="JE13" i="102"/>
  <c r="JD13" i="102"/>
  <c r="JC13" i="102"/>
  <c r="JB13" i="102"/>
  <c r="JA13" i="102"/>
  <c r="IZ13" i="102"/>
  <c r="IY13" i="102"/>
  <c r="IX13" i="102"/>
  <c r="IW13" i="102"/>
  <c r="IV13" i="102"/>
  <c r="IU13" i="102"/>
  <c r="IT13" i="102"/>
  <c r="IS13" i="102"/>
  <c r="IR13" i="102"/>
  <c r="IQ13" i="102"/>
  <c r="IP13" i="102"/>
  <c r="IO13" i="102"/>
  <c r="IN13" i="102"/>
  <c r="IM13" i="102"/>
  <c r="IL13" i="102"/>
  <c r="IK13" i="102"/>
  <c r="IJ13" i="102"/>
  <c r="II13" i="102"/>
  <c r="IH13" i="102"/>
  <c r="IG13" i="102"/>
  <c r="IF13" i="102"/>
  <c r="IE13" i="102"/>
  <c r="ID13" i="102"/>
  <c r="IC13" i="102"/>
  <c r="IB13" i="102"/>
  <c r="IA13" i="102"/>
  <c r="HZ13" i="102"/>
  <c r="HY13" i="102"/>
  <c r="HX13" i="102"/>
  <c r="HW13" i="102"/>
  <c r="HV13" i="102"/>
  <c r="HU13" i="102"/>
  <c r="HT13" i="102"/>
  <c r="HS13" i="102"/>
  <c r="HR13" i="102"/>
  <c r="HQ13" i="102"/>
  <c r="HP13" i="102"/>
  <c r="HO13" i="102"/>
  <c r="HN13" i="102"/>
  <c r="HM13" i="102"/>
  <c r="HL13" i="102"/>
  <c r="HK13" i="102"/>
  <c r="HJ13" i="102"/>
  <c r="HI13" i="102"/>
  <c r="HH13" i="102"/>
  <c r="HG13" i="102"/>
  <c r="HF13" i="102"/>
  <c r="HE13" i="102"/>
  <c r="HD13" i="102"/>
  <c r="HC13" i="102"/>
  <c r="HB13" i="102"/>
  <c r="HA13" i="102"/>
  <c r="GZ13" i="102"/>
  <c r="GY13" i="102"/>
  <c r="GX13" i="102"/>
  <c r="GW13" i="102"/>
  <c r="GV13" i="102"/>
  <c r="GU13" i="102"/>
  <c r="GT13" i="102"/>
  <c r="GS13" i="102"/>
  <c r="GR13" i="102"/>
  <c r="GQ13" i="102"/>
  <c r="GP13" i="102"/>
  <c r="GO13" i="102"/>
  <c r="GN13" i="102"/>
  <c r="GM13" i="102"/>
  <c r="GL13" i="102"/>
  <c r="GK13" i="102"/>
  <c r="GJ13" i="102"/>
  <c r="GI13" i="102"/>
  <c r="GH13" i="102"/>
  <c r="GG13" i="102"/>
  <c r="GF13" i="102"/>
  <c r="GE13" i="102"/>
  <c r="GD13" i="102"/>
  <c r="GC13" i="102"/>
  <c r="GB13" i="102"/>
  <c r="GA13" i="102"/>
  <c r="FZ13" i="102"/>
  <c r="FY13" i="102"/>
  <c r="FX13" i="102"/>
  <c r="FW13" i="102"/>
  <c r="FV13" i="102"/>
  <c r="FU13" i="102"/>
  <c r="FT13" i="102"/>
  <c r="FS13" i="102"/>
  <c r="FR13" i="102"/>
  <c r="FQ13" i="102"/>
  <c r="FP13" i="102"/>
  <c r="FO13" i="102"/>
  <c r="FN13" i="102"/>
  <c r="FM13" i="102"/>
  <c r="FL13" i="102"/>
  <c r="FK13" i="102"/>
  <c r="FJ13" i="102"/>
  <c r="FI13" i="102"/>
  <c r="FH13" i="102"/>
  <c r="FG13" i="102"/>
  <c r="FF13" i="102"/>
  <c r="FE13" i="102"/>
  <c r="FD13" i="102"/>
  <c r="FC13" i="102"/>
  <c r="FB13" i="102"/>
  <c r="FA13" i="102"/>
  <c r="EZ13" i="102"/>
  <c r="EY13" i="102"/>
  <c r="EX13" i="102"/>
  <c r="EW13" i="102"/>
  <c r="EV13" i="102"/>
  <c r="EU13" i="102"/>
  <c r="ET13" i="102"/>
  <c r="ES13" i="102"/>
  <c r="ER13" i="102"/>
  <c r="EQ13" i="102"/>
  <c r="EP13" i="102"/>
  <c r="EO13" i="102"/>
  <c r="EN13" i="102"/>
  <c r="EM13" i="102"/>
  <c r="EL13" i="102"/>
  <c r="EK13" i="102"/>
  <c r="EJ13" i="102"/>
  <c r="EI13" i="102"/>
  <c r="EH13" i="102"/>
  <c r="EG13" i="102"/>
  <c r="EF13" i="102"/>
  <c r="EE13" i="102"/>
  <c r="ED13" i="102"/>
  <c r="EC13" i="102"/>
  <c r="EB13" i="102"/>
  <c r="EA13" i="102"/>
  <c r="DZ13" i="102"/>
  <c r="DY13" i="102"/>
  <c r="DX13" i="102"/>
  <c r="DW13" i="102"/>
  <c r="DV13" i="102"/>
  <c r="DU13" i="102"/>
  <c r="DT13" i="102"/>
  <c r="DS13" i="102"/>
  <c r="DR13" i="102"/>
  <c r="DQ13" i="102"/>
  <c r="DP13" i="102"/>
  <c r="DO13" i="102"/>
  <c r="DN13" i="102"/>
  <c r="DM13" i="102"/>
  <c r="DL13" i="102"/>
  <c r="DK13" i="102"/>
  <c r="DJ13" i="102"/>
  <c r="DI13" i="102"/>
  <c r="DH13" i="102"/>
  <c r="DG13" i="102"/>
  <c r="DF13" i="102"/>
  <c r="DE13" i="102"/>
  <c r="DD13" i="102"/>
  <c r="DC13" i="102"/>
  <c r="DB13" i="102"/>
  <c r="DA13" i="102"/>
  <c r="CZ13" i="102"/>
  <c r="CY13" i="102"/>
  <c r="CX13" i="102"/>
  <c r="CW13" i="102"/>
  <c r="CV13" i="102"/>
  <c r="CU13" i="102"/>
  <c r="CT13" i="102"/>
  <c r="CS13" i="102"/>
  <c r="CR13" i="102"/>
  <c r="CQ13" i="102"/>
  <c r="CP13" i="102"/>
  <c r="CO13" i="102"/>
  <c r="CN13" i="102"/>
  <c r="CM13" i="102"/>
  <c r="CL13" i="102"/>
  <c r="CK13" i="102"/>
  <c r="CJ13" i="102"/>
  <c r="CI13" i="102"/>
  <c r="CH13" i="102"/>
  <c r="CG13" i="102"/>
  <c r="CF13" i="102"/>
  <c r="CE13" i="102"/>
  <c r="CD13" i="102"/>
  <c r="CC13" i="102"/>
  <c r="CB13" i="102"/>
  <c r="CA13" i="102"/>
  <c r="BZ13" i="102"/>
  <c r="BY13" i="102"/>
  <c r="BX13" i="102"/>
  <c r="BW13" i="102"/>
  <c r="BV13" i="102"/>
  <c r="BU13" i="102"/>
  <c r="BT13" i="102"/>
  <c r="BS13" i="102"/>
  <c r="BR13" i="102"/>
  <c r="BQ13" i="102"/>
  <c r="BP13" i="102"/>
  <c r="BO13" i="102"/>
  <c r="BN13" i="102"/>
  <c r="BM13" i="102"/>
  <c r="BL13" i="102"/>
  <c r="BK13" i="102"/>
  <c r="BJ13" i="102"/>
  <c r="BI13" i="102"/>
  <c r="BH13" i="102"/>
  <c r="BG13" i="102"/>
  <c r="BF13" i="102"/>
  <c r="BE13" i="102"/>
  <c r="BD13" i="102"/>
  <c r="BC13" i="102"/>
  <c r="BB13" i="102"/>
  <c r="BA13" i="102"/>
  <c r="AZ13" i="102"/>
  <c r="AY13" i="102"/>
  <c r="AX13" i="102"/>
  <c r="AW13" i="102"/>
  <c r="AV13" i="102"/>
  <c r="AU13" i="102"/>
  <c r="AT13" i="102"/>
  <c r="AS13" i="102"/>
  <c r="AR13" i="102"/>
  <c r="AQ13" i="102"/>
  <c r="AP13" i="102"/>
  <c r="AO13" i="102"/>
  <c r="AN13" i="102"/>
  <c r="AM13" i="102"/>
  <c r="AL13" i="102"/>
  <c r="AK13" i="102"/>
  <c r="AJ13" i="102"/>
  <c r="AI13" i="102"/>
  <c r="AH13" i="102"/>
  <c r="AG13" i="102"/>
  <c r="AF13" i="102"/>
  <c r="AE13" i="102"/>
  <c r="AD13" i="102"/>
  <c r="AC13" i="102"/>
  <c r="AB13" i="102"/>
  <c r="AA13" i="102"/>
  <c r="Z13" i="102"/>
  <c r="Y13" i="102"/>
  <c r="X13" i="102"/>
  <c r="W13" i="102"/>
  <c r="V13" i="102"/>
  <c r="U13" i="102"/>
  <c r="T13" i="102"/>
  <c r="S13" i="102"/>
  <c r="R13" i="102"/>
  <c r="Q13" i="102"/>
  <c r="P13" i="102"/>
  <c r="O13" i="102"/>
  <c r="N13" i="102"/>
  <c r="M13" i="102"/>
  <c r="L13" i="102"/>
  <c r="K13" i="102"/>
  <c r="J13" i="102"/>
  <c r="I13" i="102"/>
  <c r="H13" i="102"/>
  <c r="HV14" i="102" l="1"/>
  <c r="ET14" i="102"/>
  <c r="CH14" i="102"/>
  <c r="MR14" i="102"/>
  <c r="PL14" i="102"/>
  <c r="PD14" i="102"/>
  <c r="MJ14" i="102"/>
  <c r="OF14" i="102"/>
  <c r="MZ14" i="102"/>
  <c r="PH14" i="102"/>
  <c r="OZ14" i="102"/>
  <c r="OR14" i="102"/>
  <c r="OJ14" i="102"/>
  <c r="NT14" i="102"/>
  <c r="MN14" i="102"/>
  <c r="MF14" i="102"/>
  <c r="LX14" i="102"/>
  <c r="LP14" i="102"/>
  <c r="JT14" i="102"/>
  <c r="JL14" i="102"/>
  <c r="OB14" i="102"/>
  <c r="LH14" i="102"/>
  <c r="KZ14" i="102"/>
  <c r="PC14" i="102"/>
  <c r="OM14" i="102"/>
  <c r="MI14" i="102"/>
  <c r="LS14" i="102"/>
  <c r="JO14" i="102"/>
  <c r="IY14" i="102"/>
  <c r="GU14" i="102"/>
  <c r="GE14" i="102"/>
  <c r="EA14" i="102"/>
  <c r="DK14" i="102"/>
  <c r="BG14" i="102"/>
  <c r="AQ14" i="102"/>
  <c r="OT14" i="102"/>
  <c r="OL14" i="102"/>
  <c r="LZ14" i="102"/>
  <c r="LR14" i="102"/>
  <c r="JF14" i="102"/>
  <c r="IX14" i="102"/>
  <c r="GL14" i="102"/>
  <c r="GD14" i="102"/>
  <c r="DR14" i="102"/>
  <c r="DJ14" i="102"/>
  <c r="AX14" i="102"/>
  <c r="AP14" i="102"/>
  <c r="OK14" i="102"/>
  <c r="NU14" i="102"/>
  <c r="LQ14" i="102"/>
  <c r="LA14" i="102"/>
  <c r="IW14" i="102"/>
  <c r="IG14" i="102"/>
  <c r="GC14" i="102"/>
  <c r="FM14" i="102"/>
  <c r="DI14" i="102"/>
  <c r="CS14" i="102"/>
  <c r="AO14" i="102"/>
  <c r="Y14" i="102"/>
  <c r="IN14" i="102"/>
  <c r="IF14" i="102"/>
  <c r="FT14" i="102"/>
  <c r="FL14" i="102"/>
  <c r="CZ14" i="102"/>
  <c r="CR14" i="102"/>
  <c r="AF14" i="102"/>
  <c r="X14" i="102"/>
  <c r="JB14" i="102"/>
  <c r="FZ14" i="102"/>
  <c r="FJ14" i="102"/>
  <c r="CX14" i="102"/>
  <c r="AL14" i="102"/>
  <c r="V14" i="102"/>
  <c r="PW14" i="102"/>
  <c r="NS14" i="102"/>
  <c r="NC14" i="102"/>
  <c r="KY14" i="102"/>
  <c r="KI14" i="102"/>
  <c r="IE14" i="102"/>
  <c r="HO14" i="102"/>
  <c r="FK14" i="102"/>
  <c r="EU14" i="102"/>
  <c r="CQ14" i="102"/>
  <c r="CA14" i="102"/>
  <c r="W14" i="102"/>
  <c r="G14" i="102"/>
  <c r="PV14" i="102"/>
  <c r="NJ14" i="102"/>
  <c r="NB14" i="102"/>
  <c r="KP14" i="102"/>
  <c r="KH14" i="102"/>
  <c r="HN14" i="102"/>
  <c r="FB14" i="102"/>
  <c r="BZ14" i="102"/>
  <c r="N14" i="102"/>
  <c r="PT14" i="102"/>
  <c r="NX14" i="102"/>
  <c r="NP14" i="102"/>
  <c r="NH14" i="102"/>
  <c r="PU14" i="102"/>
  <c r="PE14" i="102"/>
  <c r="NA14" i="102"/>
  <c r="MK14" i="102"/>
  <c r="KG14" i="102"/>
  <c r="JQ14" i="102"/>
  <c r="HM14" i="102"/>
  <c r="GW14" i="102"/>
  <c r="ES14" i="102"/>
  <c r="EC14" i="102"/>
  <c r="BY14" i="102"/>
  <c r="BI14" i="102"/>
  <c r="IL14" i="102"/>
  <c r="DN14" i="102"/>
  <c r="JX14" i="102"/>
  <c r="JP14" i="102"/>
  <c r="HD14" i="102"/>
  <c r="GV14" i="102"/>
  <c r="EJ14" i="102"/>
  <c r="EB14" i="102"/>
  <c r="BP14" i="102"/>
  <c r="BH14" i="102"/>
  <c r="LT14" i="102"/>
  <c r="LD14" i="102"/>
  <c r="KF14" i="102"/>
  <c r="IZ14" i="102"/>
  <c r="IJ14" i="102"/>
  <c r="HT14" i="102"/>
  <c r="GN14" i="102"/>
  <c r="FX14" i="102"/>
  <c r="FH14" i="102"/>
  <c r="ER14" i="102"/>
  <c r="DL14" i="102"/>
  <c r="CV14" i="102"/>
  <c r="CF14" i="102"/>
  <c r="AZ14" i="102"/>
  <c r="AB14" i="102"/>
  <c r="L14" i="102"/>
  <c r="PS14" i="102"/>
  <c r="PK14" i="102"/>
  <c r="OU14" i="102"/>
  <c r="OE14" i="102"/>
  <c r="NW14" i="102"/>
  <c r="NO14" i="102"/>
  <c r="NG14" i="102"/>
  <c r="MY14" i="102"/>
  <c r="MQ14" i="102"/>
  <c r="MA14" i="102"/>
  <c r="LK14" i="102"/>
  <c r="LC14" i="102"/>
  <c r="KU14" i="102"/>
  <c r="KM14" i="102"/>
  <c r="KE14" i="102"/>
  <c r="JW14" i="102"/>
  <c r="JG14" i="102"/>
  <c r="IQ14" i="102"/>
  <c r="II14" i="102"/>
  <c r="IA14" i="102"/>
  <c r="HS14" i="102"/>
  <c r="HK14" i="102"/>
  <c r="HC14" i="102"/>
  <c r="GM14" i="102"/>
  <c r="FW14" i="102"/>
  <c r="FO14" i="102"/>
  <c r="FG14" i="102"/>
  <c r="EY14" i="102"/>
  <c r="EQ14" i="102"/>
  <c r="EI14" i="102"/>
  <c r="DS14" i="102"/>
  <c r="DC14" i="102"/>
  <c r="CU14" i="102"/>
  <c r="CM14" i="102"/>
  <c r="CE14" i="102"/>
  <c r="BW14" i="102"/>
  <c r="BO14" i="102"/>
  <c r="AY14" i="102"/>
  <c r="AI14" i="102"/>
  <c r="AA14" i="102"/>
  <c r="S14" i="102"/>
  <c r="K14" i="102"/>
  <c r="MV14" i="102"/>
  <c r="MB14" i="102"/>
  <c r="LL14" i="102"/>
  <c r="KV14" i="102"/>
  <c r="KN14" i="102"/>
  <c r="JH14" i="102"/>
  <c r="IR14" i="102"/>
  <c r="IB14" i="102"/>
  <c r="HL14" i="102"/>
  <c r="GF14" i="102"/>
  <c r="FP14" i="102"/>
  <c r="EZ14" i="102"/>
  <c r="DT14" i="102"/>
  <c r="DD14" i="102"/>
  <c r="CN14" i="102"/>
  <c r="BX14" i="102"/>
  <c r="AR14" i="102"/>
  <c r="AJ14" i="102"/>
  <c r="T14" i="102"/>
  <c r="PR14" i="102"/>
  <c r="PJ14" i="102"/>
  <c r="PB14" i="102"/>
  <c r="OD14" i="102"/>
  <c r="NV14" i="102"/>
  <c r="NN14" i="102"/>
  <c r="NF14" i="102"/>
  <c r="MX14" i="102"/>
  <c r="MP14" i="102"/>
  <c r="MH14" i="102"/>
  <c r="LJ14" i="102"/>
  <c r="LB14" i="102"/>
  <c r="KT14" i="102"/>
  <c r="KL14" i="102"/>
  <c r="KD14" i="102"/>
  <c r="JV14" i="102"/>
  <c r="JN14" i="102"/>
  <c r="IP14" i="102"/>
  <c r="IH14" i="102"/>
  <c r="HZ14" i="102"/>
  <c r="HR14" i="102"/>
  <c r="HJ14" i="102"/>
  <c r="HB14" i="102"/>
  <c r="GT14" i="102"/>
  <c r="FV14" i="102"/>
  <c r="FN14" i="102"/>
  <c r="FF14" i="102"/>
  <c r="EX14" i="102"/>
  <c r="EP14" i="102"/>
  <c r="EH14" i="102"/>
  <c r="DZ14" i="102"/>
  <c r="DB14" i="102"/>
  <c r="CT14" i="102"/>
  <c r="CL14" i="102"/>
  <c r="CD14" i="102"/>
  <c r="BV14" i="102"/>
  <c r="BN14" i="102"/>
  <c r="BF14" i="102"/>
  <c r="AH14" i="102"/>
  <c r="Z14" i="102"/>
  <c r="R14" i="102"/>
  <c r="J14" i="102"/>
  <c r="KR14" i="102"/>
  <c r="HF14" i="102"/>
  <c r="PQ14" i="102"/>
  <c r="PI14" i="102"/>
  <c r="PA14" i="102"/>
  <c r="OS14" i="102"/>
  <c r="OC14" i="102"/>
  <c r="NM14" i="102"/>
  <c r="NE14" i="102"/>
  <c r="MW14" i="102"/>
  <c r="MO14" i="102"/>
  <c r="MG14" i="102"/>
  <c r="LY14" i="102"/>
  <c r="LI14" i="102"/>
  <c r="KS14" i="102"/>
  <c r="KK14" i="102"/>
  <c r="KC14" i="102"/>
  <c r="JU14" i="102"/>
  <c r="JM14" i="102"/>
  <c r="JE14" i="102"/>
  <c r="IO14" i="102"/>
  <c r="HY14" i="102"/>
  <c r="HQ14" i="102"/>
  <c r="HI14" i="102"/>
  <c r="HA14" i="102"/>
  <c r="GS14" i="102"/>
  <c r="GK14" i="102"/>
  <c r="FU14" i="102"/>
  <c r="FE14" i="102"/>
  <c r="EW14" i="102"/>
  <c r="EO14" i="102"/>
  <c r="EG14" i="102"/>
  <c r="DY14" i="102"/>
  <c r="DQ14" i="102"/>
  <c r="DA14" i="102"/>
  <c r="CK14" i="102"/>
  <c r="CC14" i="102"/>
  <c r="BU14" i="102"/>
  <c r="BM14" i="102"/>
  <c r="BE14" i="102"/>
  <c r="AW14" i="102"/>
  <c r="AG14" i="102"/>
  <c r="Q14" i="102"/>
  <c r="KJ14" i="102"/>
  <c r="GP14" i="102"/>
  <c r="BR14" i="102"/>
  <c r="JD14" i="102"/>
  <c r="IV14" i="102"/>
  <c r="HX14" i="102"/>
  <c r="HP14" i="102"/>
  <c r="HH14" i="102"/>
  <c r="GZ14" i="102"/>
  <c r="GR14" i="102"/>
  <c r="GJ14" i="102"/>
  <c r="GB14" i="102"/>
  <c r="FD14" i="102"/>
  <c r="EV14" i="102"/>
  <c r="EN14" i="102"/>
  <c r="EF14" i="102"/>
  <c r="DX14" i="102"/>
  <c r="DP14" i="102"/>
  <c r="DH14" i="102"/>
  <c r="CJ14" i="102"/>
  <c r="CB14" i="102"/>
  <c r="BT14" i="102"/>
  <c r="BL14" i="102"/>
  <c r="BD14" i="102"/>
  <c r="AV14" i="102"/>
  <c r="AN14" i="102"/>
  <c r="P14" i="102"/>
  <c r="H14" i="102"/>
  <c r="OV14" i="102"/>
  <c r="KB14" i="102"/>
  <c r="BB14" i="102"/>
  <c r="PO14" i="102"/>
  <c r="PG14" i="102"/>
  <c r="OY14" i="102"/>
  <c r="OQ14" i="102"/>
  <c r="OI14" i="102"/>
  <c r="OA14" i="102"/>
  <c r="NK14" i="102"/>
  <c r="MU14" i="102"/>
  <c r="MM14" i="102"/>
  <c r="ME14" i="102"/>
  <c r="LW14" i="102"/>
  <c r="LO14" i="102"/>
  <c r="LG14" i="102"/>
  <c r="KQ14" i="102"/>
  <c r="KA14" i="102"/>
  <c r="JS14" i="102"/>
  <c r="JK14" i="102"/>
  <c r="JC14" i="102"/>
  <c r="IU14" i="102"/>
  <c r="IM14" i="102"/>
  <c r="HW14" i="102"/>
  <c r="HG14" i="102"/>
  <c r="GY14" i="102"/>
  <c r="GQ14" i="102"/>
  <c r="GI14" i="102"/>
  <c r="GA14" i="102"/>
  <c r="FS14" i="102"/>
  <c r="FC14" i="102"/>
  <c r="EM14" i="102"/>
  <c r="EE14" i="102"/>
  <c r="DW14" i="102"/>
  <c r="DO14" i="102"/>
  <c r="DG14" i="102"/>
  <c r="CY14" i="102"/>
  <c r="CI14" i="102"/>
  <c r="BS14" i="102"/>
  <c r="BK14" i="102"/>
  <c r="BC14" i="102"/>
  <c r="AU14" i="102"/>
  <c r="AM14" i="102"/>
  <c r="AE14" i="102"/>
  <c r="O14" i="102"/>
  <c r="NL14" i="102"/>
  <c r="PN14" i="102"/>
  <c r="PF14" i="102"/>
  <c r="OX14" i="102"/>
  <c r="OP14" i="102"/>
  <c r="OH14" i="102"/>
  <c r="NZ14" i="102"/>
  <c r="NR14" i="102"/>
  <c r="MT14" i="102"/>
  <c r="ML14" i="102"/>
  <c r="MD14" i="102"/>
  <c r="LV14" i="102"/>
  <c r="LN14" i="102"/>
  <c r="LF14" i="102"/>
  <c r="KX14" i="102"/>
  <c r="JZ14" i="102"/>
  <c r="JR14" i="102"/>
  <c r="JJ14" i="102"/>
  <c r="IT14" i="102"/>
  <c r="ID14" i="102"/>
  <c r="GX14" i="102"/>
  <c r="GH14" i="102"/>
  <c r="FR14" i="102"/>
  <c r="EL14" i="102"/>
  <c r="DV14" i="102"/>
  <c r="DF14" i="102"/>
  <c r="CP14" i="102"/>
  <c r="BJ14" i="102"/>
  <c r="AT14" i="102"/>
  <c r="AD14" i="102"/>
  <c r="ON14" i="102"/>
  <c r="PM14" i="102"/>
  <c r="OW14" i="102"/>
  <c r="OO14" i="102"/>
  <c r="OG14" i="102"/>
  <c r="NY14" i="102"/>
  <c r="NQ14" i="102"/>
  <c r="NI14" i="102"/>
  <c r="MS14" i="102"/>
  <c r="MC14" i="102"/>
  <c r="LU14" i="102"/>
  <c r="LM14" i="102"/>
  <c r="LE14" i="102"/>
  <c r="KW14" i="102"/>
  <c r="KO14" i="102"/>
  <c r="JY14" i="102"/>
  <c r="JI14" i="102"/>
  <c r="JA14" i="102"/>
  <c r="IS14" i="102"/>
  <c r="IK14" i="102"/>
  <c r="IC14" i="102"/>
  <c r="HU14" i="102"/>
  <c r="HE14" i="102"/>
  <c r="GO14" i="102"/>
  <c r="GG14" i="102"/>
  <c r="FY14" i="102"/>
  <c r="FQ14" i="102"/>
  <c r="FI14" i="102"/>
  <c r="FA14" i="102"/>
  <c r="EK14" i="102"/>
  <c r="DU14" i="102"/>
  <c r="DM14" i="102"/>
  <c r="DE14" i="102"/>
  <c r="CW14" i="102"/>
  <c r="CO14" i="102"/>
  <c r="CG14" i="102"/>
  <c r="BQ14" i="102"/>
  <c r="BA14" i="102"/>
  <c r="AS14" i="102"/>
  <c r="AK14" i="102"/>
  <c r="AC14" i="102"/>
  <c r="U14" i="102"/>
  <c r="M14" i="102"/>
  <c r="PP14" i="102"/>
  <c r="ND14" i="102"/>
  <c r="ED14" i="102"/>
  <c r="I14" i="102"/>
  <c r="PW13" i="1" l="1"/>
  <c r="PV13" i="1"/>
  <c r="PU13" i="1"/>
  <c r="PT13" i="1"/>
  <c r="PS13" i="1"/>
  <c r="PR13" i="1"/>
  <c r="PQ13" i="1"/>
  <c r="PP13" i="1"/>
  <c r="PO13" i="1"/>
  <c r="PN13" i="1"/>
  <c r="PM13" i="1"/>
  <c r="PL13" i="1"/>
  <c r="PK13" i="1"/>
  <c r="PJ13" i="1"/>
  <c r="PI13" i="1"/>
  <c r="PH13" i="1"/>
  <c r="PG13" i="1"/>
  <c r="PF13" i="1"/>
  <c r="EC13" i="1" l="1"/>
  <c r="EB13" i="1"/>
  <c r="EA13" i="1"/>
  <c r="DZ13" i="1"/>
  <c r="DY13" i="1"/>
  <c r="DX13" i="1"/>
  <c r="DW13" i="1"/>
  <c r="DV13" i="1"/>
  <c r="DU13" i="1"/>
  <c r="DT13" i="1"/>
  <c r="DS13" i="1"/>
  <c r="DR13" i="1"/>
  <c r="DQ13" i="1"/>
  <c r="DP13" i="1"/>
  <c r="DO13" i="1"/>
  <c r="DN13" i="1"/>
  <c r="DM13" i="1"/>
  <c r="DL13" i="1"/>
  <c r="F23" i="102" l="1"/>
  <c r="CA13" i="1" l="1"/>
  <c r="BZ13" i="1"/>
  <c r="BY13" i="1"/>
  <c r="BX13" i="1"/>
  <c r="BW13" i="1"/>
  <c r="BV13" i="1"/>
  <c r="BU13" i="1"/>
  <c r="BT13" i="1"/>
  <c r="BS13" i="1"/>
  <c r="BR13" i="1"/>
  <c r="BQ13" i="1"/>
  <c r="BP13" i="1"/>
  <c r="BO13" i="1"/>
  <c r="BN13" i="1"/>
  <c r="BM13" i="1"/>
  <c r="BL13" i="1"/>
  <c r="BK13" i="1"/>
  <c r="BJ13" i="1"/>
  <c r="EE13" i="1" l="1"/>
  <c r="EF13" i="1"/>
  <c r="EG13" i="1"/>
  <c r="EH13" i="1"/>
  <c r="EI13" i="1"/>
  <c r="EJ13" i="1"/>
  <c r="EK13" i="1"/>
  <c r="EL13" i="1"/>
  <c r="EM13" i="1"/>
  <c r="EN13" i="1"/>
  <c r="EO13" i="1"/>
  <c r="EP13" i="1"/>
  <c r="EQ13" i="1"/>
  <c r="ER13" i="1"/>
  <c r="ES13" i="1"/>
  <c r="ET13" i="1"/>
  <c r="EU13" i="1"/>
  <c r="ED13" i="1"/>
  <c r="MK13" i="1" l="1"/>
  <c r="MJ13" i="1"/>
  <c r="MI13" i="1"/>
  <c r="MH13" i="1"/>
  <c r="MG13" i="1"/>
  <c r="MF13" i="1"/>
  <c r="ME13" i="1"/>
  <c r="MD13" i="1"/>
  <c r="MC13" i="1"/>
  <c r="MB13" i="1"/>
  <c r="MA13" i="1"/>
  <c r="LZ13" i="1"/>
  <c r="LY13" i="1"/>
  <c r="LX13" i="1"/>
  <c r="LW13" i="1"/>
  <c r="LV13" i="1"/>
  <c r="LU13" i="1"/>
  <c r="LT13" i="1"/>
  <c r="DK13" i="1"/>
  <c r="DJ13" i="1"/>
  <c r="DI13" i="1"/>
  <c r="DH13" i="1"/>
  <c r="DG13" i="1"/>
  <c r="DF13" i="1"/>
  <c r="DE13" i="1"/>
  <c r="DD13" i="1"/>
  <c r="DC13" i="1"/>
  <c r="DB13" i="1"/>
  <c r="DA13" i="1"/>
  <c r="CZ13" i="1"/>
  <c r="CY13" i="1"/>
  <c r="CX13" i="1"/>
  <c r="CW13" i="1"/>
  <c r="CV13" i="1"/>
  <c r="CU13" i="1"/>
  <c r="CT13" i="1"/>
  <c r="F18" i="102" l="1"/>
  <c r="OM13" i="1" l="1"/>
  <c r="OL13" i="1"/>
  <c r="OK13" i="1"/>
  <c r="OJ13" i="1"/>
  <c r="OI13" i="1"/>
  <c r="OH13" i="1"/>
  <c r="OG13" i="1"/>
  <c r="OF13" i="1"/>
  <c r="OE13" i="1"/>
  <c r="OD13" i="1"/>
  <c r="OC13" i="1"/>
  <c r="OB13" i="1"/>
  <c r="OA13" i="1"/>
  <c r="NZ13" i="1"/>
  <c r="NY13" i="1"/>
  <c r="NX13" i="1"/>
  <c r="NW13" i="1"/>
  <c r="NV13" i="1"/>
  <c r="NC13" i="1"/>
  <c r="NB13" i="1"/>
  <c r="NA13" i="1"/>
  <c r="MZ13" i="1"/>
  <c r="MY13" i="1"/>
  <c r="MX13" i="1"/>
  <c r="MW13" i="1"/>
  <c r="MV13" i="1"/>
  <c r="MU13" i="1"/>
  <c r="MT13" i="1"/>
  <c r="MS13" i="1"/>
  <c r="MR13" i="1"/>
  <c r="MQ13" i="1"/>
  <c r="MP13" i="1"/>
  <c r="MO13" i="1"/>
  <c r="MN13" i="1"/>
  <c r="MM13" i="1"/>
  <c r="ML13" i="1"/>
  <c r="LS13" i="1" l="1"/>
  <c r="LR13" i="1"/>
  <c r="LQ13" i="1"/>
  <c r="LP13" i="1"/>
  <c r="LO13" i="1"/>
  <c r="LN13" i="1"/>
  <c r="LM13" i="1"/>
  <c r="LL13" i="1"/>
  <c r="LK13" i="1"/>
  <c r="LJ13" i="1"/>
  <c r="LI13" i="1"/>
  <c r="LH13" i="1"/>
  <c r="LG13" i="1"/>
  <c r="LF13" i="1"/>
  <c r="LE13" i="1"/>
  <c r="LD13" i="1"/>
  <c r="LC13" i="1"/>
  <c r="LB13" i="1"/>
  <c r="LA13" i="1"/>
  <c r="KZ13" i="1"/>
  <c r="KY13" i="1"/>
  <c r="KX13" i="1"/>
  <c r="KW13" i="1"/>
  <c r="KV13" i="1"/>
  <c r="KU13" i="1"/>
  <c r="KT13" i="1"/>
  <c r="KS13" i="1"/>
  <c r="KR13" i="1"/>
  <c r="KQ13" i="1"/>
  <c r="KP13" i="1"/>
  <c r="KO13" i="1"/>
  <c r="KN13" i="1"/>
  <c r="KM13" i="1"/>
  <c r="KL13" i="1"/>
  <c r="KK13" i="1"/>
  <c r="KJ13" i="1"/>
  <c r="KI13" i="1"/>
  <c r="KH13" i="1"/>
  <c r="KG13" i="1"/>
  <c r="KF13" i="1"/>
  <c r="KE13" i="1"/>
  <c r="KD13" i="1"/>
  <c r="KC13" i="1"/>
  <c r="KB13" i="1"/>
  <c r="KA13" i="1"/>
  <c r="JZ13" i="1"/>
  <c r="JY13" i="1"/>
  <c r="JX13" i="1"/>
  <c r="JW13" i="1"/>
  <c r="JV13" i="1"/>
  <c r="JU13" i="1"/>
  <c r="JT13" i="1"/>
  <c r="JS13" i="1"/>
  <c r="JR13" i="1"/>
  <c r="JQ13" i="1"/>
  <c r="JP13" i="1"/>
  <c r="JO13" i="1"/>
  <c r="JN13" i="1"/>
  <c r="JM13" i="1"/>
  <c r="JL13" i="1"/>
  <c r="JK13" i="1"/>
  <c r="JJ13" i="1"/>
  <c r="JI13" i="1"/>
  <c r="JH13" i="1"/>
  <c r="JG13" i="1"/>
  <c r="JF13" i="1"/>
  <c r="JE13" i="1"/>
  <c r="JD13" i="1"/>
  <c r="JC13" i="1"/>
  <c r="JB13" i="1"/>
  <c r="JA13" i="1"/>
  <c r="IZ13" i="1"/>
  <c r="IY13" i="1"/>
  <c r="IX13" i="1"/>
  <c r="IW13" i="1"/>
  <c r="IV13" i="1"/>
  <c r="IU13" i="1"/>
  <c r="IT13" i="1"/>
  <c r="IS13" i="1"/>
  <c r="IR13" i="1"/>
  <c r="IQ13" i="1"/>
  <c r="IP13" i="1"/>
  <c r="IO13" i="1"/>
  <c r="IN13" i="1"/>
  <c r="IM13" i="1"/>
  <c r="IL13" i="1"/>
  <c r="IK13" i="1"/>
  <c r="IJ13" i="1"/>
  <c r="II13" i="1"/>
  <c r="IH13" i="1"/>
  <c r="IG13" i="1"/>
  <c r="IF13" i="1"/>
  <c r="IE13" i="1"/>
  <c r="ID13" i="1"/>
  <c r="IC13" i="1"/>
  <c r="IB13" i="1"/>
  <c r="IA13" i="1"/>
  <c r="HZ13" i="1"/>
  <c r="HY13" i="1"/>
  <c r="HX13" i="1"/>
  <c r="HW13" i="1"/>
  <c r="HV13" i="1"/>
  <c r="HU13" i="1"/>
  <c r="HT13" i="1"/>
  <c r="HS13" i="1"/>
  <c r="HR13" i="1"/>
  <c r="HQ13" i="1"/>
  <c r="HP13" i="1"/>
  <c r="HO13" i="1"/>
  <c r="HN13" i="1"/>
  <c r="HM13" i="1"/>
  <c r="HL13" i="1"/>
  <c r="HK13" i="1"/>
  <c r="HJ13" i="1"/>
  <c r="HI13" i="1"/>
  <c r="HH13" i="1"/>
  <c r="HG13" i="1"/>
  <c r="HF13" i="1"/>
  <c r="HE13" i="1"/>
  <c r="HD13" i="1"/>
  <c r="HC13" i="1"/>
  <c r="HB13" i="1"/>
  <c r="HA13" i="1"/>
  <c r="GZ13" i="1"/>
  <c r="GY13" i="1"/>
  <c r="GX13" i="1"/>
  <c r="GE13" i="1" l="1"/>
  <c r="GD13" i="1"/>
  <c r="GC13" i="1"/>
  <c r="GB13" i="1"/>
  <c r="GA13" i="1"/>
  <c r="FZ13" i="1"/>
  <c r="FY13" i="1"/>
  <c r="FX13" i="1"/>
  <c r="FW13" i="1"/>
  <c r="FV13" i="1"/>
  <c r="FU13" i="1"/>
  <c r="FT13" i="1"/>
  <c r="FS13" i="1"/>
  <c r="FR13" i="1"/>
  <c r="FQ13" i="1"/>
  <c r="FP13" i="1"/>
  <c r="FO13" i="1"/>
  <c r="FN13" i="1"/>
  <c r="F22" i="102" l="1"/>
  <c r="F21" i="102"/>
  <c r="F20" i="102"/>
  <c r="F19" i="102"/>
  <c r="F17" i="102"/>
  <c r="F15" i="102"/>
  <c r="F14" i="102" l="1"/>
  <c r="CS13" i="1" l="1"/>
  <c r="CR13" i="1"/>
  <c r="CQ13" i="1"/>
  <c r="CP13" i="1"/>
  <c r="CO13" i="1"/>
  <c r="CN13" i="1"/>
  <c r="CM13" i="1"/>
  <c r="CL13" i="1"/>
  <c r="CK13" i="1"/>
  <c r="CJ13" i="1"/>
  <c r="CI13" i="1"/>
  <c r="CH13" i="1"/>
  <c r="CG13" i="1"/>
  <c r="CF13" i="1"/>
  <c r="CE13" i="1"/>
  <c r="CD13" i="1"/>
  <c r="CC13" i="1"/>
  <c r="CB13" i="1"/>
  <c r="AQ13" i="1"/>
  <c r="AP13" i="1"/>
  <c r="AO13" i="1"/>
  <c r="AN13" i="1"/>
  <c r="AM13" i="1"/>
  <c r="AL13" i="1"/>
  <c r="AK13" i="1"/>
  <c r="AJ13" i="1"/>
  <c r="AI13" i="1"/>
  <c r="AH13" i="1"/>
  <c r="AG13" i="1"/>
  <c r="AF13" i="1"/>
  <c r="AE13" i="1"/>
  <c r="AD13" i="1"/>
  <c r="AC13" i="1"/>
  <c r="AB13" i="1"/>
  <c r="AA13" i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BI13" i="1"/>
  <c r="BH13" i="1"/>
  <c r="BG13" i="1"/>
  <c r="BF13" i="1"/>
  <c r="BE13" i="1"/>
  <c r="BD13" i="1"/>
  <c r="BC13" i="1"/>
  <c r="BB13" i="1"/>
  <c r="BA13" i="1"/>
  <c r="AZ13" i="1"/>
  <c r="AY13" i="1"/>
  <c r="AX13" i="1"/>
  <c r="AW13" i="1"/>
  <c r="AV13" i="1"/>
  <c r="AU13" i="1"/>
  <c r="AT13" i="1"/>
  <c r="AS13" i="1"/>
  <c r="AR13" i="1"/>
  <c r="FM13" i="1"/>
  <c r="FL13" i="1"/>
  <c r="FK13" i="1"/>
  <c r="FJ13" i="1"/>
  <c r="FI13" i="1"/>
  <c r="FH13" i="1"/>
  <c r="FG13" i="1"/>
  <c r="FF13" i="1"/>
  <c r="FE13" i="1"/>
  <c r="FD13" i="1"/>
  <c r="FC13" i="1"/>
  <c r="FB13" i="1"/>
  <c r="FA13" i="1"/>
  <c r="EZ13" i="1"/>
  <c r="EY13" i="1"/>
  <c r="EX13" i="1"/>
  <c r="EW13" i="1"/>
  <c r="EV13" i="1"/>
  <c r="GW13" i="1"/>
  <c r="GV13" i="1"/>
  <c r="GU13" i="1"/>
  <c r="GT13" i="1"/>
  <c r="GS13" i="1"/>
  <c r="GR13" i="1"/>
  <c r="GQ13" i="1"/>
  <c r="GP13" i="1"/>
  <c r="GO13" i="1"/>
  <c r="GN13" i="1"/>
  <c r="GM13" i="1"/>
  <c r="GL13" i="1"/>
  <c r="GK13" i="1"/>
  <c r="GJ13" i="1"/>
  <c r="GI13" i="1"/>
  <c r="GH13" i="1"/>
  <c r="GG13" i="1"/>
  <c r="GF13" i="1"/>
  <c r="NU13" i="1"/>
  <c r="NT13" i="1"/>
  <c r="NS13" i="1"/>
  <c r="NR13" i="1"/>
  <c r="NQ13" i="1"/>
  <c r="NP13" i="1"/>
  <c r="NO13" i="1"/>
  <c r="NN13" i="1"/>
  <c r="NM13" i="1"/>
  <c r="NL13" i="1"/>
  <c r="NK13" i="1"/>
  <c r="NJ13" i="1"/>
  <c r="NI13" i="1"/>
  <c r="NH13" i="1"/>
  <c r="NG13" i="1"/>
  <c r="NF13" i="1"/>
  <c r="NE13" i="1"/>
  <c r="ND13" i="1"/>
  <c r="PE13" i="1"/>
  <c r="PD13" i="1"/>
  <c r="PC13" i="1"/>
  <c r="PB13" i="1"/>
  <c r="PA13" i="1"/>
  <c r="OZ13" i="1"/>
  <c r="OY13" i="1"/>
  <c r="OX13" i="1"/>
  <c r="OW13" i="1"/>
  <c r="OV13" i="1"/>
  <c r="OU13" i="1"/>
  <c r="OT13" i="1"/>
  <c r="OS13" i="1"/>
  <c r="OR13" i="1"/>
  <c r="OQ13" i="1"/>
  <c r="OP13" i="1"/>
  <c r="OO13" i="1"/>
  <c r="ON13" i="1"/>
  <c r="BE109" i="16" l="1"/>
  <c r="BA109" i="16"/>
  <c r="AZ109" i="16"/>
  <c r="AY109" i="16"/>
  <c r="AW109" i="16"/>
  <c r="AV109" i="16"/>
  <c r="AU109" i="16"/>
  <c r="AT109" i="16"/>
  <c r="BC109" i="16" s="1"/>
  <c r="AS109" i="16"/>
  <c r="AQ109" i="16"/>
  <c r="AP109" i="16"/>
  <c r="AM109" i="16"/>
  <c r="AI109" i="16"/>
  <c r="AH109" i="16"/>
  <c r="AG109" i="16"/>
  <c r="AE109" i="16"/>
  <c r="AD109" i="16"/>
  <c r="AC109" i="16"/>
  <c r="AB109" i="16"/>
  <c r="AK109" i="16" s="1"/>
  <c r="AA109" i="16"/>
  <c r="Y109" i="16"/>
  <c r="X109" i="16"/>
  <c r="BE108" i="16"/>
  <c r="BE107" i="16" s="1"/>
  <c r="BA108" i="16"/>
  <c r="BA107" i="16" s="1"/>
  <c r="AZ108" i="16"/>
  <c r="AZ107" i="16" s="1"/>
  <c r="AY108" i="16"/>
  <c r="AY107" i="16" s="1"/>
  <c r="AW108" i="16"/>
  <c r="AW107" i="16" s="1"/>
  <c r="AV108" i="16"/>
  <c r="AV107" i="16" s="1"/>
  <c r="AU108" i="16"/>
  <c r="AU107" i="16" s="1"/>
  <c r="AT108" i="16"/>
  <c r="AT107" i="16" s="1"/>
  <c r="BC107" i="16" s="1"/>
  <c r="AS108" i="16"/>
  <c r="AS107" i="16" s="1"/>
  <c r="AQ108" i="16"/>
  <c r="AQ107" i="16" s="1"/>
  <c r="AP108" i="16"/>
  <c r="AM108" i="16"/>
  <c r="AI108" i="16"/>
  <c r="AH108" i="16"/>
  <c r="AG108" i="16"/>
  <c r="AG107" i="16" s="1"/>
  <c r="AE108" i="16"/>
  <c r="AD108" i="16"/>
  <c r="AD107" i="16" s="1"/>
  <c r="AC108" i="16"/>
  <c r="AC107" i="16" s="1"/>
  <c r="AB108" i="16"/>
  <c r="AK108" i="16" s="1"/>
  <c r="AA108" i="16"/>
  <c r="AA107" i="16" s="1"/>
  <c r="Y108" i="16"/>
  <c r="X108" i="16"/>
  <c r="X107" i="16" s="1"/>
  <c r="P109" i="16" l="1"/>
  <c r="P108" i="16"/>
  <c r="P107" i="16" s="1"/>
  <c r="K109" i="16"/>
  <c r="I109" i="16"/>
  <c r="M109" i="16"/>
  <c r="Q108" i="16"/>
  <c r="G109" i="16"/>
  <c r="L109" i="16"/>
  <c r="K108" i="16"/>
  <c r="K107" i="16" s="1"/>
  <c r="M108" i="16"/>
  <c r="M107" i="16" s="1"/>
  <c r="O108" i="16"/>
  <c r="O107" i="16" s="1"/>
  <c r="J109" i="16"/>
  <c r="S109" i="16" s="1"/>
  <c r="O109" i="16"/>
  <c r="Q109" i="16"/>
  <c r="AR108" i="16"/>
  <c r="L108" i="16"/>
  <c r="L107" i="16" s="1"/>
  <c r="AO108" i="16"/>
  <c r="BC108" i="16"/>
  <c r="Z109" i="16"/>
  <c r="BG109" i="16"/>
  <c r="AH107" i="16"/>
  <c r="BB108" i="16"/>
  <c r="BB109" i="16"/>
  <c r="AB107" i="16"/>
  <c r="AK107" i="16" s="1"/>
  <c r="BF109" i="16"/>
  <c r="AJ109" i="16"/>
  <c r="F109" i="16"/>
  <c r="Y107" i="16"/>
  <c r="AJ107" i="16" s="1"/>
  <c r="G108" i="16"/>
  <c r="G107" i="16" s="1"/>
  <c r="U108" i="16"/>
  <c r="U107" i="16" s="1"/>
  <c r="AM107" i="16"/>
  <c r="AE107" i="16"/>
  <c r="U109" i="16"/>
  <c r="AI107" i="16"/>
  <c r="AP107" i="16"/>
  <c r="BB107" i="16" s="1"/>
  <c r="AJ108" i="16"/>
  <c r="AX109" i="16"/>
  <c r="BD109" i="16" s="1"/>
  <c r="AO109" i="16"/>
  <c r="AF108" i="16"/>
  <c r="F108" i="16"/>
  <c r="F107" i="16" s="1"/>
  <c r="J108" i="16"/>
  <c r="J107" i="16" s="1"/>
  <c r="Z108" i="16"/>
  <c r="Z107" i="16" s="1"/>
  <c r="AX108" i="16"/>
  <c r="AX107" i="16" s="1"/>
  <c r="BF108" i="16"/>
  <c r="BF107" i="16" s="1"/>
  <c r="AF109" i="16"/>
  <c r="AL109" i="16" s="1"/>
  <c r="AN109" i="16"/>
  <c r="AR109" i="16"/>
  <c r="BG108" i="16"/>
  <c r="BG107" i="16" s="1"/>
  <c r="AN108" i="16"/>
  <c r="AN107" i="16" s="1"/>
  <c r="I108" i="16"/>
  <c r="I107" i="16" s="1"/>
  <c r="AF107" i="16" l="1"/>
  <c r="AL107" i="16" s="1"/>
  <c r="AR107" i="16"/>
  <c r="Q107" i="16"/>
  <c r="AO107" i="16"/>
  <c r="R109" i="16"/>
  <c r="W109" i="16"/>
  <c r="N109" i="16"/>
  <c r="T109" i="16" s="1"/>
  <c r="N108" i="16"/>
  <c r="N107" i="16" s="1"/>
  <c r="T107" i="16" s="1"/>
  <c r="H109" i="16"/>
  <c r="V109" i="16"/>
  <c r="V108" i="16"/>
  <c r="V107" i="16" s="1"/>
  <c r="H108" i="16"/>
  <c r="H107" i="16" s="1"/>
  <c r="W108" i="16"/>
  <c r="W107" i="16" s="1"/>
  <c r="BD107" i="16"/>
  <c r="BD108" i="16"/>
  <c r="S107" i="16"/>
  <c r="S108" i="16"/>
  <c r="AL108" i="16"/>
  <c r="R108" i="16"/>
  <c r="R107" i="16"/>
  <c r="T108" i="16" l="1"/>
  <c r="AP106" i="16" l="1"/>
  <c r="AP105" i="16"/>
  <c r="AP104" i="16"/>
  <c r="AP103" i="16"/>
  <c r="AP102" i="16"/>
  <c r="AP101" i="16"/>
  <c r="AP100" i="16"/>
  <c r="AP99" i="16"/>
  <c r="AP98" i="16"/>
  <c r="AP96" i="16"/>
  <c r="AP95" i="16"/>
  <c r="AP94" i="16"/>
  <c r="AP93" i="16"/>
  <c r="AP92" i="16"/>
  <c r="AP91" i="16"/>
  <c r="AP90" i="16"/>
  <c r="AP89" i="16"/>
  <c r="AP88" i="16"/>
  <c r="AP87" i="16"/>
  <c r="AP86" i="16"/>
  <c r="AP85" i="16"/>
  <c r="AP83" i="16"/>
  <c r="AP82" i="16"/>
  <c r="AP81" i="16"/>
  <c r="AP80" i="16"/>
  <c r="AP79" i="16"/>
  <c r="AP78" i="16"/>
  <c r="AP77" i="16" s="1"/>
  <c r="AP76" i="16"/>
  <c r="AP75" i="16"/>
  <c r="AP74" i="16"/>
  <c r="AP73" i="16"/>
  <c r="AP72" i="16"/>
  <c r="AP71" i="16"/>
  <c r="AP70" i="16"/>
  <c r="AP69" i="16"/>
  <c r="AP68" i="16"/>
  <c r="AP67" i="16"/>
  <c r="AP66" i="16"/>
  <c r="AP65" i="16"/>
  <c r="AP64" i="16"/>
  <c r="AP63" i="16"/>
  <c r="AP62" i="16" s="1"/>
  <c r="AP61" i="16"/>
  <c r="AP60" i="16"/>
  <c r="AP59" i="16"/>
  <c r="AP58" i="16"/>
  <c r="AP57" i="16"/>
  <c r="AP56" i="16"/>
  <c r="AP55" i="16"/>
  <c r="AP54" i="16" s="1"/>
  <c r="AP53" i="16"/>
  <c r="AP52" i="16"/>
  <c r="AP51" i="16"/>
  <c r="AP50" i="16"/>
  <c r="AP49" i="16"/>
  <c r="AP48" i="16"/>
  <c r="AP46" i="16"/>
  <c r="AP45" i="16"/>
  <c r="AP44" i="16"/>
  <c r="AP43" i="16"/>
  <c r="AP42" i="16"/>
  <c r="AP41" i="16"/>
  <c r="AP40" i="16"/>
  <c r="AP39" i="16"/>
  <c r="AP38" i="16"/>
  <c r="AP37" i="16"/>
  <c r="AP36" i="16"/>
  <c r="AP34" i="16"/>
  <c r="AP33" i="16"/>
  <c r="AP32" i="16"/>
  <c r="AP31" i="16"/>
  <c r="AP30" i="16"/>
  <c r="AP29" i="16"/>
  <c r="AP28" i="16"/>
  <c r="AP27" i="16"/>
  <c r="AP26" i="16"/>
  <c r="AP25" i="16"/>
  <c r="AP24" i="16"/>
  <c r="AP23" i="16"/>
  <c r="AP22" i="16"/>
  <c r="AP21" i="16"/>
  <c r="AP20" i="16"/>
  <c r="AP19" i="16"/>
  <c r="AP18" i="16"/>
  <c r="AP17" i="16"/>
  <c r="AP16" i="16" s="1"/>
  <c r="X106" i="16"/>
  <c r="X105" i="16"/>
  <c r="X104" i="16"/>
  <c r="X103" i="16"/>
  <c r="X102" i="16"/>
  <c r="X101" i="16"/>
  <c r="X100" i="16"/>
  <c r="X99" i="16"/>
  <c r="X98" i="16"/>
  <c r="X96" i="16"/>
  <c r="X95" i="16"/>
  <c r="X94" i="16"/>
  <c r="X93" i="16"/>
  <c r="X92" i="16"/>
  <c r="X91" i="16"/>
  <c r="X90" i="16"/>
  <c r="X89" i="16"/>
  <c r="X88" i="16"/>
  <c r="X87" i="16"/>
  <c r="X86" i="16"/>
  <c r="X85" i="16"/>
  <c r="X83" i="16"/>
  <c r="X82" i="16"/>
  <c r="X81" i="16"/>
  <c r="X80" i="16"/>
  <c r="X79" i="16"/>
  <c r="X78" i="16"/>
  <c r="X76" i="16"/>
  <c r="X75" i="16"/>
  <c r="X74" i="16"/>
  <c r="X73" i="16"/>
  <c r="X72" i="16"/>
  <c r="X71" i="16"/>
  <c r="X70" i="16"/>
  <c r="X69" i="16"/>
  <c r="X68" i="16"/>
  <c r="X67" i="16"/>
  <c r="X66" i="16"/>
  <c r="X65" i="16"/>
  <c r="X64" i="16"/>
  <c r="X63" i="16"/>
  <c r="X61" i="16"/>
  <c r="X60" i="16"/>
  <c r="X59" i="16"/>
  <c r="X58" i="16"/>
  <c r="X57" i="16"/>
  <c r="X56" i="16"/>
  <c r="X55" i="16"/>
  <c r="X53" i="16"/>
  <c r="X52" i="16"/>
  <c r="X51" i="16"/>
  <c r="X50" i="16"/>
  <c r="X49" i="16"/>
  <c r="X48" i="16"/>
  <c r="X46" i="16"/>
  <c r="X45" i="16"/>
  <c r="X44" i="16"/>
  <c r="X43" i="16"/>
  <c r="X42" i="16"/>
  <c r="X41" i="16"/>
  <c r="X40" i="16"/>
  <c r="X39" i="16"/>
  <c r="X38" i="16"/>
  <c r="X37" i="16"/>
  <c r="X36" i="16"/>
  <c r="X34" i="16"/>
  <c r="X33" i="16"/>
  <c r="X32" i="16"/>
  <c r="X31" i="16"/>
  <c r="X30" i="16"/>
  <c r="X29" i="16"/>
  <c r="X28" i="16"/>
  <c r="X27" i="16"/>
  <c r="X26" i="16"/>
  <c r="X25" i="16"/>
  <c r="X24" i="16"/>
  <c r="X23" i="16"/>
  <c r="X22" i="16"/>
  <c r="X21" i="16"/>
  <c r="X20" i="16"/>
  <c r="X19" i="16"/>
  <c r="X18" i="16"/>
  <c r="X17" i="16"/>
  <c r="X35" i="16" l="1"/>
  <c r="X62" i="16"/>
  <c r="F24" i="16"/>
  <c r="F32" i="16"/>
  <c r="F50" i="16"/>
  <c r="F59" i="16"/>
  <c r="F68" i="16"/>
  <c r="F86" i="16"/>
  <c r="F94" i="16"/>
  <c r="F103" i="16"/>
  <c r="F26" i="16"/>
  <c r="F43" i="16"/>
  <c r="F61" i="16"/>
  <c r="F79" i="16"/>
  <c r="F96" i="16"/>
  <c r="F20" i="16"/>
  <c r="F37" i="16"/>
  <c r="F55" i="16"/>
  <c r="F72" i="16"/>
  <c r="F90" i="16"/>
  <c r="F19" i="16"/>
  <c r="F31" i="16"/>
  <c r="F36" i="16"/>
  <c r="F35" i="16" s="1"/>
  <c r="F49" i="16"/>
  <c r="F53" i="16"/>
  <c r="F67" i="16"/>
  <c r="F71" i="16"/>
  <c r="F85" i="16"/>
  <c r="F84" i="16" s="1"/>
  <c r="F89" i="16"/>
  <c r="F102" i="16"/>
  <c r="F106" i="16"/>
  <c r="F41" i="16"/>
  <c r="F76" i="16"/>
  <c r="AP35" i="16"/>
  <c r="F18" i="16"/>
  <c r="F22" i="16"/>
  <c r="F30" i="16"/>
  <c r="F34" i="16"/>
  <c r="F39" i="16"/>
  <c r="X47" i="16"/>
  <c r="F48" i="16"/>
  <c r="F52" i="16"/>
  <c r="F57" i="16"/>
  <c r="F66" i="16"/>
  <c r="F70" i="16"/>
  <c r="F74" i="16"/>
  <c r="F83" i="16"/>
  <c r="F88" i="16"/>
  <c r="F92" i="16"/>
  <c r="F54" i="16"/>
  <c r="AP47" i="16"/>
  <c r="F101" i="16"/>
  <c r="F105" i="16"/>
  <c r="X97" i="16"/>
  <c r="AP84" i="16"/>
  <c r="AP97" i="16"/>
  <c r="F27" i="16"/>
  <c r="F44" i="16"/>
  <c r="F63" i="16"/>
  <c r="F80" i="16"/>
  <c r="F98" i="16"/>
  <c r="X84" i="16"/>
  <c r="X54" i="16"/>
  <c r="F23" i="16"/>
  <c r="F28" i="16"/>
  <c r="F40" i="16"/>
  <c r="F45" i="16"/>
  <c r="F58" i="16"/>
  <c r="F64" i="16"/>
  <c r="F75" i="16"/>
  <c r="F81" i="16"/>
  <c r="F93" i="16"/>
  <c r="F99" i="16"/>
  <c r="X16" i="16"/>
  <c r="F17" i="16"/>
  <c r="F16" i="16" s="1"/>
  <c r="F21" i="16"/>
  <c r="F25" i="16"/>
  <c r="F29" i="16"/>
  <c r="F33" i="16"/>
  <c r="F38" i="16"/>
  <c r="F42" i="16"/>
  <c r="F46" i="16"/>
  <c r="F51" i="16"/>
  <c r="F56" i="16"/>
  <c r="F60" i="16"/>
  <c r="F65" i="16"/>
  <c r="F69" i="16"/>
  <c r="F73" i="16"/>
  <c r="X77" i="16"/>
  <c r="F78" i="16"/>
  <c r="F82" i="16"/>
  <c r="F87" i="16"/>
  <c r="F91" i="16"/>
  <c r="F95" i="16"/>
  <c r="F100" i="16"/>
  <c r="F104" i="16"/>
  <c r="X14" i="16" l="1"/>
  <c r="AP14" i="16"/>
  <c r="F77" i="16"/>
  <c r="F62" i="16"/>
  <c r="F97" i="16"/>
  <c r="F47" i="16"/>
  <c r="F14" i="16" l="1"/>
  <c r="BE106" i="16" l="1"/>
  <c r="BA106" i="16"/>
  <c r="AZ106" i="16"/>
  <c r="AY106" i="16"/>
  <c r="AW106" i="16"/>
  <c r="AV106" i="16"/>
  <c r="AU106" i="16"/>
  <c r="AT106" i="16"/>
  <c r="BC106" i="16" s="1"/>
  <c r="AS106" i="16"/>
  <c r="AQ106" i="16"/>
  <c r="BB106" i="16" s="1"/>
  <c r="BE105" i="16"/>
  <c r="BA105" i="16"/>
  <c r="AZ105" i="16"/>
  <c r="AY105" i="16"/>
  <c r="AW105" i="16"/>
  <c r="AV105" i="16"/>
  <c r="AU105" i="16"/>
  <c r="AT105" i="16"/>
  <c r="BC105" i="16" s="1"/>
  <c r="AS105" i="16"/>
  <c r="AQ105" i="16"/>
  <c r="BB105" i="16" s="1"/>
  <c r="BE104" i="16"/>
  <c r="BA104" i="16"/>
  <c r="AZ104" i="16"/>
  <c r="AY104" i="16"/>
  <c r="AW104" i="16"/>
  <c r="AV104" i="16"/>
  <c r="AU104" i="16"/>
  <c r="AT104" i="16"/>
  <c r="BC104" i="16" s="1"/>
  <c r="AS104" i="16"/>
  <c r="AQ104" i="16"/>
  <c r="BB104" i="16" s="1"/>
  <c r="BE103" i="16"/>
  <c r="BA103" i="16"/>
  <c r="AZ103" i="16"/>
  <c r="AY103" i="16"/>
  <c r="AW103" i="16"/>
  <c r="AV103" i="16"/>
  <c r="AU103" i="16"/>
  <c r="AT103" i="16"/>
  <c r="BC103" i="16" s="1"/>
  <c r="AS103" i="16"/>
  <c r="AQ103" i="16"/>
  <c r="BB103" i="16" s="1"/>
  <c r="BE102" i="16"/>
  <c r="BA102" i="16"/>
  <c r="AZ102" i="16"/>
  <c r="AY102" i="16"/>
  <c r="AW102" i="16"/>
  <c r="AV102" i="16"/>
  <c r="AU102" i="16"/>
  <c r="AT102" i="16"/>
  <c r="BC102" i="16" s="1"/>
  <c r="AS102" i="16"/>
  <c r="AQ102" i="16"/>
  <c r="BB102" i="16" s="1"/>
  <c r="BE101" i="16"/>
  <c r="BA101" i="16"/>
  <c r="AZ101" i="16"/>
  <c r="AY101" i="16"/>
  <c r="AW101" i="16"/>
  <c r="AV101" i="16"/>
  <c r="AU101" i="16"/>
  <c r="AT101" i="16"/>
  <c r="BC101" i="16" s="1"/>
  <c r="AS101" i="16"/>
  <c r="AQ101" i="16"/>
  <c r="BB101" i="16" s="1"/>
  <c r="BE100" i="16"/>
  <c r="BA100" i="16"/>
  <c r="AZ100" i="16"/>
  <c r="AY100" i="16"/>
  <c r="AW100" i="16"/>
  <c r="AV100" i="16"/>
  <c r="AU100" i="16"/>
  <c r="AT100" i="16"/>
  <c r="BC100" i="16" s="1"/>
  <c r="AS100" i="16"/>
  <c r="AQ100" i="16"/>
  <c r="BB100" i="16" s="1"/>
  <c r="BE99" i="16"/>
  <c r="BA99" i="16"/>
  <c r="AZ99" i="16"/>
  <c r="AY99" i="16"/>
  <c r="AW99" i="16"/>
  <c r="AV99" i="16"/>
  <c r="AU99" i="16"/>
  <c r="AT99" i="16"/>
  <c r="BC99" i="16" s="1"/>
  <c r="AS99" i="16"/>
  <c r="AQ99" i="16"/>
  <c r="BB99" i="16" s="1"/>
  <c r="BE98" i="16"/>
  <c r="BE97" i="16" s="1"/>
  <c r="BA98" i="16"/>
  <c r="BA97" i="16" s="1"/>
  <c r="AZ98" i="16"/>
  <c r="AZ97" i="16" s="1"/>
  <c r="AY98" i="16"/>
  <c r="AW98" i="16"/>
  <c r="AW97" i="16" s="1"/>
  <c r="AV98" i="16"/>
  <c r="AV97" i="16" s="1"/>
  <c r="AU98" i="16"/>
  <c r="AU97" i="16" s="1"/>
  <c r="AT98" i="16"/>
  <c r="AS98" i="16"/>
  <c r="AS97" i="16" s="1"/>
  <c r="AQ98" i="16"/>
  <c r="BE96" i="16"/>
  <c r="BA96" i="16"/>
  <c r="AZ96" i="16"/>
  <c r="AY96" i="16"/>
  <c r="AW96" i="16"/>
  <c r="AV96" i="16"/>
  <c r="AU96" i="16"/>
  <c r="AT96" i="16"/>
  <c r="AS96" i="16"/>
  <c r="AQ96" i="16"/>
  <c r="BB96" i="16" s="1"/>
  <c r="BE95" i="16"/>
  <c r="BA95" i="16"/>
  <c r="AZ95" i="16"/>
  <c r="AY95" i="16"/>
  <c r="AW95" i="16"/>
  <c r="AV95" i="16"/>
  <c r="AU95" i="16"/>
  <c r="AT95" i="16"/>
  <c r="AS95" i="16"/>
  <c r="AQ95" i="16"/>
  <c r="BB95" i="16" s="1"/>
  <c r="BE94" i="16"/>
  <c r="BA94" i="16"/>
  <c r="AZ94" i="16"/>
  <c r="AY94" i="16"/>
  <c r="AW94" i="16"/>
  <c r="AV94" i="16"/>
  <c r="AU94" i="16"/>
  <c r="AT94" i="16"/>
  <c r="BC94" i="16" s="1"/>
  <c r="AS94" i="16"/>
  <c r="AQ94" i="16"/>
  <c r="BB94" i="16" s="1"/>
  <c r="BE93" i="16"/>
  <c r="BA93" i="16"/>
  <c r="AZ93" i="16"/>
  <c r="AY93" i="16"/>
  <c r="AW93" i="16"/>
  <c r="AV93" i="16"/>
  <c r="AU93" i="16"/>
  <c r="AT93" i="16"/>
  <c r="AS93" i="16"/>
  <c r="AQ93" i="16"/>
  <c r="BB93" i="16" s="1"/>
  <c r="BE92" i="16"/>
  <c r="BA92" i="16"/>
  <c r="AZ92" i="16"/>
  <c r="AY92" i="16"/>
  <c r="AW92" i="16"/>
  <c r="AV92" i="16"/>
  <c r="AU92" i="16"/>
  <c r="AT92" i="16"/>
  <c r="BC92" i="16" s="1"/>
  <c r="AS92" i="16"/>
  <c r="AQ92" i="16"/>
  <c r="BB92" i="16" s="1"/>
  <c r="BE91" i="16"/>
  <c r="BA91" i="16"/>
  <c r="AZ91" i="16"/>
  <c r="AY91" i="16"/>
  <c r="AW91" i="16"/>
  <c r="AV91" i="16"/>
  <c r="AU91" i="16"/>
  <c r="AT91" i="16"/>
  <c r="AS91" i="16"/>
  <c r="AQ91" i="16"/>
  <c r="BB91" i="16" s="1"/>
  <c r="BE90" i="16"/>
  <c r="BA90" i="16"/>
  <c r="AZ90" i="16"/>
  <c r="AY90" i="16"/>
  <c r="AW90" i="16"/>
  <c r="AV90" i="16"/>
  <c r="AU90" i="16"/>
  <c r="AT90" i="16"/>
  <c r="BC90" i="16" s="1"/>
  <c r="AS90" i="16"/>
  <c r="AQ90" i="16"/>
  <c r="BB90" i="16" s="1"/>
  <c r="BE89" i="16"/>
  <c r="BA89" i="16"/>
  <c r="AZ89" i="16"/>
  <c r="AY89" i="16"/>
  <c r="AW89" i="16"/>
  <c r="AV89" i="16"/>
  <c r="AU89" i="16"/>
  <c r="AT89" i="16"/>
  <c r="AS89" i="16"/>
  <c r="AQ89" i="16"/>
  <c r="BB89" i="16" s="1"/>
  <c r="BE88" i="16"/>
  <c r="BA88" i="16"/>
  <c r="AZ88" i="16"/>
  <c r="AY88" i="16"/>
  <c r="AW88" i="16"/>
  <c r="AV88" i="16"/>
  <c r="AU88" i="16"/>
  <c r="AT88" i="16"/>
  <c r="BC88" i="16" s="1"/>
  <c r="AS88" i="16"/>
  <c r="AQ88" i="16"/>
  <c r="BB88" i="16" s="1"/>
  <c r="BE87" i="16"/>
  <c r="BA87" i="16"/>
  <c r="AZ87" i="16"/>
  <c r="AY87" i="16"/>
  <c r="AW87" i="16"/>
  <c r="AV87" i="16"/>
  <c r="AU87" i="16"/>
  <c r="AT87" i="16"/>
  <c r="BC87" i="16" s="1"/>
  <c r="AS87" i="16"/>
  <c r="AQ87" i="16"/>
  <c r="BB87" i="16" s="1"/>
  <c r="BE86" i="16"/>
  <c r="BA86" i="16"/>
  <c r="AZ86" i="16"/>
  <c r="AY86" i="16"/>
  <c r="AW86" i="16"/>
  <c r="AV86" i="16"/>
  <c r="AU86" i="16"/>
  <c r="AT86" i="16"/>
  <c r="BC86" i="16" s="1"/>
  <c r="AS86" i="16"/>
  <c r="AQ86" i="16"/>
  <c r="BB86" i="16" s="1"/>
  <c r="BE85" i="16"/>
  <c r="BE84" i="16" s="1"/>
  <c r="BA85" i="16"/>
  <c r="BA84" i="16" s="1"/>
  <c r="AZ85" i="16"/>
  <c r="AY85" i="16"/>
  <c r="AY84" i="16" s="1"/>
  <c r="AW85" i="16"/>
  <c r="AW84" i="16" s="1"/>
  <c r="AV85" i="16"/>
  <c r="AV84" i="16" s="1"/>
  <c r="AU85" i="16"/>
  <c r="AT85" i="16"/>
  <c r="AS85" i="16"/>
  <c r="AQ85" i="16"/>
  <c r="BE83" i="16"/>
  <c r="BA83" i="16"/>
  <c r="AZ83" i="16"/>
  <c r="AY83" i="16"/>
  <c r="AW83" i="16"/>
  <c r="AV83" i="16"/>
  <c r="AU83" i="16"/>
  <c r="AT83" i="16"/>
  <c r="BC83" i="16" s="1"/>
  <c r="AS83" i="16"/>
  <c r="AQ83" i="16"/>
  <c r="BB83" i="16" s="1"/>
  <c r="BE82" i="16"/>
  <c r="BA82" i="16"/>
  <c r="AZ82" i="16"/>
  <c r="AY82" i="16"/>
  <c r="AW82" i="16"/>
  <c r="AV82" i="16"/>
  <c r="AU82" i="16"/>
  <c r="AT82" i="16"/>
  <c r="BC82" i="16" s="1"/>
  <c r="AS82" i="16"/>
  <c r="AQ82" i="16"/>
  <c r="BB82" i="16" s="1"/>
  <c r="BE81" i="16"/>
  <c r="BA81" i="16"/>
  <c r="AZ81" i="16"/>
  <c r="AY81" i="16"/>
  <c r="AW81" i="16"/>
  <c r="AV81" i="16"/>
  <c r="AU81" i="16"/>
  <c r="AT81" i="16"/>
  <c r="AS81" i="16"/>
  <c r="AQ81" i="16"/>
  <c r="BB81" i="16" s="1"/>
  <c r="BE80" i="16"/>
  <c r="BA80" i="16"/>
  <c r="AZ80" i="16"/>
  <c r="AY80" i="16"/>
  <c r="AW80" i="16"/>
  <c r="AV80" i="16"/>
  <c r="AU80" i="16"/>
  <c r="AT80" i="16"/>
  <c r="BC80" i="16" s="1"/>
  <c r="AS80" i="16"/>
  <c r="AQ80" i="16"/>
  <c r="BB80" i="16" s="1"/>
  <c r="BE79" i="16"/>
  <c r="BA79" i="16"/>
  <c r="AZ79" i="16"/>
  <c r="AY79" i="16"/>
  <c r="AW79" i="16"/>
  <c r="AV79" i="16"/>
  <c r="AU79" i="16"/>
  <c r="AT79" i="16"/>
  <c r="BC79" i="16" s="1"/>
  <c r="AS79" i="16"/>
  <c r="AQ79" i="16"/>
  <c r="BB79" i="16" s="1"/>
  <c r="BE78" i="16"/>
  <c r="BE77" i="16" s="1"/>
  <c r="BA78" i="16"/>
  <c r="AZ78" i="16"/>
  <c r="AZ77" i="16" s="1"/>
  <c r="AY78" i="16"/>
  <c r="AY77" i="16" s="1"/>
  <c r="AW78" i="16"/>
  <c r="AW77" i="16" s="1"/>
  <c r="AV78" i="16"/>
  <c r="AU78" i="16"/>
  <c r="AU77" i="16" s="1"/>
  <c r="AT78" i="16"/>
  <c r="AT77" i="16" s="1"/>
  <c r="BC77" i="16" s="1"/>
  <c r="AS78" i="16"/>
  <c r="AQ78" i="16"/>
  <c r="BE76" i="16"/>
  <c r="BA76" i="16"/>
  <c r="AZ76" i="16"/>
  <c r="AY76" i="16"/>
  <c r="AW76" i="16"/>
  <c r="AV76" i="16"/>
  <c r="AU76" i="16"/>
  <c r="AT76" i="16"/>
  <c r="BC76" i="16" s="1"/>
  <c r="AS76" i="16"/>
  <c r="AQ76" i="16"/>
  <c r="BB76" i="16" s="1"/>
  <c r="BE75" i="16"/>
  <c r="BA75" i="16"/>
  <c r="AZ75" i="16"/>
  <c r="AY75" i="16"/>
  <c r="AW75" i="16"/>
  <c r="AV75" i="16"/>
  <c r="AU75" i="16"/>
  <c r="AT75" i="16"/>
  <c r="BC75" i="16" s="1"/>
  <c r="AS75" i="16"/>
  <c r="AQ75" i="16"/>
  <c r="BB75" i="16" s="1"/>
  <c r="BE74" i="16"/>
  <c r="BA74" i="16"/>
  <c r="AZ74" i="16"/>
  <c r="AY74" i="16"/>
  <c r="AW74" i="16"/>
  <c r="AV74" i="16"/>
  <c r="AU74" i="16"/>
  <c r="AT74" i="16"/>
  <c r="BC74" i="16" s="1"/>
  <c r="AS74" i="16"/>
  <c r="AQ74" i="16"/>
  <c r="BB74" i="16" s="1"/>
  <c r="BE73" i="16"/>
  <c r="BA73" i="16"/>
  <c r="AZ73" i="16"/>
  <c r="AY73" i="16"/>
  <c r="AW73" i="16"/>
  <c r="AV73" i="16"/>
  <c r="AU73" i="16"/>
  <c r="AT73" i="16"/>
  <c r="AS73" i="16"/>
  <c r="AQ73" i="16"/>
  <c r="BB73" i="16" s="1"/>
  <c r="BE72" i="16"/>
  <c r="BA72" i="16"/>
  <c r="AZ72" i="16"/>
  <c r="AY72" i="16"/>
  <c r="AW72" i="16"/>
  <c r="AV72" i="16"/>
  <c r="AU72" i="16"/>
  <c r="AT72" i="16"/>
  <c r="BC72" i="16" s="1"/>
  <c r="AS72" i="16"/>
  <c r="AQ72" i="16"/>
  <c r="BB72" i="16" s="1"/>
  <c r="BE71" i="16"/>
  <c r="BA71" i="16"/>
  <c r="AZ71" i="16"/>
  <c r="AY71" i="16"/>
  <c r="AW71" i="16"/>
  <c r="AV71" i="16"/>
  <c r="AU71" i="16"/>
  <c r="AT71" i="16"/>
  <c r="BC71" i="16" s="1"/>
  <c r="AS71" i="16"/>
  <c r="AQ71" i="16"/>
  <c r="BB71" i="16" s="1"/>
  <c r="BE70" i="16"/>
  <c r="BA70" i="16"/>
  <c r="AZ70" i="16"/>
  <c r="AY70" i="16"/>
  <c r="AW70" i="16"/>
  <c r="AV70" i="16"/>
  <c r="AU70" i="16"/>
  <c r="AT70" i="16"/>
  <c r="AS70" i="16"/>
  <c r="AQ70" i="16"/>
  <c r="BB70" i="16" s="1"/>
  <c r="BE69" i="16"/>
  <c r="BA69" i="16"/>
  <c r="AZ69" i="16"/>
  <c r="AY69" i="16"/>
  <c r="AW69" i="16"/>
  <c r="AV69" i="16"/>
  <c r="AU69" i="16"/>
  <c r="AT69" i="16"/>
  <c r="AS69" i="16"/>
  <c r="AQ69" i="16"/>
  <c r="BB69" i="16" s="1"/>
  <c r="BE68" i="16"/>
  <c r="BA68" i="16"/>
  <c r="AZ68" i="16"/>
  <c r="AY68" i="16"/>
  <c r="AW68" i="16"/>
  <c r="AV68" i="16"/>
  <c r="AU68" i="16"/>
  <c r="AT68" i="16"/>
  <c r="BC68" i="16" s="1"/>
  <c r="AS68" i="16"/>
  <c r="AQ68" i="16"/>
  <c r="BB68" i="16" s="1"/>
  <c r="BE67" i="16"/>
  <c r="BA67" i="16"/>
  <c r="AZ67" i="16"/>
  <c r="AY67" i="16"/>
  <c r="AW67" i="16"/>
  <c r="AV67" i="16"/>
  <c r="AU67" i="16"/>
  <c r="AT67" i="16"/>
  <c r="BC67" i="16" s="1"/>
  <c r="AS67" i="16"/>
  <c r="AQ67" i="16"/>
  <c r="BB67" i="16" s="1"/>
  <c r="BE66" i="16"/>
  <c r="BA66" i="16"/>
  <c r="AZ66" i="16"/>
  <c r="AY66" i="16"/>
  <c r="AW66" i="16"/>
  <c r="AV66" i="16"/>
  <c r="AU66" i="16"/>
  <c r="AT66" i="16"/>
  <c r="BC66" i="16" s="1"/>
  <c r="AS66" i="16"/>
  <c r="AQ66" i="16"/>
  <c r="BB66" i="16" s="1"/>
  <c r="BE65" i="16"/>
  <c r="BA65" i="16"/>
  <c r="AZ65" i="16"/>
  <c r="AY65" i="16"/>
  <c r="AW65" i="16"/>
  <c r="AV65" i="16"/>
  <c r="AU65" i="16"/>
  <c r="AT65" i="16"/>
  <c r="AS65" i="16"/>
  <c r="AQ65" i="16"/>
  <c r="BB65" i="16" s="1"/>
  <c r="BE64" i="16"/>
  <c r="BA64" i="16"/>
  <c r="AZ64" i="16"/>
  <c r="AY64" i="16"/>
  <c r="AW64" i="16"/>
  <c r="AV64" i="16"/>
  <c r="AU64" i="16"/>
  <c r="AT64" i="16"/>
  <c r="BC64" i="16" s="1"/>
  <c r="AS64" i="16"/>
  <c r="AQ64" i="16"/>
  <c r="BB64" i="16" s="1"/>
  <c r="BE63" i="16"/>
  <c r="BE62" i="16" s="1"/>
  <c r="BA63" i="16"/>
  <c r="BA62" i="16" s="1"/>
  <c r="AZ63" i="16"/>
  <c r="AY63" i="16"/>
  <c r="AW63" i="16"/>
  <c r="AW62" i="16" s="1"/>
  <c r="AV63" i="16"/>
  <c r="AV62" i="16" s="1"/>
  <c r="AU63" i="16"/>
  <c r="AU62" i="16" s="1"/>
  <c r="AT63" i="16"/>
  <c r="AS63" i="16"/>
  <c r="AQ63" i="16"/>
  <c r="BE61" i="16"/>
  <c r="BA61" i="16"/>
  <c r="AZ61" i="16"/>
  <c r="AY61" i="16"/>
  <c r="AW61" i="16"/>
  <c r="AV61" i="16"/>
  <c r="AU61" i="16"/>
  <c r="AT61" i="16"/>
  <c r="AS61" i="16"/>
  <c r="AQ61" i="16"/>
  <c r="BB61" i="16" s="1"/>
  <c r="BE60" i="16"/>
  <c r="BA60" i="16"/>
  <c r="AZ60" i="16"/>
  <c r="AY60" i="16"/>
  <c r="AW60" i="16"/>
  <c r="AV60" i="16"/>
  <c r="AU60" i="16"/>
  <c r="AT60" i="16"/>
  <c r="AS60" i="16"/>
  <c r="AQ60" i="16"/>
  <c r="BB60" i="16" s="1"/>
  <c r="BE59" i="16"/>
  <c r="BA59" i="16"/>
  <c r="AZ59" i="16"/>
  <c r="AY59" i="16"/>
  <c r="AW59" i="16"/>
  <c r="AV59" i="16"/>
  <c r="AU59" i="16"/>
  <c r="AT59" i="16"/>
  <c r="AS59" i="16"/>
  <c r="AQ59" i="16"/>
  <c r="BB59" i="16" s="1"/>
  <c r="BE58" i="16"/>
  <c r="BA58" i="16"/>
  <c r="AZ58" i="16"/>
  <c r="AY58" i="16"/>
  <c r="AW58" i="16"/>
  <c r="AV58" i="16"/>
  <c r="AU58" i="16"/>
  <c r="AT58" i="16"/>
  <c r="BC58" i="16" s="1"/>
  <c r="AS58" i="16"/>
  <c r="AQ58" i="16"/>
  <c r="BB58" i="16" s="1"/>
  <c r="BE57" i="16"/>
  <c r="BA57" i="16"/>
  <c r="AZ57" i="16"/>
  <c r="AY57" i="16"/>
  <c r="AW57" i="16"/>
  <c r="AV57" i="16"/>
  <c r="AU57" i="16"/>
  <c r="AT57" i="16"/>
  <c r="AS57" i="16"/>
  <c r="AQ57" i="16"/>
  <c r="BB57" i="16" s="1"/>
  <c r="BE56" i="16"/>
  <c r="BA56" i="16"/>
  <c r="AZ56" i="16"/>
  <c r="AY56" i="16"/>
  <c r="AW56" i="16"/>
  <c r="AV56" i="16"/>
  <c r="AU56" i="16"/>
  <c r="AT56" i="16"/>
  <c r="BC56" i="16" s="1"/>
  <c r="AS56" i="16"/>
  <c r="AQ56" i="16"/>
  <c r="BB56" i="16" s="1"/>
  <c r="BE55" i="16"/>
  <c r="BE54" i="16" s="1"/>
  <c r="BA55" i="16"/>
  <c r="BA54" i="16" s="1"/>
  <c r="AZ55" i="16"/>
  <c r="AZ54" i="16" s="1"/>
  <c r="AY55" i="16"/>
  <c r="AW55" i="16"/>
  <c r="AW54" i="16" s="1"/>
  <c r="AV55" i="16"/>
  <c r="AV54" i="16" s="1"/>
  <c r="AU55" i="16"/>
  <c r="AU54" i="16" s="1"/>
  <c r="AT55" i="16"/>
  <c r="AT54" i="16" s="1"/>
  <c r="BC54" i="16" s="1"/>
  <c r="AS55" i="16"/>
  <c r="AS54" i="16" s="1"/>
  <c r="AQ55" i="16"/>
  <c r="BB55" i="16" s="1"/>
  <c r="BE53" i="16"/>
  <c r="BA53" i="16"/>
  <c r="AZ53" i="16"/>
  <c r="AY53" i="16"/>
  <c r="AW53" i="16"/>
  <c r="AV53" i="16"/>
  <c r="AU53" i="16"/>
  <c r="AT53" i="16"/>
  <c r="BC53" i="16" s="1"/>
  <c r="AS53" i="16"/>
  <c r="AQ53" i="16"/>
  <c r="BB53" i="16" s="1"/>
  <c r="BE52" i="16"/>
  <c r="BA52" i="16"/>
  <c r="AZ52" i="16"/>
  <c r="AY52" i="16"/>
  <c r="AW52" i="16"/>
  <c r="AV52" i="16"/>
  <c r="AU52" i="16"/>
  <c r="AT52" i="16"/>
  <c r="BC52" i="16" s="1"/>
  <c r="AS52" i="16"/>
  <c r="AQ52" i="16"/>
  <c r="BB52" i="16" s="1"/>
  <c r="BE51" i="16"/>
  <c r="BA51" i="16"/>
  <c r="AZ51" i="16"/>
  <c r="AY51" i="16"/>
  <c r="AW51" i="16"/>
  <c r="AV51" i="16"/>
  <c r="AU51" i="16"/>
  <c r="AT51" i="16"/>
  <c r="BC51" i="16" s="1"/>
  <c r="AS51" i="16"/>
  <c r="AQ51" i="16"/>
  <c r="BB51" i="16" s="1"/>
  <c r="BE50" i="16"/>
  <c r="BA50" i="16"/>
  <c r="AZ50" i="16"/>
  <c r="AY50" i="16"/>
  <c r="AW50" i="16"/>
  <c r="AV50" i="16"/>
  <c r="AU50" i="16"/>
  <c r="AT50" i="16"/>
  <c r="BC50" i="16" s="1"/>
  <c r="AS50" i="16"/>
  <c r="AQ50" i="16"/>
  <c r="BB50" i="16" s="1"/>
  <c r="BE49" i="16"/>
  <c r="BA49" i="16"/>
  <c r="AZ49" i="16"/>
  <c r="AY49" i="16"/>
  <c r="AW49" i="16"/>
  <c r="AV49" i="16"/>
  <c r="AU49" i="16"/>
  <c r="AT49" i="16"/>
  <c r="AS49" i="16"/>
  <c r="AQ49" i="16"/>
  <c r="BB49" i="16" s="1"/>
  <c r="BE48" i="16"/>
  <c r="BE47" i="16" s="1"/>
  <c r="BA48" i="16"/>
  <c r="AZ48" i="16"/>
  <c r="AZ47" i="16" s="1"/>
  <c r="AY48" i="16"/>
  <c r="AW48" i="16"/>
  <c r="AW47" i="16" s="1"/>
  <c r="AV48" i="16"/>
  <c r="AV47" i="16" s="1"/>
  <c r="AU48" i="16"/>
  <c r="AU47" i="16" s="1"/>
  <c r="AT48" i="16"/>
  <c r="AT47" i="16" s="1"/>
  <c r="BC47" i="16" s="1"/>
  <c r="AS48" i="16"/>
  <c r="AQ48" i="16"/>
  <c r="BE46" i="16"/>
  <c r="BA46" i="16"/>
  <c r="AZ46" i="16"/>
  <c r="AY46" i="16"/>
  <c r="AW46" i="16"/>
  <c r="AV46" i="16"/>
  <c r="AU46" i="16"/>
  <c r="AT46" i="16"/>
  <c r="BC46" i="16" s="1"/>
  <c r="AS46" i="16"/>
  <c r="AQ46" i="16"/>
  <c r="BB46" i="16" s="1"/>
  <c r="BE45" i="16"/>
  <c r="BA45" i="16"/>
  <c r="AZ45" i="16"/>
  <c r="AY45" i="16"/>
  <c r="AW45" i="16"/>
  <c r="AV45" i="16"/>
  <c r="AU45" i="16"/>
  <c r="AT45" i="16"/>
  <c r="BC45" i="16" s="1"/>
  <c r="AS45" i="16"/>
  <c r="AQ45" i="16"/>
  <c r="BB45" i="16" s="1"/>
  <c r="BE44" i="16"/>
  <c r="BA44" i="16"/>
  <c r="AZ44" i="16"/>
  <c r="AY44" i="16"/>
  <c r="AW44" i="16"/>
  <c r="AV44" i="16"/>
  <c r="AU44" i="16"/>
  <c r="AT44" i="16"/>
  <c r="BC44" i="16" s="1"/>
  <c r="AS44" i="16"/>
  <c r="AQ44" i="16"/>
  <c r="BB44" i="16" s="1"/>
  <c r="BE43" i="16"/>
  <c r="BA43" i="16"/>
  <c r="AZ43" i="16"/>
  <c r="AY43" i="16"/>
  <c r="AW43" i="16"/>
  <c r="AV43" i="16"/>
  <c r="AU43" i="16"/>
  <c r="AT43" i="16"/>
  <c r="BC43" i="16" s="1"/>
  <c r="AS43" i="16"/>
  <c r="AQ43" i="16"/>
  <c r="BB43" i="16" s="1"/>
  <c r="BE42" i="16"/>
  <c r="BA42" i="16"/>
  <c r="AZ42" i="16"/>
  <c r="AY42" i="16"/>
  <c r="AW42" i="16"/>
  <c r="AV42" i="16"/>
  <c r="AU42" i="16"/>
  <c r="AT42" i="16"/>
  <c r="AS42" i="16"/>
  <c r="AQ42" i="16"/>
  <c r="BB42" i="16" s="1"/>
  <c r="BE41" i="16"/>
  <c r="BA41" i="16"/>
  <c r="AZ41" i="16"/>
  <c r="AY41" i="16"/>
  <c r="AW41" i="16"/>
  <c r="AV41" i="16"/>
  <c r="AU41" i="16"/>
  <c r="AT41" i="16"/>
  <c r="BC41" i="16" s="1"/>
  <c r="AS41" i="16"/>
  <c r="AQ41" i="16"/>
  <c r="BB41" i="16" s="1"/>
  <c r="BE40" i="16"/>
  <c r="BA40" i="16"/>
  <c r="AZ40" i="16"/>
  <c r="AY40" i="16"/>
  <c r="AW40" i="16"/>
  <c r="AV40" i="16"/>
  <c r="AU40" i="16"/>
  <c r="AT40" i="16"/>
  <c r="BC40" i="16" s="1"/>
  <c r="AS40" i="16"/>
  <c r="AQ40" i="16"/>
  <c r="BB40" i="16" s="1"/>
  <c r="BE39" i="16"/>
  <c r="BA39" i="16"/>
  <c r="AZ39" i="16"/>
  <c r="AY39" i="16"/>
  <c r="AW39" i="16"/>
  <c r="AV39" i="16"/>
  <c r="AU39" i="16"/>
  <c r="AT39" i="16"/>
  <c r="AS39" i="16"/>
  <c r="AQ39" i="16"/>
  <c r="BB39" i="16" s="1"/>
  <c r="BE38" i="16"/>
  <c r="BA38" i="16"/>
  <c r="AZ38" i="16"/>
  <c r="AY38" i="16"/>
  <c r="AW38" i="16"/>
  <c r="AV38" i="16"/>
  <c r="AU38" i="16"/>
  <c r="AT38" i="16"/>
  <c r="BC38" i="16" s="1"/>
  <c r="AS38" i="16"/>
  <c r="AQ38" i="16"/>
  <c r="BB38" i="16" s="1"/>
  <c r="BE37" i="16"/>
  <c r="BA37" i="16"/>
  <c r="AZ37" i="16"/>
  <c r="AY37" i="16"/>
  <c r="AW37" i="16"/>
  <c r="AV37" i="16"/>
  <c r="AU37" i="16"/>
  <c r="AT37" i="16"/>
  <c r="BC37" i="16" s="1"/>
  <c r="AS37" i="16"/>
  <c r="AQ37" i="16"/>
  <c r="BB37" i="16" s="1"/>
  <c r="BE36" i="16"/>
  <c r="BE35" i="16" s="1"/>
  <c r="BA36" i="16"/>
  <c r="BA35" i="16" s="1"/>
  <c r="AZ36" i="16"/>
  <c r="AZ35" i="16" s="1"/>
  <c r="AY36" i="16"/>
  <c r="AW36" i="16"/>
  <c r="AW35" i="16" s="1"/>
  <c r="AV36" i="16"/>
  <c r="AV35" i="16" s="1"/>
  <c r="AU36" i="16"/>
  <c r="AT36" i="16"/>
  <c r="AS36" i="16"/>
  <c r="AS35" i="16" s="1"/>
  <c r="AQ36" i="16"/>
  <c r="BE34" i="16"/>
  <c r="BA34" i="16"/>
  <c r="AZ34" i="16"/>
  <c r="AY34" i="16"/>
  <c r="AW34" i="16"/>
  <c r="AV34" i="16"/>
  <c r="AU34" i="16"/>
  <c r="AT34" i="16"/>
  <c r="BC34" i="16" s="1"/>
  <c r="AS34" i="16"/>
  <c r="AQ34" i="16"/>
  <c r="BB34" i="16" s="1"/>
  <c r="BE33" i="16"/>
  <c r="BA33" i="16"/>
  <c r="AZ33" i="16"/>
  <c r="AY33" i="16"/>
  <c r="AW33" i="16"/>
  <c r="AV33" i="16"/>
  <c r="AU33" i="16"/>
  <c r="AT33" i="16"/>
  <c r="BC33" i="16" s="1"/>
  <c r="AS33" i="16"/>
  <c r="AQ33" i="16"/>
  <c r="BB33" i="16" s="1"/>
  <c r="BE32" i="16"/>
  <c r="BA32" i="16"/>
  <c r="AZ32" i="16"/>
  <c r="AY32" i="16"/>
  <c r="AW32" i="16"/>
  <c r="AV32" i="16"/>
  <c r="AU32" i="16"/>
  <c r="AT32" i="16"/>
  <c r="BC32" i="16" s="1"/>
  <c r="AS32" i="16"/>
  <c r="AQ32" i="16"/>
  <c r="BB32" i="16" s="1"/>
  <c r="BE31" i="16"/>
  <c r="BA31" i="16"/>
  <c r="AZ31" i="16"/>
  <c r="AY31" i="16"/>
  <c r="AW31" i="16"/>
  <c r="AV31" i="16"/>
  <c r="AU31" i="16"/>
  <c r="AT31" i="16"/>
  <c r="BC31" i="16" s="1"/>
  <c r="AS31" i="16"/>
  <c r="AQ31" i="16"/>
  <c r="BB31" i="16" s="1"/>
  <c r="BE30" i="16"/>
  <c r="BA30" i="16"/>
  <c r="AZ30" i="16"/>
  <c r="AY30" i="16"/>
  <c r="AW30" i="16"/>
  <c r="AV30" i="16"/>
  <c r="AU30" i="16"/>
  <c r="AT30" i="16"/>
  <c r="BC30" i="16" s="1"/>
  <c r="AS30" i="16"/>
  <c r="AQ30" i="16"/>
  <c r="BB30" i="16" s="1"/>
  <c r="BE29" i="16"/>
  <c r="BA29" i="16"/>
  <c r="AZ29" i="16"/>
  <c r="AY29" i="16"/>
  <c r="AW29" i="16"/>
  <c r="AV29" i="16"/>
  <c r="AU29" i="16"/>
  <c r="AT29" i="16"/>
  <c r="BC29" i="16" s="1"/>
  <c r="AS29" i="16"/>
  <c r="AQ29" i="16"/>
  <c r="BB29" i="16" s="1"/>
  <c r="BE28" i="16"/>
  <c r="BA28" i="16"/>
  <c r="AZ28" i="16"/>
  <c r="AY28" i="16"/>
  <c r="AW28" i="16"/>
  <c r="AV28" i="16"/>
  <c r="AU28" i="16"/>
  <c r="AT28" i="16"/>
  <c r="BC28" i="16" s="1"/>
  <c r="AS28" i="16"/>
  <c r="AQ28" i="16"/>
  <c r="BB28" i="16" s="1"/>
  <c r="BE27" i="16"/>
  <c r="BA27" i="16"/>
  <c r="AZ27" i="16"/>
  <c r="AY27" i="16"/>
  <c r="AW27" i="16"/>
  <c r="AV27" i="16"/>
  <c r="AU27" i="16"/>
  <c r="AT27" i="16"/>
  <c r="AS27" i="16"/>
  <c r="AQ27" i="16"/>
  <c r="BB27" i="16" s="1"/>
  <c r="BE26" i="16"/>
  <c r="BA26" i="16"/>
  <c r="AZ26" i="16"/>
  <c r="AY26" i="16"/>
  <c r="AW26" i="16"/>
  <c r="AV26" i="16"/>
  <c r="AU26" i="16"/>
  <c r="AT26" i="16"/>
  <c r="BC26" i="16" s="1"/>
  <c r="AS26" i="16"/>
  <c r="AQ26" i="16"/>
  <c r="BB26" i="16" s="1"/>
  <c r="BE25" i="16"/>
  <c r="BA25" i="16"/>
  <c r="AZ25" i="16"/>
  <c r="AY25" i="16"/>
  <c r="AW25" i="16"/>
  <c r="AV25" i="16"/>
  <c r="AU25" i="16"/>
  <c r="AT25" i="16"/>
  <c r="BC25" i="16" s="1"/>
  <c r="AS25" i="16"/>
  <c r="AQ25" i="16"/>
  <c r="BB25" i="16" s="1"/>
  <c r="BE24" i="16"/>
  <c r="BA24" i="16"/>
  <c r="AZ24" i="16"/>
  <c r="AY24" i="16"/>
  <c r="AW24" i="16"/>
  <c r="AV24" i="16"/>
  <c r="AU24" i="16"/>
  <c r="AT24" i="16"/>
  <c r="BC24" i="16" s="1"/>
  <c r="AS24" i="16"/>
  <c r="AQ24" i="16"/>
  <c r="BB24" i="16" s="1"/>
  <c r="BE23" i="16"/>
  <c r="BA23" i="16"/>
  <c r="AZ23" i="16"/>
  <c r="AY23" i="16"/>
  <c r="AW23" i="16"/>
  <c r="AV23" i="16"/>
  <c r="AU23" i="16"/>
  <c r="AT23" i="16"/>
  <c r="BC23" i="16" s="1"/>
  <c r="AS23" i="16"/>
  <c r="AQ23" i="16"/>
  <c r="BB23" i="16" s="1"/>
  <c r="BE22" i="16"/>
  <c r="BA22" i="16"/>
  <c r="AZ22" i="16"/>
  <c r="AY22" i="16"/>
  <c r="AW22" i="16"/>
  <c r="AV22" i="16"/>
  <c r="AU22" i="16"/>
  <c r="AT22" i="16"/>
  <c r="BC22" i="16" s="1"/>
  <c r="AS22" i="16"/>
  <c r="AQ22" i="16"/>
  <c r="BB22" i="16" s="1"/>
  <c r="BE21" i="16"/>
  <c r="BA21" i="16"/>
  <c r="AZ21" i="16"/>
  <c r="AY21" i="16"/>
  <c r="AW21" i="16"/>
  <c r="AV21" i="16"/>
  <c r="AU21" i="16"/>
  <c r="AT21" i="16"/>
  <c r="BC21" i="16" s="1"/>
  <c r="AS21" i="16"/>
  <c r="AQ21" i="16"/>
  <c r="BB21" i="16" s="1"/>
  <c r="BE20" i="16"/>
  <c r="BA20" i="16"/>
  <c r="AZ20" i="16"/>
  <c r="AY20" i="16"/>
  <c r="AW20" i="16"/>
  <c r="AV20" i="16"/>
  <c r="AU20" i="16"/>
  <c r="AT20" i="16"/>
  <c r="BC20" i="16" s="1"/>
  <c r="AS20" i="16"/>
  <c r="AQ20" i="16"/>
  <c r="BB20" i="16" s="1"/>
  <c r="BE19" i="16"/>
  <c r="BA19" i="16"/>
  <c r="AZ19" i="16"/>
  <c r="AY19" i="16"/>
  <c r="AW19" i="16"/>
  <c r="AV19" i="16"/>
  <c r="AU19" i="16"/>
  <c r="AT19" i="16"/>
  <c r="BC19" i="16" s="1"/>
  <c r="AS19" i="16"/>
  <c r="AQ19" i="16"/>
  <c r="BB19" i="16" s="1"/>
  <c r="BE18" i="16"/>
  <c r="BA18" i="16"/>
  <c r="AZ18" i="16"/>
  <c r="AY18" i="16"/>
  <c r="AW18" i="16"/>
  <c r="AV18" i="16"/>
  <c r="AU18" i="16"/>
  <c r="AT18" i="16"/>
  <c r="BC18" i="16" s="1"/>
  <c r="AS18" i="16"/>
  <c r="AQ18" i="16"/>
  <c r="BB18" i="16" s="1"/>
  <c r="BE17" i="16"/>
  <c r="BE16" i="16" s="1"/>
  <c r="BA17" i="16"/>
  <c r="BA16" i="16" s="1"/>
  <c r="AZ17" i="16"/>
  <c r="AZ16" i="16" s="1"/>
  <c r="AY17" i="16"/>
  <c r="AW17" i="16"/>
  <c r="AV17" i="16"/>
  <c r="AV16" i="16" s="1"/>
  <c r="AU17" i="16"/>
  <c r="AT17" i="16"/>
  <c r="AS17" i="16"/>
  <c r="AQ17" i="16"/>
  <c r="AM106" i="16"/>
  <c r="AI106" i="16"/>
  <c r="AH106" i="16"/>
  <c r="AG106" i="16"/>
  <c r="AE106" i="16"/>
  <c r="AD106" i="16"/>
  <c r="AC106" i="16"/>
  <c r="AB106" i="16"/>
  <c r="AA106" i="16"/>
  <c r="Y106" i="16"/>
  <c r="AM105" i="16"/>
  <c r="AI105" i="16"/>
  <c r="AH105" i="16"/>
  <c r="AG105" i="16"/>
  <c r="AE105" i="16"/>
  <c r="AD105" i="16"/>
  <c r="AC105" i="16"/>
  <c r="AB105" i="16"/>
  <c r="AA105" i="16"/>
  <c r="Y105" i="16"/>
  <c r="AJ105" i="16" s="1"/>
  <c r="AM104" i="16"/>
  <c r="AI104" i="16"/>
  <c r="AH104" i="16"/>
  <c r="AG104" i="16"/>
  <c r="AE104" i="16"/>
  <c r="AD104" i="16"/>
  <c r="AC104" i="16"/>
  <c r="AB104" i="16"/>
  <c r="AA104" i="16"/>
  <c r="Y104" i="16"/>
  <c r="AM103" i="16"/>
  <c r="AI103" i="16"/>
  <c r="AH103" i="16"/>
  <c r="AG103" i="16"/>
  <c r="AE103" i="16"/>
  <c r="AD103" i="16"/>
  <c r="AC103" i="16"/>
  <c r="AB103" i="16"/>
  <c r="AA103" i="16"/>
  <c r="Y103" i="16"/>
  <c r="AJ103" i="16" s="1"/>
  <c r="AM102" i="16"/>
  <c r="AI102" i="16"/>
  <c r="AH102" i="16"/>
  <c r="AG102" i="16"/>
  <c r="AE102" i="16"/>
  <c r="AD102" i="16"/>
  <c r="AC102" i="16"/>
  <c r="AB102" i="16"/>
  <c r="AA102" i="16"/>
  <c r="Y102" i="16"/>
  <c r="AJ102" i="16" s="1"/>
  <c r="AM101" i="16"/>
  <c r="AI101" i="16"/>
  <c r="AH101" i="16"/>
  <c r="AG101" i="16"/>
  <c r="AE101" i="16"/>
  <c r="AD101" i="16"/>
  <c r="AC101" i="16"/>
  <c r="AB101" i="16"/>
  <c r="AA101" i="16"/>
  <c r="Y101" i="16"/>
  <c r="AJ101" i="16" s="1"/>
  <c r="AM100" i="16"/>
  <c r="AI100" i="16"/>
  <c r="AH100" i="16"/>
  <c r="AG100" i="16"/>
  <c r="AE100" i="16"/>
  <c r="AD100" i="16"/>
  <c r="AC100" i="16"/>
  <c r="AB100" i="16"/>
  <c r="AA100" i="16"/>
  <c r="Y100" i="16"/>
  <c r="AM99" i="16"/>
  <c r="AI99" i="16"/>
  <c r="AH99" i="16"/>
  <c r="AG99" i="16"/>
  <c r="AE99" i="16"/>
  <c r="AD99" i="16"/>
  <c r="AC99" i="16"/>
  <c r="AB99" i="16"/>
  <c r="AA99" i="16"/>
  <c r="Y99" i="16"/>
  <c r="AJ99" i="16" s="1"/>
  <c r="AM98" i="16"/>
  <c r="AM97" i="16" s="1"/>
  <c r="AI98" i="16"/>
  <c r="AH98" i="16"/>
  <c r="AH97" i="16" s="1"/>
  <c r="AG98" i="16"/>
  <c r="AE98" i="16"/>
  <c r="AD98" i="16"/>
  <c r="AD97" i="16" s="1"/>
  <c r="AC98" i="16"/>
  <c r="AB98" i="16"/>
  <c r="AB97" i="16" s="1"/>
  <c r="AK97" i="16" s="1"/>
  <c r="AA98" i="16"/>
  <c r="Y98" i="16"/>
  <c r="AM96" i="16"/>
  <c r="AI96" i="16"/>
  <c r="AH96" i="16"/>
  <c r="AG96" i="16"/>
  <c r="AE96" i="16"/>
  <c r="AD96" i="16"/>
  <c r="AC96" i="16"/>
  <c r="AB96" i="16"/>
  <c r="AK96" i="16" s="1"/>
  <c r="AA96" i="16"/>
  <c r="Y96" i="16"/>
  <c r="AJ96" i="16" s="1"/>
  <c r="AM95" i="16"/>
  <c r="AI95" i="16"/>
  <c r="AH95" i="16"/>
  <c r="AG95" i="16"/>
  <c r="AE95" i="16"/>
  <c r="AD95" i="16"/>
  <c r="AC95" i="16"/>
  <c r="AB95" i="16"/>
  <c r="AK95" i="16" s="1"/>
  <c r="AA95" i="16"/>
  <c r="Y95" i="16"/>
  <c r="AM94" i="16"/>
  <c r="AI94" i="16"/>
  <c r="AH94" i="16"/>
  <c r="AG94" i="16"/>
  <c r="AE94" i="16"/>
  <c r="AD94" i="16"/>
  <c r="AC94" i="16"/>
  <c r="AB94" i="16"/>
  <c r="AA94" i="16"/>
  <c r="Y94" i="16"/>
  <c r="AJ94" i="16" s="1"/>
  <c r="AM93" i="16"/>
  <c r="AI93" i="16"/>
  <c r="AH93" i="16"/>
  <c r="AG93" i="16"/>
  <c r="AE93" i="16"/>
  <c r="AD93" i="16"/>
  <c r="AC93" i="16"/>
  <c r="AB93" i="16"/>
  <c r="AA93" i="16"/>
  <c r="Y93" i="16"/>
  <c r="AM92" i="16"/>
  <c r="AI92" i="16"/>
  <c r="AH92" i="16"/>
  <c r="AG92" i="16"/>
  <c r="AE92" i="16"/>
  <c r="AD92" i="16"/>
  <c r="AC92" i="16"/>
  <c r="AB92" i="16"/>
  <c r="AK92" i="16" s="1"/>
  <c r="AA92" i="16"/>
  <c r="Y92" i="16"/>
  <c r="AJ92" i="16" s="1"/>
  <c r="AM91" i="16"/>
  <c r="AI91" i="16"/>
  <c r="AH91" i="16"/>
  <c r="AG91" i="16"/>
  <c r="AE91" i="16"/>
  <c r="AD91" i="16"/>
  <c r="AC91" i="16"/>
  <c r="AB91" i="16"/>
  <c r="AA91" i="16"/>
  <c r="Y91" i="16"/>
  <c r="AM90" i="16"/>
  <c r="AI90" i="16"/>
  <c r="AH90" i="16"/>
  <c r="AG90" i="16"/>
  <c r="AE90" i="16"/>
  <c r="AD90" i="16"/>
  <c r="AC90" i="16"/>
  <c r="AB90" i="16"/>
  <c r="AA90" i="16"/>
  <c r="Y90" i="16"/>
  <c r="AJ90" i="16" s="1"/>
  <c r="AM89" i="16"/>
  <c r="AI89" i="16"/>
  <c r="AH89" i="16"/>
  <c r="AG89" i="16"/>
  <c r="AE89" i="16"/>
  <c r="AD89" i="16"/>
  <c r="AC89" i="16"/>
  <c r="AB89" i="16"/>
  <c r="AA89" i="16"/>
  <c r="Y89" i="16"/>
  <c r="AJ89" i="16" s="1"/>
  <c r="AM88" i="16"/>
  <c r="AI88" i="16"/>
  <c r="AH88" i="16"/>
  <c r="AG88" i="16"/>
  <c r="AE88" i="16"/>
  <c r="AD88" i="16"/>
  <c r="AC88" i="16"/>
  <c r="AB88" i="16"/>
  <c r="AA88" i="16"/>
  <c r="Y88" i="16"/>
  <c r="AJ88" i="16" s="1"/>
  <c r="AM87" i="16"/>
  <c r="AI87" i="16"/>
  <c r="AH87" i="16"/>
  <c r="AG87" i="16"/>
  <c r="AE87" i="16"/>
  <c r="AD87" i="16"/>
  <c r="AC87" i="16"/>
  <c r="AB87" i="16"/>
  <c r="AA87" i="16"/>
  <c r="Y87" i="16"/>
  <c r="AJ87" i="16" s="1"/>
  <c r="AM86" i="16"/>
  <c r="AI86" i="16"/>
  <c r="AH86" i="16"/>
  <c r="AG86" i="16"/>
  <c r="AE86" i="16"/>
  <c r="AD86" i="16"/>
  <c r="AC86" i="16"/>
  <c r="AB86" i="16"/>
  <c r="AK86" i="16" s="1"/>
  <c r="AA86" i="16"/>
  <c r="Y86" i="16"/>
  <c r="AJ86" i="16" s="1"/>
  <c r="AM85" i="16"/>
  <c r="AM84" i="16" s="1"/>
  <c r="AI85" i="16"/>
  <c r="AH85" i="16"/>
  <c r="AH84" i="16" s="1"/>
  <c r="AG85" i="16"/>
  <c r="AG84" i="16" s="1"/>
  <c r="AE85" i="16"/>
  <c r="AD85" i="16"/>
  <c r="AC85" i="16"/>
  <c r="AB85" i="16"/>
  <c r="AB84" i="16" s="1"/>
  <c r="AK84" i="16" s="1"/>
  <c r="AA85" i="16"/>
  <c r="Y85" i="16"/>
  <c r="AJ85" i="16" s="1"/>
  <c r="AM83" i="16"/>
  <c r="AI83" i="16"/>
  <c r="AH83" i="16"/>
  <c r="AG83" i="16"/>
  <c r="AE83" i="16"/>
  <c r="AD83" i="16"/>
  <c r="AC83" i="16"/>
  <c r="AB83" i="16"/>
  <c r="AA83" i="16"/>
  <c r="Y83" i="16"/>
  <c r="AM82" i="16"/>
  <c r="AI82" i="16"/>
  <c r="AH82" i="16"/>
  <c r="AG82" i="16"/>
  <c r="AE82" i="16"/>
  <c r="AD82" i="16"/>
  <c r="AC82" i="16"/>
  <c r="AB82" i="16"/>
  <c r="AK82" i="16" s="1"/>
  <c r="AA82" i="16"/>
  <c r="Y82" i="16"/>
  <c r="AM81" i="16"/>
  <c r="AI81" i="16"/>
  <c r="AH81" i="16"/>
  <c r="AG81" i="16"/>
  <c r="AE81" i="16"/>
  <c r="AD81" i="16"/>
  <c r="AC81" i="16"/>
  <c r="AB81" i="16"/>
  <c r="AA81" i="16"/>
  <c r="Y81" i="16"/>
  <c r="AJ81" i="16" s="1"/>
  <c r="AM80" i="16"/>
  <c r="AI80" i="16"/>
  <c r="AH80" i="16"/>
  <c r="AG80" i="16"/>
  <c r="AE80" i="16"/>
  <c r="AD80" i="16"/>
  <c r="AC80" i="16"/>
  <c r="AB80" i="16"/>
  <c r="AA80" i="16"/>
  <c r="Y80" i="16"/>
  <c r="AM79" i="16"/>
  <c r="AI79" i="16"/>
  <c r="AH79" i="16"/>
  <c r="AG79" i="16"/>
  <c r="AE79" i="16"/>
  <c r="AD79" i="16"/>
  <c r="AC79" i="16"/>
  <c r="AB79" i="16"/>
  <c r="AK79" i="16" s="1"/>
  <c r="AA79" i="16"/>
  <c r="Y79" i="16"/>
  <c r="AJ79" i="16" s="1"/>
  <c r="AM78" i="16"/>
  <c r="AI78" i="16"/>
  <c r="AH78" i="16"/>
  <c r="AH77" i="16" s="1"/>
  <c r="AG78" i="16"/>
  <c r="AE78" i="16"/>
  <c r="AD78" i="16"/>
  <c r="AC78" i="16"/>
  <c r="AB78" i="16"/>
  <c r="AA78" i="16"/>
  <c r="AA77" i="16" s="1"/>
  <c r="Y78" i="16"/>
  <c r="AM76" i="16"/>
  <c r="AI76" i="16"/>
  <c r="AH76" i="16"/>
  <c r="AG76" i="16"/>
  <c r="AE76" i="16"/>
  <c r="AD76" i="16"/>
  <c r="AC76" i="16"/>
  <c r="AB76" i="16"/>
  <c r="AA76" i="16"/>
  <c r="Y76" i="16"/>
  <c r="AJ76" i="16" s="1"/>
  <c r="AM75" i="16"/>
  <c r="AI75" i="16"/>
  <c r="AH75" i="16"/>
  <c r="AG75" i="16"/>
  <c r="AE75" i="16"/>
  <c r="AD75" i="16"/>
  <c r="AC75" i="16"/>
  <c r="AB75" i="16"/>
  <c r="AA75" i="16"/>
  <c r="Y75" i="16"/>
  <c r="AM74" i="16"/>
  <c r="AI74" i="16"/>
  <c r="AH74" i="16"/>
  <c r="AG74" i="16"/>
  <c r="AE74" i="16"/>
  <c r="AD74" i="16"/>
  <c r="AC74" i="16"/>
  <c r="AB74" i="16"/>
  <c r="AK74" i="16" s="1"/>
  <c r="AA74" i="16"/>
  <c r="Y74" i="16"/>
  <c r="AJ74" i="16" s="1"/>
  <c r="AM73" i="16"/>
  <c r="AI73" i="16"/>
  <c r="AH73" i="16"/>
  <c r="AG73" i="16"/>
  <c r="AE73" i="16"/>
  <c r="AD73" i="16"/>
  <c r="AC73" i="16"/>
  <c r="AB73" i="16"/>
  <c r="AA73" i="16"/>
  <c r="Y73" i="16"/>
  <c r="AJ73" i="16" s="1"/>
  <c r="AM72" i="16"/>
  <c r="AI72" i="16"/>
  <c r="AH72" i="16"/>
  <c r="AG72" i="16"/>
  <c r="AE72" i="16"/>
  <c r="AD72" i="16"/>
  <c r="AC72" i="16"/>
  <c r="AB72" i="16"/>
  <c r="AA72" i="16"/>
  <c r="Y72" i="16"/>
  <c r="AJ72" i="16" s="1"/>
  <c r="AM71" i="16"/>
  <c r="AI71" i="16"/>
  <c r="AH71" i="16"/>
  <c r="AG71" i="16"/>
  <c r="AE71" i="16"/>
  <c r="AD71" i="16"/>
  <c r="AC71" i="16"/>
  <c r="AB71" i="16"/>
  <c r="AA71" i="16"/>
  <c r="Y71" i="16"/>
  <c r="AM70" i="16"/>
  <c r="AI70" i="16"/>
  <c r="AH70" i="16"/>
  <c r="AG70" i="16"/>
  <c r="AE70" i="16"/>
  <c r="AD70" i="16"/>
  <c r="AC70" i="16"/>
  <c r="AB70" i="16"/>
  <c r="AK70" i="16" s="1"/>
  <c r="AA70" i="16"/>
  <c r="Y70" i="16"/>
  <c r="AJ70" i="16" s="1"/>
  <c r="AM69" i="16"/>
  <c r="AI69" i="16"/>
  <c r="AH69" i="16"/>
  <c r="AG69" i="16"/>
  <c r="AE69" i="16"/>
  <c r="AD69" i="16"/>
  <c r="AC69" i="16"/>
  <c r="AB69" i="16"/>
  <c r="AK69" i="16" s="1"/>
  <c r="AA69" i="16"/>
  <c r="Y69" i="16"/>
  <c r="AM68" i="16"/>
  <c r="AI68" i="16"/>
  <c r="AH68" i="16"/>
  <c r="AG68" i="16"/>
  <c r="AE68" i="16"/>
  <c r="AD68" i="16"/>
  <c r="AC68" i="16"/>
  <c r="AB68" i="16"/>
  <c r="AK68" i="16" s="1"/>
  <c r="AA68" i="16"/>
  <c r="Y68" i="16"/>
  <c r="AJ68" i="16" s="1"/>
  <c r="AM67" i="16"/>
  <c r="AI67" i="16"/>
  <c r="AH67" i="16"/>
  <c r="AG67" i="16"/>
  <c r="AE67" i="16"/>
  <c r="AD67" i="16"/>
  <c r="AC67" i="16"/>
  <c r="AB67" i="16"/>
  <c r="AA67" i="16"/>
  <c r="Y67" i="16"/>
  <c r="AM66" i="16"/>
  <c r="AI66" i="16"/>
  <c r="AH66" i="16"/>
  <c r="AG66" i="16"/>
  <c r="AE66" i="16"/>
  <c r="AD66" i="16"/>
  <c r="AC66" i="16"/>
  <c r="AB66" i="16"/>
  <c r="AA66" i="16"/>
  <c r="Y66" i="16"/>
  <c r="AJ66" i="16" s="1"/>
  <c r="AM65" i="16"/>
  <c r="AI65" i="16"/>
  <c r="AH65" i="16"/>
  <c r="AG65" i="16"/>
  <c r="AE65" i="16"/>
  <c r="AD65" i="16"/>
  <c r="AC65" i="16"/>
  <c r="AB65" i="16"/>
  <c r="AK65" i="16" s="1"/>
  <c r="AA65" i="16"/>
  <c r="Y65" i="16"/>
  <c r="AM64" i="16"/>
  <c r="AI64" i="16"/>
  <c r="AH64" i="16"/>
  <c r="AG64" i="16"/>
  <c r="AE64" i="16"/>
  <c r="AD64" i="16"/>
  <c r="AC64" i="16"/>
  <c r="AB64" i="16"/>
  <c r="AK64" i="16" s="1"/>
  <c r="AA64" i="16"/>
  <c r="Y64" i="16"/>
  <c r="AJ64" i="16" s="1"/>
  <c r="AM63" i="16"/>
  <c r="AI63" i="16"/>
  <c r="AH63" i="16"/>
  <c r="AH62" i="16" s="1"/>
  <c r="AG63" i="16"/>
  <c r="AG62" i="16" s="1"/>
  <c r="AE63" i="16"/>
  <c r="AD63" i="16"/>
  <c r="AC63" i="16"/>
  <c r="AB63" i="16"/>
  <c r="AA63" i="16"/>
  <c r="Y63" i="16"/>
  <c r="AM61" i="16"/>
  <c r="AI61" i="16"/>
  <c r="AH61" i="16"/>
  <c r="AG61" i="16"/>
  <c r="AE61" i="16"/>
  <c r="AD61" i="16"/>
  <c r="AC61" i="16"/>
  <c r="AB61" i="16"/>
  <c r="AK61" i="16" s="1"/>
  <c r="AA61" i="16"/>
  <c r="Y61" i="16"/>
  <c r="AJ61" i="16" s="1"/>
  <c r="AM60" i="16"/>
  <c r="AI60" i="16"/>
  <c r="AH60" i="16"/>
  <c r="AG60" i="16"/>
  <c r="AE60" i="16"/>
  <c r="AD60" i="16"/>
  <c r="AC60" i="16"/>
  <c r="AB60" i="16"/>
  <c r="AA60" i="16"/>
  <c r="Y60" i="16"/>
  <c r="AM59" i="16"/>
  <c r="AI59" i="16"/>
  <c r="AH59" i="16"/>
  <c r="AG59" i="16"/>
  <c r="AE59" i="16"/>
  <c r="AD59" i="16"/>
  <c r="AC59" i="16"/>
  <c r="AB59" i="16"/>
  <c r="AK59" i="16" s="1"/>
  <c r="AA59" i="16"/>
  <c r="Y59" i="16"/>
  <c r="AJ59" i="16" s="1"/>
  <c r="AM58" i="16"/>
  <c r="AI58" i="16"/>
  <c r="AH58" i="16"/>
  <c r="AG58" i="16"/>
  <c r="AE58" i="16"/>
  <c r="AD58" i="16"/>
  <c r="AC58" i="16"/>
  <c r="AB58" i="16"/>
  <c r="AA58" i="16"/>
  <c r="Y58" i="16"/>
  <c r="AJ58" i="16" s="1"/>
  <c r="AM57" i="16"/>
  <c r="AI57" i="16"/>
  <c r="AH57" i="16"/>
  <c r="AG57" i="16"/>
  <c r="AE57" i="16"/>
  <c r="AD57" i="16"/>
  <c r="AC57" i="16"/>
  <c r="AB57" i="16"/>
  <c r="AK57" i="16" s="1"/>
  <c r="AA57" i="16"/>
  <c r="Y57" i="16"/>
  <c r="AJ57" i="16" s="1"/>
  <c r="AM56" i="16"/>
  <c r="AI56" i="16"/>
  <c r="AH56" i="16"/>
  <c r="AG56" i="16"/>
  <c r="AE56" i="16"/>
  <c r="AD56" i="16"/>
  <c r="AC56" i="16"/>
  <c r="AB56" i="16"/>
  <c r="AA56" i="16"/>
  <c r="Y56" i="16"/>
  <c r="AM55" i="16"/>
  <c r="AM54" i="16" s="1"/>
  <c r="AI55" i="16"/>
  <c r="AH55" i="16"/>
  <c r="AH54" i="16" s="1"/>
  <c r="AG55" i="16"/>
  <c r="AE55" i="16"/>
  <c r="AE54" i="16" s="1"/>
  <c r="AD55" i="16"/>
  <c r="AC55" i="16"/>
  <c r="AB55" i="16"/>
  <c r="AA55" i="16"/>
  <c r="Y55" i="16"/>
  <c r="AM53" i="16"/>
  <c r="AI53" i="16"/>
  <c r="AH53" i="16"/>
  <c r="AG53" i="16"/>
  <c r="AE53" i="16"/>
  <c r="AD53" i="16"/>
  <c r="AC53" i="16"/>
  <c r="AB53" i="16"/>
  <c r="AA53" i="16"/>
  <c r="Y53" i="16"/>
  <c r="AM52" i="16"/>
  <c r="AI52" i="16"/>
  <c r="AH52" i="16"/>
  <c r="AG52" i="16"/>
  <c r="AE52" i="16"/>
  <c r="AD52" i="16"/>
  <c r="AC52" i="16"/>
  <c r="AB52" i="16"/>
  <c r="AK52" i="16" s="1"/>
  <c r="AA52" i="16"/>
  <c r="Y52" i="16"/>
  <c r="AJ52" i="16" s="1"/>
  <c r="AM51" i="16"/>
  <c r="AI51" i="16"/>
  <c r="AH51" i="16"/>
  <c r="AG51" i="16"/>
  <c r="AE51" i="16"/>
  <c r="AD51" i="16"/>
  <c r="AC51" i="16"/>
  <c r="AB51" i="16"/>
  <c r="AA51" i="16"/>
  <c r="Y51" i="16"/>
  <c r="AM50" i="16"/>
  <c r="AI50" i="16"/>
  <c r="AH50" i="16"/>
  <c r="AG50" i="16"/>
  <c r="AE50" i="16"/>
  <c r="AD50" i="16"/>
  <c r="AC50" i="16"/>
  <c r="AB50" i="16"/>
  <c r="AK50" i="16" s="1"/>
  <c r="AA50" i="16"/>
  <c r="Y50" i="16"/>
  <c r="AJ50" i="16" s="1"/>
  <c r="AM49" i="16"/>
  <c r="AI49" i="16"/>
  <c r="AH49" i="16"/>
  <c r="AG49" i="16"/>
  <c r="AE49" i="16"/>
  <c r="AD49" i="16"/>
  <c r="AC49" i="16"/>
  <c r="AB49" i="16"/>
  <c r="AA49" i="16"/>
  <c r="Y49" i="16"/>
  <c r="AJ49" i="16" s="1"/>
  <c r="AM48" i="16"/>
  <c r="AI48" i="16"/>
  <c r="AH48" i="16"/>
  <c r="AH47" i="16" s="1"/>
  <c r="AG48" i="16"/>
  <c r="AE48" i="16"/>
  <c r="AD48" i="16"/>
  <c r="AC48" i="16"/>
  <c r="AB48" i="16"/>
  <c r="AK48" i="16" s="1"/>
  <c r="AA48" i="16"/>
  <c r="Y48" i="16"/>
  <c r="AJ48" i="16" s="1"/>
  <c r="AM46" i="16"/>
  <c r="AI46" i="16"/>
  <c r="AH46" i="16"/>
  <c r="AG46" i="16"/>
  <c r="AE46" i="16"/>
  <c r="AD46" i="16"/>
  <c r="AC46" i="16"/>
  <c r="AB46" i="16"/>
  <c r="AK46" i="16" s="1"/>
  <c r="AA46" i="16"/>
  <c r="Y46" i="16"/>
  <c r="AJ46" i="16" s="1"/>
  <c r="AM45" i="16"/>
  <c r="AI45" i="16"/>
  <c r="AH45" i="16"/>
  <c r="AG45" i="16"/>
  <c r="AE45" i="16"/>
  <c r="AD45" i="16"/>
  <c r="AC45" i="16"/>
  <c r="AB45" i="16"/>
  <c r="AK45" i="16" s="1"/>
  <c r="AA45" i="16"/>
  <c r="Y45" i="16"/>
  <c r="AJ45" i="16" s="1"/>
  <c r="AM44" i="16"/>
  <c r="AI44" i="16"/>
  <c r="AH44" i="16"/>
  <c r="AG44" i="16"/>
  <c r="AE44" i="16"/>
  <c r="AD44" i="16"/>
  <c r="AC44" i="16"/>
  <c r="AB44" i="16"/>
  <c r="AA44" i="16"/>
  <c r="Y44" i="16"/>
  <c r="AM43" i="16"/>
  <c r="AI43" i="16"/>
  <c r="AH43" i="16"/>
  <c r="AG43" i="16"/>
  <c r="AE43" i="16"/>
  <c r="AD43" i="16"/>
  <c r="AC43" i="16"/>
  <c r="AB43" i="16"/>
  <c r="AK43" i="16" s="1"/>
  <c r="AA43" i="16"/>
  <c r="Y43" i="16"/>
  <c r="AJ43" i="16" s="1"/>
  <c r="AM42" i="16"/>
  <c r="AI42" i="16"/>
  <c r="AH42" i="16"/>
  <c r="AG42" i="16"/>
  <c r="AE42" i="16"/>
  <c r="AD42" i="16"/>
  <c r="AC42" i="16"/>
  <c r="AB42" i="16"/>
  <c r="AK42" i="16" s="1"/>
  <c r="AA42" i="16"/>
  <c r="Y42" i="16"/>
  <c r="AJ42" i="16" s="1"/>
  <c r="AM41" i="16"/>
  <c r="AI41" i="16"/>
  <c r="AH41" i="16"/>
  <c r="AG41" i="16"/>
  <c r="AE41" i="16"/>
  <c r="AD41" i="16"/>
  <c r="AC41" i="16"/>
  <c r="AB41" i="16"/>
  <c r="AK41" i="16" s="1"/>
  <c r="AA41" i="16"/>
  <c r="Y41" i="16"/>
  <c r="AJ41" i="16" s="1"/>
  <c r="AM40" i="16"/>
  <c r="AI40" i="16"/>
  <c r="AH40" i="16"/>
  <c r="AG40" i="16"/>
  <c r="AE40" i="16"/>
  <c r="AD40" i="16"/>
  <c r="AC40" i="16"/>
  <c r="AB40" i="16"/>
  <c r="AK40" i="16" s="1"/>
  <c r="AA40" i="16"/>
  <c r="Y40" i="16"/>
  <c r="AJ40" i="16" s="1"/>
  <c r="AM39" i="16"/>
  <c r="AI39" i="16"/>
  <c r="AH39" i="16"/>
  <c r="AG39" i="16"/>
  <c r="AE39" i="16"/>
  <c r="AD39" i="16"/>
  <c r="AC39" i="16"/>
  <c r="AB39" i="16"/>
  <c r="AK39" i="16" s="1"/>
  <c r="AA39" i="16"/>
  <c r="Y39" i="16"/>
  <c r="AJ39" i="16" s="1"/>
  <c r="AM38" i="16"/>
  <c r="AI38" i="16"/>
  <c r="AH38" i="16"/>
  <c r="AG38" i="16"/>
  <c r="AE38" i="16"/>
  <c r="AD38" i="16"/>
  <c r="AC38" i="16"/>
  <c r="AB38" i="16"/>
  <c r="AA38" i="16"/>
  <c r="Y38" i="16"/>
  <c r="AJ38" i="16" s="1"/>
  <c r="AM37" i="16"/>
  <c r="AI37" i="16"/>
  <c r="AH37" i="16"/>
  <c r="AG37" i="16"/>
  <c r="AE37" i="16"/>
  <c r="AD37" i="16"/>
  <c r="AC37" i="16"/>
  <c r="AB37" i="16"/>
  <c r="AK37" i="16" s="1"/>
  <c r="AA37" i="16"/>
  <c r="Y37" i="16"/>
  <c r="AJ37" i="16" s="1"/>
  <c r="AM36" i="16"/>
  <c r="AI36" i="16"/>
  <c r="AH36" i="16"/>
  <c r="AH35" i="16" s="1"/>
  <c r="AG36" i="16"/>
  <c r="AE36" i="16"/>
  <c r="AE35" i="16" s="1"/>
  <c r="AD36" i="16"/>
  <c r="AD35" i="16" s="1"/>
  <c r="AC36" i="16"/>
  <c r="AB36" i="16"/>
  <c r="AA36" i="16"/>
  <c r="AA35" i="16" s="1"/>
  <c r="Y36" i="16"/>
  <c r="AM34" i="16"/>
  <c r="AI34" i="16"/>
  <c r="AH34" i="16"/>
  <c r="AG34" i="16"/>
  <c r="AE34" i="16"/>
  <c r="AD34" i="16"/>
  <c r="AC34" i="16"/>
  <c r="AB34" i="16"/>
  <c r="AK34" i="16" s="1"/>
  <c r="AA34" i="16"/>
  <c r="Y34" i="16"/>
  <c r="AJ34" i="16" s="1"/>
  <c r="AM33" i="16"/>
  <c r="AI33" i="16"/>
  <c r="AH33" i="16"/>
  <c r="AG33" i="16"/>
  <c r="AE33" i="16"/>
  <c r="AD33" i="16"/>
  <c r="AC33" i="16"/>
  <c r="AB33" i="16"/>
  <c r="AK33" i="16" s="1"/>
  <c r="AA33" i="16"/>
  <c r="Y33" i="16"/>
  <c r="AJ33" i="16" s="1"/>
  <c r="AM32" i="16"/>
  <c r="AI32" i="16"/>
  <c r="AH32" i="16"/>
  <c r="AG32" i="16"/>
  <c r="AE32" i="16"/>
  <c r="AD32" i="16"/>
  <c r="AC32" i="16"/>
  <c r="AB32" i="16"/>
  <c r="AK32" i="16" s="1"/>
  <c r="AA32" i="16"/>
  <c r="Y32" i="16"/>
  <c r="AJ32" i="16" s="1"/>
  <c r="AM31" i="16"/>
  <c r="AI31" i="16"/>
  <c r="AH31" i="16"/>
  <c r="AG31" i="16"/>
  <c r="AE31" i="16"/>
  <c r="AD31" i="16"/>
  <c r="AC31" i="16"/>
  <c r="AB31" i="16"/>
  <c r="AA31" i="16"/>
  <c r="Y31" i="16"/>
  <c r="AJ31" i="16" s="1"/>
  <c r="AM30" i="16"/>
  <c r="AI30" i="16"/>
  <c r="AH30" i="16"/>
  <c r="AG30" i="16"/>
  <c r="AE30" i="16"/>
  <c r="AD30" i="16"/>
  <c r="AC30" i="16"/>
  <c r="AB30" i="16"/>
  <c r="AA30" i="16"/>
  <c r="Y30" i="16"/>
  <c r="AJ30" i="16" s="1"/>
  <c r="AM29" i="16"/>
  <c r="AI29" i="16"/>
  <c r="AH29" i="16"/>
  <c r="AG29" i="16"/>
  <c r="AE29" i="16"/>
  <c r="AD29" i="16"/>
  <c r="AC29" i="16"/>
  <c r="AB29" i="16"/>
  <c r="AA29" i="16"/>
  <c r="Y29" i="16"/>
  <c r="AJ29" i="16" s="1"/>
  <c r="AM28" i="16"/>
  <c r="AI28" i="16"/>
  <c r="AH28" i="16"/>
  <c r="AG28" i="16"/>
  <c r="AE28" i="16"/>
  <c r="AD28" i="16"/>
  <c r="AC28" i="16"/>
  <c r="AB28" i="16"/>
  <c r="AA28" i="16"/>
  <c r="Y28" i="16"/>
  <c r="AJ28" i="16" s="1"/>
  <c r="AM27" i="16"/>
  <c r="AI27" i="16"/>
  <c r="AH27" i="16"/>
  <c r="AG27" i="16"/>
  <c r="AE27" i="16"/>
  <c r="AD27" i="16"/>
  <c r="AC27" i="16"/>
  <c r="AB27" i="16"/>
  <c r="AA27" i="16"/>
  <c r="Y27" i="16"/>
  <c r="AJ27" i="16" s="1"/>
  <c r="AM26" i="16"/>
  <c r="AI26" i="16"/>
  <c r="AH26" i="16"/>
  <c r="AG26" i="16"/>
  <c r="AE26" i="16"/>
  <c r="AD26" i="16"/>
  <c r="AC26" i="16"/>
  <c r="AB26" i="16"/>
  <c r="AA26" i="16"/>
  <c r="Y26" i="16"/>
  <c r="AJ26" i="16" s="1"/>
  <c r="AM25" i="16"/>
  <c r="AI25" i="16"/>
  <c r="AH25" i="16"/>
  <c r="AG25" i="16"/>
  <c r="AE25" i="16"/>
  <c r="AD25" i="16"/>
  <c r="AC25" i="16"/>
  <c r="AB25" i="16"/>
  <c r="AA25" i="16"/>
  <c r="Y25" i="16"/>
  <c r="AJ25" i="16" s="1"/>
  <c r="AM24" i="16"/>
  <c r="AI24" i="16"/>
  <c r="AH24" i="16"/>
  <c r="AG24" i="16"/>
  <c r="AE24" i="16"/>
  <c r="AD24" i="16"/>
  <c r="AC24" i="16"/>
  <c r="AB24" i="16"/>
  <c r="AA24" i="16"/>
  <c r="Y24" i="16"/>
  <c r="AJ24" i="16" s="1"/>
  <c r="AM23" i="16"/>
  <c r="AI23" i="16"/>
  <c r="AH23" i="16"/>
  <c r="AG23" i="16"/>
  <c r="AE23" i="16"/>
  <c r="AD23" i="16"/>
  <c r="AC23" i="16"/>
  <c r="AB23" i="16"/>
  <c r="AA23" i="16"/>
  <c r="Y23" i="16"/>
  <c r="AJ23" i="16" s="1"/>
  <c r="AM22" i="16"/>
  <c r="AI22" i="16"/>
  <c r="AH22" i="16"/>
  <c r="AG22" i="16"/>
  <c r="AE22" i="16"/>
  <c r="AD22" i="16"/>
  <c r="AC22" i="16"/>
  <c r="AB22" i="16"/>
  <c r="AA22" i="16"/>
  <c r="Y22" i="16"/>
  <c r="AJ22" i="16" s="1"/>
  <c r="AM21" i="16"/>
  <c r="AI21" i="16"/>
  <c r="AH21" i="16"/>
  <c r="AG21" i="16"/>
  <c r="AE21" i="16"/>
  <c r="AD21" i="16"/>
  <c r="AC21" i="16"/>
  <c r="AB21" i="16"/>
  <c r="AA21" i="16"/>
  <c r="Y21" i="16"/>
  <c r="AJ21" i="16" s="1"/>
  <c r="AM20" i="16"/>
  <c r="AI20" i="16"/>
  <c r="AH20" i="16"/>
  <c r="AG20" i="16"/>
  <c r="AE20" i="16"/>
  <c r="AD20" i="16"/>
  <c r="AC20" i="16"/>
  <c r="AB20" i="16"/>
  <c r="AA20" i="16"/>
  <c r="Y20" i="16"/>
  <c r="AJ20" i="16" s="1"/>
  <c r="AM19" i="16"/>
  <c r="AI19" i="16"/>
  <c r="AH19" i="16"/>
  <c r="AG19" i="16"/>
  <c r="AE19" i="16"/>
  <c r="AD19" i="16"/>
  <c r="AC19" i="16"/>
  <c r="AB19" i="16"/>
  <c r="AA19" i="16"/>
  <c r="Y19" i="16"/>
  <c r="AJ19" i="16" s="1"/>
  <c r="AM18" i="16"/>
  <c r="AI18" i="16"/>
  <c r="AH18" i="16"/>
  <c r="AG18" i="16"/>
  <c r="AE18" i="16"/>
  <c r="AD18" i="16"/>
  <c r="AC18" i="16"/>
  <c r="AB18" i="16"/>
  <c r="AA18" i="16"/>
  <c r="Y18" i="16"/>
  <c r="AJ18" i="16" s="1"/>
  <c r="AM17" i="16"/>
  <c r="AI17" i="16"/>
  <c r="AI16" i="16" s="1"/>
  <c r="AH17" i="16"/>
  <c r="AH16" i="16" s="1"/>
  <c r="AG17" i="16"/>
  <c r="AE17" i="16"/>
  <c r="AD17" i="16"/>
  <c r="AD16" i="16" s="1"/>
  <c r="AC17" i="16"/>
  <c r="AB17" i="16"/>
  <c r="AB16" i="16" s="1"/>
  <c r="AA17" i="16"/>
  <c r="Y17" i="16"/>
  <c r="AJ17" i="16" s="1"/>
  <c r="C6" i="16"/>
  <c r="H5" i="16"/>
  <c r="AI77" i="16" l="1"/>
  <c r="AD84" i="16"/>
  <c r="U27" i="16"/>
  <c r="I102" i="16"/>
  <c r="I88" i="16"/>
  <c r="U23" i="16"/>
  <c r="I49" i="16"/>
  <c r="P22" i="16"/>
  <c r="K45" i="16"/>
  <c r="I60" i="16"/>
  <c r="U104" i="16"/>
  <c r="M52" i="16"/>
  <c r="L105" i="16"/>
  <c r="BG52" i="16"/>
  <c r="AE16" i="16"/>
  <c r="M20" i="16"/>
  <c r="U22" i="16"/>
  <c r="K23" i="16"/>
  <c r="P25" i="16"/>
  <c r="P27" i="16"/>
  <c r="M28" i="16"/>
  <c r="U28" i="16"/>
  <c r="U30" i="16"/>
  <c r="U32" i="16"/>
  <c r="I39" i="16"/>
  <c r="K40" i="16"/>
  <c r="K42" i="16"/>
  <c r="P42" i="16"/>
  <c r="M43" i="16"/>
  <c r="K44" i="16"/>
  <c r="P44" i="16"/>
  <c r="K46" i="16"/>
  <c r="P46" i="16"/>
  <c r="K49" i="16"/>
  <c r="M50" i="16"/>
  <c r="K51" i="16"/>
  <c r="P51" i="16"/>
  <c r="I52" i="16"/>
  <c r="U52" i="16"/>
  <c r="P53" i="16"/>
  <c r="M57" i="16"/>
  <c r="U59" i="16"/>
  <c r="I61" i="16"/>
  <c r="U61" i="16"/>
  <c r="M64" i="16"/>
  <c r="U64" i="16"/>
  <c r="K67" i="16"/>
  <c r="K69" i="16"/>
  <c r="M70" i="16"/>
  <c r="U70" i="16"/>
  <c r="P71" i="16"/>
  <c r="U72" i="16"/>
  <c r="K73" i="16"/>
  <c r="M74" i="16"/>
  <c r="K75" i="16"/>
  <c r="P75" i="16"/>
  <c r="I79" i="16"/>
  <c r="U79" i="16"/>
  <c r="K80" i="16"/>
  <c r="P80" i="16"/>
  <c r="U81" i="16"/>
  <c r="K82" i="16"/>
  <c r="I86" i="16"/>
  <c r="M86" i="16"/>
  <c r="U86" i="16"/>
  <c r="K87" i="16"/>
  <c r="P87" i="16"/>
  <c r="M88" i="16"/>
  <c r="U88" i="16"/>
  <c r="P89" i="16"/>
  <c r="I90" i="16"/>
  <c r="M90" i="16"/>
  <c r="U90" i="16"/>
  <c r="I92" i="16"/>
  <c r="M92" i="16"/>
  <c r="U92" i="16"/>
  <c r="K93" i="16"/>
  <c r="P93" i="16"/>
  <c r="K95" i="16"/>
  <c r="P95" i="16"/>
  <c r="I96" i="16"/>
  <c r="U96" i="16"/>
  <c r="I99" i="16"/>
  <c r="M99" i="16"/>
  <c r="U99" i="16"/>
  <c r="K100" i="16"/>
  <c r="U101" i="16"/>
  <c r="K102" i="16"/>
  <c r="P102" i="16"/>
  <c r="I103" i="16"/>
  <c r="M103" i="16"/>
  <c r="U103" i="16"/>
  <c r="K104" i="16"/>
  <c r="M105" i="16"/>
  <c r="U105" i="16"/>
  <c r="P106" i="16"/>
  <c r="M46" i="16"/>
  <c r="M67" i="16"/>
  <c r="M69" i="16"/>
  <c r="M82" i="16"/>
  <c r="M87" i="16"/>
  <c r="M91" i="16"/>
  <c r="M102" i="16"/>
  <c r="BC48" i="16"/>
  <c r="Z17" i="16"/>
  <c r="Z16" i="16" s="1"/>
  <c r="BE14" i="16"/>
  <c r="P24" i="16"/>
  <c r="U38" i="16"/>
  <c r="I42" i="16"/>
  <c r="U44" i="16"/>
  <c r="I56" i="16"/>
  <c r="P68" i="16"/>
  <c r="P72" i="16"/>
  <c r="I73" i="16"/>
  <c r="P76" i="16"/>
  <c r="K81" i="16"/>
  <c r="U89" i="16"/>
  <c r="U93" i="16"/>
  <c r="P101" i="16"/>
  <c r="P103" i="16"/>
  <c r="AF18" i="16"/>
  <c r="AL18" i="16" s="1"/>
  <c r="L19" i="16"/>
  <c r="Q19" i="16"/>
  <c r="L21" i="16"/>
  <c r="O22" i="16"/>
  <c r="L23" i="16"/>
  <c r="Q23" i="16"/>
  <c r="J24" i="16"/>
  <c r="S24" i="16" s="1"/>
  <c r="L25" i="16"/>
  <c r="Q25" i="16"/>
  <c r="J26" i="16"/>
  <c r="S26" i="16" s="1"/>
  <c r="O26" i="16"/>
  <c r="J28" i="16"/>
  <c r="S28" i="16" s="1"/>
  <c r="O30" i="16"/>
  <c r="L31" i="16"/>
  <c r="L33" i="16"/>
  <c r="Q33" i="16"/>
  <c r="O39" i="16"/>
  <c r="L40" i="16"/>
  <c r="Q40" i="16"/>
  <c r="Q42" i="16"/>
  <c r="O43" i="16"/>
  <c r="L44" i="16"/>
  <c r="Q44" i="16"/>
  <c r="O48" i="16"/>
  <c r="L49" i="16"/>
  <c r="Q51" i="16"/>
  <c r="O52" i="16"/>
  <c r="L53" i="16"/>
  <c r="Q56" i="16"/>
  <c r="O59" i="16"/>
  <c r="Q60" i="16"/>
  <c r="L63" i="16"/>
  <c r="Q63" i="16"/>
  <c r="L65" i="16"/>
  <c r="Q65" i="16"/>
  <c r="J66" i="16"/>
  <c r="S66" i="16" s="1"/>
  <c r="O66" i="16"/>
  <c r="L67" i="16"/>
  <c r="Q69" i="16"/>
  <c r="L71" i="16"/>
  <c r="O72" i="16"/>
  <c r="O74" i="16"/>
  <c r="L75" i="16"/>
  <c r="Q75" i="16"/>
  <c r="L80" i="16"/>
  <c r="Q80" i="16"/>
  <c r="J81" i="16"/>
  <c r="S81" i="16" s="1"/>
  <c r="O81" i="16"/>
  <c r="Q82" i="16"/>
  <c r="J83" i="16"/>
  <c r="S83" i="16" s="1"/>
  <c r="O83" i="16"/>
  <c r="Q85" i="16"/>
  <c r="Q87" i="16"/>
  <c r="J88" i="16"/>
  <c r="S88" i="16" s="1"/>
  <c r="O88" i="16"/>
  <c r="J90" i="16"/>
  <c r="S90" i="16" s="1"/>
  <c r="O90" i="16"/>
  <c r="Q91" i="16"/>
  <c r="O92" i="16"/>
  <c r="L93" i="16"/>
  <c r="Q93" i="16"/>
  <c r="J94" i="16"/>
  <c r="S94" i="16" s="1"/>
  <c r="O94" i="16"/>
  <c r="L100" i="16"/>
  <c r="Q100" i="16"/>
  <c r="J101" i="16"/>
  <c r="S101" i="16" s="1"/>
  <c r="O101" i="16"/>
  <c r="L102" i="16"/>
  <c r="L104" i="16"/>
  <c r="Q104" i="16"/>
  <c r="J105" i="16"/>
  <c r="S105" i="16" s="1"/>
  <c r="O105" i="16"/>
  <c r="L106" i="16"/>
  <c r="Q106" i="16"/>
  <c r="AX17" i="16"/>
  <c r="BD17" i="16" s="1"/>
  <c r="AX32" i="16"/>
  <c r="BD32" i="16" s="1"/>
  <c r="AX36" i="16"/>
  <c r="AX37" i="16"/>
  <c r="BD37" i="16" s="1"/>
  <c r="AX44" i="16"/>
  <c r="BD44" i="16" s="1"/>
  <c r="AX48" i="16"/>
  <c r="AX47" i="16" s="1"/>
  <c r="BD47" i="16" s="1"/>
  <c r="J65" i="16"/>
  <c r="S65" i="16" s="1"/>
  <c r="L101" i="16"/>
  <c r="AR83" i="16"/>
  <c r="J59" i="16"/>
  <c r="S59" i="16" s="1"/>
  <c r="AK16" i="16"/>
  <c r="AR66" i="16"/>
  <c r="Y84" i="16"/>
  <c r="AJ84" i="16" s="1"/>
  <c r="AH14" i="16"/>
  <c r="P63" i="16"/>
  <c r="G36" i="16"/>
  <c r="R36" i="16" s="1"/>
  <c r="AJ36" i="16"/>
  <c r="G44" i="16"/>
  <c r="R44" i="16" s="1"/>
  <c r="AJ44" i="16"/>
  <c r="G51" i="16"/>
  <c r="R51" i="16" s="1"/>
  <c r="AJ51" i="16"/>
  <c r="G53" i="16"/>
  <c r="R53" i="16" s="1"/>
  <c r="AJ53" i="16"/>
  <c r="G56" i="16"/>
  <c r="R56" i="16" s="1"/>
  <c r="AJ56" i="16"/>
  <c r="G60" i="16"/>
  <c r="R60" i="16" s="1"/>
  <c r="AJ60" i="16"/>
  <c r="Y62" i="16"/>
  <c r="AJ62" i="16" s="1"/>
  <c r="AJ63" i="16"/>
  <c r="G65" i="16"/>
  <c r="R65" i="16" s="1"/>
  <c r="AJ65" i="16"/>
  <c r="G67" i="16"/>
  <c r="R67" i="16" s="1"/>
  <c r="AJ67" i="16"/>
  <c r="G69" i="16"/>
  <c r="R69" i="16" s="1"/>
  <c r="AJ69" i="16"/>
  <c r="G71" i="16"/>
  <c r="R71" i="16" s="1"/>
  <c r="AJ71" i="16"/>
  <c r="G75" i="16"/>
  <c r="R75" i="16" s="1"/>
  <c r="AJ75" i="16"/>
  <c r="G78" i="16"/>
  <c r="R78" i="16" s="1"/>
  <c r="AJ78" i="16"/>
  <c r="G80" i="16"/>
  <c r="R80" i="16" s="1"/>
  <c r="AJ80" i="16"/>
  <c r="G82" i="16"/>
  <c r="R82" i="16" s="1"/>
  <c r="AJ82" i="16"/>
  <c r="G91" i="16"/>
  <c r="R91" i="16" s="1"/>
  <c r="AJ91" i="16"/>
  <c r="G93" i="16"/>
  <c r="R93" i="16" s="1"/>
  <c r="AJ93" i="16"/>
  <c r="G95" i="16"/>
  <c r="R95" i="16" s="1"/>
  <c r="AJ95" i="16"/>
  <c r="G98" i="16"/>
  <c r="R98" i="16" s="1"/>
  <c r="AJ98" i="16"/>
  <c r="G100" i="16"/>
  <c r="R100" i="16" s="1"/>
  <c r="AJ100" i="16"/>
  <c r="G104" i="16"/>
  <c r="R104" i="16" s="1"/>
  <c r="AJ104" i="16"/>
  <c r="G106" i="16"/>
  <c r="R106" i="16" s="1"/>
  <c r="AJ106" i="16"/>
  <c r="AQ47" i="16"/>
  <c r="BB47" i="16" s="1"/>
  <c r="BB48" i="16"/>
  <c r="AK81" i="16"/>
  <c r="Y97" i="16"/>
  <c r="AJ97" i="16" s="1"/>
  <c r="G50" i="16"/>
  <c r="R50" i="16" s="1"/>
  <c r="I17" i="16"/>
  <c r="I16" i="16" s="1"/>
  <c r="K18" i="16"/>
  <c r="P18" i="16"/>
  <c r="U19" i="16"/>
  <c r="P20" i="16"/>
  <c r="I21" i="16"/>
  <c r="I23" i="16"/>
  <c r="I25" i="16"/>
  <c r="P28" i="16"/>
  <c r="I29" i="16"/>
  <c r="U29" i="16"/>
  <c r="I31" i="16"/>
  <c r="U31" i="16"/>
  <c r="I33" i="16"/>
  <c r="U33" i="16"/>
  <c r="K37" i="16"/>
  <c r="P37" i="16"/>
  <c r="I38" i="16"/>
  <c r="M38" i="16"/>
  <c r="M40" i="16"/>
  <c r="U40" i="16"/>
  <c r="K41" i="16"/>
  <c r="P41" i="16"/>
  <c r="M42" i="16"/>
  <c r="I44" i="16"/>
  <c r="M44" i="16"/>
  <c r="P45" i="16"/>
  <c r="I46" i="16"/>
  <c r="U46" i="16"/>
  <c r="M49" i="16"/>
  <c r="U49" i="16"/>
  <c r="K50" i="16"/>
  <c r="P50" i="16"/>
  <c r="I51" i="16"/>
  <c r="M51" i="16"/>
  <c r="U51" i="16"/>
  <c r="K52" i="16"/>
  <c r="P52" i="16"/>
  <c r="I53" i="16"/>
  <c r="M53" i="16"/>
  <c r="U53" i="16"/>
  <c r="K55" i="16"/>
  <c r="M56" i="16"/>
  <c r="U56" i="16"/>
  <c r="I58" i="16"/>
  <c r="M58" i="16"/>
  <c r="U58" i="16"/>
  <c r="K59" i="16"/>
  <c r="P59" i="16"/>
  <c r="M60" i="16"/>
  <c r="U60" i="16"/>
  <c r="K61" i="16"/>
  <c r="P61" i="16"/>
  <c r="I63" i="16"/>
  <c r="K64" i="16"/>
  <c r="P64" i="16"/>
  <c r="I65" i="16"/>
  <c r="M65" i="16"/>
  <c r="U65" i="16"/>
  <c r="K66" i="16"/>
  <c r="P66" i="16"/>
  <c r="I67" i="16"/>
  <c r="U67" i="16"/>
  <c r="K68" i="16"/>
  <c r="I69" i="16"/>
  <c r="U69" i="16"/>
  <c r="M71" i="16"/>
  <c r="K72" i="16"/>
  <c r="M73" i="16"/>
  <c r="I75" i="16"/>
  <c r="M75" i="16"/>
  <c r="U75" i="16"/>
  <c r="K76" i="16"/>
  <c r="U78" i="16"/>
  <c r="U77" i="16" s="1"/>
  <c r="M80" i="16"/>
  <c r="U80" i="16"/>
  <c r="P81" i="16"/>
  <c r="I82" i="16"/>
  <c r="U82" i="16"/>
  <c r="K83" i="16"/>
  <c r="P83" i="16"/>
  <c r="I85" i="16"/>
  <c r="K86" i="16"/>
  <c r="P86" i="16"/>
  <c r="I87" i="16"/>
  <c r="I89" i="16"/>
  <c r="P90" i="16"/>
  <c r="I91" i="16"/>
  <c r="U91" i="16"/>
  <c r="K92" i="16"/>
  <c r="P92" i="16"/>
  <c r="I93" i="16"/>
  <c r="K94" i="16"/>
  <c r="P94" i="16"/>
  <c r="I95" i="16"/>
  <c r="U95" i="16"/>
  <c r="I98" i="16"/>
  <c r="K99" i="16"/>
  <c r="P99" i="16"/>
  <c r="I100" i="16"/>
  <c r="M100" i="16"/>
  <c r="U100" i="16"/>
  <c r="K101" i="16"/>
  <c r="U102" i="16"/>
  <c r="K103" i="16"/>
  <c r="I104" i="16"/>
  <c r="M104" i="16"/>
  <c r="M106" i="16"/>
  <c r="U106" i="16"/>
  <c r="M96" i="16"/>
  <c r="J48" i="16"/>
  <c r="J25" i="16"/>
  <c r="S25" i="16" s="1"/>
  <c r="Q32" i="16"/>
  <c r="Y54" i="16"/>
  <c r="AJ54" i="16" s="1"/>
  <c r="AJ55" i="16"/>
  <c r="L59" i="16"/>
  <c r="L79" i="16"/>
  <c r="G83" i="16"/>
  <c r="R83" i="16" s="1"/>
  <c r="AJ83" i="16"/>
  <c r="AQ16" i="16"/>
  <c r="BB17" i="16"/>
  <c r="AQ35" i="16"/>
  <c r="BB35" i="16" s="1"/>
  <c r="BB36" i="16"/>
  <c r="AX39" i="16"/>
  <c r="BD39" i="16" s="1"/>
  <c r="AQ62" i="16"/>
  <c r="BB62" i="16" s="1"/>
  <c r="BB63" i="16"/>
  <c r="AQ77" i="16"/>
  <c r="BB77" i="16" s="1"/>
  <c r="BB78" i="16"/>
  <c r="AQ84" i="16"/>
  <c r="BB84" i="16" s="1"/>
  <c r="BB85" i="16"/>
  <c r="AQ97" i="16"/>
  <c r="BB97" i="16" s="1"/>
  <c r="BB98" i="16"/>
  <c r="AX103" i="16"/>
  <c r="BD103" i="16" s="1"/>
  <c r="G23" i="16"/>
  <c r="R23" i="16" s="1"/>
  <c r="G33" i="16"/>
  <c r="R33" i="16" s="1"/>
  <c r="Y16" i="16"/>
  <c r="G25" i="16"/>
  <c r="R25" i="16" s="1"/>
  <c r="G31" i="16"/>
  <c r="R31" i="16" s="1"/>
  <c r="M98" i="16"/>
  <c r="M97" i="16" s="1"/>
  <c r="M85" i="16"/>
  <c r="M84" i="16" s="1"/>
  <c r="M89" i="16"/>
  <c r="M93" i="16"/>
  <c r="M95" i="16"/>
  <c r="M79" i="16"/>
  <c r="M19" i="16"/>
  <c r="M21" i="16"/>
  <c r="M23" i="16"/>
  <c r="M25" i="16"/>
  <c r="M29" i="16"/>
  <c r="M31" i="16"/>
  <c r="M33" i="16"/>
  <c r="M17" i="16"/>
  <c r="M16" i="16" s="1"/>
  <c r="AX57" i="16"/>
  <c r="BD57" i="16" s="1"/>
  <c r="AX59" i="16"/>
  <c r="BD59" i="16" s="1"/>
  <c r="AX60" i="16"/>
  <c r="BD60" i="16" s="1"/>
  <c r="AX64" i="16"/>
  <c r="BD64" i="16" s="1"/>
  <c r="AX69" i="16"/>
  <c r="BD69" i="16" s="1"/>
  <c r="AX71" i="16"/>
  <c r="BD71" i="16" s="1"/>
  <c r="AX72" i="16"/>
  <c r="BD72" i="16" s="1"/>
  <c r="AX76" i="16"/>
  <c r="BD76" i="16" s="1"/>
  <c r="AX80" i="16"/>
  <c r="BD80" i="16" s="1"/>
  <c r="AX81" i="16"/>
  <c r="BD81" i="16" s="1"/>
  <c r="AX83" i="16"/>
  <c r="BD83" i="16" s="1"/>
  <c r="AX86" i="16"/>
  <c r="BD86" i="16" s="1"/>
  <c r="AX87" i="16"/>
  <c r="BD87" i="16" s="1"/>
  <c r="AX93" i="16"/>
  <c r="BD93" i="16" s="1"/>
  <c r="AK66" i="16"/>
  <c r="J92" i="16"/>
  <c r="S92" i="16" s="1"/>
  <c r="L85" i="16"/>
  <c r="AB47" i="16"/>
  <c r="AK47" i="16" s="1"/>
  <c r="L98" i="16"/>
  <c r="AR31" i="16"/>
  <c r="AR46" i="16"/>
  <c r="J96" i="16"/>
  <c r="S96" i="16" s="1"/>
  <c r="Z102" i="16"/>
  <c r="BG37" i="16"/>
  <c r="BG45" i="16"/>
  <c r="AR52" i="16"/>
  <c r="BG59" i="16"/>
  <c r="AR61" i="16"/>
  <c r="BG66" i="16"/>
  <c r="AR68" i="16"/>
  <c r="AR70" i="16"/>
  <c r="AR90" i="16"/>
  <c r="BG92" i="16"/>
  <c r="AR105" i="16"/>
  <c r="BG68" i="16"/>
  <c r="U98" i="16"/>
  <c r="U97" i="16" s="1"/>
  <c r="BG105" i="16"/>
  <c r="K26" i="16"/>
  <c r="K30" i="16"/>
  <c r="U18" i="16"/>
  <c r="I20" i="16"/>
  <c r="P21" i="16"/>
  <c r="M22" i="16"/>
  <c r="P23" i="16"/>
  <c r="I24" i="16"/>
  <c r="M24" i="16"/>
  <c r="I26" i="16"/>
  <c r="M26" i="16"/>
  <c r="U26" i="16"/>
  <c r="K27" i="16"/>
  <c r="I28" i="16"/>
  <c r="I30" i="16"/>
  <c r="M30" i="16"/>
  <c r="I32" i="16"/>
  <c r="M32" i="16"/>
  <c r="M34" i="16"/>
  <c r="U34" i="16"/>
  <c r="M39" i="16"/>
  <c r="U39" i="16"/>
  <c r="P40" i="16"/>
  <c r="I41" i="16"/>
  <c r="M41" i="16"/>
  <c r="I43" i="16"/>
  <c r="U43" i="16"/>
  <c r="I50" i="16"/>
  <c r="I57" i="16"/>
  <c r="M61" i="16"/>
  <c r="I64" i="16"/>
  <c r="K65" i="16"/>
  <c r="K71" i="16"/>
  <c r="P73" i="16"/>
  <c r="I74" i="16"/>
  <c r="U74" i="16"/>
  <c r="AR63" i="16"/>
  <c r="AS62" i="16"/>
  <c r="AO105" i="16"/>
  <c r="Q18" i="16"/>
  <c r="L20" i="16"/>
  <c r="Q20" i="16"/>
  <c r="O23" i="16"/>
  <c r="G24" i="16"/>
  <c r="R24" i="16" s="1"/>
  <c r="L26" i="16"/>
  <c r="J27" i="16"/>
  <c r="S27" i="16" s="1"/>
  <c r="L30" i="16"/>
  <c r="L32" i="16"/>
  <c r="L34" i="16"/>
  <c r="AR38" i="16"/>
  <c r="L41" i="16"/>
  <c r="Q41" i="16"/>
  <c r="O42" i="16"/>
  <c r="L45" i="16"/>
  <c r="Q45" i="16"/>
  <c r="L50" i="16"/>
  <c r="O51" i="16"/>
  <c r="G52" i="16"/>
  <c r="R52" i="16" s="1"/>
  <c r="L52" i="16"/>
  <c r="O53" i="16"/>
  <c r="L55" i="16"/>
  <c r="O56" i="16"/>
  <c r="G57" i="16"/>
  <c r="R57" i="16" s="1"/>
  <c r="BG58" i="16"/>
  <c r="L61" i="16"/>
  <c r="G64" i="16"/>
  <c r="R64" i="16" s="1"/>
  <c r="L66" i="16"/>
  <c r="L68" i="16"/>
  <c r="Q68" i="16"/>
  <c r="Q70" i="16"/>
  <c r="G72" i="16"/>
  <c r="R72" i="16" s="1"/>
  <c r="L72" i="16"/>
  <c r="J73" i="16"/>
  <c r="S73" i="16" s="1"/>
  <c r="L74" i="16"/>
  <c r="Q74" i="16"/>
  <c r="O75" i="16"/>
  <c r="G76" i="16"/>
  <c r="R76" i="16" s="1"/>
  <c r="L76" i="16"/>
  <c r="Q79" i="16"/>
  <c r="G81" i="16"/>
  <c r="R81" i="16" s="1"/>
  <c r="L86" i="16"/>
  <c r="J89" i="16"/>
  <c r="S89" i="16" s="1"/>
  <c r="G90" i="16"/>
  <c r="R90" i="16" s="1"/>
  <c r="L90" i="16"/>
  <c r="AR91" i="16"/>
  <c r="G94" i="16"/>
  <c r="R94" i="16" s="1"/>
  <c r="Q94" i="16"/>
  <c r="O95" i="16"/>
  <c r="L96" i="16"/>
  <c r="G99" i="16"/>
  <c r="R99" i="16" s="1"/>
  <c r="L99" i="16"/>
  <c r="Q99" i="16"/>
  <c r="G103" i="16"/>
  <c r="R103" i="16" s="1"/>
  <c r="Q103" i="16"/>
  <c r="AO21" i="16"/>
  <c r="AN32" i="16"/>
  <c r="AO80" i="16"/>
  <c r="Z93" i="16"/>
  <c r="AF104" i="16"/>
  <c r="AL104" i="16" s="1"/>
  <c r="J18" i="16"/>
  <c r="S18" i="16" s="1"/>
  <c r="O18" i="16"/>
  <c r="G19" i="16"/>
  <c r="R19" i="16" s="1"/>
  <c r="Q21" i="16"/>
  <c r="J22" i="16"/>
  <c r="S22" i="16" s="1"/>
  <c r="L27" i="16"/>
  <c r="G40" i="16"/>
  <c r="R40" i="16" s="1"/>
  <c r="AR71" i="16"/>
  <c r="BC73" i="16"/>
  <c r="J87" i="16"/>
  <c r="S87" i="16" s="1"/>
  <c r="BG19" i="16"/>
  <c r="O19" i="16"/>
  <c r="AR29" i="16"/>
  <c r="BF34" i="16"/>
  <c r="AX70" i="16"/>
  <c r="BD70" i="16" s="1"/>
  <c r="BC27" i="16"/>
  <c r="G37" i="16"/>
  <c r="R37" i="16" s="1"/>
  <c r="Q55" i="16"/>
  <c r="Q54" i="16" s="1"/>
  <c r="Q57" i="16"/>
  <c r="BC78" i="16"/>
  <c r="L18" i="16"/>
  <c r="G20" i="16"/>
  <c r="R20" i="16" s="1"/>
  <c r="L22" i="16"/>
  <c r="J23" i="16"/>
  <c r="S23" i="16" s="1"/>
  <c r="L24" i="16"/>
  <c r="Q24" i="16"/>
  <c r="O27" i="16"/>
  <c r="O29" i="16"/>
  <c r="Q34" i="16"/>
  <c r="L37" i="16"/>
  <c r="G39" i="16"/>
  <c r="R39" i="16" s="1"/>
  <c r="L39" i="16"/>
  <c r="O40" i="16"/>
  <c r="G41" i="16"/>
  <c r="R41" i="16" s="1"/>
  <c r="G45" i="16"/>
  <c r="R45" i="16" s="1"/>
  <c r="O46" i="16"/>
  <c r="G48" i="16"/>
  <c r="R48" i="16" s="1"/>
  <c r="L48" i="16"/>
  <c r="L47" i="16" s="1"/>
  <c r="O49" i="16"/>
  <c r="Q50" i="16"/>
  <c r="L57" i="16"/>
  <c r="O58" i="16"/>
  <c r="Q59" i="16"/>
  <c r="J60" i="16"/>
  <c r="S60" i="16" s="1"/>
  <c r="G61" i="16"/>
  <c r="R61" i="16" s="1"/>
  <c r="Q61" i="16"/>
  <c r="L64" i="16"/>
  <c r="Q64" i="16"/>
  <c r="G66" i="16"/>
  <c r="R66" i="16" s="1"/>
  <c r="J67" i="16"/>
  <c r="S67" i="16" s="1"/>
  <c r="O67" i="16"/>
  <c r="G68" i="16"/>
  <c r="R68" i="16" s="1"/>
  <c r="G70" i="16"/>
  <c r="R70" i="16" s="1"/>
  <c r="L70" i="16"/>
  <c r="O71" i="16"/>
  <c r="BF22" i="16"/>
  <c r="J42" i="16"/>
  <c r="S42" i="16" s="1"/>
  <c r="BC42" i="16"/>
  <c r="G59" i="16"/>
  <c r="R59" i="16" s="1"/>
  <c r="AR40" i="16"/>
  <c r="BF87" i="16"/>
  <c r="J19" i="16"/>
  <c r="S19" i="16" s="1"/>
  <c r="BG43" i="16"/>
  <c r="BA47" i="16"/>
  <c r="O87" i="16"/>
  <c r="Q76" i="16"/>
  <c r="L81" i="16"/>
  <c r="G86" i="16"/>
  <c r="R86" i="16" s="1"/>
  <c r="G74" i="16"/>
  <c r="R74" i="16" s="1"/>
  <c r="J78" i="16"/>
  <c r="G79" i="16"/>
  <c r="R79" i="16" s="1"/>
  <c r="Q81" i="16"/>
  <c r="L83" i="16"/>
  <c r="Q86" i="16"/>
  <c r="L94" i="16"/>
  <c r="G96" i="16"/>
  <c r="R96" i="16" s="1"/>
  <c r="O102" i="16"/>
  <c r="L103" i="16"/>
  <c r="O106" i="16"/>
  <c r="Q17" i="16"/>
  <c r="Q16" i="16" s="1"/>
  <c r="O20" i="16"/>
  <c r="L29" i="16"/>
  <c r="AD47" i="16"/>
  <c r="G49" i="16"/>
  <c r="R49" i="16" s="1"/>
  <c r="AK60" i="16"/>
  <c r="AK83" i="16"/>
  <c r="G89" i="16"/>
  <c r="R89" i="16" s="1"/>
  <c r="L89" i="16"/>
  <c r="G102" i="16"/>
  <c r="R102" i="16" s="1"/>
  <c r="AO22" i="16"/>
  <c r="G28" i="16"/>
  <c r="R28" i="16" s="1"/>
  <c r="J37" i="16"/>
  <c r="S37" i="16" s="1"/>
  <c r="J45" i="16"/>
  <c r="S45" i="16" s="1"/>
  <c r="G55" i="16"/>
  <c r="R55" i="16" s="1"/>
  <c r="G58" i="16"/>
  <c r="R58" i="16" s="1"/>
  <c r="Q78" i="16"/>
  <c r="Q77" i="16" s="1"/>
  <c r="L88" i="16"/>
  <c r="Q95" i="16"/>
  <c r="AN22" i="16"/>
  <c r="G22" i="16"/>
  <c r="R22" i="16" s="1"/>
  <c r="AF22" i="16"/>
  <c r="AL22" i="16" s="1"/>
  <c r="Q22" i="16"/>
  <c r="AK29" i="16"/>
  <c r="J29" i="16"/>
  <c r="S29" i="16" s="1"/>
  <c r="AN34" i="16"/>
  <c r="G34" i="16"/>
  <c r="R34" i="16" s="1"/>
  <c r="AC35" i="16"/>
  <c r="K36" i="16"/>
  <c r="BC39" i="16"/>
  <c r="K106" i="16"/>
  <c r="G32" i="16"/>
  <c r="R32" i="16" s="1"/>
  <c r="K19" i="16"/>
  <c r="J61" i="16"/>
  <c r="S61" i="16" s="1"/>
  <c r="Q27" i="16"/>
  <c r="AF27" i="16"/>
  <c r="AL27" i="16" s="1"/>
  <c r="AO31" i="16"/>
  <c r="AF31" i="16"/>
  <c r="AL31" i="16" s="1"/>
  <c r="Q36" i="16"/>
  <c r="Q35" i="16" s="1"/>
  <c r="AK38" i="16"/>
  <c r="J38" i="16"/>
  <c r="S38" i="16" s="1"/>
  <c r="Q48" i="16"/>
  <c r="Q47" i="16" s="1"/>
  <c r="AI47" i="16"/>
  <c r="J50" i="16"/>
  <c r="S50" i="16" s="1"/>
  <c r="M59" i="16"/>
  <c r="AM62" i="16"/>
  <c r="U63" i="16"/>
  <c r="U62" i="16" s="1"/>
  <c r="Q66" i="16"/>
  <c r="P67" i="16"/>
  <c r="Q71" i="16"/>
  <c r="AE77" i="16"/>
  <c r="M78" i="16"/>
  <c r="M77" i="16" s="1"/>
  <c r="I81" i="16"/>
  <c r="O82" i="16"/>
  <c r="AO82" i="16"/>
  <c r="Q83" i="16"/>
  <c r="AO89" i="16"/>
  <c r="O89" i="16"/>
  <c r="O91" i="16"/>
  <c r="AO91" i="16"/>
  <c r="L92" i="16"/>
  <c r="BC96" i="16"/>
  <c r="AR96" i="16"/>
  <c r="BC98" i="16"/>
  <c r="AT97" i="16"/>
  <c r="BC97" i="16" s="1"/>
  <c r="AR98" i="16"/>
  <c r="G101" i="16"/>
  <c r="R101" i="16" s="1"/>
  <c r="Q101" i="16"/>
  <c r="AF101" i="16"/>
  <c r="AL101" i="16" s="1"/>
  <c r="K105" i="16"/>
  <c r="G27" i="16"/>
  <c r="R27" i="16" s="1"/>
  <c r="G63" i="16"/>
  <c r="R63" i="16" s="1"/>
  <c r="K33" i="16"/>
  <c r="J100" i="16"/>
  <c r="S100" i="16" s="1"/>
  <c r="BC17" i="16"/>
  <c r="AT16" i="16"/>
  <c r="G18" i="16"/>
  <c r="R18" i="16" s="1"/>
  <c r="J21" i="16"/>
  <c r="S21" i="16" s="1"/>
  <c r="AF24" i="16"/>
  <c r="AL24" i="16" s="1"/>
  <c r="O24" i="16"/>
  <c r="AF25" i="16"/>
  <c r="AL25" i="16" s="1"/>
  <c r="O25" i="16"/>
  <c r="BF26" i="16"/>
  <c r="I27" i="16"/>
  <c r="M27" i="16"/>
  <c r="L28" i="16"/>
  <c r="Q28" i="16"/>
  <c r="G29" i="16"/>
  <c r="R29" i="16" s="1"/>
  <c r="P31" i="16"/>
  <c r="O34" i="16"/>
  <c r="I36" i="16"/>
  <c r="U36" i="16"/>
  <c r="U35" i="16" s="1"/>
  <c r="K38" i="16"/>
  <c r="K43" i="16"/>
  <c r="P43" i="16"/>
  <c r="O44" i="16"/>
  <c r="G46" i="16"/>
  <c r="R46" i="16" s="1"/>
  <c r="Q46" i="16"/>
  <c r="I48" i="16"/>
  <c r="M48" i="16"/>
  <c r="M47" i="16" s="1"/>
  <c r="P49" i="16"/>
  <c r="AK53" i="16"/>
  <c r="J53" i="16"/>
  <c r="S53" i="16" s="1"/>
  <c r="AB54" i="16"/>
  <c r="AK54" i="16" s="1"/>
  <c r="J55" i="16"/>
  <c r="S55" i="16" s="1"/>
  <c r="AG54" i="16"/>
  <c r="O55" i="16"/>
  <c r="AK56" i="16"/>
  <c r="J56" i="16"/>
  <c r="S56" i="16" s="1"/>
  <c r="K58" i="16"/>
  <c r="P58" i="16"/>
  <c r="K60" i="16"/>
  <c r="O61" i="16"/>
  <c r="AZ62" i="16"/>
  <c r="O63" i="16"/>
  <c r="I66" i="16"/>
  <c r="M66" i="16"/>
  <c r="U66" i="16"/>
  <c r="J69" i="16"/>
  <c r="S69" i="16" s="1"/>
  <c r="O69" i="16"/>
  <c r="I70" i="16"/>
  <c r="I71" i="16"/>
  <c r="U71" i="16"/>
  <c r="Q72" i="16"/>
  <c r="G73" i="16"/>
  <c r="R73" i="16" s="1"/>
  <c r="L73" i="16"/>
  <c r="Q73" i="16"/>
  <c r="AF73" i="16"/>
  <c r="AL73" i="16" s="1"/>
  <c r="AF78" i="16"/>
  <c r="O78" i="16"/>
  <c r="O79" i="16"/>
  <c r="O80" i="16"/>
  <c r="I83" i="16"/>
  <c r="M83" i="16"/>
  <c r="U83" i="16"/>
  <c r="AU84" i="16"/>
  <c r="K89" i="16"/>
  <c r="K90" i="16"/>
  <c r="K91" i="16"/>
  <c r="I101" i="16"/>
  <c r="M101" i="16"/>
  <c r="J103" i="16"/>
  <c r="S103" i="16" s="1"/>
  <c r="O103" i="16"/>
  <c r="G105" i="16"/>
  <c r="R105" i="16" s="1"/>
  <c r="AF105" i="16"/>
  <c r="AL105" i="16" s="1"/>
  <c r="Q105" i="16"/>
  <c r="I106" i="16"/>
  <c r="J20" i="16"/>
  <c r="S20" i="16" s="1"/>
  <c r="M36" i="16"/>
  <c r="M35" i="16" s="1"/>
  <c r="J41" i="16"/>
  <c r="S41" i="16" s="1"/>
  <c r="J43" i="16"/>
  <c r="S43" i="16" s="1"/>
  <c r="K63" i="16"/>
  <c r="J76" i="16"/>
  <c r="S76" i="16" s="1"/>
  <c r="J79" i="16"/>
  <c r="S79" i="16" s="1"/>
  <c r="J95" i="16"/>
  <c r="S95" i="16" s="1"/>
  <c r="K98" i="16"/>
  <c r="K97" i="16" s="1"/>
  <c r="O31" i="16"/>
  <c r="P55" i="16"/>
  <c r="O85" i="16"/>
  <c r="U85" i="16"/>
  <c r="U84" i="16" s="1"/>
  <c r="AN19" i="16"/>
  <c r="AN21" i="16"/>
  <c r="G21" i="16"/>
  <c r="R21" i="16" s="1"/>
  <c r="AF28" i="16"/>
  <c r="AL28" i="16" s="1"/>
  <c r="O28" i="16"/>
  <c r="AK30" i="16"/>
  <c r="J30" i="16"/>
  <c r="S30" i="16" s="1"/>
  <c r="BC60" i="16"/>
  <c r="AK72" i="16"/>
  <c r="J72" i="16"/>
  <c r="S72" i="16" s="1"/>
  <c r="BG93" i="16"/>
  <c r="I40" i="16"/>
  <c r="O93" i="16"/>
  <c r="P19" i="16"/>
  <c r="AO34" i="16"/>
  <c r="I34" i="16"/>
  <c r="BC36" i="16"/>
  <c r="AT35" i="16"/>
  <c r="BC35" i="16" s="1"/>
  <c r="Q37" i="16"/>
  <c r="AF38" i="16"/>
  <c r="AL38" i="16" s="1"/>
  <c r="O38" i="16"/>
  <c r="J39" i="16"/>
  <c r="S39" i="16" s="1"/>
  <c r="J49" i="16"/>
  <c r="S49" i="16" s="1"/>
  <c r="AK49" i="16"/>
  <c r="J58" i="16"/>
  <c r="S58" i="16" s="1"/>
  <c r="AK58" i="16"/>
  <c r="AO59" i="16"/>
  <c r="I59" i="16"/>
  <c r="O60" i="16"/>
  <c r="M63" i="16"/>
  <c r="M62" i="16" s="1"/>
  <c r="AE62" i="16"/>
  <c r="M81" i="16"/>
  <c r="AK91" i="16"/>
  <c r="J91" i="16"/>
  <c r="S91" i="16" s="1"/>
  <c r="G92" i="16"/>
  <c r="R92" i="16" s="1"/>
  <c r="Q92" i="16"/>
  <c r="P105" i="16"/>
  <c r="K31" i="16"/>
  <c r="L36" i="16"/>
  <c r="L35" i="16" s="1"/>
  <c r="P36" i="16"/>
  <c r="P35" i="16" s="1"/>
  <c r="AO17" i="16"/>
  <c r="AO16" i="16" s="1"/>
  <c r="AA16" i="16"/>
  <c r="U17" i="16"/>
  <c r="U16" i="16" s="1"/>
  <c r="Z18" i="16"/>
  <c r="I18" i="16"/>
  <c r="M18" i="16"/>
  <c r="K20" i="16"/>
  <c r="K21" i="16"/>
  <c r="AF23" i="16"/>
  <c r="AL23" i="16" s="1"/>
  <c r="K24" i="16"/>
  <c r="K25" i="16"/>
  <c r="P26" i="16"/>
  <c r="P32" i="16"/>
  <c r="O36" i="16"/>
  <c r="G38" i="16"/>
  <c r="R38" i="16" s="1"/>
  <c r="Q38" i="16"/>
  <c r="U41" i="16"/>
  <c r="G42" i="16"/>
  <c r="R42" i="16" s="1"/>
  <c r="G43" i="16"/>
  <c r="R43" i="16" s="1"/>
  <c r="L43" i="16"/>
  <c r="Y47" i="16"/>
  <c r="AJ47" i="16" s="1"/>
  <c r="AY47" i="16"/>
  <c r="U48" i="16"/>
  <c r="U47" i="16" s="1"/>
  <c r="BG50" i="16"/>
  <c r="J51" i="16"/>
  <c r="S51" i="16" s="1"/>
  <c r="AK51" i="16"/>
  <c r="Q52" i="16"/>
  <c r="K53" i="16"/>
  <c r="K56" i="16"/>
  <c r="P56" i="16"/>
  <c r="J57" i="16"/>
  <c r="S57" i="16" s="1"/>
  <c r="U57" i="16"/>
  <c r="L58" i="16"/>
  <c r="AK67" i="16"/>
  <c r="AG77" i="16"/>
  <c r="K78" i="16"/>
  <c r="G87" i="16"/>
  <c r="R87" i="16" s="1"/>
  <c r="G88" i="16"/>
  <c r="R88" i="16" s="1"/>
  <c r="Q90" i="16"/>
  <c r="O96" i="16"/>
  <c r="BF96" i="16"/>
  <c r="AK98" i="16"/>
  <c r="J98" i="16"/>
  <c r="O98" i="16"/>
  <c r="AG97" i="16"/>
  <c r="Q102" i="16"/>
  <c r="J104" i="16"/>
  <c r="S104" i="16" s="1"/>
  <c r="G85" i="16"/>
  <c r="R85" i="16" s="1"/>
  <c r="L17" i="16"/>
  <c r="L16" i="16" s="1"/>
  <c r="K22" i="16"/>
  <c r="K32" i="16"/>
  <c r="J46" i="16"/>
  <c r="S46" i="16" s="1"/>
  <c r="J64" i="16"/>
  <c r="S64" i="16" s="1"/>
  <c r="I78" i="16"/>
  <c r="I80" i="16"/>
  <c r="J82" i="16"/>
  <c r="S82" i="16" s="1"/>
  <c r="K85" i="16"/>
  <c r="J99" i="16"/>
  <c r="S99" i="16" s="1"/>
  <c r="O57" i="16"/>
  <c r="P98" i="16"/>
  <c r="P97" i="16" s="1"/>
  <c r="AF17" i="16"/>
  <c r="AL17" i="16" s="1"/>
  <c r="O17" i="16"/>
  <c r="AX18" i="16"/>
  <c r="BD18" i="16" s="1"/>
  <c r="U20" i="16"/>
  <c r="U21" i="16"/>
  <c r="AN24" i="16"/>
  <c r="AX24" i="16"/>
  <c r="BD24" i="16" s="1"/>
  <c r="AN26" i="16"/>
  <c r="AF26" i="16"/>
  <c r="AL26" i="16" s="1"/>
  <c r="Q26" i="16"/>
  <c r="P29" i="16"/>
  <c r="P30" i="16"/>
  <c r="BF30" i="16"/>
  <c r="Q31" i="16"/>
  <c r="AO32" i="16"/>
  <c r="O32" i="16"/>
  <c r="AF33" i="16"/>
  <c r="AL33" i="16" s="1"/>
  <c r="O33" i="16"/>
  <c r="AX34" i="16"/>
  <c r="BD34" i="16" s="1"/>
  <c r="AO37" i="16"/>
  <c r="I37" i="16"/>
  <c r="M37" i="16"/>
  <c r="P38" i="16"/>
  <c r="K39" i="16"/>
  <c r="P39" i="16"/>
  <c r="AX40" i="16"/>
  <c r="BD40" i="16" s="1"/>
  <c r="O41" i="16"/>
  <c r="L42" i="16"/>
  <c r="AX42" i="16"/>
  <c r="BD42" i="16" s="1"/>
  <c r="Q43" i="16"/>
  <c r="J44" i="16"/>
  <c r="S44" i="16" s="1"/>
  <c r="I45" i="16"/>
  <c r="M45" i="16"/>
  <c r="U45" i="16"/>
  <c r="L46" i="16"/>
  <c r="Q49" i="16"/>
  <c r="O50" i="16"/>
  <c r="U50" i="16"/>
  <c r="L51" i="16"/>
  <c r="AR55" i="16"/>
  <c r="L56" i="16"/>
  <c r="Q58" i="16"/>
  <c r="P60" i="16"/>
  <c r="J63" i="16"/>
  <c r="O64" i="16"/>
  <c r="O65" i="16"/>
  <c r="I68" i="16"/>
  <c r="M68" i="16"/>
  <c r="U68" i="16"/>
  <c r="P69" i="16"/>
  <c r="AO70" i="16"/>
  <c r="AF74" i="16"/>
  <c r="AL74" i="16" s="1"/>
  <c r="I76" i="16"/>
  <c r="M76" i="16"/>
  <c r="U76" i="16"/>
  <c r="P78" i="16"/>
  <c r="AX79" i="16"/>
  <c r="BD79" i="16" s="1"/>
  <c r="J80" i="16"/>
  <c r="S80" i="16" s="1"/>
  <c r="P82" i="16"/>
  <c r="AK85" i="16"/>
  <c r="J85" i="16"/>
  <c r="BF85" i="16"/>
  <c r="BF84" i="16" s="1"/>
  <c r="O86" i="16"/>
  <c r="L87" i="16"/>
  <c r="K88" i="16"/>
  <c r="P88" i="16"/>
  <c r="P91" i="16"/>
  <c r="AX94" i="16"/>
  <c r="BD94" i="16" s="1"/>
  <c r="L95" i="16"/>
  <c r="K96" i="16"/>
  <c r="P96" i="16"/>
  <c r="O99" i="16"/>
  <c r="O100" i="16"/>
  <c r="O104" i="16"/>
  <c r="G17" i="16"/>
  <c r="R17" i="16" s="1"/>
  <c r="J17" i="16"/>
  <c r="I22" i="16"/>
  <c r="K28" i="16"/>
  <c r="J74" i="16"/>
  <c r="S74" i="16" s="1"/>
  <c r="I105" i="16"/>
  <c r="P17" i="16"/>
  <c r="P16" i="16" s="1"/>
  <c r="O70" i="16"/>
  <c r="P85" i="16"/>
  <c r="P84" i="16" s="1"/>
  <c r="AO19" i="16"/>
  <c r="Z20" i="16"/>
  <c r="AF20" i="16"/>
  <c r="AL20" i="16" s="1"/>
  <c r="AF21" i="16"/>
  <c r="AL21" i="16" s="1"/>
  <c r="O21" i="16"/>
  <c r="U24" i="16"/>
  <c r="AO25" i="16"/>
  <c r="U25" i="16"/>
  <c r="AO26" i="16"/>
  <c r="AN28" i="16"/>
  <c r="AX28" i="16"/>
  <c r="BD28" i="16" s="1"/>
  <c r="AF29" i="16"/>
  <c r="AL29" i="16" s="1"/>
  <c r="AN30" i="16"/>
  <c r="AF30" i="16"/>
  <c r="AL30" i="16" s="1"/>
  <c r="Q30" i="16"/>
  <c r="AR30" i="16"/>
  <c r="AK31" i="16"/>
  <c r="J31" i="16"/>
  <c r="S31" i="16" s="1"/>
  <c r="AX31" i="16"/>
  <c r="BD31" i="16" s="1"/>
  <c r="P33" i="16"/>
  <c r="K34" i="16"/>
  <c r="P34" i="16"/>
  <c r="BG34" i="16"/>
  <c r="AK36" i="16"/>
  <c r="J36" i="16"/>
  <c r="BF36" i="16"/>
  <c r="BF35" i="16" s="1"/>
  <c r="O37" i="16"/>
  <c r="U37" i="16"/>
  <c r="L38" i="16"/>
  <c r="Q39" i="16"/>
  <c r="BG39" i="16"/>
  <c r="J40" i="16"/>
  <c r="S40" i="16" s="1"/>
  <c r="BG41" i="16"/>
  <c r="U42" i="16"/>
  <c r="AX43" i="16"/>
  <c r="BD43" i="16" s="1"/>
  <c r="O45" i="16"/>
  <c r="K48" i="16"/>
  <c r="P48" i="16"/>
  <c r="P47" i="16" s="1"/>
  <c r="AX49" i="16"/>
  <c r="BD49" i="16" s="1"/>
  <c r="AX51" i="16"/>
  <c r="BD51" i="16" s="1"/>
  <c r="Q53" i="16"/>
  <c r="I55" i="16"/>
  <c r="M55" i="16"/>
  <c r="M54" i="16" s="1"/>
  <c r="U55" i="16"/>
  <c r="U54" i="16" s="1"/>
  <c r="AX56" i="16"/>
  <c r="BD56" i="16" s="1"/>
  <c r="K57" i="16"/>
  <c r="P57" i="16"/>
  <c r="BF59" i="16"/>
  <c r="L60" i="16"/>
  <c r="P65" i="16"/>
  <c r="Q67" i="16"/>
  <c r="O68" i="16"/>
  <c r="BF68" i="16"/>
  <c r="L69" i="16"/>
  <c r="K70" i="16"/>
  <c r="P70" i="16"/>
  <c r="AK71" i="16"/>
  <c r="J71" i="16"/>
  <c r="S71" i="16" s="1"/>
  <c r="I72" i="16"/>
  <c r="M72" i="16"/>
  <c r="O73" i="16"/>
  <c r="U73" i="16"/>
  <c r="K74" i="16"/>
  <c r="P74" i="16"/>
  <c r="J75" i="16"/>
  <c r="S75" i="16" s="1"/>
  <c r="O76" i="16"/>
  <c r="AD77" i="16"/>
  <c r="L78" i="16"/>
  <c r="L77" i="16" s="1"/>
  <c r="K79" i="16"/>
  <c r="P79" i="16"/>
  <c r="BG80" i="16"/>
  <c r="BF81" i="16"/>
  <c r="L82" i="16"/>
  <c r="AR86" i="16"/>
  <c r="U87" i="16"/>
  <c r="Q88" i="16"/>
  <c r="AX88" i="16"/>
  <c r="BD88" i="16" s="1"/>
  <c r="Q89" i="16"/>
  <c r="BG89" i="16"/>
  <c r="AX90" i="16"/>
  <c r="BD90" i="16" s="1"/>
  <c r="L91" i="16"/>
  <c r="AK93" i="16"/>
  <c r="J93" i="16"/>
  <c r="S93" i="16" s="1"/>
  <c r="BF93" i="16"/>
  <c r="I94" i="16"/>
  <c r="M94" i="16"/>
  <c r="U94" i="16"/>
  <c r="Z95" i="16"/>
  <c r="Q96" i="16"/>
  <c r="AI97" i="16"/>
  <c r="Q98" i="16"/>
  <c r="Q97" i="16" s="1"/>
  <c r="P100" i="16"/>
  <c r="AK102" i="16"/>
  <c r="J102" i="16"/>
  <c r="S102" i="16" s="1"/>
  <c r="P104" i="16"/>
  <c r="AK106" i="16"/>
  <c r="J106" i="16"/>
  <c r="G26" i="16"/>
  <c r="R26" i="16" s="1"/>
  <c r="G30" i="16"/>
  <c r="R30" i="16" s="1"/>
  <c r="K17" i="16"/>
  <c r="I19" i="16"/>
  <c r="K29" i="16"/>
  <c r="J32" i="16"/>
  <c r="S32" i="16" s="1"/>
  <c r="J33" i="16"/>
  <c r="S33" i="16" s="1"/>
  <c r="J34" i="16"/>
  <c r="S34" i="16" s="1"/>
  <c r="J52" i="16"/>
  <c r="S52" i="16" s="1"/>
  <c r="J68" i="16"/>
  <c r="S68" i="16" s="1"/>
  <c r="J70" i="16"/>
  <c r="S70" i="16" s="1"/>
  <c r="J86" i="16"/>
  <c r="S86" i="16" s="1"/>
  <c r="Q29" i="16"/>
  <c r="AN25" i="16"/>
  <c r="AN29" i="16"/>
  <c r="AR56" i="16"/>
  <c r="BG56" i="16"/>
  <c r="AR69" i="16"/>
  <c r="BG72" i="16"/>
  <c r="AR72" i="16"/>
  <c r="AX82" i="16"/>
  <c r="BD82" i="16" s="1"/>
  <c r="BG101" i="16"/>
  <c r="AR101" i="16"/>
  <c r="AF102" i="16"/>
  <c r="AL102" i="16" s="1"/>
  <c r="Z19" i="16"/>
  <c r="AF19" i="16"/>
  <c r="AL19" i="16" s="1"/>
  <c r="AN33" i="16"/>
  <c r="BF33" i="16"/>
  <c r="AR49" i="16"/>
  <c r="BC49" i="16"/>
  <c r="AR57" i="16"/>
  <c r="BC57" i="16"/>
  <c r="AR67" i="16"/>
  <c r="AF76" i="16"/>
  <c r="AL76" i="16" s="1"/>
  <c r="AO76" i="16"/>
  <c r="BF88" i="16"/>
  <c r="AK90" i="16"/>
  <c r="AC16" i="16"/>
  <c r="AG16" i="16"/>
  <c r="AM16" i="16"/>
  <c r="AY16" i="16"/>
  <c r="AR19" i="16"/>
  <c r="AO20" i="16"/>
  <c r="AR20" i="16"/>
  <c r="AN23" i="16"/>
  <c r="AO24" i="16"/>
  <c r="AN27" i="16"/>
  <c r="AO28" i="16"/>
  <c r="AO30" i="16"/>
  <c r="AX30" i="16"/>
  <c r="BD30" i="16" s="1"/>
  <c r="AN31" i="16"/>
  <c r="BF32" i="16"/>
  <c r="AX33" i="16"/>
  <c r="BD33" i="16" s="1"/>
  <c r="AB35" i="16"/>
  <c r="AK35" i="16" s="1"/>
  <c r="BG36" i="16"/>
  <c r="BG35" i="16" s="1"/>
  <c r="AR41" i="16"/>
  <c r="AX41" i="16"/>
  <c r="BD41" i="16" s="1"/>
  <c r="AR43" i="16"/>
  <c r="AR44" i="16"/>
  <c r="AM47" i="16"/>
  <c r="AR51" i="16"/>
  <c r="Z59" i="16"/>
  <c r="AK63" i="16"/>
  <c r="AB62" i="16"/>
  <c r="AK62" i="16" s="1"/>
  <c r="BF63" i="16"/>
  <c r="BF62" i="16" s="1"/>
  <c r="AR64" i="16"/>
  <c r="BG64" i="16"/>
  <c r="AN73" i="16"/>
  <c r="AK75" i="16"/>
  <c r="AC77" i="16"/>
  <c r="AZ84" i="16"/>
  <c r="AK94" i="16"/>
  <c r="AN100" i="16"/>
  <c r="AR48" i="16"/>
  <c r="AR47" i="16" s="1"/>
  <c r="BG48" i="16"/>
  <c r="BG47" i="16" s="1"/>
  <c r="AK55" i="16"/>
  <c r="AR60" i="16"/>
  <c r="BG60" i="16"/>
  <c r="AR95" i="16"/>
  <c r="BC95" i="16"/>
  <c r="AK103" i="16"/>
  <c r="AN17" i="16"/>
  <c r="AN16" i="16" s="1"/>
  <c r="BF20" i="16"/>
  <c r="BF29" i="16"/>
  <c r="AR39" i="16"/>
  <c r="AR17" i="16"/>
  <c r="AR16" i="16" s="1"/>
  <c r="AW16" i="16"/>
  <c r="AW14" i="16" s="1"/>
  <c r="AO18" i="16"/>
  <c r="AR18" i="16"/>
  <c r="AX21" i="16"/>
  <c r="BD21" i="16" s="1"/>
  <c r="AO23" i="16"/>
  <c r="BF23" i="16"/>
  <c r="AX25" i="16"/>
  <c r="BD25" i="16" s="1"/>
  <c r="AO27" i="16"/>
  <c r="BF27" i="16"/>
  <c r="AO29" i="16"/>
  <c r="AX29" i="16"/>
  <c r="BD29" i="16" s="1"/>
  <c r="BF31" i="16"/>
  <c r="AF32" i="16"/>
  <c r="AL32" i="16" s="1"/>
  <c r="AR32" i="16"/>
  <c r="BG33" i="16"/>
  <c r="AR34" i="16"/>
  <c r="AU35" i="16"/>
  <c r="AY35" i="16"/>
  <c r="BF37" i="16"/>
  <c r="AR42" i="16"/>
  <c r="AK44" i="16"/>
  <c r="AS47" i="16"/>
  <c r="AR50" i="16"/>
  <c r="BF52" i="16"/>
  <c r="AR58" i="16"/>
  <c r="AR65" i="16"/>
  <c r="BC65" i="16"/>
  <c r="BF66" i="16"/>
  <c r="BC69" i="16"/>
  <c r="AN104" i="16"/>
  <c r="AR45" i="16"/>
  <c r="AX45" i="16"/>
  <c r="BD45" i="16" s="1"/>
  <c r="AX46" i="16"/>
  <c r="BD46" i="16" s="1"/>
  <c r="BF48" i="16"/>
  <c r="BF47" i="16" s="1"/>
  <c r="AX50" i="16"/>
  <c r="BD50" i="16" s="1"/>
  <c r="AR53" i="16"/>
  <c r="AX53" i="16"/>
  <c r="BD53" i="16" s="1"/>
  <c r="BC55" i="16"/>
  <c r="BF56" i="16"/>
  <c r="AX58" i="16"/>
  <c r="BD58" i="16" s="1"/>
  <c r="BC61" i="16"/>
  <c r="BC63" i="16"/>
  <c r="BF64" i="16"/>
  <c r="BF65" i="16"/>
  <c r="BG70" i="16"/>
  <c r="BG71" i="16"/>
  <c r="AN76" i="16"/>
  <c r="BF79" i="16"/>
  <c r="BF83" i="16"/>
  <c r="AR88" i="16"/>
  <c r="Z89" i="16"/>
  <c r="AX89" i="16"/>
  <c r="BD89" i="16" s="1"/>
  <c r="BG90" i="16"/>
  <c r="AR92" i="16"/>
  <c r="AC97" i="16"/>
  <c r="AK99" i="16"/>
  <c r="AR100" i="16"/>
  <c r="AR104" i="16"/>
  <c r="BG104" i="16"/>
  <c r="AR106" i="16"/>
  <c r="BG106" i="16"/>
  <c r="BF50" i="16"/>
  <c r="AX52" i="16"/>
  <c r="BD52" i="16" s="1"/>
  <c r="AX55" i="16"/>
  <c r="BD55" i="16" s="1"/>
  <c r="BF58" i="16"/>
  <c r="Z61" i="16"/>
  <c r="AX66" i="16"/>
  <c r="BD66" i="16" s="1"/>
  <c r="AX68" i="16"/>
  <c r="BD68" i="16" s="1"/>
  <c r="AF71" i="16"/>
  <c r="AL71" i="16" s="1"/>
  <c r="AO73" i="16"/>
  <c r="BF73" i="16"/>
  <c r="AX73" i="16"/>
  <c r="BD73" i="16" s="1"/>
  <c r="BF80" i="16"/>
  <c r="AX85" i="16"/>
  <c r="BD85" i="16" s="1"/>
  <c r="AK87" i="16"/>
  <c r="AK89" i="16"/>
  <c r="AR94" i="16"/>
  <c r="BG94" i="16"/>
  <c r="AO101" i="16"/>
  <c r="Z101" i="16"/>
  <c r="AO106" i="16"/>
  <c r="Z106" i="16"/>
  <c r="AX75" i="16"/>
  <c r="BD75" i="16" s="1"/>
  <c r="BF76" i="16"/>
  <c r="AN79" i="16"/>
  <c r="AF80" i="16"/>
  <c r="AL80" i="16" s="1"/>
  <c r="BG82" i="16"/>
  <c r="BG83" i="16"/>
  <c r="BF89" i="16"/>
  <c r="Z91" i="16"/>
  <c r="BC91" i="16"/>
  <c r="AX92" i="16"/>
  <c r="BD92" i="16" s="1"/>
  <c r="AO93" i="16"/>
  <c r="BF100" i="16"/>
  <c r="AX74" i="16"/>
  <c r="BD74" i="16" s="1"/>
  <c r="BG76" i="16"/>
  <c r="AO86" i="16"/>
  <c r="BG86" i="16"/>
  <c r="BF92" i="16"/>
  <c r="AX96" i="16"/>
  <c r="BD96" i="16" s="1"/>
  <c r="BG98" i="16"/>
  <c r="AX99" i="16"/>
  <c r="BD99" i="16" s="1"/>
  <c r="AF103" i="16"/>
  <c r="AL103" i="16" s="1"/>
  <c r="BG17" i="16"/>
  <c r="BG16" i="16" s="1"/>
  <c r="AK18" i="16"/>
  <c r="BF18" i="16"/>
  <c r="AX20" i="16"/>
  <c r="BD20" i="16" s="1"/>
  <c r="BF21" i="16"/>
  <c r="AK22" i="16"/>
  <c r="Z22" i="16"/>
  <c r="AR22" i="16"/>
  <c r="BG22" i="16"/>
  <c r="AX23" i="16"/>
  <c r="BD23" i="16" s="1"/>
  <c r="BF25" i="16"/>
  <c r="AK26" i="16"/>
  <c r="Z26" i="16"/>
  <c r="AR26" i="16"/>
  <c r="BG26" i="16"/>
  <c r="AX27" i="16"/>
  <c r="BD27" i="16" s="1"/>
  <c r="AU16" i="16"/>
  <c r="AK17" i="16"/>
  <c r="BF17" i="16"/>
  <c r="BF16" i="16" s="1"/>
  <c r="AX19" i="16"/>
  <c r="BD19" i="16" s="1"/>
  <c r="AN20" i="16"/>
  <c r="BG20" i="16"/>
  <c r="AK21" i="16"/>
  <c r="Z21" i="16"/>
  <c r="AR21" i="16"/>
  <c r="BG21" i="16"/>
  <c r="AX22" i="16"/>
  <c r="BD22" i="16" s="1"/>
  <c r="BF24" i="16"/>
  <c r="AK25" i="16"/>
  <c r="Z25" i="16"/>
  <c r="AR25" i="16"/>
  <c r="BG25" i="16"/>
  <c r="AX26" i="16"/>
  <c r="BD26" i="16" s="1"/>
  <c r="BF28" i="16"/>
  <c r="AK20" i="16"/>
  <c r="AK24" i="16"/>
  <c r="Z24" i="16"/>
  <c r="AR24" i="16"/>
  <c r="BG24" i="16"/>
  <c r="AK28" i="16"/>
  <c r="Z28" i="16"/>
  <c r="AR28" i="16"/>
  <c r="BG28" i="16"/>
  <c r="AS16" i="16"/>
  <c r="AN18" i="16"/>
  <c r="BG18" i="16"/>
  <c r="AK19" i="16"/>
  <c r="BF19" i="16"/>
  <c r="AK23" i="16"/>
  <c r="Z23" i="16"/>
  <c r="AR23" i="16"/>
  <c r="BG23" i="16"/>
  <c r="AK27" i="16"/>
  <c r="Z27" i="16"/>
  <c r="AR27" i="16"/>
  <c r="BG27" i="16"/>
  <c r="Z29" i="16"/>
  <c r="BG29" i="16"/>
  <c r="Z30" i="16"/>
  <c r="BG30" i="16"/>
  <c r="Z31" i="16"/>
  <c r="BG31" i="16"/>
  <c r="Z32" i="16"/>
  <c r="BG32" i="16"/>
  <c r="AF34" i="16"/>
  <c r="AL34" i="16" s="1"/>
  <c r="AN36" i="16"/>
  <c r="AN35" i="16" s="1"/>
  <c r="Z37" i="16"/>
  <c r="AR37" i="16"/>
  <c r="AX38" i="16"/>
  <c r="BD38" i="16" s="1"/>
  <c r="AN39" i="16"/>
  <c r="AN41" i="16"/>
  <c r="AN43" i="16"/>
  <c r="AN45" i="16"/>
  <c r="AO48" i="16"/>
  <c r="AO47" i="16" s="1"/>
  <c r="Z48" i="16"/>
  <c r="Z47" i="16" s="1"/>
  <c r="BF49" i="16"/>
  <c r="AO50" i="16"/>
  <c r="Z50" i="16"/>
  <c r="BF51" i="16"/>
  <c r="AO52" i="16"/>
  <c r="Z52" i="16"/>
  <c r="BF53" i="16"/>
  <c r="BF55" i="16"/>
  <c r="BF54" i="16" s="1"/>
  <c r="AO56" i="16"/>
  <c r="Z56" i="16"/>
  <c r="BF57" i="16"/>
  <c r="AO58" i="16"/>
  <c r="Z58" i="16"/>
  <c r="AO60" i="16"/>
  <c r="Z60" i="16"/>
  <c r="AO61" i="16"/>
  <c r="BF61" i="16"/>
  <c r="AO63" i="16"/>
  <c r="Z63" i="16"/>
  <c r="AA62" i="16"/>
  <c r="AX63" i="16"/>
  <c r="BG63" i="16"/>
  <c r="BG62" i="16" s="1"/>
  <c r="BF67" i="16"/>
  <c r="AO68" i="16"/>
  <c r="Z68" i="16"/>
  <c r="AF75" i="16"/>
  <c r="AL75" i="16" s="1"/>
  <c r="BC81" i="16"/>
  <c r="Z82" i="16"/>
  <c r="AR82" i="16"/>
  <c r="BF82" i="16"/>
  <c r="AF85" i="16"/>
  <c r="AO103" i="16"/>
  <c r="Z103" i="16"/>
  <c r="AF106" i="16"/>
  <c r="AL106" i="16" s="1"/>
  <c r="AN106" i="16"/>
  <c r="AX106" i="16"/>
  <c r="BD106" i="16" s="1"/>
  <c r="AR33" i="16"/>
  <c r="Y35" i="16"/>
  <c r="AJ35" i="16" s="1"/>
  <c r="AI35" i="16"/>
  <c r="Z36" i="16"/>
  <c r="Z35" i="16" s="1"/>
  <c r="AR36" i="16"/>
  <c r="AR35" i="16" s="1"/>
  <c r="AF37" i="16"/>
  <c r="AL37" i="16" s="1"/>
  <c r="BF38" i="16"/>
  <c r="BG38" i="16"/>
  <c r="AO39" i="16"/>
  <c r="Z39" i="16"/>
  <c r="BF40" i="16"/>
  <c r="BG40" i="16"/>
  <c r="AO41" i="16"/>
  <c r="Z41" i="16"/>
  <c r="BF42" i="16"/>
  <c r="BG42" i="16"/>
  <c r="AO43" i="16"/>
  <c r="Z43" i="16"/>
  <c r="BF44" i="16"/>
  <c r="BG44" i="16"/>
  <c r="AO45" i="16"/>
  <c r="Z45" i="16"/>
  <c r="BF46" i="16"/>
  <c r="BG46" i="16"/>
  <c r="AA47" i="16"/>
  <c r="AE47" i="16"/>
  <c r="AN49" i="16"/>
  <c r="AN51" i="16"/>
  <c r="AN53" i="16"/>
  <c r="AC54" i="16"/>
  <c r="AY54" i="16"/>
  <c r="AN55" i="16"/>
  <c r="AN54" i="16" s="1"/>
  <c r="AN57" i="16"/>
  <c r="AN61" i="16"/>
  <c r="AO65" i="16"/>
  <c r="Z65" i="16"/>
  <c r="AX65" i="16"/>
  <c r="BD65" i="16" s="1"/>
  <c r="BG65" i="16"/>
  <c r="BF69" i="16"/>
  <c r="BC70" i="16"/>
  <c r="Z71" i="16"/>
  <c r="AO71" i="16"/>
  <c r="BF71" i="16"/>
  <c r="AF72" i="16"/>
  <c r="AL72" i="16" s="1"/>
  <c r="AO72" i="16"/>
  <c r="Y77" i="16"/>
  <c r="AJ77" i="16" s="1"/>
  <c r="AN78" i="16"/>
  <c r="AN77" i="16" s="1"/>
  <c r="AF81" i="16"/>
  <c r="AL81" i="16" s="1"/>
  <c r="AR89" i="16"/>
  <c r="BC89" i="16"/>
  <c r="BG91" i="16"/>
  <c r="AX91" i="16"/>
  <c r="BD91" i="16" s="1"/>
  <c r="AK101" i="16"/>
  <c r="Z33" i="16"/>
  <c r="AF36" i="16"/>
  <c r="AN38" i="16"/>
  <c r="AN40" i="16"/>
  <c r="AN42" i="16"/>
  <c r="AN44" i="16"/>
  <c r="AN46" i="16"/>
  <c r="AO49" i="16"/>
  <c r="Z49" i="16"/>
  <c r="AO51" i="16"/>
  <c r="Z51" i="16"/>
  <c r="AO53" i="16"/>
  <c r="Z53" i="16"/>
  <c r="AO55" i="16"/>
  <c r="AO54" i="16" s="1"/>
  <c r="Z55" i="16"/>
  <c r="Z54" i="16" s="1"/>
  <c r="AO57" i="16"/>
  <c r="Z57" i="16"/>
  <c r="AR59" i="16"/>
  <c r="BC59" i="16"/>
  <c r="AC62" i="16"/>
  <c r="AO64" i="16"/>
  <c r="Z64" i="16"/>
  <c r="AO67" i="16"/>
  <c r="Z67" i="16"/>
  <c r="AX67" i="16"/>
  <c r="BD67" i="16" s="1"/>
  <c r="BG67" i="16"/>
  <c r="AN75" i="16"/>
  <c r="BG75" i="16"/>
  <c r="AR75" i="16"/>
  <c r="AK76" i="16"/>
  <c r="AI84" i="16"/>
  <c r="BF103" i="16"/>
  <c r="AO104" i="16"/>
  <c r="Z104" i="16"/>
  <c r="AO33" i="16"/>
  <c r="Z34" i="16"/>
  <c r="AG35" i="16"/>
  <c r="AM35" i="16"/>
  <c r="AO36" i="16"/>
  <c r="AO35" i="16" s="1"/>
  <c r="AN37" i="16"/>
  <c r="AO38" i="16"/>
  <c r="Z38" i="16"/>
  <c r="BF39" i="16"/>
  <c r="AO40" i="16"/>
  <c r="Z40" i="16"/>
  <c r="BF41" i="16"/>
  <c r="AO42" i="16"/>
  <c r="Z42" i="16"/>
  <c r="BF43" i="16"/>
  <c r="AO44" i="16"/>
  <c r="Z44" i="16"/>
  <c r="BF45" i="16"/>
  <c r="AO46" i="16"/>
  <c r="Z46" i="16"/>
  <c r="AC47" i="16"/>
  <c r="AN48" i="16"/>
  <c r="AN47" i="16" s="1"/>
  <c r="BG49" i="16"/>
  <c r="AN50" i="16"/>
  <c r="BG51" i="16"/>
  <c r="AN52" i="16"/>
  <c r="BG53" i="16"/>
  <c r="AA54" i="16"/>
  <c r="AQ54" i="16"/>
  <c r="BG55" i="16"/>
  <c r="BG54" i="16" s="1"/>
  <c r="AN56" i="16"/>
  <c r="BG57" i="16"/>
  <c r="AN58" i="16"/>
  <c r="BG61" i="16"/>
  <c r="AX61" i="16"/>
  <c r="BD61" i="16" s="1"/>
  <c r="AY62" i="16"/>
  <c r="AO66" i="16"/>
  <c r="Z66" i="16"/>
  <c r="AO69" i="16"/>
  <c r="Z69" i="16"/>
  <c r="AF70" i="16"/>
  <c r="AL70" i="16" s="1"/>
  <c r="BF70" i="16"/>
  <c r="AN71" i="16"/>
  <c r="BG73" i="16"/>
  <c r="AR73" i="16"/>
  <c r="AK78" i="16"/>
  <c r="AB77" i="16"/>
  <c r="BG78" i="16"/>
  <c r="BG77" i="16" s="1"/>
  <c r="AS77" i="16"/>
  <c r="AR78" i="16"/>
  <c r="BC85" i="16"/>
  <c r="AT84" i="16"/>
  <c r="BC84" i="16" s="1"/>
  <c r="Z86" i="16"/>
  <c r="BF86" i="16"/>
  <c r="AN91" i="16"/>
  <c r="AN95" i="16"/>
  <c r="AO98" i="16"/>
  <c r="Z98" i="16"/>
  <c r="AA97" i="16"/>
  <c r="AE97" i="16"/>
  <c r="AO99" i="16"/>
  <c r="Z99" i="16"/>
  <c r="AN101" i="16"/>
  <c r="AF40" i="16"/>
  <c r="AL40" i="16" s="1"/>
  <c r="AF42" i="16"/>
  <c r="AL42" i="16" s="1"/>
  <c r="AF44" i="16"/>
  <c r="AL44" i="16" s="1"/>
  <c r="AF46" i="16"/>
  <c r="AL46" i="16" s="1"/>
  <c r="AF48" i="16"/>
  <c r="AF50" i="16"/>
  <c r="AL50" i="16" s="1"/>
  <c r="AF52" i="16"/>
  <c r="AL52" i="16" s="1"/>
  <c r="AF56" i="16"/>
  <c r="AL56" i="16" s="1"/>
  <c r="AF58" i="16"/>
  <c r="AL58" i="16" s="1"/>
  <c r="AF60" i="16"/>
  <c r="AL60" i="16" s="1"/>
  <c r="AN63" i="16"/>
  <c r="AN62" i="16" s="1"/>
  <c r="AN65" i="16"/>
  <c r="AN67" i="16"/>
  <c r="AN69" i="16"/>
  <c r="Z70" i="16"/>
  <c r="BF72" i="16"/>
  <c r="AK73" i="16"/>
  <c r="AN74" i="16"/>
  <c r="BF75" i="16"/>
  <c r="AX78" i="16"/>
  <c r="BA77" i="16"/>
  <c r="BG79" i="16"/>
  <c r="AR79" i="16"/>
  <c r="AN80" i="16"/>
  <c r="Z81" i="16"/>
  <c r="AO81" i="16"/>
  <c r="AN83" i="16"/>
  <c r="Z85" i="16"/>
  <c r="Z84" i="16" s="1"/>
  <c r="AA84" i="16"/>
  <c r="AO85" i="16"/>
  <c r="AO84" i="16" s="1"/>
  <c r="AE84" i="16"/>
  <c r="AN87" i="16"/>
  <c r="AN96" i="16"/>
  <c r="AF100" i="16"/>
  <c r="AL100" i="16" s="1"/>
  <c r="AX102" i="16"/>
  <c r="BD102" i="16" s="1"/>
  <c r="AF39" i="16"/>
  <c r="AL39" i="16" s="1"/>
  <c r="AF41" i="16"/>
  <c r="AL41" i="16" s="1"/>
  <c r="AF43" i="16"/>
  <c r="AL43" i="16" s="1"/>
  <c r="AF45" i="16"/>
  <c r="AL45" i="16" s="1"/>
  <c r="AG47" i="16"/>
  <c r="AF49" i="16"/>
  <c r="AL49" i="16" s="1"/>
  <c r="AF51" i="16"/>
  <c r="AL51" i="16" s="1"/>
  <c r="AF53" i="16"/>
  <c r="AL53" i="16" s="1"/>
  <c r="AD54" i="16"/>
  <c r="AI54" i="16"/>
  <c r="AF55" i="16"/>
  <c r="AF57" i="16"/>
  <c r="AL57" i="16" s="1"/>
  <c r="AN59" i="16"/>
  <c r="AN60" i="16"/>
  <c r="BF60" i="16"/>
  <c r="AN64" i="16"/>
  <c r="AN66" i="16"/>
  <c r="AN68" i="16"/>
  <c r="BG74" i="16"/>
  <c r="AR74" i="16"/>
  <c r="AF79" i="16"/>
  <c r="AL79" i="16" s="1"/>
  <c r="AK80" i="16"/>
  <c r="AN81" i="16"/>
  <c r="AF82" i="16"/>
  <c r="AL82" i="16" s="1"/>
  <c r="Z83" i="16"/>
  <c r="AO83" i="16"/>
  <c r="AC84" i="16"/>
  <c r="AN85" i="16"/>
  <c r="AN84" i="16" s="1"/>
  <c r="AF86" i="16"/>
  <c r="AL86" i="16" s="1"/>
  <c r="Z87" i="16"/>
  <c r="AO87" i="16"/>
  <c r="BG87" i="16"/>
  <c r="AR87" i="16"/>
  <c r="BG95" i="16"/>
  <c r="AX95" i="16"/>
  <c r="BD95" i="16" s="1"/>
  <c r="AF96" i="16"/>
  <c r="AL96" i="16" s="1"/>
  <c r="AF59" i="16"/>
  <c r="AL59" i="16" s="1"/>
  <c r="AF61" i="16"/>
  <c r="AL61" i="16" s="1"/>
  <c r="AD62" i="16"/>
  <c r="AI62" i="16"/>
  <c r="AT62" i="16"/>
  <c r="BC62" i="16" s="1"/>
  <c r="AF63" i="16"/>
  <c r="AF65" i="16"/>
  <c r="AL65" i="16" s="1"/>
  <c r="AF67" i="16"/>
  <c r="AL67" i="16" s="1"/>
  <c r="AF69" i="16"/>
  <c r="AL69" i="16" s="1"/>
  <c r="BF74" i="16"/>
  <c r="Z75" i="16"/>
  <c r="AO75" i="16"/>
  <c r="AR76" i="16"/>
  <c r="AM77" i="16"/>
  <c r="AV77" i="16"/>
  <c r="AV14" i="16" s="1"/>
  <c r="BF78" i="16"/>
  <c r="BF77" i="16" s="1"/>
  <c r="Z79" i="16"/>
  <c r="AO79" i="16"/>
  <c r="AR80" i="16"/>
  <c r="BG81" i="16"/>
  <c r="AR81" i="16"/>
  <c r="AN82" i="16"/>
  <c r="AF83" i="16"/>
  <c r="AL83" i="16" s="1"/>
  <c r="BG85" i="16"/>
  <c r="BG84" i="16" s="1"/>
  <c r="AR85" i="16"/>
  <c r="AR84" i="16" s="1"/>
  <c r="AS84" i="16"/>
  <c r="AN86" i="16"/>
  <c r="AF87" i="16"/>
  <c r="AL87" i="16" s="1"/>
  <c r="AN88" i="16"/>
  <c r="AF92" i="16"/>
  <c r="AL92" i="16" s="1"/>
  <c r="AO94" i="16"/>
  <c r="Z94" i="16"/>
  <c r="AO95" i="16"/>
  <c r="BF95" i="16"/>
  <c r="AF64" i="16"/>
  <c r="AL64" i="16" s="1"/>
  <c r="AF66" i="16"/>
  <c r="AL66" i="16" s="1"/>
  <c r="AF68" i="16"/>
  <c r="AL68" i="16" s="1"/>
  <c r="AN70" i="16"/>
  <c r="AN72" i="16"/>
  <c r="Z73" i="16"/>
  <c r="Z74" i="16"/>
  <c r="AO74" i="16"/>
  <c r="Z78" i="16"/>
  <c r="Z77" i="16" s="1"/>
  <c r="AO78" i="16"/>
  <c r="AO77" i="16" s="1"/>
  <c r="AK88" i="16"/>
  <c r="AF88" i="16"/>
  <c r="AL88" i="16" s="1"/>
  <c r="AO90" i="16"/>
  <c r="Z90" i="16"/>
  <c r="BF91" i="16"/>
  <c r="AN92" i="16"/>
  <c r="AR93" i="16"/>
  <c r="BC93" i="16"/>
  <c r="AF99" i="16"/>
  <c r="AL99" i="16" s="1"/>
  <c r="BG99" i="16"/>
  <c r="AR99" i="16"/>
  <c r="AO100" i="16"/>
  <c r="Z100" i="16"/>
  <c r="AN102" i="16"/>
  <c r="AK105" i="16"/>
  <c r="Z105" i="16"/>
  <c r="BG69" i="16"/>
  <c r="Z72" i="16"/>
  <c r="Z76" i="16"/>
  <c r="Z80" i="16"/>
  <c r="AO88" i="16"/>
  <c r="Z88" i="16"/>
  <c r="BG88" i="16"/>
  <c r="AF90" i="16"/>
  <c r="AL90" i="16" s="1"/>
  <c r="AN93" i="16"/>
  <c r="AN94" i="16"/>
  <c r="BF94" i="16"/>
  <c r="AO96" i="16"/>
  <c r="Z96" i="16"/>
  <c r="BG96" i="16"/>
  <c r="BF99" i="16"/>
  <c r="AX100" i="16"/>
  <c r="BD100" i="16" s="1"/>
  <c r="BG100" i="16"/>
  <c r="AO102" i="16"/>
  <c r="BG102" i="16"/>
  <c r="AR102" i="16"/>
  <c r="BG103" i="16"/>
  <c r="AR103" i="16"/>
  <c r="AX104" i="16"/>
  <c r="BD104" i="16" s="1"/>
  <c r="AN89" i="16"/>
  <c r="AN90" i="16"/>
  <c r="BF90" i="16"/>
  <c r="AO92" i="16"/>
  <c r="Z92" i="16"/>
  <c r="AF94" i="16"/>
  <c r="AL94" i="16" s="1"/>
  <c r="AF98" i="16"/>
  <c r="AN98" i="16"/>
  <c r="AN97" i="16" s="1"/>
  <c r="AX98" i="16"/>
  <c r="AY97" i="16"/>
  <c r="AK100" i="16"/>
  <c r="AN103" i="16"/>
  <c r="BF105" i="16"/>
  <c r="AF89" i="16"/>
  <c r="AL89" i="16" s="1"/>
  <c r="AF91" i="16"/>
  <c r="AL91" i="16" s="1"/>
  <c r="AF93" i="16"/>
  <c r="AL93" i="16" s="1"/>
  <c r="AF95" i="16"/>
  <c r="AL95" i="16" s="1"/>
  <c r="AN99" i="16"/>
  <c r="BF101" i="16"/>
  <c r="AK104" i="16"/>
  <c r="BF104" i="16"/>
  <c r="AN105" i="16"/>
  <c r="BF98" i="16"/>
  <c r="BF97" i="16" s="1"/>
  <c r="AX101" i="16"/>
  <c r="BD101" i="16" s="1"/>
  <c r="BF102" i="16"/>
  <c r="AX105" i="16"/>
  <c r="BD105" i="16" s="1"/>
  <c r="BF106" i="16"/>
  <c r="AO62" i="16" l="1"/>
  <c r="P54" i="16"/>
  <c r="AR97" i="16"/>
  <c r="L84" i="16"/>
  <c r="Z97" i="16"/>
  <c r="AR77" i="16"/>
  <c r="AF77" i="16"/>
  <c r="AL77" i="16" s="1"/>
  <c r="AO97" i="16"/>
  <c r="P77" i="16"/>
  <c r="AR54" i="16"/>
  <c r="O97" i="16"/>
  <c r="K77" i="16"/>
  <c r="L97" i="16"/>
  <c r="P62" i="16"/>
  <c r="Q62" i="16"/>
  <c r="Z62" i="16"/>
  <c r="BG97" i="16"/>
  <c r="L54" i="16"/>
  <c r="AR62" i="16"/>
  <c r="Q84" i="16"/>
  <c r="L62" i="16"/>
  <c r="BD48" i="16"/>
  <c r="N64" i="16"/>
  <c r="T64" i="16" s="1"/>
  <c r="N50" i="16"/>
  <c r="T50" i="16" s="1"/>
  <c r="N30" i="16"/>
  <c r="T30" i="16" s="1"/>
  <c r="N43" i="16"/>
  <c r="T43" i="16" s="1"/>
  <c r="BA14" i="16"/>
  <c r="N80" i="16"/>
  <c r="T80" i="16" s="1"/>
  <c r="N59" i="16"/>
  <c r="T59" i="16" s="1"/>
  <c r="N42" i="16"/>
  <c r="T42" i="16" s="1"/>
  <c r="N33" i="16"/>
  <c r="T33" i="16" s="1"/>
  <c r="N105" i="16"/>
  <c r="T105" i="16" s="1"/>
  <c r="N20" i="16"/>
  <c r="T20" i="16" s="1"/>
  <c r="N23" i="16"/>
  <c r="T23" i="16" s="1"/>
  <c r="AX16" i="16"/>
  <c r="BD16" i="16" s="1"/>
  <c r="N94" i="16"/>
  <c r="T94" i="16" s="1"/>
  <c r="N88" i="16"/>
  <c r="T88" i="16" s="1"/>
  <c r="N69" i="16"/>
  <c r="T69" i="16" s="1"/>
  <c r="N44" i="16"/>
  <c r="T44" i="16" s="1"/>
  <c r="N76" i="16"/>
  <c r="T76" i="16" s="1"/>
  <c r="N60" i="16"/>
  <c r="T60" i="16" s="1"/>
  <c r="N101" i="16"/>
  <c r="T101" i="16" s="1"/>
  <c r="N40" i="16"/>
  <c r="T40" i="16" s="1"/>
  <c r="N26" i="16"/>
  <c r="T26" i="16" s="1"/>
  <c r="H105" i="16"/>
  <c r="N92" i="16"/>
  <c r="T92" i="16" s="1"/>
  <c r="N83" i="16"/>
  <c r="T83" i="16" s="1"/>
  <c r="N52" i="16"/>
  <c r="T52" i="16" s="1"/>
  <c r="W101" i="16"/>
  <c r="N29" i="16"/>
  <c r="T29" i="16" s="1"/>
  <c r="AX35" i="16"/>
  <c r="BD35" i="16" s="1"/>
  <c r="BD36" i="16"/>
  <c r="AE14" i="16"/>
  <c r="N39" i="16"/>
  <c r="T39" i="16" s="1"/>
  <c r="N93" i="16"/>
  <c r="T93" i="16" s="1"/>
  <c r="W19" i="16"/>
  <c r="H106" i="16"/>
  <c r="N49" i="16"/>
  <c r="T49" i="16" s="1"/>
  <c r="N25" i="16"/>
  <c r="T25" i="16" s="1"/>
  <c r="N66" i="16"/>
  <c r="T66" i="16" s="1"/>
  <c r="N87" i="16"/>
  <c r="T87" i="16" s="1"/>
  <c r="N56" i="16"/>
  <c r="T56" i="16" s="1"/>
  <c r="AD14" i="16"/>
  <c r="N90" i="16"/>
  <c r="T90" i="16" s="1"/>
  <c r="AX84" i="16"/>
  <c r="BD84" i="16" s="1"/>
  <c r="N22" i="16"/>
  <c r="T22" i="16" s="1"/>
  <c r="N75" i="16"/>
  <c r="T75" i="16" s="1"/>
  <c r="G97" i="16"/>
  <c r="R97" i="16" s="1"/>
  <c r="N81" i="16"/>
  <c r="T81" i="16" s="1"/>
  <c r="AI14" i="16"/>
  <c r="N86" i="16"/>
  <c r="T86" i="16" s="1"/>
  <c r="AZ14" i="16"/>
  <c r="N51" i="16"/>
  <c r="T51" i="16" s="1"/>
  <c r="AU14" i="16"/>
  <c r="N89" i="16"/>
  <c r="T89" i="16" s="1"/>
  <c r="N91" i="16"/>
  <c r="T91" i="16" s="1"/>
  <c r="N27" i="16"/>
  <c r="T27" i="16" s="1"/>
  <c r="N19" i="16"/>
  <c r="T19" i="16" s="1"/>
  <c r="AS14" i="16"/>
  <c r="AJ16" i="16"/>
  <c r="Y14" i="16"/>
  <c r="AJ14" i="16" s="1"/>
  <c r="AN14" i="16"/>
  <c r="AG14" i="16"/>
  <c r="BB16" i="16"/>
  <c r="AQ14" i="16"/>
  <c r="BB14" i="16" s="1"/>
  <c r="AM14" i="16"/>
  <c r="M14" i="16"/>
  <c r="BF14" i="16"/>
  <c r="BG14" i="16"/>
  <c r="AC14" i="16"/>
  <c r="N70" i="16"/>
  <c r="T70" i="16" s="1"/>
  <c r="U14" i="16"/>
  <c r="BC16" i="16"/>
  <c r="AT14" i="16"/>
  <c r="BC14" i="16" s="1"/>
  <c r="AB14" i="16"/>
  <c r="AK14" i="16" s="1"/>
  <c r="AY14" i="16"/>
  <c r="AA14" i="16"/>
  <c r="BB54" i="16"/>
  <c r="V23" i="16"/>
  <c r="AF16" i="16"/>
  <c r="N68" i="16"/>
  <c r="T68" i="16" s="1"/>
  <c r="AX54" i="16"/>
  <c r="BD54" i="16" s="1"/>
  <c r="N67" i="16"/>
  <c r="T67" i="16" s="1"/>
  <c r="N41" i="16"/>
  <c r="T41" i="16" s="1"/>
  <c r="N96" i="16"/>
  <c r="T96" i="16" s="1"/>
  <c r="J54" i="16"/>
  <c r="S54" i="16" s="1"/>
  <c r="W104" i="16"/>
  <c r="N31" i="16"/>
  <c r="T31" i="16" s="1"/>
  <c r="W17" i="16"/>
  <c r="W16" i="16" s="1"/>
  <c r="V27" i="16"/>
  <c r="G16" i="16"/>
  <c r="V25" i="16"/>
  <c r="N21" i="16"/>
  <c r="T21" i="16" s="1"/>
  <c r="N53" i="16"/>
  <c r="T53" i="16" s="1"/>
  <c r="W20" i="16"/>
  <c r="N99" i="16"/>
  <c r="T99" i="16" s="1"/>
  <c r="N95" i="16"/>
  <c r="T95" i="16" s="1"/>
  <c r="V80" i="16"/>
  <c r="V64" i="16"/>
  <c r="V30" i="16"/>
  <c r="N28" i="16"/>
  <c r="T28" i="16" s="1"/>
  <c r="N46" i="16"/>
  <c r="T46" i="16" s="1"/>
  <c r="AL78" i="16"/>
  <c r="N102" i="16"/>
  <c r="T102" i="16" s="1"/>
  <c r="N38" i="16"/>
  <c r="T38" i="16" s="1"/>
  <c r="H20" i="16"/>
  <c r="N34" i="16"/>
  <c r="T34" i="16" s="1"/>
  <c r="V19" i="16"/>
  <c r="W106" i="16"/>
  <c r="V70" i="16"/>
  <c r="N58" i="16"/>
  <c r="T58" i="16" s="1"/>
  <c r="V20" i="16"/>
  <c r="V83" i="16"/>
  <c r="N71" i="16"/>
  <c r="T71" i="16" s="1"/>
  <c r="N104" i="16"/>
  <c r="T104" i="16" s="1"/>
  <c r="S106" i="16"/>
  <c r="V68" i="16"/>
  <c r="V37" i="16"/>
  <c r="V31" i="16"/>
  <c r="N24" i="16"/>
  <c r="T24" i="16" s="1"/>
  <c r="V98" i="16"/>
  <c r="V97" i="16" s="1"/>
  <c r="V106" i="16"/>
  <c r="V21" i="16"/>
  <c r="V22" i="16"/>
  <c r="W21" i="16"/>
  <c r="V32" i="16"/>
  <c r="N32" i="16"/>
  <c r="T32" i="16" s="1"/>
  <c r="S63" i="16"/>
  <c r="J62" i="16"/>
  <c r="S62" i="16" s="1"/>
  <c r="V26" i="16"/>
  <c r="V73" i="16"/>
  <c r="N73" i="16"/>
  <c r="T73" i="16" s="1"/>
  <c r="V18" i="16"/>
  <c r="V67" i="16"/>
  <c r="V49" i="16"/>
  <c r="V104" i="16"/>
  <c r="V90" i="16"/>
  <c r="V89" i="16"/>
  <c r="N61" i="16"/>
  <c r="T61" i="16" s="1"/>
  <c r="N82" i="16"/>
  <c r="T82" i="16" s="1"/>
  <c r="N79" i="16"/>
  <c r="T79" i="16" s="1"/>
  <c r="V66" i="16"/>
  <c r="V101" i="16"/>
  <c r="V56" i="16"/>
  <c r="V52" i="16"/>
  <c r="V79" i="16"/>
  <c r="V51" i="16"/>
  <c r="N103" i="16"/>
  <c r="T103" i="16" s="1"/>
  <c r="V28" i="16"/>
  <c r="S48" i="16"/>
  <c r="J47" i="16"/>
  <c r="S47" i="16" s="1"/>
  <c r="V94" i="16"/>
  <c r="V93" i="16"/>
  <c r="V103" i="16"/>
  <c r="V53" i="16"/>
  <c r="H18" i="16"/>
  <c r="V99" i="16"/>
  <c r="N100" i="16"/>
  <c r="T100" i="16" s="1"/>
  <c r="H91" i="16"/>
  <c r="V71" i="16"/>
  <c r="V102" i="16"/>
  <c r="V60" i="16"/>
  <c r="V59" i="16"/>
  <c r="N45" i="16"/>
  <c r="T45" i="16" s="1"/>
  <c r="V95" i="16"/>
  <c r="V42" i="16"/>
  <c r="N72" i="16"/>
  <c r="T72" i="16" s="1"/>
  <c r="V24" i="16"/>
  <c r="V29" i="16"/>
  <c r="W92" i="16"/>
  <c r="H92" i="16"/>
  <c r="W93" i="16"/>
  <c r="H93" i="16"/>
  <c r="W83" i="16"/>
  <c r="H83" i="16"/>
  <c r="W59" i="16"/>
  <c r="H59" i="16"/>
  <c r="G62" i="16"/>
  <c r="R62" i="16" s="1"/>
  <c r="V63" i="16"/>
  <c r="V62" i="16" s="1"/>
  <c r="H98" i="16"/>
  <c r="W98" i="16"/>
  <c r="W97" i="16" s="1"/>
  <c r="I97" i="16"/>
  <c r="V91" i="16"/>
  <c r="V86" i="16"/>
  <c r="S85" i="16"/>
  <c r="J84" i="16"/>
  <c r="S84" i="16" s="1"/>
  <c r="AK77" i="16"/>
  <c r="G47" i="16"/>
  <c r="R47" i="16" s="1"/>
  <c r="V48" i="16"/>
  <c r="V47" i="16" s="1"/>
  <c r="H34" i="16"/>
  <c r="W34" i="16"/>
  <c r="W67" i="16"/>
  <c r="H67" i="16"/>
  <c r="W57" i="16"/>
  <c r="H57" i="16"/>
  <c r="V46" i="16"/>
  <c r="V38" i="16"/>
  <c r="O35" i="16"/>
  <c r="N36" i="16"/>
  <c r="W65" i="16"/>
  <c r="H65" i="16"/>
  <c r="N85" i="16"/>
  <c r="O84" i="16"/>
  <c r="W63" i="16"/>
  <c r="I62" i="16"/>
  <c r="H63" i="16"/>
  <c r="W60" i="16"/>
  <c r="H60" i="16"/>
  <c r="W58" i="16"/>
  <c r="H58" i="16"/>
  <c r="W56" i="16"/>
  <c r="H56" i="16"/>
  <c r="K54" i="16"/>
  <c r="V39" i="16"/>
  <c r="H30" i="16"/>
  <c r="W30" i="16"/>
  <c r="H23" i="16"/>
  <c r="W23" i="16"/>
  <c r="H21" i="16"/>
  <c r="J16" i="16"/>
  <c r="S17" i="16"/>
  <c r="H102" i="16"/>
  <c r="W102" i="16"/>
  <c r="W76" i="16"/>
  <c r="H76" i="16"/>
  <c r="W72" i="16"/>
  <c r="H72" i="16"/>
  <c r="V92" i="16"/>
  <c r="W90" i="16"/>
  <c r="H90" i="16"/>
  <c r="I77" i="16"/>
  <c r="W78" i="16"/>
  <c r="H78" i="16"/>
  <c r="N98" i="16"/>
  <c r="W94" i="16"/>
  <c r="H94" i="16"/>
  <c r="O62" i="16"/>
  <c r="N63" i="16"/>
  <c r="H101" i="16"/>
  <c r="N74" i="16"/>
  <c r="T74" i="16" s="1"/>
  <c r="O54" i="16"/>
  <c r="N55" i="16"/>
  <c r="I84" i="16"/>
  <c r="H85" i="16"/>
  <c r="W85" i="16"/>
  <c r="W84" i="16" s="1"/>
  <c r="V74" i="16"/>
  <c r="V69" i="16"/>
  <c r="O47" i="16"/>
  <c r="N48" i="16"/>
  <c r="S78" i="16"/>
  <c r="J77" i="16"/>
  <c r="S77" i="16" s="1"/>
  <c r="W64" i="16"/>
  <c r="H64" i="16"/>
  <c r="K62" i="16"/>
  <c r="W49" i="16"/>
  <c r="H49" i="16"/>
  <c r="V40" i="16"/>
  <c r="AL36" i="16"/>
  <c r="AF35" i="16"/>
  <c r="G54" i="16"/>
  <c r="R54" i="16" s="1"/>
  <c r="V55" i="16"/>
  <c r="V54" i="16" s="1"/>
  <c r="W45" i="16"/>
  <c r="H45" i="16"/>
  <c r="W41" i="16"/>
  <c r="H41" i="16"/>
  <c r="I35" i="16"/>
  <c r="W36" i="16"/>
  <c r="W35" i="16" s="1"/>
  <c r="H36" i="16"/>
  <c r="H35" i="16" s="1"/>
  <c r="V34" i="16"/>
  <c r="V105" i="16"/>
  <c r="H103" i="16"/>
  <c r="W103" i="16"/>
  <c r="AL85" i="16"/>
  <c r="AF84" i="16"/>
  <c r="AL84" i="16" s="1"/>
  <c r="V45" i="16"/>
  <c r="H31" i="16"/>
  <c r="W31" i="16"/>
  <c r="H104" i="16"/>
  <c r="H24" i="16"/>
  <c r="W24" i="16"/>
  <c r="V33" i="16"/>
  <c r="H19" i="16"/>
  <c r="N18" i="16"/>
  <c r="T18" i="16" s="1"/>
  <c r="W18" i="16"/>
  <c r="AF97" i="16"/>
  <c r="AL97" i="16" s="1"/>
  <c r="AL98" i="16"/>
  <c r="S98" i="16"/>
  <c r="J97" i="16"/>
  <c r="S97" i="16" s="1"/>
  <c r="W96" i="16"/>
  <c r="H96" i="16"/>
  <c r="W88" i="16"/>
  <c r="H88" i="16"/>
  <c r="W80" i="16"/>
  <c r="H80" i="16"/>
  <c r="H100" i="16"/>
  <c r="W100" i="16"/>
  <c r="H73" i="16"/>
  <c r="W73" i="16"/>
  <c r="V88" i="16"/>
  <c r="W79" i="16"/>
  <c r="H79" i="16"/>
  <c r="W75" i="16"/>
  <c r="H75" i="16"/>
  <c r="AF62" i="16"/>
  <c r="AL62" i="16" s="1"/>
  <c r="AL63" i="16"/>
  <c r="H87" i="16"/>
  <c r="W87" i="16"/>
  <c r="AF54" i="16"/>
  <c r="AL54" i="16" s="1"/>
  <c r="AL55" i="16"/>
  <c r="H81" i="16"/>
  <c r="W81" i="16"/>
  <c r="BD78" i="16"/>
  <c r="AX77" i="16"/>
  <c r="BD77" i="16" s="1"/>
  <c r="W70" i="16"/>
  <c r="H70" i="16"/>
  <c r="AF47" i="16"/>
  <c r="AL47" i="16" s="1"/>
  <c r="AL48" i="16"/>
  <c r="H99" i="16"/>
  <c r="W99" i="16"/>
  <c r="W69" i="16"/>
  <c r="H69" i="16"/>
  <c r="W46" i="16"/>
  <c r="H46" i="16"/>
  <c r="W44" i="16"/>
  <c r="H44" i="16"/>
  <c r="W42" i="16"/>
  <c r="H42" i="16"/>
  <c r="W40" i="16"/>
  <c r="H40" i="16"/>
  <c r="W38" i="16"/>
  <c r="H38" i="16"/>
  <c r="K35" i="16"/>
  <c r="W51" i="16"/>
  <c r="H51" i="16"/>
  <c r="K47" i="16"/>
  <c r="H33" i="16"/>
  <c r="W33" i="16"/>
  <c r="V100" i="16"/>
  <c r="V82" i="16"/>
  <c r="W68" i="16"/>
  <c r="H68" i="16"/>
  <c r="BD63" i="16"/>
  <c r="AX62" i="16"/>
  <c r="BD62" i="16" s="1"/>
  <c r="V43" i="16"/>
  <c r="G35" i="16"/>
  <c r="R35" i="16" s="1"/>
  <c r="V36" i="16"/>
  <c r="V35" i="16" s="1"/>
  <c r="H32" i="16"/>
  <c r="W32" i="16"/>
  <c r="H27" i="16"/>
  <c r="W27" i="16"/>
  <c r="K16" i="16"/>
  <c r="H28" i="16"/>
  <c r="W28" i="16"/>
  <c r="N17" i="16"/>
  <c r="O16" i="16"/>
  <c r="H26" i="16"/>
  <c r="W26" i="16"/>
  <c r="AX97" i="16"/>
  <c r="BD97" i="16" s="1"/>
  <c r="BD98" i="16"/>
  <c r="W91" i="16"/>
  <c r="W74" i="16"/>
  <c r="H74" i="16"/>
  <c r="W105" i="16"/>
  <c r="W95" i="16"/>
  <c r="H95" i="16"/>
  <c r="N65" i="16"/>
  <c r="T65" i="16" s="1"/>
  <c r="K84" i="16"/>
  <c r="N57" i="16"/>
  <c r="T57" i="16" s="1"/>
  <c r="V96" i="16"/>
  <c r="V85" i="16"/>
  <c r="V84" i="16" s="1"/>
  <c r="G84" i="16"/>
  <c r="R84" i="16" s="1"/>
  <c r="V81" i="16"/>
  <c r="V65" i="16"/>
  <c r="V87" i="16"/>
  <c r="W86" i="16"/>
  <c r="H86" i="16"/>
  <c r="O77" i="16"/>
  <c r="N78" i="16"/>
  <c r="V72" i="16"/>
  <c r="W66" i="16"/>
  <c r="H66" i="16"/>
  <c r="V58" i="16"/>
  <c r="V50" i="16"/>
  <c r="V75" i="16"/>
  <c r="W55" i="16"/>
  <c r="W54" i="16" s="1"/>
  <c r="I54" i="16"/>
  <c r="H55" i="16"/>
  <c r="H54" i="16" s="1"/>
  <c r="W53" i="16"/>
  <c r="H53" i="16"/>
  <c r="V44" i="16"/>
  <c r="W89" i="16"/>
  <c r="H89" i="16"/>
  <c r="G77" i="16"/>
  <c r="R77" i="16" s="1"/>
  <c r="V78" i="16"/>
  <c r="V77" i="16" s="1"/>
  <c r="H71" i="16"/>
  <c r="W71" i="16"/>
  <c r="V61" i="16"/>
  <c r="V57" i="16"/>
  <c r="W43" i="16"/>
  <c r="H43" i="16"/>
  <c r="W39" i="16"/>
  <c r="H39" i="16"/>
  <c r="N37" i="16"/>
  <c r="T37" i="16" s="1"/>
  <c r="S36" i="16"/>
  <c r="J35" i="16"/>
  <c r="S35" i="16" s="1"/>
  <c r="N106" i="16"/>
  <c r="T106" i="16" s="1"/>
  <c r="W82" i="16"/>
  <c r="H82" i="16"/>
  <c r="V76" i="16"/>
  <c r="W61" i="16"/>
  <c r="H61" i="16"/>
  <c r="W52" i="16"/>
  <c r="H52" i="16"/>
  <c r="W50" i="16"/>
  <c r="H50" i="16"/>
  <c r="W48" i="16"/>
  <c r="W47" i="16" s="1"/>
  <c r="I47" i="16"/>
  <c r="H48" i="16"/>
  <c r="H47" i="16" s="1"/>
  <c r="V41" i="16"/>
  <c r="W37" i="16"/>
  <c r="H37" i="16"/>
  <c r="H29" i="16"/>
  <c r="W29" i="16"/>
  <c r="H17" i="16"/>
  <c r="H16" i="16" s="1"/>
  <c r="H25" i="16"/>
  <c r="W25" i="16"/>
  <c r="V17" i="16"/>
  <c r="V16" i="16" s="1"/>
  <c r="H22" i="16"/>
  <c r="W22" i="16"/>
  <c r="Z14" i="16" l="1"/>
  <c r="P14" i="16"/>
  <c r="AO14" i="16"/>
  <c r="Q14" i="16"/>
  <c r="L14" i="16"/>
  <c r="AR14" i="16"/>
  <c r="H77" i="16"/>
  <c r="H62" i="16"/>
  <c r="H84" i="16"/>
  <c r="W77" i="16"/>
  <c r="W62" i="16"/>
  <c r="H97" i="16"/>
  <c r="I14" i="16"/>
  <c r="V14" i="16"/>
  <c r="J14" i="16"/>
  <c r="S14" i="16" s="1"/>
  <c r="R16" i="16"/>
  <c r="G14" i="16"/>
  <c r="R14" i="16" s="1"/>
  <c r="O14" i="16"/>
  <c r="K14" i="16"/>
  <c r="AL16" i="16"/>
  <c r="AF14" i="16"/>
  <c r="AL14" i="16" s="1"/>
  <c r="AX14" i="16"/>
  <c r="BD14" i="16" s="1"/>
  <c r="N54" i="16"/>
  <c r="T54" i="16" s="1"/>
  <c r="T55" i="16"/>
  <c r="T36" i="16"/>
  <c r="N35" i="16"/>
  <c r="T35" i="16" s="1"/>
  <c r="N77" i="16"/>
  <c r="T77" i="16" s="1"/>
  <c r="T78" i="16"/>
  <c r="AL35" i="16"/>
  <c r="T48" i="16"/>
  <c r="N47" i="16"/>
  <c r="T47" i="16" s="1"/>
  <c r="T63" i="16"/>
  <c r="N62" i="16"/>
  <c r="T62" i="16" s="1"/>
  <c r="S16" i="16"/>
  <c r="T17" i="16"/>
  <c r="N16" i="16"/>
  <c r="T98" i="16"/>
  <c r="N97" i="16"/>
  <c r="T97" i="16" s="1"/>
  <c r="N84" i="16"/>
  <c r="T84" i="16" s="1"/>
  <c r="T85" i="16"/>
  <c r="H14" i="16" l="1"/>
  <c r="W14" i="16"/>
  <c r="N14" i="16"/>
  <c r="T14" i="16" s="1"/>
  <c r="T16" i="16"/>
</calcChain>
</file>

<file path=xl/sharedStrings.xml><?xml version="1.0" encoding="utf-8"?>
<sst xmlns="http://schemas.openxmlformats.org/spreadsheetml/2006/main" count="9793" uniqueCount="1232">
  <si>
    <t>по состояню на</t>
  </si>
  <si>
    <t>037</t>
  </si>
  <si>
    <t>01</t>
  </si>
  <si>
    <t>РОССИЙСКАЯ ФЕДЕРАЦИЯ</t>
  </si>
  <si>
    <t>резерв</t>
  </si>
  <si>
    <t>030</t>
  </si>
  <si>
    <t>02</t>
  </si>
  <si>
    <t>ЦЕНТРАЛЬНЫЙ Ф.О.</t>
  </si>
  <si>
    <t>14000000000</t>
  </si>
  <si>
    <t>03</t>
  </si>
  <si>
    <t>Белгородская область</t>
  </si>
  <si>
    <t>15000000000</t>
  </si>
  <si>
    <t>04</t>
  </si>
  <si>
    <t>Брянская область</t>
  </si>
  <si>
    <t>17000000000</t>
  </si>
  <si>
    <t>05</t>
  </si>
  <si>
    <t>Владимирская область</t>
  </si>
  <si>
    <t>20000000000</t>
  </si>
  <si>
    <t>06</t>
  </si>
  <si>
    <t>Воронежская область</t>
  </si>
  <si>
    <t>24000000000</t>
  </si>
  <si>
    <t>07</t>
  </si>
  <si>
    <t>Ивановская область</t>
  </si>
  <si>
    <t>29000000000</t>
  </si>
  <si>
    <t>08</t>
  </si>
  <si>
    <t>Калужская область</t>
  </si>
  <si>
    <t>34000000000</t>
  </si>
  <si>
    <t>09</t>
  </si>
  <si>
    <t>Костромская область</t>
  </si>
  <si>
    <t>38000000000</t>
  </si>
  <si>
    <t>10</t>
  </si>
  <si>
    <t>Курская область</t>
  </si>
  <si>
    <t>42000000000</t>
  </si>
  <si>
    <t>11</t>
  </si>
  <si>
    <t>Липецкая область</t>
  </si>
  <si>
    <t>46000000000</t>
  </si>
  <si>
    <t>12</t>
  </si>
  <si>
    <t>Московская область</t>
  </si>
  <si>
    <t>45000000000</t>
  </si>
  <si>
    <t>13</t>
  </si>
  <si>
    <t>54000000000</t>
  </si>
  <si>
    <t>14</t>
  </si>
  <si>
    <t>Орловская область</t>
  </si>
  <si>
    <t>61000000000</t>
  </si>
  <si>
    <t>15</t>
  </si>
  <si>
    <t>Рязанская область</t>
  </si>
  <si>
    <t>66000000000</t>
  </si>
  <si>
    <t>16</t>
  </si>
  <si>
    <t>Смоленская область</t>
  </si>
  <si>
    <t>68000000000</t>
  </si>
  <si>
    <t>17</t>
  </si>
  <si>
    <t>Тамбовская область</t>
  </si>
  <si>
    <t>28000000000</t>
  </si>
  <si>
    <t>18</t>
  </si>
  <si>
    <t>Тверская область</t>
  </si>
  <si>
    <t>70000000000</t>
  </si>
  <si>
    <t>19</t>
  </si>
  <si>
    <t>Тульская область</t>
  </si>
  <si>
    <t>78000000000</t>
  </si>
  <si>
    <t>20</t>
  </si>
  <si>
    <t>Ярославская область</t>
  </si>
  <si>
    <t>031</t>
  </si>
  <si>
    <t>21</t>
  </si>
  <si>
    <t>СЕВЕРО-ЗАПАДНЫЙ Ф.О.</t>
  </si>
  <si>
    <t>86000000000</t>
  </si>
  <si>
    <t>22</t>
  </si>
  <si>
    <t>Республика Карелия</t>
  </si>
  <si>
    <t>87000000000</t>
  </si>
  <si>
    <t>23</t>
  </si>
  <si>
    <t>Республика Коми</t>
  </si>
  <si>
    <t>11000000000</t>
  </si>
  <si>
    <t>24</t>
  </si>
  <si>
    <t>Архангельская область</t>
  </si>
  <si>
    <t>11100000000</t>
  </si>
  <si>
    <t>25</t>
  </si>
  <si>
    <t>19000000000</t>
  </si>
  <si>
    <t>26</t>
  </si>
  <si>
    <t>Вологодская область</t>
  </si>
  <si>
    <t>27000000000</t>
  </si>
  <si>
    <t>27</t>
  </si>
  <si>
    <t>Калининградская область</t>
  </si>
  <si>
    <t>41000000000</t>
  </si>
  <si>
    <t>28</t>
  </si>
  <si>
    <t>Ленинградская область</t>
  </si>
  <si>
    <t>40000000000</t>
  </si>
  <si>
    <t>29</t>
  </si>
  <si>
    <t>47000000000</t>
  </si>
  <si>
    <t>30</t>
  </si>
  <si>
    <t>Мурманская область</t>
  </si>
  <si>
    <t>49000000000</t>
  </si>
  <si>
    <t>31</t>
  </si>
  <si>
    <t>Новгородская область</t>
  </si>
  <si>
    <t>58000000000</t>
  </si>
  <si>
    <t>Псковская область</t>
  </si>
  <si>
    <t>032</t>
  </si>
  <si>
    <t>ЮЖНЫЙ Ф.О.</t>
  </si>
  <si>
    <t>79000000000</t>
  </si>
  <si>
    <t>Республика Адыгея</t>
  </si>
  <si>
    <t>85000000000</t>
  </si>
  <si>
    <t>Республика Калмыкия</t>
  </si>
  <si>
    <t>03000000000</t>
  </si>
  <si>
    <t>Краснодарский край</t>
  </si>
  <si>
    <t>12000000000</t>
  </si>
  <si>
    <t>Астраханская область</t>
  </si>
  <si>
    <t>18000000000</t>
  </si>
  <si>
    <t>Волгоградская область</t>
  </si>
  <si>
    <t>60000000000</t>
  </si>
  <si>
    <t>Ростовская область</t>
  </si>
  <si>
    <t>039</t>
  </si>
  <si>
    <t>СЕВЕРО-КАВКАЗСКИЙ Ф.О.</t>
  </si>
  <si>
    <t>82000000000</t>
  </si>
  <si>
    <t>Республика Дагестан</t>
  </si>
  <si>
    <t>26000000000</t>
  </si>
  <si>
    <t>Республика Ингушетия</t>
  </si>
  <si>
    <t>83000000000</t>
  </si>
  <si>
    <t>Кабардино-Балкарская Республика</t>
  </si>
  <si>
    <t>91000000000</t>
  </si>
  <si>
    <t>Карачаево-Черкесская Республика</t>
  </si>
  <si>
    <t>90000000000</t>
  </si>
  <si>
    <t>Республика Северная Осетия - Алания</t>
  </si>
  <si>
    <t>96000000000</t>
  </si>
  <si>
    <t>46</t>
  </si>
  <si>
    <t>Чеченская Республика</t>
  </si>
  <si>
    <t>07000000000</t>
  </si>
  <si>
    <t>47</t>
  </si>
  <si>
    <t>Ставропольский край</t>
  </si>
  <si>
    <t>033</t>
  </si>
  <si>
    <t>48</t>
  </si>
  <si>
    <t>ПРИВОЛЖСКИЙ Ф.О.</t>
  </si>
  <si>
    <t>80000000000</t>
  </si>
  <si>
    <t>49</t>
  </si>
  <si>
    <t>Республика Башкортостан</t>
  </si>
  <si>
    <t>88000000000</t>
  </si>
  <si>
    <t>50</t>
  </si>
  <si>
    <t>Республика Марий Эл</t>
  </si>
  <si>
    <t>89000000000</t>
  </si>
  <si>
    <t>51</t>
  </si>
  <si>
    <t>Республика Мордовия</t>
  </si>
  <si>
    <t>92000000000</t>
  </si>
  <si>
    <t>52</t>
  </si>
  <si>
    <t>Республика Татарстан</t>
  </si>
  <si>
    <t>94000000000</t>
  </si>
  <si>
    <t>53</t>
  </si>
  <si>
    <t>Удмуртская Республика</t>
  </si>
  <si>
    <t>97000000000</t>
  </si>
  <si>
    <t>54</t>
  </si>
  <si>
    <t>Чувашская Республика</t>
  </si>
  <si>
    <t>57000000000</t>
  </si>
  <si>
    <t>55</t>
  </si>
  <si>
    <t>Пермский край</t>
  </si>
  <si>
    <t>33000000000</t>
  </si>
  <si>
    <t>56</t>
  </si>
  <si>
    <t>Кировская область</t>
  </si>
  <si>
    <t>22000000000</t>
  </si>
  <si>
    <t>57</t>
  </si>
  <si>
    <t>Нижегородская область</t>
  </si>
  <si>
    <t>53000000000</t>
  </si>
  <si>
    <t>58</t>
  </si>
  <si>
    <t>Оренбургская область</t>
  </si>
  <si>
    <t>56000000000</t>
  </si>
  <si>
    <t>59</t>
  </si>
  <si>
    <t>Пензенская область</t>
  </si>
  <si>
    <t>36000000000</t>
  </si>
  <si>
    <t>60</t>
  </si>
  <si>
    <t>Самарская область</t>
  </si>
  <si>
    <t>63000000000</t>
  </si>
  <si>
    <t>61</t>
  </si>
  <si>
    <t>Саратовская область</t>
  </si>
  <si>
    <t>73000000000</t>
  </si>
  <si>
    <t>62</t>
  </si>
  <si>
    <t>Ульяновская область</t>
  </si>
  <si>
    <t>034</t>
  </si>
  <si>
    <t>63</t>
  </si>
  <si>
    <t>УРАЛЬСКИЙ Ф.О.</t>
  </si>
  <si>
    <t>37000000000</t>
  </si>
  <si>
    <t>64</t>
  </si>
  <si>
    <t>Курганская область</t>
  </si>
  <si>
    <t>65000000000</t>
  </si>
  <si>
    <t>65</t>
  </si>
  <si>
    <t>Свердловская область</t>
  </si>
  <si>
    <t>71000000000</t>
  </si>
  <si>
    <t>66</t>
  </si>
  <si>
    <t>Тюменская область</t>
  </si>
  <si>
    <t>71100000000</t>
  </si>
  <si>
    <t>67</t>
  </si>
  <si>
    <t>71140000000</t>
  </si>
  <si>
    <t>68</t>
  </si>
  <si>
    <t>75000000000</t>
  </si>
  <si>
    <t>69</t>
  </si>
  <si>
    <t>Челябинская область</t>
  </si>
  <si>
    <t>035</t>
  </si>
  <si>
    <t>70</t>
  </si>
  <si>
    <t>СИБИРСКИЙ Ф.О.</t>
  </si>
  <si>
    <t>84000000000</t>
  </si>
  <si>
    <t>71</t>
  </si>
  <si>
    <t>Республика Алтай</t>
  </si>
  <si>
    <t>81000000000</t>
  </si>
  <si>
    <t>72</t>
  </si>
  <si>
    <t>Республика Бурятия</t>
  </si>
  <si>
    <t>93000000000</t>
  </si>
  <si>
    <t>73</t>
  </si>
  <si>
    <t>Республика Тыва</t>
  </si>
  <si>
    <t>95000000000</t>
  </si>
  <si>
    <t>74</t>
  </si>
  <si>
    <t>Республика Хакасия</t>
  </si>
  <si>
    <t>01000000000</t>
  </si>
  <si>
    <t>75</t>
  </si>
  <si>
    <t>Алтайский край</t>
  </si>
  <si>
    <t>76000000001</t>
  </si>
  <si>
    <t>76</t>
  </si>
  <si>
    <t>Забайкальский край</t>
  </si>
  <si>
    <t>04000000000</t>
  </si>
  <si>
    <t>77</t>
  </si>
  <si>
    <t>Красноярский край</t>
  </si>
  <si>
    <t>25000000000</t>
  </si>
  <si>
    <t>78</t>
  </si>
  <si>
    <t>Иркутская область</t>
  </si>
  <si>
    <t>32000000000</t>
  </si>
  <si>
    <t>79</t>
  </si>
  <si>
    <t>Кемеровская область</t>
  </si>
  <si>
    <t>50000000000</t>
  </si>
  <si>
    <t>80</t>
  </si>
  <si>
    <t>Новосибирская область</t>
  </si>
  <si>
    <t>52000000000</t>
  </si>
  <si>
    <t>81</t>
  </si>
  <si>
    <t>Омская область</t>
  </si>
  <si>
    <t>69000000000</t>
  </si>
  <si>
    <t>82</t>
  </si>
  <si>
    <t>Томская область</t>
  </si>
  <si>
    <t>036</t>
  </si>
  <si>
    <t>83</t>
  </si>
  <si>
    <t>ДАЛЬНЕВОСТОЧНЫЙ Ф.О.</t>
  </si>
  <si>
    <t>98000000000</t>
  </si>
  <si>
    <t>84</t>
  </si>
  <si>
    <t>Республика Саха (Якутия)</t>
  </si>
  <si>
    <t>30000000000</t>
  </si>
  <si>
    <t>85</t>
  </si>
  <si>
    <t>Камчатский край</t>
  </si>
  <si>
    <t>05000000000</t>
  </si>
  <si>
    <t>86</t>
  </si>
  <si>
    <t>Приморский край</t>
  </si>
  <si>
    <t>08000000000</t>
  </si>
  <si>
    <t>87</t>
  </si>
  <si>
    <t>Хабаровский край</t>
  </si>
  <si>
    <t>10000000000</t>
  </si>
  <si>
    <t>88</t>
  </si>
  <si>
    <t>Амурская область</t>
  </si>
  <si>
    <t>44000000000</t>
  </si>
  <si>
    <t>89</t>
  </si>
  <si>
    <t>Магаданская область</t>
  </si>
  <si>
    <t>64000000000</t>
  </si>
  <si>
    <t>90</t>
  </si>
  <si>
    <t>Сахалинская область</t>
  </si>
  <si>
    <t>99000000000</t>
  </si>
  <si>
    <t>Еврейская автономная область</t>
  </si>
  <si>
    <t>77000000000</t>
  </si>
  <si>
    <t>Чукотский автономный округ</t>
  </si>
  <si>
    <t>Остаток средств федерального бюджета на 01.01.2010 г., потребность в котором подтверждена</t>
  </si>
  <si>
    <t>Предусмотрено ср-в на т.г  всего</t>
  </si>
  <si>
    <t>федерального бюджета</t>
  </si>
  <si>
    <t>бюджета субъекта Российской Федерации</t>
  </si>
  <si>
    <t>Получено из федерального бюджета в текущем году на отчетную дату</t>
  </si>
  <si>
    <t>Восстановлено средств федерального бюджета с начала т.г. по различным основаниям</t>
  </si>
  <si>
    <t>Пречислено на отчетную дату  всего</t>
  </si>
  <si>
    <t xml:space="preserve">федерального бюджета </t>
  </si>
  <si>
    <t>Фактический уровень финансирования</t>
  </si>
  <si>
    <t>Возвращено в федеральный бюджет  в текущем году на отчетную дату</t>
  </si>
  <si>
    <t>Остаток средств ф.б на лиц. Счетах</t>
  </si>
  <si>
    <t>Прогноз остатков средств федерального бюджета на 31 декабря т.г.</t>
  </si>
  <si>
    <t>37776П</t>
  </si>
  <si>
    <t>37776К</t>
  </si>
  <si>
    <t>в т.с. За счет остатка</t>
  </si>
  <si>
    <t>Подтверждение восстановления</t>
  </si>
  <si>
    <t>г. Москва</t>
  </si>
  <si>
    <t>Ненецкий АО</t>
  </si>
  <si>
    <t>г. Санкт-Петербург</t>
  </si>
  <si>
    <t>Ханты-Мансийский АО</t>
  </si>
  <si>
    <t>Ямало-Ненецкий АО</t>
  </si>
  <si>
    <t>&lt;Период_1&gt;</t>
  </si>
  <si>
    <t>размерность</t>
  </si>
  <si>
    <t xml:space="preserve"> ИНФОРМАЦИЯ           </t>
  </si>
  <si>
    <t xml:space="preserve">о расходах бюджета субъекта Российской Федерации (местного бюджета), источником финансового </t>
  </si>
  <si>
    <t xml:space="preserve">обеспечения которых является субсидия </t>
  </si>
  <si>
    <t>на</t>
  </si>
  <si>
    <t>№ п/п</t>
  </si>
  <si>
    <t>Наименование субъекта Российской Федерации</t>
  </si>
  <si>
    <t>Статус и период информации на отчетный период</t>
  </si>
  <si>
    <t>Предусмотрено средств на текущий год (согласно заключенных соглашений)</t>
  </si>
  <si>
    <t>Перечислено сельхозтоваропроизводителям на отчетную дату</t>
  </si>
  <si>
    <t>% освоения средств</t>
  </si>
  <si>
    <t>Фактический уровень финансирования за счет средств 
бюджета субъекта Российской Федерации, %</t>
  </si>
  <si>
    <t xml:space="preserve">Остаток средств федерального
бюджета на лицевых счетах на отчетную дату  с учетом текущего финансирования
</t>
  </si>
  <si>
    <t>всего</t>
  </si>
  <si>
    <t>в т.ч. за счет средств</t>
  </si>
  <si>
    <t>в  т.ч. за счет средств</t>
  </si>
  <si>
    <t>бюджета субъекта Российской Федерации (от лимита)</t>
  </si>
  <si>
    <t>нераспределенный резерв</t>
  </si>
  <si>
    <t>г.Москва</t>
  </si>
  <si>
    <t>Ненецкий автономеый округ</t>
  </si>
  <si>
    <t>г.Санкт-Петербург</t>
  </si>
  <si>
    <t>Ханты-Мансийский автономный округ</t>
  </si>
  <si>
    <t>Ямало-Ненецкий автономный округ</t>
  </si>
  <si>
    <t>Остаток средств федерального
бюджета</t>
  </si>
  <si>
    <t>за счет остатка</t>
  </si>
  <si>
    <t xml:space="preserve">гр.16=гр.15/гр.12
</t>
  </si>
  <si>
    <t>гр.18=гр.5+гр.9+
гр.10-гр.13-гр.17</t>
  </si>
  <si>
    <t>гр.19=гр.7-гр.13</t>
  </si>
  <si>
    <t>Страхование</t>
  </si>
  <si>
    <t>Субсидии на возмещение части затрат сельскохозяйственных товаропроизводителей на уплату страховой премии, начисленной по договору сельскохозяйственного страхования в области растениеводства</t>
  </si>
  <si>
    <t xml:space="preserve">Код бюджетной классификации: 04 05 2515040 521 </t>
  </si>
  <si>
    <t>Субсидии на возмещение части затрат сельскохозяйственных товаропроизводителей на уплату страховой премии, начисленной по договору сельскохозяйственного страхования в области животноводства</t>
  </si>
  <si>
    <t>Код бюджетной классификации: 04 05 2525049 521</t>
  </si>
  <si>
    <t>Кассовые выплаты за счет средств федерального бюджета с учетом перечислений на банковский счет  в текущем году на отчетную дату</t>
  </si>
  <si>
    <t>Лимит по распоряжению</t>
  </si>
  <si>
    <t>Остаток средств федерального бюджета на 01.01.2014 г., потребность в котором подтверждена</t>
  </si>
  <si>
    <t>Лимиты согласно распоряжениям Правительства РФ</t>
  </si>
  <si>
    <t>федерального бюджета (от лимита согласно распоряжениям Правительства РФ и подтвержденного остатка)</t>
  </si>
  <si>
    <t>Крымский Ф.О.</t>
  </si>
  <si>
    <t>Республика Крым</t>
  </si>
  <si>
    <t>г. Севастополь</t>
  </si>
  <si>
    <t>Предельный объем финансирования на текущую дату</t>
  </si>
  <si>
    <t>Кассовые расходы на текущую дату</t>
  </si>
  <si>
    <t>Остаток  предельных объемов финансирования</t>
  </si>
  <si>
    <t>1020</t>
  </si>
  <si>
    <t>1022</t>
  </si>
  <si>
    <t>Остаток средств федерального бюджета на 01.01.2016 г., потребность в котором подтверждена</t>
  </si>
  <si>
    <t xml:space="preserve"> ИНФОРМАЦИЯ
о расходах бюджета субъекта Российской Федерации (местного бюджета), источником финансового 
обеспечения которых является субсидия </t>
  </si>
  <si>
    <t>ИТОГО субсидий бюджетам субъектов Российской Федерации</t>
  </si>
  <si>
    <t>на бланке</t>
  </si>
  <si>
    <t>код строки гп</t>
  </si>
  <si>
    <t>название строки бс</t>
  </si>
  <si>
    <t>код строки бс</t>
  </si>
  <si>
    <t>1.1.1.</t>
  </si>
  <si>
    <t>Субсидии на возмещение части процентной ставки по краткосрочным кредитам (займам) на развитие растениеводства, переработки и реализации продукции растениеводства</t>
  </si>
  <si>
    <t xml:space="preserve">04 05 2510450380 521 </t>
  </si>
  <si>
    <t>Короткие Животноводство</t>
  </si>
  <si>
    <t xml:space="preserve">020               </t>
  </si>
  <si>
    <t>1.1.2.</t>
  </si>
  <si>
    <t>Субсидии на возмещение части процентной ставки по краткосрочным кредитам (займам) на развитие животноводства, переработки и реализации продукции животноводства</t>
  </si>
  <si>
    <t xml:space="preserve">04 05 2520650470 521 </t>
  </si>
  <si>
    <t>Короткие Растениеводство</t>
  </si>
  <si>
    <t xml:space="preserve">018               </t>
  </si>
  <si>
    <t>1.1.3.</t>
  </si>
  <si>
    <t>Субсидии на  возмещение части процентной ставки по инвестиционным кредитам (займам) на развитие растениеводства, переработки и развития инфраструктуры и логистического обеспечения рынков продукции растениеводства</t>
  </si>
  <si>
    <t xml:space="preserve">04 05 2510450390 521 </t>
  </si>
  <si>
    <t>Инвестиционные Растениеводство</t>
  </si>
  <si>
    <t xml:space="preserve">019               </t>
  </si>
  <si>
    <t>1.1.4.</t>
  </si>
  <si>
    <t>Субсидии на возмещение части процентной ставки по инвестиционным кредитам (займам) на развитие животноводства, переработки и развития инфраструктуры и логистического обеспечения рынков продукции животноводства</t>
  </si>
  <si>
    <t xml:space="preserve">04 05 2520650480 521 </t>
  </si>
  <si>
    <t>Инвестиционные Животноводство</t>
  </si>
  <si>
    <t xml:space="preserve">021               </t>
  </si>
  <si>
    <t>1.1.5.</t>
  </si>
  <si>
    <t>Субсидии на возмещение части процентной ставки по инвестиционным кредитам на строительство и реконструкцию объектов мясного скотоводства</t>
  </si>
  <si>
    <t xml:space="preserve">04 05 2530350520 521 </t>
  </si>
  <si>
    <t>Инвестиционные Мясное скотоводство</t>
  </si>
  <si>
    <t xml:space="preserve">023               </t>
  </si>
  <si>
    <t>1.1.6.</t>
  </si>
  <si>
    <t>Cубсидии на возмещение части процентной ставки по долгосрочным, среднесрочным и краткосрочным кредитам, взятым малыми формами хозяйствования</t>
  </si>
  <si>
    <t xml:space="preserve">04 05 2540150550 521 </t>
  </si>
  <si>
    <t>Малые формы</t>
  </si>
  <si>
    <t xml:space="preserve">022               </t>
  </si>
  <si>
    <t>1.1.7.</t>
  </si>
  <si>
    <t>Cубсидии на возмещение части процентной ставки по инвестиционным кредитам (займам) на строительство и реконструкцию объектов для молочного скотоводства</t>
  </si>
  <si>
    <t>04 05 25Б0254440 521</t>
  </si>
  <si>
    <t>Инвестиционные молочное скотоводство</t>
  </si>
  <si>
    <t xml:space="preserve">061               </t>
  </si>
  <si>
    <t>1.1.8.</t>
  </si>
  <si>
    <t>Субсидии на возмещение части процентной ставки по краткосрочным кредитам (займам) на развитие молочного скотоводства</t>
  </si>
  <si>
    <t>04 05 25Б0254430 521</t>
  </si>
  <si>
    <t>Короткие молочное скотоводство</t>
  </si>
  <si>
    <t xml:space="preserve">060               </t>
  </si>
  <si>
    <t>1.1.9.</t>
  </si>
  <si>
    <t>Субсидии на возмещение части процентной ставки по краткосрочным кредитам (займам) на переработку продукции растениеводства и животноводства в области развития оптово-распределительных центров</t>
  </si>
  <si>
    <t>04 05 25Д0154500 521</t>
  </si>
  <si>
    <t>Короткие ОРЦ</t>
  </si>
  <si>
    <t xml:space="preserve">072               </t>
  </si>
  <si>
    <t>1.1.10</t>
  </si>
  <si>
    <t>Субсидии на возмещение части процентной ставки по краткосрочным кредитам (займам) на развитие селекционно-генетических и селекционно-семеноводческих центров в подотраслях животноводства и растениеводства</t>
  </si>
  <si>
    <t>04 05 25Г0654480 521</t>
  </si>
  <si>
    <t>Короткие СГЦ</t>
  </si>
  <si>
    <t xml:space="preserve">073               </t>
  </si>
  <si>
    <t>1.1.11</t>
  </si>
  <si>
    <t>Субсидии на возмещение части процентной ставки по инвестиционным кредитам (займам) на развитие оптово-распределительных центров, производства и товаропроводящей инфраструктуры системы социального питания</t>
  </si>
  <si>
    <t>04 05 25Д0154510 521</t>
  </si>
  <si>
    <t>Инвестиционные ОРЦ</t>
  </si>
  <si>
    <t xml:space="preserve">074               </t>
  </si>
  <si>
    <t>1.2.1</t>
  </si>
  <si>
    <t>Субсидии  на поддержку племенного животноводства</t>
  </si>
  <si>
    <t xml:space="preserve">04 05 25Г0250420 521 </t>
  </si>
  <si>
    <t>Племенное животноводство</t>
  </si>
  <si>
    <t xml:space="preserve">008               </t>
  </si>
  <si>
    <t>1.2.2</t>
  </si>
  <si>
    <t>Субсидии на поддержку племенного крупного рогатого скота мясных пород и их помесей</t>
  </si>
  <si>
    <t xml:space="preserve">04 05 2530154530 521 </t>
  </si>
  <si>
    <t>КРС мясных пород и их помесей</t>
  </si>
  <si>
    <t xml:space="preserve">070               </t>
  </si>
  <si>
    <t>1.2.3</t>
  </si>
  <si>
    <t>Субсидии на поддержку племенного крупного рогатого скота мясного направления</t>
  </si>
  <si>
    <t xml:space="preserve">04 05 25Г0450500 521 </t>
  </si>
  <si>
    <t>КРС мясного направления</t>
  </si>
  <si>
    <t xml:space="preserve">009               </t>
  </si>
  <si>
    <t>1.2.4</t>
  </si>
  <si>
    <t>Субсидии на поддержку племенного крупного рогатого скота молочного направления</t>
  </si>
  <si>
    <t xml:space="preserve">04 05 25Г0354460 521 </t>
  </si>
  <si>
    <t>КРС молочного направления</t>
  </si>
  <si>
    <t xml:space="preserve">071               </t>
  </si>
  <si>
    <t>1.2.5.</t>
  </si>
  <si>
    <t>Субсидии на 1 кг реализованного товарного молока (подпрограмма молочного скотоводства)</t>
  </si>
  <si>
    <t>04 05 25Б0150430 521</t>
  </si>
  <si>
    <t xml:space="preserve">054               </t>
  </si>
  <si>
    <t>1.2.6.</t>
  </si>
  <si>
    <t>Субсидии на возмещение части затрат по наращиванию поголовья северных оленей, маралов и мясных табунных лошадей</t>
  </si>
  <si>
    <t xml:space="preserve">04 05 2520250450 521 </t>
  </si>
  <si>
    <t>Северное оленеводство</t>
  </si>
  <si>
    <t xml:space="preserve">012               </t>
  </si>
  <si>
    <t>1.2.7.</t>
  </si>
  <si>
    <t>Субсидии на возмещение части затрат по наращиванию маточного поголовья овец и коз</t>
  </si>
  <si>
    <t xml:space="preserve">04 05 2520150440 521 </t>
  </si>
  <si>
    <t>Овцеводство</t>
  </si>
  <si>
    <t xml:space="preserve">011               </t>
  </si>
  <si>
    <t>1.2.8.</t>
  </si>
  <si>
    <t>Субсидии бюджетам на поддержку производства и реализации тонкорунной и полутонкорунной шерсти</t>
  </si>
  <si>
    <t>04 05 2520954360 521</t>
  </si>
  <si>
    <t>Шерсть (руно)</t>
  </si>
  <si>
    <t xml:space="preserve">063               </t>
  </si>
  <si>
    <t>1.2.9.</t>
  </si>
  <si>
    <t>Субсидии на возмещение части затрат, связанных с поддержкой сельскохозяйственных товаропроизводителей, осуществляющих производство свинины, мяса птицы и яиц, в связи с удорожанием приобретенных кормов</t>
  </si>
  <si>
    <t>04 05 0000058980 521</t>
  </si>
  <si>
    <t>Удорожание кормов</t>
  </si>
  <si>
    <t xml:space="preserve">048               </t>
  </si>
  <si>
    <t>1.2.10.</t>
  </si>
  <si>
    <t>Субсидии на возмещение части затрат на закупку кормов для содержания маточного поголовья крупного рогатого скота</t>
  </si>
  <si>
    <t>Закупка кормов КРС (2012)</t>
  </si>
  <si>
    <t xml:space="preserve">042               </t>
  </si>
  <si>
    <t>1.3.1.</t>
  </si>
  <si>
    <t>Субсидии на поддержку элитного семеноводства</t>
  </si>
  <si>
    <t>04 05 25Г0150310 521</t>
  </si>
  <si>
    <t>Элитное семеноводство</t>
  </si>
  <si>
    <t xml:space="preserve">001               </t>
  </si>
  <si>
    <t>1.3.2.</t>
  </si>
  <si>
    <t>Возмещение части затрат на закладку и уход за виноградниками</t>
  </si>
  <si>
    <t>04 05 2510150320 521</t>
  </si>
  <si>
    <t>Виноградники</t>
  </si>
  <si>
    <t xml:space="preserve">002               </t>
  </si>
  <si>
    <t>1.3.3.</t>
  </si>
  <si>
    <t>Возмещение части затрат на раскорчевку выбывших из эксплуатации старых садов и рекультивацию раскорчеванных площадей</t>
  </si>
  <si>
    <t xml:space="preserve">04 05 2510150330 521 </t>
  </si>
  <si>
    <t>Раскорчевка</t>
  </si>
  <si>
    <t xml:space="preserve">003               </t>
  </si>
  <si>
    <t>1.3.4.</t>
  </si>
  <si>
    <t>Возмещение части затрат на закладку и уход за многолетними плодовыми и ягодными насаждениями</t>
  </si>
  <si>
    <t xml:space="preserve">04 05 2510150340 521 </t>
  </si>
  <si>
    <t>Закладка многолетних насаждений</t>
  </si>
  <si>
    <t xml:space="preserve">004               </t>
  </si>
  <si>
    <t>1.3.5.</t>
  </si>
  <si>
    <t>Субсидии на возмещение части затрат на приобретение семян с учетом доставки в районы Крайнего Севера и приравненные к ним местности</t>
  </si>
  <si>
    <t xml:space="preserve">04 05 2510350360 521 </t>
  </si>
  <si>
    <t>Приобретение семян</t>
  </si>
  <si>
    <t xml:space="preserve">005               </t>
  </si>
  <si>
    <t>1.3.6.</t>
  </si>
  <si>
    <t>Субсидии на производство продукции растениеводства на низкопродуктивной пашне в районах Крайнего Севера и приравненных к ним местностях</t>
  </si>
  <si>
    <t xml:space="preserve">04 05 2510350370 521 </t>
  </si>
  <si>
    <t>Производство продукции растениеводства на Крайнем Севере</t>
  </si>
  <si>
    <t xml:space="preserve">006               </t>
  </si>
  <si>
    <t>1.3.7.</t>
  </si>
  <si>
    <t>Субсидии на оказание несвязанной поддержки сельскохозяйственным товаропроизводителям в области растениеводства</t>
  </si>
  <si>
    <t xml:space="preserve">04 05 2510750410 521 </t>
  </si>
  <si>
    <t>Несвязанная поддержка</t>
  </si>
  <si>
    <t xml:space="preserve">007               </t>
  </si>
  <si>
    <t>1.3.8.</t>
  </si>
  <si>
    <t>Субсидии на поддержку производства льна и конопли</t>
  </si>
  <si>
    <t>Лен и конопля</t>
  </si>
  <si>
    <t xml:space="preserve">040               </t>
  </si>
  <si>
    <t>1.3.9.</t>
  </si>
  <si>
    <t>Субсидии на компенсацию затрат на приобретение средств химической защиты растений (рапс)</t>
  </si>
  <si>
    <t>Хим. зашита (Рапс)</t>
  </si>
  <si>
    <t xml:space="preserve">036               </t>
  </si>
  <si>
    <t>1.4.</t>
  </si>
  <si>
    <t xml:space="preserve">04 05 2510550400 521 </t>
  </si>
  <si>
    <t>Страхование растениеводства</t>
  </si>
  <si>
    <t xml:space="preserve">013               </t>
  </si>
  <si>
    <t>1.5.</t>
  </si>
  <si>
    <t xml:space="preserve">04 05 2520750490 521 </t>
  </si>
  <si>
    <t>Страхование животноводства</t>
  </si>
  <si>
    <t xml:space="preserve">014               </t>
  </si>
  <si>
    <t>1.6.</t>
  </si>
  <si>
    <t>Субсидии на компенсацию затрат на приобретение средств химизации</t>
  </si>
  <si>
    <t>Минеральные удобрения</t>
  </si>
  <si>
    <t xml:space="preserve">041               </t>
  </si>
  <si>
    <t>1.7.</t>
  </si>
  <si>
    <t>Субсидии на поддержку экономически значимых региональных программ в области растениеводства</t>
  </si>
  <si>
    <t xml:space="preserve">04 05 2510150350 521 </t>
  </si>
  <si>
    <t>Экономически значимые Растениеводство</t>
  </si>
  <si>
    <t xml:space="preserve">015               </t>
  </si>
  <si>
    <t>1.8.</t>
  </si>
  <si>
    <t>Субсидии на поддержку экономически значимых региональных программ в области животноводства</t>
  </si>
  <si>
    <t xml:space="preserve">04 05 2520550460 521 </t>
  </si>
  <si>
    <t>Экономически значимые Животноводство</t>
  </si>
  <si>
    <t xml:space="preserve">016               </t>
  </si>
  <si>
    <t>1.9.</t>
  </si>
  <si>
    <t>Субсидии на поддержку экономически значимых региональных программ по развитию мясного скотоводства</t>
  </si>
  <si>
    <t xml:space="preserve">04 05 2530250510 521 </t>
  </si>
  <si>
    <t>Экономически значимые Мясное скотоводство</t>
  </si>
  <si>
    <t xml:space="preserve">017               </t>
  </si>
  <si>
    <t>1.10.</t>
  </si>
  <si>
    <t>Субсидии на возмещение части прямых понесенных затрат на создание и модернизацию объектов тепличных комплексов, а также на приобретение техники и оборудования на цели предоставления субсидий</t>
  </si>
  <si>
    <t>04 05 2590254410 521</t>
  </si>
  <si>
    <t>Субсидии на возмещение части прямых понесенных затрат на создание и модернизацию объектов тепличных комплексов</t>
  </si>
  <si>
    <t xml:space="preserve">064               </t>
  </si>
  <si>
    <t>1.11.</t>
  </si>
  <si>
    <t>Субсидии на возмещение части прямых понесенных затрат на создание и модернизацию объектов плодохранилищ, а также на приобретение техники и оборудования на цели предоставления субсидий</t>
  </si>
  <si>
    <t>04 05 2510154370 521</t>
  </si>
  <si>
    <t>Субсидии на возмещение части прямых понесенных затрат на создание и модернизацию объектов плодохранилищ</t>
  </si>
  <si>
    <t xml:space="preserve">066               </t>
  </si>
  <si>
    <t>1.12.</t>
  </si>
  <si>
    <t>Субсидии на возмещение части прямых понесенных затрат на создание и модернизацию объектов картофелехранилищ и овощехранилищ, а также на приобретение техники и оборудования на цели предоставления субсидий</t>
  </si>
  <si>
    <t>04 05 2590154400 521</t>
  </si>
  <si>
    <t>Субсидии на возмещение части прямых понесенных затрат на создание и модернизацию объектов картофелехранилищ и овощехранилищ</t>
  </si>
  <si>
    <t xml:space="preserve">067               </t>
  </si>
  <si>
    <t>1.13.</t>
  </si>
  <si>
    <t>Субсидии на возмещение части прямых понесенных затрат на создание и модернизацию объектов животноводческих комплексов молочного направления (молочных ферм), а также на приобретение техники и оборудования на цели предоставления субсидий</t>
  </si>
  <si>
    <t>04 05 25Б0154420 521</t>
  </si>
  <si>
    <t xml:space="preserve">Субсидии на возмещение части прямых понесенных затрат на создание и модернизацию объектов животноводческих комплексов молочного направления (молочных </t>
  </si>
  <si>
    <t xml:space="preserve">065               </t>
  </si>
  <si>
    <t>1.14.</t>
  </si>
  <si>
    <t>Субсидии на возмещение части прямых понесенных затрат на создание и модернизацию объектов селекционно-генетических центров в животноводстве и селекционно-семеноводческих центров в растениеводстве, а также на приобретение техники и оборудования на цели предоставления субсидий</t>
  </si>
  <si>
    <t>04 05 25Г0554470 521</t>
  </si>
  <si>
    <t>Субсидии на возмещение части прямых понесенных затрат на создание и модернизацию объектов СГЦ</t>
  </si>
  <si>
    <t xml:space="preserve">068               </t>
  </si>
  <si>
    <t>1.15</t>
  </si>
  <si>
    <t>Субсидии на возмещение части прямых понесенных затрат на создание оптово-распределительных центров, а также на приобретение техники и оборудования на цели предоставления субсидий</t>
  </si>
  <si>
    <t>04 05 25Д0254520 521</t>
  </si>
  <si>
    <t>Субсидии на возмещение части прямых понесенных затрат на создание и модернизацию объектов ОРЦ</t>
  </si>
  <si>
    <t xml:space="preserve">069               </t>
  </si>
  <si>
    <t>Возмещение части затрат крестьянских (фермерских) хозяйств, включая индивидуальных предпринимателей, при оформлении в собственность используемых ими земельных участков из земель сельскохозяйственного назначения</t>
  </si>
  <si>
    <t>Оформление замель в собственность</t>
  </si>
  <si>
    <t xml:space="preserve">ФЦП  "Развитие мелиорации земель сельскохозяйственного назначения России на 2014 - 2020 годы" </t>
  </si>
  <si>
    <t xml:space="preserve">04 05 2580050760 521  </t>
  </si>
  <si>
    <t>ФЦП "Мелиорация земель"</t>
  </si>
  <si>
    <t xml:space="preserve">053               </t>
  </si>
  <si>
    <t>4.1.</t>
  </si>
  <si>
    <t>Субсидии на обеспечение жильем граждан, проживающих и работающих в сельской местности, и на обеспечение жильем молодых семей и молодых специалистов, проживающих и работающих в сельской местности</t>
  </si>
  <si>
    <t>10 03 2570050180 521 
(10 03 0005898 521)</t>
  </si>
  <si>
    <t>ФЦП "Социальное развитие села" (жилье)</t>
  </si>
  <si>
    <t>4.2.</t>
  </si>
  <si>
    <t>Софинансирование объектов капитального строительства госсобственности субъектов Российской Федерации (собственности муниципальных образований) всего, в том числе:</t>
  </si>
  <si>
    <t>05 02 2570050180 522  07 02 2570050180 522  09 02 2570050180 522  11 01 2570050180 522  
(05 02, 07 02, 09 02, 11 01 0000058980 522)</t>
  </si>
  <si>
    <t>ФЦП "Социальное развитие села" (капиталка)</t>
  </si>
  <si>
    <t>4.3.</t>
  </si>
  <si>
    <t>Субсидии на комплексную компактную застройку</t>
  </si>
  <si>
    <t>04 05 2570050180 522 
(04 05 0000058980 522)</t>
  </si>
  <si>
    <t>Комплексная компактная застройка</t>
  </si>
  <si>
    <t>4.4.</t>
  </si>
  <si>
    <t>Субсидии на грантовую поддержку местных инициатив граждан, проживающих в сельской местности</t>
  </si>
  <si>
    <t>04 05 2570050180 521</t>
  </si>
  <si>
    <t xml:space="preserve">034               </t>
  </si>
  <si>
    <t>Субсидии на консультационную помощь</t>
  </si>
  <si>
    <t>Консультационная помощь</t>
  </si>
  <si>
    <t xml:space="preserve">045               </t>
  </si>
  <si>
    <t>Субсидии на поддержку начинающих фермеров</t>
  </si>
  <si>
    <t xml:space="preserve">04 05 2540350530 521 </t>
  </si>
  <si>
    <t>Начинающие фермеры</t>
  </si>
  <si>
    <t xml:space="preserve">024               </t>
  </si>
  <si>
    <t>Субсидии на развитие семейных животноводческих ферм</t>
  </si>
  <si>
    <t xml:space="preserve">04 05 2540450540 521 </t>
  </si>
  <si>
    <t>Развитие семейных животноводческих ферм</t>
  </si>
  <si>
    <t xml:space="preserve">025               </t>
  </si>
  <si>
    <t>Субсидии на грантовую поддержку сельскохозяйственных потребительских кооперативов для развития материально-технической базы</t>
  </si>
  <si>
    <t>04 05 2540554380 500</t>
  </si>
  <si>
    <t>Гранты СПоК</t>
  </si>
  <si>
    <t xml:space="preserve">062               </t>
  </si>
  <si>
    <t>в млн. рублей</t>
  </si>
  <si>
    <t>КРЫМСКИЙ Ф.О.</t>
  </si>
  <si>
    <t>1704</t>
  </si>
  <si>
    <t>1705</t>
  </si>
  <si>
    <t>1706</t>
  </si>
  <si>
    <t>1707</t>
  </si>
  <si>
    <t>1708</t>
  </si>
  <si>
    <t>1709</t>
  </si>
  <si>
    <t>1752</t>
  </si>
  <si>
    <t>1710</t>
  </si>
  <si>
    <t>1711</t>
  </si>
  <si>
    <t>1712</t>
  </si>
  <si>
    <t>1713</t>
  </si>
  <si>
    <t>1714</t>
  </si>
  <si>
    <t>1715</t>
  </si>
  <si>
    <t>1716</t>
  </si>
  <si>
    <t>1721</t>
  </si>
  <si>
    <t>1719</t>
  </si>
  <si>
    <t>1751</t>
  </si>
  <si>
    <t>1723</t>
  </si>
  <si>
    <t>6204</t>
  </si>
  <si>
    <t>6205</t>
  </si>
  <si>
    <t>6206</t>
  </si>
  <si>
    <t>6207</t>
  </si>
  <si>
    <t>6208</t>
  </si>
  <si>
    <t>6209</t>
  </si>
  <si>
    <t>6252</t>
  </si>
  <si>
    <t>6210</t>
  </si>
  <si>
    <t>6211</t>
  </si>
  <si>
    <t>6212</t>
  </si>
  <si>
    <t>6213</t>
  </si>
  <si>
    <t>6214</t>
  </si>
  <si>
    <t>6215</t>
  </si>
  <si>
    <t>6216</t>
  </si>
  <si>
    <t>6221</t>
  </si>
  <si>
    <t>6219</t>
  </si>
  <si>
    <t>6251</t>
  </si>
  <si>
    <t>6223</t>
  </si>
  <si>
    <t>3704</t>
  </si>
  <si>
    <t>3705</t>
  </si>
  <si>
    <t>3706</t>
  </si>
  <si>
    <t>3707</t>
  </si>
  <si>
    <t>3708</t>
  </si>
  <si>
    <t>3709</t>
  </si>
  <si>
    <t>3752</t>
  </si>
  <si>
    <t>3710</t>
  </si>
  <si>
    <t>3711</t>
  </si>
  <si>
    <t>3712</t>
  </si>
  <si>
    <t>3713</t>
  </si>
  <si>
    <t>3714</t>
  </si>
  <si>
    <t>3715</t>
  </si>
  <si>
    <t>3716</t>
  </si>
  <si>
    <t>3721</t>
  </si>
  <si>
    <t>3719</t>
  </si>
  <si>
    <t>3751</t>
  </si>
  <si>
    <t>3723</t>
  </si>
  <si>
    <t>4504</t>
  </si>
  <si>
    <t>4505</t>
  </si>
  <si>
    <t>4506</t>
  </si>
  <si>
    <t>4507</t>
  </si>
  <si>
    <t>4508</t>
  </si>
  <si>
    <t>4509</t>
  </si>
  <si>
    <t>4552</t>
  </si>
  <si>
    <t>4510</t>
  </si>
  <si>
    <t>4511</t>
  </si>
  <si>
    <t>4512</t>
  </si>
  <si>
    <t>4513</t>
  </si>
  <si>
    <t>4514</t>
  </si>
  <si>
    <t>4515</t>
  </si>
  <si>
    <t>4516</t>
  </si>
  <si>
    <t>4521</t>
  </si>
  <si>
    <t>4519</t>
  </si>
  <si>
    <t>4551</t>
  </si>
  <si>
    <t>4523</t>
  </si>
  <si>
    <t>6104</t>
  </si>
  <si>
    <t>6105</t>
  </si>
  <si>
    <t>6106</t>
  </si>
  <si>
    <t>6107</t>
  </si>
  <si>
    <t>6108</t>
  </si>
  <si>
    <t>6109</t>
  </si>
  <si>
    <t>6152</t>
  </si>
  <si>
    <t>6110</t>
  </si>
  <si>
    <t>6111</t>
  </si>
  <si>
    <t>6112</t>
  </si>
  <si>
    <t>6113</t>
  </si>
  <si>
    <t>6114</t>
  </si>
  <si>
    <t>6115</t>
  </si>
  <si>
    <t>6116</t>
  </si>
  <si>
    <t>6121</t>
  </si>
  <si>
    <t>6119</t>
  </si>
  <si>
    <t>6151</t>
  </si>
  <si>
    <t>6123</t>
  </si>
  <si>
    <t>6004</t>
  </si>
  <si>
    <t>6005</t>
  </si>
  <si>
    <t>6006</t>
  </si>
  <si>
    <t>6007</t>
  </si>
  <si>
    <t>6008</t>
  </si>
  <si>
    <t>6009</t>
  </si>
  <si>
    <t>6052</t>
  </si>
  <si>
    <t>6010</t>
  </si>
  <si>
    <t>6011</t>
  </si>
  <si>
    <t>6012</t>
  </si>
  <si>
    <t>6013</t>
  </si>
  <si>
    <t>6014</t>
  </si>
  <si>
    <t>6015</t>
  </si>
  <si>
    <t>6016</t>
  </si>
  <si>
    <t>6021</t>
  </si>
  <si>
    <t>6019</t>
  </si>
  <si>
    <t>6051</t>
  </si>
  <si>
    <t>6023</t>
  </si>
  <si>
    <t>5704</t>
  </si>
  <si>
    <t>5705</t>
  </si>
  <si>
    <t>5706</t>
  </si>
  <si>
    <t>5707</t>
  </si>
  <si>
    <t>5708</t>
  </si>
  <si>
    <t>5709</t>
  </si>
  <si>
    <t>5752</t>
  </si>
  <si>
    <t>5710</t>
  </si>
  <si>
    <t>5711</t>
  </si>
  <si>
    <t>5712</t>
  </si>
  <si>
    <t>5713</t>
  </si>
  <si>
    <t>5714</t>
  </si>
  <si>
    <t>5715</t>
  </si>
  <si>
    <t>5716</t>
  </si>
  <si>
    <t>5721</t>
  </si>
  <si>
    <t>5719</t>
  </si>
  <si>
    <t>5751</t>
  </si>
  <si>
    <t>5723</t>
  </si>
  <si>
    <t>КОЛОНКИ НА ЭТОМ ЛИСТЕ ДОЛЖНЫ ПОЛНОСТЬЮ ПОВТОРЯТЬ ЛИТ DATA_1 (ИНАЧЕ НЕ ПОСЧИТАЕТСЯ ЛИСТ ДОВЕДЕНИЕ ПО ФО)</t>
  </si>
  <si>
    <t>Позиция в матрице ФО (уже все прибавлено</t>
  </si>
  <si>
    <t>Позиция в матрице для Региона (нужно еще +1)</t>
  </si>
  <si>
    <t>номер строки на листе датаФО</t>
  </si>
  <si>
    <t>в рублях</t>
  </si>
  <si>
    <t>в тыс. рублей</t>
  </si>
  <si>
    <t>КОЛ049</t>
  </si>
  <si>
    <t>КОЛ051</t>
  </si>
  <si>
    <t>КОЛ052</t>
  </si>
  <si>
    <t>КОЛ053</t>
  </si>
  <si>
    <t>КОЛ054</t>
  </si>
  <si>
    <t>КОЛ055</t>
  </si>
  <si>
    <t>КОЛ060</t>
  </si>
  <si>
    <t>КОЛ04904</t>
  </si>
  <si>
    <t>КОЛ04905</t>
  </si>
  <si>
    <t>КОЛ04906</t>
  </si>
  <si>
    <t>КОЛ04907</t>
  </si>
  <si>
    <t>КОЛ04908</t>
  </si>
  <si>
    <t>КОЛ04909</t>
  </si>
  <si>
    <t>КОЛ04952</t>
  </si>
  <si>
    <t>КОЛ04910</t>
  </si>
  <si>
    <t>КОЛ04911</t>
  </si>
  <si>
    <t>КОЛ04912</t>
  </si>
  <si>
    <t>КОЛ04913</t>
  </si>
  <si>
    <t>КОЛ04914</t>
  </si>
  <si>
    <t>КОЛ04915</t>
  </si>
  <si>
    <t>КОЛ04916</t>
  </si>
  <si>
    <t>КОЛ04921</t>
  </si>
  <si>
    <t>КОЛ04919</t>
  </si>
  <si>
    <t>КОЛ04951</t>
  </si>
  <si>
    <t>КОЛ04923</t>
  </si>
  <si>
    <t>5104</t>
  </si>
  <si>
    <t>5105</t>
  </si>
  <si>
    <t>5106</t>
  </si>
  <si>
    <t>5107</t>
  </si>
  <si>
    <t>5108</t>
  </si>
  <si>
    <t>5109</t>
  </si>
  <si>
    <t>5152</t>
  </si>
  <si>
    <t>5110</t>
  </si>
  <si>
    <t>5111</t>
  </si>
  <si>
    <t>5112</t>
  </si>
  <si>
    <t>5113</t>
  </si>
  <si>
    <t>5114</t>
  </si>
  <si>
    <t>5115</t>
  </si>
  <si>
    <t>5116</t>
  </si>
  <si>
    <t>5121</t>
  </si>
  <si>
    <t>5119</t>
  </si>
  <si>
    <t>5151</t>
  </si>
  <si>
    <t>5123</t>
  </si>
  <si>
    <t>КОЛ05104</t>
  </si>
  <si>
    <t>КОЛ05105</t>
  </si>
  <si>
    <t>КОЛ05106</t>
  </si>
  <si>
    <t>КОЛ05107</t>
  </si>
  <si>
    <t>КОЛ05108</t>
  </si>
  <si>
    <t>КОЛ05109</t>
  </si>
  <si>
    <t>КОЛ05152</t>
  </si>
  <si>
    <t>КОЛ05110</t>
  </si>
  <si>
    <t>КОЛ05111</t>
  </si>
  <si>
    <t>КОЛ05112</t>
  </si>
  <si>
    <t>КОЛ05113</t>
  </si>
  <si>
    <t>КОЛ05114</t>
  </si>
  <si>
    <t>КОЛ05115</t>
  </si>
  <si>
    <t>КОЛ05116</t>
  </si>
  <si>
    <t>КОЛ05121</t>
  </si>
  <si>
    <t>КОЛ05119</t>
  </si>
  <si>
    <t>КОЛ05151</t>
  </si>
  <si>
    <t>КОЛ05123</t>
  </si>
  <si>
    <t>5204</t>
  </si>
  <si>
    <t>5205</t>
  </si>
  <si>
    <t>5206</t>
  </si>
  <si>
    <t>5207</t>
  </si>
  <si>
    <t>5208</t>
  </si>
  <si>
    <t>5209</t>
  </si>
  <si>
    <t>5252</t>
  </si>
  <si>
    <t>5210</t>
  </si>
  <si>
    <t>5211</t>
  </si>
  <si>
    <t>5212</t>
  </si>
  <si>
    <t>5213</t>
  </si>
  <si>
    <t>5214</t>
  </si>
  <si>
    <t>5215</t>
  </si>
  <si>
    <t>5216</t>
  </si>
  <si>
    <t>5221</t>
  </si>
  <si>
    <t>5219</t>
  </si>
  <si>
    <t>5251</t>
  </si>
  <si>
    <t>5223</t>
  </si>
  <si>
    <t>КОЛ05204</t>
  </si>
  <si>
    <t>КОЛ05205</t>
  </si>
  <si>
    <t>КОЛ05206</t>
  </si>
  <si>
    <t>КОЛ05207</t>
  </si>
  <si>
    <t>КОЛ05208</t>
  </si>
  <si>
    <t>КОЛ05209</t>
  </si>
  <si>
    <t>КОЛ05252</t>
  </si>
  <si>
    <t>КОЛ05210</t>
  </si>
  <si>
    <t>КОЛ05211</t>
  </si>
  <si>
    <t>КОЛ05212</t>
  </si>
  <si>
    <t>КОЛ05213</t>
  </si>
  <si>
    <t>КОЛ05214</t>
  </si>
  <si>
    <t>КОЛ05215</t>
  </si>
  <si>
    <t>КОЛ05216</t>
  </si>
  <si>
    <t>КОЛ05221</t>
  </si>
  <si>
    <t>КОЛ05219</t>
  </si>
  <si>
    <t>КОЛ05251</t>
  </si>
  <si>
    <t>КОЛ05223</t>
  </si>
  <si>
    <t>5304</t>
  </si>
  <si>
    <t>5305</t>
  </si>
  <si>
    <t>5306</t>
  </si>
  <si>
    <t>5307</t>
  </si>
  <si>
    <t>5308</t>
  </si>
  <si>
    <t>5309</t>
  </si>
  <si>
    <t>5352</t>
  </si>
  <si>
    <t>5310</t>
  </si>
  <si>
    <t>5311</t>
  </si>
  <si>
    <t>5312</t>
  </si>
  <si>
    <t>5313</t>
  </si>
  <si>
    <t>5314</t>
  </si>
  <si>
    <t>5315</t>
  </si>
  <si>
    <t>5316</t>
  </si>
  <si>
    <t>5321</t>
  </si>
  <si>
    <t>5319</t>
  </si>
  <si>
    <t>5351</t>
  </si>
  <si>
    <t>5323</t>
  </si>
  <si>
    <t>КОЛ05304</t>
  </si>
  <si>
    <t>КОЛ05305</t>
  </si>
  <si>
    <t>КОЛ05306</t>
  </si>
  <si>
    <t>КОЛ05307</t>
  </si>
  <si>
    <t>КОЛ05308</t>
  </si>
  <si>
    <t>КОЛ05309</t>
  </si>
  <si>
    <t>КОЛ05352</t>
  </si>
  <si>
    <t>КОЛ05310</t>
  </si>
  <si>
    <t>КОЛ05311</t>
  </si>
  <si>
    <t>КОЛ05312</t>
  </si>
  <si>
    <t>КОЛ05313</t>
  </si>
  <si>
    <t>КОЛ05314</t>
  </si>
  <si>
    <t>КОЛ05315</t>
  </si>
  <si>
    <t>КОЛ05316</t>
  </si>
  <si>
    <t>КОЛ05321</t>
  </si>
  <si>
    <t>КОЛ05319</t>
  </si>
  <si>
    <t>КОЛ05351</t>
  </si>
  <si>
    <t>КОЛ05323</t>
  </si>
  <si>
    <t>5404</t>
  </si>
  <si>
    <t>5405</t>
  </si>
  <si>
    <t>5406</t>
  </si>
  <si>
    <t>5407</t>
  </si>
  <si>
    <t>5408</t>
  </si>
  <si>
    <t>5409</t>
  </si>
  <si>
    <t>5452</t>
  </si>
  <si>
    <t>5410</t>
  </si>
  <si>
    <t>5411</t>
  </si>
  <si>
    <t>5412</t>
  </si>
  <si>
    <t>5413</t>
  </si>
  <si>
    <t>5414</t>
  </si>
  <si>
    <t>5415</t>
  </si>
  <si>
    <t>5416</t>
  </si>
  <si>
    <t>5421</t>
  </si>
  <si>
    <t>5419</t>
  </si>
  <si>
    <t>5451</t>
  </si>
  <si>
    <t>5423</t>
  </si>
  <si>
    <t>КОЛ05404</t>
  </si>
  <si>
    <t>КОЛ05405</t>
  </si>
  <si>
    <t>КОЛ05406</t>
  </si>
  <si>
    <t>КОЛ05407</t>
  </si>
  <si>
    <t>КОЛ05408</t>
  </si>
  <si>
    <t>КОЛ05409</t>
  </si>
  <si>
    <t>КОЛ05452</t>
  </si>
  <si>
    <t>КОЛ05410</t>
  </si>
  <si>
    <t>КОЛ05411</t>
  </si>
  <si>
    <t>КОЛ05412</t>
  </si>
  <si>
    <t>КОЛ05413</t>
  </si>
  <si>
    <t>КОЛ05414</t>
  </si>
  <si>
    <t>КОЛ05415</t>
  </si>
  <si>
    <t>КОЛ05416</t>
  </si>
  <si>
    <t>КОЛ05421</t>
  </si>
  <si>
    <t>КОЛ05419</t>
  </si>
  <si>
    <t>КОЛ05451</t>
  </si>
  <si>
    <t>КОЛ05423</t>
  </si>
  <si>
    <t>КОЛ05504</t>
  </si>
  <si>
    <t>КОЛ05505</t>
  </si>
  <si>
    <t>КОЛ05506</t>
  </si>
  <si>
    <t>КОЛ05507</t>
  </si>
  <si>
    <t>КОЛ05508</t>
  </si>
  <si>
    <t>КОЛ05509</t>
  </si>
  <si>
    <t>КОЛ05552</t>
  </si>
  <si>
    <t>КОЛ05510</t>
  </si>
  <si>
    <t>КОЛ05511</t>
  </si>
  <si>
    <t>КОЛ05512</t>
  </si>
  <si>
    <t>КОЛ05513</t>
  </si>
  <si>
    <t>КОЛ05514</t>
  </si>
  <si>
    <t>КОЛ05515</t>
  </si>
  <si>
    <t>КОЛ05516</t>
  </si>
  <si>
    <t>КОЛ05521</t>
  </si>
  <si>
    <t>КОЛ05519</t>
  </si>
  <si>
    <t>КОЛ05551</t>
  </si>
  <si>
    <t>КОЛ05523</t>
  </si>
  <si>
    <t>КОЛ06004</t>
  </si>
  <si>
    <t>КОЛ06005</t>
  </si>
  <si>
    <t>КОЛ06006</t>
  </si>
  <si>
    <t>КОЛ06007</t>
  </si>
  <si>
    <t>КОЛ06008</t>
  </si>
  <si>
    <t>КОЛ06009</t>
  </si>
  <si>
    <t>КОЛ06052</t>
  </si>
  <si>
    <t>КОЛ06010</t>
  </si>
  <si>
    <t>КОЛ06011</t>
  </si>
  <si>
    <t>КОЛ06012</t>
  </si>
  <si>
    <t>КОЛ06013</t>
  </si>
  <si>
    <t>КОЛ06014</t>
  </si>
  <si>
    <t>КОЛ06015</t>
  </si>
  <si>
    <t>КОЛ06016</t>
  </si>
  <si>
    <t>КОЛ06021</t>
  </si>
  <si>
    <t>КОЛ06019</t>
  </si>
  <si>
    <t>КОЛ06051</t>
  </si>
  <si>
    <t>КОЛ06023</t>
  </si>
  <si>
    <t>федерального бюджета (от направлено расходными расписаниями и подтвержденного остатка)</t>
  </si>
  <si>
    <t>код по ОКАТО</t>
  </si>
  <si>
    <t>порядковый номер на листе data1</t>
  </si>
  <si>
    <t>2.2.5 - Устойчивое развитие сельских территорий на 2014 - 2017 годы и на период до 2020 года" (Медицина):, КБК: 09 02 0000058000 522</t>
  </si>
  <si>
    <t>2.3.1- Субсидии на комплексную компактную застройку, КБК: 04 05 0000058000 522</t>
  </si>
  <si>
    <t>Доведено РБС</t>
  </si>
  <si>
    <t>ё</t>
  </si>
  <si>
    <t>КОЛ017</t>
  </si>
  <si>
    <t>КОЛ01704</t>
  </si>
  <si>
    <t>КОЛ01705</t>
  </si>
  <si>
    <t>КОЛ01706</t>
  </si>
  <si>
    <t>КОЛ01707</t>
  </si>
  <si>
    <t>КОЛ01708</t>
  </si>
  <si>
    <t>КОЛ01709</t>
  </si>
  <si>
    <t>КОЛ01752</t>
  </si>
  <si>
    <t>КОЛ01710</t>
  </si>
  <si>
    <t>КОЛ01711</t>
  </si>
  <si>
    <t>КОЛ01712</t>
  </si>
  <si>
    <t>КОЛ01713</t>
  </si>
  <si>
    <t>КОЛ01714</t>
  </si>
  <si>
    <t>КОЛ01715</t>
  </si>
  <si>
    <t>КОЛ01716</t>
  </si>
  <si>
    <t>КОЛ01721</t>
  </si>
  <si>
    <t>КОЛ01719</t>
  </si>
  <si>
    <t>КОЛ01751</t>
  </si>
  <si>
    <t>КОЛ01723</t>
  </si>
  <si>
    <t>5804</t>
  </si>
  <si>
    <t>5805</t>
  </si>
  <si>
    <t>5806</t>
  </si>
  <si>
    <t>5807</t>
  </si>
  <si>
    <t>5808</t>
  </si>
  <si>
    <t>5809</t>
  </si>
  <si>
    <t>5852</t>
  </si>
  <si>
    <t>5810</t>
  </si>
  <si>
    <t>5811</t>
  </si>
  <si>
    <t>5812</t>
  </si>
  <si>
    <t>5813</t>
  </si>
  <si>
    <t>5814</t>
  </si>
  <si>
    <t>5815</t>
  </si>
  <si>
    <t>5816</t>
  </si>
  <si>
    <t>5821</t>
  </si>
  <si>
    <t>5819</t>
  </si>
  <si>
    <t>5851</t>
  </si>
  <si>
    <t>5823</t>
  </si>
  <si>
    <t>КОЛ037</t>
  </si>
  <si>
    <t>КОЛ03704</t>
  </si>
  <si>
    <t>КОЛ03705</t>
  </si>
  <si>
    <t>КОЛ03706</t>
  </si>
  <si>
    <t>КОЛ03707</t>
  </si>
  <si>
    <t>КОЛ03708</t>
  </si>
  <si>
    <t>КОЛ03709</t>
  </si>
  <si>
    <t>КОЛ03752</t>
  </si>
  <si>
    <t>КОЛ03710</t>
  </si>
  <si>
    <t>КОЛ03711</t>
  </si>
  <si>
    <t>КОЛ03712</t>
  </si>
  <si>
    <t>КОЛ03713</t>
  </si>
  <si>
    <t>КОЛ03714</t>
  </si>
  <si>
    <t>КОЛ03715</t>
  </si>
  <si>
    <t>КОЛ03716</t>
  </si>
  <si>
    <t>КОЛ03721</t>
  </si>
  <si>
    <t>КОЛ03719</t>
  </si>
  <si>
    <t>КОЛ03751</t>
  </si>
  <si>
    <t>КОЛ03723</t>
  </si>
  <si>
    <t>КОЛ061</t>
  </si>
  <si>
    <t>КОЛ06104</t>
  </si>
  <si>
    <t>КОЛ06105</t>
  </si>
  <si>
    <t>КОЛ06106</t>
  </si>
  <si>
    <t>КОЛ06107</t>
  </si>
  <si>
    <t>КОЛ06108</t>
  </si>
  <si>
    <t>КОЛ06109</t>
  </si>
  <si>
    <t>КОЛ06152</t>
  </si>
  <si>
    <t>КОЛ06110</t>
  </si>
  <si>
    <t>КОЛ06111</t>
  </si>
  <si>
    <t>КОЛ06112</t>
  </si>
  <si>
    <t>КОЛ06113</t>
  </si>
  <si>
    <t>КОЛ06114</t>
  </si>
  <si>
    <t>КОЛ06115</t>
  </si>
  <si>
    <t>КОЛ06116</t>
  </si>
  <si>
    <t>КОЛ06121</t>
  </si>
  <si>
    <t>КОЛ06119</t>
  </si>
  <si>
    <t>КОЛ06151</t>
  </si>
  <si>
    <t>КОЛ06123</t>
  </si>
  <si>
    <t>Этот список должен полностью совпадать с data1</t>
  </si>
  <si>
    <t>5904</t>
  </si>
  <si>
    <t>5905</t>
  </si>
  <si>
    <t>5906</t>
  </si>
  <si>
    <t>5907</t>
  </si>
  <si>
    <t>5908</t>
  </si>
  <si>
    <t>5909</t>
  </si>
  <si>
    <t>5952</t>
  </si>
  <si>
    <t>5910</t>
  </si>
  <si>
    <t>5911</t>
  </si>
  <si>
    <t>5912</t>
  </si>
  <si>
    <t>5913</t>
  </si>
  <si>
    <t>5914</t>
  </si>
  <si>
    <t>5915</t>
  </si>
  <si>
    <t>5916</t>
  </si>
  <si>
    <t>5921</t>
  </si>
  <si>
    <t>5919</t>
  </si>
  <si>
    <t>5951</t>
  </si>
  <si>
    <t>5923</t>
  </si>
  <si>
    <t>6304</t>
  </si>
  <si>
    <t>6305</t>
  </si>
  <si>
    <t>6306</t>
  </si>
  <si>
    <t>6307</t>
  </si>
  <si>
    <t>6308</t>
  </si>
  <si>
    <t>6309</t>
  </si>
  <si>
    <t>6352</t>
  </si>
  <si>
    <t>6310</t>
  </si>
  <si>
    <t>6311</t>
  </si>
  <si>
    <t>6312</t>
  </si>
  <si>
    <t>6313</t>
  </si>
  <si>
    <t>6314</t>
  </si>
  <si>
    <t>6315</t>
  </si>
  <si>
    <t>6316</t>
  </si>
  <si>
    <t>6321</t>
  </si>
  <si>
    <t>6319</t>
  </si>
  <si>
    <t>6351</t>
  </si>
  <si>
    <t>6323</t>
  </si>
  <si>
    <t>1.1 - Субсидии на оказание несвязанной поддержки сельскохозяйственным товаропроизводителям в области растениеводства, КБК: 04 05 25УВ355410 523</t>
  </si>
  <si>
    <t>1.2- Субсидии на повышение продуктивности в молочном скотоводстве КБК: 04 05 25УВ355420 521</t>
  </si>
  <si>
    <t>1.3-Субсидии на содействие достижению целевых показателей региональных программ развития агропромышленного комплекса КБК: 04 05 25УВ355430 523</t>
  </si>
  <si>
    <t>1.4-Иные межбюджетные трансферты на возмещение части затрат на уплату процентов по инвестиционным кредитам (займам) в агропромышленном комплексе 04 05 25УВ254330 540</t>
  </si>
  <si>
    <t>3.-Целевые межбюджетные трансферты прошлых лет, полученные из федерального бюджета, КБК: 04 05 0000058000 521 (523)</t>
  </si>
  <si>
    <t>2.4. - Реализация проектов грантовой поддержки местных инициатив граждан, проживающих в сельской местности, КБК: 04 05 25Ф0255670 521</t>
  </si>
  <si>
    <t>2.4.1. - Реализация проектов грантовой поддержки местных инициатив граждан, проживающих в сельской местности КБК: 04 05 0000058000 521</t>
  </si>
  <si>
    <t>1.5 - Реализация мероприятий в области мелиорации земель сельскохозяйственного назначения КБК: 04 05 25ФВ155680 521</t>
  </si>
  <si>
    <t>1.5 - Реализация мероприятий в области мелиорации земель сельскохозяйственного назначения КБК:  04 05 25УT255680 500</t>
  </si>
  <si>
    <t>1.6-Возмещение части прямых понесенных затрат на создание и (или) модернизацию объектов агропромышленного комплекса 04 05 25УВ254720 500</t>
  </si>
  <si>
    <t>1.7 - Создание системы поддержки фермеров и развитие сельской кооперации, КБК: 04 05 25УI754800 500</t>
  </si>
  <si>
    <t xml:space="preserve">2.3 - Субсидии на комплексную компактную застройку, КБК: 04 05 25Ф0255670 522
</t>
  </si>
  <si>
    <t>2.2 - "Устойчивое развитие сельских территорий на 2014 - 2017 годы и на период до 2020 года" (ЖКХ), КБК: 05 02 25Ф0255670 522</t>
  </si>
  <si>
    <t>2.2.1 - Прочее "Устойчивое развитие сельских территорий на 2014 - 2017 годы и на период до 2020 года" (ЖКХ), КБК: 05 02 0000058000 522</t>
  </si>
  <si>
    <t>2.2.2 -  2018 "Устойчивое развитие сельских территорий на 2014 - 2017 годы и на период до 2020 года" (Образование), КБК: 07 02 022E155670 522</t>
  </si>
  <si>
    <t>2.2.3 -Прочее "Устойчивое развитие сельских территорий на 2014 - 2017 годы и на период до 2020 года" (Образование):, КБК: 07 02 0000058000 522</t>
  </si>
  <si>
    <t>2.2.4 -2018 "Устойчивое развитие сельских территорий на 2014 - 2017 годы и на период до 2020 года" (Медицина), КБК: 09 02 01КN155670 522</t>
  </si>
  <si>
    <t>2.2.6 - 2018 "Устойчивое развитие сельских территорий на 2014 - 2017 годы и на период до 2020 года" (Спорт):, КБК: 11 01 131P555670 522</t>
  </si>
  <si>
    <t>2.2.7 - Прочее 2018 "Устойчивое развитие сельских территорий на 2014 - 2017 годы и на период до 2020 года" (Спорт):, КБК: 11 01 0000058000 522</t>
  </si>
  <si>
    <t xml:space="preserve">3.1.-Целевые межбюджетные трансферты прошлых лет, полученные из федерального бюджета 04 05 0000058000 540
</t>
  </si>
  <si>
    <t>2.1-Субсидии на обеспечение жильем граждан, проживающих и работающих в сельской местности, и на обеспечение жильем молодых семей и молодых специалистов, проживающих и работающих в сельской местности 10 03 25Ф0255670 521</t>
  </si>
  <si>
    <t>2.1.2 КБК 10 03 0000058000 521</t>
  </si>
  <si>
    <t>Лимиты согласно НПА</t>
  </si>
  <si>
    <t>Остаток средств федерального бюджета на 01.01.2019 г., потребность в котором подтверждена</t>
  </si>
  <si>
    <t>2. - Обеспечение устойчивого развития сельских территорий, всего (сумма строк 2.1-2.4)</t>
  </si>
  <si>
    <t>2.1.1 - Субсидии на обеспечение жильем граждан, проживающих и работающих в сельской местности, и на обеспечение жильем молодых семей и молодых специалистов, проживающих и работающих в сельской местности, КБК 10 03 25Ф0255670  521</t>
  </si>
  <si>
    <t>2.1.2 - Субсидии на обеспечение жильем граждан, проживающих и работающих в сельской местности, и на обеспечение жильем молодых семей и молодых специалистов, проживающих и работающих в сельской местности, КБК 10 03 0000058000 521</t>
  </si>
  <si>
    <t>2.2.5 - Строительство и реконструкция объектов социальной и инженерной инфраструктуры, расположенных в сельской местности (Медицина), КБК 09 02 01КN155670 522</t>
  </si>
  <si>
    <t>2.2.6 - Строительство и реконструкция объектов социальной и инженерной инфраструктуры, расположенных в сельской местности (Медицина), КБК 09 02 0000058000 522</t>
  </si>
  <si>
    <t>2.2.7 - Строительство и реконструкция объектов социальной и инженерной инфраструктуры, расположенных в сельской местности (Спорт), КБК 11 01 131P555670 522</t>
  </si>
  <si>
    <t>2.2.8 - Строительство и реконструкция объектов социальной и инженерной инфраструктуры, расположенных в сельской местности (Спорт), КБК 11 01 0000058000 522</t>
  </si>
  <si>
    <t>2.3.2 - Мероприятия по реализации проектов комплексного обустройства площадок под компактную жилищную застройку в сельской местности, КБК 04 05 0000058000 522</t>
  </si>
  <si>
    <t>2.4.1 - Реализация проектов грантовой поддержки местных инициатив граждан, проживающих в сельской местности, КБК 04 05 25Ф0255670 521</t>
  </si>
  <si>
    <t>2.4.2 - Реализация проектов грантовой поддержки местных инициатив граждан, проживающих в сельской местности, КБК 04 05 0000058000 521</t>
  </si>
  <si>
    <t>1.5 - Реализация мероприятий в области мелиорации земель сельскохозяйственного назначения, всего</t>
  </si>
  <si>
    <t>1.5.1 - Реализация мероприятий в области мелиорации земель сельскохозяйственного назначения, КБК 04 05 25ФВ155680 521</t>
  </si>
  <si>
    <t>2.2.1 - Строительство и реконструкция объектов социальной и инженерной инфраструктуры, расположенных в сельской местности (ЖКХ), КБК 05 02 25Ф0255670 522</t>
  </si>
  <si>
    <t>2.2.2 - Строительство и реконструкция объектов социальной и инженерной инфраструктуры, расположенных в сельской местности (ЖКХ), КБК 05 02 0000058000 522</t>
  </si>
  <si>
    <t>2.2.3 - Строительство и реконструкция объектов социальной и инженерной инфраструктуры, расположенных в сельской местности (Образование), КБК 07 02 022E155670 522</t>
  </si>
  <si>
    <t>2.2.4 - Строительство и реконструкция объектов социальной и инженерной инфраструктуры, расположенных в сельской местности (Образование), КБК 07 02 0000058000 522</t>
  </si>
  <si>
    <t>2.3.1 - Мероприятия по реализации проектов комплексного обустройства площадок под компактную жилищную застройку в сельской местности, КБК 04 05 25Ф0255670 522</t>
  </si>
  <si>
    <t>3. - Целевые межбюджетные трансферты прошлых лет, полученные из федерального бюджета, всего</t>
  </si>
  <si>
    <t>3.2 - Целевые межбюджетные трансферты прошлых лет, полученные из федерального бюджета, КБК 04 05 0000058000 540</t>
  </si>
  <si>
    <t>1.4 - Иные межбюджетные трансферты на возмещение части затрат на уплату процентов по инвестиционным кредитам (займам) в агропромышленном комплексе, КБК 04 05 25УВ254330 540</t>
  </si>
  <si>
    <t>1.3 - Субсидии на содействие достижению целевых показателей региональных программ развития агропромышленного комплекса, КБК 04 05 25УВ355430 523</t>
  </si>
  <si>
    <t>1.2 - Субсидии на повышение продуктивности в молочном скотоводстве, КБК 04 05 25УВ355420 521</t>
  </si>
  <si>
    <t>1.1 - Субсидии на оказание несвязанной поддержки сельскохозяйственным товаропроизводителям в области растениеводства, КБК 04 05 25УВ355410 523</t>
  </si>
  <si>
    <t>Субсидии на поддержку сельского хозяйства, всего (с 1.1 по 1.7)</t>
  </si>
  <si>
    <t>Ненецкий автономный округ</t>
  </si>
  <si>
    <t>1.6.2 - Возмещение части прямых понесенных затрат на создание и (или) модернизацию объектов агропромышленного комплекса (резерв), КБК 04 05 25УВ25472F 540</t>
  </si>
  <si>
    <t>2.2.2 - Строительство и реконструкция объектов социальной и инженерной инфраструктуры, расположенных в сельской местности (ЖКХ, резерв), КБК 05 02 25Ф025567F 521</t>
  </si>
  <si>
    <t>КОЛ066</t>
  </si>
  <si>
    <t>3.2 - Целевые межбюджетные трансферты прошлых лет, полученные из федерального бюджета, КБК 04 05 0000058000 523</t>
  </si>
  <si>
    <t>КОЛ068</t>
  </si>
  <si>
    <t>4.1 -  Иные межбюджетные трансферты на осуществление компенсации сельскохозяйственным товаропроизводителям ущерба, причиненного в результате чрезвычайных ситуаций, КБК 04 05 25Ф0353700 540</t>
  </si>
  <si>
    <t>4.2 -  Иные межбюджетные трансферты на осуществление компенсации сельскохозяйственным товаропроизводителям ущерба, причиненного в результате чрезвычайных ситуаций, КБК 04 05 25Ф0356430 540</t>
  </si>
  <si>
    <t>4.3 -  Иные межбюджетные трансферты на осуществление компенсации сельскохозяйственным товаропроизводителям ущерба, причиненного в результате чрезвычайных ситуаций, КБК 04 05 25Ф035473F 540</t>
  </si>
  <si>
    <t>КОЛ064</t>
  </si>
  <si>
    <t>3.-Целевые межбюджетные трансферты прошлых лет, полученные из федерального бюджета, КБК: 04 05 0000058000 521</t>
  </si>
  <si>
    <t>КОЛ06404</t>
  </si>
  <si>
    <t>КОЛ06405</t>
  </si>
  <si>
    <t>КОЛ06406</t>
  </si>
  <si>
    <t>КОЛ06407</t>
  </si>
  <si>
    <t>КОЛ06408</t>
  </si>
  <si>
    <t>КОЛ06409</t>
  </si>
  <si>
    <t>КОЛ06452</t>
  </si>
  <si>
    <t>КОЛ06410</t>
  </si>
  <si>
    <t>КОЛ06411</t>
  </si>
  <si>
    <t>КОЛ06412</t>
  </si>
  <si>
    <t>КОЛ06413</t>
  </si>
  <si>
    <t>КОЛ06414</t>
  </si>
  <si>
    <t>КОЛ06415</t>
  </si>
  <si>
    <t>КОЛ06416</t>
  </si>
  <si>
    <t>КОЛ06421</t>
  </si>
  <si>
    <t>КОЛ06419</t>
  </si>
  <si>
    <t>КОЛ06451</t>
  </si>
  <si>
    <t>КОЛ06423</t>
  </si>
  <si>
    <t>6504</t>
  </si>
  <si>
    <t>6505</t>
  </si>
  <si>
    <t>6506</t>
  </si>
  <si>
    <t>6507</t>
  </si>
  <si>
    <t>6508</t>
  </si>
  <si>
    <t>6509</t>
  </si>
  <si>
    <t>6552</t>
  </si>
  <si>
    <t>6510</t>
  </si>
  <si>
    <t>6511</t>
  </si>
  <si>
    <t>6512</t>
  </si>
  <si>
    <t>6513</t>
  </si>
  <si>
    <t>6514</t>
  </si>
  <si>
    <t>6515</t>
  </si>
  <si>
    <t>6516</t>
  </si>
  <si>
    <t>6521</t>
  </si>
  <si>
    <t>6519</t>
  </si>
  <si>
    <t>6551</t>
  </si>
  <si>
    <t>6523</t>
  </si>
  <si>
    <t>КОЛ06604</t>
  </si>
  <si>
    <t>КОЛ06605</t>
  </si>
  <si>
    <t>КОЛ06606</t>
  </si>
  <si>
    <t>КОЛ06607</t>
  </si>
  <si>
    <t>КОЛ06608</t>
  </si>
  <si>
    <t>КОЛ06609</t>
  </si>
  <si>
    <t>КОЛ06652</t>
  </si>
  <si>
    <t>КОЛ06610</t>
  </si>
  <si>
    <t>КОЛ06611</t>
  </si>
  <si>
    <t>КОЛ06612</t>
  </si>
  <si>
    <t>КОЛ06613</t>
  </si>
  <si>
    <t>КОЛ06614</t>
  </si>
  <si>
    <t>КОЛ06615</t>
  </si>
  <si>
    <t>КОЛ06616</t>
  </si>
  <si>
    <t>КОЛ06621</t>
  </si>
  <si>
    <t>КОЛ06619</t>
  </si>
  <si>
    <t>КОЛ06651</t>
  </si>
  <si>
    <t>КОЛ06623</t>
  </si>
  <si>
    <t>6704</t>
  </si>
  <si>
    <t>6705</t>
  </si>
  <si>
    <t>6706</t>
  </si>
  <si>
    <t>6707</t>
  </si>
  <si>
    <t>6708</t>
  </si>
  <si>
    <t>6709</t>
  </si>
  <si>
    <t>6752</t>
  </si>
  <si>
    <t>6710</t>
  </si>
  <si>
    <t>6711</t>
  </si>
  <si>
    <t>6712</t>
  </si>
  <si>
    <t>6713</t>
  </si>
  <si>
    <t>6714</t>
  </si>
  <si>
    <t>6715</t>
  </si>
  <si>
    <t>6716</t>
  </si>
  <si>
    <t>6721</t>
  </si>
  <si>
    <t>6719</t>
  </si>
  <si>
    <t>6751</t>
  </si>
  <si>
    <t>6723</t>
  </si>
  <si>
    <t>КОЛ06804</t>
  </si>
  <si>
    <t>КОЛ06805</t>
  </si>
  <si>
    <t>КОЛ06806</t>
  </si>
  <si>
    <t>КОЛ06807</t>
  </si>
  <si>
    <t>КОЛ06808</t>
  </si>
  <si>
    <t>КОЛ06809</t>
  </si>
  <si>
    <t>КОЛ06852</t>
  </si>
  <si>
    <t>КОЛ06810</t>
  </si>
  <si>
    <t>КОЛ06811</t>
  </si>
  <si>
    <t>КОЛ06812</t>
  </si>
  <si>
    <t>КОЛ06813</t>
  </si>
  <si>
    <t>КОЛ06814</t>
  </si>
  <si>
    <t>КОЛ06815</t>
  </si>
  <si>
    <t>КОЛ06816</t>
  </si>
  <si>
    <t>КОЛ06821</t>
  </si>
  <si>
    <t>КОЛ06819</t>
  </si>
  <si>
    <t>КОЛ06851</t>
  </si>
  <si>
    <t>КОЛ06823</t>
  </si>
  <si>
    <t>6904</t>
  </si>
  <si>
    <t>6905</t>
  </si>
  <si>
    <t>6906</t>
  </si>
  <si>
    <t>6907</t>
  </si>
  <si>
    <t>6908</t>
  </si>
  <si>
    <t>6909</t>
  </si>
  <si>
    <t>6952</t>
  </si>
  <si>
    <t>6910</t>
  </si>
  <si>
    <t>6911</t>
  </si>
  <si>
    <t>6912</t>
  </si>
  <si>
    <t>6913</t>
  </si>
  <si>
    <t>6914</t>
  </si>
  <si>
    <t>6915</t>
  </si>
  <si>
    <t>6916</t>
  </si>
  <si>
    <t>6921</t>
  </si>
  <si>
    <t>6919</t>
  </si>
  <si>
    <t>6951</t>
  </si>
  <si>
    <t>6923</t>
  </si>
  <si>
    <t>3.3 - Целевые межбюджетные трансферты прошлых лет, полученные из федерального бюджета, КБК 04 05 0000058000 523</t>
  </si>
  <si>
    <t>4. - Иные межбюджетные трансферты на осуществление компенсации сельскохозяйственным товаропроизводителям ущерба, причиненного в результате чрезвычайных ситуаций, всего</t>
  </si>
  <si>
    <t>1.6.2 - Иные межбюджетные трансферты на возмещение части прямых понесенных затрат на создание и (или) модернизацию объектов агропромышленного комплекса за счет средств резервного фонда Правительства Российской Федерации, КБК 04 05 25УВ25472F 540</t>
  </si>
  <si>
    <t>1.6 - Иные межбюджетные трансферты на возмещение части прямых понесенных затрат на создание и (или) модернизацию объектов агропромышленного комплекса, всего</t>
  </si>
  <si>
    <t>1.7 - Создание системы поддержки фермеров и развитие сельской кооперации, КБК: 04 05 25УI754800 540</t>
  </si>
  <si>
    <t>1.5 - Реализация мероприятий в области мелиорации земель сельскохозяйственного назначения (экспорт) КБК:  04 05 25УT255680 521</t>
  </si>
  <si>
    <t>1.6.1 - Иные межбюджетные трансферты на возмещение части прямых понесенных затрат на создание и (или) модернизацию объектов агропромышленного комплекса КБК 04 05 25УВ254720 500</t>
  </si>
  <si>
    <t>1.7 - Создание системы поддержки фермеров и развитие сельской кооперации КБК 04 05 25УI754800 540</t>
  </si>
  <si>
    <t>1.5.2 - Реализация мероприятий в области мелиорации земель сельскохозяйственного назначения в рамках федерального проекта "Экспорт продукции АПК", КБК 04 05 25УT255680 521</t>
  </si>
  <si>
    <t>3.1 - Целевые межбюджетные трансферты прошлых лет, полученные из федерального бюджета, КБК 04 05 0000058000 521</t>
  </si>
  <si>
    <t>1.6.1 - Иные межбюджетные трансферты на возмещение части прямых понесенных затрат на создание и (или) модернизацию объектов агропромышленного комплекса, КБК 04 05 25УВ254720 540</t>
  </si>
  <si>
    <t>КОЛ070</t>
  </si>
  <si>
    <t>4.4 -  Иные межбюджетные трансферты на осуществление компенсации сельскохозяйственным товаропроизводителям ущерба, причиненного в результате чрезвычайных ситуаций, КБК 04 05 25Ф0353710 540</t>
  </si>
  <si>
    <t>КОЛ07004</t>
  </si>
  <si>
    <t>КОЛ07005</t>
  </si>
  <si>
    <t>КОЛ07006</t>
  </si>
  <si>
    <t>КОЛ07007</t>
  </si>
  <si>
    <t>КОЛ07008</t>
  </si>
  <si>
    <t>КОЛ07009</t>
  </si>
  <si>
    <t>КОЛ07052</t>
  </si>
  <si>
    <t>КОЛ07010</t>
  </si>
  <si>
    <t>КОЛ07011</t>
  </si>
  <si>
    <t>КОЛ07012</t>
  </si>
  <si>
    <t>КОЛ07013</t>
  </si>
  <si>
    <t>КОЛ07014</t>
  </si>
  <si>
    <t>КОЛ07015</t>
  </si>
  <si>
    <t>КОЛ07016</t>
  </si>
  <si>
    <t>КОЛ07021</t>
  </si>
  <si>
    <t>КОЛ07019</t>
  </si>
  <si>
    <t>КОЛ07051</t>
  </si>
  <si>
    <t>КОЛ07023</t>
  </si>
  <si>
    <t>Декабрь 2019 г.</t>
  </si>
  <si>
    <t>в млн. руб.</t>
  </si>
  <si>
    <t xml:space="preserve"> </t>
  </si>
  <si>
    <t>за 2019 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</si>
</sst>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[$-F800]dddd\,\ mmmm\ dd\,\ yyyy"/>
    <numFmt numFmtId="166" formatCode="0&quot;.&quot;"/>
  </numFmts>
  <fonts count="3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2"/>
      <color indexed="10"/>
      <name val="Arial"/>
      <family val="2"/>
      <charset val="204"/>
    </font>
    <font>
      <u/>
      <sz val="10"/>
      <color indexed="12"/>
      <name val="Arial Cyr"/>
      <charset val="204"/>
    </font>
    <font>
      <b/>
      <sz val="16"/>
      <name val="Times New Roman"/>
      <family val="1"/>
      <charset val="204"/>
    </font>
    <font>
      <b/>
      <u/>
      <sz val="14"/>
      <color indexed="10"/>
      <name val="Arial Cyr"/>
      <charset val="204"/>
    </font>
    <font>
      <sz val="10"/>
      <name val="Times New Roman"/>
      <family val="1"/>
    </font>
    <font>
      <sz val="11"/>
      <name val="Times New Roman"/>
      <family val="1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Arial"/>
      <family val="2"/>
      <charset val="204"/>
    </font>
    <font>
      <sz val="10"/>
      <name val="Arial Cyr"/>
      <charset val="204"/>
    </font>
    <font>
      <sz val="11"/>
      <color indexed="8"/>
      <name val="Times New Roman"/>
      <family val="1"/>
      <charset val="204"/>
    </font>
    <font>
      <sz val="12"/>
      <name val="Times New Roman"/>
      <family val="1"/>
    </font>
    <font>
      <b/>
      <sz val="12"/>
      <color indexed="8"/>
      <name val="Times New Roman"/>
      <family val="1"/>
      <charset val="204"/>
    </font>
    <font>
      <sz val="11"/>
      <name val="Times New Roman"/>
      <family val="1"/>
      <charset val="204"/>
    </font>
    <font>
      <sz val="11"/>
      <color indexed="10"/>
      <name val="Calibri"/>
      <family val="2"/>
      <charset val="204"/>
    </font>
    <font>
      <b/>
      <sz val="14"/>
      <color indexed="8"/>
      <name val="Times New Roman"/>
      <family val="1"/>
      <charset val="204"/>
    </font>
    <font>
      <b/>
      <sz val="16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b/>
      <sz val="12"/>
      <color indexed="8"/>
      <name val="Arial"/>
      <family val="2"/>
      <charset val="204"/>
    </font>
    <font>
      <sz val="12"/>
      <color indexed="8"/>
      <name val="Times New Roman"/>
      <family val="1"/>
      <charset val="204"/>
    </font>
    <font>
      <b/>
      <sz val="12"/>
      <name val="Times New Roman"/>
      <family val="1"/>
      <charset val="204"/>
    </font>
    <font>
      <b/>
      <i/>
      <sz val="12"/>
      <name val="Arial"/>
      <family val="2"/>
      <charset val="204"/>
    </font>
    <font>
      <sz val="12"/>
      <name val="Times New Roman"/>
      <family val="1"/>
      <charset val="204"/>
    </font>
    <font>
      <sz val="12"/>
      <color theme="1"/>
      <name val="Calibri"/>
      <family val="2"/>
      <scheme val="minor"/>
    </font>
    <font>
      <sz val="12"/>
      <color indexed="8"/>
      <name val="Times New Roman"/>
      <family val="2"/>
    </font>
    <font>
      <sz val="8"/>
      <name val="Arial"/>
      <family val="2"/>
    </font>
    <font>
      <b/>
      <sz val="12"/>
      <color indexed="8"/>
      <name val="Times New Roman"/>
      <family val="2"/>
    </font>
    <font>
      <b/>
      <sz val="8"/>
      <name val="Arial"/>
      <family val="2"/>
      <charset val="204"/>
    </font>
    <font>
      <b/>
      <sz val="18"/>
      <color rgb="FFFF0000"/>
      <name val="Calibri"/>
      <family val="2"/>
      <charset val="204"/>
      <scheme val="minor"/>
    </font>
    <font>
      <sz val="6"/>
      <color rgb="FF222222"/>
      <name val="Arial"/>
      <family val="2"/>
      <charset val="204"/>
    </font>
    <font>
      <sz val="11"/>
      <color rgb="FFFF0000"/>
      <name val="Calibri"/>
      <family val="2"/>
      <scheme val="minor"/>
    </font>
    <font>
      <b/>
      <sz val="11"/>
      <color indexed="8"/>
      <name val="Times New Roman"/>
      <family val="1"/>
      <charset val="204"/>
    </font>
    <font>
      <b/>
      <sz val="11"/>
      <name val="Times New Roman"/>
      <family val="1"/>
      <charset val="204"/>
    </font>
    <font>
      <sz val="11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rgb="FF000000"/>
      </patternFill>
    </fill>
    <fill>
      <patternFill patternType="solid">
        <fgColor rgb="FFD8E4B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5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11" fillId="0" borderId="0"/>
    <xf numFmtId="0" fontId="12" fillId="0" borderId="0"/>
    <xf numFmtId="0" fontId="28" fillId="0" borderId="0"/>
    <xf numFmtId="0" fontId="2" fillId="0" borderId="0"/>
    <xf numFmtId="0" fontId="1" fillId="0" borderId="0"/>
  </cellStyleXfs>
  <cellXfs count="356">
    <xf numFmtId="0" fontId="0" fillId="0" borderId="0" xfId="0"/>
    <xf numFmtId="0" fontId="3" fillId="0" borderId="0" xfId="0" applyFont="1" applyAlignment="1">
      <alignment vertical="top" wrapText="1"/>
    </xf>
    <xf numFmtId="0" fontId="5" fillId="0" borderId="0" xfId="1" applyFont="1" applyAlignment="1" applyProtection="1"/>
    <xf numFmtId="14" fontId="0" fillId="0" borderId="0" xfId="0" applyNumberFormat="1"/>
    <xf numFmtId="0" fontId="6" fillId="0" borderId="0" xfId="1" applyFont="1" applyAlignment="1" applyProtection="1">
      <alignment horizontal="center" vertical="top"/>
    </xf>
    <xf numFmtId="0" fontId="0" fillId="0" borderId="5" xfId="0" applyBorder="1"/>
    <xf numFmtId="0" fontId="0" fillId="0" borderId="8" xfId="0" applyBorder="1"/>
    <xf numFmtId="0" fontId="8" fillId="2" borderId="9" xfId="0" applyNumberFormat="1" applyFont="1" applyFill="1" applyBorder="1" applyAlignment="1">
      <alignment horizontal="center" vertical="top" wrapText="1"/>
    </xf>
    <xf numFmtId="49" fontId="9" fillId="2" borderId="8" xfId="0" applyNumberFormat="1" applyFont="1" applyFill="1" applyBorder="1"/>
    <xf numFmtId="0" fontId="9" fillId="0" borderId="9" xfId="0" applyFont="1" applyBorder="1" applyAlignment="1">
      <alignment horizontal="center"/>
    </xf>
    <xf numFmtId="0" fontId="10" fillId="0" borderId="10" xfId="0" applyFont="1" applyBorder="1" applyAlignment="1">
      <alignment wrapText="1"/>
    </xf>
    <xf numFmtId="0" fontId="9" fillId="0" borderId="11" xfId="0" applyFont="1" applyBorder="1" applyAlignment="1">
      <alignment horizontal="center"/>
    </xf>
    <xf numFmtId="0" fontId="10" fillId="0" borderId="12" xfId="0" applyFont="1" applyBorder="1"/>
    <xf numFmtId="0" fontId="9" fillId="0" borderId="12" xfId="0" applyFont="1" applyBorder="1"/>
    <xf numFmtId="49" fontId="9" fillId="2" borderId="8" xfId="2" applyNumberFormat="1" applyFont="1" applyFill="1" applyBorder="1"/>
    <xf numFmtId="164" fontId="10" fillId="0" borderId="11" xfId="3" applyNumberFormat="1" applyFont="1" applyFill="1" applyBorder="1" applyAlignment="1">
      <alignment vertical="top" wrapText="1"/>
    </xf>
    <xf numFmtId="164" fontId="9" fillId="0" borderId="11" xfId="3" applyNumberFormat="1" applyFont="1" applyFill="1" applyBorder="1" applyAlignment="1">
      <alignment vertical="top" wrapText="1"/>
    </xf>
    <xf numFmtId="164" fontId="10" fillId="0" borderId="11" xfId="3" applyNumberFormat="1" applyFont="1" applyFill="1" applyBorder="1" applyAlignment="1">
      <alignment horizontal="left" vertical="top" wrapText="1"/>
    </xf>
    <xf numFmtId="0" fontId="9" fillId="0" borderId="12" xfId="0" applyFont="1" applyBorder="1" applyAlignment="1">
      <alignment wrapText="1"/>
    </xf>
    <xf numFmtId="49" fontId="9" fillId="2" borderId="14" xfId="0" applyNumberFormat="1" applyFont="1" applyFill="1" applyBorder="1"/>
    <xf numFmtId="0" fontId="9" fillId="0" borderId="16" xfId="0" applyFont="1" applyBorder="1"/>
    <xf numFmtId="0" fontId="8" fillId="3" borderId="0" xfId="0" applyNumberFormat="1" applyFont="1" applyFill="1" applyBorder="1" applyAlignment="1">
      <alignment horizontal="center" vertical="top" wrapText="1"/>
    </xf>
    <xf numFmtId="0" fontId="7" fillId="0" borderId="21" xfId="0" applyFont="1" applyBorder="1" applyAlignment="1">
      <alignment horizontal="center" vertical="center" wrapText="1"/>
    </xf>
    <xf numFmtId="0" fontId="14" fillId="0" borderId="0" xfId="0" applyFont="1" applyBorder="1" applyAlignment="1">
      <alignment horizontal="center" vertical="center" wrapText="1"/>
    </xf>
    <xf numFmtId="0" fontId="8" fillId="0" borderId="24" xfId="0" applyNumberFormat="1" applyFont="1" applyBorder="1" applyAlignment="1">
      <alignment horizontal="center" vertical="top" wrapText="1"/>
    </xf>
    <xf numFmtId="0" fontId="8" fillId="0" borderId="25" xfId="0" applyNumberFormat="1" applyFont="1" applyBorder="1" applyAlignment="1">
      <alignment horizontal="center" vertical="top" wrapText="1"/>
    </xf>
    <xf numFmtId="0" fontId="8" fillId="2" borderId="10" xfId="0" applyNumberFormat="1" applyFont="1" applyFill="1" applyBorder="1" applyAlignment="1">
      <alignment horizontal="center" vertical="top" wrapText="1"/>
    </xf>
    <xf numFmtId="0" fontId="0" fillId="0" borderId="11" xfId="0" applyBorder="1"/>
    <xf numFmtId="0" fontId="8" fillId="2" borderId="3" xfId="0" applyNumberFormat="1" applyFont="1" applyFill="1" applyBorder="1" applyAlignment="1">
      <alignment horizontal="center" vertical="top" wrapText="1"/>
    </xf>
    <xf numFmtId="0" fontId="0" fillId="0" borderId="15" xfId="0" applyBorder="1"/>
    <xf numFmtId="0" fontId="0" fillId="4" borderId="27" xfId="0" applyFill="1" applyBorder="1"/>
    <xf numFmtId="0" fontId="0" fillId="4" borderId="28" xfId="0" applyFill="1" applyBorder="1"/>
    <xf numFmtId="0" fontId="0" fillId="4" borderId="13" xfId="0" applyFill="1" applyBorder="1"/>
    <xf numFmtId="0" fontId="0" fillId="4" borderId="11" xfId="0" applyFill="1" applyBorder="1"/>
    <xf numFmtId="0" fontId="0" fillId="4" borderId="29" xfId="0" applyFill="1" applyBorder="1"/>
    <xf numFmtId="0" fontId="0" fillId="0" borderId="13" xfId="0" applyBorder="1" applyAlignment="1">
      <alignment wrapText="1"/>
    </xf>
    <xf numFmtId="0" fontId="0" fillId="0" borderId="11" xfId="0" applyBorder="1" applyAlignment="1">
      <alignment wrapText="1"/>
    </xf>
    <xf numFmtId="0" fontId="17" fillId="0" borderId="0" xfId="0" applyFont="1"/>
    <xf numFmtId="0" fontId="0" fillId="0" borderId="0" xfId="0" applyAlignment="1">
      <alignment wrapText="1"/>
    </xf>
    <xf numFmtId="0" fontId="5" fillId="0" borderId="0" xfId="1" applyFont="1" applyAlignment="1" applyProtection="1">
      <alignment horizontal="left" wrapText="1"/>
    </xf>
    <xf numFmtId="0" fontId="19" fillId="0" borderId="0" xfId="0" applyFont="1" applyAlignment="1">
      <alignment wrapText="1"/>
    </xf>
    <xf numFmtId="0" fontId="20" fillId="0" borderId="0" xfId="0" applyFont="1" applyBorder="1" applyAlignment="1">
      <alignment horizontal="right" vertical="center" wrapText="1"/>
    </xf>
    <xf numFmtId="0" fontId="20" fillId="0" borderId="0" xfId="0" applyFont="1" applyBorder="1" applyAlignment="1">
      <alignment horizontal="center" vertical="center" wrapText="1"/>
    </xf>
    <xf numFmtId="0" fontId="20" fillId="0" borderId="0" xfId="0" applyFont="1" applyBorder="1" applyAlignment="1">
      <alignment vertical="center" wrapText="1"/>
    </xf>
    <xf numFmtId="0" fontId="21" fillId="0" borderId="0" xfId="0" applyFont="1" applyAlignment="1">
      <alignment horizontal="center" vertical="top" wrapText="1"/>
    </xf>
    <xf numFmtId="0" fontId="0" fillId="0" borderId="14" xfId="0" applyBorder="1"/>
    <xf numFmtId="0" fontId="8" fillId="0" borderId="11" xfId="0" applyNumberFormat="1" applyFont="1" applyBorder="1" applyAlignment="1">
      <alignment horizontal="center" vertical="top" wrapText="1"/>
    </xf>
    <xf numFmtId="0" fontId="8" fillId="2" borderId="11" xfId="0" applyNumberFormat="1" applyFont="1" applyFill="1" applyBorder="1" applyAlignment="1">
      <alignment horizontal="center" vertical="top" wrapText="1"/>
    </xf>
    <xf numFmtId="0" fontId="0" fillId="2" borderId="11" xfId="0" applyFill="1" applyBorder="1"/>
    <xf numFmtId="49" fontId="9" fillId="7" borderId="8" xfId="0" applyNumberFormat="1" applyFont="1" applyFill="1" applyBorder="1"/>
    <xf numFmtId="0" fontId="9" fillId="7" borderId="11" xfId="0" applyFont="1" applyFill="1" applyBorder="1" applyAlignment="1">
      <alignment horizontal="center"/>
    </xf>
    <xf numFmtId="0" fontId="10" fillId="7" borderId="11" xfId="0" applyFont="1" applyFill="1" applyBorder="1" applyAlignment="1">
      <alignment wrapText="1"/>
    </xf>
    <xf numFmtId="14" fontId="9" fillId="7" borderId="11" xfId="0" applyNumberFormat="1" applyFont="1" applyFill="1" applyBorder="1" applyAlignment="1">
      <alignment wrapText="1"/>
    </xf>
    <xf numFmtId="4" fontId="23" fillId="7" borderId="11" xfId="0" applyNumberFormat="1" applyFont="1" applyFill="1" applyBorder="1" applyAlignment="1">
      <alignment horizontal="right" vertical="center" wrapText="1"/>
    </xf>
    <xf numFmtId="0" fontId="0" fillId="7" borderId="0" xfId="0" applyFill="1"/>
    <xf numFmtId="0" fontId="24" fillId="8" borderId="11" xfId="0" applyFont="1" applyFill="1" applyBorder="1" applyAlignment="1">
      <alignment vertical="center" wrapText="1"/>
    </xf>
    <xf numFmtId="49" fontId="9" fillId="9" borderId="8" xfId="0" applyNumberFormat="1" applyFont="1" applyFill="1" applyBorder="1"/>
    <xf numFmtId="0" fontId="9" fillId="9" borderId="11" xfId="0" applyFont="1" applyFill="1" applyBorder="1" applyAlignment="1">
      <alignment horizontal="center"/>
    </xf>
    <xf numFmtId="0" fontId="10" fillId="9" borderId="11" xfId="0" applyFont="1" applyFill="1" applyBorder="1"/>
    <xf numFmtId="0" fontId="10" fillId="9" borderId="11" xfId="0" applyFont="1" applyFill="1" applyBorder="1" applyAlignment="1">
      <alignment wrapText="1"/>
    </xf>
    <xf numFmtId="14" fontId="9" fillId="9" borderId="11" xfId="0" applyNumberFormat="1" applyFont="1" applyFill="1" applyBorder="1" applyAlignment="1">
      <alignment wrapText="1"/>
    </xf>
    <xf numFmtId="4" fontId="23" fillId="9" borderId="11" xfId="0" applyNumberFormat="1" applyFont="1" applyFill="1" applyBorder="1" applyAlignment="1">
      <alignment horizontal="right" vertical="center" wrapText="1"/>
    </xf>
    <xf numFmtId="0" fontId="0" fillId="9" borderId="0" xfId="0" applyFill="1"/>
    <xf numFmtId="0" fontId="9" fillId="0" borderId="11" xfId="0" applyFont="1" applyBorder="1"/>
    <xf numFmtId="0" fontId="10" fillId="3" borderId="11" xfId="0" applyFont="1" applyFill="1" applyBorder="1" applyAlignment="1">
      <alignment wrapText="1"/>
    </xf>
    <xf numFmtId="14" fontId="9" fillId="3" borderId="11" xfId="0" applyNumberFormat="1" applyFont="1" applyFill="1" applyBorder="1" applyAlignment="1">
      <alignment wrapText="1"/>
    </xf>
    <xf numFmtId="4" fontId="25" fillId="0" borderId="11" xfId="0" applyNumberFormat="1" applyFont="1" applyBorder="1" applyAlignment="1">
      <alignment horizontal="right" vertical="center" wrapText="1"/>
    </xf>
    <xf numFmtId="4" fontId="23" fillId="10" borderId="11" xfId="0" applyNumberFormat="1" applyFont="1" applyFill="1" applyBorder="1" applyAlignment="1">
      <alignment horizontal="right" vertical="center" wrapText="1"/>
    </xf>
    <xf numFmtId="0" fontId="9" fillId="3" borderId="11" xfId="0" applyNumberFormat="1" applyFont="1" applyFill="1" applyBorder="1" applyAlignment="1">
      <alignment horizontal="center" vertical="top" wrapText="1"/>
    </xf>
    <xf numFmtId="49" fontId="9" fillId="9" borderId="8" xfId="2" applyNumberFormat="1" applyFont="1" applyFill="1" applyBorder="1"/>
    <xf numFmtId="0" fontId="9" fillId="9" borderId="11" xfId="0" applyNumberFormat="1" applyFont="1" applyFill="1" applyBorder="1" applyAlignment="1">
      <alignment horizontal="center" vertical="top" wrapText="1"/>
    </xf>
    <xf numFmtId="164" fontId="10" fillId="9" borderId="11" xfId="3" applyNumberFormat="1" applyFont="1" applyFill="1" applyBorder="1" applyAlignment="1">
      <alignment vertical="top" wrapText="1"/>
    </xf>
    <xf numFmtId="0" fontId="9" fillId="0" borderId="11" xfId="0" applyNumberFormat="1" applyFont="1" applyBorder="1" applyAlignment="1">
      <alignment horizontal="center" vertical="top" wrapText="1"/>
    </xf>
    <xf numFmtId="164" fontId="10" fillId="9" borderId="11" xfId="3" applyNumberFormat="1" applyFont="1" applyFill="1" applyBorder="1" applyAlignment="1">
      <alignment horizontal="left" vertical="top" wrapText="1"/>
    </xf>
    <xf numFmtId="0" fontId="9" fillId="3" borderId="11" xfId="0" applyFont="1" applyFill="1" applyBorder="1" applyAlignment="1">
      <alignment horizontal="center"/>
    </xf>
    <xf numFmtId="0" fontId="9" fillId="0" borderId="11" xfId="0" applyFont="1" applyBorder="1" applyAlignment="1">
      <alignment wrapText="1"/>
    </xf>
    <xf numFmtId="0" fontId="22" fillId="0" borderId="0" xfId="0" applyFont="1" applyAlignment="1"/>
    <xf numFmtId="0" fontId="16" fillId="0" borderId="20" xfId="0" applyFont="1" applyBorder="1" applyAlignment="1">
      <alignment horizontal="center" vertical="top" wrapText="1"/>
    </xf>
    <xf numFmtId="0" fontId="0" fillId="2" borderId="9" xfId="0" applyFill="1" applyBorder="1"/>
    <xf numFmtId="0" fontId="0" fillId="2" borderId="33" xfId="0" applyFill="1" applyBorder="1"/>
    <xf numFmtId="4" fontId="23" fillId="7" borderId="20" xfId="0" applyNumberFormat="1" applyFont="1" applyFill="1" applyBorder="1" applyAlignment="1">
      <alignment horizontal="right" vertical="center" wrapText="1"/>
    </xf>
    <xf numFmtId="0" fontId="16" fillId="0" borderId="11" xfId="0" applyFont="1" applyBorder="1" applyAlignment="1">
      <alignment horizontal="center" vertical="top" wrapText="1"/>
    </xf>
    <xf numFmtId="0" fontId="5" fillId="0" borderId="0" xfId="1" applyFont="1" applyAlignment="1" applyProtection="1">
      <alignment horizontal="center" wrapText="1"/>
    </xf>
    <xf numFmtId="0" fontId="23" fillId="7" borderId="11" xfId="0" applyNumberFormat="1" applyFont="1" applyFill="1" applyBorder="1" applyAlignment="1">
      <alignment horizontal="right" vertical="center" wrapText="1"/>
    </xf>
    <xf numFmtId="0" fontId="16" fillId="0" borderId="11" xfId="0" applyFont="1" applyBorder="1" applyAlignment="1">
      <alignment horizontal="center" vertical="top" wrapText="1"/>
    </xf>
    <xf numFmtId="0" fontId="0" fillId="0" borderId="20" xfId="0" applyBorder="1" applyAlignment="1">
      <alignment wrapText="1"/>
    </xf>
    <xf numFmtId="0" fontId="0" fillId="4" borderId="20" xfId="0" applyFill="1" applyBorder="1"/>
    <xf numFmtId="0" fontId="0" fillId="0" borderId="40" xfId="0" applyBorder="1" applyAlignment="1">
      <alignment wrapText="1"/>
    </xf>
    <xf numFmtId="0" fontId="0" fillId="4" borderId="41" xfId="0" applyFill="1" applyBorder="1"/>
    <xf numFmtId="0" fontId="0" fillId="4" borderId="42" xfId="0" applyFill="1" applyBorder="1"/>
    <xf numFmtId="0" fontId="0" fillId="4" borderId="43" xfId="0" applyFill="1" applyBorder="1"/>
    <xf numFmtId="0" fontId="8" fillId="2" borderId="45" xfId="0" applyNumberFormat="1" applyFont="1" applyFill="1" applyBorder="1" applyAlignment="1">
      <alignment horizontal="center" vertical="top" wrapText="1"/>
    </xf>
    <xf numFmtId="0" fontId="8" fillId="2" borderId="8" xfId="0" applyNumberFormat="1" applyFont="1" applyFill="1" applyBorder="1" applyAlignment="1">
      <alignment horizontal="center" vertical="top" wrapText="1"/>
    </xf>
    <xf numFmtId="0" fontId="0" fillId="4" borderId="10" xfId="0" applyFill="1" applyBorder="1"/>
    <xf numFmtId="0" fontId="0" fillId="4" borderId="12" xfId="0" applyFill="1" applyBorder="1"/>
    <xf numFmtId="0" fontId="8" fillId="2" borderId="44" xfId="0" quotePrefix="1" applyNumberFormat="1" applyFont="1" applyFill="1" applyBorder="1" applyAlignment="1">
      <alignment horizontal="center" vertical="top" wrapText="1"/>
    </xf>
    <xf numFmtId="0" fontId="16" fillId="0" borderId="11" xfId="0" applyFont="1" applyBorder="1" applyAlignment="1">
      <alignment horizontal="center" vertical="top" wrapText="1"/>
    </xf>
    <xf numFmtId="0" fontId="5" fillId="0" borderId="0" xfId="1" applyFont="1" applyAlignment="1" applyProtection="1">
      <alignment horizontal="center" wrapText="1"/>
    </xf>
    <xf numFmtId="0" fontId="16" fillId="0" borderId="11" xfId="0" applyFont="1" applyBorder="1" applyAlignment="1">
      <alignment horizontal="center" vertical="top" wrapText="1"/>
    </xf>
    <xf numFmtId="0" fontId="16" fillId="0" borderId="11" xfId="0" applyFont="1" applyBorder="1" applyAlignment="1">
      <alignment horizontal="center" vertical="top" wrapText="1"/>
    </xf>
    <xf numFmtId="0" fontId="0" fillId="11" borderId="0" xfId="0" applyFill="1"/>
    <xf numFmtId="0" fontId="27" fillId="3" borderId="11" xfId="0" applyNumberFormat="1" applyFont="1" applyFill="1" applyBorder="1" applyAlignment="1">
      <alignment horizontal="center" vertical="center"/>
    </xf>
    <xf numFmtId="0" fontId="27" fillId="3" borderId="11" xfId="0" applyNumberFormat="1" applyFont="1" applyFill="1" applyBorder="1" applyAlignment="1">
      <alignment horizontal="left" vertical="center" wrapText="1"/>
    </xf>
    <xf numFmtId="0" fontId="27" fillId="3" borderId="11" xfId="0" applyNumberFormat="1" applyFont="1" applyFill="1" applyBorder="1" applyAlignment="1">
      <alignment horizontal="center" vertical="center" wrapText="1"/>
    </xf>
    <xf numFmtId="0" fontId="28" fillId="0" borderId="0" xfId="4" applyAlignment="1">
      <alignment horizontal="left"/>
    </xf>
    <xf numFmtId="0" fontId="28" fillId="0" borderId="0" xfId="4" quotePrefix="1" applyAlignment="1">
      <alignment horizontal="left"/>
    </xf>
    <xf numFmtId="0" fontId="27" fillId="0" borderId="11" xfId="0" applyNumberFormat="1" applyFont="1" applyBorder="1" applyAlignment="1">
      <alignment horizontal="center" vertical="center" wrapText="1"/>
    </xf>
    <xf numFmtId="0" fontId="27" fillId="0" borderId="11" xfId="0" applyNumberFormat="1" applyFont="1" applyBorder="1" applyAlignment="1">
      <alignment horizontal="center" vertical="center"/>
    </xf>
    <xf numFmtId="0" fontId="27" fillId="0" borderId="11" xfId="0" applyNumberFormat="1" applyFont="1" applyBorder="1" applyAlignment="1">
      <alignment horizontal="left" vertical="center" wrapText="1"/>
    </xf>
    <xf numFmtId="0" fontId="0" fillId="12" borderId="0" xfId="0" applyFill="1"/>
    <xf numFmtId="0" fontId="29" fillId="13" borderId="11" xfId="0" applyNumberFormat="1" applyFont="1" applyFill="1" applyBorder="1" applyAlignment="1">
      <alignment horizontal="center" vertical="center"/>
    </xf>
    <xf numFmtId="0" fontId="29" fillId="13" borderId="11" xfId="0" applyNumberFormat="1" applyFont="1" applyFill="1" applyBorder="1" applyAlignment="1">
      <alignment horizontal="left" vertical="center" wrapText="1"/>
    </xf>
    <xf numFmtId="0" fontId="29" fillId="13" borderId="11" xfId="0" applyNumberFormat="1" applyFont="1" applyFill="1" applyBorder="1" applyAlignment="1">
      <alignment horizontal="center" vertical="center" wrapText="1"/>
    </xf>
    <xf numFmtId="0" fontId="27" fillId="13" borderId="11" xfId="0" applyNumberFormat="1" applyFont="1" applyFill="1" applyBorder="1" applyAlignment="1">
      <alignment horizontal="left" vertical="center" wrapText="1"/>
    </xf>
    <xf numFmtId="0" fontId="0" fillId="14" borderId="0" xfId="0" applyFill="1"/>
    <xf numFmtId="166" fontId="29" fillId="3" borderId="11" xfId="0" applyNumberFormat="1" applyFont="1" applyFill="1" applyBorder="1" applyAlignment="1">
      <alignment horizontal="center" vertical="center"/>
    </xf>
    <xf numFmtId="0" fontId="29" fillId="3" borderId="11" xfId="0" applyNumberFormat="1" applyFont="1" applyFill="1" applyBorder="1" applyAlignment="1">
      <alignment horizontal="left" vertical="center" wrapText="1"/>
    </xf>
    <xf numFmtId="0" fontId="29" fillId="3" borderId="11" xfId="0" applyNumberFormat="1" applyFont="1" applyFill="1" applyBorder="1" applyAlignment="1">
      <alignment horizontal="center" vertical="center" wrapText="1"/>
    </xf>
    <xf numFmtId="0" fontId="30" fillId="11" borderId="0" xfId="0" applyFont="1" applyFill="1"/>
    <xf numFmtId="0" fontId="27" fillId="13" borderId="11" xfId="0" applyNumberFormat="1" applyFont="1" applyFill="1" applyBorder="1" applyAlignment="1">
      <alignment horizontal="center" vertical="center"/>
    </xf>
    <xf numFmtId="0" fontId="27" fillId="13" borderId="11" xfId="0" applyNumberFormat="1" applyFont="1" applyFill="1" applyBorder="1" applyAlignment="1">
      <alignment horizontal="center" vertical="center" wrapText="1"/>
    </xf>
    <xf numFmtId="0" fontId="0" fillId="15" borderId="0" xfId="0" applyFill="1"/>
    <xf numFmtId="0" fontId="0" fillId="0" borderId="0" xfId="0" applyNumberFormat="1"/>
    <xf numFmtId="164" fontId="10" fillId="0" borderId="12" xfId="3" applyNumberFormat="1" applyFont="1" applyFill="1" applyBorder="1" applyAlignment="1">
      <alignment horizontal="left" vertical="top" wrapText="1"/>
    </xf>
    <xf numFmtId="0" fontId="10" fillId="0" borderId="11" xfId="0" applyFont="1" applyBorder="1"/>
    <xf numFmtId="164" fontId="10" fillId="0" borderId="12" xfId="3" applyNumberFormat="1" applyFont="1" applyFill="1" applyBorder="1" applyAlignment="1">
      <alignment vertical="top" wrapText="1"/>
    </xf>
    <xf numFmtId="0" fontId="0" fillId="0" borderId="0" xfId="0"/>
    <xf numFmtId="0" fontId="3" fillId="0" borderId="0" xfId="0" applyFont="1" applyAlignment="1">
      <alignment vertical="top" wrapText="1"/>
    </xf>
    <xf numFmtId="0" fontId="5" fillId="0" borderId="0" xfId="1" applyFont="1" applyAlignment="1" applyProtection="1"/>
    <xf numFmtId="0" fontId="6" fillId="0" borderId="0" xfId="1" applyFont="1" applyAlignment="1" applyProtection="1">
      <alignment horizontal="center" vertical="top"/>
    </xf>
    <xf numFmtId="0" fontId="0" fillId="0" borderId="5" xfId="0" applyBorder="1"/>
    <xf numFmtId="0" fontId="0" fillId="0" borderId="8" xfId="0" applyBorder="1"/>
    <xf numFmtId="0" fontId="8" fillId="2" borderId="9" xfId="0" applyNumberFormat="1" applyFont="1" applyFill="1" applyBorder="1" applyAlignment="1">
      <alignment horizontal="center" vertical="top" wrapText="1"/>
    </xf>
    <xf numFmtId="49" fontId="9" fillId="2" borderId="8" xfId="0" applyNumberFormat="1" applyFont="1" applyFill="1" applyBorder="1"/>
    <xf numFmtId="0" fontId="9" fillId="0" borderId="9" xfId="0" applyFont="1" applyBorder="1" applyAlignment="1">
      <alignment horizontal="center"/>
    </xf>
    <xf numFmtId="0" fontId="10" fillId="0" borderId="10" xfId="0" applyFont="1" applyBorder="1" applyAlignment="1">
      <alignment wrapText="1"/>
    </xf>
    <xf numFmtId="0" fontId="9" fillId="0" borderId="11" xfId="0" applyFont="1" applyBorder="1" applyAlignment="1">
      <alignment horizontal="center"/>
    </xf>
    <xf numFmtId="0" fontId="10" fillId="0" borderId="12" xfId="0" applyFont="1" applyBorder="1"/>
    <xf numFmtId="0" fontId="9" fillId="0" borderId="13" xfId="0" applyNumberFormat="1" applyFont="1" applyBorder="1" applyAlignment="1">
      <alignment horizontal="center" vertical="top" wrapText="1"/>
    </xf>
    <xf numFmtId="49" fontId="9" fillId="2" borderId="8" xfId="2" applyNumberFormat="1" applyFont="1" applyFill="1" applyBorder="1"/>
    <xf numFmtId="164" fontId="10" fillId="0" borderId="11" xfId="3" applyNumberFormat="1" applyFont="1" applyFill="1" applyBorder="1" applyAlignment="1">
      <alignment vertical="top" wrapText="1"/>
    </xf>
    <xf numFmtId="164" fontId="10" fillId="0" borderId="11" xfId="3" applyNumberFormat="1" applyFont="1" applyFill="1" applyBorder="1" applyAlignment="1">
      <alignment horizontal="left" vertical="top" wrapText="1"/>
    </xf>
    <xf numFmtId="0" fontId="8" fillId="3" borderId="0" xfId="0" applyNumberFormat="1" applyFont="1" applyFill="1" applyBorder="1" applyAlignment="1">
      <alignment horizontal="center" vertical="top" wrapText="1"/>
    </xf>
    <xf numFmtId="0" fontId="14" fillId="0" borderId="0" xfId="0" applyFont="1" applyBorder="1" applyAlignment="1">
      <alignment horizontal="center" vertical="center" wrapText="1"/>
    </xf>
    <xf numFmtId="0" fontId="8" fillId="0" borderId="24" xfId="0" applyNumberFormat="1" applyFont="1" applyBorder="1" applyAlignment="1">
      <alignment horizontal="center" vertical="top" wrapText="1"/>
    </xf>
    <xf numFmtId="0" fontId="8" fillId="0" borderId="25" xfId="0" applyNumberFormat="1" applyFont="1" applyBorder="1" applyAlignment="1">
      <alignment horizontal="center" vertical="top" wrapText="1"/>
    </xf>
    <xf numFmtId="0" fontId="8" fillId="2" borderId="10" xfId="0" applyNumberFormat="1" applyFont="1" applyFill="1" applyBorder="1" applyAlignment="1">
      <alignment horizontal="center" vertical="top" wrapText="1"/>
    </xf>
    <xf numFmtId="0" fontId="8" fillId="2" borderId="3" xfId="0" applyNumberFormat="1" applyFont="1" applyFill="1" applyBorder="1" applyAlignment="1">
      <alignment horizontal="center" vertical="top" wrapText="1"/>
    </xf>
    <xf numFmtId="0" fontId="0" fillId="4" borderId="13" xfId="0" applyFill="1" applyBorder="1"/>
    <xf numFmtId="0" fontId="0" fillId="4" borderId="42" xfId="0" applyFill="1" applyBorder="1"/>
    <xf numFmtId="0" fontId="0" fillId="4" borderId="43" xfId="0" applyFill="1" applyBorder="1"/>
    <xf numFmtId="0" fontId="8" fillId="2" borderId="45" xfId="0" applyNumberFormat="1" applyFont="1" applyFill="1" applyBorder="1" applyAlignment="1">
      <alignment horizontal="center" vertical="top" wrapText="1"/>
    </xf>
    <xf numFmtId="0" fontId="8" fillId="2" borderId="8" xfId="0" applyNumberFormat="1" applyFont="1" applyFill="1" applyBorder="1" applyAlignment="1">
      <alignment horizontal="center" vertical="top" wrapText="1"/>
    </xf>
    <xf numFmtId="0" fontId="8" fillId="2" borderId="44" xfId="0" quotePrefix="1" applyNumberFormat="1" applyFont="1" applyFill="1" applyBorder="1" applyAlignment="1">
      <alignment horizontal="center" vertical="top" wrapText="1"/>
    </xf>
    <xf numFmtId="0" fontId="31" fillId="0" borderId="0" xfId="0" applyFont="1"/>
    <xf numFmtId="0" fontId="10" fillId="11" borderId="0" xfId="0" applyFont="1" applyFill="1" applyBorder="1"/>
    <xf numFmtId="0" fontId="0" fillId="0" borderId="12" xfId="0" applyBorder="1"/>
    <xf numFmtId="0" fontId="9" fillId="0" borderId="13" xfId="0" applyFont="1" applyBorder="1" applyAlignment="1">
      <alignment horizontal="center"/>
    </xf>
    <xf numFmtId="0" fontId="0" fillId="0" borderId="0" xfId="0" applyFill="1"/>
    <xf numFmtId="0" fontId="32" fillId="0" borderId="0" xfId="0" applyFont="1"/>
    <xf numFmtId="0" fontId="16" fillId="0" borderId="11" xfId="0" applyFont="1" applyBorder="1" applyAlignment="1">
      <alignment horizontal="center" vertical="top" wrapText="1"/>
    </xf>
    <xf numFmtId="0" fontId="7" fillId="0" borderId="17" xfId="0" applyFont="1" applyFill="1" applyBorder="1" applyAlignment="1">
      <alignment horizontal="center" vertical="center" wrapText="1"/>
    </xf>
    <xf numFmtId="0" fontId="14" fillId="0" borderId="18" xfId="0" applyFont="1" applyFill="1" applyBorder="1" applyAlignment="1">
      <alignment horizontal="center" vertical="center" wrapText="1"/>
    </xf>
    <xf numFmtId="0" fontId="0" fillId="0" borderId="19" xfId="0" applyFill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5" fillId="0" borderId="0" xfId="1" applyFont="1" applyAlignment="1" applyProtection="1">
      <alignment vertical="center"/>
    </xf>
    <xf numFmtId="0" fontId="8" fillId="2" borderId="9" xfId="0" applyNumberFormat="1" applyFont="1" applyFill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13" xfId="0" applyNumberFormat="1" applyFont="1" applyBorder="1" applyAlignment="1">
      <alignment horizontal="center" vertical="center" wrapText="1"/>
    </xf>
    <xf numFmtId="0" fontId="9" fillId="0" borderId="11" xfId="0" applyNumberFormat="1" applyFont="1" applyBorder="1" applyAlignment="1">
      <alignment horizontal="center" vertical="center" wrapText="1"/>
    </xf>
    <xf numFmtId="0" fontId="9" fillId="16" borderId="13" xfId="0" applyFont="1" applyFill="1" applyBorder="1" applyAlignment="1">
      <alignment horizontal="center"/>
    </xf>
    <xf numFmtId="0" fontId="9" fillId="16" borderId="9" xfId="0" applyFont="1" applyFill="1" applyBorder="1" applyAlignment="1">
      <alignment horizontal="center"/>
    </xf>
    <xf numFmtId="0" fontId="9" fillId="16" borderId="9" xfId="0" applyNumberFormat="1" applyFont="1" applyFill="1" applyBorder="1" applyAlignment="1">
      <alignment horizontal="center" vertical="top" wrapText="1"/>
    </xf>
    <xf numFmtId="0" fontId="9" fillId="16" borderId="11" xfId="0" applyNumberFormat="1" applyFont="1" applyFill="1" applyBorder="1" applyAlignment="1">
      <alignment horizontal="center" vertical="top" wrapText="1"/>
    </xf>
    <xf numFmtId="0" fontId="9" fillId="16" borderId="11" xfId="0" applyFont="1" applyFill="1" applyBorder="1" applyAlignment="1">
      <alignment horizontal="center"/>
    </xf>
    <xf numFmtId="0" fontId="10" fillId="0" borderId="0" xfId="0" applyFont="1" applyBorder="1"/>
    <xf numFmtId="0" fontId="9" fillId="0" borderId="0" xfId="0" applyFont="1" applyBorder="1"/>
    <xf numFmtId="164" fontId="9" fillId="0" borderId="12" xfId="3" applyNumberFormat="1" applyFont="1" applyFill="1" applyBorder="1" applyAlignment="1">
      <alignment vertical="top" wrapText="1"/>
    </xf>
    <xf numFmtId="0" fontId="9" fillId="0" borderId="0" xfId="0" applyNumberFormat="1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/>
    </xf>
    <xf numFmtId="0" fontId="9" fillId="0" borderId="9" xfId="0" applyNumberFormat="1" applyFont="1" applyBorder="1" applyAlignment="1">
      <alignment horizontal="center" vertical="center" wrapText="1"/>
    </xf>
    <xf numFmtId="0" fontId="8" fillId="12" borderId="0" xfId="0" applyNumberFormat="1" applyFont="1" applyFill="1" applyBorder="1" applyAlignment="1">
      <alignment horizontal="center" vertical="top" wrapText="1"/>
    </xf>
    <xf numFmtId="49" fontId="8" fillId="12" borderId="0" xfId="0" applyNumberFormat="1" applyFont="1" applyFill="1" applyBorder="1" applyAlignment="1">
      <alignment horizontal="center" vertical="top" wrapText="1"/>
    </xf>
    <xf numFmtId="0" fontId="26" fillId="0" borderId="0" xfId="0" applyFont="1"/>
    <xf numFmtId="49" fontId="0" fillId="0" borderId="0" xfId="0" applyNumberFormat="1"/>
    <xf numFmtId="4" fontId="23" fillId="0" borderId="11" xfId="0" applyNumberFormat="1" applyFont="1" applyFill="1" applyBorder="1" applyAlignment="1">
      <alignment horizontal="right" vertical="center" wrapText="1"/>
    </xf>
    <xf numFmtId="0" fontId="16" fillId="0" borderId="11" xfId="0" applyFont="1" applyBorder="1" applyAlignment="1">
      <alignment horizontal="center" vertical="top" wrapText="1"/>
    </xf>
    <xf numFmtId="0" fontId="16" fillId="0" borderId="11" xfId="0" applyFont="1" applyBorder="1" applyAlignment="1">
      <alignment horizontal="center" vertical="top" wrapText="1"/>
    </xf>
    <xf numFmtId="0" fontId="33" fillId="0" borderId="0" xfId="0" applyFont="1" applyFill="1"/>
    <xf numFmtId="0" fontId="5" fillId="0" borderId="0" xfId="1" applyFont="1" applyFill="1" applyAlignment="1" applyProtection="1"/>
    <xf numFmtId="0" fontId="9" fillId="0" borderId="0" xfId="0" applyFont="1" applyFill="1" applyBorder="1" applyAlignment="1">
      <alignment horizontal="center" vertical="center"/>
    </xf>
    <xf numFmtId="0" fontId="9" fillId="0" borderId="0" xfId="0" applyFont="1" applyFill="1" applyBorder="1"/>
    <xf numFmtId="0" fontId="10" fillId="0" borderId="0" xfId="0" applyFont="1" applyFill="1" applyBorder="1"/>
    <xf numFmtId="0" fontId="16" fillId="0" borderId="11" xfId="0" applyFont="1" applyBorder="1" applyAlignment="1">
      <alignment horizontal="center" vertical="top" wrapText="1"/>
    </xf>
    <xf numFmtId="0" fontId="16" fillId="0" borderId="11" xfId="0" applyFont="1" applyBorder="1" applyAlignment="1">
      <alignment horizontal="center" vertical="top" wrapText="1"/>
    </xf>
    <xf numFmtId="0" fontId="16" fillId="0" borderId="11" xfId="0" applyFont="1" applyBorder="1" applyAlignment="1">
      <alignment horizontal="center" vertical="top" wrapText="1"/>
    </xf>
    <xf numFmtId="49" fontId="9" fillId="7" borderId="8" xfId="0" applyNumberFormat="1" applyFont="1" applyFill="1" applyBorder="1" applyAlignment="1">
      <alignment vertical="center"/>
    </xf>
    <xf numFmtId="0" fontId="9" fillId="7" borderId="11" xfId="0" applyFont="1" applyFill="1" applyBorder="1" applyAlignment="1">
      <alignment horizontal="center" vertical="center"/>
    </xf>
    <xf numFmtId="0" fontId="23" fillId="7" borderId="11" xfId="0" applyFont="1" applyFill="1" applyBorder="1" applyAlignment="1">
      <alignment vertical="center" wrapText="1"/>
    </xf>
    <xf numFmtId="49" fontId="9" fillId="9" borderId="8" xfId="0" applyNumberFormat="1" applyFont="1" applyFill="1" applyBorder="1" applyAlignment="1">
      <alignment vertical="center"/>
    </xf>
    <xf numFmtId="0" fontId="9" fillId="9" borderId="11" xfId="0" applyFont="1" applyFill="1" applyBorder="1" applyAlignment="1">
      <alignment horizontal="center" vertical="center"/>
    </xf>
    <xf numFmtId="0" fontId="23" fillId="9" borderId="11" xfId="0" applyFont="1" applyFill="1" applyBorder="1" applyAlignment="1">
      <alignment vertical="center"/>
    </xf>
    <xf numFmtId="49" fontId="9" fillId="2" borderId="8" xfId="0" applyNumberFormat="1" applyFont="1" applyFill="1" applyBorder="1" applyAlignment="1">
      <alignment vertical="center"/>
    </xf>
    <xf numFmtId="0" fontId="25" fillId="0" borderId="11" xfId="0" applyFont="1" applyBorder="1" applyAlignment="1">
      <alignment vertical="center"/>
    </xf>
    <xf numFmtId="0" fontId="9" fillId="3" borderId="11" xfId="0" applyNumberFormat="1" applyFont="1" applyFill="1" applyBorder="1" applyAlignment="1">
      <alignment horizontal="center" vertical="center" wrapText="1"/>
    </xf>
    <xf numFmtId="49" fontId="9" fillId="9" borderId="8" xfId="2" applyNumberFormat="1" applyFont="1" applyFill="1" applyBorder="1" applyAlignment="1">
      <alignment vertical="center"/>
    </xf>
    <xf numFmtId="0" fontId="9" fillId="9" borderId="11" xfId="0" applyNumberFormat="1" applyFont="1" applyFill="1" applyBorder="1" applyAlignment="1">
      <alignment horizontal="center" vertical="center" wrapText="1"/>
    </xf>
    <xf numFmtId="164" fontId="23" fillId="9" borderId="11" xfId="3" applyNumberFormat="1" applyFont="1" applyFill="1" applyBorder="1" applyAlignment="1">
      <alignment vertical="center" wrapText="1"/>
    </xf>
    <xf numFmtId="49" fontId="9" fillId="2" borderId="8" xfId="2" applyNumberFormat="1" applyFont="1" applyFill="1" applyBorder="1" applyAlignment="1">
      <alignment vertical="center"/>
    </xf>
    <xf numFmtId="164" fontId="25" fillId="0" borderId="11" xfId="3" applyNumberFormat="1" applyFont="1" applyFill="1" applyBorder="1" applyAlignment="1">
      <alignment vertical="center" wrapText="1"/>
    </xf>
    <xf numFmtId="164" fontId="23" fillId="9" borderId="11" xfId="3" applyNumberFormat="1" applyFont="1" applyFill="1" applyBorder="1" applyAlignment="1">
      <alignment horizontal="left" vertical="center" wrapText="1"/>
    </xf>
    <xf numFmtId="0" fontId="25" fillId="0" borderId="11" xfId="0" applyFont="1" applyBorder="1" applyAlignment="1">
      <alignment vertical="center" wrapText="1"/>
    </xf>
    <xf numFmtId="49" fontId="9" fillId="2" borderId="14" xfId="0" applyNumberFormat="1" applyFont="1" applyFill="1" applyBorder="1" applyAlignment="1">
      <alignment vertical="center"/>
    </xf>
    <xf numFmtId="0" fontId="9" fillId="3" borderId="11" xfId="0" applyFont="1" applyFill="1" applyBorder="1" applyAlignment="1">
      <alignment horizontal="center" vertical="center"/>
    </xf>
    <xf numFmtId="0" fontId="25" fillId="7" borderId="11" xfId="0" applyFont="1" applyFill="1" applyBorder="1" applyAlignment="1">
      <alignment horizontal="center" vertical="center"/>
    </xf>
    <xf numFmtId="0" fontId="25" fillId="9" borderId="11" xfId="0" applyFont="1" applyFill="1" applyBorder="1" applyAlignment="1">
      <alignment horizontal="center" vertical="center"/>
    </xf>
    <xf numFmtId="0" fontId="25" fillId="0" borderId="11" xfId="0" applyFont="1" applyBorder="1" applyAlignment="1">
      <alignment horizontal="center" vertical="center"/>
    </xf>
    <xf numFmtId="0" fontId="25" fillId="3" borderId="11" xfId="0" applyNumberFormat="1" applyFont="1" applyFill="1" applyBorder="1" applyAlignment="1">
      <alignment horizontal="center" vertical="center" wrapText="1"/>
    </xf>
    <xf numFmtId="0" fontId="25" fillId="9" borderId="11" xfId="0" applyNumberFormat="1" applyFont="1" applyFill="1" applyBorder="1" applyAlignment="1">
      <alignment horizontal="center" vertical="center" wrapText="1"/>
    </xf>
    <xf numFmtId="0" fontId="25" fillId="0" borderId="11" xfId="0" applyNumberFormat="1" applyFont="1" applyBorder="1" applyAlignment="1">
      <alignment horizontal="center" vertical="center" wrapText="1"/>
    </xf>
    <xf numFmtId="0" fontId="25" fillId="3" borderId="11" xfId="0" applyFont="1" applyFill="1" applyBorder="1" applyAlignment="1">
      <alignment horizontal="center" vertical="center"/>
    </xf>
    <xf numFmtId="0" fontId="0" fillId="0" borderId="49" xfId="0" applyFont="1" applyBorder="1"/>
    <xf numFmtId="0" fontId="0" fillId="0" borderId="8" xfId="0" applyFont="1" applyBorder="1"/>
    <xf numFmtId="4" fontId="23" fillId="7" borderId="12" xfId="0" applyNumberFormat="1" applyFont="1" applyFill="1" applyBorder="1" applyAlignment="1">
      <alignment horizontal="right" vertical="center" wrapText="1"/>
    </xf>
    <xf numFmtId="4" fontId="23" fillId="9" borderId="12" xfId="0" applyNumberFormat="1" applyFont="1" applyFill="1" applyBorder="1" applyAlignment="1">
      <alignment horizontal="right" vertical="center" wrapText="1"/>
    </xf>
    <xf numFmtId="0" fontId="0" fillId="0" borderId="0" xfId="0" applyFill="1" applyBorder="1"/>
    <xf numFmtId="0" fontId="5" fillId="0" borderId="0" xfId="1" applyFont="1" applyFill="1" applyBorder="1" applyAlignment="1" applyProtection="1">
      <alignment horizontal="left" wrapText="1"/>
    </xf>
    <xf numFmtId="0" fontId="19" fillId="0" borderId="0" xfId="0" applyFont="1" applyFill="1" applyBorder="1" applyAlignment="1">
      <alignment wrapText="1"/>
    </xf>
    <xf numFmtId="0" fontId="5" fillId="0" borderId="0" xfId="1" applyFont="1" applyFill="1" applyBorder="1" applyAlignment="1" applyProtection="1"/>
    <xf numFmtId="0" fontId="6" fillId="0" borderId="0" xfId="1" applyFont="1" applyFill="1" applyBorder="1" applyAlignment="1" applyProtection="1">
      <alignment horizontal="center" vertical="top"/>
    </xf>
    <xf numFmtId="0" fontId="10" fillId="0" borderId="0" xfId="0" applyFont="1" applyFill="1" applyBorder="1" applyAlignment="1">
      <alignment wrapText="1"/>
    </xf>
    <xf numFmtId="14" fontId="9" fillId="0" borderId="0" xfId="0" applyNumberFormat="1" applyFont="1" applyFill="1" applyBorder="1" applyAlignment="1">
      <alignment wrapText="1"/>
    </xf>
    <xf numFmtId="0" fontId="5" fillId="0" borderId="0" xfId="1" applyFont="1" applyFill="1" applyBorder="1" applyAlignment="1" applyProtection="1">
      <alignment wrapText="1"/>
    </xf>
    <xf numFmtId="0" fontId="14" fillId="0" borderId="0" xfId="0" applyFont="1" applyFill="1" applyBorder="1" applyAlignment="1">
      <alignment vertical="center" wrapText="1"/>
    </xf>
    <xf numFmtId="0" fontId="7" fillId="0" borderId="0" xfId="0" applyFont="1" applyFill="1" applyBorder="1" applyAlignment="1">
      <alignment vertical="center" wrapText="1"/>
    </xf>
    <xf numFmtId="4" fontId="23" fillId="10" borderId="12" xfId="0" applyNumberFormat="1" applyFont="1" applyFill="1" applyBorder="1" applyAlignment="1">
      <alignment horizontal="right" vertical="center" wrapText="1"/>
    </xf>
    <xf numFmtId="4" fontId="23" fillId="9" borderId="20" xfId="0" applyNumberFormat="1" applyFont="1" applyFill="1" applyBorder="1" applyAlignment="1">
      <alignment horizontal="right" vertical="center" wrapText="1"/>
    </xf>
    <xf numFmtId="4" fontId="25" fillId="0" borderId="20" xfId="0" applyNumberFormat="1" applyFont="1" applyBorder="1" applyAlignment="1">
      <alignment horizontal="right" vertical="center" wrapText="1"/>
    </xf>
    <xf numFmtId="4" fontId="23" fillId="9" borderId="9" xfId="0" applyNumberFormat="1" applyFont="1" applyFill="1" applyBorder="1" applyAlignment="1">
      <alignment horizontal="right" vertical="center" wrapText="1"/>
    </xf>
    <xf numFmtId="0" fontId="16" fillId="0" borderId="11" xfId="0" applyFont="1" applyBorder="1" applyAlignment="1">
      <alignment horizontal="center" vertical="top" wrapText="1"/>
    </xf>
    <xf numFmtId="0" fontId="16" fillId="0" borderId="11" xfId="0" applyFont="1" applyBorder="1" applyAlignment="1">
      <alignment horizontal="center" vertical="top" wrapText="1"/>
    </xf>
    <xf numFmtId="0" fontId="0" fillId="25" borderId="0" xfId="0" applyFill="1"/>
    <xf numFmtId="49" fontId="0" fillId="0" borderId="0" xfId="0" applyNumberFormat="1" applyFill="1"/>
    <xf numFmtId="0" fontId="0" fillId="0" borderId="0" xfId="0" applyBorder="1"/>
    <xf numFmtId="49" fontId="8" fillId="0" borderId="0" xfId="0" applyNumberFormat="1" applyFont="1" applyFill="1" applyBorder="1" applyAlignment="1">
      <alignment horizontal="center" vertical="top" wrapText="1"/>
    </xf>
    <xf numFmtId="49" fontId="0" fillId="0" borderId="0" xfId="0" applyNumberFormat="1" applyFill="1" applyBorder="1"/>
    <xf numFmtId="0" fontId="16" fillId="0" borderId="11" xfId="0" applyFont="1" applyBorder="1" applyAlignment="1">
      <alignment horizontal="center" vertical="top" wrapText="1"/>
    </xf>
    <xf numFmtId="0" fontId="16" fillId="0" borderId="11" xfId="0" applyFont="1" applyBorder="1" applyAlignment="1">
      <alignment horizontal="center" vertical="top" wrapText="1"/>
    </xf>
    <xf numFmtId="0" fontId="36" fillId="0" borderId="0" xfId="0" applyFont="1" applyFill="1"/>
    <xf numFmtId="0" fontId="36" fillId="0" borderId="19" xfId="0" applyFont="1" applyFill="1" applyBorder="1" applyAlignment="1">
      <alignment horizontal="center" vertical="center" wrapText="1"/>
    </xf>
    <xf numFmtId="0" fontId="18" fillId="0" borderId="0" xfId="0" applyFont="1" applyAlignment="1"/>
    <xf numFmtId="0" fontId="5" fillId="0" borderId="0" xfId="1" applyFont="1" applyAlignment="1" applyProtection="1">
      <alignment wrapText="1"/>
    </xf>
    <xf numFmtId="0" fontId="18" fillId="0" borderId="0" xfId="0" applyFont="1" applyAlignment="1">
      <alignment wrapText="1"/>
    </xf>
    <xf numFmtId="0" fontId="16" fillId="0" borderId="11" xfId="0" applyFont="1" applyBorder="1" applyAlignment="1">
      <alignment horizontal="center" vertical="top" wrapText="1"/>
    </xf>
    <xf numFmtId="49" fontId="8" fillId="0" borderId="0" xfId="0" applyNumberFormat="1" applyFont="1" applyFill="1" applyBorder="1" applyAlignment="1">
      <alignment horizontal="left" vertical="top" wrapText="1"/>
    </xf>
    <xf numFmtId="0" fontId="5" fillId="0" borderId="0" xfId="1" applyFont="1" applyAlignment="1" applyProtection="1">
      <alignment horizontal="center" wrapText="1"/>
    </xf>
    <xf numFmtId="0" fontId="25" fillId="25" borderId="12" xfId="0" applyFont="1" applyFill="1" applyBorder="1" applyAlignment="1">
      <alignment horizontal="left" vertical="center" wrapText="1"/>
    </xf>
    <xf numFmtId="0" fontId="25" fillId="25" borderId="19" xfId="0" applyFont="1" applyFill="1" applyBorder="1" applyAlignment="1">
      <alignment horizontal="left" vertical="center" wrapText="1"/>
    </xf>
    <xf numFmtId="0" fontId="25" fillId="25" borderId="20" xfId="0" applyFont="1" applyFill="1" applyBorder="1" applyAlignment="1">
      <alignment horizontal="left" vertical="center" wrapText="1"/>
    </xf>
    <xf numFmtId="0" fontId="16" fillId="0" borderId="22" xfId="0" applyFont="1" applyBorder="1" applyAlignment="1">
      <alignment horizontal="center" vertical="top" wrapText="1"/>
    </xf>
    <xf numFmtId="0" fontId="16" fillId="0" borderId="3" xfId="0" applyFont="1" applyBorder="1" applyAlignment="1">
      <alignment horizontal="center" vertical="top" wrapText="1"/>
    </xf>
    <xf numFmtId="0" fontId="16" fillId="0" borderId="26" xfId="0" applyFont="1" applyBorder="1" applyAlignment="1">
      <alignment horizontal="center" vertical="top" wrapText="1"/>
    </xf>
    <xf numFmtId="0" fontId="16" fillId="0" borderId="23" xfId="0" applyFont="1" applyBorder="1" applyAlignment="1">
      <alignment horizontal="center" vertical="top" wrapText="1"/>
    </xf>
    <xf numFmtId="0" fontId="16" fillId="0" borderId="21" xfId="0" applyFont="1" applyBorder="1" applyAlignment="1">
      <alignment horizontal="center" vertical="top" wrapText="1"/>
    </xf>
    <xf numFmtId="0" fontId="16" fillId="0" borderId="24" xfId="0" applyFont="1" applyBorder="1" applyAlignment="1">
      <alignment horizontal="center" vertical="top" wrapText="1"/>
    </xf>
    <xf numFmtId="0" fontId="0" fillId="0" borderId="21" xfId="0" applyBorder="1" applyAlignment="1">
      <alignment horizontal="center" vertical="top" wrapText="1"/>
    </xf>
    <xf numFmtId="0" fontId="0" fillId="0" borderId="24" xfId="0" applyBorder="1" applyAlignment="1">
      <alignment horizontal="center" vertical="top" wrapText="1"/>
    </xf>
    <xf numFmtId="0" fontId="16" fillId="0" borderId="11" xfId="0" applyFont="1" applyBorder="1" applyAlignment="1">
      <alignment horizontal="center" vertical="top" wrapText="1"/>
    </xf>
    <xf numFmtId="0" fontId="16" fillId="0" borderId="15" xfId="0" applyFont="1" applyBorder="1" applyAlignment="1">
      <alignment horizontal="center" vertical="top" wrapText="1"/>
    </xf>
    <xf numFmtId="0" fontId="13" fillId="0" borderId="46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7" xfId="0" applyFont="1" applyBorder="1" applyAlignment="1">
      <alignment horizontal="center" wrapText="1"/>
    </xf>
    <xf numFmtId="0" fontId="13" fillId="0" borderId="23" xfId="0" applyFont="1" applyBorder="1" applyAlignment="1">
      <alignment horizontal="center" wrapText="1"/>
    </xf>
    <xf numFmtId="0" fontId="13" fillId="0" borderId="21" xfId="0" applyFont="1" applyBorder="1" applyAlignment="1">
      <alignment horizontal="center" wrapText="1"/>
    </xf>
    <xf numFmtId="0" fontId="13" fillId="0" borderId="24" xfId="0" applyFont="1" applyBorder="1" applyAlignment="1">
      <alignment horizontal="center" wrapText="1"/>
    </xf>
    <xf numFmtId="0" fontId="13" fillId="0" borderId="39" xfId="0" applyFont="1" applyBorder="1" applyAlignment="1">
      <alignment horizontal="center" wrapText="1"/>
    </xf>
    <xf numFmtId="0" fontId="0" fillId="0" borderId="48" xfId="0" applyBorder="1" applyAlignment="1">
      <alignment horizontal="center" wrapText="1"/>
    </xf>
    <xf numFmtId="0" fontId="0" fillId="0" borderId="34" xfId="0" applyBorder="1" applyAlignment="1">
      <alignment horizontal="center" wrapText="1"/>
    </xf>
    <xf numFmtId="0" fontId="25" fillId="19" borderId="12" xfId="0" applyFont="1" applyFill="1" applyBorder="1" applyAlignment="1">
      <alignment horizontal="left" vertical="center" wrapText="1"/>
    </xf>
    <xf numFmtId="0" fontId="25" fillId="19" borderId="19" xfId="0" applyFont="1" applyFill="1" applyBorder="1" applyAlignment="1">
      <alignment horizontal="left" vertical="center" wrapText="1"/>
    </xf>
    <xf numFmtId="0" fontId="25" fillId="19" borderId="20" xfId="0" applyFont="1" applyFill="1" applyBorder="1" applyAlignment="1">
      <alignment horizontal="left" vertical="center" wrapText="1"/>
    </xf>
    <xf numFmtId="0" fontId="25" fillId="14" borderId="12" xfId="0" applyFont="1" applyFill="1" applyBorder="1" applyAlignment="1">
      <alignment horizontal="left" vertical="center" wrapText="1"/>
    </xf>
    <xf numFmtId="0" fontId="25" fillId="14" borderId="19" xfId="0" applyFont="1" applyFill="1" applyBorder="1" applyAlignment="1">
      <alignment horizontal="left" vertical="center" wrapText="1"/>
    </xf>
    <xf numFmtId="0" fontId="25" fillId="14" borderId="20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25" fillId="18" borderId="12" xfId="0" applyFont="1" applyFill="1" applyBorder="1" applyAlignment="1">
      <alignment horizontal="left" vertical="center" wrapText="1"/>
    </xf>
    <xf numFmtId="0" fontId="25" fillId="18" borderId="19" xfId="0" applyFont="1" applyFill="1" applyBorder="1" applyAlignment="1">
      <alignment horizontal="left" vertical="center" wrapText="1"/>
    </xf>
    <xf numFmtId="0" fontId="25" fillId="18" borderId="20" xfId="0" applyFont="1" applyFill="1" applyBorder="1" applyAlignment="1">
      <alignment horizontal="left" vertical="center" wrapText="1"/>
    </xf>
    <xf numFmtId="0" fontId="25" fillId="24" borderId="12" xfId="0" applyFont="1" applyFill="1" applyBorder="1" applyAlignment="1">
      <alignment horizontal="left" vertical="center" wrapText="1"/>
    </xf>
    <xf numFmtId="0" fontId="25" fillId="24" borderId="19" xfId="0" applyFont="1" applyFill="1" applyBorder="1" applyAlignment="1">
      <alignment horizontal="left" vertical="center" wrapText="1"/>
    </xf>
    <xf numFmtId="0" fontId="25" fillId="24" borderId="20" xfId="0" applyFont="1" applyFill="1" applyBorder="1" applyAlignment="1">
      <alignment horizontal="left" vertical="center" wrapText="1"/>
    </xf>
    <xf numFmtId="0" fontId="25" fillId="26" borderId="12" xfId="0" applyFont="1" applyFill="1" applyBorder="1" applyAlignment="1">
      <alignment horizontal="left" vertical="center" wrapText="1"/>
    </xf>
    <xf numFmtId="0" fontId="25" fillId="26" borderId="19" xfId="0" applyFont="1" applyFill="1" applyBorder="1" applyAlignment="1">
      <alignment horizontal="left" vertical="center" wrapText="1"/>
    </xf>
    <xf numFmtId="0" fontId="25" fillId="26" borderId="20" xfId="0" applyFont="1" applyFill="1" applyBorder="1" applyAlignment="1">
      <alignment horizontal="left" vertical="center" wrapText="1"/>
    </xf>
    <xf numFmtId="0" fontId="16" fillId="0" borderId="17" xfId="0" applyFont="1" applyBorder="1" applyAlignment="1">
      <alignment horizontal="center" vertical="top" wrapText="1"/>
    </xf>
    <xf numFmtId="0" fontId="16" fillId="0" borderId="9" xfId="0" applyFont="1" applyBorder="1" applyAlignment="1">
      <alignment horizontal="center" vertical="top" wrapText="1"/>
    </xf>
    <xf numFmtId="0" fontId="15" fillId="8" borderId="35" xfId="0" applyFont="1" applyFill="1" applyBorder="1" applyAlignment="1">
      <alignment horizontal="center" vertical="center" wrapText="1"/>
    </xf>
    <xf numFmtId="0" fontId="15" fillId="8" borderId="19" xfId="0" applyFont="1" applyFill="1" applyBorder="1" applyAlignment="1">
      <alignment horizontal="center" vertical="center" wrapText="1"/>
    </xf>
    <xf numFmtId="0" fontId="15" fillId="8" borderId="20" xfId="0" applyFont="1" applyFill="1" applyBorder="1" applyAlignment="1">
      <alignment horizontal="center" vertical="center" wrapText="1"/>
    </xf>
    <xf numFmtId="0" fontId="22" fillId="6" borderId="36" xfId="0" applyFont="1" applyFill="1" applyBorder="1" applyAlignment="1">
      <alignment horizontal="center" vertical="center" wrapText="1"/>
    </xf>
    <xf numFmtId="0" fontId="22" fillId="6" borderId="37" xfId="0" applyFont="1" applyFill="1" applyBorder="1" applyAlignment="1">
      <alignment horizontal="center" vertical="center" wrapText="1"/>
    </xf>
    <xf numFmtId="0" fontId="22" fillId="6" borderId="38" xfId="0" applyFont="1" applyFill="1" applyBorder="1" applyAlignment="1">
      <alignment horizontal="center" vertical="center" wrapText="1"/>
    </xf>
    <xf numFmtId="0" fontId="15" fillId="8" borderId="12" xfId="0" applyFont="1" applyFill="1" applyBorder="1" applyAlignment="1">
      <alignment horizontal="center" vertical="center" wrapText="1"/>
    </xf>
    <xf numFmtId="0" fontId="15" fillId="5" borderId="30" xfId="0" applyFont="1" applyFill="1" applyBorder="1" applyAlignment="1">
      <alignment horizontal="center" vertical="center" wrapText="1"/>
    </xf>
    <xf numFmtId="0" fontId="15" fillId="5" borderId="31" xfId="0" applyFont="1" applyFill="1" applyBorder="1" applyAlignment="1">
      <alignment horizontal="center" vertical="center" wrapText="1"/>
    </xf>
    <xf numFmtId="0" fontId="15" fillId="5" borderId="32" xfId="0" applyFont="1" applyFill="1" applyBorder="1" applyAlignment="1">
      <alignment horizontal="center" vertical="center" wrapText="1"/>
    </xf>
    <xf numFmtId="0" fontId="22" fillId="0" borderId="36" xfId="0" applyFont="1" applyFill="1" applyBorder="1" applyAlignment="1">
      <alignment horizontal="center" vertical="center" wrapText="1"/>
    </xf>
    <xf numFmtId="0" fontId="22" fillId="0" borderId="37" xfId="0" applyFont="1" applyFill="1" applyBorder="1" applyAlignment="1">
      <alignment horizontal="center" vertical="center" wrapText="1"/>
    </xf>
    <xf numFmtId="0" fontId="22" fillId="0" borderId="38" xfId="0" applyFont="1" applyFill="1" applyBorder="1" applyAlignment="1">
      <alignment horizontal="center" vertical="center" wrapText="1"/>
    </xf>
    <xf numFmtId="0" fontId="16" fillId="0" borderId="28" xfId="0" applyFont="1" applyBorder="1" applyAlignment="1">
      <alignment horizontal="center" vertical="top" wrapText="1"/>
    </xf>
    <xf numFmtId="0" fontId="16" fillId="0" borderId="9" xfId="0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0" fontId="18" fillId="0" borderId="0" xfId="0" applyFont="1" applyAlignment="1">
      <alignment horizontal="center"/>
    </xf>
    <xf numFmtId="0" fontId="5" fillId="0" borderId="0" xfId="1" applyFont="1" applyAlignment="1" applyProtection="1">
      <alignment horizontal="center" wrapText="1"/>
    </xf>
    <xf numFmtId="0" fontId="19" fillId="0" borderId="0" xfId="0" applyFont="1" applyAlignment="1">
      <alignment horizontal="center" wrapText="1"/>
    </xf>
    <xf numFmtId="165" fontId="18" fillId="0" borderId="0" xfId="0" applyNumberFormat="1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15" fillId="5" borderId="50" xfId="0" applyFont="1" applyFill="1" applyBorder="1" applyAlignment="1">
      <alignment horizontal="left" vertical="center" wrapText="1"/>
    </xf>
    <xf numFmtId="0" fontId="15" fillId="5" borderId="25" xfId="0" applyFont="1" applyFill="1" applyBorder="1" applyAlignment="1">
      <alignment horizontal="left" vertical="center" wrapText="1"/>
    </xf>
    <xf numFmtId="0" fontId="15" fillId="5" borderId="0" xfId="0" applyFont="1" applyFill="1" applyBorder="1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6" fillId="0" borderId="28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34" fillId="5" borderId="11" xfId="0" applyFont="1" applyFill="1" applyBorder="1" applyAlignment="1">
      <alignment horizontal="left" vertical="center" wrapText="1"/>
    </xf>
    <xf numFmtId="0" fontId="15" fillId="5" borderId="11" xfId="0" applyFont="1" applyFill="1" applyBorder="1" applyAlignment="1">
      <alignment horizontal="left" vertical="center" wrapText="1"/>
    </xf>
    <xf numFmtId="0" fontId="8" fillId="0" borderId="12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top" wrapText="1"/>
    </xf>
    <xf numFmtId="0" fontId="16" fillId="0" borderId="12" xfId="0" applyFont="1" applyBorder="1" applyAlignment="1">
      <alignment horizontal="center" vertical="top" wrapText="1"/>
    </xf>
    <xf numFmtId="0" fontId="23" fillId="17" borderId="11" xfId="0" applyFont="1" applyFill="1" applyBorder="1" applyAlignment="1">
      <alignment horizontal="left" vertical="center" wrapText="1"/>
    </xf>
    <xf numFmtId="0" fontId="23" fillId="17" borderId="23" xfId="0" applyFont="1" applyFill="1" applyBorder="1" applyAlignment="1">
      <alignment horizontal="left" vertical="center" wrapText="1"/>
    </xf>
    <xf numFmtId="0" fontId="35" fillId="23" borderId="11" xfId="0" applyFont="1" applyFill="1" applyBorder="1" applyAlignment="1">
      <alignment horizontal="left" vertical="center" wrapText="1"/>
    </xf>
    <xf numFmtId="0" fontId="23" fillId="23" borderId="11" xfId="0" applyFont="1" applyFill="1" applyBorder="1" applyAlignment="1">
      <alignment horizontal="left" vertical="center" wrapText="1"/>
    </xf>
    <xf numFmtId="0" fontId="35" fillId="5" borderId="11" xfId="0" applyFont="1" applyFill="1" applyBorder="1" applyAlignment="1">
      <alignment horizontal="left" vertical="center" wrapText="1"/>
    </xf>
    <xf numFmtId="0" fontId="23" fillId="5" borderId="11" xfId="0" applyFont="1" applyFill="1" applyBorder="1" applyAlignment="1">
      <alignment horizontal="left" vertical="center" wrapText="1"/>
    </xf>
    <xf numFmtId="0" fontId="35" fillId="22" borderId="11" xfId="0" applyFont="1" applyFill="1" applyBorder="1" applyAlignment="1">
      <alignment horizontal="left" vertical="center" wrapText="1"/>
    </xf>
    <xf numFmtId="0" fontId="23" fillId="22" borderId="11" xfId="0" applyFont="1" applyFill="1" applyBorder="1" applyAlignment="1">
      <alignment horizontal="left" vertical="center" wrapText="1"/>
    </xf>
    <xf numFmtId="0" fontId="23" fillId="27" borderId="11" xfId="0" applyNumberFormat="1" applyFont="1" applyFill="1" applyBorder="1" applyAlignment="1" applyProtection="1">
      <alignment horizontal="left" vertical="center" wrapText="1"/>
    </xf>
    <xf numFmtId="0" fontId="23" fillId="21" borderId="11" xfId="0" applyNumberFormat="1" applyFont="1" applyFill="1" applyBorder="1" applyAlignment="1" applyProtection="1">
      <alignment horizontal="left" vertical="center" wrapText="1"/>
    </xf>
    <xf numFmtId="0" fontId="35" fillId="20" borderId="11" xfId="0" applyFont="1" applyFill="1" applyBorder="1" applyAlignment="1">
      <alignment horizontal="left" vertical="center" wrapText="1"/>
    </xf>
    <xf numFmtId="0" fontId="23" fillId="20" borderId="11" xfId="0" applyFont="1" applyFill="1" applyBorder="1" applyAlignment="1">
      <alignment horizontal="left" vertical="center" wrapText="1"/>
    </xf>
    <xf numFmtId="0" fontId="15" fillId="14" borderId="11" xfId="0" applyFont="1" applyFill="1" applyBorder="1" applyAlignment="1">
      <alignment horizontal="left" vertical="center" wrapText="1"/>
    </xf>
    <xf numFmtId="0" fontId="15" fillId="17" borderId="11" xfId="0" applyFont="1" applyFill="1" applyBorder="1" applyAlignment="1">
      <alignment horizontal="left" vertical="center" wrapText="1"/>
    </xf>
    <xf numFmtId="0" fontId="15" fillId="28" borderId="11" xfId="0" applyFont="1" applyFill="1" applyBorder="1" applyAlignment="1">
      <alignment horizontal="left" vertical="center" wrapText="1"/>
    </xf>
    <xf numFmtId="165" fontId="18" fillId="0" borderId="0" xfId="0" applyNumberFormat="1" applyFont="1" applyBorder="1" applyAlignment="1">
      <alignment vertical="center" wrapText="1"/>
    </xf>
  </cellXfs>
  <cellStyles count="7">
    <cellStyle name="Гиперссылка" xfId="1" builtinId="8"/>
    <cellStyle name="Обычный" xfId="0" builtinId="0"/>
    <cellStyle name="Обычный 2" xfId="5"/>
    <cellStyle name="Обычный 2 2" xfId="6"/>
    <cellStyle name="Обычный_Входные Депфинансы" xfId="3"/>
    <cellStyle name="Обычный_Лист1" xfId="4"/>
    <cellStyle name="Обычный_ПЭМ" xfId="2"/>
  </cellStyles>
  <dxfs count="0"/>
  <tableStyles count="0" defaultTableStyle="TableStyleMedium2" defaultPivotStyle="PivotStyleMedium9"/>
  <colors>
    <mruColors>
      <color rgb="FFFFFF66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1048;&#1085;&#1089;&#1090;&#1088;&#1091;&#1082;&#1094;&#1080;&#1103;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&#1048;&#1085;&#1089;&#1090;&#1088;&#1091;&#1082;&#1094;&#1080;&#1103;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&#1048;&#1085;&#1089;&#1090;&#1088;&#1091;&#1082;&#1094;&#1080;&#1103;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&#1048;&#1085;&#1089;&#1090;&#1088;&#1091;&#1082;&#1094;&#1080;&#1103;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&#1048;&#1085;&#1089;&#1090;&#1088;&#1091;&#1082;&#1094;&#1080;&#1103;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&#1048;&#1085;&#1089;&#1090;&#1088;&#1091;&#1082;&#1094;&#1080;&#1103;!A1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hyperlink" Target="#&#1048;&#1085;&#1089;&#1090;&#1088;&#1091;&#1082;&#1094;&#1080;&#1103;!A1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hyperlink" Target="#&#1048;&#1085;&#1089;&#1090;&#1088;&#1091;&#1082;&#1094;&#1080;&#1103;!A1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hyperlink" Target="#&#1048;&#1085;&#1089;&#1090;&#1088;&#1091;&#1082;&#1094;&#1080;&#1103;!A1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hyperlink" Target="#&#1048;&#1085;&#1089;&#1090;&#1088;&#1091;&#1082;&#1094;&#1080;&#1103;!A1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hyperlink" Target="#&#1048;&#1085;&#1089;&#1090;&#1088;&#1091;&#1082;&#1094;&#1080;&#1103;!A1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hyperlink" Target="#&#1048;&#1085;&#1089;&#1090;&#1088;&#1091;&#1082;&#1094;&#1080;&#1103;!A1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hyperlink" Target="#&#1048;&#1085;&#1089;&#1090;&#1088;&#1091;&#1082;&#1094;&#1080;&#1103;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304800</xdr:colOff>
      <xdr:row>2</xdr:row>
      <xdr:rowOff>28575</xdr:rowOff>
    </xdr:from>
    <xdr:to>
      <xdr:col>14</xdr:col>
      <xdr:colOff>939800</xdr:colOff>
      <xdr:row>3</xdr:row>
      <xdr:rowOff>123825</xdr:rowOff>
    </xdr:to>
    <xdr:sp macro="" textlink="">
      <xdr:nvSpPr>
        <xdr:cNvPr id="2" name="checksum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SpPr txBox="1">
          <a:spLocks noChangeArrowheads="1"/>
        </xdr:cNvSpPr>
      </xdr:nvSpPr>
      <xdr:spPr bwMode="auto">
        <a:xfrm>
          <a:off x="11277600" y="466725"/>
          <a:ext cx="1885950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13</xdr:col>
      <xdr:colOff>0</xdr:colOff>
      <xdr:row>2</xdr:row>
      <xdr:rowOff>285750</xdr:rowOff>
    </xdr:from>
    <xdr:to>
      <xdr:col>14</xdr:col>
      <xdr:colOff>482600</xdr:colOff>
      <xdr:row>3</xdr:row>
      <xdr:rowOff>257175</xdr:rowOff>
    </xdr:to>
    <xdr:sp macro="" textlink="">
      <xdr:nvSpPr>
        <xdr:cNvPr id="3" name="checksum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SpPr txBox="1">
          <a:spLocks noChangeArrowheads="1"/>
        </xdr:cNvSpPr>
      </xdr:nvSpPr>
      <xdr:spPr bwMode="auto">
        <a:xfrm>
          <a:off x="10972800" y="704850"/>
          <a:ext cx="173355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13</xdr:col>
      <xdr:colOff>0</xdr:colOff>
      <xdr:row>2</xdr:row>
      <xdr:rowOff>285750</xdr:rowOff>
    </xdr:from>
    <xdr:to>
      <xdr:col>14</xdr:col>
      <xdr:colOff>492125</xdr:colOff>
      <xdr:row>3</xdr:row>
      <xdr:rowOff>257175</xdr:rowOff>
    </xdr:to>
    <xdr:sp macro="" textlink="">
      <xdr:nvSpPr>
        <xdr:cNvPr id="4" name="checksum">
          <a:extLst>
            <a:ext uri="{FF2B5EF4-FFF2-40B4-BE49-F238E27FC236}">
              <a16:creationId xmlns:a16="http://schemas.microsoft.com/office/drawing/2014/main" xmlns="" id="{00000000-0008-0000-0100-000004000000}"/>
            </a:ext>
          </a:extLst>
        </xdr:cNvPr>
        <xdr:cNvSpPr txBox="1">
          <a:spLocks noChangeArrowheads="1"/>
        </xdr:cNvSpPr>
      </xdr:nvSpPr>
      <xdr:spPr bwMode="auto">
        <a:xfrm>
          <a:off x="10972800" y="704850"/>
          <a:ext cx="174307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13</xdr:col>
      <xdr:colOff>0</xdr:colOff>
      <xdr:row>2</xdr:row>
      <xdr:rowOff>276225</xdr:rowOff>
    </xdr:from>
    <xdr:to>
      <xdr:col>14</xdr:col>
      <xdr:colOff>463550</xdr:colOff>
      <xdr:row>3</xdr:row>
      <xdr:rowOff>257175</xdr:rowOff>
    </xdr:to>
    <xdr:sp macro="" textlink="">
      <xdr:nvSpPr>
        <xdr:cNvPr id="5" name="checksum">
          <a:extLst>
            <a:ext uri="{FF2B5EF4-FFF2-40B4-BE49-F238E27FC236}">
              <a16:creationId xmlns:a16="http://schemas.microsoft.com/office/drawing/2014/main" xmlns="" id="{00000000-0008-0000-0100-000005000000}"/>
            </a:ext>
          </a:extLst>
        </xdr:cNvPr>
        <xdr:cNvSpPr txBox="1">
          <a:spLocks noChangeArrowheads="1"/>
        </xdr:cNvSpPr>
      </xdr:nvSpPr>
      <xdr:spPr bwMode="auto">
        <a:xfrm>
          <a:off x="10972800" y="704850"/>
          <a:ext cx="17145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0</xdr:colOff>
      <xdr:row>2</xdr:row>
      <xdr:rowOff>0</xdr:rowOff>
    </xdr:from>
    <xdr:to>
      <xdr:col>7</xdr:col>
      <xdr:colOff>0</xdr:colOff>
      <xdr:row>4</xdr:row>
      <xdr:rowOff>363906</xdr:rowOff>
    </xdr:to>
    <xdr:sp macro="" textlink="">
      <xdr:nvSpPr>
        <xdr:cNvPr id="6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100-000006000000}"/>
            </a:ext>
          </a:extLst>
        </xdr:cNvPr>
        <xdr:cNvSpPr txBox="1">
          <a:spLocks noChangeArrowheads="1"/>
        </xdr:cNvSpPr>
      </xdr:nvSpPr>
      <xdr:spPr bwMode="auto">
        <a:xfrm>
          <a:off x="3181350" y="438150"/>
          <a:ext cx="0" cy="93540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 editAs="oneCell">
    <xdr:from>
      <xdr:col>13</xdr:col>
      <xdr:colOff>304800</xdr:colOff>
      <xdr:row>2</xdr:row>
      <xdr:rowOff>28575</xdr:rowOff>
    </xdr:from>
    <xdr:to>
      <xdr:col>14</xdr:col>
      <xdr:colOff>939800</xdr:colOff>
      <xdr:row>3</xdr:row>
      <xdr:rowOff>123825</xdr:rowOff>
    </xdr:to>
    <xdr:sp macro="" textlink="">
      <xdr:nvSpPr>
        <xdr:cNvPr id="7" name="checksum">
          <a:extLst>
            <a:ext uri="{FF2B5EF4-FFF2-40B4-BE49-F238E27FC236}">
              <a16:creationId xmlns:a16="http://schemas.microsoft.com/office/drawing/2014/main" xmlns="" id="{00000000-0008-0000-0100-000007000000}"/>
            </a:ext>
          </a:extLst>
        </xdr:cNvPr>
        <xdr:cNvSpPr txBox="1">
          <a:spLocks noChangeArrowheads="1"/>
        </xdr:cNvSpPr>
      </xdr:nvSpPr>
      <xdr:spPr bwMode="auto">
        <a:xfrm>
          <a:off x="11277600" y="466725"/>
          <a:ext cx="1885950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13</xdr:col>
      <xdr:colOff>0</xdr:colOff>
      <xdr:row>2</xdr:row>
      <xdr:rowOff>285750</xdr:rowOff>
    </xdr:from>
    <xdr:to>
      <xdr:col>14</xdr:col>
      <xdr:colOff>482600</xdr:colOff>
      <xdr:row>3</xdr:row>
      <xdr:rowOff>257175</xdr:rowOff>
    </xdr:to>
    <xdr:sp macro="" textlink="">
      <xdr:nvSpPr>
        <xdr:cNvPr id="8" name="checksum">
          <a:extLst>
            <a:ext uri="{FF2B5EF4-FFF2-40B4-BE49-F238E27FC236}">
              <a16:creationId xmlns:a16="http://schemas.microsoft.com/office/drawing/2014/main" xmlns="" id="{00000000-0008-0000-0100-000008000000}"/>
            </a:ext>
          </a:extLst>
        </xdr:cNvPr>
        <xdr:cNvSpPr txBox="1">
          <a:spLocks noChangeArrowheads="1"/>
        </xdr:cNvSpPr>
      </xdr:nvSpPr>
      <xdr:spPr bwMode="auto">
        <a:xfrm>
          <a:off x="10972800" y="704850"/>
          <a:ext cx="173355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13</xdr:col>
      <xdr:colOff>0</xdr:colOff>
      <xdr:row>2</xdr:row>
      <xdr:rowOff>285750</xdr:rowOff>
    </xdr:from>
    <xdr:to>
      <xdr:col>14</xdr:col>
      <xdr:colOff>492125</xdr:colOff>
      <xdr:row>3</xdr:row>
      <xdr:rowOff>257175</xdr:rowOff>
    </xdr:to>
    <xdr:sp macro="" textlink="">
      <xdr:nvSpPr>
        <xdr:cNvPr id="9" name="checksum">
          <a:extLst>
            <a:ext uri="{FF2B5EF4-FFF2-40B4-BE49-F238E27FC236}">
              <a16:creationId xmlns:a16="http://schemas.microsoft.com/office/drawing/2014/main" xmlns="" id="{00000000-0008-0000-0100-000009000000}"/>
            </a:ext>
          </a:extLst>
        </xdr:cNvPr>
        <xdr:cNvSpPr txBox="1">
          <a:spLocks noChangeArrowheads="1"/>
        </xdr:cNvSpPr>
      </xdr:nvSpPr>
      <xdr:spPr bwMode="auto">
        <a:xfrm>
          <a:off x="10972800" y="704850"/>
          <a:ext cx="174307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13</xdr:col>
      <xdr:colOff>0</xdr:colOff>
      <xdr:row>2</xdr:row>
      <xdr:rowOff>276225</xdr:rowOff>
    </xdr:from>
    <xdr:to>
      <xdr:col>14</xdr:col>
      <xdr:colOff>463550</xdr:colOff>
      <xdr:row>3</xdr:row>
      <xdr:rowOff>257175</xdr:rowOff>
    </xdr:to>
    <xdr:sp macro="" textlink="">
      <xdr:nvSpPr>
        <xdr:cNvPr id="10" name="checksum">
          <a:extLst>
            <a:ext uri="{FF2B5EF4-FFF2-40B4-BE49-F238E27FC236}">
              <a16:creationId xmlns:a16="http://schemas.microsoft.com/office/drawing/2014/main" xmlns="" id="{00000000-0008-0000-0100-00000A000000}"/>
            </a:ext>
          </a:extLst>
        </xdr:cNvPr>
        <xdr:cNvSpPr txBox="1">
          <a:spLocks noChangeArrowheads="1"/>
        </xdr:cNvSpPr>
      </xdr:nvSpPr>
      <xdr:spPr bwMode="auto">
        <a:xfrm>
          <a:off x="10972800" y="704850"/>
          <a:ext cx="17145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0</xdr:colOff>
      <xdr:row>2</xdr:row>
      <xdr:rowOff>0</xdr:rowOff>
    </xdr:from>
    <xdr:to>
      <xdr:col>7</xdr:col>
      <xdr:colOff>0</xdr:colOff>
      <xdr:row>5</xdr:row>
      <xdr:rowOff>361950</xdr:rowOff>
    </xdr:to>
    <xdr:sp macro="" textlink="">
      <xdr:nvSpPr>
        <xdr:cNvPr id="11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100-00000B000000}"/>
            </a:ext>
          </a:extLst>
        </xdr:cNvPr>
        <xdr:cNvSpPr txBox="1">
          <a:spLocks noChangeArrowheads="1"/>
        </xdr:cNvSpPr>
      </xdr:nvSpPr>
      <xdr:spPr bwMode="auto">
        <a:xfrm>
          <a:off x="3181350" y="438150"/>
          <a:ext cx="0" cy="1171575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 editAs="oneCell">
    <xdr:from>
      <xdr:col>31</xdr:col>
      <xdr:colOff>304800</xdr:colOff>
      <xdr:row>2</xdr:row>
      <xdr:rowOff>28575</xdr:rowOff>
    </xdr:from>
    <xdr:to>
      <xdr:col>32</xdr:col>
      <xdr:colOff>939800</xdr:colOff>
      <xdr:row>3</xdr:row>
      <xdr:rowOff>123825</xdr:rowOff>
    </xdr:to>
    <xdr:sp macro="" textlink="">
      <xdr:nvSpPr>
        <xdr:cNvPr id="12" name="checksum">
          <a:extLst>
            <a:ext uri="{FF2B5EF4-FFF2-40B4-BE49-F238E27FC236}">
              <a16:creationId xmlns:a16="http://schemas.microsoft.com/office/drawing/2014/main" xmlns="" id="{00000000-0008-0000-0100-00000C000000}"/>
            </a:ext>
          </a:extLst>
        </xdr:cNvPr>
        <xdr:cNvSpPr txBox="1">
          <a:spLocks noChangeArrowheads="1"/>
        </xdr:cNvSpPr>
      </xdr:nvSpPr>
      <xdr:spPr bwMode="auto">
        <a:xfrm>
          <a:off x="31680150" y="466725"/>
          <a:ext cx="1885950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31</xdr:col>
      <xdr:colOff>0</xdr:colOff>
      <xdr:row>2</xdr:row>
      <xdr:rowOff>285750</xdr:rowOff>
    </xdr:from>
    <xdr:to>
      <xdr:col>32</xdr:col>
      <xdr:colOff>482600</xdr:colOff>
      <xdr:row>3</xdr:row>
      <xdr:rowOff>257175</xdr:rowOff>
    </xdr:to>
    <xdr:sp macro="" textlink="">
      <xdr:nvSpPr>
        <xdr:cNvPr id="13" name="checksum">
          <a:extLst>
            <a:ext uri="{FF2B5EF4-FFF2-40B4-BE49-F238E27FC236}">
              <a16:creationId xmlns:a16="http://schemas.microsoft.com/office/drawing/2014/main" xmlns="" id="{00000000-0008-0000-0100-00000D000000}"/>
            </a:ext>
          </a:extLst>
        </xdr:cNvPr>
        <xdr:cNvSpPr txBox="1">
          <a:spLocks noChangeArrowheads="1"/>
        </xdr:cNvSpPr>
      </xdr:nvSpPr>
      <xdr:spPr bwMode="auto">
        <a:xfrm>
          <a:off x="31375350" y="704850"/>
          <a:ext cx="173355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31</xdr:col>
      <xdr:colOff>0</xdr:colOff>
      <xdr:row>2</xdr:row>
      <xdr:rowOff>285750</xdr:rowOff>
    </xdr:from>
    <xdr:to>
      <xdr:col>32</xdr:col>
      <xdr:colOff>492125</xdr:colOff>
      <xdr:row>3</xdr:row>
      <xdr:rowOff>257175</xdr:rowOff>
    </xdr:to>
    <xdr:sp macro="" textlink="">
      <xdr:nvSpPr>
        <xdr:cNvPr id="14" name="checksum">
          <a:extLst>
            <a:ext uri="{FF2B5EF4-FFF2-40B4-BE49-F238E27FC236}">
              <a16:creationId xmlns:a16="http://schemas.microsoft.com/office/drawing/2014/main" xmlns="" id="{00000000-0008-0000-0100-00000E000000}"/>
            </a:ext>
          </a:extLst>
        </xdr:cNvPr>
        <xdr:cNvSpPr txBox="1">
          <a:spLocks noChangeArrowheads="1"/>
        </xdr:cNvSpPr>
      </xdr:nvSpPr>
      <xdr:spPr bwMode="auto">
        <a:xfrm>
          <a:off x="31375350" y="704850"/>
          <a:ext cx="174307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31</xdr:col>
      <xdr:colOff>0</xdr:colOff>
      <xdr:row>2</xdr:row>
      <xdr:rowOff>276225</xdr:rowOff>
    </xdr:from>
    <xdr:to>
      <xdr:col>32</xdr:col>
      <xdr:colOff>463550</xdr:colOff>
      <xdr:row>3</xdr:row>
      <xdr:rowOff>257175</xdr:rowOff>
    </xdr:to>
    <xdr:sp macro="" textlink="">
      <xdr:nvSpPr>
        <xdr:cNvPr id="15" name="checksum">
          <a:extLst>
            <a:ext uri="{FF2B5EF4-FFF2-40B4-BE49-F238E27FC236}">
              <a16:creationId xmlns:a16="http://schemas.microsoft.com/office/drawing/2014/main" xmlns="" id="{00000000-0008-0000-0100-00000F000000}"/>
            </a:ext>
          </a:extLst>
        </xdr:cNvPr>
        <xdr:cNvSpPr txBox="1">
          <a:spLocks noChangeArrowheads="1"/>
        </xdr:cNvSpPr>
      </xdr:nvSpPr>
      <xdr:spPr bwMode="auto">
        <a:xfrm>
          <a:off x="31375350" y="704850"/>
          <a:ext cx="17145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25</xdr:col>
      <xdr:colOff>0</xdr:colOff>
      <xdr:row>2</xdr:row>
      <xdr:rowOff>0</xdr:rowOff>
    </xdr:from>
    <xdr:to>
      <xdr:col>25</xdr:col>
      <xdr:colOff>0</xdr:colOff>
      <xdr:row>4</xdr:row>
      <xdr:rowOff>363906</xdr:rowOff>
    </xdr:to>
    <xdr:sp macro="" textlink="">
      <xdr:nvSpPr>
        <xdr:cNvPr id="16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100-000010000000}"/>
            </a:ext>
          </a:extLst>
        </xdr:cNvPr>
        <xdr:cNvSpPr txBox="1">
          <a:spLocks noChangeArrowheads="1"/>
        </xdr:cNvSpPr>
      </xdr:nvSpPr>
      <xdr:spPr bwMode="auto">
        <a:xfrm>
          <a:off x="23583900" y="438150"/>
          <a:ext cx="0" cy="93540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 editAs="oneCell">
    <xdr:from>
      <xdr:col>31</xdr:col>
      <xdr:colOff>304800</xdr:colOff>
      <xdr:row>2</xdr:row>
      <xdr:rowOff>28575</xdr:rowOff>
    </xdr:from>
    <xdr:to>
      <xdr:col>32</xdr:col>
      <xdr:colOff>939800</xdr:colOff>
      <xdr:row>3</xdr:row>
      <xdr:rowOff>123825</xdr:rowOff>
    </xdr:to>
    <xdr:sp macro="" textlink="">
      <xdr:nvSpPr>
        <xdr:cNvPr id="17" name="checksum">
          <a:extLst>
            <a:ext uri="{FF2B5EF4-FFF2-40B4-BE49-F238E27FC236}">
              <a16:creationId xmlns:a16="http://schemas.microsoft.com/office/drawing/2014/main" xmlns="" id="{00000000-0008-0000-0100-000011000000}"/>
            </a:ext>
          </a:extLst>
        </xdr:cNvPr>
        <xdr:cNvSpPr txBox="1">
          <a:spLocks noChangeArrowheads="1"/>
        </xdr:cNvSpPr>
      </xdr:nvSpPr>
      <xdr:spPr bwMode="auto">
        <a:xfrm>
          <a:off x="31680150" y="466725"/>
          <a:ext cx="1885950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31</xdr:col>
      <xdr:colOff>0</xdr:colOff>
      <xdr:row>2</xdr:row>
      <xdr:rowOff>285750</xdr:rowOff>
    </xdr:from>
    <xdr:to>
      <xdr:col>32</xdr:col>
      <xdr:colOff>482600</xdr:colOff>
      <xdr:row>3</xdr:row>
      <xdr:rowOff>257175</xdr:rowOff>
    </xdr:to>
    <xdr:sp macro="" textlink="">
      <xdr:nvSpPr>
        <xdr:cNvPr id="18" name="checksum">
          <a:extLst>
            <a:ext uri="{FF2B5EF4-FFF2-40B4-BE49-F238E27FC236}">
              <a16:creationId xmlns:a16="http://schemas.microsoft.com/office/drawing/2014/main" xmlns="" id="{00000000-0008-0000-0100-000012000000}"/>
            </a:ext>
          </a:extLst>
        </xdr:cNvPr>
        <xdr:cNvSpPr txBox="1">
          <a:spLocks noChangeArrowheads="1"/>
        </xdr:cNvSpPr>
      </xdr:nvSpPr>
      <xdr:spPr bwMode="auto">
        <a:xfrm>
          <a:off x="31375350" y="704850"/>
          <a:ext cx="173355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31</xdr:col>
      <xdr:colOff>0</xdr:colOff>
      <xdr:row>2</xdr:row>
      <xdr:rowOff>285750</xdr:rowOff>
    </xdr:from>
    <xdr:to>
      <xdr:col>32</xdr:col>
      <xdr:colOff>492125</xdr:colOff>
      <xdr:row>3</xdr:row>
      <xdr:rowOff>257175</xdr:rowOff>
    </xdr:to>
    <xdr:sp macro="" textlink="">
      <xdr:nvSpPr>
        <xdr:cNvPr id="19" name="checksum">
          <a:extLst>
            <a:ext uri="{FF2B5EF4-FFF2-40B4-BE49-F238E27FC236}">
              <a16:creationId xmlns:a16="http://schemas.microsoft.com/office/drawing/2014/main" xmlns="" id="{00000000-0008-0000-0100-000013000000}"/>
            </a:ext>
          </a:extLst>
        </xdr:cNvPr>
        <xdr:cNvSpPr txBox="1">
          <a:spLocks noChangeArrowheads="1"/>
        </xdr:cNvSpPr>
      </xdr:nvSpPr>
      <xdr:spPr bwMode="auto">
        <a:xfrm>
          <a:off x="31375350" y="704850"/>
          <a:ext cx="174307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31</xdr:col>
      <xdr:colOff>0</xdr:colOff>
      <xdr:row>2</xdr:row>
      <xdr:rowOff>276225</xdr:rowOff>
    </xdr:from>
    <xdr:to>
      <xdr:col>32</xdr:col>
      <xdr:colOff>463550</xdr:colOff>
      <xdr:row>3</xdr:row>
      <xdr:rowOff>257175</xdr:rowOff>
    </xdr:to>
    <xdr:sp macro="" textlink="">
      <xdr:nvSpPr>
        <xdr:cNvPr id="20" name="checksum">
          <a:extLst>
            <a:ext uri="{FF2B5EF4-FFF2-40B4-BE49-F238E27FC236}">
              <a16:creationId xmlns:a16="http://schemas.microsoft.com/office/drawing/2014/main" xmlns="" id="{00000000-0008-0000-0100-000014000000}"/>
            </a:ext>
          </a:extLst>
        </xdr:cNvPr>
        <xdr:cNvSpPr txBox="1">
          <a:spLocks noChangeArrowheads="1"/>
        </xdr:cNvSpPr>
      </xdr:nvSpPr>
      <xdr:spPr bwMode="auto">
        <a:xfrm>
          <a:off x="31375350" y="704850"/>
          <a:ext cx="17145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49</xdr:col>
      <xdr:colOff>304800</xdr:colOff>
      <xdr:row>2</xdr:row>
      <xdr:rowOff>28575</xdr:rowOff>
    </xdr:from>
    <xdr:to>
      <xdr:col>50</xdr:col>
      <xdr:colOff>939800</xdr:colOff>
      <xdr:row>3</xdr:row>
      <xdr:rowOff>123825</xdr:rowOff>
    </xdr:to>
    <xdr:sp macro="" textlink="">
      <xdr:nvSpPr>
        <xdr:cNvPr id="21" name="checksum">
          <a:extLst>
            <a:ext uri="{FF2B5EF4-FFF2-40B4-BE49-F238E27FC236}">
              <a16:creationId xmlns:a16="http://schemas.microsoft.com/office/drawing/2014/main" xmlns="" id="{00000000-0008-0000-0100-000015000000}"/>
            </a:ext>
          </a:extLst>
        </xdr:cNvPr>
        <xdr:cNvSpPr txBox="1">
          <a:spLocks noChangeArrowheads="1"/>
        </xdr:cNvSpPr>
      </xdr:nvSpPr>
      <xdr:spPr bwMode="auto">
        <a:xfrm>
          <a:off x="52082700" y="466725"/>
          <a:ext cx="1885950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49</xdr:col>
      <xdr:colOff>0</xdr:colOff>
      <xdr:row>2</xdr:row>
      <xdr:rowOff>285750</xdr:rowOff>
    </xdr:from>
    <xdr:to>
      <xdr:col>50</xdr:col>
      <xdr:colOff>482600</xdr:colOff>
      <xdr:row>3</xdr:row>
      <xdr:rowOff>257175</xdr:rowOff>
    </xdr:to>
    <xdr:sp macro="" textlink="">
      <xdr:nvSpPr>
        <xdr:cNvPr id="22" name="checksum">
          <a:extLst>
            <a:ext uri="{FF2B5EF4-FFF2-40B4-BE49-F238E27FC236}">
              <a16:creationId xmlns:a16="http://schemas.microsoft.com/office/drawing/2014/main" xmlns="" id="{00000000-0008-0000-0100-000016000000}"/>
            </a:ext>
          </a:extLst>
        </xdr:cNvPr>
        <xdr:cNvSpPr txBox="1">
          <a:spLocks noChangeArrowheads="1"/>
        </xdr:cNvSpPr>
      </xdr:nvSpPr>
      <xdr:spPr bwMode="auto">
        <a:xfrm>
          <a:off x="51777900" y="704850"/>
          <a:ext cx="173355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49</xdr:col>
      <xdr:colOff>0</xdr:colOff>
      <xdr:row>2</xdr:row>
      <xdr:rowOff>285750</xdr:rowOff>
    </xdr:from>
    <xdr:to>
      <xdr:col>50</xdr:col>
      <xdr:colOff>492125</xdr:colOff>
      <xdr:row>3</xdr:row>
      <xdr:rowOff>257175</xdr:rowOff>
    </xdr:to>
    <xdr:sp macro="" textlink="">
      <xdr:nvSpPr>
        <xdr:cNvPr id="23" name="checksum">
          <a:extLst>
            <a:ext uri="{FF2B5EF4-FFF2-40B4-BE49-F238E27FC236}">
              <a16:creationId xmlns:a16="http://schemas.microsoft.com/office/drawing/2014/main" xmlns="" id="{00000000-0008-0000-0100-000017000000}"/>
            </a:ext>
          </a:extLst>
        </xdr:cNvPr>
        <xdr:cNvSpPr txBox="1">
          <a:spLocks noChangeArrowheads="1"/>
        </xdr:cNvSpPr>
      </xdr:nvSpPr>
      <xdr:spPr bwMode="auto">
        <a:xfrm>
          <a:off x="51777900" y="704850"/>
          <a:ext cx="174307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49</xdr:col>
      <xdr:colOff>0</xdr:colOff>
      <xdr:row>2</xdr:row>
      <xdr:rowOff>276225</xdr:rowOff>
    </xdr:from>
    <xdr:to>
      <xdr:col>50</xdr:col>
      <xdr:colOff>463550</xdr:colOff>
      <xdr:row>3</xdr:row>
      <xdr:rowOff>257175</xdr:rowOff>
    </xdr:to>
    <xdr:sp macro="" textlink="">
      <xdr:nvSpPr>
        <xdr:cNvPr id="24" name="checksum">
          <a:extLst>
            <a:ext uri="{FF2B5EF4-FFF2-40B4-BE49-F238E27FC236}">
              <a16:creationId xmlns:a16="http://schemas.microsoft.com/office/drawing/2014/main" xmlns="" id="{00000000-0008-0000-0100-000018000000}"/>
            </a:ext>
          </a:extLst>
        </xdr:cNvPr>
        <xdr:cNvSpPr txBox="1">
          <a:spLocks noChangeArrowheads="1"/>
        </xdr:cNvSpPr>
      </xdr:nvSpPr>
      <xdr:spPr bwMode="auto">
        <a:xfrm>
          <a:off x="51777900" y="704850"/>
          <a:ext cx="17145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43</xdr:col>
      <xdr:colOff>0</xdr:colOff>
      <xdr:row>2</xdr:row>
      <xdr:rowOff>0</xdr:rowOff>
    </xdr:from>
    <xdr:to>
      <xdr:col>43</xdr:col>
      <xdr:colOff>0</xdr:colOff>
      <xdr:row>4</xdr:row>
      <xdr:rowOff>363906</xdr:rowOff>
    </xdr:to>
    <xdr:sp macro="" textlink="">
      <xdr:nvSpPr>
        <xdr:cNvPr id="25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100-000019000000}"/>
            </a:ext>
          </a:extLst>
        </xdr:cNvPr>
        <xdr:cNvSpPr txBox="1">
          <a:spLocks noChangeArrowheads="1"/>
        </xdr:cNvSpPr>
      </xdr:nvSpPr>
      <xdr:spPr bwMode="auto">
        <a:xfrm>
          <a:off x="43986450" y="438150"/>
          <a:ext cx="0" cy="93540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 editAs="oneCell">
    <xdr:from>
      <xdr:col>49</xdr:col>
      <xdr:colOff>304800</xdr:colOff>
      <xdr:row>2</xdr:row>
      <xdr:rowOff>28575</xdr:rowOff>
    </xdr:from>
    <xdr:to>
      <xdr:col>50</xdr:col>
      <xdr:colOff>939800</xdr:colOff>
      <xdr:row>3</xdr:row>
      <xdr:rowOff>123825</xdr:rowOff>
    </xdr:to>
    <xdr:sp macro="" textlink="">
      <xdr:nvSpPr>
        <xdr:cNvPr id="26" name="checksum">
          <a:extLst>
            <a:ext uri="{FF2B5EF4-FFF2-40B4-BE49-F238E27FC236}">
              <a16:creationId xmlns:a16="http://schemas.microsoft.com/office/drawing/2014/main" xmlns="" id="{00000000-0008-0000-0100-00001A000000}"/>
            </a:ext>
          </a:extLst>
        </xdr:cNvPr>
        <xdr:cNvSpPr txBox="1">
          <a:spLocks noChangeArrowheads="1"/>
        </xdr:cNvSpPr>
      </xdr:nvSpPr>
      <xdr:spPr bwMode="auto">
        <a:xfrm>
          <a:off x="52082700" y="466725"/>
          <a:ext cx="1885950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49</xdr:col>
      <xdr:colOff>0</xdr:colOff>
      <xdr:row>2</xdr:row>
      <xdr:rowOff>285750</xdr:rowOff>
    </xdr:from>
    <xdr:to>
      <xdr:col>50</xdr:col>
      <xdr:colOff>482600</xdr:colOff>
      <xdr:row>3</xdr:row>
      <xdr:rowOff>257175</xdr:rowOff>
    </xdr:to>
    <xdr:sp macro="" textlink="">
      <xdr:nvSpPr>
        <xdr:cNvPr id="27" name="checksum">
          <a:extLst>
            <a:ext uri="{FF2B5EF4-FFF2-40B4-BE49-F238E27FC236}">
              <a16:creationId xmlns:a16="http://schemas.microsoft.com/office/drawing/2014/main" xmlns="" id="{00000000-0008-0000-0100-00001B000000}"/>
            </a:ext>
          </a:extLst>
        </xdr:cNvPr>
        <xdr:cNvSpPr txBox="1">
          <a:spLocks noChangeArrowheads="1"/>
        </xdr:cNvSpPr>
      </xdr:nvSpPr>
      <xdr:spPr bwMode="auto">
        <a:xfrm>
          <a:off x="51777900" y="704850"/>
          <a:ext cx="173355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49</xdr:col>
      <xdr:colOff>0</xdr:colOff>
      <xdr:row>2</xdr:row>
      <xdr:rowOff>285750</xdr:rowOff>
    </xdr:from>
    <xdr:to>
      <xdr:col>50</xdr:col>
      <xdr:colOff>492125</xdr:colOff>
      <xdr:row>3</xdr:row>
      <xdr:rowOff>257175</xdr:rowOff>
    </xdr:to>
    <xdr:sp macro="" textlink="">
      <xdr:nvSpPr>
        <xdr:cNvPr id="28" name="checksum">
          <a:extLst>
            <a:ext uri="{FF2B5EF4-FFF2-40B4-BE49-F238E27FC236}">
              <a16:creationId xmlns:a16="http://schemas.microsoft.com/office/drawing/2014/main" xmlns="" id="{00000000-0008-0000-0100-00001C000000}"/>
            </a:ext>
          </a:extLst>
        </xdr:cNvPr>
        <xdr:cNvSpPr txBox="1">
          <a:spLocks noChangeArrowheads="1"/>
        </xdr:cNvSpPr>
      </xdr:nvSpPr>
      <xdr:spPr bwMode="auto">
        <a:xfrm>
          <a:off x="51777900" y="704850"/>
          <a:ext cx="174307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49</xdr:col>
      <xdr:colOff>0</xdr:colOff>
      <xdr:row>2</xdr:row>
      <xdr:rowOff>276225</xdr:rowOff>
    </xdr:from>
    <xdr:to>
      <xdr:col>50</xdr:col>
      <xdr:colOff>463550</xdr:colOff>
      <xdr:row>3</xdr:row>
      <xdr:rowOff>257175</xdr:rowOff>
    </xdr:to>
    <xdr:sp macro="" textlink="">
      <xdr:nvSpPr>
        <xdr:cNvPr id="29" name="checksum">
          <a:extLst>
            <a:ext uri="{FF2B5EF4-FFF2-40B4-BE49-F238E27FC236}">
              <a16:creationId xmlns:a16="http://schemas.microsoft.com/office/drawing/2014/main" xmlns="" id="{00000000-0008-0000-0100-00001D000000}"/>
            </a:ext>
          </a:extLst>
        </xdr:cNvPr>
        <xdr:cNvSpPr txBox="1">
          <a:spLocks noChangeArrowheads="1"/>
        </xdr:cNvSpPr>
      </xdr:nvSpPr>
      <xdr:spPr bwMode="auto">
        <a:xfrm>
          <a:off x="51777900" y="704850"/>
          <a:ext cx="17145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59</xdr:col>
      <xdr:colOff>0</xdr:colOff>
      <xdr:row>2</xdr:row>
      <xdr:rowOff>28575</xdr:rowOff>
    </xdr:from>
    <xdr:to>
      <xdr:col>62</xdr:col>
      <xdr:colOff>79375</xdr:colOff>
      <xdr:row>3</xdr:row>
      <xdr:rowOff>123825</xdr:rowOff>
    </xdr:to>
    <xdr:sp macro="" textlink="">
      <xdr:nvSpPr>
        <xdr:cNvPr id="30" name="checksum">
          <a:extLst>
            <a:ext uri="{FF2B5EF4-FFF2-40B4-BE49-F238E27FC236}">
              <a16:creationId xmlns:a16="http://schemas.microsoft.com/office/drawing/2014/main" xmlns="" id="{00000000-0008-0000-0100-00001E000000}"/>
            </a:ext>
          </a:extLst>
        </xdr:cNvPr>
        <xdr:cNvSpPr txBox="1">
          <a:spLocks noChangeArrowheads="1"/>
        </xdr:cNvSpPr>
      </xdr:nvSpPr>
      <xdr:spPr bwMode="auto">
        <a:xfrm>
          <a:off x="72485250" y="466725"/>
          <a:ext cx="1885950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59</xdr:col>
      <xdr:colOff>0</xdr:colOff>
      <xdr:row>2</xdr:row>
      <xdr:rowOff>285750</xdr:rowOff>
    </xdr:from>
    <xdr:to>
      <xdr:col>61</xdr:col>
      <xdr:colOff>530225</xdr:colOff>
      <xdr:row>3</xdr:row>
      <xdr:rowOff>257175</xdr:rowOff>
    </xdr:to>
    <xdr:sp macro="" textlink="">
      <xdr:nvSpPr>
        <xdr:cNvPr id="31" name="checksum">
          <a:extLst>
            <a:ext uri="{FF2B5EF4-FFF2-40B4-BE49-F238E27FC236}">
              <a16:creationId xmlns:a16="http://schemas.microsoft.com/office/drawing/2014/main" xmlns="" id="{00000000-0008-0000-0100-00001F000000}"/>
            </a:ext>
          </a:extLst>
        </xdr:cNvPr>
        <xdr:cNvSpPr txBox="1">
          <a:spLocks noChangeArrowheads="1"/>
        </xdr:cNvSpPr>
      </xdr:nvSpPr>
      <xdr:spPr bwMode="auto">
        <a:xfrm>
          <a:off x="72180450" y="704850"/>
          <a:ext cx="173355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59</xdr:col>
      <xdr:colOff>0</xdr:colOff>
      <xdr:row>2</xdr:row>
      <xdr:rowOff>285750</xdr:rowOff>
    </xdr:from>
    <xdr:to>
      <xdr:col>61</xdr:col>
      <xdr:colOff>539750</xdr:colOff>
      <xdr:row>3</xdr:row>
      <xdr:rowOff>257175</xdr:rowOff>
    </xdr:to>
    <xdr:sp macro="" textlink="">
      <xdr:nvSpPr>
        <xdr:cNvPr id="32" name="checksum">
          <a:extLst>
            <a:ext uri="{FF2B5EF4-FFF2-40B4-BE49-F238E27FC236}">
              <a16:creationId xmlns:a16="http://schemas.microsoft.com/office/drawing/2014/main" xmlns="" id="{00000000-0008-0000-0100-000020000000}"/>
            </a:ext>
          </a:extLst>
        </xdr:cNvPr>
        <xdr:cNvSpPr txBox="1">
          <a:spLocks noChangeArrowheads="1"/>
        </xdr:cNvSpPr>
      </xdr:nvSpPr>
      <xdr:spPr bwMode="auto">
        <a:xfrm>
          <a:off x="72180450" y="704850"/>
          <a:ext cx="174307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59</xdr:col>
      <xdr:colOff>0</xdr:colOff>
      <xdr:row>2</xdr:row>
      <xdr:rowOff>276225</xdr:rowOff>
    </xdr:from>
    <xdr:to>
      <xdr:col>61</xdr:col>
      <xdr:colOff>511175</xdr:colOff>
      <xdr:row>3</xdr:row>
      <xdr:rowOff>257175</xdr:rowOff>
    </xdr:to>
    <xdr:sp macro="" textlink="">
      <xdr:nvSpPr>
        <xdr:cNvPr id="33" name="checksum">
          <a:extLst>
            <a:ext uri="{FF2B5EF4-FFF2-40B4-BE49-F238E27FC236}">
              <a16:creationId xmlns:a16="http://schemas.microsoft.com/office/drawing/2014/main" xmlns="" id="{00000000-0008-0000-0100-000021000000}"/>
            </a:ext>
          </a:extLst>
        </xdr:cNvPr>
        <xdr:cNvSpPr txBox="1">
          <a:spLocks noChangeArrowheads="1"/>
        </xdr:cNvSpPr>
      </xdr:nvSpPr>
      <xdr:spPr bwMode="auto">
        <a:xfrm>
          <a:off x="72180450" y="704850"/>
          <a:ext cx="17145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59</xdr:col>
      <xdr:colOff>0</xdr:colOff>
      <xdr:row>2</xdr:row>
      <xdr:rowOff>28575</xdr:rowOff>
    </xdr:from>
    <xdr:to>
      <xdr:col>62</xdr:col>
      <xdr:colOff>79375</xdr:colOff>
      <xdr:row>3</xdr:row>
      <xdr:rowOff>123825</xdr:rowOff>
    </xdr:to>
    <xdr:sp macro="" textlink="">
      <xdr:nvSpPr>
        <xdr:cNvPr id="35" name="checksum">
          <a:extLst>
            <a:ext uri="{FF2B5EF4-FFF2-40B4-BE49-F238E27FC236}">
              <a16:creationId xmlns:a16="http://schemas.microsoft.com/office/drawing/2014/main" xmlns="" id="{00000000-0008-0000-0100-000023000000}"/>
            </a:ext>
          </a:extLst>
        </xdr:cNvPr>
        <xdr:cNvSpPr txBox="1">
          <a:spLocks noChangeArrowheads="1"/>
        </xdr:cNvSpPr>
      </xdr:nvSpPr>
      <xdr:spPr bwMode="auto">
        <a:xfrm>
          <a:off x="72485250" y="466725"/>
          <a:ext cx="1885950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59</xdr:col>
      <xdr:colOff>0</xdr:colOff>
      <xdr:row>2</xdr:row>
      <xdr:rowOff>285750</xdr:rowOff>
    </xdr:from>
    <xdr:to>
      <xdr:col>61</xdr:col>
      <xdr:colOff>530225</xdr:colOff>
      <xdr:row>3</xdr:row>
      <xdr:rowOff>257175</xdr:rowOff>
    </xdr:to>
    <xdr:sp macro="" textlink="">
      <xdr:nvSpPr>
        <xdr:cNvPr id="36" name="checksum">
          <a:extLst>
            <a:ext uri="{FF2B5EF4-FFF2-40B4-BE49-F238E27FC236}">
              <a16:creationId xmlns:a16="http://schemas.microsoft.com/office/drawing/2014/main" xmlns="" id="{00000000-0008-0000-0100-000024000000}"/>
            </a:ext>
          </a:extLst>
        </xdr:cNvPr>
        <xdr:cNvSpPr txBox="1">
          <a:spLocks noChangeArrowheads="1"/>
        </xdr:cNvSpPr>
      </xdr:nvSpPr>
      <xdr:spPr bwMode="auto">
        <a:xfrm>
          <a:off x="72180450" y="704850"/>
          <a:ext cx="173355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59</xdr:col>
      <xdr:colOff>0</xdr:colOff>
      <xdr:row>2</xdr:row>
      <xdr:rowOff>285750</xdr:rowOff>
    </xdr:from>
    <xdr:to>
      <xdr:col>61</xdr:col>
      <xdr:colOff>539750</xdr:colOff>
      <xdr:row>3</xdr:row>
      <xdr:rowOff>257175</xdr:rowOff>
    </xdr:to>
    <xdr:sp macro="" textlink="">
      <xdr:nvSpPr>
        <xdr:cNvPr id="37" name="checksum">
          <a:extLst>
            <a:ext uri="{FF2B5EF4-FFF2-40B4-BE49-F238E27FC236}">
              <a16:creationId xmlns:a16="http://schemas.microsoft.com/office/drawing/2014/main" xmlns="" id="{00000000-0008-0000-0100-000025000000}"/>
            </a:ext>
          </a:extLst>
        </xdr:cNvPr>
        <xdr:cNvSpPr txBox="1">
          <a:spLocks noChangeArrowheads="1"/>
        </xdr:cNvSpPr>
      </xdr:nvSpPr>
      <xdr:spPr bwMode="auto">
        <a:xfrm>
          <a:off x="72180450" y="704850"/>
          <a:ext cx="174307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59</xdr:col>
      <xdr:colOff>0</xdr:colOff>
      <xdr:row>2</xdr:row>
      <xdr:rowOff>276225</xdr:rowOff>
    </xdr:from>
    <xdr:to>
      <xdr:col>61</xdr:col>
      <xdr:colOff>511175</xdr:colOff>
      <xdr:row>3</xdr:row>
      <xdr:rowOff>257175</xdr:rowOff>
    </xdr:to>
    <xdr:sp macro="" textlink="">
      <xdr:nvSpPr>
        <xdr:cNvPr id="38" name="checksum">
          <a:extLst>
            <a:ext uri="{FF2B5EF4-FFF2-40B4-BE49-F238E27FC236}">
              <a16:creationId xmlns:a16="http://schemas.microsoft.com/office/drawing/2014/main" xmlns="" id="{00000000-0008-0000-0100-000026000000}"/>
            </a:ext>
          </a:extLst>
        </xdr:cNvPr>
        <xdr:cNvSpPr txBox="1">
          <a:spLocks noChangeArrowheads="1"/>
        </xdr:cNvSpPr>
      </xdr:nvSpPr>
      <xdr:spPr bwMode="auto">
        <a:xfrm>
          <a:off x="72180450" y="704850"/>
          <a:ext cx="17145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2</xdr:row>
      <xdr:rowOff>28575</xdr:rowOff>
    </xdr:from>
    <xdr:to>
      <xdr:col>13</xdr:col>
      <xdr:colOff>368300</xdr:colOff>
      <xdr:row>10</xdr:row>
      <xdr:rowOff>447675</xdr:rowOff>
    </xdr:to>
    <xdr:sp macro="" textlink="">
      <xdr:nvSpPr>
        <xdr:cNvPr id="2" name="checksum">
          <a:extLst>
            <a:ext uri="{FF2B5EF4-FFF2-40B4-BE49-F238E27FC236}">
              <a16:creationId xmlns:a16="http://schemas.microsoft.com/office/drawing/2014/main" xmlns="" id="{00000000-0008-0000-0800-000002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1562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2</xdr:row>
      <xdr:rowOff>285750</xdr:rowOff>
    </xdr:from>
    <xdr:to>
      <xdr:col>13</xdr:col>
      <xdr:colOff>38100</xdr:colOff>
      <xdr:row>8</xdr:row>
      <xdr:rowOff>193222</xdr:rowOff>
    </xdr:to>
    <xdr:sp macro="" textlink="">
      <xdr:nvSpPr>
        <xdr:cNvPr id="3" name="checksum">
          <a:extLst>
            <a:ext uri="{FF2B5EF4-FFF2-40B4-BE49-F238E27FC236}">
              <a16:creationId xmlns:a16="http://schemas.microsoft.com/office/drawing/2014/main" xmlns="" id="{00000000-0008-0000-0800-000003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2</xdr:row>
      <xdr:rowOff>285750</xdr:rowOff>
    </xdr:from>
    <xdr:to>
      <xdr:col>13</xdr:col>
      <xdr:colOff>76200</xdr:colOff>
      <xdr:row>8</xdr:row>
      <xdr:rowOff>193222</xdr:rowOff>
    </xdr:to>
    <xdr:sp macro="" textlink="">
      <xdr:nvSpPr>
        <xdr:cNvPr id="4" name="checksum">
          <a:extLst>
            <a:ext uri="{FF2B5EF4-FFF2-40B4-BE49-F238E27FC236}">
              <a16:creationId xmlns:a16="http://schemas.microsoft.com/office/drawing/2014/main" xmlns="" id="{00000000-0008-0000-0800-000004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2</xdr:row>
      <xdr:rowOff>276225</xdr:rowOff>
    </xdr:from>
    <xdr:to>
      <xdr:col>13</xdr:col>
      <xdr:colOff>0</xdr:colOff>
      <xdr:row>8</xdr:row>
      <xdr:rowOff>193222</xdr:rowOff>
    </xdr:to>
    <xdr:sp macro="" textlink="">
      <xdr:nvSpPr>
        <xdr:cNvPr id="5" name="checksum">
          <a:extLst>
            <a:ext uri="{FF2B5EF4-FFF2-40B4-BE49-F238E27FC236}">
              <a16:creationId xmlns:a16="http://schemas.microsoft.com/office/drawing/2014/main" xmlns="" id="{00000000-0008-0000-0800-000005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</xdr:col>
      <xdr:colOff>0</xdr:colOff>
      <xdr:row>2</xdr:row>
      <xdr:rowOff>0</xdr:rowOff>
    </xdr:from>
    <xdr:to>
      <xdr:col>4</xdr:col>
      <xdr:colOff>0</xdr:colOff>
      <xdr:row>4</xdr:row>
      <xdr:rowOff>363906</xdr:rowOff>
    </xdr:to>
    <xdr:sp macro="" textlink="">
      <xdr:nvSpPr>
        <xdr:cNvPr id="6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800-000006000000}"/>
            </a:ext>
          </a:extLst>
        </xdr:cNvPr>
        <xdr:cNvSpPr txBox="1">
          <a:spLocks noChangeArrowheads="1"/>
        </xdr:cNvSpPr>
      </xdr:nvSpPr>
      <xdr:spPr bwMode="auto">
        <a:xfrm>
          <a:off x="4457700" y="438150"/>
          <a:ext cx="0" cy="93540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 editAs="oneCell">
    <xdr:from>
      <xdr:col>10</xdr:col>
      <xdr:colOff>0</xdr:colOff>
      <xdr:row>2</xdr:row>
      <xdr:rowOff>28575</xdr:rowOff>
    </xdr:from>
    <xdr:to>
      <xdr:col>13</xdr:col>
      <xdr:colOff>368300</xdr:colOff>
      <xdr:row>10</xdr:row>
      <xdr:rowOff>447675</xdr:rowOff>
    </xdr:to>
    <xdr:sp macro="" textlink="">
      <xdr:nvSpPr>
        <xdr:cNvPr id="7" name="checksum">
          <a:extLst>
            <a:ext uri="{FF2B5EF4-FFF2-40B4-BE49-F238E27FC236}">
              <a16:creationId xmlns:a16="http://schemas.microsoft.com/office/drawing/2014/main" xmlns="" id="{00000000-0008-0000-0800-000007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1562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2</xdr:row>
      <xdr:rowOff>285750</xdr:rowOff>
    </xdr:from>
    <xdr:to>
      <xdr:col>13</xdr:col>
      <xdr:colOff>38100</xdr:colOff>
      <xdr:row>8</xdr:row>
      <xdr:rowOff>193222</xdr:rowOff>
    </xdr:to>
    <xdr:sp macro="" textlink="">
      <xdr:nvSpPr>
        <xdr:cNvPr id="8" name="checksum">
          <a:extLst>
            <a:ext uri="{FF2B5EF4-FFF2-40B4-BE49-F238E27FC236}">
              <a16:creationId xmlns:a16="http://schemas.microsoft.com/office/drawing/2014/main" xmlns="" id="{00000000-0008-0000-0800-000008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2</xdr:row>
      <xdr:rowOff>285750</xdr:rowOff>
    </xdr:from>
    <xdr:to>
      <xdr:col>13</xdr:col>
      <xdr:colOff>76200</xdr:colOff>
      <xdr:row>8</xdr:row>
      <xdr:rowOff>193222</xdr:rowOff>
    </xdr:to>
    <xdr:sp macro="" textlink="">
      <xdr:nvSpPr>
        <xdr:cNvPr id="9" name="checksum">
          <a:extLst>
            <a:ext uri="{FF2B5EF4-FFF2-40B4-BE49-F238E27FC236}">
              <a16:creationId xmlns:a16="http://schemas.microsoft.com/office/drawing/2014/main" xmlns="" id="{00000000-0008-0000-0800-000009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2</xdr:row>
      <xdr:rowOff>276225</xdr:rowOff>
    </xdr:from>
    <xdr:to>
      <xdr:col>13</xdr:col>
      <xdr:colOff>0</xdr:colOff>
      <xdr:row>8</xdr:row>
      <xdr:rowOff>193222</xdr:rowOff>
    </xdr:to>
    <xdr:sp macro="" textlink="">
      <xdr:nvSpPr>
        <xdr:cNvPr id="10" name="checksum">
          <a:extLst>
            <a:ext uri="{FF2B5EF4-FFF2-40B4-BE49-F238E27FC236}">
              <a16:creationId xmlns:a16="http://schemas.microsoft.com/office/drawing/2014/main" xmlns="" id="{00000000-0008-0000-0800-00000A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</xdr:col>
      <xdr:colOff>0</xdr:colOff>
      <xdr:row>2</xdr:row>
      <xdr:rowOff>0</xdr:rowOff>
    </xdr:from>
    <xdr:to>
      <xdr:col>4</xdr:col>
      <xdr:colOff>0</xdr:colOff>
      <xdr:row>5</xdr:row>
      <xdr:rowOff>361950</xdr:rowOff>
    </xdr:to>
    <xdr:sp macro="" textlink="">
      <xdr:nvSpPr>
        <xdr:cNvPr id="11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800-00000B000000}"/>
            </a:ext>
          </a:extLst>
        </xdr:cNvPr>
        <xdr:cNvSpPr txBox="1">
          <a:spLocks noChangeArrowheads="1"/>
        </xdr:cNvSpPr>
      </xdr:nvSpPr>
      <xdr:spPr bwMode="auto">
        <a:xfrm>
          <a:off x="4457700" y="438150"/>
          <a:ext cx="0" cy="1171575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 editAs="oneCell">
    <xdr:from>
      <xdr:col>20</xdr:col>
      <xdr:colOff>0</xdr:colOff>
      <xdr:row>2</xdr:row>
      <xdr:rowOff>28575</xdr:rowOff>
    </xdr:from>
    <xdr:to>
      <xdr:col>26</xdr:col>
      <xdr:colOff>687614</xdr:colOff>
      <xdr:row>4</xdr:row>
      <xdr:rowOff>9525</xdr:rowOff>
    </xdr:to>
    <xdr:sp macro="" textlink="">
      <xdr:nvSpPr>
        <xdr:cNvPr id="12" name="checksum">
          <a:extLst>
            <a:ext uri="{FF2B5EF4-FFF2-40B4-BE49-F238E27FC236}">
              <a16:creationId xmlns:a16="http://schemas.microsoft.com/office/drawing/2014/main" xmlns="" id="{00000000-0008-0000-0800-00000C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20</xdr:col>
      <xdr:colOff>0</xdr:colOff>
      <xdr:row>2</xdr:row>
      <xdr:rowOff>285750</xdr:rowOff>
    </xdr:from>
    <xdr:to>
      <xdr:col>25</xdr:col>
      <xdr:colOff>895803</xdr:colOff>
      <xdr:row>4</xdr:row>
      <xdr:rowOff>66675</xdr:rowOff>
    </xdr:to>
    <xdr:sp macro="" textlink="">
      <xdr:nvSpPr>
        <xdr:cNvPr id="13" name="checksum">
          <a:extLst>
            <a:ext uri="{FF2B5EF4-FFF2-40B4-BE49-F238E27FC236}">
              <a16:creationId xmlns:a16="http://schemas.microsoft.com/office/drawing/2014/main" xmlns="" id="{00000000-0008-0000-0800-00000D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20</xdr:col>
      <xdr:colOff>0</xdr:colOff>
      <xdr:row>2</xdr:row>
      <xdr:rowOff>285750</xdr:rowOff>
    </xdr:from>
    <xdr:to>
      <xdr:col>25</xdr:col>
      <xdr:colOff>914853</xdr:colOff>
      <xdr:row>4</xdr:row>
      <xdr:rowOff>66675</xdr:rowOff>
    </xdr:to>
    <xdr:sp macro="" textlink="">
      <xdr:nvSpPr>
        <xdr:cNvPr id="14" name="checksum">
          <a:extLst>
            <a:ext uri="{FF2B5EF4-FFF2-40B4-BE49-F238E27FC236}">
              <a16:creationId xmlns:a16="http://schemas.microsoft.com/office/drawing/2014/main" xmlns="" id="{00000000-0008-0000-0800-00000E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20</xdr:col>
      <xdr:colOff>0</xdr:colOff>
      <xdr:row>2</xdr:row>
      <xdr:rowOff>276225</xdr:rowOff>
    </xdr:from>
    <xdr:to>
      <xdr:col>25</xdr:col>
      <xdr:colOff>857703</xdr:colOff>
      <xdr:row>4</xdr:row>
      <xdr:rowOff>66675</xdr:rowOff>
    </xdr:to>
    <xdr:sp macro="" textlink="">
      <xdr:nvSpPr>
        <xdr:cNvPr id="15" name="checksum">
          <a:extLst>
            <a:ext uri="{FF2B5EF4-FFF2-40B4-BE49-F238E27FC236}">
              <a16:creationId xmlns:a16="http://schemas.microsoft.com/office/drawing/2014/main" xmlns="" id="{00000000-0008-0000-0800-00000F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20</xdr:col>
      <xdr:colOff>0</xdr:colOff>
      <xdr:row>2</xdr:row>
      <xdr:rowOff>28575</xdr:rowOff>
    </xdr:from>
    <xdr:to>
      <xdr:col>26</xdr:col>
      <xdr:colOff>687614</xdr:colOff>
      <xdr:row>4</xdr:row>
      <xdr:rowOff>9525</xdr:rowOff>
    </xdr:to>
    <xdr:sp macro="" textlink="">
      <xdr:nvSpPr>
        <xdr:cNvPr id="17" name="checksum">
          <a:extLst>
            <a:ext uri="{FF2B5EF4-FFF2-40B4-BE49-F238E27FC236}">
              <a16:creationId xmlns:a16="http://schemas.microsoft.com/office/drawing/2014/main" xmlns="" id="{00000000-0008-0000-0800-000011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20</xdr:col>
      <xdr:colOff>0</xdr:colOff>
      <xdr:row>2</xdr:row>
      <xdr:rowOff>285750</xdr:rowOff>
    </xdr:from>
    <xdr:to>
      <xdr:col>25</xdr:col>
      <xdr:colOff>895803</xdr:colOff>
      <xdr:row>4</xdr:row>
      <xdr:rowOff>66675</xdr:rowOff>
    </xdr:to>
    <xdr:sp macro="" textlink="">
      <xdr:nvSpPr>
        <xdr:cNvPr id="18" name="checksum">
          <a:extLst>
            <a:ext uri="{FF2B5EF4-FFF2-40B4-BE49-F238E27FC236}">
              <a16:creationId xmlns:a16="http://schemas.microsoft.com/office/drawing/2014/main" xmlns="" id="{00000000-0008-0000-0800-000012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20</xdr:col>
      <xdr:colOff>0</xdr:colOff>
      <xdr:row>2</xdr:row>
      <xdr:rowOff>285750</xdr:rowOff>
    </xdr:from>
    <xdr:to>
      <xdr:col>25</xdr:col>
      <xdr:colOff>914853</xdr:colOff>
      <xdr:row>4</xdr:row>
      <xdr:rowOff>66675</xdr:rowOff>
    </xdr:to>
    <xdr:sp macro="" textlink="">
      <xdr:nvSpPr>
        <xdr:cNvPr id="19" name="checksum">
          <a:extLst>
            <a:ext uri="{FF2B5EF4-FFF2-40B4-BE49-F238E27FC236}">
              <a16:creationId xmlns:a16="http://schemas.microsoft.com/office/drawing/2014/main" xmlns="" id="{00000000-0008-0000-0800-000013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20</xdr:col>
      <xdr:colOff>0</xdr:colOff>
      <xdr:row>2</xdr:row>
      <xdr:rowOff>276225</xdr:rowOff>
    </xdr:from>
    <xdr:to>
      <xdr:col>25</xdr:col>
      <xdr:colOff>857703</xdr:colOff>
      <xdr:row>4</xdr:row>
      <xdr:rowOff>66675</xdr:rowOff>
    </xdr:to>
    <xdr:sp macro="" textlink="">
      <xdr:nvSpPr>
        <xdr:cNvPr id="20" name="checksum">
          <a:extLst>
            <a:ext uri="{FF2B5EF4-FFF2-40B4-BE49-F238E27FC236}">
              <a16:creationId xmlns:a16="http://schemas.microsoft.com/office/drawing/2014/main" xmlns="" id="{00000000-0008-0000-0800-000014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22</xdr:col>
      <xdr:colOff>0</xdr:colOff>
      <xdr:row>2</xdr:row>
      <xdr:rowOff>28575</xdr:rowOff>
    </xdr:from>
    <xdr:to>
      <xdr:col>30</xdr:col>
      <xdr:colOff>7257</xdr:colOff>
      <xdr:row>4</xdr:row>
      <xdr:rowOff>9525</xdr:rowOff>
    </xdr:to>
    <xdr:sp macro="" textlink="">
      <xdr:nvSpPr>
        <xdr:cNvPr id="22" name="checksum">
          <a:extLst>
            <a:ext uri="{FF2B5EF4-FFF2-40B4-BE49-F238E27FC236}">
              <a16:creationId xmlns:a16="http://schemas.microsoft.com/office/drawing/2014/main" xmlns="" id="{00000000-0008-0000-0800-000016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22</xdr:col>
      <xdr:colOff>0</xdr:colOff>
      <xdr:row>2</xdr:row>
      <xdr:rowOff>285750</xdr:rowOff>
    </xdr:from>
    <xdr:to>
      <xdr:col>28</xdr:col>
      <xdr:colOff>283482</xdr:colOff>
      <xdr:row>4</xdr:row>
      <xdr:rowOff>66675</xdr:rowOff>
    </xdr:to>
    <xdr:sp macro="" textlink="">
      <xdr:nvSpPr>
        <xdr:cNvPr id="23" name="checksum">
          <a:extLst>
            <a:ext uri="{FF2B5EF4-FFF2-40B4-BE49-F238E27FC236}">
              <a16:creationId xmlns:a16="http://schemas.microsoft.com/office/drawing/2014/main" xmlns="" id="{00000000-0008-0000-0800-000017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22</xdr:col>
      <xdr:colOff>0</xdr:colOff>
      <xdr:row>2</xdr:row>
      <xdr:rowOff>285750</xdr:rowOff>
    </xdr:from>
    <xdr:to>
      <xdr:col>28</xdr:col>
      <xdr:colOff>302532</xdr:colOff>
      <xdr:row>4</xdr:row>
      <xdr:rowOff>66675</xdr:rowOff>
    </xdr:to>
    <xdr:sp macro="" textlink="">
      <xdr:nvSpPr>
        <xdr:cNvPr id="24" name="checksum">
          <a:extLst>
            <a:ext uri="{FF2B5EF4-FFF2-40B4-BE49-F238E27FC236}">
              <a16:creationId xmlns:a16="http://schemas.microsoft.com/office/drawing/2014/main" xmlns="" id="{00000000-0008-0000-0800-000018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22</xdr:col>
      <xdr:colOff>0</xdr:colOff>
      <xdr:row>2</xdr:row>
      <xdr:rowOff>276225</xdr:rowOff>
    </xdr:from>
    <xdr:to>
      <xdr:col>28</xdr:col>
      <xdr:colOff>245382</xdr:colOff>
      <xdr:row>4</xdr:row>
      <xdr:rowOff>66675</xdr:rowOff>
    </xdr:to>
    <xdr:sp macro="" textlink="">
      <xdr:nvSpPr>
        <xdr:cNvPr id="25" name="checksum">
          <a:extLst>
            <a:ext uri="{FF2B5EF4-FFF2-40B4-BE49-F238E27FC236}">
              <a16:creationId xmlns:a16="http://schemas.microsoft.com/office/drawing/2014/main" xmlns="" id="{00000000-0008-0000-0800-000019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22</xdr:col>
      <xdr:colOff>0</xdr:colOff>
      <xdr:row>2</xdr:row>
      <xdr:rowOff>28575</xdr:rowOff>
    </xdr:from>
    <xdr:to>
      <xdr:col>30</xdr:col>
      <xdr:colOff>7257</xdr:colOff>
      <xdr:row>4</xdr:row>
      <xdr:rowOff>9525</xdr:rowOff>
    </xdr:to>
    <xdr:sp macro="" textlink="">
      <xdr:nvSpPr>
        <xdr:cNvPr id="27" name="checksum">
          <a:extLst>
            <a:ext uri="{FF2B5EF4-FFF2-40B4-BE49-F238E27FC236}">
              <a16:creationId xmlns:a16="http://schemas.microsoft.com/office/drawing/2014/main" xmlns="" id="{00000000-0008-0000-0800-00001B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22</xdr:col>
      <xdr:colOff>0</xdr:colOff>
      <xdr:row>2</xdr:row>
      <xdr:rowOff>285750</xdr:rowOff>
    </xdr:from>
    <xdr:to>
      <xdr:col>28</xdr:col>
      <xdr:colOff>283482</xdr:colOff>
      <xdr:row>4</xdr:row>
      <xdr:rowOff>66675</xdr:rowOff>
    </xdr:to>
    <xdr:sp macro="" textlink="">
      <xdr:nvSpPr>
        <xdr:cNvPr id="28" name="checksum">
          <a:extLst>
            <a:ext uri="{FF2B5EF4-FFF2-40B4-BE49-F238E27FC236}">
              <a16:creationId xmlns:a16="http://schemas.microsoft.com/office/drawing/2014/main" xmlns="" id="{00000000-0008-0000-0800-00001C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22</xdr:col>
      <xdr:colOff>0</xdr:colOff>
      <xdr:row>2</xdr:row>
      <xdr:rowOff>285750</xdr:rowOff>
    </xdr:from>
    <xdr:to>
      <xdr:col>28</xdr:col>
      <xdr:colOff>302532</xdr:colOff>
      <xdr:row>4</xdr:row>
      <xdr:rowOff>66675</xdr:rowOff>
    </xdr:to>
    <xdr:sp macro="" textlink="">
      <xdr:nvSpPr>
        <xdr:cNvPr id="29" name="checksum">
          <a:extLst>
            <a:ext uri="{FF2B5EF4-FFF2-40B4-BE49-F238E27FC236}">
              <a16:creationId xmlns:a16="http://schemas.microsoft.com/office/drawing/2014/main" xmlns="" id="{00000000-0008-0000-0800-00001D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22</xdr:col>
      <xdr:colOff>0</xdr:colOff>
      <xdr:row>2</xdr:row>
      <xdr:rowOff>276225</xdr:rowOff>
    </xdr:from>
    <xdr:to>
      <xdr:col>28</xdr:col>
      <xdr:colOff>245382</xdr:colOff>
      <xdr:row>4</xdr:row>
      <xdr:rowOff>66675</xdr:rowOff>
    </xdr:to>
    <xdr:sp macro="" textlink="">
      <xdr:nvSpPr>
        <xdr:cNvPr id="30" name="checksum">
          <a:extLst>
            <a:ext uri="{FF2B5EF4-FFF2-40B4-BE49-F238E27FC236}">
              <a16:creationId xmlns:a16="http://schemas.microsoft.com/office/drawing/2014/main" xmlns="" id="{00000000-0008-0000-0800-00001E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24</xdr:col>
      <xdr:colOff>0</xdr:colOff>
      <xdr:row>2</xdr:row>
      <xdr:rowOff>28575</xdr:rowOff>
    </xdr:from>
    <xdr:to>
      <xdr:col>33</xdr:col>
      <xdr:colOff>483507</xdr:colOff>
      <xdr:row>4</xdr:row>
      <xdr:rowOff>9525</xdr:rowOff>
    </xdr:to>
    <xdr:sp macro="" textlink="">
      <xdr:nvSpPr>
        <xdr:cNvPr id="32" name="checksum">
          <a:extLst>
            <a:ext uri="{FF2B5EF4-FFF2-40B4-BE49-F238E27FC236}">
              <a16:creationId xmlns:a16="http://schemas.microsoft.com/office/drawing/2014/main" xmlns="" id="{00000000-0008-0000-0800-000020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24</xdr:col>
      <xdr:colOff>0</xdr:colOff>
      <xdr:row>2</xdr:row>
      <xdr:rowOff>285750</xdr:rowOff>
    </xdr:from>
    <xdr:to>
      <xdr:col>32</xdr:col>
      <xdr:colOff>147411</xdr:colOff>
      <xdr:row>4</xdr:row>
      <xdr:rowOff>66675</xdr:rowOff>
    </xdr:to>
    <xdr:sp macro="" textlink="">
      <xdr:nvSpPr>
        <xdr:cNvPr id="33" name="checksum">
          <a:extLst>
            <a:ext uri="{FF2B5EF4-FFF2-40B4-BE49-F238E27FC236}">
              <a16:creationId xmlns:a16="http://schemas.microsoft.com/office/drawing/2014/main" xmlns="" id="{00000000-0008-0000-0800-000021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24</xdr:col>
      <xdr:colOff>0</xdr:colOff>
      <xdr:row>2</xdr:row>
      <xdr:rowOff>285750</xdr:rowOff>
    </xdr:from>
    <xdr:to>
      <xdr:col>32</xdr:col>
      <xdr:colOff>166461</xdr:colOff>
      <xdr:row>4</xdr:row>
      <xdr:rowOff>66675</xdr:rowOff>
    </xdr:to>
    <xdr:sp macro="" textlink="">
      <xdr:nvSpPr>
        <xdr:cNvPr id="34" name="checksum">
          <a:extLst>
            <a:ext uri="{FF2B5EF4-FFF2-40B4-BE49-F238E27FC236}">
              <a16:creationId xmlns:a16="http://schemas.microsoft.com/office/drawing/2014/main" xmlns="" id="{00000000-0008-0000-0800-000022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24</xdr:col>
      <xdr:colOff>0</xdr:colOff>
      <xdr:row>2</xdr:row>
      <xdr:rowOff>276225</xdr:rowOff>
    </xdr:from>
    <xdr:to>
      <xdr:col>32</xdr:col>
      <xdr:colOff>109311</xdr:colOff>
      <xdr:row>4</xdr:row>
      <xdr:rowOff>66675</xdr:rowOff>
    </xdr:to>
    <xdr:sp macro="" textlink="">
      <xdr:nvSpPr>
        <xdr:cNvPr id="35" name="checksum">
          <a:extLst>
            <a:ext uri="{FF2B5EF4-FFF2-40B4-BE49-F238E27FC236}">
              <a16:creationId xmlns:a16="http://schemas.microsoft.com/office/drawing/2014/main" xmlns="" id="{00000000-0008-0000-0800-000023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24</xdr:col>
      <xdr:colOff>0</xdr:colOff>
      <xdr:row>2</xdr:row>
      <xdr:rowOff>28575</xdr:rowOff>
    </xdr:from>
    <xdr:to>
      <xdr:col>33</xdr:col>
      <xdr:colOff>483507</xdr:colOff>
      <xdr:row>4</xdr:row>
      <xdr:rowOff>9525</xdr:rowOff>
    </xdr:to>
    <xdr:sp macro="" textlink="">
      <xdr:nvSpPr>
        <xdr:cNvPr id="37" name="checksum">
          <a:extLst>
            <a:ext uri="{FF2B5EF4-FFF2-40B4-BE49-F238E27FC236}">
              <a16:creationId xmlns:a16="http://schemas.microsoft.com/office/drawing/2014/main" xmlns="" id="{00000000-0008-0000-0800-000025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24</xdr:col>
      <xdr:colOff>0</xdr:colOff>
      <xdr:row>2</xdr:row>
      <xdr:rowOff>285750</xdr:rowOff>
    </xdr:from>
    <xdr:to>
      <xdr:col>32</xdr:col>
      <xdr:colOff>147411</xdr:colOff>
      <xdr:row>4</xdr:row>
      <xdr:rowOff>66675</xdr:rowOff>
    </xdr:to>
    <xdr:sp macro="" textlink="">
      <xdr:nvSpPr>
        <xdr:cNvPr id="38" name="checksum">
          <a:extLst>
            <a:ext uri="{FF2B5EF4-FFF2-40B4-BE49-F238E27FC236}">
              <a16:creationId xmlns:a16="http://schemas.microsoft.com/office/drawing/2014/main" xmlns="" id="{00000000-0008-0000-0800-000026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24</xdr:col>
      <xdr:colOff>0</xdr:colOff>
      <xdr:row>2</xdr:row>
      <xdr:rowOff>285750</xdr:rowOff>
    </xdr:from>
    <xdr:to>
      <xdr:col>32</xdr:col>
      <xdr:colOff>166461</xdr:colOff>
      <xdr:row>4</xdr:row>
      <xdr:rowOff>66675</xdr:rowOff>
    </xdr:to>
    <xdr:sp macro="" textlink="">
      <xdr:nvSpPr>
        <xdr:cNvPr id="39" name="checksum">
          <a:extLst>
            <a:ext uri="{FF2B5EF4-FFF2-40B4-BE49-F238E27FC236}">
              <a16:creationId xmlns:a16="http://schemas.microsoft.com/office/drawing/2014/main" xmlns="" id="{00000000-0008-0000-0800-000027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24</xdr:col>
      <xdr:colOff>0</xdr:colOff>
      <xdr:row>2</xdr:row>
      <xdr:rowOff>276225</xdr:rowOff>
    </xdr:from>
    <xdr:to>
      <xdr:col>32</xdr:col>
      <xdr:colOff>109311</xdr:colOff>
      <xdr:row>4</xdr:row>
      <xdr:rowOff>66675</xdr:rowOff>
    </xdr:to>
    <xdr:sp macro="" textlink="">
      <xdr:nvSpPr>
        <xdr:cNvPr id="40" name="checksum">
          <a:extLst>
            <a:ext uri="{FF2B5EF4-FFF2-40B4-BE49-F238E27FC236}">
              <a16:creationId xmlns:a16="http://schemas.microsoft.com/office/drawing/2014/main" xmlns="" id="{00000000-0008-0000-0800-000028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26</xdr:col>
      <xdr:colOff>0</xdr:colOff>
      <xdr:row>2</xdr:row>
      <xdr:rowOff>28575</xdr:rowOff>
    </xdr:from>
    <xdr:to>
      <xdr:col>37</xdr:col>
      <xdr:colOff>347435</xdr:colOff>
      <xdr:row>4</xdr:row>
      <xdr:rowOff>9525</xdr:rowOff>
    </xdr:to>
    <xdr:sp macro="" textlink="">
      <xdr:nvSpPr>
        <xdr:cNvPr id="42" name="checksum">
          <a:extLst>
            <a:ext uri="{FF2B5EF4-FFF2-40B4-BE49-F238E27FC236}">
              <a16:creationId xmlns:a16="http://schemas.microsoft.com/office/drawing/2014/main" xmlns="" id="{00000000-0008-0000-0800-00002A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26</xdr:col>
      <xdr:colOff>0</xdr:colOff>
      <xdr:row>2</xdr:row>
      <xdr:rowOff>285750</xdr:rowOff>
    </xdr:from>
    <xdr:to>
      <xdr:col>36</xdr:col>
      <xdr:colOff>11339</xdr:colOff>
      <xdr:row>4</xdr:row>
      <xdr:rowOff>66675</xdr:rowOff>
    </xdr:to>
    <xdr:sp macro="" textlink="">
      <xdr:nvSpPr>
        <xdr:cNvPr id="43" name="checksum">
          <a:extLst>
            <a:ext uri="{FF2B5EF4-FFF2-40B4-BE49-F238E27FC236}">
              <a16:creationId xmlns:a16="http://schemas.microsoft.com/office/drawing/2014/main" xmlns="" id="{00000000-0008-0000-0800-00002B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26</xdr:col>
      <xdr:colOff>0</xdr:colOff>
      <xdr:row>2</xdr:row>
      <xdr:rowOff>285750</xdr:rowOff>
    </xdr:from>
    <xdr:to>
      <xdr:col>36</xdr:col>
      <xdr:colOff>30389</xdr:colOff>
      <xdr:row>4</xdr:row>
      <xdr:rowOff>66675</xdr:rowOff>
    </xdr:to>
    <xdr:sp macro="" textlink="">
      <xdr:nvSpPr>
        <xdr:cNvPr id="44" name="checksum">
          <a:extLst>
            <a:ext uri="{FF2B5EF4-FFF2-40B4-BE49-F238E27FC236}">
              <a16:creationId xmlns:a16="http://schemas.microsoft.com/office/drawing/2014/main" xmlns="" id="{00000000-0008-0000-0800-00002C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26</xdr:col>
      <xdr:colOff>0</xdr:colOff>
      <xdr:row>2</xdr:row>
      <xdr:rowOff>276225</xdr:rowOff>
    </xdr:from>
    <xdr:to>
      <xdr:col>35</xdr:col>
      <xdr:colOff>585560</xdr:colOff>
      <xdr:row>4</xdr:row>
      <xdr:rowOff>66675</xdr:rowOff>
    </xdr:to>
    <xdr:sp macro="" textlink="">
      <xdr:nvSpPr>
        <xdr:cNvPr id="45" name="checksum">
          <a:extLst>
            <a:ext uri="{FF2B5EF4-FFF2-40B4-BE49-F238E27FC236}">
              <a16:creationId xmlns:a16="http://schemas.microsoft.com/office/drawing/2014/main" xmlns="" id="{00000000-0008-0000-0800-00002D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26</xdr:col>
      <xdr:colOff>0</xdr:colOff>
      <xdr:row>2</xdr:row>
      <xdr:rowOff>28575</xdr:rowOff>
    </xdr:from>
    <xdr:to>
      <xdr:col>37</xdr:col>
      <xdr:colOff>347435</xdr:colOff>
      <xdr:row>4</xdr:row>
      <xdr:rowOff>9525</xdr:rowOff>
    </xdr:to>
    <xdr:sp macro="" textlink="">
      <xdr:nvSpPr>
        <xdr:cNvPr id="47" name="checksum">
          <a:extLst>
            <a:ext uri="{FF2B5EF4-FFF2-40B4-BE49-F238E27FC236}">
              <a16:creationId xmlns:a16="http://schemas.microsoft.com/office/drawing/2014/main" xmlns="" id="{00000000-0008-0000-0800-00002F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26</xdr:col>
      <xdr:colOff>0</xdr:colOff>
      <xdr:row>2</xdr:row>
      <xdr:rowOff>285750</xdr:rowOff>
    </xdr:from>
    <xdr:to>
      <xdr:col>36</xdr:col>
      <xdr:colOff>11339</xdr:colOff>
      <xdr:row>4</xdr:row>
      <xdr:rowOff>66675</xdr:rowOff>
    </xdr:to>
    <xdr:sp macro="" textlink="">
      <xdr:nvSpPr>
        <xdr:cNvPr id="48" name="checksum">
          <a:extLst>
            <a:ext uri="{FF2B5EF4-FFF2-40B4-BE49-F238E27FC236}">
              <a16:creationId xmlns:a16="http://schemas.microsoft.com/office/drawing/2014/main" xmlns="" id="{00000000-0008-0000-0800-000030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26</xdr:col>
      <xdr:colOff>0</xdr:colOff>
      <xdr:row>2</xdr:row>
      <xdr:rowOff>285750</xdr:rowOff>
    </xdr:from>
    <xdr:to>
      <xdr:col>36</xdr:col>
      <xdr:colOff>30389</xdr:colOff>
      <xdr:row>4</xdr:row>
      <xdr:rowOff>66675</xdr:rowOff>
    </xdr:to>
    <xdr:sp macro="" textlink="">
      <xdr:nvSpPr>
        <xdr:cNvPr id="49" name="checksum">
          <a:extLst>
            <a:ext uri="{FF2B5EF4-FFF2-40B4-BE49-F238E27FC236}">
              <a16:creationId xmlns:a16="http://schemas.microsoft.com/office/drawing/2014/main" xmlns="" id="{00000000-0008-0000-0800-000031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26</xdr:col>
      <xdr:colOff>0</xdr:colOff>
      <xdr:row>2</xdr:row>
      <xdr:rowOff>276225</xdr:rowOff>
    </xdr:from>
    <xdr:to>
      <xdr:col>35</xdr:col>
      <xdr:colOff>585560</xdr:colOff>
      <xdr:row>4</xdr:row>
      <xdr:rowOff>66675</xdr:rowOff>
    </xdr:to>
    <xdr:sp macro="" textlink="">
      <xdr:nvSpPr>
        <xdr:cNvPr id="50" name="checksum">
          <a:extLst>
            <a:ext uri="{FF2B5EF4-FFF2-40B4-BE49-F238E27FC236}">
              <a16:creationId xmlns:a16="http://schemas.microsoft.com/office/drawing/2014/main" xmlns="" id="{00000000-0008-0000-0800-000032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3</xdr:col>
      <xdr:colOff>0</xdr:colOff>
      <xdr:row>4</xdr:row>
      <xdr:rowOff>363906</xdr:rowOff>
    </xdr:to>
    <xdr:sp macro="" textlink="">
      <xdr:nvSpPr>
        <xdr:cNvPr id="6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SpPr txBox="1">
          <a:spLocks noChangeArrowheads="1"/>
        </xdr:cNvSpPr>
      </xdr:nvSpPr>
      <xdr:spPr bwMode="auto">
        <a:xfrm>
          <a:off x="4457700" y="438150"/>
          <a:ext cx="0" cy="773481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5</xdr:row>
      <xdr:rowOff>361950</xdr:rowOff>
    </xdr:to>
    <xdr:sp macro="" textlink="">
      <xdr:nvSpPr>
        <xdr:cNvPr id="11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900-00000B000000}"/>
            </a:ext>
          </a:extLst>
        </xdr:cNvPr>
        <xdr:cNvSpPr txBox="1">
          <a:spLocks noChangeArrowheads="1"/>
        </xdr:cNvSpPr>
      </xdr:nvSpPr>
      <xdr:spPr bwMode="auto">
        <a:xfrm>
          <a:off x="4457700" y="438150"/>
          <a:ext cx="0" cy="1000125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3</xdr:col>
      <xdr:colOff>0</xdr:colOff>
      <xdr:row>4</xdr:row>
      <xdr:rowOff>363906</xdr:rowOff>
    </xdr:to>
    <xdr:sp macro="" textlink="">
      <xdr:nvSpPr>
        <xdr:cNvPr id="6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A00-000006000000}"/>
            </a:ext>
          </a:extLst>
        </xdr:cNvPr>
        <xdr:cNvSpPr txBox="1">
          <a:spLocks noChangeArrowheads="1"/>
        </xdr:cNvSpPr>
      </xdr:nvSpPr>
      <xdr:spPr bwMode="auto">
        <a:xfrm>
          <a:off x="8915400" y="438150"/>
          <a:ext cx="0" cy="93540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5</xdr:row>
      <xdr:rowOff>361950</xdr:rowOff>
    </xdr:to>
    <xdr:sp macro="" textlink="">
      <xdr:nvSpPr>
        <xdr:cNvPr id="11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A00-00000B000000}"/>
            </a:ext>
          </a:extLst>
        </xdr:cNvPr>
        <xdr:cNvSpPr txBox="1">
          <a:spLocks noChangeArrowheads="1"/>
        </xdr:cNvSpPr>
      </xdr:nvSpPr>
      <xdr:spPr bwMode="auto">
        <a:xfrm>
          <a:off x="8915400" y="438150"/>
          <a:ext cx="0" cy="1171575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</xdr:row>
      <xdr:rowOff>28575</xdr:rowOff>
    </xdr:from>
    <xdr:to>
      <xdr:col>8</xdr:col>
      <xdr:colOff>107951</xdr:colOff>
      <xdr:row>4</xdr:row>
      <xdr:rowOff>66675</xdr:rowOff>
    </xdr:to>
    <xdr:sp macro="" textlink="">
      <xdr:nvSpPr>
        <xdr:cNvPr id="17" name="checksum">
          <a:extLst>
            <a:ext uri="{FF2B5EF4-FFF2-40B4-BE49-F238E27FC236}">
              <a16:creationId xmlns:a16="http://schemas.microsoft.com/office/drawing/2014/main" xmlns="" id="{00000000-0008-0000-0B00-000011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</xdr:rowOff>
    </xdr:from>
    <xdr:to>
      <xdr:col>8</xdr:col>
      <xdr:colOff>107950</xdr:colOff>
      <xdr:row>4</xdr:row>
      <xdr:rowOff>66675</xdr:rowOff>
    </xdr:to>
    <xdr:sp macro="" textlink="">
      <xdr:nvSpPr>
        <xdr:cNvPr id="22" name="checksum">
          <a:extLst>
            <a:ext uri="{FF2B5EF4-FFF2-40B4-BE49-F238E27FC236}">
              <a16:creationId xmlns:a16="http://schemas.microsoft.com/office/drawing/2014/main" xmlns="" id="{00000000-0008-0000-0B00-000016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</xdr:rowOff>
    </xdr:from>
    <xdr:to>
      <xdr:col>8</xdr:col>
      <xdr:colOff>107950</xdr:colOff>
      <xdr:row>4</xdr:row>
      <xdr:rowOff>66675</xdr:rowOff>
    </xdr:to>
    <xdr:sp macro="" textlink="">
      <xdr:nvSpPr>
        <xdr:cNvPr id="27" name="checksum">
          <a:extLst>
            <a:ext uri="{FF2B5EF4-FFF2-40B4-BE49-F238E27FC236}">
              <a16:creationId xmlns:a16="http://schemas.microsoft.com/office/drawing/2014/main" xmlns="" id="{00000000-0008-0000-0B00-00001B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</xdr:row>
      <xdr:rowOff>28575</xdr:rowOff>
    </xdr:from>
    <xdr:to>
      <xdr:col>15</xdr:col>
      <xdr:colOff>107950</xdr:colOff>
      <xdr:row>4</xdr:row>
      <xdr:rowOff>66675</xdr:rowOff>
    </xdr:to>
    <xdr:sp macro="" textlink="">
      <xdr:nvSpPr>
        <xdr:cNvPr id="42" name="checksum">
          <a:extLst>
            <a:ext uri="{FF2B5EF4-FFF2-40B4-BE49-F238E27FC236}">
              <a16:creationId xmlns:a16="http://schemas.microsoft.com/office/drawing/2014/main" xmlns="" id="{00000000-0008-0000-0B00-00002A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</xdr:row>
      <xdr:rowOff>285750</xdr:rowOff>
    </xdr:from>
    <xdr:to>
      <xdr:col>14</xdr:col>
      <xdr:colOff>412751</xdr:colOff>
      <xdr:row>4</xdr:row>
      <xdr:rowOff>114300</xdr:rowOff>
    </xdr:to>
    <xdr:sp macro="" textlink="">
      <xdr:nvSpPr>
        <xdr:cNvPr id="43" name="checksum">
          <a:extLst>
            <a:ext uri="{FF2B5EF4-FFF2-40B4-BE49-F238E27FC236}">
              <a16:creationId xmlns:a16="http://schemas.microsoft.com/office/drawing/2014/main" xmlns="" id="{00000000-0008-0000-0B00-00002B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</xdr:row>
      <xdr:rowOff>285750</xdr:rowOff>
    </xdr:from>
    <xdr:to>
      <xdr:col>14</xdr:col>
      <xdr:colOff>431801</xdr:colOff>
      <xdr:row>4</xdr:row>
      <xdr:rowOff>114300</xdr:rowOff>
    </xdr:to>
    <xdr:sp macro="" textlink="">
      <xdr:nvSpPr>
        <xdr:cNvPr id="44" name="checksum">
          <a:extLst>
            <a:ext uri="{FF2B5EF4-FFF2-40B4-BE49-F238E27FC236}">
              <a16:creationId xmlns:a16="http://schemas.microsoft.com/office/drawing/2014/main" xmlns="" id="{00000000-0008-0000-0B00-00002C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</xdr:row>
      <xdr:rowOff>276225</xdr:rowOff>
    </xdr:from>
    <xdr:to>
      <xdr:col>14</xdr:col>
      <xdr:colOff>374651</xdr:colOff>
      <xdr:row>4</xdr:row>
      <xdr:rowOff>114300</xdr:rowOff>
    </xdr:to>
    <xdr:sp macro="" textlink="">
      <xdr:nvSpPr>
        <xdr:cNvPr id="45" name="checksum">
          <a:extLst>
            <a:ext uri="{FF2B5EF4-FFF2-40B4-BE49-F238E27FC236}">
              <a16:creationId xmlns:a16="http://schemas.microsoft.com/office/drawing/2014/main" xmlns="" id="{00000000-0008-0000-0B00-00002D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4</xdr:row>
      <xdr:rowOff>363906</xdr:rowOff>
    </xdr:to>
    <xdr:sp macro="" textlink="">
      <xdr:nvSpPr>
        <xdr:cNvPr id="46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B00-00002E000000}"/>
            </a:ext>
          </a:extLst>
        </xdr:cNvPr>
        <xdr:cNvSpPr txBox="1">
          <a:spLocks noChangeArrowheads="1"/>
        </xdr:cNvSpPr>
      </xdr:nvSpPr>
      <xdr:spPr bwMode="auto">
        <a:xfrm>
          <a:off x="4457700" y="438150"/>
          <a:ext cx="0" cy="93540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 editAs="oneCell">
    <xdr:from>
      <xdr:col>9</xdr:col>
      <xdr:colOff>0</xdr:colOff>
      <xdr:row>2</xdr:row>
      <xdr:rowOff>1361</xdr:rowOff>
    </xdr:from>
    <xdr:to>
      <xdr:col>15</xdr:col>
      <xdr:colOff>107950</xdr:colOff>
      <xdr:row>4</xdr:row>
      <xdr:rowOff>39461</xdr:rowOff>
    </xdr:to>
    <xdr:sp macro="" textlink="">
      <xdr:nvSpPr>
        <xdr:cNvPr id="47" name="checksum">
          <a:extLst>
            <a:ext uri="{FF2B5EF4-FFF2-40B4-BE49-F238E27FC236}">
              <a16:creationId xmlns:a16="http://schemas.microsoft.com/office/drawing/2014/main" xmlns="" id="{00000000-0008-0000-0B00-00002F000000}"/>
            </a:ext>
          </a:extLst>
        </xdr:cNvPr>
        <xdr:cNvSpPr txBox="1">
          <a:spLocks noChangeArrowheads="1"/>
        </xdr:cNvSpPr>
      </xdr:nvSpPr>
      <xdr:spPr bwMode="auto">
        <a:xfrm>
          <a:off x="12333514" y="423182"/>
          <a:ext cx="7619093" cy="555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</xdr:row>
      <xdr:rowOff>285750</xdr:rowOff>
    </xdr:from>
    <xdr:to>
      <xdr:col>14</xdr:col>
      <xdr:colOff>412751</xdr:colOff>
      <xdr:row>4</xdr:row>
      <xdr:rowOff>114300</xdr:rowOff>
    </xdr:to>
    <xdr:sp macro="" textlink="">
      <xdr:nvSpPr>
        <xdr:cNvPr id="48" name="checksum">
          <a:extLst>
            <a:ext uri="{FF2B5EF4-FFF2-40B4-BE49-F238E27FC236}">
              <a16:creationId xmlns:a16="http://schemas.microsoft.com/office/drawing/2014/main" xmlns="" id="{00000000-0008-0000-0B00-000030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</xdr:row>
      <xdr:rowOff>285750</xdr:rowOff>
    </xdr:from>
    <xdr:to>
      <xdr:col>14</xdr:col>
      <xdr:colOff>431801</xdr:colOff>
      <xdr:row>4</xdr:row>
      <xdr:rowOff>114300</xdr:rowOff>
    </xdr:to>
    <xdr:sp macro="" textlink="">
      <xdr:nvSpPr>
        <xdr:cNvPr id="49" name="checksum">
          <a:extLst>
            <a:ext uri="{FF2B5EF4-FFF2-40B4-BE49-F238E27FC236}">
              <a16:creationId xmlns:a16="http://schemas.microsoft.com/office/drawing/2014/main" xmlns="" id="{00000000-0008-0000-0B00-000031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</xdr:row>
      <xdr:rowOff>276225</xdr:rowOff>
    </xdr:from>
    <xdr:to>
      <xdr:col>14</xdr:col>
      <xdr:colOff>374651</xdr:colOff>
      <xdr:row>4</xdr:row>
      <xdr:rowOff>114300</xdr:rowOff>
    </xdr:to>
    <xdr:sp macro="" textlink="">
      <xdr:nvSpPr>
        <xdr:cNvPr id="50" name="checksum">
          <a:extLst>
            <a:ext uri="{FF2B5EF4-FFF2-40B4-BE49-F238E27FC236}">
              <a16:creationId xmlns:a16="http://schemas.microsoft.com/office/drawing/2014/main" xmlns="" id="{00000000-0008-0000-0B00-000032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5</xdr:row>
      <xdr:rowOff>361950</xdr:rowOff>
    </xdr:to>
    <xdr:sp macro="" textlink="">
      <xdr:nvSpPr>
        <xdr:cNvPr id="51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B00-000033000000}"/>
            </a:ext>
          </a:extLst>
        </xdr:cNvPr>
        <xdr:cNvSpPr txBox="1">
          <a:spLocks noChangeArrowheads="1"/>
        </xdr:cNvSpPr>
      </xdr:nvSpPr>
      <xdr:spPr bwMode="auto">
        <a:xfrm>
          <a:off x="4457700" y="438150"/>
          <a:ext cx="0" cy="1171575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 editAs="oneCell">
    <xdr:from>
      <xdr:col>20</xdr:col>
      <xdr:colOff>0</xdr:colOff>
      <xdr:row>2</xdr:row>
      <xdr:rowOff>28575</xdr:rowOff>
    </xdr:from>
    <xdr:to>
      <xdr:col>32</xdr:col>
      <xdr:colOff>440459</xdr:colOff>
      <xdr:row>4</xdr:row>
      <xdr:rowOff>66675</xdr:rowOff>
    </xdr:to>
    <xdr:sp macro="" textlink="">
      <xdr:nvSpPr>
        <xdr:cNvPr id="52" name="checksum">
          <a:extLst>
            <a:ext uri="{FF2B5EF4-FFF2-40B4-BE49-F238E27FC236}">
              <a16:creationId xmlns:a16="http://schemas.microsoft.com/office/drawing/2014/main" xmlns="" id="{00000000-0008-0000-0B00-000034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20</xdr:col>
      <xdr:colOff>0</xdr:colOff>
      <xdr:row>2</xdr:row>
      <xdr:rowOff>285750</xdr:rowOff>
    </xdr:from>
    <xdr:to>
      <xdr:col>31</xdr:col>
      <xdr:colOff>80240</xdr:colOff>
      <xdr:row>4</xdr:row>
      <xdr:rowOff>114300</xdr:rowOff>
    </xdr:to>
    <xdr:sp macro="" textlink="">
      <xdr:nvSpPr>
        <xdr:cNvPr id="53" name="checksum">
          <a:extLst>
            <a:ext uri="{FF2B5EF4-FFF2-40B4-BE49-F238E27FC236}">
              <a16:creationId xmlns:a16="http://schemas.microsoft.com/office/drawing/2014/main" xmlns="" id="{00000000-0008-0000-0B00-000035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20</xdr:col>
      <xdr:colOff>0</xdr:colOff>
      <xdr:row>2</xdr:row>
      <xdr:rowOff>285750</xdr:rowOff>
    </xdr:from>
    <xdr:to>
      <xdr:col>31</xdr:col>
      <xdr:colOff>99290</xdr:colOff>
      <xdr:row>4</xdr:row>
      <xdr:rowOff>114300</xdr:rowOff>
    </xdr:to>
    <xdr:sp macro="" textlink="">
      <xdr:nvSpPr>
        <xdr:cNvPr id="54" name="checksum">
          <a:extLst>
            <a:ext uri="{FF2B5EF4-FFF2-40B4-BE49-F238E27FC236}">
              <a16:creationId xmlns:a16="http://schemas.microsoft.com/office/drawing/2014/main" xmlns="" id="{00000000-0008-0000-0B00-000036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20</xdr:col>
      <xdr:colOff>0</xdr:colOff>
      <xdr:row>2</xdr:row>
      <xdr:rowOff>276225</xdr:rowOff>
    </xdr:from>
    <xdr:to>
      <xdr:col>31</xdr:col>
      <xdr:colOff>42140</xdr:colOff>
      <xdr:row>4</xdr:row>
      <xdr:rowOff>114300</xdr:rowOff>
    </xdr:to>
    <xdr:sp macro="" textlink="">
      <xdr:nvSpPr>
        <xdr:cNvPr id="55" name="checksum">
          <a:extLst>
            <a:ext uri="{FF2B5EF4-FFF2-40B4-BE49-F238E27FC236}">
              <a16:creationId xmlns:a16="http://schemas.microsoft.com/office/drawing/2014/main" xmlns="" id="{00000000-0008-0000-0B00-000037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20</xdr:col>
      <xdr:colOff>0</xdr:colOff>
      <xdr:row>2</xdr:row>
      <xdr:rowOff>28575</xdr:rowOff>
    </xdr:from>
    <xdr:to>
      <xdr:col>32</xdr:col>
      <xdr:colOff>440459</xdr:colOff>
      <xdr:row>4</xdr:row>
      <xdr:rowOff>66675</xdr:rowOff>
    </xdr:to>
    <xdr:sp macro="" textlink="">
      <xdr:nvSpPr>
        <xdr:cNvPr id="57" name="checksum">
          <a:extLst>
            <a:ext uri="{FF2B5EF4-FFF2-40B4-BE49-F238E27FC236}">
              <a16:creationId xmlns:a16="http://schemas.microsoft.com/office/drawing/2014/main" xmlns="" id="{00000000-0008-0000-0B00-000039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20</xdr:col>
      <xdr:colOff>0</xdr:colOff>
      <xdr:row>2</xdr:row>
      <xdr:rowOff>285750</xdr:rowOff>
    </xdr:from>
    <xdr:to>
      <xdr:col>31</xdr:col>
      <xdr:colOff>80240</xdr:colOff>
      <xdr:row>4</xdr:row>
      <xdr:rowOff>114300</xdr:rowOff>
    </xdr:to>
    <xdr:sp macro="" textlink="">
      <xdr:nvSpPr>
        <xdr:cNvPr id="58" name="checksum">
          <a:extLst>
            <a:ext uri="{FF2B5EF4-FFF2-40B4-BE49-F238E27FC236}">
              <a16:creationId xmlns:a16="http://schemas.microsoft.com/office/drawing/2014/main" xmlns="" id="{00000000-0008-0000-0B00-00003A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20</xdr:col>
      <xdr:colOff>0</xdr:colOff>
      <xdr:row>2</xdr:row>
      <xdr:rowOff>285750</xdr:rowOff>
    </xdr:from>
    <xdr:to>
      <xdr:col>31</xdr:col>
      <xdr:colOff>99290</xdr:colOff>
      <xdr:row>4</xdr:row>
      <xdr:rowOff>114300</xdr:rowOff>
    </xdr:to>
    <xdr:sp macro="" textlink="">
      <xdr:nvSpPr>
        <xdr:cNvPr id="59" name="checksum">
          <a:extLst>
            <a:ext uri="{FF2B5EF4-FFF2-40B4-BE49-F238E27FC236}">
              <a16:creationId xmlns:a16="http://schemas.microsoft.com/office/drawing/2014/main" xmlns="" id="{00000000-0008-0000-0B00-00003B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20</xdr:col>
      <xdr:colOff>0</xdr:colOff>
      <xdr:row>2</xdr:row>
      <xdr:rowOff>276225</xdr:rowOff>
    </xdr:from>
    <xdr:to>
      <xdr:col>31</xdr:col>
      <xdr:colOff>42140</xdr:colOff>
      <xdr:row>4</xdr:row>
      <xdr:rowOff>114300</xdr:rowOff>
    </xdr:to>
    <xdr:sp macro="" textlink="">
      <xdr:nvSpPr>
        <xdr:cNvPr id="60" name="checksum">
          <a:extLst>
            <a:ext uri="{FF2B5EF4-FFF2-40B4-BE49-F238E27FC236}">
              <a16:creationId xmlns:a16="http://schemas.microsoft.com/office/drawing/2014/main" xmlns="" id="{00000000-0008-0000-0B00-00003C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20</xdr:col>
      <xdr:colOff>0</xdr:colOff>
      <xdr:row>2</xdr:row>
      <xdr:rowOff>28575</xdr:rowOff>
    </xdr:from>
    <xdr:to>
      <xdr:col>32</xdr:col>
      <xdr:colOff>440459</xdr:colOff>
      <xdr:row>4</xdr:row>
      <xdr:rowOff>66675</xdr:rowOff>
    </xdr:to>
    <xdr:sp macro="" textlink="">
      <xdr:nvSpPr>
        <xdr:cNvPr id="62" name="checksum">
          <a:extLst>
            <a:ext uri="{FF2B5EF4-FFF2-40B4-BE49-F238E27FC236}">
              <a16:creationId xmlns:a16="http://schemas.microsoft.com/office/drawing/2014/main" xmlns="" id="{00000000-0008-0000-0B00-00003E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20</xdr:col>
      <xdr:colOff>0</xdr:colOff>
      <xdr:row>2</xdr:row>
      <xdr:rowOff>285750</xdr:rowOff>
    </xdr:from>
    <xdr:to>
      <xdr:col>31</xdr:col>
      <xdr:colOff>80240</xdr:colOff>
      <xdr:row>4</xdr:row>
      <xdr:rowOff>114300</xdr:rowOff>
    </xdr:to>
    <xdr:sp macro="" textlink="">
      <xdr:nvSpPr>
        <xdr:cNvPr id="63" name="checksum">
          <a:extLst>
            <a:ext uri="{FF2B5EF4-FFF2-40B4-BE49-F238E27FC236}">
              <a16:creationId xmlns:a16="http://schemas.microsoft.com/office/drawing/2014/main" xmlns="" id="{00000000-0008-0000-0B00-00003F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20</xdr:col>
      <xdr:colOff>0</xdr:colOff>
      <xdr:row>2</xdr:row>
      <xdr:rowOff>285750</xdr:rowOff>
    </xdr:from>
    <xdr:to>
      <xdr:col>31</xdr:col>
      <xdr:colOff>99290</xdr:colOff>
      <xdr:row>4</xdr:row>
      <xdr:rowOff>114300</xdr:rowOff>
    </xdr:to>
    <xdr:sp macro="" textlink="">
      <xdr:nvSpPr>
        <xdr:cNvPr id="64" name="checksum">
          <a:extLst>
            <a:ext uri="{FF2B5EF4-FFF2-40B4-BE49-F238E27FC236}">
              <a16:creationId xmlns:a16="http://schemas.microsoft.com/office/drawing/2014/main" xmlns="" id="{00000000-0008-0000-0B00-000040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20</xdr:col>
      <xdr:colOff>0</xdr:colOff>
      <xdr:row>2</xdr:row>
      <xdr:rowOff>276225</xdr:rowOff>
    </xdr:from>
    <xdr:to>
      <xdr:col>31</xdr:col>
      <xdr:colOff>42140</xdr:colOff>
      <xdr:row>4</xdr:row>
      <xdr:rowOff>114300</xdr:rowOff>
    </xdr:to>
    <xdr:sp macro="" textlink="">
      <xdr:nvSpPr>
        <xdr:cNvPr id="65" name="checksum">
          <a:extLst>
            <a:ext uri="{FF2B5EF4-FFF2-40B4-BE49-F238E27FC236}">
              <a16:creationId xmlns:a16="http://schemas.microsoft.com/office/drawing/2014/main" xmlns="" id="{00000000-0008-0000-0B00-000041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20</xdr:col>
      <xdr:colOff>0</xdr:colOff>
      <xdr:row>2</xdr:row>
      <xdr:rowOff>28575</xdr:rowOff>
    </xdr:from>
    <xdr:to>
      <xdr:col>32</xdr:col>
      <xdr:colOff>440459</xdr:colOff>
      <xdr:row>4</xdr:row>
      <xdr:rowOff>66675</xdr:rowOff>
    </xdr:to>
    <xdr:sp macro="" textlink="">
      <xdr:nvSpPr>
        <xdr:cNvPr id="67" name="checksum">
          <a:extLst>
            <a:ext uri="{FF2B5EF4-FFF2-40B4-BE49-F238E27FC236}">
              <a16:creationId xmlns:a16="http://schemas.microsoft.com/office/drawing/2014/main" xmlns="" id="{00000000-0008-0000-0B00-000043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20</xdr:col>
      <xdr:colOff>0</xdr:colOff>
      <xdr:row>2</xdr:row>
      <xdr:rowOff>285750</xdr:rowOff>
    </xdr:from>
    <xdr:to>
      <xdr:col>31</xdr:col>
      <xdr:colOff>80240</xdr:colOff>
      <xdr:row>4</xdr:row>
      <xdr:rowOff>114300</xdr:rowOff>
    </xdr:to>
    <xdr:sp macro="" textlink="">
      <xdr:nvSpPr>
        <xdr:cNvPr id="68" name="checksum">
          <a:extLst>
            <a:ext uri="{FF2B5EF4-FFF2-40B4-BE49-F238E27FC236}">
              <a16:creationId xmlns:a16="http://schemas.microsoft.com/office/drawing/2014/main" xmlns="" id="{00000000-0008-0000-0B00-000044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20</xdr:col>
      <xdr:colOff>0</xdr:colOff>
      <xdr:row>2</xdr:row>
      <xdr:rowOff>285750</xdr:rowOff>
    </xdr:from>
    <xdr:to>
      <xdr:col>31</xdr:col>
      <xdr:colOff>99290</xdr:colOff>
      <xdr:row>4</xdr:row>
      <xdr:rowOff>114300</xdr:rowOff>
    </xdr:to>
    <xdr:sp macro="" textlink="">
      <xdr:nvSpPr>
        <xdr:cNvPr id="69" name="checksum">
          <a:extLst>
            <a:ext uri="{FF2B5EF4-FFF2-40B4-BE49-F238E27FC236}">
              <a16:creationId xmlns:a16="http://schemas.microsoft.com/office/drawing/2014/main" xmlns="" id="{00000000-0008-0000-0B00-000045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20</xdr:col>
      <xdr:colOff>0</xdr:colOff>
      <xdr:row>2</xdr:row>
      <xdr:rowOff>276225</xdr:rowOff>
    </xdr:from>
    <xdr:to>
      <xdr:col>31</xdr:col>
      <xdr:colOff>42140</xdr:colOff>
      <xdr:row>4</xdr:row>
      <xdr:rowOff>114300</xdr:rowOff>
    </xdr:to>
    <xdr:sp macro="" textlink="">
      <xdr:nvSpPr>
        <xdr:cNvPr id="70" name="checksum">
          <a:extLst>
            <a:ext uri="{FF2B5EF4-FFF2-40B4-BE49-F238E27FC236}">
              <a16:creationId xmlns:a16="http://schemas.microsoft.com/office/drawing/2014/main" xmlns="" id="{00000000-0008-0000-0B00-000046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20</xdr:col>
      <xdr:colOff>0</xdr:colOff>
      <xdr:row>2</xdr:row>
      <xdr:rowOff>28575</xdr:rowOff>
    </xdr:from>
    <xdr:to>
      <xdr:col>32</xdr:col>
      <xdr:colOff>440459</xdr:colOff>
      <xdr:row>4</xdr:row>
      <xdr:rowOff>66675</xdr:rowOff>
    </xdr:to>
    <xdr:sp macro="" textlink="">
      <xdr:nvSpPr>
        <xdr:cNvPr id="72" name="checksum">
          <a:extLst>
            <a:ext uri="{FF2B5EF4-FFF2-40B4-BE49-F238E27FC236}">
              <a16:creationId xmlns:a16="http://schemas.microsoft.com/office/drawing/2014/main" xmlns="" id="{00000000-0008-0000-0B00-000048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20</xdr:col>
      <xdr:colOff>0</xdr:colOff>
      <xdr:row>2</xdr:row>
      <xdr:rowOff>285750</xdr:rowOff>
    </xdr:from>
    <xdr:to>
      <xdr:col>31</xdr:col>
      <xdr:colOff>80240</xdr:colOff>
      <xdr:row>4</xdr:row>
      <xdr:rowOff>114300</xdr:rowOff>
    </xdr:to>
    <xdr:sp macro="" textlink="">
      <xdr:nvSpPr>
        <xdr:cNvPr id="73" name="checksum">
          <a:extLst>
            <a:ext uri="{FF2B5EF4-FFF2-40B4-BE49-F238E27FC236}">
              <a16:creationId xmlns:a16="http://schemas.microsoft.com/office/drawing/2014/main" xmlns="" id="{00000000-0008-0000-0B00-000049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20</xdr:col>
      <xdr:colOff>0</xdr:colOff>
      <xdr:row>2</xdr:row>
      <xdr:rowOff>285750</xdr:rowOff>
    </xdr:from>
    <xdr:to>
      <xdr:col>31</xdr:col>
      <xdr:colOff>99290</xdr:colOff>
      <xdr:row>4</xdr:row>
      <xdr:rowOff>114300</xdr:rowOff>
    </xdr:to>
    <xdr:sp macro="" textlink="">
      <xdr:nvSpPr>
        <xdr:cNvPr id="74" name="checksum">
          <a:extLst>
            <a:ext uri="{FF2B5EF4-FFF2-40B4-BE49-F238E27FC236}">
              <a16:creationId xmlns:a16="http://schemas.microsoft.com/office/drawing/2014/main" xmlns="" id="{00000000-0008-0000-0B00-00004A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20</xdr:col>
      <xdr:colOff>0</xdr:colOff>
      <xdr:row>2</xdr:row>
      <xdr:rowOff>276225</xdr:rowOff>
    </xdr:from>
    <xdr:to>
      <xdr:col>31</xdr:col>
      <xdr:colOff>42140</xdr:colOff>
      <xdr:row>4</xdr:row>
      <xdr:rowOff>114300</xdr:rowOff>
    </xdr:to>
    <xdr:sp macro="" textlink="">
      <xdr:nvSpPr>
        <xdr:cNvPr id="75" name="checksum">
          <a:extLst>
            <a:ext uri="{FF2B5EF4-FFF2-40B4-BE49-F238E27FC236}">
              <a16:creationId xmlns:a16="http://schemas.microsoft.com/office/drawing/2014/main" xmlns="" id="{00000000-0008-0000-0B00-00004B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20</xdr:col>
      <xdr:colOff>0</xdr:colOff>
      <xdr:row>2</xdr:row>
      <xdr:rowOff>28575</xdr:rowOff>
    </xdr:from>
    <xdr:to>
      <xdr:col>32</xdr:col>
      <xdr:colOff>440459</xdr:colOff>
      <xdr:row>4</xdr:row>
      <xdr:rowOff>66675</xdr:rowOff>
    </xdr:to>
    <xdr:sp macro="" textlink="">
      <xdr:nvSpPr>
        <xdr:cNvPr id="77" name="checksum">
          <a:extLst>
            <a:ext uri="{FF2B5EF4-FFF2-40B4-BE49-F238E27FC236}">
              <a16:creationId xmlns:a16="http://schemas.microsoft.com/office/drawing/2014/main" xmlns="" id="{00000000-0008-0000-0B00-00004D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20</xdr:col>
      <xdr:colOff>0</xdr:colOff>
      <xdr:row>2</xdr:row>
      <xdr:rowOff>285750</xdr:rowOff>
    </xdr:from>
    <xdr:to>
      <xdr:col>31</xdr:col>
      <xdr:colOff>80240</xdr:colOff>
      <xdr:row>4</xdr:row>
      <xdr:rowOff>114300</xdr:rowOff>
    </xdr:to>
    <xdr:sp macro="" textlink="">
      <xdr:nvSpPr>
        <xdr:cNvPr id="78" name="checksum">
          <a:extLst>
            <a:ext uri="{FF2B5EF4-FFF2-40B4-BE49-F238E27FC236}">
              <a16:creationId xmlns:a16="http://schemas.microsoft.com/office/drawing/2014/main" xmlns="" id="{00000000-0008-0000-0B00-00004E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20</xdr:col>
      <xdr:colOff>0</xdr:colOff>
      <xdr:row>2</xdr:row>
      <xdr:rowOff>285750</xdr:rowOff>
    </xdr:from>
    <xdr:to>
      <xdr:col>31</xdr:col>
      <xdr:colOff>99290</xdr:colOff>
      <xdr:row>4</xdr:row>
      <xdr:rowOff>114300</xdr:rowOff>
    </xdr:to>
    <xdr:sp macro="" textlink="">
      <xdr:nvSpPr>
        <xdr:cNvPr id="79" name="checksum">
          <a:extLst>
            <a:ext uri="{FF2B5EF4-FFF2-40B4-BE49-F238E27FC236}">
              <a16:creationId xmlns:a16="http://schemas.microsoft.com/office/drawing/2014/main" xmlns="" id="{00000000-0008-0000-0B00-00004F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20</xdr:col>
      <xdr:colOff>0</xdr:colOff>
      <xdr:row>2</xdr:row>
      <xdr:rowOff>276225</xdr:rowOff>
    </xdr:from>
    <xdr:to>
      <xdr:col>31</xdr:col>
      <xdr:colOff>42140</xdr:colOff>
      <xdr:row>4</xdr:row>
      <xdr:rowOff>114300</xdr:rowOff>
    </xdr:to>
    <xdr:sp macro="" textlink="">
      <xdr:nvSpPr>
        <xdr:cNvPr id="80" name="checksum">
          <a:extLst>
            <a:ext uri="{FF2B5EF4-FFF2-40B4-BE49-F238E27FC236}">
              <a16:creationId xmlns:a16="http://schemas.microsoft.com/office/drawing/2014/main" xmlns="" id="{00000000-0008-0000-0B00-000050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20</xdr:col>
      <xdr:colOff>0</xdr:colOff>
      <xdr:row>2</xdr:row>
      <xdr:rowOff>28575</xdr:rowOff>
    </xdr:from>
    <xdr:to>
      <xdr:col>32</xdr:col>
      <xdr:colOff>440458</xdr:colOff>
      <xdr:row>4</xdr:row>
      <xdr:rowOff>66675</xdr:rowOff>
    </xdr:to>
    <xdr:sp macro="" textlink="">
      <xdr:nvSpPr>
        <xdr:cNvPr id="82" name="checksum">
          <a:extLst>
            <a:ext uri="{FF2B5EF4-FFF2-40B4-BE49-F238E27FC236}">
              <a16:creationId xmlns:a16="http://schemas.microsoft.com/office/drawing/2014/main" xmlns="" id="{00000000-0008-0000-0B00-000052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20</xdr:col>
      <xdr:colOff>0</xdr:colOff>
      <xdr:row>2</xdr:row>
      <xdr:rowOff>285750</xdr:rowOff>
    </xdr:from>
    <xdr:to>
      <xdr:col>31</xdr:col>
      <xdr:colOff>80240</xdr:colOff>
      <xdr:row>4</xdr:row>
      <xdr:rowOff>114300</xdr:rowOff>
    </xdr:to>
    <xdr:sp macro="" textlink="">
      <xdr:nvSpPr>
        <xdr:cNvPr id="83" name="checksum">
          <a:extLst>
            <a:ext uri="{FF2B5EF4-FFF2-40B4-BE49-F238E27FC236}">
              <a16:creationId xmlns:a16="http://schemas.microsoft.com/office/drawing/2014/main" xmlns="" id="{00000000-0008-0000-0B00-000053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20</xdr:col>
      <xdr:colOff>0</xdr:colOff>
      <xdr:row>2</xdr:row>
      <xdr:rowOff>285750</xdr:rowOff>
    </xdr:from>
    <xdr:to>
      <xdr:col>31</xdr:col>
      <xdr:colOff>99290</xdr:colOff>
      <xdr:row>4</xdr:row>
      <xdr:rowOff>114300</xdr:rowOff>
    </xdr:to>
    <xdr:sp macro="" textlink="">
      <xdr:nvSpPr>
        <xdr:cNvPr id="84" name="checksum">
          <a:extLst>
            <a:ext uri="{FF2B5EF4-FFF2-40B4-BE49-F238E27FC236}">
              <a16:creationId xmlns:a16="http://schemas.microsoft.com/office/drawing/2014/main" xmlns="" id="{00000000-0008-0000-0B00-000054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20</xdr:col>
      <xdr:colOff>0</xdr:colOff>
      <xdr:row>2</xdr:row>
      <xdr:rowOff>276225</xdr:rowOff>
    </xdr:from>
    <xdr:to>
      <xdr:col>31</xdr:col>
      <xdr:colOff>42140</xdr:colOff>
      <xdr:row>4</xdr:row>
      <xdr:rowOff>114300</xdr:rowOff>
    </xdr:to>
    <xdr:sp macro="" textlink="">
      <xdr:nvSpPr>
        <xdr:cNvPr id="85" name="checksum">
          <a:extLst>
            <a:ext uri="{FF2B5EF4-FFF2-40B4-BE49-F238E27FC236}">
              <a16:creationId xmlns:a16="http://schemas.microsoft.com/office/drawing/2014/main" xmlns="" id="{00000000-0008-0000-0B00-000055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20</xdr:col>
      <xdr:colOff>0</xdr:colOff>
      <xdr:row>2</xdr:row>
      <xdr:rowOff>28575</xdr:rowOff>
    </xdr:from>
    <xdr:to>
      <xdr:col>32</xdr:col>
      <xdr:colOff>440458</xdr:colOff>
      <xdr:row>4</xdr:row>
      <xdr:rowOff>66675</xdr:rowOff>
    </xdr:to>
    <xdr:sp macro="" textlink="">
      <xdr:nvSpPr>
        <xdr:cNvPr id="87" name="checksum">
          <a:extLst>
            <a:ext uri="{FF2B5EF4-FFF2-40B4-BE49-F238E27FC236}">
              <a16:creationId xmlns:a16="http://schemas.microsoft.com/office/drawing/2014/main" xmlns="" id="{00000000-0008-0000-0B00-000057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20</xdr:col>
      <xdr:colOff>0</xdr:colOff>
      <xdr:row>2</xdr:row>
      <xdr:rowOff>285750</xdr:rowOff>
    </xdr:from>
    <xdr:to>
      <xdr:col>31</xdr:col>
      <xdr:colOff>80240</xdr:colOff>
      <xdr:row>4</xdr:row>
      <xdr:rowOff>114300</xdr:rowOff>
    </xdr:to>
    <xdr:sp macro="" textlink="">
      <xdr:nvSpPr>
        <xdr:cNvPr id="88" name="checksum">
          <a:extLst>
            <a:ext uri="{FF2B5EF4-FFF2-40B4-BE49-F238E27FC236}">
              <a16:creationId xmlns:a16="http://schemas.microsoft.com/office/drawing/2014/main" xmlns="" id="{00000000-0008-0000-0B00-000058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20</xdr:col>
      <xdr:colOff>0</xdr:colOff>
      <xdr:row>2</xdr:row>
      <xdr:rowOff>285750</xdr:rowOff>
    </xdr:from>
    <xdr:to>
      <xdr:col>31</xdr:col>
      <xdr:colOff>99290</xdr:colOff>
      <xdr:row>4</xdr:row>
      <xdr:rowOff>114300</xdr:rowOff>
    </xdr:to>
    <xdr:sp macro="" textlink="">
      <xdr:nvSpPr>
        <xdr:cNvPr id="89" name="checksum">
          <a:extLst>
            <a:ext uri="{FF2B5EF4-FFF2-40B4-BE49-F238E27FC236}">
              <a16:creationId xmlns:a16="http://schemas.microsoft.com/office/drawing/2014/main" xmlns="" id="{00000000-0008-0000-0B00-000059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20</xdr:col>
      <xdr:colOff>0</xdr:colOff>
      <xdr:row>2</xdr:row>
      <xdr:rowOff>276225</xdr:rowOff>
    </xdr:from>
    <xdr:to>
      <xdr:col>31</xdr:col>
      <xdr:colOff>42140</xdr:colOff>
      <xdr:row>4</xdr:row>
      <xdr:rowOff>114300</xdr:rowOff>
    </xdr:to>
    <xdr:sp macro="" textlink="">
      <xdr:nvSpPr>
        <xdr:cNvPr id="90" name="checksum">
          <a:extLst>
            <a:ext uri="{FF2B5EF4-FFF2-40B4-BE49-F238E27FC236}">
              <a16:creationId xmlns:a16="http://schemas.microsoft.com/office/drawing/2014/main" xmlns="" id="{00000000-0008-0000-0B00-00005A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20</xdr:col>
      <xdr:colOff>0</xdr:colOff>
      <xdr:row>2</xdr:row>
      <xdr:rowOff>28575</xdr:rowOff>
    </xdr:from>
    <xdr:to>
      <xdr:col>32</xdr:col>
      <xdr:colOff>440458</xdr:colOff>
      <xdr:row>4</xdr:row>
      <xdr:rowOff>66675</xdr:rowOff>
    </xdr:to>
    <xdr:sp macro="" textlink="">
      <xdr:nvSpPr>
        <xdr:cNvPr id="92" name="checksum">
          <a:extLst>
            <a:ext uri="{FF2B5EF4-FFF2-40B4-BE49-F238E27FC236}">
              <a16:creationId xmlns:a16="http://schemas.microsoft.com/office/drawing/2014/main" xmlns="" id="{00000000-0008-0000-0B00-00005C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20</xdr:col>
      <xdr:colOff>0</xdr:colOff>
      <xdr:row>2</xdr:row>
      <xdr:rowOff>285750</xdr:rowOff>
    </xdr:from>
    <xdr:to>
      <xdr:col>31</xdr:col>
      <xdr:colOff>80240</xdr:colOff>
      <xdr:row>4</xdr:row>
      <xdr:rowOff>114300</xdr:rowOff>
    </xdr:to>
    <xdr:sp macro="" textlink="">
      <xdr:nvSpPr>
        <xdr:cNvPr id="93" name="checksum">
          <a:extLst>
            <a:ext uri="{FF2B5EF4-FFF2-40B4-BE49-F238E27FC236}">
              <a16:creationId xmlns:a16="http://schemas.microsoft.com/office/drawing/2014/main" xmlns="" id="{00000000-0008-0000-0B00-00005D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20</xdr:col>
      <xdr:colOff>0</xdr:colOff>
      <xdr:row>2</xdr:row>
      <xdr:rowOff>285750</xdr:rowOff>
    </xdr:from>
    <xdr:to>
      <xdr:col>31</xdr:col>
      <xdr:colOff>99290</xdr:colOff>
      <xdr:row>4</xdr:row>
      <xdr:rowOff>114300</xdr:rowOff>
    </xdr:to>
    <xdr:sp macro="" textlink="">
      <xdr:nvSpPr>
        <xdr:cNvPr id="94" name="checksum">
          <a:extLst>
            <a:ext uri="{FF2B5EF4-FFF2-40B4-BE49-F238E27FC236}">
              <a16:creationId xmlns:a16="http://schemas.microsoft.com/office/drawing/2014/main" xmlns="" id="{00000000-0008-0000-0B00-00005E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20</xdr:col>
      <xdr:colOff>0</xdr:colOff>
      <xdr:row>2</xdr:row>
      <xdr:rowOff>276225</xdr:rowOff>
    </xdr:from>
    <xdr:to>
      <xdr:col>31</xdr:col>
      <xdr:colOff>42140</xdr:colOff>
      <xdr:row>4</xdr:row>
      <xdr:rowOff>114300</xdr:rowOff>
    </xdr:to>
    <xdr:sp macro="" textlink="">
      <xdr:nvSpPr>
        <xdr:cNvPr id="95" name="checksum">
          <a:extLst>
            <a:ext uri="{FF2B5EF4-FFF2-40B4-BE49-F238E27FC236}">
              <a16:creationId xmlns:a16="http://schemas.microsoft.com/office/drawing/2014/main" xmlns="" id="{00000000-0008-0000-0B00-00005F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20</xdr:col>
      <xdr:colOff>0</xdr:colOff>
      <xdr:row>2</xdr:row>
      <xdr:rowOff>28575</xdr:rowOff>
    </xdr:from>
    <xdr:to>
      <xdr:col>32</xdr:col>
      <xdr:colOff>440458</xdr:colOff>
      <xdr:row>4</xdr:row>
      <xdr:rowOff>66675</xdr:rowOff>
    </xdr:to>
    <xdr:sp macro="" textlink="">
      <xdr:nvSpPr>
        <xdr:cNvPr id="97" name="checksum">
          <a:extLst>
            <a:ext uri="{FF2B5EF4-FFF2-40B4-BE49-F238E27FC236}">
              <a16:creationId xmlns:a16="http://schemas.microsoft.com/office/drawing/2014/main" xmlns="" id="{00000000-0008-0000-0B00-000061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20</xdr:col>
      <xdr:colOff>0</xdr:colOff>
      <xdr:row>2</xdr:row>
      <xdr:rowOff>285750</xdr:rowOff>
    </xdr:from>
    <xdr:to>
      <xdr:col>31</xdr:col>
      <xdr:colOff>80240</xdr:colOff>
      <xdr:row>4</xdr:row>
      <xdr:rowOff>114300</xdr:rowOff>
    </xdr:to>
    <xdr:sp macro="" textlink="">
      <xdr:nvSpPr>
        <xdr:cNvPr id="98" name="checksum">
          <a:extLst>
            <a:ext uri="{FF2B5EF4-FFF2-40B4-BE49-F238E27FC236}">
              <a16:creationId xmlns:a16="http://schemas.microsoft.com/office/drawing/2014/main" xmlns="" id="{00000000-0008-0000-0B00-000062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20</xdr:col>
      <xdr:colOff>0</xdr:colOff>
      <xdr:row>2</xdr:row>
      <xdr:rowOff>285750</xdr:rowOff>
    </xdr:from>
    <xdr:to>
      <xdr:col>31</xdr:col>
      <xdr:colOff>99290</xdr:colOff>
      <xdr:row>4</xdr:row>
      <xdr:rowOff>114300</xdr:rowOff>
    </xdr:to>
    <xdr:sp macro="" textlink="">
      <xdr:nvSpPr>
        <xdr:cNvPr id="99" name="checksum">
          <a:extLst>
            <a:ext uri="{FF2B5EF4-FFF2-40B4-BE49-F238E27FC236}">
              <a16:creationId xmlns:a16="http://schemas.microsoft.com/office/drawing/2014/main" xmlns="" id="{00000000-0008-0000-0B00-000063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20</xdr:col>
      <xdr:colOff>0</xdr:colOff>
      <xdr:row>2</xdr:row>
      <xdr:rowOff>276225</xdr:rowOff>
    </xdr:from>
    <xdr:to>
      <xdr:col>31</xdr:col>
      <xdr:colOff>42140</xdr:colOff>
      <xdr:row>4</xdr:row>
      <xdr:rowOff>114300</xdr:rowOff>
    </xdr:to>
    <xdr:sp macro="" textlink="">
      <xdr:nvSpPr>
        <xdr:cNvPr id="100" name="checksum">
          <a:extLst>
            <a:ext uri="{FF2B5EF4-FFF2-40B4-BE49-F238E27FC236}">
              <a16:creationId xmlns:a16="http://schemas.microsoft.com/office/drawing/2014/main" xmlns="" id="{00000000-0008-0000-0B00-000064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20</xdr:col>
      <xdr:colOff>0</xdr:colOff>
      <xdr:row>2</xdr:row>
      <xdr:rowOff>28575</xdr:rowOff>
    </xdr:from>
    <xdr:to>
      <xdr:col>32</xdr:col>
      <xdr:colOff>440459</xdr:colOff>
      <xdr:row>4</xdr:row>
      <xdr:rowOff>66675</xdr:rowOff>
    </xdr:to>
    <xdr:sp macro="" textlink="">
      <xdr:nvSpPr>
        <xdr:cNvPr id="102" name="checksum">
          <a:extLst>
            <a:ext uri="{FF2B5EF4-FFF2-40B4-BE49-F238E27FC236}">
              <a16:creationId xmlns:a16="http://schemas.microsoft.com/office/drawing/2014/main" xmlns="" id="{00000000-0008-0000-0B00-000066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20</xdr:col>
      <xdr:colOff>0</xdr:colOff>
      <xdr:row>2</xdr:row>
      <xdr:rowOff>285750</xdr:rowOff>
    </xdr:from>
    <xdr:to>
      <xdr:col>31</xdr:col>
      <xdr:colOff>80240</xdr:colOff>
      <xdr:row>4</xdr:row>
      <xdr:rowOff>114300</xdr:rowOff>
    </xdr:to>
    <xdr:sp macro="" textlink="">
      <xdr:nvSpPr>
        <xdr:cNvPr id="103" name="checksum">
          <a:extLst>
            <a:ext uri="{FF2B5EF4-FFF2-40B4-BE49-F238E27FC236}">
              <a16:creationId xmlns:a16="http://schemas.microsoft.com/office/drawing/2014/main" xmlns="" id="{00000000-0008-0000-0B00-000067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20</xdr:col>
      <xdr:colOff>0</xdr:colOff>
      <xdr:row>2</xdr:row>
      <xdr:rowOff>285750</xdr:rowOff>
    </xdr:from>
    <xdr:to>
      <xdr:col>31</xdr:col>
      <xdr:colOff>99290</xdr:colOff>
      <xdr:row>4</xdr:row>
      <xdr:rowOff>114300</xdr:rowOff>
    </xdr:to>
    <xdr:sp macro="" textlink="">
      <xdr:nvSpPr>
        <xdr:cNvPr id="104" name="checksum">
          <a:extLst>
            <a:ext uri="{FF2B5EF4-FFF2-40B4-BE49-F238E27FC236}">
              <a16:creationId xmlns:a16="http://schemas.microsoft.com/office/drawing/2014/main" xmlns="" id="{00000000-0008-0000-0B00-000068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20</xdr:col>
      <xdr:colOff>0</xdr:colOff>
      <xdr:row>2</xdr:row>
      <xdr:rowOff>276225</xdr:rowOff>
    </xdr:from>
    <xdr:to>
      <xdr:col>31</xdr:col>
      <xdr:colOff>42140</xdr:colOff>
      <xdr:row>4</xdr:row>
      <xdr:rowOff>114300</xdr:rowOff>
    </xdr:to>
    <xdr:sp macro="" textlink="">
      <xdr:nvSpPr>
        <xdr:cNvPr id="105" name="checksum">
          <a:extLst>
            <a:ext uri="{FF2B5EF4-FFF2-40B4-BE49-F238E27FC236}">
              <a16:creationId xmlns:a16="http://schemas.microsoft.com/office/drawing/2014/main" xmlns="" id="{00000000-0008-0000-0B00-000069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20</xdr:col>
      <xdr:colOff>0</xdr:colOff>
      <xdr:row>2</xdr:row>
      <xdr:rowOff>28575</xdr:rowOff>
    </xdr:from>
    <xdr:to>
      <xdr:col>32</xdr:col>
      <xdr:colOff>440459</xdr:colOff>
      <xdr:row>4</xdr:row>
      <xdr:rowOff>66675</xdr:rowOff>
    </xdr:to>
    <xdr:sp macro="" textlink="">
      <xdr:nvSpPr>
        <xdr:cNvPr id="107" name="checksum">
          <a:extLst>
            <a:ext uri="{FF2B5EF4-FFF2-40B4-BE49-F238E27FC236}">
              <a16:creationId xmlns:a16="http://schemas.microsoft.com/office/drawing/2014/main" xmlns="" id="{00000000-0008-0000-0B00-00006B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20</xdr:col>
      <xdr:colOff>0</xdr:colOff>
      <xdr:row>2</xdr:row>
      <xdr:rowOff>285750</xdr:rowOff>
    </xdr:from>
    <xdr:to>
      <xdr:col>31</xdr:col>
      <xdr:colOff>80240</xdr:colOff>
      <xdr:row>4</xdr:row>
      <xdr:rowOff>114300</xdr:rowOff>
    </xdr:to>
    <xdr:sp macro="" textlink="">
      <xdr:nvSpPr>
        <xdr:cNvPr id="108" name="checksum">
          <a:extLst>
            <a:ext uri="{FF2B5EF4-FFF2-40B4-BE49-F238E27FC236}">
              <a16:creationId xmlns:a16="http://schemas.microsoft.com/office/drawing/2014/main" xmlns="" id="{00000000-0008-0000-0B00-00006C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20</xdr:col>
      <xdr:colOff>0</xdr:colOff>
      <xdr:row>2</xdr:row>
      <xdr:rowOff>285750</xdr:rowOff>
    </xdr:from>
    <xdr:to>
      <xdr:col>31</xdr:col>
      <xdr:colOff>99290</xdr:colOff>
      <xdr:row>4</xdr:row>
      <xdr:rowOff>114300</xdr:rowOff>
    </xdr:to>
    <xdr:sp macro="" textlink="">
      <xdr:nvSpPr>
        <xdr:cNvPr id="109" name="checksum">
          <a:extLst>
            <a:ext uri="{FF2B5EF4-FFF2-40B4-BE49-F238E27FC236}">
              <a16:creationId xmlns:a16="http://schemas.microsoft.com/office/drawing/2014/main" xmlns="" id="{00000000-0008-0000-0B00-00006D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20</xdr:col>
      <xdr:colOff>0</xdr:colOff>
      <xdr:row>2</xdr:row>
      <xdr:rowOff>276225</xdr:rowOff>
    </xdr:from>
    <xdr:to>
      <xdr:col>31</xdr:col>
      <xdr:colOff>42140</xdr:colOff>
      <xdr:row>4</xdr:row>
      <xdr:rowOff>114300</xdr:rowOff>
    </xdr:to>
    <xdr:sp macro="" textlink="">
      <xdr:nvSpPr>
        <xdr:cNvPr id="110" name="checksum">
          <a:extLst>
            <a:ext uri="{FF2B5EF4-FFF2-40B4-BE49-F238E27FC236}">
              <a16:creationId xmlns:a16="http://schemas.microsoft.com/office/drawing/2014/main" xmlns="" id="{00000000-0008-0000-0B00-00006E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0</xdr:colOff>
      <xdr:row>2</xdr:row>
      <xdr:rowOff>28575</xdr:rowOff>
    </xdr:from>
    <xdr:to>
      <xdr:col>30</xdr:col>
      <xdr:colOff>107949</xdr:colOff>
      <xdr:row>5</xdr:row>
      <xdr:rowOff>9525</xdr:rowOff>
    </xdr:to>
    <xdr:sp macro="" textlink="">
      <xdr:nvSpPr>
        <xdr:cNvPr id="2" name="checksum">
          <a:extLst>
            <a:ext uri="{FF2B5EF4-FFF2-40B4-BE49-F238E27FC236}">
              <a16:creationId xmlns:a16="http://schemas.microsoft.com/office/drawing/2014/main" xmlns="" id="{00000000-0008-0000-0C00-000002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22</xdr:col>
      <xdr:colOff>0</xdr:colOff>
      <xdr:row>2</xdr:row>
      <xdr:rowOff>285750</xdr:rowOff>
    </xdr:from>
    <xdr:to>
      <xdr:col>29</xdr:col>
      <xdr:colOff>412749</xdr:colOff>
      <xdr:row>4</xdr:row>
      <xdr:rowOff>180975</xdr:rowOff>
    </xdr:to>
    <xdr:sp macro="" textlink="">
      <xdr:nvSpPr>
        <xdr:cNvPr id="3" name="checksum">
          <a:extLst>
            <a:ext uri="{FF2B5EF4-FFF2-40B4-BE49-F238E27FC236}">
              <a16:creationId xmlns:a16="http://schemas.microsoft.com/office/drawing/2014/main" xmlns="" id="{00000000-0008-0000-0C00-000003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22</xdr:col>
      <xdr:colOff>0</xdr:colOff>
      <xdr:row>2</xdr:row>
      <xdr:rowOff>285750</xdr:rowOff>
    </xdr:from>
    <xdr:to>
      <xdr:col>29</xdr:col>
      <xdr:colOff>431799</xdr:colOff>
      <xdr:row>4</xdr:row>
      <xdr:rowOff>180975</xdr:rowOff>
    </xdr:to>
    <xdr:sp macro="" textlink="">
      <xdr:nvSpPr>
        <xdr:cNvPr id="4" name="checksum">
          <a:extLst>
            <a:ext uri="{FF2B5EF4-FFF2-40B4-BE49-F238E27FC236}">
              <a16:creationId xmlns:a16="http://schemas.microsoft.com/office/drawing/2014/main" xmlns="" id="{00000000-0008-0000-0C00-000004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22</xdr:col>
      <xdr:colOff>0</xdr:colOff>
      <xdr:row>2</xdr:row>
      <xdr:rowOff>276225</xdr:rowOff>
    </xdr:from>
    <xdr:to>
      <xdr:col>29</xdr:col>
      <xdr:colOff>374649</xdr:colOff>
      <xdr:row>4</xdr:row>
      <xdr:rowOff>180975</xdr:rowOff>
    </xdr:to>
    <xdr:sp macro="" textlink="">
      <xdr:nvSpPr>
        <xdr:cNvPr id="5" name="checksum">
          <a:extLst>
            <a:ext uri="{FF2B5EF4-FFF2-40B4-BE49-F238E27FC236}">
              <a16:creationId xmlns:a16="http://schemas.microsoft.com/office/drawing/2014/main" xmlns="" id="{00000000-0008-0000-0C00-000005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22</xdr:col>
      <xdr:colOff>0</xdr:colOff>
      <xdr:row>2</xdr:row>
      <xdr:rowOff>28575</xdr:rowOff>
    </xdr:from>
    <xdr:to>
      <xdr:col>30</xdr:col>
      <xdr:colOff>107949</xdr:colOff>
      <xdr:row>5</xdr:row>
      <xdr:rowOff>9525</xdr:rowOff>
    </xdr:to>
    <xdr:sp macro="" textlink="">
      <xdr:nvSpPr>
        <xdr:cNvPr id="7" name="checksum">
          <a:extLst>
            <a:ext uri="{FF2B5EF4-FFF2-40B4-BE49-F238E27FC236}">
              <a16:creationId xmlns:a16="http://schemas.microsoft.com/office/drawing/2014/main" xmlns="" id="{00000000-0008-0000-0C00-000007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22</xdr:col>
      <xdr:colOff>0</xdr:colOff>
      <xdr:row>2</xdr:row>
      <xdr:rowOff>285750</xdr:rowOff>
    </xdr:from>
    <xdr:to>
      <xdr:col>29</xdr:col>
      <xdr:colOff>412749</xdr:colOff>
      <xdr:row>4</xdr:row>
      <xdr:rowOff>180975</xdr:rowOff>
    </xdr:to>
    <xdr:sp macro="" textlink="">
      <xdr:nvSpPr>
        <xdr:cNvPr id="8" name="checksum">
          <a:extLst>
            <a:ext uri="{FF2B5EF4-FFF2-40B4-BE49-F238E27FC236}">
              <a16:creationId xmlns:a16="http://schemas.microsoft.com/office/drawing/2014/main" xmlns="" id="{00000000-0008-0000-0C00-000008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22</xdr:col>
      <xdr:colOff>0</xdr:colOff>
      <xdr:row>2</xdr:row>
      <xdr:rowOff>285750</xdr:rowOff>
    </xdr:from>
    <xdr:to>
      <xdr:col>29</xdr:col>
      <xdr:colOff>431799</xdr:colOff>
      <xdr:row>4</xdr:row>
      <xdr:rowOff>180975</xdr:rowOff>
    </xdr:to>
    <xdr:sp macro="" textlink="">
      <xdr:nvSpPr>
        <xdr:cNvPr id="9" name="checksum">
          <a:extLst>
            <a:ext uri="{FF2B5EF4-FFF2-40B4-BE49-F238E27FC236}">
              <a16:creationId xmlns:a16="http://schemas.microsoft.com/office/drawing/2014/main" xmlns="" id="{00000000-0008-0000-0C00-000009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22</xdr:col>
      <xdr:colOff>0</xdr:colOff>
      <xdr:row>2</xdr:row>
      <xdr:rowOff>276225</xdr:rowOff>
    </xdr:from>
    <xdr:to>
      <xdr:col>29</xdr:col>
      <xdr:colOff>374649</xdr:colOff>
      <xdr:row>4</xdr:row>
      <xdr:rowOff>180975</xdr:rowOff>
    </xdr:to>
    <xdr:sp macro="" textlink="">
      <xdr:nvSpPr>
        <xdr:cNvPr id="10" name="checksum">
          <a:extLst>
            <a:ext uri="{FF2B5EF4-FFF2-40B4-BE49-F238E27FC236}">
              <a16:creationId xmlns:a16="http://schemas.microsoft.com/office/drawing/2014/main" xmlns="" id="{00000000-0008-0000-0C00-00000A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22</xdr:col>
      <xdr:colOff>0</xdr:colOff>
      <xdr:row>2</xdr:row>
      <xdr:rowOff>28575</xdr:rowOff>
    </xdr:from>
    <xdr:to>
      <xdr:col>30</xdr:col>
      <xdr:colOff>107950</xdr:colOff>
      <xdr:row>4</xdr:row>
      <xdr:rowOff>66675</xdr:rowOff>
    </xdr:to>
    <xdr:sp macro="" textlink="">
      <xdr:nvSpPr>
        <xdr:cNvPr id="12" name="checksum">
          <a:extLst>
            <a:ext uri="{FF2B5EF4-FFF2-40B4-BE49-F238E27FC236}">
              <a16:creationId xmlns:a16="http://schemas.microsoft.com/office/drawing/2014/main" xmlns="" id="{00000000-0008-0000-0C00-00000C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22</xdr:col>
      <xdr:colOff>0</xdr:colOff>
      <xdr:row>2</xdr:row>
      <xdr:rowOff>285750</xdr:rowOff>
    </xdr:from>
    <xdr:to>
      <xdr:col>29</xdr:col>
      <xdr:colOff>412750</xdr:colOff>
      <xdr:row>4</xdr:row>
      <xdr:rowOff>114300</xdr:rowOff>
    </xdr:to>
    <xdr:sp macro="" textlink="">
      <xdr:nvSpPr>
        <xdr:cNvPr id="13" name="checksum">
          <a:extLst>
            <a:ext uri="{FF2B5EF4-FFF2-40B4-BE49-F238E27FC236}">
              <a16:creationId xmlns:a16="http://schemas.microsoft.com/office/drawing/2014/main" xmlns="" id="{00000000-0008-0000-0C00-00000D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22</xdr:col>
      <xdr:colOff>0</xdr:colOff>
      <xdr:row>2</xdr:row>
      <xdr:rowOff>285750</xdr:rowOff>
    </xdr:from>
    <xdr:to>
      <xdr:col>29</xdr:col>
      <xdr:colOff>431800</xdr:colOff>
      <xdr:row>4</xdr:row>
      <xdr:rowOff>114300</xdr:rowOff>
    </xdr:to>
    <xdr:sp macro="" textlink="">
      <xdr:nvSpPr>
        <xdr:cNvPr id="14" name="checksum">
          <a:extLst>
            <a:ext uri="{FF2B5EF4-FFF2-40B4-BE49-F238E27FC236}">
              <a16:creationId xmlns:a16="http://schemas.microsoft.com/office/drawing/2014/main" xmlns="" id="{00000000-0008-0000-0C00-00000E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22</xdr:col>
      <xdr:colOff>0</xdr:colOff>
      <xdr:row>2</xdr:row>
      <xdr:rowOff>276225</xdr:rowOff>
    </xdr:from>
    <xdr:to>
      <xdr:col>29</xdr:col>
      <xdr:colOff>374650</xdr:colOff>
      <xdr:row>4</xdr:row>
      <xdr:rowOff>114300</xdr:rowOff>
    </xdr:to>
    <xdr:sp macro="" textlink="">
      <xdr:nvSpPr>
        <xdr:cNvPr id="15" name="checksum">
          <a:extLst>
            <a:ext uri="{FF2B5EF4-FFF2-40B4-BE49-F238E27FC236}">
              <a16:creationId xmlns:a16="http://schemas.microsoft.com/office/drawing/2014/main" xmlns="" id="{00000000-0008-0000-0C00-00000F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22</xdr:col>
      <xdr:colOff>0</xdr:colOff>
      <xdr:row>2</xdr:row>
      <xdr:rowOff>28575</xdr:rowOff>
    </xdr:from>
    <xdr:to>
      <xdr:col>30</xdr:col>
      <xdr:colOff>107950</xdr:colOff>
      <xdr:row>4</xdr:row>
      <xdr:rowOff>66675</xdr:rowOff>
    </xdr:to>
    <xdr:sp macro="" textlink="">
      <xdr:nvSpPr>
        <xdr:cNvPr id="17" name="checksum">
          <a:extLst>
            <a:ext uri="{FF2B5EF4-FFF2-40B4-BE49-F238E27FC236}">
              <a16:creationId xmlns:a16="http://schemas.microsoft.com/office/drawing/2014/main" xmlns="" id="{00000000-0008-0000-0C00-000011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22</xdr:col>
      <xdr:colOff>0</xdr:colOff>
      <xdr:row>2</xdr:row>
      <xdr:rowOff>285750</xdr:rowOff>
    </xdr:from>
    <xdr:to>
      <xdr:col>29</xdr:col>
      <xdr:colOff>412750</xdr:colOff>
      <xdr:row>4</xdr:row>
      <xdr:rowOff>114300</xdr:rowOff>
    </xdr:to>
    <xdr:sp macro="" textlink="">
      <xdr:nvSpPr>
        <xdr:cNvPr id="18" name="checksum">
          <a:extLst>
            <a:ext uri="{FF2B5EF4-FFF2-40B4-BE49-F238E27FC236}">
              <a16:creationId xmlns:a16="http://schemas.microsoft.com/office/drawing/2014/main" xmlns="" id="{00000000-0008-0000-0C00-000012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22</xdr:col>
      <xdr:colOff>0</xdr:colOff>
      <xdr:row>2</xdr:row>
      <xdr:rowOff>285750</xdr:rowOff>
    </xdr:from>
    <xdr:to>
      <xdr:col>29</xdr:col>
      <xdr:colOff>431800</xdr:colOff>
      <xdr:row>4</xdr:row>
      <xdr:rowOff>114300</xdr:rowOff>
    </xdr:to>
    <xdr:sp macro="" textlink="">
      <xdr:nvSpPr>
        <xdr:cNvPr id="19" name="checksum">
          <a:extLst>
            <a:ext uri="{FF2B5EF4-FFF2-40B4-BE49-F238E27FC236}">
              <a16:creationId xmlns:a16="http://schemas.microsoft.com/office/drawing/2014/main" xmlns="" id="{00000000-0008-0000-0C00-000013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22</xdr:col>
      <xdr:colOff>0</xdr:colOff>
      <xdr:row>2</xdr:row>
      <xdr:rowOff>276225</xdr:rowOff>
    </xdr:from>
    <xdr:to>
      <xdr:col>29</xdr:col>
      <xdr:colOff>374650</xdr:colOff>
      <xdr:row>4</xdr:row>
      <xdr:rowOff>114300</xdr:rowOff>
    </xdr:to>
    <xdr:sp macro="" textlink="">
      <xdr:nvSpPr>
        <xdr:cNvPr id="20" name="checksum">
          <a:extLst>
            <a:ext uri="{FF2B5EF4-FFF2-40B4-BE49-F238E27FC236}">
              <a16:creationId xmlns:a16="http://schemas.microsoft.com/office/drawing/2014/main" xmlns="" id="{00000000-0008-0000-0C00-000014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25</xdr:col>
      <xdr:colOff>0</xdr:colOff>
      <xdr:row>2</xdr:row>
      <xdr:rowOff>0</xdr:rowOff>
    </xdr:from>
    <xdr:to>
      <xdr:col>25</xdr:col>
      <xdr:colOff>0</xdr:colOff>
      <xdr:row>4</xdr:row>
      <xdr:rowOff>363906</xdr:rowOff>
    </xdr:to>
    <xdr:sp macro="" textlink="">
      <xdr:nvSpPr>
        <xdr:cNvPr id="26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C00-00001A000000}"/>
            </a:ext>
          </a:extLst>
        </xdr:cNvPr>
        <xdr:cNvSpPr txBox="1">
          <a:spLocks noChangeArrowheads="1"/>
        </xdr:cNvSpPr>
      </xdr:nvSpPr>
      <xdr:spPr bwMode="auto">
        <a:xfrm>
          <a:off x="4457700" y="438150"/>
          <a:ext cx="0" cy="93540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25</xdr:col>
      <xdr:colOff>0</xdr:colOff>
      <xdr:row>2</xdr:row>
      <xdr:rowOff>0</xdr:rowOff>
    </xdr:from>
    <xdr:to>
      <xdr:col>25</xdr:col>
      <xdr:colOff>0</xdr:colOff>
      <xdr:row>5</xdr:row>
      <xdr:rowOff>361950</xdr:rowOff>
    </xdr:to>
    <xdr:sp macro="" textlink="">
      <xdr:nvSpPr>
        <xdr:cNvPr id="31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C00-00001F000000}"/>
            </a:ext>
          </a:extLst>
        </xdr:cNvPr>
        <xdr:cNvSpPr txBox="1">
          <a:spLocks noChangeArrowheads="1"/>
        </xdr:cNvSpPr>
      </xdr:nvSpPr>
      <xdr:spPr bwMode="auto">
        <a:xfrm>
          <a:off x="4457700" y="438150"/>
          <a:ext cx="0" cy="1171575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2</xdr:col>
      <xdr:colOff>0</xdr:colOff>
      <xdr:row>2</xdr:row>
      <xdr:rowOff>0</xdr:rowOff>
    </xdr:from>
    <xdr:to>
      <xdr:col>2</xdr:col>
      <xdr:colOff>0</xdr:colOff>
      <xdr:row>4</xdr:row>
      <xdr:rowOff>363906</xdr:rowOff>
    </xdr:to>
    <xdr:sp macro="" textlink="">
      <xdr:nvSpPr>
        <xdr:cNvPr id="36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C00-000024000000}"/>
            </a:ext>
          </a:extLst>
        </xdr:cNvPr>
        <xdr:cNvSpPr txBox="1">
          <a:spLocks noChangeArrowheads="1"/>
        </xdr:cNvSpPr>
      </xdr:nvSpPr>
      <xdr:spPr bwMode="auto">
        <a:xfrm>
          <a:off x="4457700" y="438150"/>
          <a:ext cx="0" cy="773481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2</xdr:col>
      <xdr:colOff>0</xdr:colOff>
      <xdr:row>2</xdr:row>
      <xdr:rowOff>0</xdr:rowOff>
    </xdr:from>
    <xdr:to>
      <xdr:col>2</xdr:col>
      <xdr:colOff>0</xdr:colOff>
      <xdr:row>5</xdr:row>
      <xdr:rowOff>361950</xdr:rowOff>
    </xdr:to>
    <xdr:sp macro="" textlink="">
      <xdr:nvSpPr>
        <xdr:cNvPr id="41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C00-000029000000}"/>
            </a:ext>
          </a:extLst>
        </xdr:cNvPr>
        <xdr:cNvSpPr txBox="1">
          <a:spLocks noChangeArrowheads="1"/>
        </xdr:cNvSpPr>
      </xdr:nvSpPr>
      <xdr:spPr bwMode="auto">
        <a:xfrm>
          <a:off x="4457700" y="438150"/>
          <a:ext cx="0" cy="1000125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3</xdr:col>
      <xdr:colOff>0</xdr:colOff>
      <xdr:row>4</xdr:row>
      <xdr:rowOff>363906</xdr:rowOff>
    </xdr:to>
    <xdr:sp macro="" textlink="">
      <xdr:nvSpPr>
        <xdr:cNvPr id="2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D00-000002000000}"/>
            </a:ext>
          </a:extLst>
        </xdr:cNvPr>
        <xdr:cNvSpPr txBox="1">
          <a:spLocks noChangeArrowheads="1"/>
        </xdr:cNvSpPr>
      </xdr:nvSpPr>
      <xdr:spPr bwMode="auto">
        <a:xfrm>
          <a:off x="4457700" y="390525"/>
          <a:ext cx="0" cy="93540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5</xdr:row>
      <xdr:rowOff>361950</xdr:rowOff>
    </xdr:to>
    <xdr:sp macro="" textlink="">
      <xdr:nvSpPr>
        <xdr:cNvPr id="3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D00-000003000000}"/>
            </a:ext>
          </a:extLst>
        </xdr:cNvPr>
        <xdr:cNvSpPr txBox="1">
          <a:spLocks noChangeArrowheads="1"/>
        </xdr:cNvSpPr>
      </xdr:nvSpPr>
      <xdr:spPr bwMode="auto">
        <a:xfrm>
          <a:off x="4457700" y="390525"/>
          <a:ext cx="0" cy="1171575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0</xdr:colOff>
      <xdr:row>2</xdr:row>
      <xdr:rowOff>28575</xdr:rowOff>
    </xdr:from>
    <xdr:to>
      <xdr:col>24</xdr:col>
      <xdr:colOff>107949</xdr:colOff>
      <xdr:row>5</xdr:row>
      <xdr:rowOff>9525</xdr:rowOff>
    </xdr:to>
    <xdr:sp macro="" textlink="">
      <xdr:nvSpPr>
        <xdr:cNvPr id="2" name="checksum">
          <a:extLst>
            <a:ext uri="{FF2B5EF4-FFF2-40B4-BE49-F238E27FC236}">
              <a16:creationId xmlns:a16="http://schemas.microsoft.com/office/drawing/2014/main" xmlns="" id="{00000000-0008-0000-0E00-000002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23</xdr:col>
      <xdr:colOff>412748</xdr:colOff>
      <xdr:row>4</xdr:row>
      <xdr:rowOff>180975</xdr:rowOff>
    </xdr:to>
    <xdr:sp macro="" textlink="">
      <xdr:nvSpPr>
        <xdr:cNvPr id="3" name="checksum">
          <a:extLst>
            <a:ext uri="{FF2B5EF4-FFF2-40B4-BE49-F238E27FC236}">
              <a16:creationId xmlns:a16="http://schemas.microsoft.com/office/drawing/2014/main" xmlns="" id="{00000000-0008-0000-0E00-000003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23</xdr:col>
      <xdr:colOff>431798</xdr:colOff>
      <xdr:row>4</xdr:row>
      <xdr:rowOff>180975</xdr:rowOff>
    </xdr:to>
    <xdr:sp macro="" textlink="">
      <xdr:nvSpPr>
        <xdr:cNvPr id="4" name="checksum">
          <a:extLst>
            <a:ext uri="{FF2B5EF4-FFF2-40B4-BE49-F238E27FC236}">
              <a16:creationId xmlns:a16="http://schemas.microsoft.com/office/drawing/2014/main" xmlns="" id="{00000000-0008-0000-0E00-000004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23</xdr:col>
      <xdr:colOff>374648</xdr:colOff>
      <xdr:row>4</xdr:row>
      <xdr:rowOff>180975</xdr:rowOff>
    </xdr:to>
    <xdr:sp macro="" textlink="">
      <xdr:nvSpPr>
        <xdr:cNvPr id="5" name="checksum">
          <a:extLst>
            <a:ext uri="{FF2B5EF4-FFF2-40B4-BE49-F238E27FC236}">
              <a16:creationId xmlns:a16="http://schemas.microsoft.com/office/drawing/2014/main" xmlns="" id="{00000000-0008-0000-0E00-000005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24</xdr:col>
      <xdr:colOff>107949</xdr:colOff>
      <xdr:row>5</xdr:row>
      <xdr:rowOff>9525</xdr:rowOff>
    </xdr:to>
    <xdr:sp macro="" textlink="">
      <xdr:nvSpPr>
        <xdr:cNvPr id="7" name="checksum">
          <a:extLst>
            <a:ext uri="{FF2B5EF4-FFF2-40B4-BE49-F238E27FC236}">
              <a16:creationId xmlns:a16="http://schemas.microsoft.com/office/drawing/2014/main" xmlns="" id="{00000000-0008-0000-0E00-000007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23</xdr:col>
      <xdr:colOff>412748</xdr:colOff>
      <xdr:row>4</xdr:row>
      <xdr:rowOff>180975</xdr:rowOff>
    </xdr:to>
    <xdr:sp macro="" textlink="">
      <xdr:nvSpPr>
        <xdr:cNvPr id="8" name="checksum">
          <a:extLst>
            <a:ext uri="{FF2B5EF4-FFF2-40B4-BE49-F238E27FC236}">
              <a16:creationId xmlns:a16="http://schemas.microsoft.com/office/drawing/2014/main" xmlns="" id="{00000000-0008-0000-0E00-000008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23</xdr:col>
      <xdr:colOff>431798</xdr:colOff>
      <xdr:row>4</xdr:row>
      <xdr:rowOff>180975</xdr:rowOff>
    </xdr:to>
    <xdr:sp macro="" textlink="">
      <xdr:nvSpPr>
        <xdr:cNvPr id="9" name="checksum">
          <a:extLst>
            <a:ext uri="{FF2B5EF4-FFF2-40B4-BE49-F238E27FC236}">
              <a16:creationId xmlns:a16="http://schemas.microsoft.com/office/drawing/2014/main" xmlns="" id="{00000000-0008-0000-0E00-000009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23</xdr:col>
      <xdr:colOff>374648</xdr:colOff>
      <xdr:row>4</xdr:row>
      <xdr:rowOff>180975</xdr:rowOff>
    </xdr:to>
    <xdr:sp macro="" textlink="">
      <xdr:nvSpPr>
        <xdr:cNvPr id="10" name="checksum">
          <a:extLst>
            <a:ext uri="{FF2B5EF4-FFF2-40B4-BE49-F238E27FC236}">
              <a16:creationId xmlns:a16="http://schemas.microsoft.com/office/drawing/2014/main" xmlns="" id="{00000000-0008-0000-0E00-00000A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24</xdr:col>
      <xdr:colOff>107950</xdr:colOff>
      <xdr:row>4</xdr:row>
      <xdr:rowOff>66675</xdr:rowOff>
    </xdr:to>
    <xdr:sp macro="" textlink="">
      <xdr:nvSpPr>
        <xdr:cNvPr id="12" name="checksum">
          <a:extLst>
            <a:ext uri="{FF2B5EF4-FFF2-40B4-BE49-F238E27FC236}">
              <a16:creationId xmlns:a16="http://schemas.microsoft.com/office/drawing/2014/main" xmlns="" id="{00000000-0008-0000-0E00-00000C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23</xdr:col>
      <xdr:colOff>412749</xdr:colOff>
      <xdr:row>4</xdr:row>
      <xdr:rowOff>114300</xdr:rowOff>
    </xdr:to>
    <xdr:sp macro="" textlink="">
      <xdr:nvSpPr>
        <xdr:cNvPr id="13" name="checksum">
          <a:extLst>
            <a:ext uri="{FF2B5EF4-FFF2-40B4-BE49-F238E27FC236}">
              <a16:creationId xmlns:a16="http://schemas.microsoft.com/office/drawing/2014/main" xmlns="" id="{00000000-0008-0000-0E00-00000D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23</xdr:col>
      <xdr:colOff>431799</xdr:colOff>
      <xdr:row>4</xdr:row>
      <xdr:rowOff>114300</xdr:rowOff>
    </xdr:to>
    <xdr:sp macro="" textlink="">
      <xdr:nvSpPr>
        <xdr:cNvPr id="14" name="checksum">
          <a:extLst>
            <a:ext uri="{FF2B5EF4-FFF2-40B4-BE49-F238E27FC236}">
              <a16:creationId xmlns:a16="http://schemas.microsoft.com/office/drawing/2014/main" xmlns="" id="{00000000-0008-0000-0E00-00000E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23</xdr:col>
      <xdr:colOff>374649</xdr:colOff>
      <xdr:row>4</xdr:row>
      <xdr:rowOff>114300</xdr:rowOff>
    </xdr:to>
    <xdr:sp macro="" textlink="">
      <xdr:nvSpPr>
        <xdr:cNvPr id="15" name="checksum">
          <a:extLst>
            <a:ext uri="{FF2B5EF4-FFF2-40B4-BE49-F238E27FC236}">
              <a16:creationId xmlns:a16="http://schemas.microsoft.com/office/drawing/2014/main" xmlns="" id="{00000000-0008-0000-0E00-00000F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24</xdr:col>
      <xdr:colOff>107950</xdr:colOff>
      <xdr:row>4</xdr:row>
      <xdr:rowOff>66675</xdr:rowOff>
    </xdr:to>
    <xdr:sp macro="" textlink="">
      <xdr:nvSpPr>
        <xdr:cNvPr id="17" name="checksum">
          <a:extLst>
            <a:ext uri="{FF2B5EF4-FFF2-40B4-BE49-F238E27FC236}">
              <a16:creationId xmlns:a16="http://schemas.microsoft.com/office/drawing/2014/main" xmlns="" id="{00000000-0008-0000-0E00-000011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23</xdr:col>
      <xdr:colOff>412749</xdr:colOff>
      <xdr:row>4</xdr:row>
      <xdr:rowOff>114300</xdr:rowOff>
    </xdr:to>
    <xdr:sp macro="" textlink="">
      <xdr:nvSpPr>
        <xdr:cNvPr id="18" name="checksum">
          <a:extLst>
            <a:ext uri="{FF2B5EF4-FFF2-40B4-BE49-F238E27FC236}">
              <a16:creationId xmlns:a16="http://schemas.microsoft.com/office/drawing/2014/main" xmlns="" id="{00000000-0008-0000-0E00-000012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23</xdr:col>
      <xdr:colOff>431799</xdr:colOff>
      <xdr:row>4</xdr:row>
      <xdr:rowOff>114300</xdr:rowOff>
    </xdr:to>
    <xdr:sp macro="" textlink="">
      <xdr:nvSpPr>
        <xdr:cNvPr id="19" name="checksum">
          <a:extLst>
            <a:ext uri="{FF2B5EF4-FFF2-40B4-BE49-F238E27FC236}">
              <a16:creationId xmlns:a16="http://schemas.microsoft.com/office/drawing/2014/main" xmlns="" id="{00000000-0008-0000-0E00-000013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23</xdr:col>
      <xdr:colOff>374649</xdr:colOff>
      <xdr:row>4</xdr:row>
      <xdr:rowOff>114300</xdr:rowOff>
    </xdr:to>
    <xdr:sp macro="" textlink="">
      <xdr:nvSpPr>
        <xdr:cNvPr id="20" name="checksum">
          <a:extLst>
            <a:ext uri="{FF2B5EF4-FFF2-40B4-BE49-F238E27FC236}">
              <a16:creationId xmlns:a16="http://schemas.microsoft.com/office/drawing/2014/main" xmlns="" id="{00000000-0008-0000-0E00-000014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24</xdr:col>
      <xdr:colOff>107950</xdr:colOff>
      <xdr:row>4</xdr:row>
      <xdr:rowOff>66675</xdr:rowOff>
    </xdr:to>
    <xdr:sp macro="" textlink="">
      <xdr:nvSpPr>
        <xdr:cNvPr id="22" name="checksum">
          <a:extLst>
            <a:ext uri="{FF2B5EF4-FFF2-40B4-BE49-F238E27FC236}">
              <a16:creationId xmlns:a16="http://schemas.microsoft.com/office/drawing/2014/main" xmlns="" id="{00000000-0008-0000-0E00-000016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23</xdr:col>
      <xdr:colOff>412748</xdr:colOff>
      <xdr:row>4</xdr:row>
      <xdr:rowOff>114300</xdr:rowOff>
    </xdr:to>
    <xdr:sp macro="" textlink="">
      <xdr:nvSpPr>
        <xdr:cNvPr id="23" name="checksum">
          <a:extLst>
            <a:ext uri="{FF2B5EF4-FFF2-40B4-BE49-F238E27FC236}">
              <a16:creationId xmlns:a16="http://schemas.microsoft.com/office/drawing/2014/main" xmlns="" id="{00000000-0008-0000-0E00-000017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23</xdr:col>
      <xdr:colOff>431798</xdr:colOff>
      <xdr:row>4</xdr:row>
      <xdr:rowOff>114300</xdr:rowOff>
    </xdr:to>
    <xdr:sp macro="" textlink="">
      <xdr:nvSpPr>
        <xdr:cNvPr id="24" name="checksum">
          <a:extLst>
            <a:ext uri="{FF2B5EF4-FFF2-40B4-BE49-F238E27FC236}">
              <a16:creationId xmlns:a16="http://schemas.microsoft.com/office/drawing/2014/main" xmlns="" id="{00000000-0008-0000-0E00-000018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23</xdr:col>
      <xdr:colOff>374648</xdr:colOff>
      <xdr:row>4</xdr:row>
      <xdr:rowOff>114300</xdr:rowOff>
    </xdr:to>
    <xdr:sp macro="" textlink="">
      <xdr:nvSpPr>
        <xdr:cNvPr id="25" name="checksum">
          <a:extLst>
            <a:ext uri="{FF2B5EF4-FFF2-40B4-BE49-F238E27FC236}">
              <a16:creationId xmlns:a16="http://schemas.microsoft.com/office/drawing/2014/main" xmlns="" id="{00000000-0008-0000-0E00-000019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24</xdr:col>
      <xdr:colOff>107950</xdr:colOff>
      <xdr:row>4</xdr:row>
      <xdr:rowOff>66675</xdr:rowOff>
    </xdr:to>
    <xdr:sp macro="" textlink="">
      <xdr:nvSpPr>
        <xdr:cNvPr id="27" name="checksum">
          <a:extLst>
            <a:ext uri="{FF2B5EF4-FFF2-40B4-BE49-F238E27FC236}">
              <a16:creationId xmlns:a16="http://schemas.microsoft.com/office/drawing/2014/main" xmlns="" id="{00000000-0008-0000-0E00-00001B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23</xdr:col>
      <xdr:colOff>412748</xdr:colOff>
      <xdr:row>4</xdr:row>
      <xdr:rowOff>114300</xdr:rowOff>
    </xdr:to>
    <xdr:sp macro="" textlink="">
      <xdr:nvSpPr>
        <xdr:cNvPr id="28" name="checksum">
          <a:extLst>
            <a:ext uri="{FF2B5EF4-FFF2-40B4-BE49-F238E27FC236}">
              <a16:creationId xmlns:a16="http://schemas.microsoft.com/office/drawing/2014/main" xmlns="" id="{00000000-0008-0000-0E00-00001C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23</xdr:col>
      <xdr:colOff>431798</xdr:colOff>
      <xdr:row>4</xdr:row>
      <xdr:rowOff>114300</xdr:rowOff>
    </xdr:to>
    <xdr:sp macro="" textlink="">
      <xdr:nvSpPr>
        <xdr:cNvPr id="29" name="checksum">
          <a:extLst>
            <a:ext uri="{FF2B5EF4-FFF2-40B4-BE49-F238E27FC236}">
              <a16:creationId xmlns:a16="http://schemas.microsoft.com/office/drawing/2014/main" xmlns="" id="{00000000-0008-0000-0E00-00001D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23</xdr:col>
      <xdr:colOff>374648</xdr:colOff>
      <xdr:row>4</xdr:row>
      <xdr:rowOff>114300</xdr:rowOff>
    </xdr:to>
    <xdr:sp macro="" textlink="">
      <xdr:nvSpPr>
        <xdr:cNvPr id="30" name="checksum">
          <a:extLst>
            <a:ext uri="{FF2B5EF4-FFF2-40B4-BE49-F238E27FC236}">
              <a16:creationId xmlns:a16="http://schemas.microsoft.com/office/drawing/2014/main" xmlns="" id="{00000000-0008-0000-0E00-00001E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24</xdr:col>
      <xdr:colOff>107949</xdr:colOff>
      <xdr:row>4</xdr:row>
      <xdr:rowOff>66675</xdr:rowOff>
    </xdr:to>
    <xdr:sp macro="" textlink="">
      <xdr:nvSpPr>
        <xdr:cNvPr id="32" name="checksum">
          <a:extLst>
            <a:ext uri="{FF2B5EF4-FFF2-40B4-BE49-F238E27FC236}">
              <a16:creationId xmlns:a16="http://schemas.microsoft.com/office/drawing/2014/main" xmlns="" id="{00000000-0008-0000-0E00-000020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23</xdr:col>
      <xdr:colOff>412748</xdr:colOff>
      <xdr:row>4</xdr:row>
      <xdr:rowOff>114300</xdr:rowOff>
    </xdr:to>
    <xdr:sp macro="" textlink="">
      <xdr:nvSpPr>
        <xdr:cNvPr id="33" name="checksum">
          <a:extLst>
            <a:ext uri="{FF2B5EF4-FFF2-40B4-BE49-F238E27FC236}">
              <a16:creationId xmlns:a16="http://schemas.microsoft.com/office/drawing/2014/main" xmlns="" id="{00000000-0008-0000-0E00-000021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23</xdr:col>
      <xdr:colOff>431798</xdr:colOff>
      <xdr:row>4</xdr:row>
      <xdr:rowOff>114300</xdr:rowOff>
    </xdr:to>
    <xdr:sp macro="" textlink="">
      <xdr:nvSpPr>
        <xdr:cNvPr id="34" name="checksum">
          <a:extLst>
            <a:ext uri="{FF2B5EF4-FFF2-40B4-BE49-F238E27FC236}">
              <a16:creationId xmlns:a16="http://schemas.microsoft.com/office/drawing/2014/main" xmlns="" id="{00000000-0008-0000-0E00-000022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23</xdr:col>
      <xdr:colOff>374648</xdr:colOff>
      <xdr:row>4</xdr:row>
      <xdr:rowOff>114300</xdr:rowOff>
    </xdr:to>
    <xdr:sp macro="" textlink="">
      <xdr:nvSpPr>
        <xdr:cNvPr id="35" name="checksum">
          <a:extLst>
            <a:ext uri="{FF2B5EF4-FFF2-40B4-BE49-F238E27FC236}">
              <a16:creationId xmlns:a16="http://schemas.microsoft.com/office/drawing/2014/main" xmlns="" id="{00000000-0008-0000-0E00-000023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24</xdr:col>
      <xdr:colOff>107949</xdr:colOff>
      <xdr:row>4</xdr:row>
      <xdr:rowOff>66675</xdr:rowOff>
    </xdr:to>
    <xdr:sp macro="" textlink="">
      <xdr:nvSpPr>
        <xdr:cNvPr id="37" name="checksum">
          <a:extLst>
            <a:ext uri="{FF2B5EF4-FFF2-40B4-BE49-F238E27FC236}">
              <a16:creationId xmlns:a16="http://schemas.microsoft.com/office/drawing/2014/main" xmlns="" id="{00000000-0008-0000-0E00-000025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23</xdr:col>
      <xdr:colOff>412748</xdr:colOff>
      <xdr:row>4</xdr:row>
      <xdr:rowOff>114300</xdr:rowOff>
    </xdr:to>
    <xdr:sp macro="" textlink="">
      <xdr:nvSpPr>
        <xdr:cNvPr id="38" name="checksum">
          <a:extLst>
            <a:ext uri="{FF2B5EF4-FFF2-40B4-BE49-F238E27FC236}">
              <a16:creationId xmlns:a16="http://schemas.microsoft.com/office/drawing/2014/main" xmlns="" id="{00000000-0008-0000-0E00-000026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23</xdr:col>
      <xdr:colOff>431798</xdr:colOff>
      <xdr:row>4</xdr:row>
      <xdr:rowOff>114300</xdr:rowOff>
    </xdr:to>
    <xdr:sp macro="" textlink="">
      <xdr:nvSpPr>
        <xdr:cNvPr id="39" name="checksum">
          <a:extLst>
            <a:ext uri="{FF2B5EF4-FFF2-40B4-BE49-F238E27FC236}">
              <a16:creationId xmlns:a16="http://schemas.microsoft.com/office/drawing/2014/main" xmlns="" id="{00000000-0008-0000-0E00-000027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23</xdr:col>
      <xdr:colOff>374648</xdr:colOff>
      <xdr:row>4</xdr:row>
      <xdr:rowOff>114300</xdr:rowOff>
    </xdr:to>
    <xdr:sp macro="" textlink="">
      <xdr:nvSpPr>
        <xdr:cNvPr id="40" name="checksum">
          <a:extLst>
            <a:ext uri="{FF2B5EF4-FFF2-40B4-BE49-F238E27FC236}">
              <a16:creationId xmlns:a16="http://schemas.microsoft.com/office/drawing/2014/main" xmlns="" id="{00000000-0008-0000-0E00-000028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24</xdr:col>
      <xdr:colOff>107950</xdr:colOff>
      <xdr:row>4</xdr:row>
      <xdr:rowOff>66675</xdr:rowOff>
    </xdr:to>
    <xdr:sp macro="" textlink="">
      <xdr:nvSpPr>
        <xdr:cNvPr id="42" name="checksum">
          <a:extLst>
            <a:ext uri="{FF2B5EF4-FFF2-40B4-BE49-F238E27FC236}">
              <a16:creationId xmlns:a16="http://schemas.microsoft.com/office/drawing/2014/main" xmlns="" id="{00000000-0008-0000-0E00-00002A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23</xdr:col>
      <xdr:colOff>412749</xdr:colOff>
      <xdr:row>4</xdr:row>
      <xdr:rowOff>114300</xdr:rowOff>
    </xdr:to>
    <xdr:sp macro="" textlink="">
      <xdr:nvSpPr>
        <xdr:cNvPr id="43" name="checksum">
          <a:extLst>
            <a:ext uri="{FF2B5EF4-FFF2-40B4-BE49-F238E27FC236}">
              <a16:creationId xmlns:a16="http://schemas.microsoft.com/office/drawing/2014/main" xmlns="" id="{00000000-0008-0000-0E00-00002B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23</xdr:col>
      <xdr:colOff>431799</xdr:colOff>
      <xdr:row>4</xdr:row>
      <xdr:rowOff>114300</xdr:rowOff>
    </xdr:to>
    <xdr:sp macro="" textlink="">
      <xdr:nvSpPr>
        <xdr:cNvPr id="44" name="checksum">
          <a:extLst>
            <a:ext uri="{FF2B5EF4-FFF2-40B4-BE49-F238E27FC236}">
              <a16:creationId xmlns:a16="http://schemas.microsoft.com/office/drawing/2014/main" xmlns="" id="{00000000-0008-0000-0E00-00002C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23</xdr:col>
      <xdr:colOff>374649</xdr:colOff>
      <xdr:row>4</xdr:row>
      <xdr:rowOff>114300</xdr:rowOff>
    </xdr:to>
    <xdr:sp macro="" textlink="">
      <xdr:nvSpPr>
        <xdr:cNvPr id="45" name="checksum">
          <a:extLst>
            <a:ext uri="{FF2B5EF4-FFF2-40B4-BE49-F238E27FC236}">
              <a16:creationId xmlns:a16="http://schemas.microsoft.com/office/drawing/2014/main" xmlns="" id="{00000000-0008-0000-0E00-00002D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24</xdr:col>
      <xdr:colOff>107950</xdr:colOff>
      <xdr:row>4</xdr:row>
      <xdr:rowOff>66675</xdr:rowOff>
    </xdr:to>
    <xdr:sp macro="" textlink="">
      <xdr:nvSpPr>
        <xdr:cNvPr id="47" name="checksum">
          <a:extLst>
            <a:ext uri="{FF2B5EF4-FFF2-40B4-BE49-F238E27FC236}">
              <a16:creationId xmlns:a16="http://schemas.microsoft.com/office/drawing/2014/main" xmlns="" id="{00000000-0008-0000-0E00-00002F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23</xdr:col>
      <xdr:colOff>412749</xdr:colOff>
      <xdr:row>4</xdr:row>
      <xdr:rowOff>114300</xdr:rowOff>
    </xdr:to>
    <xdr:sp macro="" textlink="">
      <xdr:nvSpPr>
        <xdr:cNvPr id="48" name="checksum">
          <a:extLst>
            <a:ext uri="{FF2B5EF4-FFF2-40B4-BE49-F238E27FC236}">
              <a16:creationId xmlns:a16="http://schemas.microsoft.com/office/drawing/2014/main" xmlns="" id="{00000000-0008-0000-0E00-000030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23</xdr:col>
      <xdr:colOff>431799</xdr:colOff>
      <xdr:row>4</xdr:row>
      <xdr:rowOff>114300</xdr:rowOff>
    </xdr:to>
    <xdr:sp macro="" textlink="">
      <xdr:nvSpPr>
        <xdr:cNvPr id="49" name="checksum">
          <a:extLst>
            <a:ext uri="{FF2B5EF4-FFF2-40B4-BE49-F238E27FC236}">
              <a16:creationId xmlns:a16="http://schemas.microsoft.com/office/drawing/2014/main" xmlns="" id="{00000000-0008-0000-0E00-000031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23</xdr:col>
      <xdr:colOff>374649</xdr:colOff>
      <xdr:row>4</xdr:row>
      <xdr:rowOff>114300</xdr:rowOff>
    </xdr:to>
    <xdr:sp macro="" textlink="">
      <xdr:nvSpPr>
        <xdr:cNvPr id="50" name="checksum">
          <a:extLst>
            <a:ext uri="{FF2B5EF4-FFF2-40B4-BE49-F238E27FC236}">
              <a16:creationId xmlns:a16="http://schemas.microsoft.com/office/drawing/2014/main" xmlns="" id="{00000000-0008-0000-0E00-000032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24</xdr:col>
      <xdr:colOff>107950</xdr:colOff>
      <xdr:row>4</xdr:row>
      <xdr:rowOff>66675</xdr:rowOff>
    </xdr:to>
    <xdr:sp macro="" textlink="">
      <xdr:nvSpPr>
        <xdr:cNvPr id="52" name="checksum">
          <a:extLst>
            <a:ext uri="{FF2B5EF4-FFF2-40B4-BE49-F238E27FC236}">
              <a16:creationId xmlns:a16="http://schemas.microsoft.com/office/drawing/2014/main" xmlns="" id="{00000000-0008-0000-0E00-000034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23</xdr:col>
      <xdr:colOff>412749</xdr:colOff>
      <xdr:row>4</xdr:row>
      <xdr:rowOff>114300</xdr:rowOff>
    </xdr:to>
    <xdr:sp macro="" textlink="">
      <xdr:nvSpPr>
        <xdr:cNvPr id="53" name="checksum">
          <a:extLst>
            <a:ext uri="{FF2B5EF4-FFF2-40B4-BE49-F238E27FC236}">
              <a16:creationId xmlns:a16="http://schemas.microsoft.com/office/drawing/2014/main" xmlns="" id="{00000000-0008-0000-0E00-000035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23</xdr:col>
      <xdr:colOff>431799</xdr:colOff>
      <xdr:row>4</xdr:row>
      <xdr:rowOff>114300</xdr:rowOff>
    </xdr:to>
    <xdr:sp macro="" textlink="">
      <xdr:nvSpPr>
        <xdr:cNvPr id="54" name="checksum">
          <a:extLst>
            <a:ext uri="{FF2B5EF4-FFF2-40B4-BE49-F238E27FC236}">
              <a16:creationId xmlns:a16="http://schemas.microsoft.com/office/drawing/2014/main" xmlns="" id="{00000000-0008-0000-0E00-000036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23</xdr:col>
      <xdr:colOff>374649</xdr:colOff>
      <xdr:row>4</xdr:row>
      <xdr:rowOff>114300</xdr:rowOff>
    </xdr:to>
    <xdr:sp macro="" textlink="">
      <xdr:nvSpPr>
        <xdr:cNvPr id="55" name="checksum">
          <a:extLst>
            <a:ext uri="{FF2B5EF4-FFF2-40B4-BE49-F238E27FC236}">
              <a16:creationId xmlns:a16="http://schemas.microsoft.com/office/drawing/2014/main" xmlns="" id="{00000000-0008-0000-0E00-000037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24</xdr:col>
      <xdr:colOff>107950</xdr:colOff>
      <xdr:row>4</xdr:row>
      <xdr:rowOff>66675</xdr:rowOff>
    </xdr:to>
    <xdr:sp macro="" textlink="">
      <xdr:nvSpPr>
        <xdr:cNvPr id="57" name="checksum">
          <a:extLst>
            <a:ext uri="{FF2B5EF4-FFF2-40B4-BE49-F238E27FC236}">
              <a16:creationId xmlns:a16="http://schemas.microsoft.com/office/drawing/2014/main" xmlns="" id="{00000000-0008-0000-0E00-000039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23</xdr:col>
      <xdr:colOff>412749</xdr:colOff>
      <xdr:row>4</xdr:row>
      <xdr:rowOff>114300</xdr:rowOff>
    </xdr:to>
    <xdr:sp macro="" textlink="">
      <xdr:nvSpPr>
        <xdr:cNvPr id="58" name="checksum">
          <a:extLst>
            <a:ext uri="{FF2B5EF4-FFF2-40B4-BE49-F238E27FC236}">
              <a16:creationId xmlns:a16="http://schemas.microsoft.com/office/drawing/2014/main" xmlns="" id="{00000000-0008-0000-0E00-00003A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23</xdr:col>
      <xdr:colOff>431799</xdr:colOff>
      <xdr:row>4</xdr:row>
      <xdr:rowOff>114300</xdr:rowOff>
    </xdr:to>
    <xdr:sp macro="" textlink="">
      <xdr:nvSpPr>
        <xdr:cNvPr id="59" name="checksum">
          <a:extLst>
            <a:ext uri="{FF2B5EF4-FFF2-40B4-BE49-F238E27FC236}">
              <a16:creationId xmlns:a16="http://schemas.microsoft.com/office/drawing/2014/main" xmlns="" id="{00000000-0008-0000-0E00-00003B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23</xdr:col>
      <xdr:colOff>374649</xdr:colOff>
      <xdr:row>4</xdr:row>
      <xdr:rowOff>114300</xdr:rowOff>
    </xdr:to>
    <xdr:sp macro="" textlink="">
      <xdr:nvSpPr>
        <xdr:cNvPr id="60" name="checksum">
          <a:extLst>
            <a:ext uri="{FF2B5EF4-FFF2-40B4-BE49-F238E27FC236}">
              <a16:creationId xmlns:a16="http://schemas.microsoft.com/office/drawing/2014/main" xmlns="" id="{00000000-0008-0000-0E00-00003C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25</xdr:col>
      <xdr:colOff>0</xdr:colOff>
      <xdr:row>2</xdr:row>
      <xdr:rowOff>28575</xdr:rowOff>
    </xdr:from>
    <xdr:to>
      <xdr:col>31</xdr:col>
      <xdr:colOff>107953</xdr:colOff>
      <xdr:row>4</xdr:row>
      <xdr:rowOff>66675</xdr:rowOff>
    </xdr:to>
    <xdr:sp macro="" textlink="">
      <xdr:nvSpPr>
        <xdr:cNvPr id="62" name="checksum">
          <a:extLst>
            <a:ext uri="{FF2B5EF4-FFF2-40B4-BE49-F238E27FC236}">
              <a16:creationId xmlns:a16="http://schemas.microsoft.com/office/drawing/2014/main" xmlns="" id="{00000000-0008-0000-0E00-00003E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25</xdr:col>
      <xdr:colOff>0</xdr:colOff>
      <xdr:row>2</xdr:row>
      <xdr:rowOff>285750</xdr:rowOff>
    </xdr:from>
    <xdr:to>
      <xdr:col>30</xdr:col>
      <xdr:colOff>412750</xdr:colOff>
      <xdr:row>4</xdr:row>
      <xdr:rowOff>114300</xdr:rowOff>
    </xdr:to>
    <xdr:sp macro="" textlink="">
      <xdr:nvSpPr>
        <xdr:cNvPr id="63" name="checksum">
          <a:extLst>
            <a:ext uri="{FF2B5EF4-FFF2-40B4-BE49-F238E27FC236}">
              <a16:creationId xmlns:a16="http://schemas.microsoft.com/office/drawing/2014/main" xmlns="" id="{00000000-0008-0000-0E00-00003F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25</xdr:col>
      <xdr:colOff>0</xdr:colOff>
      <xdr:row>2</xdr:row>
      <xdr:rowOff>285750</xdr:rowOff>
    </xdr:from>
    <xdr:to>
      <xdr:col>30</xdr:col>
      <xdr:colOff>431800</xdr:colOff>
      <xdr:row>4</xdr:row>
      <xdr:rowOff>114300</xdr:rowOff>
    </xdr:to>
    <xdr:sp macro="" textlink="">
      <xdr:nvSpPr>
        <xdr:cNvPr id="64" name="checksum">
          <a:extLst>
            <a:ext uri="{FF2B5EF4-FFF2-40B4-BE49-F238E27FC236}">
              <a16:creationId xmlns:a16="http://schemas.microsoft.com/office/drawing/2014/main" xmlns="" id="{00000000-0008-0000-0E00-000040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25</xdr:col>
      <xdr:colOff>0</xdr:colOff>
      <xdr:row>2</xdr:row>
      <xdr:rowOff>276225</xdr:rowOff>
    </xdr:from>
    <xdr:to>
      <xdr:col>30</xdr:col>
      <xdr:colOff>374650</xdr:colOff>
      <xdr:row>4</xdr:row>
      <xdr:rowOff>114300</xdr:rowOff>
    </xdr:to>
    <xdr:sp macro="" textlink="">
      <xdr:nvSpPr>
        <xdr:cNvPr id="65" name="checksum">
          <a:extLst>
            <a:ext uri="{FF2B5EF4-FFF2-40B4-BE49-F238E27FC236}">
              <a16:creationId xmlns:a16="http://schemas.microsoft.com/office/drawing/2014/main" xmlns="" id="{00000000-0008-0000-0E00-000041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19</xdr:col>
      <xdr:colOff>0</xdr:colOff>
      <xdr:row>2</xdr:row>
      <xdr:rowOff>0</xdr:rowOff>
    </xdr:from>
    <xdr:to>
      <xdr:col>19</xdr:col>
      <xdr:colOff>0</xdr:colOff>
      <xdr:row>4</xdr:row>
      <xdr:rowOff>363906</xdr:rowOff>
    </xdr:to>
    <xdr:sp macro="" textlink="">
      <xdr:nvSpPr>
        <xdr:cNvPr id="66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E00-000042000000}"/>
            </a:ext>
          </a:extLst>
        </xdr:cNvPr>
        <xdr:cNvSpPr txBox="1">
          <a:spLocks noChangeArrowheads="1"/>
        </xdr:cNvSpPr>
      </xdr:nvSpPr>
      <xdr:spPr bwMode="auto">
        <a:xfrm>
          <a:off x="4457700" y="438150"/>
          <a:ext cx="0" cy="93540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 editAs="oneCell">
    <xdr:from>
      <xdr:col>25</xdr:col>
      <xdr:colOff>0</xdr:colOff>
      <xdr:row>2</xdr:row>
      <xdr:rowOff>28575</xdr:rowOff>
    </xdr:from>
    <xdr:to>
      <xdr:col>31</xdr:col>
      <xdr:colOff>107953</xdr:colOff>
      <xdr:row>4</xdr:row>
      <xdr:rowOff>66675</xdr:rowOff>
    </xdr:to>
    <xdr:sp macro="" textlink="">
      <xdr:nvSpPr>
        <xdr:cNvPr id="67" name="checksum">
          <a:extLst>
            <a:ext uri="{FF2B5EF4-FFF2-40B4-BE49-F238E27FC236}">
              <a16:creationId xmlns:a16="http://schemas.microsoft.com/office/drawing/2014/main" xmlns="" id="{00000000-0008-0000-0E00-000043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25</xdr:col>
      <xdr:colOff>0</xdr:colOff>
      <xdr:row>2</xdr:row>
      <xdr:rowOff>285750</xdr:rowOff>
    </xdr:from>
    <xdr:to>
      <xdr:col>30</xdr:col>
      <xdr:colOff>412750</xdr:colOff>
      <xdr:row>4</xdr:row>
      <xdr:rowOff>114300</xdr:rowOff>
    </xdr:to>
    <xdr:sp macro="" textlink="">
      <xdr:nvSpPr>
        <xdr:cNvPr id="68" name="checksum">
          <a:extLst>
            <a:ext uri="{FF2B5EF4-FFF2-40B4-BE49-F238E27FC236}">
              <a16:creationId xmlns:a16="http://schemas.microsoft.com/office/drawing/2014/main" xmlns="" id="{00000000-0008-0000-0E00-000044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25</xdr:col>
      <xdr:colOff>0</xdr:colOff>
      <xdr:row>2</xdr:row>
      <xdr:rowOff>285750</xdr:rowOff>
    </xdr:from>
    <xdr:to>
      <xdr:col>30</xdr:col>
      <xdr:colOff>431800</xdr:colOff>
      <xdr:row>4</xdr:row>
      <xdr:rowOff>114300</xdr:rowOff>
    </xdr:to>
    <xdr:sp macro="" textlink="">
      <xdr:nvSpPr>
        <xdr:cNvPr id="69" name="checksum">
          <a:extLst>
            <a:ext uri="{FF2B5EF4-FFF2-40B4-BE49-F238E27FC236}">
              <a16:creationId xmlns:a16="http://schemas.microsoft.com/office/drawing/2014/main" xmlns="" id="{00000000-0008-0000-0E00-000045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25</xdr:col>
      <xdr:colOff>0</xdr:colOff>
      <xdr:row>2</xdr:row>
      <xdr:rowOff>276225</xdr:rowOff>
    </xdr:from>
    <xdr:to>
      <xdr:col>30</xdr:col>
      <xdr:colOff>374650</xdr:colOff>
      <xdr:row>4</xdr:row>
      <xdr:rowOff>114300</xdr:rowOff>
    </xdr:to>
    <xdr:sp macro="" textlink="">
      <xdr:nvSpPr>
        <xdr:cNvPr id="70" name="checksum">
          <a:extLst>
            <a:ext uri="{FF2B5EF4-FFF2-40B4-BE49-F238E27FC236}">
              <a16:creationId xmlns:a16="http://schemas.microsoft.com/office/drawing/2014/main" xmlns="" id="{00000000-0008-0000-0E00-000046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19</xdr:col>
      <xdr:colOff>0</xdr:colOff>
      <xdr:row>2</xdr:row>
      <xdr:rowOff>0</xdr:rowOff>
    </xdr:from>
    <xdr:to>
      <xdr:col>19</xdr:col>
      <xdr:colOff>0</xdr:colOff>
      <xdr:row>5</xdr:row>
      <xdr:rowOff>361950</xdr:rowOff>
    </xdr:to>
    <xdr:sp macro="" textlink="">
      <xdr:nvSpPr>
        <xdr:cNvPr id="71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E00-000047000000}"/>
            </a:ext>
          </a:extLst>
        </xdr:cNvPr>
        <xdr:cNvSpPr txBox="1">
          <a:spLocks noChangeArrowheads="1"/>
        </xdr:cNvSpPr>
      </xdr:nvSpPr>
      <xdr:spPr bwMode="auto">
        <a:xfrm>
          <a:off x="4457700" y="438150"/>
          <a:ext cx="0" cy="1171575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 editAs="oneCell">
    <xdr:from>
      <xdr:col>34</xdr:col>
      <xdr:colOff>0</xdr:colOff>
      <xdr:row>2</xdr:row>
      <xdr:rowOff>28575</xdr:rowOff>
    </xdr:from>
    <xdr:to>
      <xdr:col>40</xdr:col>
      <xdr:colOff>315768</xdr:colOff>
      <xdr:row>4</xdr:row>
      <xdr:rowOff>66675</xdr:rowOff>
    </xdr:to>
    <xdr:sp macro="" textlink="">
      <xdr:nvSpPr>
        <xdr:cNvPr id="72" name="checksum">
          <a:extLst>
            <a:ext uri="{FF2B5EF4-FFF2-40B4-BE49-F238E27FC236}">
              <a16:creationId xmlns:a16="http://schemas.microsoft.com/office/drawing/2014/main" xmlns="" id="{00000000-0008-0000-0E00-000048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285750</xdr:rowOff>
    </xdr:from>
    <xdr:to>
      <xdr:col>39</xdr:col>
      <xdr:colOff>592116</xdr:colOff>
      <xdr:row>4</xdr:row>
      <xdr:rowOff>114300</xdr:rowOff>
    </xdr:to>
    <xdr:sp macro="" textlink="">
      <xdr:nvSpPr>
        <xdr:cNvPr id="73" name="checksum">
          <a:extLst>
            <a:ext uri="{FF2B5EF4-FFF2-40B4-BE49-F238E27FC236}">
              <a16:creationId xmlns:a16="http://schemas.microsoft.com/office/drawing/2014/main" xmlns="" id="{00000000-0008-0000-0E00-000049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285750</xdr:rowOff>
    </xdr:from>
    <xdr:to>
      <xdr:col>39</xdr:col>
      <xdr:colOff>611166</xdr:colOff>
      <xdr:row>4</xdr:row>
      <xdr:rowOff>114300</xdr:rowOff>
    </xdr:to>
    <xdr:sp macro="" textlink="">
      <xdr:nvSpPr>
        <xdr:cNvPr id="74" name="checksum">
          <a:extLst>
            <a:ext uri="{FF2B5EF4-FFF2-40B4-BE49-F238E27FC236}">
              <a16:creationId xmlns:a16="http://schemas.microsoft.com/office/drawing/2014/main" xmlns="" id="{00000000-0008-0000-0E00-00004A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276225</xdr:rowOff>
    </xdr:from>
    <xdr:to>
      <xdr:col>39</xdr:col>
      <xdr:colOff>554016</xdr:colOff>
      <xdr:row>4</xdr:row>
      <xdr:rowOff>114300</xdr:rowOff>
    </xdr:to>
    <xdr:sp macro="" textlink="">
      <xdr:nvSpPr>
        <xdr:cNvPr id="75" name="checksum">
          <a:extLst>
            <a:ext uri="{FF2B5EF4-FFF2-40B4-BE49-F238E27FC236}">
              <a16:creationId xmlns:a16="http://schemas.microsoft.com/office/drawing/2014/main" xmlns="" id="{00000000-0008-0000-0E00-00004B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</xdr:rowOff>
    </xdr:from>
    <xdr:to>
      <xdr:col>40</xdr:col>
      <xdr:colOff>315768</xdr:colOff>
      <xdr:row>4</xdr:row>
      <xdr:rowOff>66675</xdr:rowOff>
    </xdr:to>
    <xdr:sp macro="" textlink="">
      <xdr:nvSpPr>
        <xdr:cNvPr id="77" name="checksum">
          <a:extLst>
            <a:ext uri="{FF2B5EF4-FFF2-40B4-BE49-F238E27FC236}">
              <a16:creationId xmlns:a16="http://schemas.microsoft.com/office/drawing/2014/main" xmlns="" id="{00000000-0008-0000-0E00-00004D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285750</xdr:rowOff>
    </xdr:from>
    <xdr:to>
      <xdr:col>39</xdr:col>
      <xdr:colOff>592116</xdr:colOff>
      <xdr:row>4</xdr:row>
      <xdr:rowOff>114300</xdr:rowOff>
    </xdr:to>
    <xdr:sp macro="" textlink="">
      <xdr:nvSpPr>
        <xdr:cNvPr id="78" name="checksum">
          <a:extLst>
            <a:ext uri="{FF2B5EF4-FFF2-40B4-BE49-F238E27FC236}">
              <a16:creationId xmlns:a16="http://schemas.microsoft.com/office/drawing/2014/main" xmlns="" id="{00000000-0008-0000-0E00-00004E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285750</xdr:rowOff>
    </xdr:from>
    <xdr:to>
      <xdr:col>39</xdr:col>
      <xdr:colOff>611166</xdr:colOff>
      <xdr:row>4</xdr:row>
      <xdr:rowOff>114300</xdr:rowOff>
    </xdr:to>
    <xdr:sp macro="" textlink="">
      <xdr:nvSpPr>
        <xdr:cNvPr id="79" name="checksum">
          <a:extLst>
            <a:ext uri="{FF2B5EF4-FFF2-40B4-BE49-F238E27FC236}">
              <a16:creationId xmlns:a16="http://schemas.microsoft.com/office/drawing/2014/main" xmlns="" id="{00000000-0008-0000-0E00-00004F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276225</xdr:rowOff>
    </xdr:from>
    <xdr:to>
      <xdr:col>39</xdr:col>
      <xdr:colOff>554016</xdr:colOff>
      <xdr:row>4</xdr:row>
      <xdr:rowOff>114300</xdr:rowOff>
    </xdr:to>
    <xdr:sp macro="" textlink="">
      <xdr:nvSpPr>
        <xdr:cNvPr id="80" name="checksum">
          <a:extLst>
            <a:ext uri="{FF2B5EF4-FFF2-40B4-BE49-F238E27FC236}">
              <a16:creationId xmlns:a16="http://schemas.microsoft.com/office/drawing/2014/main" xmlns="" id="{00000000-0008-0000-0E00-000050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</xdr:rowOff>
    </xdr:from>
    <xdr:to>
      <xdr:col>40</xdr:col>
      <xdr:colOff>315768</xdr:colOff>
      <xdr:row>4</xdr:row>
      <xdr:rowOff>66675</xdr:rowOff>
    </xdr:to>
    <xdr:sp macro="" textlink="">
      <xdr:nvSpPr>
        <xdr:cNvPr id="82" name="checksum">
          <a:extLst>
            <a:ext uri="{FF2B5EF4-FFF2-40B4-BE49-F238E27FC236}">
              <a16:creationId xmlns:a16="http://schemas.microsoft.com/office/drawing/2014/main" xmlns="" id="{00000000-0008-0000-0E00-000052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285750</xdr:rowOff>
    </xdr:from>
    <xdr:to>
      <xdr:col>39</xdr:col>
      <xdr:colOff>592116</xdr:colOff>
      <xdr:row>4</xdr:row>
      <xdr:rowOff>114300</xdr:rowOff>
    </xdr:to>
    <xdr:sp macro="" textlink="">
      <xdr:nvSpPr>
        <xdr:cNvPr id="83" name="checksum">
          <a:extLst>
            <a:ext uri="{FF2B5EF4-FFF2-40B4-BE49-F238E27FC236}">
              <a16:creationId xmlns:a16="http://schemas.microsoft.com/office/drawing/2014/main" xmlns="" id="{00000000-0008-0000-0E00-000053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285750</xdr:rowOff>
    </xdr:from>
    <xdr:to>
      <xdr:col>39</xdr:col>
      <xdr:colOff>611166</xdr:colOff>
      <xdr:row>4</xdr:row>
      <xdr:rowOff>114300</xdr:rowOff>
    </xdr:to>
    <xdr:sp macro="" textlink="">
      <xdr:nvSpPr>
        <xdr:cNvPr id="84" name="checksum">
          <a:extLst>
            <a:ext uri="{FF2B5EF4-FFF2-40B4-BE49-F238E27FC236}">
              <a16:creationId xmlns:a16="http://schemas.microsoft.com/office/drawing/2014/main" xmlns="" id="{00000000-0008-0000-0E00-000054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276225</xdr:rowOff>
    </xdr:from>
    <xdr:to>
      <xdr:col>39</xdr:col>
      <xdr:colOff>554016</xdr:colOff>
      <xdr:row>4</xdr:row>
      <xdr:rowOff>114300</xdr:rowOff>
    </xdr:to>
    <xdr:sp macro="" textlink="">
      <xdr:nvSpPr>
        <xdr:cNvPr id="85" name="checksum">
          <a:extLst>
            <a:ext uri="{FF2B5EF4-FFF2-40B4-BE49-F238E27FC236}">
              <a16:creationId xmlns:a16="http://schemas.microsoft.com/office/drawing/2014/main" xmlns="" id="{00000000-0008-0000-0E00-000055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</xdr:rowOff>
    </xdr:from>
    <xdr:to>
      <xdr:col>40</xdr:col>
      <xdr:colOff>315768</xdr:colOff>
      <xdr:row>4</xdr:row>
      <xdr:rowOff>66675</xdr:rowOff>
    </xdr:to>
    <xdr:sp macro="" textlink="">
      <xdr:nvSpPr>
        <xdr:cNvPr id="87" name="checksum">
          <a:extLst>
            <a:ext uri="{FF2B5EF4-FFF2-40B4-BE49-F238E27FC236}">
              <a16:creationId xmlns:a16="http://schemas.microsoft.com/office/drawing/2014/main" xmlns="" id="{00000000-0008-0000-0E00-000057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285750</xdr:rowOff>
    </xdr:from>
    <xdr:to>
      <xdr:col>39</xdr:col>
      <xdr:colOff>592116</xdr:colOff>
      <xdr:row>4</xdr:row>
      <xdr:rowOff>114300</xdr:rowOff>
    </xdr:to>
    <xdr:sp macro="" textlink="">
      <xdr:nvSpPr>
        <xdr:cNvPr id="88" name="checksum">
          <a:extLst>
            <a:ext uri="{FF2B5EF4-FFF2-40B4-BE49-F238E27FC236}">
              <a16:creationId xmlns:a16="http://schemas.microsoft.com/office/drawing/2014/main" xmlns="" id="{00000000-0008-0000-0E00-000058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285750</xdr:rowOff>
    </xdr:from>
    <xdr:to>
      <xdr:col>39</xdr:col>
      <xdr:colOff>611166</xdr:colOff>
      <xdr:row>4</xdr:row>
      <xdr:rowOff>114300</xdr:rowOff>
    </xdr:to>
    <xdr:sp macro="" textlink="">
      <xdr:nvSpPr>
        <xdr:cNvPr id="89" name="checksum">
          <a:extLst>
            <a:ext uri="{FF2B5EF4-FFF2-40B4-BE49-F238E27FC236}">
              <a16:creationId xmlns:a16="http://schemas.microsoft.com/office/drawing/2014/main" xmlns="" id="{00000000-0008-0000-0E00-000059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276225</xdr:rowOff>
    </xdr:from>
    <xdr:to>
      <xdr:col>39</xdr:col>
      <xdr:colOff>554016</xdr:colOff>
      <xdr:row>4</xdr:row>
      <xdr:rowOff>114300</xdr:rowOff>
    </xdr:to>
    <xdr:sp macro="" textlink="">
      <xdr:nvSpPr>
        <xdr:cNvPr id="90" name="checksum">
          <a:extLst>
            <a:ext uri="{FF2B5EF4-FFF2-40B4-BE49-F238E27FC236}">
              <a16:creationId xmlns:a16="http://schemas.microsoft.com/office/drawing/2014/main" xmlns="" id="{00000000-0008-0000-0E00-00005A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</xdr:rowOff>
    </xdr:from>
    <xdr:to>
      <xdr:col>40</xdr:col>
      <xdr:colOff>336549</xdr:colOff>
      <xdr:row>4</xdr:row>
      <xdr:rowOff>66675</xdr:rowOff>
    </xdr:to>
    <xdr:sp macro="" textlink="">
      <xdr:nvSpPr>
        <xdr:cNvPr id="92" name="checksum">
          <a:extLst>
            <a:ext uri="{FF2B5EF4-FFF2-40B4-BE49-F238E27FC236}">
              <a16:creationId xmlns:a16="http://schemas.microsoft.com/office/drawing/2014/main" xmlns="" id="{00000000-0008-0000-0E00-00005C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285750</xdr:rowOff>
    </xdr:from>
    <xdr:to>
      <xdr:col>39</xdr:col>
      <xdr:colOff>605970</xdr:colOff>
      <xdr:row>4</xdr:row>
      <xdr:rowOff>114300</xdr:rowOff>
    </xdr:to>
    <xdr:sp macro="" textlink="">
      <xdr:nvSpPr>
        <xdr:cNvPr id="93" name="checksum">
          <a:extLst>
            <a:ext uri="{FF2B5EF4-FFF2-40B4-BE49-F238E27FC236}">
              <a16:creationId xmlns:a16="http://schemas.microsoft.com/office/drawing/2014/main" xmlns="" id="{00000000-0008-0000-0E00-00005D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285750</xdr:rowOff>
    </xdr:from>
    <xdr:to>
      <xdr:col>39</xdr:col>
      <xdr:colOff>625020</xdr:colOff>
      <xdr:row>4</xdr:row>
      <xdr:rowOff>114300</xdr:rowOff>
    </xdr:to>
    <xdr:sp macro="" textlink="">
      <xdr:nvSpPr>
        <xdr:cNvPr id="94" name="checksum">
          <a:extLst>
            <a:ext uri="{FF2B5EF4-FFF2-40B4-BE49-F238E27FC236}">
              <a16:creationId xmlns:a16="http://schemas.microsoft.com/office/drawing/2014/main" xmlns="" id="{00000000-0008-0000-0E00-00005E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276225</xdr:rowOff>
    </xdr:from>
    <xdr:to>
      <xdr:col>39</xdr:col>
      <xdr:colOff>567870</xdr:colOff>
      <xdr:row>4</xdr:row>
      <xdr:rowOff>114300</xdr:rowOff>
    </xdr:to>
    <xdr:sp macro="" textlink="">
      <xdr:nvSpPr>
        <xdr:cNvPr id="95" name="checksum">
          <a:extLst>
            <a:ext uri="{FF2B5EF4-FFF2-40B4-BE49-F238E27FC236}">
              <a16:creationId xmlns:a16="http://schemas.microsoft.com/office/drawing/2014/main" xmlns="" id="{00000000-0008-0000-0E00-00005F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</xdr:rowOff>
    </xdr:from>
    <xdr:to>
      <xdr:col>40</xdr:col>
      <xdr:colOff>336549</xdr:colOff>
      <xdr:row>4</xdr:row>
      <xdr:rowOff>66675</xdr:rowOff>
    </xdr:to>
    <xdr:sp macro="" textlink="">
      <xdr:nvSpPr>
        <xdr:cNvPr id="97" name="checksum">
          <a:extLst>
            <a:ext uri="{FF2B5EF4-FFF2-40B4-BE49-F238E27FC236}">
              <a16:creationId xmlns:a16="http://schemas.microsoft.com/office/drawing/2014/main" xmlns="" id="{00000000-0008-0000-0E00-000061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285750</xdr:rowOff>
    </xdr:from>
    <xdr:to>
      <xdr:col>39</xdr:col>
      <xdr:colOff>605970</xdr:colOff>
      <xdr:row>4</xdr:row>
      <xdr:rowOff>114300</xdr:rowOff>
    </xdr:to>
    <xdr:sp macro="" textlink="">
      <xdr:nvSpPr>
        <xdr:cNvPr id="98" name="checksum">
          <a:extLst>
            <a:ext uri="{FF2B5EF4-FFF2-40B4-BE49-F238E27FC236}">
              <a16:creationId xmlns:a16="http://schemas.microsoft.com/office/drawing/2014/main" xmlns="" id="{00000000-0008-0000-0E00-000062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285750</xdr:rowOff>
    </xdr:from>
    <xdr:to>
      <xdr:col>39</xdr:col>
      <xdr:colOff>625020</xdr:colOff>
      <xdr:row>4</xdr:row>
      <xdr:rowOff>114300</xdr:rowOff>
    </xdr:to>
    <xdr:sp macro="" textlink="">
      <xdr:nvSpPr>
        <xdr:cNvPr id="99" name="checksum">
          <a:extLst>
            <a:ext uri="{FF2B5EF4-FFF2-40B4-BE49-F238E27FC236}">
              <a16:creationId xmlns:a16="http://schemas.microsoft.com/office/drawing/2014/main" xmlns="" id="{00000000-0008-0000-0E00-000063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276225</xdr:rowOff>
    </xdr:from>
    <xdr:to>
      <xdr:col>39</xdr:col>
      <xdr:colOff>567870</xdr:colOff>
      <xdr:row>4</xdr:row>
      <xdr:rowOff>114300</xdr:rowOff>
    </xdr:to>
    <xdr:sp macro="" textlink="">
      <xdr:nvSpPr>
        <xdr:cNvPr id="100" name="checksum">
          <a:extLst>
            <a:ext uri="{FF2B5EF4-FFF2-40B4-BE49-F238E27FC236}">
              <a16:creationId xmlns:a16="http://schemas.microsoft.com/office/drawing/2014/main" xmlns="" id="{00000000-0008-0000-0E00-000064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</xdr:rowOff>
    </xdr:from>
    <xdr:to>
      <xdr:col>40</xdr:col>
      <xdr:colOff>152482</xdr:colOff>
      <xdr:row>4</xdr:row>
      <xdr:rowOff>66675</xdr:rowOff>
    </xdr:to>
    <xdr:sp macro="" textlink="">
      <xdr:nvSpPr>
        <xdr:cNvPr id="102" name="checksum">
          <a:extLst>
            <a:ext uri="{FF2B5EF4-FFF2-40B4-BE49-F238E27FC236}">
              <a16:creationId xmlns:a16="http://schemas.microsoft.com/office/drawing/2014/main" xmlns="" id="{00000000-0008-0000-0E00-000066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285750</xdr:rowOff>
    </xdr:from>
    <xdr:to>
      <xdr:col>39</xdr:col>
      <xdr:colOff>449859</xdr:colOff>
      <xdr:row>4</xdr:row>
      <xdr:rowOff>114300</xdr:rowOff>
    </xdr:to>
    <xdr:sp macro="" textlink="">
      <xdr:nvSpPr>
        <xdr:cNvPr id="103" name="checksum">
          <a:extLst>
            <a:ext uri="{FF2B5EF4-FFF2-40B4-BE49-F238E27FC236}">
              <a16:creationId xmlns:a16="http://schemas.microsoft.com/office/drawing/2014/main" xmlns="" id="{00000000-0008-0000-0E00-000067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285750</xdr:rowOff>
    </xdr:from>
    <xdr:to>
      <xdr:col>39</xdr:col>
      <xdr:colOff>468909</xdr:colOff>
      <xdr:row>4</xdr:row>
      <xdr:rowOff>114300</xdr:rowOff>
    </xdr:to>
    <xdr:sp macro="" textlink="">
      <xdr:nvSpPr>
        <xdr:cNvPr id="104" name="checksum">
          <a:extLst>
            <a:ext uri="{FF2B5EF4-FFF2-40B4-BE49-F238E27FC236}">
              <a16:creationId xmlns:a16="http://schemas.microsoft.com/office/drawing/2014/main" xmlns="" id="{00000000-0008-0000-0E00-000068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276225</xdr:rowOff>
    </xdr:from>
    <xdr:to>
      <xdr:col>39</xdr:col>
      <xdr:colOff>411759</xdr:colOff>
      <xdr:row>4</xdr:row>
      <xdr:rowOff>114300</xdr:rowOff>
    </xdr:to>
    <xdr:sp macro="" textlink="">
      <xdr:nvSpPr>
        <xdr:cNvPr id="105" name="checksum">
          <a:extLst>
            <a:ext uri="{FF2B5EF4-FFF2-40B4-BE49-F238E27FC236}">
              <a16:creationId xmlns:a16="http://schemas.microsoft.com/office/drawing/2014/main" xmlns="" id="{00000000-0008-0000-0E00-000069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</xdr:rowOff>
    </xdr:from>
    <xdr:to>
      <xdr:col>40</xdr:col>
      <xdr:colOff>152482</xdr:colOff>
      <xdr:row>4</xdr:row>
      <xdr:rowOff>66675</xdr:rowOff>
    </xdr:to>
    <xdr:sp macro="" textlink="">
      <xdr:nvSpPr>
        <xdr:cNvPr id="107" name="checksum">
          <a:extLst>
            <a:ext uri="{FF2B5EF4-FFF2-40B4-BE49-F238E27FC236}">
              <a16:creationId xmlns:a16="http://schemas.microsoft.com/office/drawing/2014/main" xmlns="" id="{00000000-0008-0000-0E00-00006B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285750</xdr:rowOff>
    </xdr:from>
    <xdr:to>
      <xdr:col>39</xdr:col>
      <xdr:colOff>449859</xdr:colOff>
      <xdr:row>4</xdr:row>
      <xdr:rowOff>114300</xdr:rowOff>
    </xdr:to>
    <xdr:sp macro="" textlink="">
      <xdr:nvSpPr>
        <xdr:cNvPr id="108" name="checksum">
          <a:extLst>
            <a:ext uri="{FF2B5EF4-FFF2-40B4-BE49-F238E27FC236}">
              <a16:creationId xmlns:a16="http://schemas.microsoft.com/office/drawing/2014/main" xmlns="" id="{00000000-0008-0000-0E00-00006C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285750</xdr:rowOff>
    </xdr:from>
    <xdr:to>
      <xdr:col>39</xdr:col>
      <xdr:colOff>468909</xdr:colOff>
      <xdr:row>4</xdr:row>
      <xdr:rowOff>114300</xdr:rowOff>
    </xdr:to>
    <xdr:sp macro="" textlink="">
      <xdr:nvSpPr>
        <xdr:cNvPr id="109" name="checksum">
          <a:extLst>
            <a:ext uri="{FF2B5EF4-FFF2-40B4-BE49-F238E27FC236}">
              <a16:creationId xmlns:a16="http://schemas.microsoft.com/office/drawing/2014/main" xmlns="" id="{00000000-0008-0000-0E00-00006D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276225</xdr:rowOff>
    </xdr:from>
    <xdr:to>
      <xdr:col>39</xdr:col>
      <xdr:colOff>411759</xdr:colOff>
      <xdr:row>4</xdr:row>
      <xdr:rowOff>114300</xdr:rowOff>
    </xdr:to>
    <xdr:sp macro="" textlink="">
      <xdr:nvSpPr>
        <xdr:cNvPr id="110" name="checksum">
          <a:extLst>
            <a:ext uri="{FF2B5EF4-FFF2-40B4-BE49-F238E27FC236}">
              <a16:creationId xmlns:a16="http://schemas.microsoft.com/office/drawing/2014/main" xmlns="" id="{00000000-0008-0000-0E00-00006E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</xdr:row>
      <xdr:rowOff>285750</xdr:rowOff>
    </xdr:from>
    <xdr:to>
      <xdr:col>14</xdr:col>
      <xdr:colOff>412749</xdr:colOff>
      <xdr:row>9</xdr:row>
      <xdr:rowOff>168728</xdr:rowOff>
    </xdr:to>
    <xdr:sp macro="" textlink="">
      <xdr:nvSpPr>
        <xdr:cNvPr id="113" name="checksum">
          <a:extLst>
            <a:ext uri="{FF2B5EF4-FFF2-40B4-BE49-F238E27FC236}">
              <a16:creationId xmlns:a16="http://schemas.microsoft.com/office/drawing/2014/main" xmlns="" id="{00000000-0008-0000-0E00-000071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1343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</xdr:row>
      <xdr:rowOff>285750</xdr:rowOff>
    </xdr:from>
    <xdr:to>
      <xdr:col>14</xdr:col>
      <xdr:colOff>431799</xdr:colOff>
      <xdr:row>9</xdr:row>
      <xdr:rowOff>168728</xdr:rowOff>
    </xdr:to>
    <xdr:sp macro="" textlink="">
      <xdr:nvSpPr>
        <xdr:cNvPr id="114" name="checksum">
          <a:extLst>
            <a:ext uri="{FF2B5EF4-FFF2-40B4-BE49-F238E27FC236}">
              <a16:creationId xmlns:a16="http://schemas.microsoft.com/office/drawing/2014/main" xmlns="" id="{00000000-0008-0000-0E00-000072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1343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</xdr:row>
      <xdr:rowOff>276225</xdr:rowOff>
    </xdr:from>
    <xdr:to>
      <xdr:col>14</xdr:col>
      <xdr:colOff>374649</xdr:colOff>
      <xdr:row>9</xdr:row>
      <xdr:rowOff>168728</xdr:rowOff>
    </xdr:to>
    <xdr:sp macro="" textlink="">
      <xdr:nvSpPr>
        <xdr:cNvPr id="115" name="checksum">
          <a:extLst>
            <a:ext uri="{FF2B5EF4-FFF2-40B4-BE49-F238E27FC236}">
              <a16:creationId xmlns:a16="http://schemas.microsoft.com/office/drawing/2014/main" xmlns="" id="{00000000-0008-0000-0E00-000073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1343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4</xdr:row>
      <xdr:rowOff>363906</xdr:rowOff>
    </xdr:to>
    <xdr:sp macro="" textlink="">
      <xdr:nvSpPr>
        <xdr:cNvPr id="116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E00-000074000000}"/>
            </a:ext>
          </a:extLst>
        </xdr:cNvPr>
        <xdr:cNvSpPr txBox="1">
          <a:spLocks noChangeArrowheads="1"/>
        </xdr:cNvSpPr>
      </xdr:nvSpPr>
      <xdr:spPr bwMode="auto">
        <a:xfrm>
          <a:off x="4457700" y="438150"/>
          <a:ext cx="0" cy="93540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 editAs="oneCell">
    <xdr:from>
      <xdr:col>9</xdr:col>
      <xdr:colOff>0</xdr:colOff>
      <xdr:row>2</xdr:row>
      <xdr:rowOff>285750</xdr:rowOff>
    </xdr:from>
    <xdr:to>
      <xdr:col>14</xdr:col>
      <xdr:colOff>412749</xdr:colOff>
      <xdr:row>9</xdr:row>
      <xdr:rowOff>168728</xdr:rowOff>
    </xdr:to>
    <xdr:sp macro="" textlink="">
      <xdr:nvSpPr>
        <xdr:cNvPr id="118" name="checksum">
          <a:extLst>
            <a:ext uri="{FF2B5EF4-FFF2-40B4-BE49-F238E27FC236}">
              <a16:creationId xmlns:a16="http://schemas.microsoft.com/office/drawing/2014/main" xmlns="" id="{00000000-0008-0000-0E00-000076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1343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5</xdr:row>
      <xdr:rowOff>361950</xdr:rowOff>
    </xdr:to>
    <xdr:sp macro="" textlink="">
      <xdr:nvSpPr>
        <xdr:cNvPr id="121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E00-000079000000}"/>
            </a:ext>
          </a:extLst>
        </xdr:cNvPr>
        <xdr:cNvSpPr txBox="1">
          <a:spLocks noChangeArrowheads="1"/>
        </xdr:cNvSpPr>
      </xdr:nvSpPr>
      <xdr:spPr bwMode="auto">
        <a:xfrm>
          <a:off x="4457700" y="438150"/>
          <a:ext cx="0" cy="1171575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oneCellAnchor>
    <xdr:from>
      <xdr:col>34</xdr:col>
      <xdr:colOff>0</xdr:colOff>
      <xdr:row>2</xdr:row>
      <xdr:rowOff>28575</xdr:rowOff>
    </xdr:from>
    <xdr:ext cx="7755659" cy="536864"/>
    <xdr:sp macro="" textlink="">
      <xdr:nvSpPr>
        <xdr:cNvPr id="142" name="checksum">
          <a:extLst>
            <a:ext uri="{FF2B5EF4-FFF2-40B4-BE49-F238E27FC236}">
              <a16:creationId xmlns:a16="http://schemas.microsoft.com/office/drawing/2014/main" xmlns="" id="{00000000-0008-0000-0E00-00008E000000}"/>
            </a:ext>
          </a:extLst>
        </xdr:cNvPr>
        <xdr:cNvSpPr txBox="1">
          <a:spLocks noChangeArrowheads="1"/>
        </xdr:cNvSpPr>
      </xdr:nvSpPr>
      <xdr:spPr bwMode="auto">
        <a:xfrm>
          <a:off x="191954727" y="444211"/>
          <a:ext cx="7755659" cy="5368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34</xdr:col>
      <xdr:colOff>0</xdr:colOff>
      <xdr:row>2</xdr:row>
      <xdr:rowOff>285750</xdr:rowOff>
    </xdr:from>
    <xdr:ext cx="6785841" cy="365414"/>
    <xdr:sp macro="" textlink="">
      <xdr:nvSpPr>
        <xdr:cNvPr id="143" name="checksum">
          <a:extLst>
            <a:ext uri="{FF2B5EF4-FFF2-40B4-BE49-F238E27FC236}">
              <a16:creationId xmlns:a16="http://schemas.microsoft.com/office/drawing/2014/main" xmlns="" id="{00000000-0008-0000-0E00-00008F000000}"/>
            </a:ext>
          </a:extLst>
        </xdr:cNvPr>
        <xdr:cNvSpPr txBox="1">
          <a:spLocks noChangeArrowheads="1"/>
        </xdr:cNvSpPr>
      </xdr:nvSpPr>
      <xdr:spPr bwMode="auto">
        <a:xfrm>
          <a:off x="191649927" y="663286"/>
          <a:ext cx="6785841" cy="3654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34</xdr:col>
      <xdr:colOff>0</xdr:colOff>
      <xdr:row>2</xdr:row>
      <xdr:rowOff>285750</xdr:rowOff>
    </xdr:from>
    <xdr:ext cx="6804891" cy="365414"/>
    <xdr:sp macro="" textlink="">
      <xdr:nvSpPr>
        <xdr:cNvPr id="144" name="checksum">
          <a:extLst>
            <a:ext uri="{FF2B5EF4-FFF2-40B4-BE49-F238E27FC236}">
              <a16:creationId xmlns:a16="http://schemas.microsoft.com/office/drawing/2014/main" xmlns="" id="{00000000-0008-0000-0E00-000090000000}"/>
            </a:ext>
          </a:extLst>
        </xdr:cNvPr>
        <xdr:cNvSpPr txBox="1">
          <a:spLocks noChangeArrowheads="1"/>
        </xdr:cNvSpPr>
      </xdr:nvSpPr>
      <xdr:spPr bwMode="auto">
        <a:xfrm>
          <a:off x="191649927" y="663286"/>
          <a:ext cx="6804891" cy="3654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34</xdr:col>
      <xdr:colOff>0</xdr:colOff>
      <xdr:row>2</xdr:row>
      <xdr:rowOff>276225</xdr:rowOff>
    </xdr:from>
    <xdr:ext cx="6747741" cy="359699"/>
    <xdr:sp macro="" textlink="">
      <xdr:nvSpPr>
        <xdr:cNvPr id="145" name="checksum">
          <a:extLst>
            <a:ext uri="{FF2B5EF4-FFF2-40B4-BE49-F238E27FC236}">
              <a16:creationId xmlns:a16="http://schemas.microsoft.com/office/drawing/2014/main" xmlns="" id="{00000000-0008-0000-0E00-000091000000}"/>
            </a:ext>
          </a:extLst>
        </xdr:cNvPr>
        <xdr:cNvSpPr txBox="1">
          <a:spLocks noChangeArrowheads="1"/>
        </xdr:cNvSpPr>
      </xdr:nvSpPr>
      <xdr:spPr bwMode="auto">
        <a:xfrm>
          <a:off x="191649927" y="669001"/>
          <a:ext cx="6747741" cy="3596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34</xdr:col>
      <xdr:colOff>0</xdr:colOff>
      <xdr:row>2</xdr:row>
      <xdr:rowOff>28575</xdr:rowOff>
    </xdr:from>
    <xdr:ext cx="7755659" cy="536864"/>
    <xdr:sp macro="" textlink="">
      <xdr:nvSpPr>
        <xdr:cNvPr id="147" name="checksum">
          <a:extLst>
            <a:ext uri="{FF2B5EF4-FFF2-40B4-BE49-F238E27FC236}">
              <a16:creationId xmlns:a16="http://schemas.microsoft.com/office/drawing/2014/main" xmlns="" id="{00000000-0008-0000-0E00-000093000000}"/>
            </a:ext>
          </a:extLst>
        </xdr:cNvPr>
        <xdr:cNvSpPr txBox="1">
          <a:spLocks noChangeArrowheads="1"/>
        </xdr:cNvSpPr>
      </xdr:nvSpPr>
      <xdr:spPr bwMode="auto">
        <a:xfrm>
          <a:off x="191954727" y="444211"/>
          <a:ext cx="7755659" cy="5368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34</xdr:col>
      <xdr:colOff>0</xdr:colOff>
      <xdr:row>2</xdr:row>
      <xdr:rowOff>285750</xdr:rowOff>
    </xdr:from>
    <xdr:ext cx="6785841" cy="365414"/>
    <xdr:sp macro="" textlink="">
      <xdr:nvSpPr>
        <xdr:cNvPr id="148" name="checksum">
          <a:extLst>
            <a:ext uri="{FF2B5EF4-FFF2-40B4-BE49-F238E27FC236}">
              <a16:creationId xmlns:a16="http://schemas.microsoft.com/office/drawing/2014/main" xmlns="" id="{00000000-0008-0000-0E00-000094000000}"/>
            </a:ext>
          </a:extLst>
        </xdr:cNvPr>
        <xdr:cNvSpPr txBox="1">
          <a:spLocks noChangeArrowheads="1"/>
        </xdr:cNvSpPr>
      </xdr:nvSpPr>
      <xdr:spPr bwMode="auto">
        <a:xfrm>
          <a:off x="191649927" y="663286"/>
          <a:ext cx="6785841" cy="3654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34</xdr:col>
      <xdr:colOff>0</xdr:colOff>
      <xdr:row>2</xdr:row>
      <xdr:rowOff>285750</xdr:rowOff>
    </xdr:from>
    <xdr:ext cx="6804891" cy="365414"/>
    <xdr:sp macro="" textlink="">
      <xdr:nvSpPr>
        <xdr:cNvPr id="149" name="checksum">
          <a:extLst>
            <a:ext uri="{FF2B5EF4-FFF2-40B4-BE49-F238E27FC236}">
              <a16:creationId xmlns:a16="http://schemas.microsoft.com/office/drawing/2014/main" xmlns="" id="{00000000-0008-0000-0E00-000095000000}"/>
            </a:ext>
          </a:extLst>
        </xdr:cNvPr>
        <xdr:cNvSpPr txBox="1">
          <a:spLocks noChangeArrowheads="1"/>
        </xdr:cNvSpPr>
      </xdr:nvSpPr>
      <xdr:spPr bwMode="auto">
        <a:xfrm>
          <a:off x="191649927" y="663286"/>
          <a:ext cx="6804891" cy="3654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34</xdr:col>
      <xdr:colOff>0</xdr:colOff>
      <xdr:row>2</xdr:row>
      <xdr:rowOff>276225</xdr:rowOff>
    </xdr:from>
    <xdr:ext cx="6747741" cy="359699"/>
    <xdr:sp macro="" textlink="">
      <xdr:nvSpPr>
        <xdr:cNvPr id="150" name="checksum">
          <a:extLst>
            <a:ext uri="{FF2B5EF4-FFF2-40B4-BE49-F238E27FC236}">
              <a16:creationId xmlns:a16="http://schemas.microsoft.com/office/drawing/2014/main" xmlns="" id="{00000000-0008-0000-0E00-000096000000}"/>
            </a:ext>
          </a:extLst>
        </xdr:cNvPr>
        <xdr:cNvSpPr txBox="1">
          <a:spLocks noChangeArrowheads="1"/>
        </xdr:cNvSpPr>
      </xdr:nvSpPr>
      <xdr:spPr bwMode="auto">
        <a:xfrm>
          <a:off x="191649927" y="669001"/>
          <a:ext cx="6747741" cy="3596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41</xdr:col>
      <xdr:colOff>0</xdr:colOff>
      <xdr:row>2</xdr:row>
      <xdr:rowOff>28575</xdr:rowOff>
    </xdr:from>
    <xdr:ext cx="7619094" cy="555171"/>
    <xdr:sp macro="" textlink="">
      <xdr:nvSpPr>
        <xdr:cNvPr id="111" name="checksum">
          <a:extLst>
            <a:ext uri="{FF2B5EF4-FFF2-40B4-BE49-F238E27FC236}">
              <a16:creationId xmlns:a16="http://schemas.microsoft.com/office/drawing/2014/main" xmlns="" id="{00000000-0008-0000-0E00-00006F000000}"/>
            </a:ext>
          </a:extLst>
        </xdr:cNvPr>
        <xdr:cNvSpPr txBox="1">
          <a:spLocks noChangeArrowheads="1"/>
        </xdr:cNvSpPr>
      </xdr:nvSpPr>
      <xdr:spPr bwMode="auto">
        <a:xfrm>
          <a:off x="41915443" y="477611"/>
          <a:ext cx="7619094" cy="5551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41</xdr:col>
      <xdr:colOff>0</xdr:colOff>
      <xdr:row>2</xdr:row>
      <xdr:rowOff>285750</xdr:rowOff>
    </xdr:from>
    <xdr:ext cx="6672035" cy="374196"/>
    <xdr:sp macro="" textlink="">
      <xdr:nvSpPr>
        <xdr:cNvPr id="122" name="checksum">
          <a:extLst>
            <a:ext uri="{FF2B5EF4-FFF2-40B4-BE49-F238E27FC236}">
              <a16:creationId xmlns:a16="http://schemas.microsoft.com/office/drawing/2014/main" xmlns="" id="{00000000-0008-0000-0E00-00007A000000}"/>
            </a:ext>
          </a:extLst>
        </xdr:cNvPr>
        <xdr:cNvSpPr txBox="1">
          <a:spLocks noChangeArrowheads="1"/>
        </xdr:cNvSpPr>
      </xdr:nvSpPr>
      <xdr:spPr bwMode="auto">
        <a:xfrm>
          <a:off x="41610643" y="706211"/>
          <a:ext cx="6672035" cy="3741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41</xdr:col>
      <xdr:colOff>0</xdr:colOff>
      <xdr:row>2</xdr:row>
      <xdr:rowOff>285750</xdr:rowOff>
    </xdr:from>
    <xdr:ext cx="6691085" cy="374196"/>
    <xdr:sp macro="" textlink="">
      <xdr:nvSpPr>
        <xdr:cNvPr id="123" name="checksum">
          <a:extLst>
            <a:ext uri="{FF2B5EF4-FFF2-40B4-BE49-F238E27FC236}">
              <a16:creationId xmlns:a16="http://schemas.microsoft.com/office/drawing/2014/main" xmlns="" id="{00000000-0008-0000-0E00-00007B000000}"/>
            </a:ext>
          </a:extLst>
        </xdr:cNvPr>
        <xdr:cNvSpPr txBox="1">
          <a:spLocks noChangeArrowheads="1"/>
        </xdr:cNvSpPr>
      </xdr:nvSpPr>
      <xdr:spPr bwMode="auto">
        <a:xfrm>
          <a:off x="41610643" y="706211"/>
          <a:ext cx="6691085" cy="3741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41</xdr:col>
      <xdr:colOff>0</xdr:colOff>
      <xdr:row>2</xdr:row>
      <xdr:rowOff>276225</xdr:rowOff>
    </xdr:from>
    <xdr:ext cx="6633935" cy="374196"/>
    <xdr:sp macro="" textlink="">
      <xdr:nvSpPr>
        <xdr:cNvPr id="124" name="checksum">
          <a:extLst>
            <a:ext uri="{FF2B5EF4-FFF2-40B4-BE49-F238E27FC236}">
              <a16:creationId xmlns:a16="http://schemas.microsoft.com/office/drawing/2014/main" xmlns="" id="{00000000-0008-0000-0E00-00007C000000}"/>
            </a:ext>
          </a:extLst>
        </xdr:cNvPr>
        <xdr:cNvSpPr txBox="1">
          <a:spLocks noChangeArrowheads="1"/>
        </xdr:cNvSpPr>
      </xdr:nvSpPr>
      <xdr:spPr bwMode="auto">
        <a:xfrm>
          <a:off x="41610643" y="706211"/>
          <a:ext cx="6633935" cy="3741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35</xdr:col>
      <xdr:colOff>0</xdr:colOff>
      <xdr:row>2</xdr:row>
      <xdr:rowOff>0</xdr:rowOff>
    </xdr:from>
    <xdr:to>
      <xdr:col>35</xdr:col>
      <xdr:colOff>0</xdr:colOff>
      <xdr:row>4</xdr:row>
      <xdr:rowOff>363906</xdr:rowOff>
    </xdr:to>
    <xdr:sp macro="" textlink="">
      <xdr:nvSpPr>
        <xdr:cNvPr id="125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E00-00007D000000}"/>
            </a:ext>
          </a:extLst>
        </xdr:cNvPr>
        <xdr:cNvSpPr txBox="1">
          <a:spLocks noChangeArrowheads="1"/>
        </xdr:cNvSpPr>
      </xdr:nvSpPr>
      <xdr:spPr bwMode="auto">
        <a:xfrm>
          <a:off x="34099500" y="449036"/>
          <a:ext cx="0" cy="776202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oneCellAnchor>
    <xdr:from>
      <xdr:col>41</xdr:col>
      <xdr:colOff>0</xdr:colOff>
      <xdr:row>2</xdr:row>
      <xdr:rowOff>28575</xdr:rowOff>
    </xdr:from>
    <xdr:ext cx="7619094" cy="555171"/>
    <xdr:sp macro="" textlink="">
      <xdr:nvSpPr>
        <xdr:cNvPr id="126" name="checksum">
          <a:extLst>
            <a:ext uri="{FF2B5EF4-FFF2-40B4-BE49-F238E27FC236}">
              <a16:creationId xmlns:a16="http://schemas.microsoft.com/office/drawing/2014/main" xmlns="" id="{00000000-0008-0000-0E00-00007E000000}"/>
            </a:ext>
          </a:extLst>
        </xdr:cNvPr>
        <xdr:cNvSpPr txBox="1">
          <a:spLocks noChangeArrowheads="1"/>
        </xdr:cNvSpPr>
      </xdr:nvSpPr>
      <xdr:spPr bwMode="auto">
        <a:xfrm>
          <a:off x="41915443" y="477611"/>
          <a:ext cx="7619094" cy="5551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41</xdr:col>
      <xdr:colOff>0</xdr:colOff>
      <xdr:row>2</xdr:row>
      <xdr:rowOff>285750</xdr:rowOff>
    </xdr:from>
    <xdr:ext cx="6672035" cy="374196"/>
    <xdr:sp macro="" textlink="">
      <xdr:nvSpPr>
        <xdr:cNvPr id="127" name="checksum">
          <a:extLst>
            <a:ext uri="{FF2B5EF4-FFF2-40B4-BE49-F238E27FC236}">
              <a16:creationId xmlns:a16="http://schemas.microsoft.com/office/drawing/2014/main" xmlns="" id="{00000000-0008-0000-0E00-00007F000000}"/>
            </a:ext>
          </a:extLst>
        </xdr:cNvPr>
        <xdr:cNvSpPr txBox="1">
          <a:spLocks noChangeArrowheads="1"/>
        </xdr:cNvSpPr>
      </xdr:nvSpPr>
      <xdr:spPr bwMode="auto">
        <a:xfrm>
          <a:off x="41610643" y="706211"/>
          <a:ext cx="6672035" cy="3741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41</xdr:col>
      <xdr:colOff>0</xdr:colOff>
      <xdr:row>2</xdr:row>
      <xdr:rowOff>285750</xdr:rowOff>
    </xdr:from>
    <xdr:ext cx="6691085" cy="374196"/>
    <xdr:sp macro="" textlink="">
      <xdr:nvSpPr>
        <xdr:cNvPr id="128" name="checksum">
          <a:extLst>
            <a:ext uri="{FF2B5EF4-FFF2-40B4-BE49-F238E27FC236}">
              <a16:creationId xmlns:a16="http://schemas.microsoft.com/office/drawing/2014/main" xmlns="" id="{00000000-0008-0000-0E00-000080000000}"/>
            </a:ext>
          </a:extLst>
        </xdr:cNvPr>
        <xdr:cNvSpPr txBox="1">
          <a:spLocks noChangeArrowheads="1"/>
        </xdr:cNvSpPr>
      </xdr:nvSpPr>
      <xdr:spPr bwMode="auto">
        <a:xfrm>
          <a:off x="41610643" y="706211"/>
          <a:ext cx="6691085" cy="3741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41</xdr:col>
      <xdr:colOff>0</xdr:colOff>
      <xdr:row>2</xdr:row>
      <xdr:rowOff>276225</xdr:rowOff>
    </xdr:from>
    <xdr:ext cx="6633935" cy="374196"/>
    <xdr:sp macro="" textlink="">
      <xdr:nvSpPr>
        <xdr:cNvPr id="129" name="checksum">
          <a:extLst>
            <a:ext uri="{FF2B5EF4-FFF2-40B4-BE49-F238E27FC236}">
              <a16:creationId xmlns:a16="http://schemas.microsoft.com/office/drawing/2014/main" xmlns="" id="{00000000-0008-0000-0E00-000081000000}"/>
            </a:ext>
          </a:extLst>
        </xdr:cNvPr>
        <xdr:cNvSpPr txBox="1">
          <a:spLocks noChangeArrowheads="1"/>
        </xdr:cNvSpPr>
      </xdr:nvSpPr>
      <xdr:spPr bwMode="auto">
        <a:xfrm>
          <a:off x="41610643" y="706211"/>
          <a:ext cx="6633935" cy="3741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35</xdr:col>
      <xdr:colOff>0</xdr:colOff>
      <xdr:row>2</xdr:row>
      <xdr:rowOff>0</xdr:rowOff>
    </xdr:from>
    <xdr:to>
      <xdr:col>35</xdr:col>
      <xdr:colOff>0</xdr:colOff>
      <xdr:row>5</xdr:row>
      <xdr:rowOff>361950</xdr:rowOff>
    </xdr:to>
    <xdr:sp macro="" textlink="">
      <xdr:nvSpPr>
        <xdr:cNvPr id="130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E00-000082000000}"/>
            </a:ext>
          </a:extLst>
        </xdr:cNvPr>
        <xdr:cNvSpPr txBox="1">
          <a:spLocks noChangeArrowheads="1"/>
        </xdr:cNvSpPr>
      </xdr:nvSpPr>
      <xdr:spPr bwMode="auto">
        <a:xfrm>
          <a:off x="34099500" y="449036"/>
          <a:ext cx="0" cy="1004207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0</xdr:colOff>
      <xdr:row>2</xdr:row>
      <xdr:rowOff>28575</xdr:rowOff>
    </xdr:from>
    <xdr:to>
      <xdr:col>37</xdr:col>
      <xdr:colOff>488662</xdr:colOff>
      <xdr:row>4</xdr:row>
      <xdr:rowOff>72448</xdr:rowOff>
    </xdr:to>
    <xdr:sp macro="" textlink="">
      <xdr:nvSpPr>
        <xdr:cNvPr id="2" name="checksum">
          <a:extLst>
            <a:ext uri="{FF2B5EF4-FFF2-40B4-BE49-F238E27FC236}">
              <a16:creationId xmlns:a16="http://schemas.microsoft.com/office/drawing/2014/main" xmlns="" id="{00000000-0008-0000-0F00-000002000000}"/>
            </a:ext>
          </a:extLst>
        </xdr:cNvPr>
        <xdr:cNvSpPr txBox="1">
          <a:spLocks noChangeArrowheads="1"/>
        </xdr:cNvSpPr>
      </xdr:nvSpPr>
      <xdr:spPr bwMode="auto">
        <a:xfrm>
          <a:off x="12249150" y="419100"/>
          <a:ext cx="1517650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25</xdr:col>
      <xdr:colOff>0</xdr:colOff>
      <xdr:row>2</xdr:row>
      <xdr:rowOff>285750</xdr:rowOff>
    </xdr:from>
    <xdr:to>
      <xdr:col>35</xdr:col>
      <xdr:colOff>787977</xdr:colOff>
      <xdr:row>4</xdr:row>
      <xdr:rowOff>110548</xdr:rowOff>
    </xdr:to>
    <xdr:sp macro="" textlink="">
      <xdr:nvSpPr>
        <xdr:cNvPr id="3" name="checksum">
          <a:extLst>
            <a:ext uri="{FF2B5EF4-FFF2-40B4-BE49-F238E27FC236}">
              <a16:creationId xmlns:a16="http://schemas.microsoft.com/office/drawing/2014/main" xmlns="" id="{00000000-0008-0000-0F00-000003000000}"/>
            </a:ext>
          </a:extLst>
        </xdr:cNvPr>
        <xdr:cNvSpPr txBox="1">
          <a:spLocks noChangeArrowheads="1"/>
        </xdr:cNvSpPr>
      </xdr:nvSpPr>
      <xdr:spPr bwMode="auto">
        <a:xfrm>
          <a:off x="11944350" y="647700"/>
          <a:ext cx="130333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25</xdr:col>
      <xdr:colOff>0</xdr:colOff>
      <xdr:row>2</xdr:row>
      <xdr:rowOff>285750</xdr:rowOff>
    </xdr:from>
    <xdr:to>
      <xdr:col>35</xdr:col>
      <xdr:colOff>807027</xdr:colOff>
      <xdr:row>4</xdr:row>
      <xdr:rowOff>110548</xdr:rowOff>
    </xdr:to>
    <xdr:sp macro="" textlink="">
      <xdr:nvSpPr>
        <xdr:cNvPr id="4" name="checksum">
          <a:extLst>
            <a:ext uri="{FF2B5EF4-FFF2-40B4-BE49-F238E27FC236}">
              <a16:creationId xmlns:a16="http://schemas.microsoft.com/office/drawing/2014/main" xmlns="" id="{00000000-0008-0000-0F00-000004000000}"/>
            </a:ext>
          </a:extLst>
        </xdr:cNvPr>
        <xdr:cNvSpPr txBox="1">
          <a:spLocks noChangeArrowheads="1"/>
        </xdr:cNvSpPr>
      </xdr:nvSpPr>
      <xdr:spPr bwMode="auto">
        <a:xfrm>
          <a:off x="11944350" y="647700"/>
          <a:ext cx="1305242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25</xdr:col>
      <xdr:colOff>0</xdr:colOff>
      <xdr:row>2</xdr:row>
      <xdr:rowOff>276225</xdr:rowOff>
    </xdr:from>
    <xdr:to>
      <xdr:col>35</xdr:col>
      <xdr:colOff>749877</xdr:colOff>
      <xdr:row>4</xdr:row>
      <xdr:rowOff>116263</xdr:rowOff>
    </xdr:to>
    <xdr:sp macro="" textlink="">
      <xdr:nvSpPr>
        <xdr:cNvPr id="5" name="checksum">
          <a:extLst>
            <a:ext uri="{FF2B5EF4-FFF2-40B4-BE49-F238E27FC236}">
              <a16:creationId xmlns:a16="http://schemas.microsoft.com/office/drawing/2014/main" xmlns="" id="{00000000-0008-0000-0F00-000005000000}"/>
            </a:ext>
          </a:extLst>
        </xdr:cNvPr>
        <xdr:cNvSpPr txBox="1">
          <a:spLocks noChangeArrowheads="1"/>
        </xdr:cNvSpPr>
      </xdr:nvSpPr>
      <xdr:spPr bwMode="auto">
        <a:xfrm>
          <a:off x="11944350" y="647700"/>
          <a:ext cx="129952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19</xdr:col>
      <xdr:colOff>0</xdr:colOff>
      <xdr:row>2</xdr:row>
      <xdr:rowOff>0</xdr:rowOff>
    </xdr:from>
    <xdr:to>
      <xdr:col>19</xdr:col>
      <xdr:colOff>0</xdr:colOff>
      <xdr:row>4</xdr:row>
      <xdr:rowOff>363906</xdr:rowOff>
    </xdr:to>
    <xdr:sp macro="" textlink="">
      <xdr:nvSpPr>
        <xdr:cNvPr id="6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F00-000006000000}"/>
            </a:ext>
          </a:extLst>
        </xdr:cNvPr>
        <xdr:cNvSpPr txBox="1">
          <a:spLocks noChangeArrowheads="1"/>
        </xdr:cNvSpPr>
      </xdr:nvSpPr>
      <xdr:spPr bwMode="auto">
        <a:xfrm>
          <a:off x="4457700" y="390525"/>
          <a:ext cx="0" cy="773481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 editAs="oneCell">
    <xdr:from>
      <xdr:col>25</xdr:col>
      <xdr:colOff>0</xdr:colOff>
      <xdr:row>2</xdr:row>
      <xdr:rowOff>28575</xdr:rowOff>
    </xdr:from>
    <xdr:to>
      <xdr:col>37</xdr:col>
      <xdr:colOff>488662</xdr:colOff>
      <xdr:row>4</xdr:row>
      <xdr:rowOff>72448</xdr:rowOff>
    </xdr:to>
    <xdr:sp macro="" textlink="">
      <xdr:nvSpPr>
        <xdr:cNvPr id="7" name="checksum">
          <a:extLst>
            <a:ext uri="{FF2B5EF4-FFF2-40B4-BE49-F238E27FC236}">
              <a16:creationId xmlns:a16="http://schemas.microsoft.com/office/drawing/2014/main" xmlns="" id="{00000000-0008-0000-0F00-000007000000}"/>
            </a:ext>
          </a:extLst>
        </xdr:cNvPr>
        <xdr:cNvSpPr txBox="1">
          <a:spLocks noChangeArrowheads="1"/>
        </xdr:cNvSpPr>
      </xdr:nvSpPr>
      <xdr:spPr bwMode="auto">
        <a:xfrm>
          <a:off x="12249150" y="419100"/>
          <a:ext cx="1517650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25</xdr:col>
      <xdr:colOff>0</xdr:colOff>
      <xdr:row>2</xdr:row>
      <xdr:rowOff>285750</xdr:rowOff>
    </xdr:from>
    <xdr:to>
      <xdr:col>35</xdr:col>
      <xdr:colOff>787977</xdr:colOff>
      <xdr:row>4</xdr:row>
      <xdr:rowOff>110548</xdr:rowOff>
    </xdr:to>
    <xdr:sp macro="" textlink="">
      <xdr:nvSpPr>
        <xdr:cNvPr id="8" name="checksum">
          <a:extLst>
            <a:ext uri="{FF2B5EF4-FFF2-40B4-BE49-F238E27FC236}">
              <a16:creationId xmlns:a16="http://schemas.microsoft.com/office/drawing/2014/main" xmlns="" id="{00000000-0008-0000-0F00-000008000000}"/>
            </a:ext>
          </a:extLst>
        </xdr:cNvPr>
        <xdr:cNvSpPr txBox="1">
          <a:spLocks noChangeArrowheads="1"/>
        </xdr:cNvSpPr>
      </xdr:nvSpPr>
      <xdr:spPr bwMode="auto">
        <a:xfrm>
          <a:off x="11944350" y="647700"/>
          <a:ext cx="130333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25</xdr:col>
      <xdr:colOff>0</xdr:colOff>
      <xdr:row>2</xdr:row>
      <xdr:rowOff>285750</xdr:rowOff>
    </xdr:from>
    <xdr:to>
      <xdr:col>35</xdr:col>
      <xdr:colOff>807027</xdr:colOff>
      <xdr:row>4</xdr:row>
      <xdr:rowOff>110548</xdr:rowOff>
    </xdr:to>
    <xdr:sp macro="" textlink="">
      <xdr:nvSpPr>
        <xdr:cNvPr id="9" name="checksum">
          <a:extLst>
            <a:ext uri="{FF2B5EF4-FFF2-40B4-BE49-F238E27FC236}">
              <a16:creationId xmlns:a16="http://schemas.microsoft.com/office/drawing/2014/main" xmlns="" id="{00000000-0008-0000-0F00-000009000000}"/>
            </a:ext>
          </a:extLst>
        </xdr:cNvPr>
        <xdr:cNvSpPr txBox="1">
          <a:spLocks noChangeArrowheads="1"/>
        </xdr:cNvSpPr>
      </xdr:nvSpPr>
      <xdr:spPr bwMode="auto">
        <a:xfrm>
          <a:off x="11944350" y="647700"/>
          <a:ext cx="1305242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25</xdr:col>
      <xdr:colOff>0</xdr:colOff>
      <xdr:row>2</xdr:row>
      <xdr:rowOff>276225</xdr:rowOff>
    </xdr:from>
    <xdr:to>
      <xdr:col>35</xdr:col>
      <xdr:colOff>749877</xdr:colOff>
      <xdr:row>4</xdr:row>
      <xdr:rowOff>116263</xdr:rowOff>
    </xdr:to>
    <xdr:sp macro="" textlink="">
      <xdr:nvSpPr>
        <xdr:cNvPr id="10" name="checksum">
          <a:extLst>
            <a:ext uri="{FF2B5EF4-FFF2-40B4-BE49-F238E27FC236}">
              <a16:creationId xmlns:a16="http://schemas.microsoft.com/office/drawing/2014/main" xmlns="" id="{00000000-0008-0000-0F00-00000A000000}"/>
            </a:ext>
          </a:extLst>
        </xdr:cNvPr>
        <xdr:cNvSpPr txBox="1">
          <a:spLocks noChangeArrowheads="1"/>
        </xdr:cNvSpPr>
      </xdr:nvSpPr>
      <xdr:spPr bwMode="auto">
        <a:xfrm>
          <a:off x="11944350" y="647700"/>
          <a:ext cx="129952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19</xdr:col>
      <xdr:colOff>0</xdr:colOff>
      <xdr:row>2</xdr:row>
      <xdr:rowOff>0</xdr:rowOff>
    </xdr:from>
    <xdr:to>
      <xdr:col>19</xdr:col>
      <xdr:colOff>0</xdr:colOff>
      <xdr:row>5</xdr:row>
      <xdr:rowOff>361950</xdr:rowOff>
    </xdr:to>
    <xdr:sp macro="" textlink="">
      <xdr:nvSpPr>
        <xdr:cNvPr id="11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F00-00000B000000}"/>
            </a:ext>
          </a:extLst>
        </xdr:cNvPr>
        <xdr:cNvSpPr txBox="1">
          <a:spLocks noChangeArrowheads="1"/>
        </xdr:cNvSpPr>
      </xdr:nvSpPr>
      <xdr:spPr bwMode="auto">
        <a:xfrm>
          <a:off x="4457700" y="390525"/>
          <a:ext cx="0" cy="971550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4</xdr:row>
      <xdr:rowOff>363906</xdr:rowOff>
    </xdr:to>
    <xdr:sp macro="" textlink="">
      <xdr:nvSpPr>
        <xdr:cNvPr id="12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F00-00000C000000}"/>
            </a:ext>
          </a:extLst>
        </xdr:cNvPr>
        <xdr:cNvSpPr txBox="1">
          <a:spLocks noChangeArrowheads="1"/>
        </xdr:cNvSpPr>
      </xdr:nvSpPr>
      <xdr:spPr bwMode="auto">
        <a:xfrm>
          <a:off x="28622625" y="381000"/>
          <a:ext cx="0" cy="703631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5</xdr:row>
      <xdr:rowOff>361950</xdr:rowOff>
    </xdr:to>
    <xdr:sp macro="" textlink="">
      <xdr:nvSpPr>
        <xdr:cNvPr id="13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F00-00000D000000}"/>
            </a:ext>
          </a:extLst>
        </xdr:cNvPr>
        <xdr:cNvSpPr txBox="1">
          <a:spLocks noChangeArrowheads="1"/>
        </xdr:cNvSpPr>
      </xdr:nvSpPr>
      <xdr:spPr bwMode="auto">
        <a:xfrm>
          <a:off x="28622625" y="381000"/>
          <a:ext cx="0" cy="898525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2</xdr:row>
      <xdr:rowOff>28575</xdr:rowOff>
    </xdr:from>
    <xdr:to>
      <xdr:col>24</xdr:col>
      <xdr:colOff>317500</xdr:colOff>
      <xdr:row>4</xdr:row>
      <xdr:rowOff>66675</xdr:rowOff>
    </xdr:to>
    <xdr:sp macro="" textlink="">
      <xdr:nvSpPr>
        <xdr:cNvPr id="2" name="checksum">
          <a:extLst>
            <a:ext uri="{FF2B5EF4-FFF2-40B4-BE49-F238E27FC236}">
              <a16:creationId xmlns:a16="http://schemas.microsoft.com/office/drawing/2014/main" xmlns="" id="{00000000-0008-0000-1000-000002000000}"/>
            </a:ext>
          </a:extLst>
        </xdr:cNvPr>
        <xdr:cNvSpPr txBox="1">
          <a:spLocks noChangeArrowheads="1"/>
        </xdr:cNvSpPr>
      </xdr:nvSpPr>
      <xdr:spPr bwMode="auto">
        <a:xfrm>
          <a:off x="12249150" y="419100"/>
          <a:ext cx="1517650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</xdr:row>
      <xdr:rowOff>285750</xdr:rowOff>
    </xdr:from>
    <xdr:to>
      <xdr:col>20</xdr:col>
      <xdr:colOff>593725</xdr:colOff>
      <xdr:row>4</xdr:row>
      <xdr:rowOff>114300</xdr:rowOff>
    </xdr:to>
    <xdr:sp macro="" textlink="">
      <xdr:nvSpPr>
        <xdr:cNvPr id="3" name="checksum">
          <a:extLst>
            <a:ext uri="{FF2B5EF4-FFF2-40B4-BE49-F238E27FC236}">
              <a16:creationId xmlns:a16="http://schemas.microsoft.com/office/drawing/2014/main" xmlns="" id="{00000000-0008-0000-1000-000003000000}"/>
            </a:ext>
          </a:extLst>
        </xdr:cNvPr>
        <xdr:cNvSpPr txBox="1">
          <a:spLocks noChangeArrowheads="1"/>
        </xdr:cNvSpPr>
      </xdr:nvSpPr>
      <xdr:spPr bwMode="auto">
        <a:xfrm>
          <a:off x="11944350" y="647700"/>
          <a:ext cx="130333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</xdr:row>
      <xdr:rowOff>285750</xdr:rowOff>
    </xdr:from>
    <xdr:to>
      <xdr:col>20</xdr:col>
      <xdr:colOff>612775</xdr:colOff>
      <xdr:row>4</xdr:row>
      <xdr:rowOff>114300</xdr:rowOff>
    </xdr:to>
    <xdr:sp macro="" textlink="">
      <xdr:nvSpPr>
        <xdr:cNvPr id="4" name="checksum">
          <a:extLst>
            <a:ext uri="{FF2B5EF4-FFF2-40B4-BE49-F238E27FC236}">
              <a16:creationId xmlns:a16="http://schemas.microsoft.com/office/drawing/2014/main" xmlns="" id="{00000000-0008-0000-1000-000004000000}"/>
            </a:ext>
          </a:extLst>
        </xdr:cNvPr>
        <xdr:cNvSpPr txBox="1">
          <a:spLocks noChangeArrowheads="1"/>
        </xdr:cNvSpPr>
      </xdr:nvSpPr>
      <xdr:spPr bwMode="auto">
        <a:xfrm>
          <a:off x="11944350" y="647700"/>
          <a:ext cx="1305242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</xdr:row>
      <xdr:rowOff>276225</xdr:rowOff>
    </xdr:from>
    <xdr:to>
      <xdr:col>20</xdr:col>
      <xdr:colOff>555625</xdr:colOff>
      <xdr:row>4</xdr:row>
      <xdr:rowOff>114300</xdr:rowOff>
    </xdr:to>
    <xdr:sp macro="" textlink="">
      <xdr:nvSpPr>
        <xdr:cNvPr id="5" name="checksum">
          <a:extLst>
            <a:ext uri="{FF2B5EF4-FFF2-40B4-BE49-F238E27FC236}">
              <a16:creationId xmlns:a16="http://schemas.microsoft.com/office/drawing/2014/main" xmlns="" id="{00000000-0008-0000-1000-000005000000}"/>
            </a:ext>
          </a:extLst>
        </xdr:cNvPr>
        <xdr:cNvSpPr txBox="1">
          <a:spLocks noChangeArrowheads="1"/>
        </xdr:cNvSpPr>
      </xdr:nvSpPr>
      <xdr:spPr bwMode="auto">
        <a:xfrm>
          <a:off x="11944350" y="647700"/>
          <a:ext cx="129952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4</xdr:row>
      <xdr:rowOff>363906</xdr:rowOff>
    </xdr:to>
    <xdr:sp macro="" textlink="">
      <xdr:nvSpPr>
        <xdr:cNvPr id="6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000-000006000000}"/>
            </a:ext>
          </a:extLst>
        </xdr:cNvPr>
        <xdr:cNvSpPr txBox="1">
          <a:spLocks noChangeArrowheads="1"/>
        </xdr:cNvSpPr>
      </xdr:nvSpPr>
      <xdr:spPr bwMode="auto">
        <a:xfrm>
          <a:off x="4457700" y="390525"/>
          <a:ext cx="0" cy="773481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 editAs="oneCell">
    <xdr:from>
      <xdr:col>9</xdr:col>
      <xdr:colOff>0</xdr:colOff>
      <xdr:row>2</xdr:row>
      <xdr:rowOff>28575</xdr:rowOff>
    </xdr:from>
    <xdr:to>
      <xdr:col>24</xdr:col>
      <xdr:colOff>317500</xdr:colOff>
      <xdr:row>4</xdr:row>
      <xdr:rowOff>66675</xdr:rowOff>
    </xdr:to>
    <xdr:sp macro="" textlink="">
      <xdr:nvSpPr>
        <xdr:cNvPr id="7" name="checksum">
          <a:extLst>
            <a:ext uri="{FF2B5EF4-FFF2-40B4-BE49-F238E27FC236}">
              <a16:creationId xmlns:a16="http://schemas.microsoft.com/office/drawing/2014/main" xmlns="" id="{00000000-0008-0000-1000-000007000000}"/>
            </a:ext>
          </a:extLst>
        </xdr:cNvPr>
        <xdr:cNvSpPr txBox="1">
          <a:spLocks noChangeArrowheads="1"/>
        </xdr:cNvSpPr>
      </xdr:nvSpPr>
      <xdr:spPr bwMode="auto">
        <a:xfrm>
          <a:off x="12249150" y="419100"/>
          <a:ext cx="1517650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</xdr:row>
      <xdr:rowOff>285750</xdr:rowOff>
    </xdr:from>
    <xdr:to>
      <xdr:col>20</xdr:col>
      <xdr:colOff>593725</xdr:colOff>
      <xdr:row>4</xdr:row>
      <xdr:rowOff>114300</xdr:rowOff>
    </xdr:to>
    <xdr:sp macro="" textlink="">
      <xdr:nvSpPr>
        <xdr:cNvPr id="8" name="checksum">
          <a:extLst>
            <a:ext uri="{FF2B5EF4-FFF2-40B4-BE49-F238E27FC236}">
              <a16:creationId xmlns:a16="http://schemas.microsoft.com/office/drawing/2014/main" xmlns="" id="{00000000-0008-0000-1000-000008000000}"/>
            </a:ext>
          </a:extLst>
        </xdr:cNvPr>
        <xdr:cNvSpPr txBox="1">
          <a:spLocks noChangeArrowheads="1"/>
        </xdr:cNvSpPr>
      </xdr:nvSpPr>
      <xdr:spPr bwMode="auto">
        <a:xfrm>
          <a:off x="11944350" y="647700"/>
          <a:ext cx="130333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</xdr:row>
      <xdr:rowOff>285750</xdr:rowOff>
    </xdr:from>
    <xdr:to>
      <xdr:col>20</xdr:col>
      <xdr:colOff>612775</xdr:colOff>
      <xdr:row>4</xdr:row>
      <xdr:rowOff>114300</xdr:rowOff>
    </xdr:to>
    <xdr:sp macro="" textlink="">
      <xdr:nvSpPr>
        <xdr:cNvPr id="9" name="checksum">
          <a:extLst>
            <a:ext uri="{FF2B5EF4-FFF2-40B4-BE49-F238E27FC236}">
              <a16:creationId xmlns:a16="http://schemas.microsoft.com/office/drawing/2014/main" xmlns="" id="{00000000-0008-0000-1000-000009000000}"/>
            </a:ext>
          </a:extLst>
        </xdr:cNvPr>
        <xdr:cNvSpPr txBox="1">
          <a:spLocks noChangeArrowheads="1"/>
        </xdr:cNvSpPr>
      </xdr:nvSpPr>
      <xdr:spPr bwMode="auto">
        <a:xfrm>
          <a:off x="11944350" y="647700"/>
          <a:ext cx="1305242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</xdr:row>
      <xdr:rowOff>276225</xdr:rowOff>
    </xdr:from>
    <xdr:to>
      <xdr:col>20</xdr:col>
      <xdr:colOff>555625</xdr:colOff>
      <xdr:row>4</xdr:row>
      <xdr:rowOff>114300</xdr:rowOff>
    </xdr:to>
    <xdr:sp macro="" textlink="">
      <xdr:nvSpPr>
        <xdr:cNvPr id="10" name="checksum">
          <a:extLst>
            <a:ext uri="{FF2B5EF4-FFF2-40B4-BE49-F238E27FC236}">
              <a16:creationId xmlns:a16="http://schemas.microsoft.com/office/drawing/2014/main" xmlns="" id="{00000000-0008-0000-1000-00000A000000}"/>
            </a:ext>
          </a:extLst>
        </xdr:cNvPr>
        <xdr:cNvSpPr txBox="1">
          <a:spLocks noChangeArrowheads="1"/>
        </xdr:cNvSpPr>
      </xdr:nvSpPr>
      <xdr:spPr bwMode="auto">
        <a:xfrm>
          <a:off x="11944350" y="647700"/>
          <a:ext cx="129952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5</xdr:row>
      <xdr:rowOff>361950</xdr:rowOff>
    </xdr:to>
    <xdr:sp macro="" textlink="">
      <xdr:nvSpPr>
        <xdr:cNvPr id="11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000-00000B000000}"/>
            </a:ext>
          </a:extLst>
        </xdr:cNvPr>
        <xdr:cNvSpPr txBox="1">
          <a:spLocks noChangeArrowheads="1"/>
        </xdr:cNvSpPr>
      </xdr:nvSpPr>
      <xdr:spPr bwMode="auto">
        <a:xfrm>
          <a:off x="4457700" y="390525"/>
          <a:ext cx="0" cy="971550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0</xdr:colOff>
      <xdr:row>2</xdr:row>
      <xdr:rowOff>0</xdr:rowOff>
    </xdr:from>
    <xdr:to>
      <xdr:col>19</xdr:col>
      <xdr:colOff>0</xdr:colOff>
      <xdr:row>4</xdr:row>
      <xdr:rowOff>363906</xdr:rowOff>
    </xdr:to>
    <xdr:sp macro="" textlink="">
      <xdr:nvSpPr>
        <xdr:cNvPr id="6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100-000006000000}"/>
            </a:ext>
          </a:extLst>
        </xdr:cNvPr>
        <xdr:cNvSpPr txBox="1">
          <a:spLocks noChangeArrowheads="1"/>
        </xdr:cNvSpPr>
      </xdr:nvSpPr>
      <xdr:spPr bwMode="auto">
        <a:xfrm>
          <a:off x="4457700" y="438150"/>
          <a:ext cx="0" cy="93540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19</xdr:col>
      <xdr:colOff>0</xdr:colOff>
      <xdr:row>2</xdr:row>
      <xdr:rowOff>0</xdr:rowOff>
    </xdr:from>
    <xdr:to>
      <xdr:col>19</xdr:col>
      <xdr:colOff>0</xdr:colOff>
      <xdr:row>5</xdr:row>
      <xdr:rowOff>361950</xdr:rowOff>
    </xdr:to>
    <xdr:sp macro="" textlink="">
      <xdr:nvSpPr>
        <xdr:cNvPr id="11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100-00000B000000}"/>
            </a:ext>
          </a:extLst>
        </xdr:cNvPr>
        <xdr:cNvSpPr txBox="1">
          <a:spLocks noChangeArrowheads="1"/>
        </xdr:cNvSpPr>
      </xdr:nvSpPr>
      <xdr:spPr bwMode="auto">
        <a:xfrm>
          <a:off x="4457700" y="438150"/>
          <a:ext cx="0" cy="1171575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51</xdr:col>
      <xdr:colOff>0</xdr:colOff>
      <xdr:row>2</xdr:row>
      <xdr:rowOff>0</xdr:rowOff>
    </xdr:from>
    <xdr:to>
      <xdr:col>51</xdr:col>
      <xdr:colOff>0</xdr:colOff>
      <xdr:row>4</xdr:row>
      <xdr:rowOff>363906</xdr:rowOff>
    </xdr:to>
    <xdr:sp macro="" textlink="">
      <xdr:nvSpPr>
        <xdr:cNvPr id="16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100-000010000000}"/>
            </a:ext>
          </a:extLst>
        </xdr:cNvPr>
        <xdr:cNvSpPr txBox="1">
          <a:spLocks noChangeArrowheads="1"/>
        </xdr:cNvSpPr>
      </xdr:nvSpPr>
      <xdr:spPr bwMode="auto">
        <a:xfrm>
          <a:off x="4457700" y="438150"/>
          <a:ext cx="0" cy="93540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51</xdr:col>
      <xdr:colOff>0</xdr:colOff>
      <xdr:row>2</xdr:row>
      <xdr:rowOff>0</xdr:rowOff>
    </xdr:from>
    <xdr:to>
      <xdr:col>51</xdr:col>
      <xdr:colOff>0</xdr:colOff>
      <xdr:row>5</xdr:row>
      <xdr:rowOff>361950</xdr:rowOff>
    </xdr:to>
    <xdr:sp macro="" textlink="">
      <xdr:nvSpPr>
        <xdr:cNvPr id="21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100-000015000000}"/>
            </a:ext>
          </a:extLst>
        </xdr:cNvPr>
        <xdr:cNvSpPr txBox="1">
          <a:spLocks noChangeArrowheads="1"/>
        </xdr:cNvSpPr>
      </xdr:nvSpPr>
      <xdr:spPr bwMode="auto">
        <a:xfrm>
          <a:off x="4457700" y="438150"/>
          <a:ext cx="0" cy="1171575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179</xdr:col>
      <xdr:colOff>0</xdr:colOff>
      <xdr:row>2</xdr:row>
      <xdr:rowOff>0</xdr:rowOff>
    </xdr:from>
    <xdr:to>
      <xdr:col>179</xdr:col>
      <xdr:colOff>0</xdr:colOff>
      <xdr:row>4</xdr:row>
      <xdr:rowOff>363906</xdr:rowOff>
    </xdr:to>
    <xdr:sp macro="" textlink="">
      <xdr:nvSpPr>
        <xdr:cNvPr id="26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100-00001A000000}"/>
            </a:ext>
          </a:extLst>
        </xdr:cNvPr>
        <xdr:cNvSpPr txBox="1">
          <a:spLocks noChangeArrowheads="1"/>
        </xdr:cNvSpPr>
      </xdr:nvSpPr>
      <xdr:spPr bwMode="auto">
        <a:xfrm>
          <a:off x="4457700" y="438150"/>
          <a:ext cx="0" cy="93540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179</xdr:col>
      <xdr:colOff>0</xdr:colOff>
      <xdr:row>2</xdr:row>
      <xdr:rowOff>0</xdr:rowOff>
    </xdr:from>
    <xdr:to>
      <xdr:col>179</xdr:col>
      <xdr:colOff>0</xdr:colOff>
      <xdr:row>5</xdr:row>
      <xdr:rowOff>361950</xdr:rowOff>
    </xdr:to>
    <xdr:sp macro="" textlink="">
      <xdr:nvSpPr>
        <xdr:cNvPr id="31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100-00001F000000}"/>
            </a:ext>
          </a:extLst>
        </xdr:cNvPr>
        <xdr:cNvSpPr txBox="1">
          <a:spLocks noChangeArrowheads="1"/>
        </xdr:cNvSpPr>
      </xdr:nvSpPr>
      <xdr:spPr bwMode="auto">
        <a:xfrm>
          <a:off x="4457700" y="438150"/>
          <a:ext cx="0" cy="1171575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211</xdr:col>
      <xdr:colOff>0</xdr:colOff>
      <xdr:row>2</xdr:row>
      <xdr:rowOff>0</xdr:rowOff>
    </xdr:from>
    <xdr:to>
      <xdr:col>211</xdr:col>
      <xdr:colOff>0</xdr:colOff>
      <xdr:row>4</xdr:row>
      <xdr:rowOff>363906</xdr:rowOff>
    </xdr:to>
    <xdr:sp macro="" textlink="">
      <xdr:nvSpPr>
        <xdr:cNvPr id="36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100-000024000000}"/>
            </a:ext>
          </a:extLst>
        </xdr:cNvPr>
        <xdr:cNvSpPr txBox="1">
          <a:spLocks noChangeArrowheads="1"/>
        </xdr:cNvSpPr>
      </xdr:nvSpPr>
      <xdr:spPr bwMode="auto">
        <a:xfrm>
          <a:off x="4457700" y="438150"/>
          <a:ext cx="0" cy="93540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211</xdr:col>
      <xdr:colOff>0</xdr:colOff>
      <xdr:row>2</xdr:row>
      <xdr:rowOff>0</xdr:rowOff>
    </xdr:from>
    <xdr:to>
      <xdr:col>211</xdr:col>
      <xdr:colOff>0</xdr:colOff>
      <xdr:row>5</xdr:row>
      <xdr:rowOff>361950</xdr:rowOff>
    </xdr:to>
    <xdr:sp macro="" textlink="">
      <xdr:nvSpPr>
        <xdr:cNvPr id="41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100-000029000000}"/>
            </a:ext>
          </a:extLst>
        </xdr:cNvPr>
        <xdr:cNvSpPr txBox="1">
          <a:spLocks noChangeArrowheads="1"/>
        </xdr:cNvSpPr>
      </xdr:nvSpPr>
      <xdr:spPr bwMode="auto">
        <a:xfrm>
          <a:off x="4457700" y="438150"/>
          <a:ext cx="0" cy="1171575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 editAs="oneCell">
    <xdr:from>
      <xdr:col>9</xdr:col>
      <xdr:colOff>0</xdr:colOff>
      <xdr:row>2</xdr:row>
      <xdr:rowOff>28575</xdr:rowOff>
    </xdr:from>
    <xdr:to>
      <xdr:col>15</xdr:col>
      <xdr:colOff>107950</xdr:colOff>
      <xdr:row>10</xdr:row>
      <xdr:rowOff>871310</xdr:rowOff>
    </xdr:to>
    <xdr:sp macro="" textlink="">
      <xdr:nvSpPr>
        <xdr:cNvPr id="42" name="checksum">
          <a:extLst>
            <a:ext uri="{FF2B5EF4-FFF2-40B4-BE49-F238E27FC236}">
              <a16:creationId xmlns:a16="http://schemas.microsoft.com/office/drawing/2014/main" xmlns="" id="{00000000-0008-0000-1100-00002A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2533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</xdr:row>
      <xdr:rowOff>285750</xdr:rowOff>
    </xdr:from>
    <xdr:to>
      <xdr:col>14</xdr:col>
      <xdr:colOff>412751</xdr:colOff>
      <xdr:row>9</xdr:row>
      <xdr:rowOff>99785</xdr:rowOff>
    </xdr:to>
    <xdr:sp macro="" textlink="">
      <xdr:nvSpPr>
        <xdr:cNvPr id="43" name="checksum">
          <a:extLst>
            <a:ext uri="{FF2B5EF4-FFF2-40B4-BE49-F238E27FC236}">
              <a16:creationId xmlns:a16="http://schemas.microsoft.com/office/drawing/2014/main" xmlns="" id="{00000000-0008-0000-1100-00002B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1343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</xdr:row>
      <xdr:rowOff>285750</xdr:rowOff>
    </xdr:from>
    <xdr:to>
      <xdr:col>14</xdr:col>
      <xdr:colOff>431801</xdr:colOff>
      <xdr:row>9</xdr:row>
      <xdr:rowOff>99785</xdr:rowOff>
    </xdr:to>
    <xdr:sp macro="" textlink="">
      <xdr:nvSpPr>
        <xdr:cNvPr id="44" name="checksum">
          <a:extLst>
            <a:ext uri="{FF2B5EF4-FFF2-40B4-BE49-F238E27FC236}">
              <a16:creationId xmlns:a16="http://schemas.microsoft.com/office/drawing/2014/main" xmlns="" id="{00000000-0008-0000-1100-00002C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1343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</xdr:row>
      <xdr:rowOff>276225</xdr:rowOff>
    </xdr:from>
    <xdr:to>
      <xdr:col>14</xdr:col>
      <xdr:colOff>374651</xdr:colOff>
      <xdr:row>9</xdr:row>
      <xdr:rowOff>99785</xdr:rowOff>
    </xdr:to>
    <xdr:sp macro="" textlink="">
      <xdr:nvSpPr>
        <xdr:cNvPr id="45" name="checksum">
          <a:extLst>
            <a:ext uri="{FF2B5EF4-FFF2-40B4-BE49-F238E27FC236}">
              <a16:creationId xmlns:a16="http://schemas.microsoft.com/office/drawing/2014/main" xmlns="" id="{00000000-0008-0000-1100-00002D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1343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4</xdr:row>
      <xdr:rowOff>363906</xdr:rowOff>
    </xdr:to>
    <xdr:sp macro="" textlink="">
      <xdr:nvSpPr>
        <xdr:cNvPr id="46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100-00002E000000}"/>
            </a:ext>
          </a:extLst>
        </xdr:cNvPr>
        <xdr:cNvSpPr txBox="1">
          <a:spLocks noChangeArrowheads="1"/>
        </xdr:cNvSpPr>
      </xdr:nvSpPr>
      <xdr:spPr bwMode="auto">
        <a:xfrm>
          <a:off x="4457700" y="438150"/>
          <a:ext cx="0" cy="93540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 editAs="oneCell">
    <xdr:from>
      <xdr:col>9</xdr:col>
      <xdr:colOff>0</xdr:colOff>
      <xdr:row>2</xdr:row>
      <xdr:rowOff>285750</xdr:rowOff>
    </xdr:from>
    <xdr:to>
      <xdr:col>14</xdr:col>
      <xdr:colOff>412751</xdr:colOff>
      <xdr:row>9</xdr:row>
      <xdr:rowOff>99785</xdr:rowOff>
    </xdr:to>
    <xdr:sp macro="" textlink="">
      <xdr:nvSpPr>
        <xdr:cNvPr id="48" name="checksum">
          <a:extLst>
            <a:ext uri="{FF2B5EF4-FFF2-40B4-BE49-F238E27FC236}">
              <a16:creationId xmlns:a16="http://schemas.microsoft.com/office/drawing/2014/main" xmlns="" id="{00000000-0008-0000-1100-000030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1343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1229591</xdr:colOff>
      <xdr:row>1</xdr:row>
      <xdr:rowOff>170585</xdr:rowOff>
    </xdr:from>
    <xdr:to>
      <xdr:col>14</xdr:col>
      <xdr:colOff>414484</xdr:colOff>
      <xdr:row>7</xdr:row>
      <xdr:rowOff>101023</xdr:rowOff>
    </xdr:to>
    <xdr:sp macro="" textlink="">
      <xdr:nvSpPr>
        <xdr:cNvPr id="49" name="checksum">
          <a:extLst>
            <a:ext uri="{FF2B5EF4-FFF2-40B4-BE49-F238E27FC236}">
              <a16:creationId xmlns:a16="http://schemas.microsoft.com/office/drawing/2014/main" xmlns="" id="{00000000-0008-0000-1100-000031000000}"/>
            </a:ext>
          </a:extLst>
        </xdr:cNvPr>
        <xdr:cNvSpPr txBox="1">
          <a:spLocks noChangeArrowheads="1"/>
        </xdr:cNvSpPr>
      </xdr:nvSpPr>
      <xdr:spPr bwMode="auto">
        <a:xfrm>
          <a:off x="11914909" y="378403"/>
          <a:ext cx="6666346" cy="13551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5</xdr:row>
      <xdr:rowOff>361950</xdr:rowOff>
    </xdr:to>
    <xdr:sp macro="" textlink="">
      <xdr:nvSpPr>
        <xdr:cNvPr id="51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100-000033000000}"/>
            </a:ext>
          </a:extLst>
        </xdr:cNvPr>
        <xdr:cNvSpPr txBox="1">
          <a:spLocks noChangeArrowheads="1"/>
        </xdr:cNvSpPr>
      </xdr:nvSpPr>
      <xdr:spPr bwMode="auto">
        <a:xfrm>
          <a:off x="4457700" y="438150"/>
          <a:ext cx="0" cy="1171575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35</xdr:col>
      <xdr:colOff>0</xdr:colOff>
      <xdr:row>2</xdr:row>
      <xdr:rowOff>0</xdr:rowOff>
    </xdr:from>
    <xdr:to>
      <xdr:col>35</xdr:col>
      <xdr:colOff>0</xdr:colOff>
      <xdr:row>4</xdr:row>
      <xdr:rowOff>363906</xdr:rowOff>
    </xdr:to>
    <xdr:sp macro="" textlink="">
      <xdr:nvSpPr>
        <xdr:cNvPr id="19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100-000013000000}"/>
            </a:ext>
          </a:extLst>
        </xdr:cNvPr>
        <xdr:cNvSpPr txBox="1">
          <a:spLocks noChangeArrowheads="1"/>
        </xdr:cNvSpPr>
      </xdr:nvSpPr>
      <xdr:spPr bwMode="auto">
        <a:xfrm>
          <a:off x="31345909" y="450273"/>
          <a:ext cx="0" cy="77867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35</xdr:col>
      <xdr:colOff>0</xdr:colOff>
      <xdr:row>2</xdr:row>
      <xdr:rowOff>0</xdr:rowOff>
    </xdr:from>
    <xdr:to>
      <xdr:col>35</xdr:col>
      <xdr:colOff>0</xdr:colOff>
      <xdr:row>5</xdr:row>
      <xdr:rowOff>361950</xdr:rowOff>
    </xdr:to>
    <xdr:sp macro="" textlink="">
      <xdr:nvSpPr>
        <xdr:cNvPr id="20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100-000014000000}"/>
            </a:ext>
          </a:extLst>
        </xdr:cNvPr>
        <xdr:cNvSpPr txBox="1">
          <a:spLocks noChangeArrowheads="1"/>
        </xdr:cNvSpPr>
      </xdr:nvSpPr>
      <xdr:spPr bwMode="auto">
        <a:xfrm>
          <a:off x="31345909" y="450273"/>
          <a:ext cx="0" cy="1007918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67</xdr:col>
      <xdr:colOff>0</xdr:colOff>
      <xdr:row>2</xdr:row>
      <xdr:rowOff>0</xdr:rowOff>
    </xdr:from>
    <xdr:to>
      <xdr:col>67</xdr:col>
      <xdr:colOff>0</xdr:colOff>
      <xdr:row>4</xdr:row>
      <xdr:rowOff>363906</xdr:rowOff>
    </xdr:to>
    <xdr:sp macro="" textlink="">
      <xdr:nvSpPr>
        <xdr:cNvPr id="22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100-000016000000}"/>
            </a:ext>
          </a:extLst>
        </xdr:cNvPr>
        <xdr:cNvSpPr txBox="1">
          <a:spLocks noChangeArrowheads="1"/>
        </xdr:cNvSpPr>
      </xdr:nvSpPr>
      <xdr:spPr bwMode="auto">
        <a:xfrm>
          <a:off x="80477591" y="450273"/>
          <a:ext cx="0" cy="77867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67</xdr:col>
      <xdr:colOff>0</xdr:colOff>
      <xdr:row>2</xdr:row>
      <xdr:rowOff>0</xdr:rowOff>
    </xdr:from>
    <xdr:to>
      <xdr:col>67</xdr:col>
      <xdr:colOff>0</xdr:colOff>
      <xdr:row>5</xdr:row>
      <xdr:rowOff>361950</xdr:rowOff>
    </xdr:to>
    <xdr:sp macro="" textlink="">
      <xdr:nvSpPr>
        <xdr:cNvPr id="23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100-000017000000}"/>
            </a:ext>
          </a:extLst>
        </xdr:cNvPr>
        <xdr:cNvSpPr txBox="1">
          <a:spLocks noChangeArrowheads="1"/>
        </xdr:cNvSpPr>
      </xdr:nvSpPr>
      <xdr:spPr bwMode="auto">
        <a:xfrm>
          <a:off x="80477591" y="450273"/>
          <a:ext cx="0" cy="1007918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83</xdr:col>
      <xdr:colOff>0</xdr:colOff>
      <xdr:row>2</xdr:row>
      <xdr:rowOff>0</xdr:rowOff>
    </xdr:from>
    <xdr:to>
      <xdr:col>83</xdr:col>
      <xdr:colOff>0</xdr:colOff>
      <xdr:row>4</xdr:row>
      <xdr:rowOff>363906</xdr:rowOff>
    </xdr:to>
    <xdr:sp macro="" textlink="">
      <xdr:nvSpPr>
        <xdr:cNvPr id="24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100-000018000000}"/>
            </a:ext>
          </a:extLst>
        </xdr:cNvPr>
        <xdr:cNvSpPr txBox="1">
          <a:spLocks noChangeArrowheads="1"/>
        </xdr:cNvSpPr>
      </xdr:nvSpPr>
      <xdr:spPr bwMode="auto">
        <a:xfrm>
          <a:off x="105346500" y="450273"/>
          <a:ext cx="0" cy="77867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83</xdr:col>
      <xdr:colOff>0</xdr:colOff>
      <xdr:row>2</xdr:row>
      <xdr:rowOff>0</xdr:rowOff>
    </xdr:from>
    <xdr:to>
      <xdr:col>83</xdr:col>
      <xdr:colOff>0</xdr:colOff>
      <xdr:row>5</xdr:row>
      <xdr:rowOff>361950</xdr:rowOff>
    </xdr:to>
    <xdr:sp macro="" textlink="">
      <xdr:nvSpPr>
        <xdr:cNvPr id="25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100-000019000000}"/>
            </a:ext>
          </a:extLst>
        </xdr:cNvPr>
        <xdr:cNvSpPr txBox="1">
          <a:spLocks noChangeArrowheads="1"/>
        </xdr:cNvSpPr>
      </xdr:nvSpPr>
      <xdr:spPr bwMode="auto">
        <a:xfrm>
          <a:off x="105346500" y="450273"/>
          <a:ext cx="0" cy="1007918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99</xdr:col>
      <xdr:colOff>0</xdr:colOff>
      <xdr:row>2</xdr:row>
      <xdr:rowOff>0</xdr:rowOff>
    </xdr:from>
    <xdr:to>
      <xdr:col>99</xdr:col>
      <xdr:colOff>0</xdr:colOff>
      <xdr:row>4</xdr:row>
      <xdr:rowOff>363906</xdr:rowOff>
    </xdr:to>
    <xdr:sp macro="" textlink="">
      <xdr:nvSpPr>
        <xdr:cNvPr id="27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100-00001B000000}"/>
            </a:ext>
          </a:extLst>
        </xdr:cNvPr>
        <xdr:cNvSpPr txBox="1">
          <a:spLocks noChangeArrowheads="1"/>
        </xdr:cNvSpPr>
      </xdr:nvSpPr>
      <xdr:spPr bwMode="auto">
        <a:xfrm>
          <a:off x="130215409" y="450273"/>
          <a:ext cx="0" cy="77867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99</xdr:col>
      <xdr:colOff>0</xdr:colOff>
      <xdr:row>2</xdr:row>
      <xdr:rowOff>0</xdr:rowOff>
    </xdr:from>
    <xdr:to>
      <xdr:col>99</xdr:col>
      <xdr:colOff>0</xdr:colOff>
      <xdr:row>5</xdr:row>
      <xdr:rowOff>361950</xdr:rowOff>
    </xdr:to>
    <xdr:sp macro="" textlink="">
      <xdr:nvSpPr>
        <xdr:cNvPr id="28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100-00001C000000}"/>
            </a:ext>
          </a:extLst>
        </xdr:cNvPr>
        <xdr:cNvSpPr txBox="1">
          <a:spLocks noChangeArrowheads="1"/>
        </xdr:cNvSpPr>
      </xdr:nvSpPr>
      <xdr:spPr bwMode="auto">
        <a:xfrm>
          <a:off x="130215409" y="450273"/>
          <a:ext cx="0" cy="1007918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115</xdr:col>
      <xdr:colOff>0</xdr:colOff>
      <xdr:row>2</xdr:row>
      <xdr:rowOff>0</xdr:rowOff>
    </xdr:from>
    <xdr:to>
      <xdr:col>115</xdr:col>
      <xdr:colOff>0</xdr:colOff>
      <xdr:row>4</xdr:row>
      <xdr:rowOff>363906</xdr:rowOff>
    </xdr:to>
    <xdr:sp macro="" textlink="">
      <xdr:nvSpPr>
        <xdr:cNvPr id="29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100-00001D000000}"/>
            </a:ext>
          </a:extLst>
        </xdr:cNvPr>
        <xdr:cNvSpPr txBox="1">
          <a:spLocks noChangeArrowheads="1"/>
        </xdr:cNvSpPr>
      </xdr:nvSpPr>
      <xdr:spPr bwMode="auto">
        <a:xfrm>
          <a:off x="155084318" y="450273"/>
          <a:ext cx="0" cy="77867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115</xdr:col>
      <xdr:colOff>0</xdr:colOff>
      <xdr:row>2</xdr:row>
      <xdr:rowOff>0</xdr:rowOff>
    </xdr:from>
    <xdr:to>
      <xdr:col>115</xdr:col>
      <xdr:colOff>0</xdr:colOff>
      <xdr:row>5</xdr:row>
      <xdr:rowOff>361950</xdr:rowOff>
    </xdr:to>
    <xdr:sp macro="" textlink="">
      <xdr:nvSpPr>
        <xdr:cNvPr id="30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100-00001E000000}"/>
            </a:ext>
          </a:extLst>
        </xdr:cNvPr>
        <xdr:cNvSpPr txBox="1">
          <a:spLocks noChangeArrowheads="1"/>
        </xdr:cNvSpPr>
      </xdr:nvSpPr>
      <xdr:spPr bwMode="auto">
        <a:xfrm>
          <a:off x="155084318" y="450273"/>
          <a:ext cx="0" cy="1007918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131</xdr:col>
      <xdr:colOff>0</xdr:colOff>
      <xdr:row>2</xdr:row>
      <xdr:rowOff>0</xdr:rowOff>
    </xdr:from>
    <xdr:to>
      <xdr:col>131</xdr:col>
      <xdr:colOff>0</xdr:colOff>
      <xdr:row>4</xdr:row>
      <xdr:rowOff>363906</xdr:rowOff>
    </xdr:to>
    <xdr:sp macro="" textlink="">
      <xdr:nvSpPr>
        <xdr:cNvPr id="32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100-000020000000}"/>
            </a:ext>
          </a:extLst>
        </xdr:cNvPr>
        <xdr:cNvSpPr txBox="1">
          <a:spLocks noChangeArrowheads="1"/>
        </xdr:cNvSpPr>
      </xdr:nvSpPr>
      <xdr:spPr bwMode="auto">
        <a:xfrm>
          <a:off x="179953227" y="450273"/>
          <a:ext cx="0" cy="77867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131</xdr:col>
      <xdr:colOff>0</xdr:colOff>
      <xdr:row>2</xdr:row>
      <xdr:rowOff>0</xdr:rowOff>
    </xdr:from>
    <xdr:to>
      <xdr:col>131</xdr:col>
      <xdr:colOff>0</xdr:colOff>
      <xdr:row>5</xdr:row>
      <xdr:rowOff>361950</xdr:rowOff>
    </xdr:to>
    <xdr:sp macro="" textlink="">
      <xdr:nvSpPr>
        <xdr:cNvPr id="33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100-000021000000}"/>
            </a:ext>
          </a:extLst>
        </xdr:cNvPr>
        <xdr:cNvSpPr txBox="1">
          <a:spLocks noChangeArrowheads="1"/>
        </xdr:cNvSpPr>
      </xdr:nvSpPr>
      <xdr:spPr bwMode="auto">
        <a:xfrm>
          <a:off x="179953227" y="450273"/>
          <a:ext cx="0" cy="1007918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147</xdr:col>
      <xdr:colOff>0</xdr:colOff>
      <xdr:row>2</xdr:row>
      <xdr:rowOff>0</xdr:rowOff>
    </xdr:from>
    <xdr:to>
      <xdr:col>147</xdr:col>
      <xdr:colOff>0</xdr:colOff>
      <xdr:row>4</xdr:row>
      <xdr:rowOff>363906</xdr:rowOff>
    </xdr:to>
    <xdr:sp macro="" textlink="">
      <xdr:nvSpPr>
        <xdr:cNvPr id="34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100-000022000000}"/>
            </a:ext>
          </a:extLst>
        </xdr:cNvPr>
        <xdr:cNvSpPr txBox="1">
          <a:spLocks noChangeArrowheads="1"/>
        </xdr:cNvSpPr>
      </xdr:nvSpPr>
      <xdr:spPr bwMode="auto">
        <a:xfrm>
          <a:off x="204822136" y="450273"/>
          <a:ext cx="0" cy="77867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147</xdr:col>
      <xdr:colOff>0</xdr:colOff>
      <xdr:row>2</xdr:row>
      <xdr:rowOff>0</xdr:rowOff>
    </xdr:from>
    <xdr:to>
      <xdr:col>147</xdr:col>
      <xdr:colOff>0</xdr:colOff>
      <xdr:row>5</xdr:row>
      <xdr:rowOff>361950</xdr:rowOff>
    </xdr:to>
    <xdr:sp macro="" textlink="">
      <xdr:nvSpPr>
        <xdr:cNvPr id="35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100-000023000000}"/>
            </a:ext>
          </a:extLst>
        </xdr:cNvPr>
        <xdr:cNvSpPr txBox="1">
          <a:spLocks noChangeArrowheads="1"/>
        </xdr:cNvSpPr>
      </xdr:nvSpPr>
      <xdr:spPr bwMode="auto">
        <a:xfrm>
          <a:off x="204822136" y="450273"/>
          <a:ext cx="0" cy="1007918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163</xdr:col>
      <xdr:colOff>0</xdr:colOff>
      <xdr:row>2</xdr:row>
      <xdr:rowOff>0</xdr:rowOff>
    </xdr:from>
    <xdr:to>
      <xdr:col>163</xdr:col>
      <xdr:colOff>0</xdr:colOff>
      <xdr:row>4</xdr:row>
      <xdr:rowOff>363906</xdr:rowOff>
    </xdr:to>
    <xdr:sp macro="" textlink="">
      <xdr:nvSpPr>
        <xdr:cNvPr id="37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100-000025000000}"/>
            </a:ext>
          </a:extLst>
        </xdr:cNvPr>
        <xdr:cNvSpPr txBox="1">
          <a:spLocks noChangeArrowheads="1"/>
        </xdr:cNvSpPr>
      </xdr:nvSpPr>
      <xdr:spPr bwMode="auto">
        <a:xfrm>
          <a:off x="229691045" y="450273"/>
          <a:ext cx="0" cy="77867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163</xdr:col>
      <xdr:colOff>0</xdr:colOff>
      <xdr:row>2</xdr:row>
      <xdr:rowOff>0</xdr:rowOff>
    </xdr:from>
    <xdr:to>
      <xdr:col>163</xdr:col>
      <xdr:colOff>0</xdr:colOff>
      <xdr:row>5</xdr:row>
      <xdr:rowOff>361950</xdr:rowOff>
    </xdr:to>
    <xdr:sp macro="" textlink="">
      <xdr:nvSpPr>
        <xdr:cNvPr id="38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100-000026000000}"/>
            </a:ext>
          </a:extLst>
        </xdr:cNvPr>
        <xdr:cNvSpPr txBox="1">
          <a:spLocks noChangeArrowheads="1"/>
        </xdr:cNvSpPr>
      </xdr:nvSpPr>
      <xdr:spPr bwMode="auto">
        <a:xfrm>
          <a:off x="229691045" y="450273"/>
          <a:ext cx="0" cy="1007918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195</xdr:col>
      <xdr:colOff>0</xdr:colOff>
      <xdr:row>2</xdr:row>
      <xdr:rowOff>0</xdr:rowOff>
    </xdr:from>
    <xdr:to>
      <xdr:col>195</xdr:col>
      <xdr:colOff>0</xdr:colOff>
      <xdr:row>4</xdr:row>
      <xdr:rowOff>363906</xdr:rowOff>
    </xdr:to>
    <xdr:sp macro="" textlink="">
      <xdr:nvSpPr>
        <xdr:cNvPr id="40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100-000028000000}"/>
            </a:ext>
          </a:extLst>
        </xdr:cNvPr>
        <xdr:cNvSpPr txBox="1">
          <a:spLocks noChangeArrowheads="1"/>
        </xdr:cNvSpPr>
      </xdr:nvSpPr>
      <xdr:spPr bwMode="auto">
        <a:xfrm>
          <a:off x="279428864" y="450273"/>
          <a:ext cx="0" cy="77867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195</xdr:col>
      <xdr:colOff>0</xdr:colOff>
      <xdr:row>2</xdr:row>
      <xdr:rowOff>0</xdr:rowOff>
    </xdr:from>
    <xdr:to>
      <xdr:col>195</xdr:col>
      <xdr:colOff>0</xdr:colOff>
      <xdr:row>5</xdr:row>
      <xdr:rowOff>361950</xdr:rowOff>
    </xdr:to>
    <xdr:sp macro="" textlink="">
      <xdr:nvSpPr>
        <xdr:cNvPr id="47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100-00002F000000}"/>
            </a:ext>
          </a:extLst>
        </xdr:cNvPr>
        <xdr:cNvSpPr txBox="1">
          <a:spLocks noChangeArrowheads="1"/>
        </xdr:cNvSpPr>
      </xdr:nvSpPr>
      <xdr:spPr bwMode="auto">
        <a:xfrm>
          <a:off x="279428864" y="450273"/>
          <a:ext cx="0" cy="1007918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227</xdr:col>
      <xdr:colOff>0</xdr:colOff>
      <xdr:row>2</xdr:row>
      <xdr:rowOff>0</xdr:rowOff>
    </xdr:from>
    <xdr:to>
      <xdr:col>227</xdr:col>
      <xdr:colOff>0</xdr:colOff>
      <xdr:row>4</xdr:row>
      <xdr:rowOff>363906</xdr:rowOff>
    </xdr:to>
    <xdr:sp macro="" textlink="">
      <xdr:nvSpPr>
        <xdr:cNvPr id="50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100-000032000000}"/>
            </a:ext>
          </a:extLst>
        </xdr:cNvPr>
        <xdr:cNvSpPr txBox="1">
          <a:spLocks noChangeArrowheads="1"/>
        </xdr:cNvSpPr>
      </xdr:nvSpPr>
      <xdr:spPr bwMode="auto">
        <a:xfrm>
          <a:off x="329166682" y="450273"/>
          <a:ext cx="0" cy="77867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227</xdr:col>
      <xdr:colOff>0</xdr:colOff>
      <xdr:row>2</xdr:row>
      <xdr:rowOff>0</xdr:rowOff>
    </xdr:from>
    <xdr:to>
      <xdr:col>227</xdr:col>
      <xdr:colOff>0</xdr:colOff>
      <xdr:row>5</xdr:row>
      <xdr:rowOff>361950</xdr:rowOff>
    </xdr:to>
    <xdr:sp macro="" textlink="">
      <xdr:nvSpPr>
        <xdr:cNvPr id="53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100-000035000000}"/>
            </a:ext>
          </a:extLst>
        </xdr:cNvPr>
        <xdr:cNvSpPr txBox="1">
          <a:spLocks noChangeArrowheads="1"/>
        </xdr:cNvSpPr>
      </xdr:nvSpPr>
      <xdr:spPr bwMode="auto">
        <a:xfrm>
          <a:off x="329166682" y="450273"/>
          <a:ext cx="0" cy="1007918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0</xdr:colOff>
      <xdr:row>0</xdr:row>
      <xdr:rowOff>76200</xdr:rowOff>
    </xdr:from>
    <xdr:to>
      <xdr:col>24</xdr:col>
      <xdr:colOff>107949</xdr:colOff>
      <xdr:row>3</xdr:row>
      <xdr:rowOff>120650</xdr:rowOff>
    </xdr:to>
    <xdr:sp macro="" textlink="">
      <xdr:nvSpPr>
        <xdr:cNvPr id="2" name="checksum">
          <a:extLst>
            <a:ext uri="{FF2B5EF4-FFF2-40B4-BE49-F238E27FC236}">
              <a16:creationId xmlns:a16="http://schemas.microsoft.com/office/drawing/2014/main" xmlns="" id="{00000000-0008-0000-1200-000002000000}"/>
            </a:ext>
          </a:extLst>
        </xdr:cNvPr>
        <xdr:cNvSpPr txBox="1">
          <a:spLocks noChangeArrowheads="1"/>
        </xdr:cNvSpPr>
      </xdr:nvSpPr>
      <xdr:spPr bwMode="auto">
        <a:xfrm>
          <a:off x="25431750" y="76200"/>
          <a:ext cx="7632699" cy="742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23</xdr:col>
      <xdr:colOff>412749</xdr:colOff>
      <xdr:row>4</xdr:row>
      <xdr:rowOff>180975</xdr:rowOff>
    </xdr:to>
    <xdr:sp macro="" textlink="">
      <xdr:nvSpPr>
        <xdr:cNvPr id="3" name="checksum">
          <a:extLst>
            <a:ext uri="{FF2B5EF4-FFF2-40B4-BE49-F238E27FC236}">
              <a16:creationId xmlns:a16="http://schemas.microsoft.com/office/drawing/2014/main" xmlns="" id="{00000000-0008-0000-1200-000003000000}"/>
            </a:ext>
          </a:extLst>
        </xdr:cNvPr>
        <xdr:cNvSpPr txBox="1">
          <a:spLocks noChangeArrowheads="1"/>
        </xdr:cNvSpPr>
      </xdr:nvSpPr>
      <xdr:spPr bwMode="auto">
        <a:xfrm>
          <a:off x="25669875" y="695325"/>
          <a:ext cx="6651623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23</xdr:col>
      <xdr:colOff>431799</xdr:colOff>
      <xdr:row>4</xdr:row>
      <xdr:rowOff>180975</xdr:rowOff>
    </xdr:to>
    <xdr:sp macro="" textlink="">
      <xdr:nvSpPr>
        <xdr:cNvPr id="4" name="checksum">
          <a:extLst>
            <a:ext uri="{FF2B5EF4-FFF2-40B4-BE49-F238E27FC236}">
              <a16:creationId xmlns:a16="http://schemas.microsoft.com/office/drawing/2014/main" xmlns="" id="{00000000-0008-0000-1200-000004000000}"/>
            </a:ext>
          </a:extLst>
        </xdr:cNvPr>
        <xdr:cNvSpPr txBox="1">
          <a:spLocks noChangeArrowheads="1"/>
        </xdr:cNvSpPr>
      </xdr:nvSpPr>
      <xdr:spPr bwMode="auto">
        <a:xfrm>
          <a:off x="25669875" y="695325"/>
          <a:ext cx="6670673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23</xdr:col>
      <xdr:colOff>374649</xdr:colOff>
      <xdr:row>4</xdr:row>
      <xdr:rowOff>180975</xdr:rowOff>
    </xdr:to>
    <xdr:sp macro="" textlink="">
      <xdr:nvSpPr>
        <xdr:cNvPr id="5" name="checksum">
          <a:extLst>
            <a:ext uri="{FF2B5EF4-FFF2-40B4-BE49-F238E27FC236}">
              <a16:creationId xmlns:a16="http://schemas.microsoft.com/office/drawing/2014/main" xmlns="" id="{00000000-0008-0000-1200-000005000000}"/>
            </a:ext>
          </a:extLst>
        </xdr:cNvPr>
        <xdr:cNvSpPr txBox="1">
          <a:spLocks noChangeArrowheads="1"/>
        </xdr:cNvSpPr>
      </xdr:nvSpPr>
      <xdr:spPr bwMode="auto">
        <a:xfrm>
          <a:off x="25669875" y="695325"/>
          <a:ext cx="6613523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24</xdr:col>
      <xdr:colOff>107949</xdr:colOff>
      <xdr:row>5</xdr:row>
      <xdr:rowOff>9525</xdr:rowOff>
    </xdr:to>
    <xdr:sp macro="" textlink="">
      <xdr:nvSpPr>
        <xdr:cNvPr id="6" name="checksum">
          <a:extLst>
            <a:ext uri="{FF2B5EF4-FFF2-40B4-BE49-F238E27FC236}">
              <a16:creationId xmlns:a16="http://schemas.microsoft.com/office/drawing/2014/main" xmlns="" id="{00000000-0008-0000-1200-000006000000}"/>
            </a:ext>
          </a:extLst>
        </xdr:cNvPr>
        <xdr:cNvSpPr txBox="1">
          <a:spLocks noChangeArrowheads="1"/>
        </xdr:cNvSpPr>
      </xdr:nvSpPr>
      <xdr:spPr bwMode="auto">
        <a:xfrm>
          <a:off x="25669875" y="466725"/>
          <a:ext cx="7594599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23</xdr:col>
      <xdr:colOff>412749</xdr:colOff>
      <xdr:row>4</xdr:row>
      <xdr:rowOff>180975</xdr:rowOff>
    </xdr:to>
    <xdr:sp macro="" textlink="">
      <xdr:nvSpPr>
        <xdr:cNvPr id="7" name="checksum">
          <a:extLst>
            <a:ext uri="{FF2B5EF4-FFF2-40B4-BE49-F238E27FC236}">
              <a16:creationId xmlns:a16="http://schemas.microsoft.com/office/drawing/2014/main" xmlns="" id="{00000000-0008-0000-1200-000007000000}"/>
            </a:ext>
          </a:extLst>
        </xdr:cNvPr>
        <xdr:cNvSpPr txBox="1">
          <a:spLocks noChangeArrowheads="1"/>
        </xdr:cNvSpPr>
      </xdr:nvSpPr>
      <xdr:spPr bwMode="auto">
        <a:xfrm>
          <a:off x="25669875" y="695325"/>
          <a:ext cx="6651623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23</xdr:col>
      <xdr:colOff>431799</xdr:colOff>
      <xdr:row>4</xdr:row>
      <xdr:rowOff>180975</xdr:rowOff>
    </xdr:to>
    <xdr:sp macro="" textlink="">
      <xdr:nvSpPr>
        <xdr:cNvPr id="8" name="checksum">
          <a:extLst>
            <a:ext uri="{FF2B5EF4-FFF2-40B4-BE49-F238E27FC236}">
              <a16:creationId xmlns:a16="http://schemas.microsoft.com/office/drawing/2014/main" xmlns="" id="{00000000-0008-0000-1200-000008000000}"/>
            </a:ext>
          </a:extLst>
        </xdr:cNvPr>
        <xdr:cNvSpPr txBox="1">
          <a:spLocks noChangeArrowheads="1"/>
        </xdr:cNvSpPr>
      </xdr:nvSpPr>
      <xdr:spPr bwMode="auto">
        <a:xfrm>
          <a:off x="25669875" y="695325"/>
          <a:ext cx="6670673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23</xdr:col>
      <xdr:colOff>374649</xdr:colOff>
      <xdr:row>4</xdr:row>
      <xdr:rowOff>180975</xdr:rowOff>
    </xdr:to>
    <xdr:sp macro="" textlink="">
      <xdr:nvSpPr>
        <xdr:cNvPr id="9" name="checksum">
          <a:extLst>
            <a:ext uri="{FF2B5EF4-FFF2-40B4-BE49-F238E27FC236}">
              <a16:creationId xmlns:a16="http://schemas.microsoft.com/office/drawing/2014/main" xmlns="" id="{00000000-0008-0000-1200-000009000000}"/>
            </a:ext>
          </a:extLst>
        </xdr:cNvPr>
        <xdr:cNvSpPr txBox="1">
          <a:spLocks noChangeArrowheads="1"/>
        </xdr:cNvSpPr>
      </xdr:nvSpPr>
      <xdr:spPr bwMode="auto">
        <a:xfrm>
          <a:off x="25669875" y="695325"/>
          <a:ext cx="6613523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24</xdr:col>
      <xdr:colOff>107950</xdr:colOff>
      <xdr:row>4</xdr:row>
      <xdr:rowOff>66675</xdr:rowOff>
    </xdr:to>
    <xdr:sp macro="" textlink="">
      <xdr:nvSpPr>
        <xdr:cNvPr id="10" name="checksum">
          <a:extLst>
            <a:ext uri="{FF2B5EF4-FFF2-40B4-BE49-F238E27FC236}">
              <a16:creationId xmlns:a16="http://schemas.microsoft.com/office/drawing/2014/main" xmlns="" id="{00000000-0008-0000-1200-00000A000000}"/>
            </a:ext>
          </a:extLst>
        </xdr:cNvPr>
        <xdr:cNvSpPr txBox="1">
          <a:spLocks noChangeArrowheads="1"/>
        </xdr:cNvSpPr>
      </xdr:nvSpPr>
      <xdr:spPr bwMode="auto">
        <a:xfrm>
          <a:off x="25669875" y="466725"/>
          <a:ext cx="759460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23</xdr:col>
      <xdr:colOff>412750</xdr:colOff>
      <xdr:row>4</xdr:row>
      <xdr:rowOff>114300</xdr:rowOff>
    </xdr:to>
    <xdr:sp macro="" textlink="">
      <xdr:nvSpPr>
        <xdr:cNvPr id="11" name="checksum">
          <a:extLst>
            <a:ext uri="{FF2B5EF4-FFF2-40B4-BE49-F238E27FC236}">
              <a16:creationId xmlns:a16="http://schemas.microsoft.com/office/drawing/2014/main" xmlns="" id="{00000000-0008-0000-1200-00000B000000}"/>
            </a:ext>
          </a:extLst>
        </xdr:cNvPr>
        <xdr:cNvSpPr txBox="1">
          <a:spLocks noChangeArrowheads="1"/>
        </xdr:cNvSpPr>
      </xdr:nvSpPr>
      <xdr:spPr bwMode="auto">
        <a:xfrm>
          <a:off x="25669875" y="695325"/>
          <a:ext cx="6651624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23</xdr:col>
      <xdr:colOff>431800</xdr:colOff>
      <xdr:row>4</xdr:row>
      <xdr:rowOff>114300</xdr:rowOff>
    </xdr:to>
    <xdr:sp macro="" textlink="">
      <xdr:nvSpPr>
        <xdr:cNvPr id="12" name="checksum">
          <a:extLst>
            <a:ext uri="{FF2B5EF4-FFF2-40B4-BE49-F238E27FC236}">
              <a16:creationId xmlns:a16="http://schemas.microsoft.com/office/drawing/2014/main" xmlns="" id="{00000000-0008-0000-1200-00000C000000}"/>
            </a:ext>
          </a:extLst>
        </xdr:cNvPr>
        <xdr:cNvSpPr txBox="1">
          <a:spLocks noChangeArrowheads="1"/>
        </xdr:cNvSpPr>
      </xdr:nvSpPr>
      <xdr:spPr bwMode="auto">
        <a:xfrm>
          <a:off x="25669875" y="695325"/>
          <a:ext cx="6670674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23</xdr:col>
      <xdr:colOff>374650</xdr:colOff>
      <xdr:row>4</xdr:row>
      <xdr:rowOff>114300</xdr:rowOff>
    </xdr:to>
    <xdr:sp macro="" textlink="">
      <xdr:nvSpPr>
        <xdr:cNvPr id="13" name="checksum">
          <a:extLst>
            <a:ext uri="{FF2B5EF4-FFF2-40B4-BE49-F238E27FC236}">
              <a16:creationId xmlns:a16="http://schemas.microsoft.com/office/drawing/2014/main" xmlns="" id="{00000000-0008-0000-1200-00000D000000}"/>
            </a:ext>
          </a:extLst>
        </xdr:cNvPr>
        <xdr:cNvSpPr txBox="1">
          <a:spLocks noChangeArrowheads="1"/>
        </xdr:cNvSpPr>
      </xdr:nvSpPr>
      <xdr:spPr bwMode="auto">
        <a:xfrm>
          <a:off x="25669875" y="695325"/>
          <a:ext cx="6613524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24</xdr:col>
      <xdr:colOff>107950</xdr:colOff>
      <xdr:row>4</xdr:row>
      <xdr:rowOff>66675</xdr:rowOff>
    </xdr:to>
    <xdr:sp macro="" textlink="">
      <xdr:nvSpPr>
        <xdr:cNvPr id="14" name="checksum">
          <a:extLst>
            <a:ext uri="{FF2B5EF4-FFF2-40B4-BE49-F238E27FC236}">
              <a16:creationId xmlns:a16="http://schemas.microsoft.com/office/drawing/2014/main" xmlns="" id="{00000000-0008-0000-1200-00000E000000}"/>
            </a:ext>
          </a:extLst>
        </xdr:cNvPr>
        <xdr:cNvSpPr txBox="1">
          <a:spLocks noChangeArrowheads="1"/>
        </xdr:cNvSpPr>
      </xdr:nvSpPr>
      <xdr:spPr bwMode="auto">
        <a:xfrm>
          <a:off x="25669875" y="466725"/>
          <a:ext cx="759460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23</xdr:col>
      <xdr:colOff>412750</xdr:colOff>
      <xdr:row>4</xdr:row>
      <xdr:rowOff>114300</xdr:rowOff>
    </xdr:to>
    <xdr:sp macro="" textlink="">
      <xdr:nvSpPr>
        <xdr:cNvPr id="15" name="checksum">
          <a:extLst>
            <a:ext uri="{FF2B5EF4-FFF2-40B4-BE49-F238E27FC236}">
              <a16:creationId xmlns:a16="http://schemas.microsoft.com/office/drawing/2014/main" xmlns="" id="{00000000-0008-0000-1200-00000F000000}"/>
            </a:ext>
          </a:extLst>
        </xdr:cNvPr>
        <xdr:cNvSpPr txBox="1">
          <a:spLocks noChangeArrowheads="1"/>
        </xdr:cNvSpPr>
      </xdr:nvSpPr>
      <xdr:spPr bwMode="auto">
        <a:xfrm>
          <a:off x="25669875" y="695325"/>
          <a:ext cx="6651624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23</xdr:col>
      <xdr:colOff>431800</xdr:colOff>
      <xdr:row>4</xdr:row>
      <xdr:rowOff>114300</xdr:rowOff>
    </xdr:to>
    <xdr:sp macro="" textlink="">
      <xdr:nvSpPr>
        <xdr:cNvPr id="16" name="checksum">
          <a:extLst>
            <a:ext uri="{FF2B5EF4-FFF2-40B4-BE49-F238E27FC236}">
              <a16:creationId xmlns:a16="http://schemas.microsoft.com/office/drawing/2014/main" xmlns="" id="{00000000-0008-0000-1200-000010000000}"/>
            </a:ext>
          </a:extLst>
        </xdr:cNvPr>
        <xdr:cNvSpPr txBox="1">
          <a:spLocks noChangeArrowheads="1"/>
        </xdr:cNvSpPr>
      </xdr:nvSpPr>
      <xdr:spPr bwMode="auto">
        <a:xfrm>
          <a:off x="25669875" y="695325"/>
          <a:ext cx="6670674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23</xdr:col>
      <xdr:colOff>374650</xdr:colOff>
      <xdr:row>4</xdr:row>
      <xdr:rowOff>114300</xdr:rowOff>
    </xdr:to>
    <xdr:sp macro="" textlink="">
      <xdr:nvSpPr>
        <xdr:cNvPr id="17" name="checksum">
          <a:extLst>
            <a:ext uri="{FF2B5EF4-FFF2-40B4-BE49-F238E27FC236}">
              <a16:creationId xmlns:a16="http://schemas.microsoft.com/office/drawing/2014/main" xmlns="" id="{00000000-0008-0000-1200-000011000000}"/>
            </a:ext>
          </a:extLst>
        </xdr:cNvPr>
        <xdr:cNvSpPr txBox="1">
          <a:spLocks noChangeArrowheads="1"/>
        </xdr:cNvSpPr>
      </xdr:nvSpPr>
      <xdr:spPr bwMode="auto">
        <a:xfrm>
          <a:off x="25669875" y="695325"/>
          <a:ext cx="6613524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24</xdr:col>
      <xdr:colOff>107950</xdr:colOff>
      <xdr:row>4</xdr:row>
      <xdr:rowOff>66675</xdr:rowOff>
    </xdr:to>
    <xdr:sp macro="" textlink="">
      <xdr:nvSpPr>
        <xdr:cNvPr id="18" name="checksum">
          <a:extLst>
            <a:ext uri="{FF2B5EF4-FFF2-40B4-BE49-F238E27FC236}">
              <a16:creationId xmlns:a16="http://schemas.microsoft.com/office/drawing/2014/main" xmlns="" id="{00000000-0008-0000-1200-000012000000}"/>
            </a:ext>
          </a:extLst>
        </xdr:cNvPr>
        <xdr:cNvSpPr txBox="1">
          <a:spLocks noChangeArrowheads="1"/>
        </xdr:cNvSpPr>
      </xdr:nvSpPr>
      <xdr:spPr bwMode="auto">
        <a:xfrm>
          <a:off x="25669875" y="466725"/>
          <a:ext cx="759460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23</xdr:col>
      <xdr:colOff>412749</xdr:colOff>
      <xdr:row>4</xdr:row>
      <xdr:rowOff>114300</xdr:rowOff>
    </xdr:to>
    <xdr:sp macro="" textlink="">
      <xdr:nvSpPr>
        <xdr:cNvPr id="19" name="checksum">
          <a:extLst>
            <a:ext uri="{FF2B5EF4-FFF2-40B4-BE49-F238E27FC236}">
              <a16:creationId xmlns:a16="http://schemas.microsoft.com/office/drawing/2014/main" xmlns="" id="{00000000-0008-0000-1200-000013000000}"/>
            </a:ext>
          </a:extLst>
        </xdr:cNvPr>
        <xdr:cNvSpPr txBox="1">
          <a:spLocks noChangeArrowheads="1"/>
        </xdr:cNvSpPr>
      </xdr:nvSpPr>
      <xdr:spPr bwMode="auto">
        <a:xfrm>
          <a:off x="25669875" y="695325"/>
          <a:ext cx="6651623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23</xdr:col>
      <xdr:colOff>431799</xdr:colOff>
      <xdr:row>4</xdr:row>
      <xdr:rowOff>114300</xdr:rowOff>
    </xdr:to>
    <xdr:sp macro="" textlink="">
      <xdr:nvSpPr>
        <xdr:cNvPr id="20" name="checksum">
          <a:extLst>
            <a:ext uri="{FF2B5EF4-FFF2-40B4-BE49-F238E27FC236}">
              <a16:creationId xmlns:a16="http://schemas.microsoft.com/office/drawing/2014/main" xmlns="" id="{00000000-0008-0000-1200-000014000000}"/>
            </a:ext>
          </a:extLst>
        </xdr:cNvPr>
        <xdr:cNvSpPr txBox="1">
          <a:spLocks noChangeArrowheads="1"/>
        </xdr:cNvSpPr>
      </xdr:nvSpPr>
      <xdr:spPr bwMode="auto">
        <a:xfrm>
          <a:off x="25669875" y="695325"/>
          <a:ext cx="6670673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23</xdr:col>
      <xdr:colOff>374649</xdr:colOff>
      <xdr:row>4</xdr:row>
      <xdr:rowOff>114300</xdr:rowOff>
    </xdr:to>
    <xdr:sp macro="" textlink="">
      <xdr:nvSpPr>
        <xdr:cNvPr id="21" name="checksum">
          <a:extLst>
            <a:ext uri="{FF2B5EF4-FFF2-40B4-BE49-F238E27FC236}">
              <a16:creationId xmlns:a16="http://schemas.microsoft.com/office/drawing/2014/main" xmlns="" id="{00000000-0008-0000-1200-000015000000}"/>
            </a:ext>
          </a:extLst>
        </xdr:cNvPr>
        <xdr:cNvSpPr txBox="1">
          <a:spLocks noChangeArrowheads="1"/>
        </xdr:cNvSpPr>
      </xdr:nvSpPr>
      <xdr:spPr bwMode="auto">
        <a:xfrm>
          <a:off x="25669875" y="695325"/>
          <a:ext cx="6613523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24</xdr:col>
      <xdr:colOff>107950</xdr:colOff>
      <xdr:row>4</xdr:row>
      <xdr:rowOff>66675</xdr:rowOff>
    </xdr:to>
    <xdr:sp macro="" textlink="">
      <xdr:nvSpPr>
        <xdr:cNvPr id="22" name="checksum">
          <a:extLst>
            <a:ext uri="{FF2B5EF4-FFF2-40B4-BE49-F238E27FC236}">
              <a16:creationId xmlns:a16="http://schemas.microsoft.com/office/drawing/2014/main" xmlns="" id="{00000000-0008-0000-1200-000016000000}"/>
            </a:ext>
          </a:extLst>
        </xdr:cNvPr>
        <xdr:cNvSpPr txBox="1">
          <a:spLocks noChangeArrowheads="1"/>
        </xdr:cNvSpPr>
      </xdr:nvSpPr>
      <xdr:spPr bwMode="auto">
        <a:xfrm>
          <a:off x="25669875" y="466725"/>
          <a:ext cx="759460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23</xdr:col>
      <xdr:colOff>412749</xdr:colOff>
      <xdr:row>4</xdr:row>
      <xdr:rowOff>114300</xdr:rowOff>
    </xdr:to>
    <xdr:sp macro="" textlink="">
      <xdr:nvSpPr>
        <xdr:cNvPr id="23" name="checksum">
          <a:extLst>
            <a:ext uri="{FF2B5EF4-FFF2-40B4-BE49-F238E27FC236}">
              <a16:creationId xmlns:a16="http://schemas.microsoft.com/office/drawing/2014/main" xmlns="" id="{00000000-0008-0000-1200-000017000000}"/>
            </a:ext>
          </a:extLst>
        </xdr:cNvPr>
        <xdr:cNvSpPr txBox="1">
          <a:spLocks noChangeArrowheads="1"/>
        </xdr:cNvSpPr>
      </xdr:nvSpPr>
      <xdr:spPr bwMode="auto">
        <a:xfrm>
          <a:off x="25669875" y="695325"/>
          <a:ext cx="6651623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23</xdr:col>
      <xdr:colOff>431799</xdr:colOff>
      <xdr:row>4</xdr:row>
      <xdr:rowOff>114300</xdr:rowOff>
    </xdr:to>
    <xdr:sp macro="" textlink="">
      <xdr:nvSpPr>
        <xdr:cNvPr id="24" name="checksum">
          <a:extLst>
            <a:ext uri="{FF2B5EF4-FFF2-40B4-BE49-F238E27FC236}">
              <a16:creationId xmlns:a16="http://schemas.microsoft.com/office/drawing/2014/main" xmlns="" id="{00000000-0008-0000-1200-000018000000}"/>
            </a:ext>
          </a:extLst>
        </xdr:cNvPr>
        <xdr:cNvSpPr txBox="1">
          <a:spLocks noChangeArrowheads="1"/>
        </xdr:cNvSpPr>
      </xdr:nvSpPr>
      <xdr:spPr bwMode="auto">
        <a:xfrm>
          <a:off x="25669875" y="695325"/>
          <a:ext cx="6670673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23</xdr:col>
      <xdr:colOff>374649</xdr:colOff>
      <xdr:row>4</xdr:row>
      <xdr:rowOff>114300</xdr:rowOff>
    </xdr:to>
    <xdr:sp macro="" textlink="">
      <xdr:nvSpPr>
        <xdr:cNvPr id="25" name="checksum">
          <a:extLst>
            <a:ext uri="{FF2B5EF4-FFF2-40B4-BE49-F238E27FC236}">
              <a16:creationId xmlns:a16="http://schemas.microsoft.com/office/drawing/2014/main" xmlns="" id="{00000000-0008-0000-1200-000019000000}"/>
            </a:ext>
          </a:extLst>
        </xdr:cNvPr>
        <xdr:cNvSpPr txBox="1">
          <a:spLocks noChangeArrowheads="1"/>
        </xdr:cNvSpPr>
      </xdr:nvSpPr>
      <xdr:spPr bwMode="auto">
        <a:xfrm>
          <a:off x="25669875" y="695325"/>
          <a:ext cx="6613523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24</xdr:col>
      <xdr:colOff>107949</xdr:colOff>
      <xdr:row>4</xdr:row>
      <xdr:rowOff>66675</xdr:rowOff>
    </xdr:to>
    <xdr:sp macro="" textlink="">
      <xdr:nvSpPr>
        <xdr:cNvPr id="26" name="checksum">
          <a:extLst>
            <a:ext uri="{FF2B5EF4-FFF2-40B4-BE49-F238E27FC236}">
              <a16:creationId xmlns:a16="http://schemas.microsoft.com/office/drawing/2014/main" xmlns="" id="{00000000-0008-0000-1200-00001A000000}"/>
            </a:ext>
          </a:extLst>
        </xdr:cNvPr>
        <xdr:cNvSpPr txBox="1">
          <a:spLocks noChangeArrowheads="1"/>
        </xdr:cNvSpPr>
      </xdr:nvSpPr>
      <xdr:spPr bwMode="auto">
        <a:xfrm>
          <a:off x="25669875" y="466725"/>
          <a:ext cx="7594599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23</xdr:col>
      <xdr:colOff>412749</xdr:colOff>
      <xdr:row>4</xdr:row>
      <xdr:rowOff>114300</xdr:rowOff>
    </xdr:to>
    <xdr:sp macro="" textlink="">
      <xdr:nvSpPr>
        <xdr:cNvPr id="27" name="checksum">
          <a:extLst>
            <a:ext uri="{FF2B5EF4-FFF2-40B4-BE49-F238E27FC236}">
              <a16:creationId xmlns:a16="http://schemas.microsoft.com/office/drawing/2014/main" xmlns="" id="{00000000-0008-0000-1200-00001B000000}"/>
            </a:ext>
          </a:extLst>
        </xdr:cNvPr>
        <xdr:cNvSpPr txBox="1">
          <a:spLocks noChangeArrowheads="1"/>
        </xdr:cNvSpPr>
      </xdr:nvSpPr>
      <xdr:spPr bwMode="auto">
        <a:xfrm>
          <a:off x="25669875" y="695325"/>
          <a:ext cx="6651623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23</xdr:col>
      <xdr:colOff>431799</xdr:colOff>
      <xdr:row>4</xdr:row>
      <xdr:rowOff>114300</xdr:rowOff>
    </xdr:to>
    <xdr:sp macro="" textlink="">
      <xdr:nvSpPr>
        <xdr:cNvPr id="28" name="checksum">
          <a:extLst>
            <a:ext uri="{FF2B5EF4-FFF2-40B4-BE49-F238E27FC236}">
              <a16:creationId xmlns:a16="http://schemas.microsoft.com/office/drawing/2014/main" xmlns="" id="{00000000-0008-0000-1200-00001C000000}"/>
            </a:ext>
          </a:extLst>
        </xdr:cNvPr>
        <xdr:cNvSpPr txBox="1">
          <a:spLocks noChangeArrowheads="1"/>
        </xdr:cNvSpPr>
      </xdr:nvSpPr>
      <xdr:spPr bwMode="auto">
        <a:xfrm>
          <a:off x="25669875" y="695325"/>
          <a:ext cx="6670673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23</xdr:col>
      <xdr:colOff>374649</xdr:colOff>
      <xdr:row>4</xdr:row>
      <xdr:rowOff>114300</xdr:rowOff>
    </xdr:to>
    <xdr:sp macro="" textlink="">
      <xdr:nvSpPr>
        <xdr:cNvPr id="29" name="checksum">
          <a:extLst>
            <a:ext uri="{FF2B5EF4-FFF2-40B4-BE49-F238E27FC236}">
              <a16:creationId xmlns:a16="http://schemas.microsoft.com/office/drawing/2014/main" xmlns="" id="{00000000-0008-0000-1200-00001D000000}"/>
            </a:ext>
          </a:extLst>
        </xdr:cNvPr>
        <xdr:cNvSpPr txBox="1">
          <a:spLocks noChangeArrowheads="1"/>
        </xdr:cNvSpPr>
      </xdr:nvSpPr>
      <xdr:spPr bwMode="auto">
        <a:xfrm>
          <a:off x="25669875" y="695325"/>
          <a:ext cx="6613523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24</xdr:col>
      <xdr:colOff>107949</xdr:colOff>
      <xdr:row>4</xdr:row>
      <xdr:rowOff>66675</xdr:rowOff>
    </xdr:to>
    <xdr:sp macro="" textlink="">
      <xdr:nvSpPr>
        <xdr:cNvPr id="30" name="checksum">
          <a:extLst>
            <a:ext uri="{FF2B5EF4-FFF2-40B4-BE49-F238E27FC236}">
              <a16:creationId xmlns:a16="http://schemas.microsoft.com/office/drawing/2014/main" xmlns="" id="{00000000-0008-0000-1200-00001E000000}"/>
            </a:ext>
          </a:extLst>
        </xdr:cNvPr>
        <xdr:cNvSpPr txBox="1">
          <a:spLocks noChangeArrowheads="1"/>
        </xdr:cNvSpPr>
      </xdr:nvSpPr>
      <xdr:spPr bwMode="auto">
        <a:xfrm>
          <a:off x="25669875" y="466725"/>
          <a:ext cx="7594599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23</xdr:col>
      <xdr:colOff>412749</xdr:colOff>
      <xdr:row>4</xdr:row>
      <xdr:rowOff>114300</xdr:rowOff>
    </xdr:to>
    <xdr:sp macro="" textlink="">
      <xdr:nvSpPr>
        <xdr:cNvPr id="31" name="checksum">
          <a:extLst>
            <a:ext uri="{FF2B5EF4-FFF2-40B4-BE49-F238E27FC236}">
              <a16:creationId xmlns:a16="http://schemas.microsoft.com/office/drawing/2014/main" xmlns="" id="{00000000-0008-0000-1200-00001F000000}"/>
            </a:ext>
          </a:extLst>
        </xdr:cNvPr>
        <xdr:cNvSpPr txBox="1">
          <a:spLocks noChangeArrowheads="1"/>
        </xdr:cNvSpPr>
      </xdr:nvSpPr>
      <xdr:spPr bwMode="auto">
        <a:xfrm>
          <a:off x="25669875" y="695325"/>
          <a:ext cx="6651623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23</xdr:col>
      <xdr:colOff>431799</xdr:colOff>
      <xdr:row>4</xdr:row>
      <xdr:rowOff>114300</xdr:rowOff>
    </xdr:to>
    <xdr:sp macro="" textlink="">
      <xdr:nvSpPr>
        <xdr:cNvPr id="32" name="checksum">
          <a:extLst>
            <a:ext uri="{FF2B5EF4-FFF2-40B4-BE49-F238E27FC236}">
              <a16:creationId xmlns:a16="http://schemas.microsoft.com/office/drawing/2014/main" xmlns="" id="{00000000-0008-0000-1200-000020000000}"/>
            </a:ext>
          </a:extLst>
        </xdr:cNvPr>
        <xdr:cNvSpPr txBox="1">
          <a:spLocks noChangeArrowheads="1"/>
        </xdr:cNvSpPr>
      </xdr:nvSpPr>
      <xdr:spPr bwMode="auto">
        <a:xfrm>
          <a:off x="25669875" y="695325"/>
          <a:ext cx="6670673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23</xdr:col>
      <xdr:colOff>374649</xdr:colOff>
      <xdr:row>4</xdr:row>
      <xdr:rowOff>114300</xdr:rowOff>
    </xdr:to>
    <xdr:sp macro="" textlink="">
      <xdr:nvSpPr>
        <xdr:cNvPr id="33" name="checksum">
          <a:extLst>
            <a:ext uri="{FF2B5EF4-FFF2-40B4-BE49-F238E27FC236}">
              <a16:creationId xmlns:a16="http://schemas.microsoft.com/office/drawing/2014/main" xmlns="" id="{00000000-0008-0000-1200-000021000000}"/>
            </a:ext>
          </a:extLst>
        </xdr:cNvPr>
        <xdr:cNvSpPr txBox="1">
          <a:spLocks noChangeArrowheads="1"/>
        </xdr:cNvSpPr>
      </xdr:nvSpPr>
      <xdr:spPr bwMode="auto">
        <a:xfrm>
          <a:off x="25669875" y="695325"/>
          <a:ext cx="6613523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24</xdr:col>
      <xdr:colOff>107950</xdr:colOff>
      <xdr:row>4</xdr:row>
      <xdr:rowOff>66675</xdr:rowOff>
    </xdr:to>
    <xdr:sp macro="" textlink="">
      <xdr:nvSpPr>
        <xdr:cNvPr id="34" name="checksum">
          <a:extLst>
            <a:ext uri="{FF2B5EF4-FFF2-40B4-BE49-F238E27FC236}">
              <a16:creationId xmlns:a16="http://schemas.microsoft.com/office/drawing/2014/main" xmlns="" id="{00000000-0008-0000-1200-000022000000}"/>
            </a:ext>
          </a:extLst>
        </xdr:cNvPr>
        <xdr:cNvSpPr txBox="1">
          <a:spLocks noChangeArrowheads="1"/>
        </xdr:cNvSpPr>
      </xdr:nvSpPr>
      <xdr:spPr bwMode="auto">
        <a:xfrm>
          <a:off x="25669875" y="466725"/>
          <a:ext cx="759460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23</xdr:col>
      <xdr:colOff>412750</xdr:colOff>
      <xdr:row>4</xdr:row>
      <xdr:rowOff>114300</xdr:rowOff>
    </xdr:to>
    <xdr:sp macro="" textlink="">
      <xdr:nvSpPr>
        <xdr:cNvPr id="35" name="checksum">
          <a:extLst>
            <a:ext uri="{FF2B5EF4-FFF2-40B4-BE49-F238E27FC236}">
              <a16:creationId xmlns:a16="http://schemas.microsoft.com/office/drawing/2014/main" xmlns="" id="{00000000-0008-0000-1200-000023000000}"/>
            </a:ext>
          </a:extLst>
        </xdr:cNvPr>
        <xdr:cNvSpPr txBox="1">
          <a:spLocks noChangeArrowheads="1"/>
        </xdr:cNvSpPr>
      </xdr:nvSpPr>
      <xdr:spPr bwMode="auto">
        <a:xfrm>
          <a:off x="25669875" y="695325"/>
          <a:ext cx="6651624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23</xdr:col>
      <xdr:colOff>431800</xdr:colOff>
      <xdr:row>4</xdr:row>
      <xdr:rowOff>114300</xdr:rowOff>
    </xdr:to>
    <xdr:sp macro="" textlink="">
      <xdr:nvSpPr>
        <xdr:cNvPr id="36" name="checksum">
          <a:extLst>
            <a:ext uri="{FF2B5EF4-FFF2-40B4-BE49-F238E27FC236}">
              <a16:creationId xmlns:a16="http://schemas.microsoft.com/office/drawing/2014/main" xmlns="" id="{00000000-0008-0000-1200-000024000000}"/>
            </a:ext>
          </a:extLst>
        </xdr:cNvPr>
        <xdr:cNvSpPr txBox="1">
          <a:spLocks noChangeArrowheads="1"/>
        </xdr:cNvSpPr>
      </xdr:nvSpPr>
      <xdr:spPr bwMode="auto">
        <a:xfrm>
          <a:off x="25669875" y="695325"/>
          <a:ext cx="6670674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23</xdr:col>
      <xdr:colOff>374650</xdr:colOff>
      <xdr:row>4</xdr:row>
      <xdr:rowOff>114300</xdr:rowOff>
    </xdr:to>
    <xdr:sp macro="" textlink="">
      <xdr:nvSpPr>
        <xdr:cNvPr id="37" name="checksum">
          <a:extLst>
            <a:ext uri="{FF2B5EF4-FFF2-40B4-BE49-F238E27FC236}">
              <a16:creationId xmlns:a16="http://schemas.microsoft.com/office/drawing/2014/main" xmlns="" id="{00000000-0008-0000-1200-000025000000}"/>
            </a:ext>
          </a:extLst>
        </xdr:cNvPr>
        <xdr:cNvSpPr txBox="1">
          <a:spLocks noChangeArrowheads="1"/>
        </xdr:cNvSpPr>
      </xdr:nvSpPr>
      <xdr:spPr bwMode="auto">
        <a:xfrm>
          <a:off x="25669875" y="695325"/>
          <a:ext cx="6613524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24</xdr:col>
      <xdr:colOff>107950</xdr:colOff>
      <xdr:row>4</xdr:row>
      <xdr:rowOff>66675</xdr:rowOff>
    </xdr:to>
    <xdr:sp macro="" textlink="">
      <xdr:nvSpPr>
        <xdr:cNvPr id="38" name="checksum">
          <a:extLst>
            <a:ext uri="{FF2B5EF4-FFF2-40B4-BE49-F238E27FC236}">
              <a16:creationId xmlns:a16="http://schemas.microsoft.com/office/drawing/2014/main" xmlns="" id="{00000000-0008-0000-1200-000026000000}"/>
            </a:ext>
          </a:extLst>
        </xdr:cNvPr>
        <xdr:cNvSpPr txBox="1">
          <a:spLocks noChangeArrowheads="1"/>
        </xdr:cNvSpPr>
      </xdr:nvSpPr>
      <xdr:spPr bwMode="auto">
        <a:xfrm>
          <a:off x="25669875" y="466725"/>
          <a:ext cx="759460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23</xdr:col>
      <xdr:colOff>412750</xdr:colOff>
      <xdr:row>4</xdr:row>
      <xdr:rowOff>114300</xdr:rowOff>
    </xdr:to>
    <xdr:sp macro="" textlink="">
      <xdr:nvSpPr>
        <xdr:cNvPr id="39" name="checksum">
          <a:extLst>
            <a:ext uri="{FF2B5EF4-FFF2-40B4-BE49-F238E27FC236}">
              <a16:creationId xmlns:a16="http://schemas.microsoft.com/office/drawing/2014/main" xmlns="" id="{00000000-0008-0000-1200-000027000000}"/>
            </a:ext>
          </a:extLst>
        </xdr:cNvPr>
        <xdr:cNvSpPr txBox="1">
          <a:spLocks noChangeArrowheads="1"/>
        </xdr:cNvSpPr>
      </xdr:nvSpPr>
      <xdr:spPr bwMode="auto">
        <a:xfrm>
          <a:off x="25669875" y="695325"/>
          <a:ext cx="6651624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23</xdr:col>
      <xdr:colOff>431800</xdr:colOff>
      <xdr:row>4</xdr:row>
      <xdr:rowOff>114300</xdr:rowOff>
    </xdr:to>
    <xdr:sp macro="" textlink="">
      <xdr:nvSpPr>
        <xdr:cNvPr id="40" name="checksum">
          <a:extLst>
            <a:ext uri="{FF2B5EF4-FFF2-40B4-BE49-F238E27FC236}">
              <a16:creationId xmlns:a16="http://schemas.microsoft.com/office/drawing/2014/main" xmlns="" id="{00000000-0008-0000-1200-000028000000}"/>
            </a:ext>
          </a:extLst>
        </xdr:cNvPr>
        <xdr:cNvSpPr txBox="1">
          <a:spLocks noChangeArrowheads="1"/>
        </xdr:cNvSpPr>
      </xdr:nvSpPr>
      <xdr:spPr bwMode="auto">
        <a:xfrm>
          <a:off x="25669875" y="695325"/>
          <a:ext cx="6670674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23</xdr:col>
      <xdr:colOff>374650</xdr:colOff>
      <xdr:row>4</xdr:row>
      <xdr:rowOff>114300</xdr:rowOff>
    </xdr:to>
    <xdr:sp macro="" textlink="">
      <xdr:nvSpPr>
        <xdr:cNvPr id="41" name="checksum">
          <a:extLst>
            <a:ext uri="{FF2B5EF4-FFF2-40B4-BE49-F238E27FC236}">
              <a16:creationId xmlns:a16="http://schemas.microsoft.com/office/drawing/2014/main" xmlns="" id="{00000000-0008-0000-1200-000029000000}"/>
            </a:ext>
          </a:extLst>
        </xdr:cNvPr>
        <xdr:cNvSpPr txBox="1">
          <a:spLocks noChangeArrowheads="1"/>
        </xdr:cNvSpPr>
      </xdr:nvSpPr>
      <xdr:spPr bwMode="auto">
        <a:xfrm>
          <a:off x="25669875" y="695325"/>
          <a:ext cx="6613524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24</xdr:col>
      <xdr:colOff>107950</xdr:colOff>
      <xdr:row>4</xdr:row>
      <xdr:rowOff>66675</xdr:rowOff>
    </xdr:to>
    <xdr:sp macro="" textlink="">
      <xdr:nvSpPr>
        <xdr:cNvPr id="42" name="checksum">
          <a:extLst>
            <a:ext uri="{FF2B5EF4-FFF2-40B4-BE49-F238E27FC236}">
              <a16:creationId xmlns:a16="http://schemas.microsoft.com/office/drawing/2014/main" xmlns="" id="{00000000-0008-0000-1200-00002A000000}"/>
            </a:ext>
          </a:extLst>
        </xdr:cNvPr>
        <xdr:cNvSpPr txBox="1">
          <a:spLocks noChangeArrowheads="1"/>
        </xdr:cNvSpPr>
      </xdr:nvSpPr>
      <xdr:spPr bwMode="auto">
        <a:xfrm>
          <a:off x="25669875" y="466725"/>
          <a:ext cx="759460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23</xdr:col>
      <xdr:colOff>412750</xdr:colOff>
      <xdr:row>4</xdr:row>
      <xdr:rowOff>114300</xdr:rowOff>
    </xdr:to>
    <xdr:sp macro="" textlink="">
      <xdr:nvSpPr>
        <xdr:cNvPr id="43" name="checksum">
          <a:extLst>
            <a:ext uri="{FF2B5EF4-FFF2-40B4-BE49-F238E27FC236}">
              <a16:creationId xmlns:a16="http://schemas.microsoft.com/office/drawing/2014/main" xmlns="" id="{00000000-0008-0000-1200-00002B000000}"/>
            </a:ext>
          </a:extLst>
        </xdr:cNvPr>
        <xdr:cNvSpPr txBox="1">
          <a:spLocks noChangeArrowheads="1"/>
        </xdr:cNvSpPr>
      </xdr:nvSpPr>
      <xdr:spPr bwMode="auto">
        <a:xfrm>
          <a:off x="25669875" y="695325"/>
          <a:ext cx="6651624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23</xdr:col>
      <xdr:colOff>431800</xdr:colOff>
      <xdr:row>4</xdr:row>
      <xdr:rowOff>114300</xdr:rowOff>
    </xdr:to>
    <xdr:sp macro="" textlink="">
      <xdr:nvSpPr>
        <xdr:cNvPr id="44" name="checksum">
          <a:extLst>
            <a:ext uri="{FF2B5EF4-FFF2-40B4-BE49-F238E27FC236}">
              <a16:creationId xmlns:a16="http://schemas.microsoft.com/office/drawing/2014/main" xmlns="" id="{00000000-0008-0000-1200-00002C000000}"/>
            </a:ext>
          </a:extLst>
        </xdr:cNvPr>
        <xdr:cNvSpPr txBox="1">
          <a:spLocks noChangeArrowheads="1"/>
        </xdr:cNvSpPr>
      </xdr:nvSpPr>
      <xdr:spPr bwMode="auto">
        <a:xfrm>
          <a:off x="25669875" y="695325"/>
          <a:ext cx="6670674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23</xdr:col>
      <xdr:colOff>374650</xdr:colOff>
      <xdr:row>4</xdr:row>
      <xdr:rowOff>114300</xdr:rowOff>
    </xdr:to>
    <xdr:sp macro="" textlink="">
      <xdr:nvSpPr>
        <xdr:cNvPr id="45" name="checksum">
          <a:extLst>
            <a:ext uri="{FF2B5EF4-FFF2-40B4-BE49-F238E27FC236}">
              <a16:creationId xmlns:a16="http://schemas.microsoft.com/office/drawing/2014/main" xmlns="" id="{00000000-0008-0000-1200-00002D000000}"/>
            </a:ext>
          </a:extLst>
        </xdr:cNvPr>
        <xdr:cNvSpPr txBox="1">
          <a:spLocks noChangeArrowheads="1"/>
        </xdr:cNvSpPr>
      </xdr:nvSpPr>
      <xdr:spPr bwMode="auto">
        <a:xfrm>
          <a:off x="25669875" y="695325"/>
          <a:ext cx="6613524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24</xdr:col>
      <xdr:colOff>107950</xdr:colOff>
      <xdr:row>4</xdr:row>
      <xdr:rowOff>66675</xdr:rowOff>
    </xdr:to>
    <xdr:sp macro="" textlink="">
      <xdr:nvSpPr>
        <xdr:cNvPr id="46" name="checksum">
          <a:extLst>
            <a:ext uri="{FF2B5EF4-FFF2-40B4-BE49-F238E27FC236}">
              <a16:creationId xmlns:a16="http://schemas.microsoft.com/office/drawing/2014/main" xmlns="" id="{00000000-0008-0000-1200-00002E000000}"/>
            </a:ext>
          </a:extLst>
        </xdr:cNvPr>
        <xdr:cNvSpPr txBox="1">
          <a:spLocks noChangeArrowheads="1"/>
        </xdr:cNvSpPr>
      </xdr:nvSpPr>
      <xdr:spPr bwMode="auto">
        <a:xfrm>
          <a:off x="25669875" y="466725"/>
          <a:ext cx="759460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23</xdr:col>
      <xdr:colOff>412750</xdr:colOff>
      <xdr:row>4</xdr:row>
      <xdr:rowOff>114300</xdr:rowOff>
    </xdr:to>
    <xdr:sp macro="" textlink="">
      <xdr:nvSpPr>
        <xdr:cNvPr id="47" name="checksum">
          <a:extLst>
            <a:ext uri="{FF2B5EF4-FFF2-40B4-BE49-F238E27FC236}">
              <a16:creationId xmlns:a16="http://schemas.microsoft.com/office/drawing/2014/main" xmlns="" id="{00000000-0008-0000-1200-00002F000000}"/>
            </a:ext>
          </a:extLst>
        </xdr:cNvPr>
        <xdr:cNvSpPr txBox="1">
          <a:spLocks noChangeArrowheads="1"/>
        </xdr:cNvSpPr>
      </xdr:nvSpPr>
      <xdr:spPr bwMode="auto">
        <a:xfrm>
          <a:off x="25669875" y="695325"/>
          <a:ext cx="6651624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23</xdr:col>
      <xdr:colOff>431800</xdr:colOff>
      <xdr:row>4</xdr:row>
      <xdr:rowOff>114300</xdr:rowOff>
    </xdr:to>
    <xdr:sp macro="" textlink="">
      <xdr:nvSpPr>
        <xdr:cNvPr id="48" name="checksum">
          <a:extLst>
            <a:ext uri="{FF2B5EF4-FFF2-40B4-BE49-F238E27FC236}">
              <a16:creationId xmlns:a16="http://schemas.microsoft.com/office/drawing/2014/main" xmlns="" id="{00000000-0008-0000-1200-000030000000}"/>
            </a:ext>
          </a:extLst>
        </xdr:cNvPr>
        <xdr:cNvSpPr txBox="1">
          <a:spLocks noChangeArrowheads="1"/>
        </xdr:cNvSpPr>
      </xdr:nvSpPr>
      <xdr:spPr bwMode="auto">
        <a:xfrm>
          <a:off x="25669875" y="695325"/>
          <a:ext cx="6670674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23</xdr:col>
      <xdr:colOff>374650</xdr:colOff>
      <xdr:row>4</xdr:row>
      <xdr:rowOff>114300</xdr:rowOff>
    </xdr:to>
    <xdr:sp macro="" textlink="">
      <xdr:nvSpPr>
        <xdr:cNvPr id="49" name="checksum">
          <a:extLst>
            <a:ext uri="{FF2B5EF4-FFF2-40B4-BE49-F238E27FC236}">
              <a16:creationId xmlns:a16="http://schemas.microsoft.com/office/drawing/2014/main" xmlns="" id="{00000000-0008-0000-1200-000031000000}"/>
            </a:ext>
          </a:extLst>
        </xdr:cNvPr>
        <xdr:cNvSpPr txBox="1">
          <a:spLocks noChangeArrowheads="1"/>
        </xdr:cNvSpPr>
      </xdr:nvSpPr>
      <xdr:spPr bwMode="auto">
        <a:xfrm>
          <a:off x="25669875" y="695325"/>
          <a:ext cx="6613524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25</xdr:col>
      <xdr:colOff>0</xdr:colOff>
      <xdr:row>2</xdr:row>
      <xdr:rowOff>28575</xdr:rowOff>
    </xdr:from>
    <xdr:to>
      <xdr:col>31</xdr:col>
      <xdr:colOff>107953</xdr:colOff>
      <xdr:row>4</xdr:row>
      <xdr:rowOff>66675</xdr:rowOff>
    </xdr:to>
    <xdr:sp macro="" textlink="">
      <xdr:nvSpPr>
        <xdr:cNvPr id="50" name="checksum">
          <a:extLst>
            <a:ext uri="{FF2B5EF4-FFF2-40B4-BE49-F238E27FC236}">
              <a16:creationId xmlns:a16="http://schemas.microsoft.com/office/drawing/2014/main" xmlns="" id="{00000000-0008-0000-1200-000032000000}"/>
            </a:ext>
          </a:extLst>
        </xdr:cNvPr>
        <xdr:cNvSpPr txBox="1">
          <a:spLocks noChangeArrowheads="1"/>
        </xdr:cNvSpPr>
      </xdr:nvSpPr>
      <xdr:spPr bwMode="auto">
        <a:xfrm>
          <a:off x="35956875" y="466725"/>
          <a:ext cx="7594602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25</xdr:col>
      <xdr:colOff>0</xdr:colOff>
      <xdr:row>2</xdr:row>
      <xdr:rowOff>285750</xdr:rowOff>
    </xdr:from>
    <xdr:to>
      <xdr:col>30</xdr:col>
      <xdr:colOff>412750</xdr:colOff>
      <xdr:row>4</xdr:row>
      <xdr:rowOff>114300</xdr:rowOff>
    </xdr:to>
    <xdr:sp macro="" textlink="">
      <xdr:nvSpPr>
        <xdr:cNvPr id="51" name="checksum">
          <a:extLst>
            <a:ext uri="{FF2B5EF4-FFF2-40B4-BE49-F238E27FC236}">
              <a16:creationId xmlns:a16="http://schemas.microsoft.com/office/drawing/2014/main" xmlns="" id="{00000000-0008-0000-1200-000033000000}"/>
            </a:ext>
          </a:extLst>
        </xdr:cNvPr>
        <xdr:cNvSpPr txBox="1">
          <a:spLocks noChangeArrowheads="1"/>
        </xdr:cNvSpPr>
      </xdr:nvSpPr>
      <xdr:spPr bwMode="auto">
        <a:xfrm>
          <a:off x="35652075" y="695325"/>
          <a:ext cx="665162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25</xdr:col>
      <xdr:colOff>0</xdr:colOff>
      <xdr:row>2</xdr:row>
      <xdr:rowOff>285750</xdr:rowOff>
    </xdr:from>
    <xdr:to>
      <xdr:col>30</xdr:col>
      <xdr:colOff>431800</xdr:colOff>
      <xdr:row>4</xdr:row>
      <xdr:rowOff>114300</xdr:rowOff>
    </xdr:to>
    <xdr:sp macro="" textlink="">
      <xdr:nvSpPr>
        <xdr:cNvPr id="52" name="checksum">
          <a:extLst>
            <a:ext uri="{FF2B5EF4-FFF2-40B4-BE49-F238E27FC236}">
              <a16:creationId xmlns:a16="http://schemas.microsoft.com/office/drawing/2014/main" xmlns="" id="{00000000-0008-0000-1200-000034000000}"/>
            </a:ext>
          </a:extLst>
        </xdr:cNvPr>
        <xdr:cNvSpPr txBox="1">
          <a:spLocks noChangeArrowheads="1"/>
        </xdr:cNvSpPr>
      </xdr:nvSpPr>
      <xdr:spPr bwMode="auto">
        <a:xfrm>
          <a:off x="35652075" y="695325"/>
          <a:ext cx="66706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25</xdr:col>
      <xdr:colOff>0</xdr:colOff>
      <xdr:row>2</xdr:row>
      <xdr:rowOff>276225</xdr:rowOff>
    </xdr:from>
    <xdr:to>
      <xdr:col>30</xdr:col>
      <xdr:colOff>374650</xdr:colOff>
      <xdr:row>4</xdr:row>
      <xdr:rowOff>114300</xdr:rowOff>
    </xdr:to>
    <xdr:sp macro="" textlink="">
      <xdr:nvSpPr>
        <xdr:cNvPr id="53" name="checksum">
          <a:extLst>
            <a:ext uri="{FF2B5EF4-FFF2-40B4-BE49-F238E27FC236}">
              <a16:creationId xmlns:a16="http://schemas.microsoft.com/office/drawing/2014/main" xmlns="" id="{00000000-0008-0000-1200-000035000000}"/>
            </a:ext>
          </a:extLst>
        </xdr:cNvPr>
        <xdr:cNvSpPr txBox="1">
          <a:spLocks noChangeArrowheads="1"/>
        </xdr:cNvSpPr>
      </xdr:nvSpPr>
      <xdr:spPr bwMode="auto">
        <a:xfrm>
          <a:off x="35652075" y="695325"/>
          <a:ext cx="661352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19</xdr:col>
      <xdr:colOff>0</xdr:colOff>
      <xdr:row>2</xdr:row>
      <xdr:rowOff>0</xdr:rowOff>
    </xdr:from>
    <xdr:to>
      <xdr:col>19</xdr:col>
      <xdr:colOff>0</xdr:colOff>
      <xdr:row>4</xdr:row>
      <xdr:rowOff>363906</xdr:rowOff>
    </xdr:to>
    <xdr:sp macro="" textlink="">
      <xdr:nvSpPr>
        <xdr:cNvPr id="54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200-000036000000}"/>
            </a:ext>
          </a:extLst>
        </xdr:cNvPr>
        <xdr:cNvSpPr txBox="1">
          <a:spLocks noChangeArrowheads="1"/>
        </xdr:cNvSpPr>
      </xdr:nvSpPr>
      <xdr:spPr bwMode="auto">
        <a:xfrm>
          <a:off x="28165425" y="438150"/>
          <a:ext cx="0" cy="773481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 editAs="oneCell">
    <xdr:from>
      <xdr:col>25</xdr:col>
      <xdr:colOff>0</xdr:colOff>
      <xdr:row>2</xdr:row>
      <xdr:rowOff>28575</xdr:rowOff>
    </xdr:from>
    <xdr:to>
      <xdr:col>31</xdr:col>
      <xdr:colOff>107953</xdr:colOff>
      <xdr:row>4</xdr:row>
      <xdr:rowOff>66675</xdr:rowOff>
    </xdr:to>
    <xdr:sp macro="" textlink="">
      <xdr:nvSpPr>
        <xdr:cNvPr id="55" name="checksum">
          <a:extLst>
            <a:ext uri="{FF2B5EF4-FFF2-40B4-BE49-F238E27FC236}">
              <a16:creationId xmlns:a16="http://schemas.microsoft.com/office/drawing/2014/main" xmlns="" id="{00000000-0008-0000-1200-000037000000}"/>
            </a:ext>
          </a:extLst>
        </xdr:cNvPr>
        <xdr:cNvSpPr txBox="1">
          <a:spLocks noChangeArrowheads="1"/>
        </xdr:cNvSpPr>
      </xdr:nvSpPr>
      <xdr:spPr bwMode="auto">
        <a:xfrm>
          <a:off x="35956875" y="466725"/>
          <a:ext cx="7594602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25</xdr:col>
      <xdr:colOff>0</xdr:colOff>
      <xdr:row>2</xdr:row>
      <xdr:rowOff>285750</xdr:rowOff>
    </xdr:from>
    <xdr:to>
      <xdr:col>30</xdr:col>
      <xdr:colOff>412750</xdr:colOff>
      <xdr:row>4</xdr:row>
      <xdr:rowOff>114300</xdr:rowOff>
    </xdr:to>
    <xdr:sp macro="" textlink="">
      <xdr:nvSpPr>
        <xdr:cNvPr id="56" name="checksum">
          <a:extLst>
            <a:ext uri="{FF2B5EF4-FFF2-40B4-BE49-F238E27FC236}">
              <a16:creationId xmlns:a16="http://schemas.microsoft.com/office/drawing/2014/main" xmlns="" id="{00000000-0008-0000-1200-000038000000}"/>
            </a:ext>
          </a:extLst>
        </xdr:cNvPr>
        <xdr:cNvSpPr txBox="1">
          <a:spLocks noChangeArrowheads="1"/>
        </xdr:cNvSpPr>
      </xdr:nvSpPr>
      <xdr:spPr bwMode="auto">
        <a:xfrm>
          <a:off x="35652075" y="695325"/>
          <a:ext cx="665162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25</xdr:col>
      <xdr:colOff>0</xdr:colOff>
      <xdr:row>2</xdr:row>
      <xdr:rowOff>285750</xdr:rowOff>
    </xdr:from>
    <xdr:to>
      <xdr:col>30</xdr:col>
      <xdr:colOff>431800</xdr:colOff>
      <xdr:row>4</xdr:row>
      <xdr:rowOff>114300</xdr:rowOff>
    </xdr:to>
    <xdr:sp macro="" textlink="">
      <xdr:nvSpPr>
        <xdr:cNvPr id="57" name="checksum">
          <a:extLst>
            <a:ext uri="{FF2B5EF4-FFF2-40B4-BE49-F238E27FC236}">
              <a16:creationId xmlns:a16="http://schemas.microsoft.com/office/drawing/2014/main" xmlns="" id="{00000000-0008-0000-1200-000039000000}"/>
            </a:ext>
          </a:extLst>
        </xdr:cNvPr>
        <xdr:cNvSpPr txBox="1">
          <a:spLocks noChangeArrowheads="1"/>
        </xdr:cNvSpPr>
      </xdr:nvSpPr>
      <xdr:spPr bwMode="auto">
        <a:xfrm>
          <a:off x="35652075" y="695325"/>
          <a:ext cx="66706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25</xdr:col>
      <xdr:colOff>0</xdr:colOff>
      <xdr:row>2</xdr:row>
      <xdr:rowOff>276225</xdr:rowOff>
    </xdr:from>
    <xdr:to>
      <xdr:col>30</xdr:col>
      <xdr:colOff>374650</xdr:colOff>
      <xdr:row>4</xdr:row>
      <xdr:rowOff>114300</xdr:rowOff>
    </xdr:to>
    <xdr:sp macro="" textlink="">
      <xdr:nvSpPr>
        <xdr:cNvPr id="58" name="checksum">
          <a:extLst>
            <a:ext uri="{FF2B5EF4-FFF2-40B4-BE49-F238E27FC236}">
              <a16:creationId xmlns:a16="http://schemas.microsoft.com/office/drawing/2014/main" xmlns="" id="{00000000-0008-0000-1200-00003A000000}"/>
            </a:ext>
          </a:extLst>
        </xdr:cNvPr>
        <xdr:cNvSpPr txBox="1">
          <a:spLocks noChangeArrowheads="1"/>
        </xdr:cNvSpPr>
      </xdr:nvSpPr>
      <xdr:spPr bwMode="auto">
        <a:xfrm>
          <a:off x="35652075" y="695325"/>
          <a:ext cx="661352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19</xdr:col>
      <xdr:colOff>0</xdr:colOff>
      <xdr:row>2</xdr:row>
      <xdr:rowOff>0</xdr:rowOff>
    </xdr:from>
    <xdr:to>
      <xdr:col>19</xdr:col>
      <xdr:colOff>0</xdr:colOff>
      <xdr:row>5</xdr:row>
      <xdr:rowOff>361950</xdr:rowOff>
    </xdr:to>
    <xdr:sp macro="" textlink="">
      <xdr:nvSpPr>
        <xdr:cNvPr id="59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200-00003B000000}"/>
            </a:ext>
          </a:extLst>
        </xdr:cNvPr>
        <xdr:cNvSpPr txBox="1">
          <a:spLocks noChangeArrowheads="1"/>
        </xdr:cNvSpPr>
      </xdr:nvSpPr>
      <xdr:spPr bwMode="auto">
        <a:xfrm>
          <a:off x="28165425" y="438150"/>
          <a:ext cx="0" cy="971550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 editAs="oneCell">
    <xdr:from>
      <xdr:col>34</xdr:col>
      <xdr:colOff>285750</xdr:colOff>
      <xdr:row>0</xdr:row>
      <xdr:rowOff>123825</xdr:rowOff>
    </xdr:from>
    <xdr:to>
      <xdr:col>40</xdr:col>
      <xdr:colOff>601518</xdr:colOff>
      <xdr:row>2</xdr:row>
      <xdr:rowOff>225425</xdr:rowOff>
    </xdr:to>
    <xdr:sp macro="" textlink="">
      <xdr:nvSpPr>
        <xdr:cNvPr id="60" name="checksum">
          <a:extLst>
            <a:ext uri="{FF2B5EF4-FFF2-40B4-BE49-F238E27FC236}">
              <a16:creationId xmlns:a16="http://schemas.microsoft.com/office/drawing/2014/main" xmlns="" id="{00000000-0008-0000-1200-00003C000000}"/>
            </a:ext>
          </a:extLst>
        </xdr:cNvPr>
        <xdr:cNvSpPr txBox="1">
          <a:spLocks noChangeArrowheads="1"/>
        </xdr:cNvSpPr>
      </xdr:nvSpPr>
      <xdr:spPr bwMode="auto">
        <a:xfrm>
          <a:off x="51911250" y="123825"/>
          <a:ext cx="7840518" cy="546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381000</xdr:colOff>
      <xdr:row>1</xdr:row>
      <xdr:rowOff>225425</xdr:rowOff>
    </xdr:from>
    <xdr:to>
      <xdr:col>39</xdr:col>
      <xdr:colOff>973116</xdr:colOff>
      <xdr:row>3</xdr:row>
      <xdr:rowOff>98425</xdr:rowOff>
    </xdr:to>
    <xdr:sp macro="" textlink="">
      <xdr:nvSpPr>
        <xdr:cNvPr id="61" name="checksum">
          <a:extLst>
            <a:ext uri="{FF2B5EF4-FFF2-40B4-BE49-F238E27FC236}">
              <a16:creationId xmlns:a16="http://schemas.microsoft.com/office/drawing/2014/main" xmlns="" id="{00000000-0008-0000-1200-00003D000000}"/>
            </a:ext>
          </a:extLst>
        </xdr:cNvPr>
        <xdr:cNvSpPr txBox="1">
          <a:spLocks noChangeArrowheads="1"/>
        </xdr:cNvSpPr>
      </xdr:nvSpPr>
      <xdr:spPr bwMode="auto">
        <a:xfrm>
          <a:off x="52006500" y="431800"/>
          <a:ext cx="6862741" cy="365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1</xdr:row>
      <xdr:rowOff>161925</xdr:rowOff>
    </xdr:from>
    <xdr:to>
      <xdr:col>39</xdr:col>
      <xdr:colOff>611166</xdr:colOff>
      <xdr:row>3</xdr:row>
      <xdr:rowOff>34925</xdr:rowOff>
    </xdr:to>
    <xdr:sp macro="" textlink="">
      <xdr:nvSpPr>
        <xdr:cNvPr id="62" name="checksum">
          <a:extLst>
            <a:ext uri="{FF2B5EF4-FFF2-40B4-BE49-F238E27FC236}">
              <a16:creationId xmlns:a16="http://schemas.microsoft.com/office/drawing/2014/main" xmlns="" id="{00000000-0008-0000-1200-00003E000000}"/>
            </a:ext>
          </a:extLst>
        </xdr:cNvPr>
        <xdr:cNvSpPr txBox="1">
          <a:spLocks noChangeArrowheads="1"/>
        </xdr:cNvSpPr>
      </xdr:nvSpPr>
      <xdr:spPr bwMode="auto">
        <a:xfrm>
          <a:off x="51625500" y="368300"/>
          <a:ext cx="6881791" cy="365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31750</xdr:colOff>
      <xdr:row>1</xdr:row>
      <xdr:rowOff>209550</xdr:rowOff>
    </xdr:from>
    <xdr:to>
      <xdr:col>39</xdr:col>
      <xdr:colOff>585766</xdr:colOff>
      <xdr:row>3</xdr:row>
      <xdr:rowOff>82550</xdr:rowOff>
    </xdr:to>
    <xdr:sp macro="" textlink="">
      <xdr:nvSpPr>
        <xdr:cNvPr id="63" name="checksum">
          <a:extLst>
            <a:ext uri="{FF2B5EF4-FFF2-40B4-BE49-F238E27FC236}">
              <a16:creationId xmlns:a16="http://schemas.microsoft.com/office/drawing/2014/main" xmlns="" id="{00000000-0008-0000-1200-00003F000000}"/>
            </a:ext>
          </a:extLst>
        </xdr:cNvPr>
        <xdr:cNvSpPr txBox="1">
          <a:spLocks noChangeArrowheads="1"/>
        </xdr:cNvSpPr>
      </xdr:nvSpPr>
      <xdr:spPr bwMode="auto">
        <a:xfrm>
          <a:off x="51657250" y="415925"/>
          <a:ext cx="6824641" cy="365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444500</xdr:colOff>
      <xdr:row>1</xdr:row>
      <xdr:rowOff>19050</xdr:rowOff>
    </xdr:from>
    <xdr:to>
      <xdr:col>39</xdr:col>
      <xdr:colOff>1055666</xdr:colOff>
      <xdr:row>2</xdr:row>
      <xdr:rowOff>146050</xdr:rowOff>
    </xdr:to>
    <xdr:sp macro="" textlink="">
      <xdr:nvSpPr>
        <xdr:cNvPr id="66" name="checksum">
          <a:extLst>
            <a:ext uri="{FF2B5EF4-FFF2-40B4-BE49-F238E27FC236}">
              <a16:creationId xmlns:a16="http://schemas.microsoft.com/office/drawing/2014/main" xmlns="" id="{00000000-0008-0000-1200-000042000000}"/>
            </a:ext>
          </a:extLst>
        </xdr:cNvPr>
        <xdr:cNvSpPr txBox="1">
          <a:spLocks noChangeArrowheads="1"/>
        </xdr:cNvSpPr>
      </xdr:nvSpPr>
      <xdr:spPr bwMode="auto">
        <a:xfrm>
          <a:off x="52070000" y="225425"/>
          <a:ext cx="6881791" cy="365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587375</xdr:colOff>
      <xdr:row>0</xdr:row>
      <xdr:rowOff>139700</xdr:rowOff>
    </xdr:from>
    <xdr:to>
      <xdr:col>40</xdr:col>
      <xdr:colOff>903143</xdr:colOff>
      <xdr:row>2</xdr:row>
      <xdr:rowOff>241300</xdr:rowOff>
    </xdr:to>
    <xdr:sp macro="" textlink="">
      <xdr:nvSpPr>
        <xdr:cNvPr id="68" name="checksum">
          <a:extLst>
            <a:ext uri="{FF2B5EF4-FFF2-40B4-BE49-F238E27FC236}">
              <a16:creationId xmlns:a16="http://schemas.microsoft.com/office/drawing/2014/main" xmlns="" id="{00000000-0008-0000-1200-000044000000}"/>
            </a:ext>
          </a:extLst>
        </xdr:cNvPr>
        <xdr:cNvSpPr txBox="1">
          <a:spLocks noChangeArrowheads="1"/>
        </xdr:cNvSpPr>
      </xdr:nvSpPr>
      <xdr:spPr bwMode="auto">
        <a:xfrm>
          <a:off x="52212875" y="139700"/>
          <a:ext cx="7840518" cy="546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285750</xdr:rowOff>
    </xdr:from>
    <xdr:to>
      <xdr:col>39</xdr:col>
      <xdr:colOff>592116</xdr:colOff>
      <xdr:row>4</xdr:row>
      <xdr:rowOff>114300</xdr:rowOff>
    </xdr:to>
    <xdr:sp macro="" textlink="">
      <xdr:nvSpPr>
        <xdr:cNvPr id="69" name="checksum">
          <a:extLst>
            <a:ext uri="{FF2B5EF4-FFF2-40B4-BE49-F238E27FC236}">
              <a16:creationId xmlns:a16="http://schemas.microsoft.com/office/drawing/2014/main" xmlns="" id="{00000000-0008-0000-1200-000045000000}"/>
            </a:ext>
          </a:extLst>
        </xdr:cNvPr>
        <xdr:cNvSpPr txBox="1">
          <a:spLocks noChangeArrowheads="1"/>
        </xdr:cNvSpPr>
      </xdr:nvSpPr>
      <xdr:spPr bwMode="auto">
        <a:xfrm>
          <a:off x="50549175" y="695325"/>
          <a:ext cx="6830991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285750</xdr:rowOff>
    </xdr:from>
    <xdr:to>
      <xdr:col>39</xdr:col>
      <xdr:colOff>611166</xdr:colOff>
      <xdr:row>4</xdr:row>
      <xdr:rowOff>114300</xdr:rowOff>
    </xdr:to>
    <xdr:sp macro="" textlink="">
      <xdr:nvSpPr>
        <xdr:cNvPr id="70" name="checksum">
          <a:extLst>
            <a:ext uri="{FF2B5EF4-FFF2-40B4-BE49-F238E27FC236}">
              <a16:creationId xmlns:a16="http://schemas.microsoft.com/office/drawing/2014/main" xmlns="" id="{00000000-0008-0000-1200-000046000000}"/>
            </a:ext>
          </a:extLst>
        </xdr:cNvPr>
        <xdr:cNvSpPr txBox="1">
          <a:spLocks noChangeArrowheads="1"/>
        </xdr:cNvSpPr>
      </xdr:nvSpPr>
      <xdr:spPr bwMode="auto">
        <a:xfrm>
          <a:off x="50549175" y="695325"/>
          <a:ext cx="6850041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276225</xdr:rowOff>
    </xdr:from>
    <xdr:to>
      <xdr:col>39</xdr:col>
      <xdr:colOff>554016</xdr:colOff>
      <xdr:row>4</xdr:row>
      <xdr:rowOff>114300</xdr:rowOff>
    </xdr:to>
    <xdr:sp macro="" textlink="">
      <xdr:nvSpPr>
        <xdr:cNvPr id="71" name="checksum">
          <a:extLst>
            <a:ext uri="{FF2B5EF4-FFF2-40B4-BE49-F238E27FC236}">
              <a16:creationId xmlns:a16="http://schemas.microsoft.com/office/drawing/2014/main" xmlns="" id="{00000000-0008-0000-1200-000047000000}"/>
            </a:ext>
          </a:extLst>
        </xdr:cNvPr>
        <xdr:cNvSpPr txBox="1">
          <a:spLocks noChangeArrowheads="1"/>
        </xdr:cNvSpPr>
      </xdr:nvSpPr>
      <xdr:spPr bwMode="auto">
        <a:xfrm>
          <a:off x="50549175" y="695325"/>
          <a:ext cx="6792891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</xdr:rowOff>
    </xdr:from>
    <xdr:to>
      <xdr:col>40</xdr:col>
      <xdr:colOff>315768</xdr:colOff>
      <xdr:row>4</xdr:row>
      <xdr:rowOff>66675</xdr:rowOff>
    </xdr:to>
    <xdr:sp macro="" textlink="">
      <xdr:nvSpPr>
        <xdr:cNvPr id="72" name="checksum">
          <a:extLst>
            <a:ext uri="{FF2B5EF4-FFF2-40B4-BE49-F238E27FC236}">
              <a16:creationId xmlns:a16="http://schemas.microsoft.com/office/drawing/2014/main" xmlns="" id="{00000000-0008-0000-1200-000048000000}"/>
            </a:ext>
          </a:extLst>
        </xdr:cNvPr>
        <xdr:cNvSpPr txBox="1">
          <a:spLocks noChangeArrowheads="1"/>
        </xdr:cNvSpPr>
      </xdr:nvSpPr>
      <xdr:spPr bwMode="auto">
        <a:xfrm>
          <a:off x="50549175" y="466725"/>
          <a:ext cx="7802418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285750</xdr:rowOff>
    </xdr:from>
    <xdr:to>
      <xdr:col>39</xdr:col>
      <xdr:colOff>592116</xdr:colOff>
      <xdr:row>4</xdr:row>
      <xdr:rowOff>114300</xdr:rowOff>
    </xdr:to>
    <xdr:sp macro="" textlink="">
      <xdr:nvSpPr>
        <xdr:cNvPr id="73" name="checksum">
          <a:extLst>
            <a:ext uri="{FF2B5EF4-FFF2-40B4-BE49-F238E27FC236}">
              <a16:creationId xmlns:a16="http://schemas.microsoft.com/office/drawing/2014/main" xmlns="" id="{00000000-0008-0000-1200-000049000000}"/>
            </a:ext>
          </a:extLst>
        </xdr:cNvPr>
        <xdr:cNvSpPr txBox="1">
          <a:spLocks noChangeArrowheads="1"/>
        </xdr:cNvSpPr>
      </xdr:nvSpPr>
      <xdr:spPr bwMode="auto">
        <a:xfrm>
          <a:off x="50549175" y="695325"/>
          <a:ext cx="6830991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285750</xdr:rowOff>
    </xdr:from>
    <xdr:to>
      <xdr:col>39</xdr:col>
      <xdr:colOff>611166</xdr:colOff>
      <xdr:row>4</xdr:row>
      <xdr:rowOff>114300</xdr:rowOff>
    </xdr:to>
    <xdr:sp macro="" textlink="">
      <xdr:nvSpPr>
        <xdr:cNvPr id="74" name="checksum">
          <a:extLst>
            <a:ext uri="{FF2B5EF4-FFF2-40B4-BE49-F238E27FC236}">
              <a16:creationId xmlns:a16="http://schemas.microsoft.com/office/drawing/2014/main" xmlns="" id="{00000000-0008-0000-1200-00004A000000}"/>
            </a:ext>
          </a:extLst>
        </xdr:cNvPr>
        <xdr:cNvSpPr txBox="1">
          <a:spLocks noChangeArrowheads="1"/>
        </xdr:cNvSpPr>
      </xdr:nvSpPr>
      <xdr:spPr bwMode="auto">
        <a:xfrm>
          <a:off x="50549175" y="695325"/>
          <a:ext cx="6850041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276225</xdr:rowOff>
    </xdr:from>
    <xdr:to>
      <xdr:col>39</xdr:col>
      <xdr:colOff>554016</xdr:colOff>
      <xdr:row>4</xdr:row>
      <xdr:rowOff>114300</xdr:rowOff>
    </xdr:to>
    <xdr:sp macro="" textlink="">
      <xdr:nvSpPr>
        <xdr:cNvPr id="75" name="checksum">
          <a:extLst>
            <a:ext uri="{FF2B5EF4-FFF2-40B4-BE49-F238E27FC236}">
              <a16:creationId xmlns:a16="http://schemas.microsoft.com/office/drawing/2014/main" xmlns="" id="{00000000-0008-0000-1200-00004B000000}"/>
            </a:ext>
          </a:extLst>
        </xdr:cNvPr>
        <xdr:cNvSpPr txBox="1">
          <a:spLocks noChangeArrowheads="1"/>
        </xdr:cNvSpPr>
      </xdr:nvSpPr>
      <xdr:spPr bwMode="auto">
        <a:xfrm>
          <a:off x="50549175" y="695325"/>
          <a:ext cx="6792891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</xdr:rowOff>
    </xdr:from>
    <xdr:to>
      <xdr:col>40</xdr:col>
      <xdr:colOff>336549</xdr:colOff>
      <xdr:row>4</xdr:row>
      <xdr:rowOff>66675</xdr:rowOff>
    </xdr:to>
    <xdr:sp macro="" textlink="">
      <xdr:nvSpPr>
        <xdr:cNvPr id="76" name="checksum">
          <a:extLst>
            <a:ext uri="{FF2B5EF4-FFF2-40B4-BE49-F238E27FC236}">
              <a16:creationId xmlns:a16="http://schemas.microsoft.com/office/drawing/2014/main" xmlns="" id="{00000000-0008-0000-1200-00004C000000}"/>
            </a:ext>
          </a:extLst>
        </xdr:cNvPr>
        <xdr:cNvSpPr txBox="1">
          <a:spLocks noChangeArrowheads="1"/>
        </xdr:cNvSpPr>
      </xdr:nvSpPr>
      <xdr:spPr bwMode="auto">
        <a:xfrm>
          <a:off x="50549175" y="466725"/>
          <a:ext cx="7823199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285750</xdr:rowOff>
    </xdr:from>
    <xdr:to>
      <xdr:col>39</xdr:col>
      <xdr:colOff>605970</xdr:colOff>
      <xdr:row>4</xdr:row>
      <xdr:rowOff>114300</xdr:rowOff>
    </xdr:to>
    <xdr:sp macro="" textlink="">
      <xdr:nvSpPr>
        <xdr:cNvPr id="77" name="checksum">
          <a:extLst>
            <a:ext uri="{FF2B5EF4-FFF2-40B4-BE49-F238E27FC236}">
              <a16:creationId xmlns:a16="http://schemas.microsoft.com/office/drawing/2014/main" xmlns="" id="{00000000-0008-0000-1200-00004D000000}"/>
            </a:ext>
          </a:extLst>
        </xdr:cNvPr>
        <xdr:cNvSpPr txBox="1">
          <a:spLocks noChangeArrowheads="1"/>
        </xdr:cNvSpPr>
      </xdr:nvSpPr>
      <xdr:spPr bwMode="auto">
        <a:xfrm>
          <a:off x="50549175" y="695325"/>
          <a:ext cx="684484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285750</xdr:rowOff>
    </xdr:from>
    <xdr:to>
      <xdr:col>39</xdr:col>
      <xdr:colOff>625020</xdr:colOff>
      <xdr:row>4</xdr:row>
      <xdr:rowOff>114300</xdr:rowOff>
    </xdr:to>
    <xdr:sp macro="" textlink="">
      <xdr:nvSpPr>
        <xdr:cNvPr id="78" name="checksum">
          <a:extLst>
            <a:ext uri="{FF2B5EF4-FFF2-40B4-BE49-F238E27FC236}">
              <a16:creationId xmlns:a16="http://schemas.microsoft.com/office/drawing/2014/main" xmlns="" id="{00000000-0008-0000-1200-00004E000000}"/>
            </a:ext>
          </a:extLst>
        </xdr:cNvPr>
        <xdr:cNvSpPr txBox="1">
          <a:spLocks noChangeArrowheads="1"/>
        </xdr:cNvSpPr>
      </xdr:nvSpPr>
      <xdr:spPr bwMode="auto">
        <a:xfrm>
          <a:off x="50549175" y="695325"/>
          <a:ext cx="686389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276225</xdr:rowOff>
    </xdr:from>
    <xdr:to>
      <xdr:col>39</xdr:col>
      <xdr:colOff>567870</xdr:colOff>
      <xdr:row>4</xdr:row>
      <xdr:rowOff>114300</xdr:rowOff>
    </xdr:to>
    <xdr:sp macro="" textlink="">
      <xdr:nvSpPr>
        <xdr:cNvPr id="79" name="checksum">
          <a:extLst>
            <a:ext uri="{FF2B5EF4-FFF2-40B4-BE49-F238E27FC236}">
              <a16:creationId xmlns:a16="http://schemas.microsoft.com/office/drawing/2014/main" xmlns="" id="{00000000-0008-0000-1200-00004F000000}"/>
            </a:ext>
          </a:extLst>
        </xdr:cNvPr>
        <xdr:cNvSpPr txBox="1">
          <a:spLocks noChangeArrowheads="1"/>
        </xdr:cNvSpPr>
      </xdr:nvSpPr>
      <xdr:spPr bwMode="auto">
        <a:xfrm>
          <a:off x="50549175" y="695325"/>
          <a:ext cx="680674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</xdr:rowOff>
    </xdr:from>
    <xdr:to>
      <xdr:col>40</xdr:col>
      <xdr:colOff>336549</xdr:colOff>
      <xdr:row>4</xdr:row>
      <xdr:rowOff>66675</xdr:rowOff>
    </xdr:to>
    <xdr:sp macro="" textlink="">
      <xdr:nvSpPr>
        <xdr:cNvPr id="80" name="checksum">
          <a:extLst>
            <a:ext uri="{FF2B5EF4-FFF2-40B4-BE49-F238E27FC236}">
              <a16:creationId xmlns:a16="http://schemas.microsoft.com/office/drawing/2014/main" xmlns="" id="{00000000-0008-0000-1200-000050000000}"/>
            </a:ext>
          </a:extLst>
        </xdr:cNvPr>
        <xdr:cNvSpPr txBox="1">
          <a:spLocks noChangeArrowheads="1"/>
        </xdr:cNvSpPr>
      </xdr:nvSpPr>
      <xdr:spPr bwMode="auto">
        <a:xfrm>
          <a:off x="50549175" y="466725"/>
          <a:ext cx="7823199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285750</xdr:rowOff>
    </xdr:from>
    <xdr:to>
      <xdr:col>39</xdr:col>
      <xdr:colOff>605970</xdr:colOff>
      <xdr:row>4</xdr:row>
      <xdr:rowOff>114300</xdr:rowOff>
    </xdr:to>
    <xdr:sp macro="" textlink="">
      <xdr:nvSpPr>
        <xdr:cNvPr id="81" name="checksum">
          <a:extLst>
            <a:ext uri="{FF2B5EF4-FFF2-40B4-BE49-F238E27FC236}">
              <a16:creationId xmlns:a16="http://schemas.microsoft.com/office/drawing/2014/main" xmlns="" id="{00000000-0008-0000-1200-000051000000}"/>
            </a:ext>
          </a:extLst>
        </xdr:cNvPr>
        <xdr:cNvSpPr txBox="1">
          <a:spLocks noChangeArrowheads="1"/>
        </xdr:cNvSpPr>
      </xdr:nvSpPr>
      <xdr:spPr bwMode="auto">
        <a:xfrm>
          <a:off x="50549175" y="695325"/>
          <a:ext cx="684484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285750</xdr:rowOff>
    </xdr:from>
    <xdr:to>
      <xdr:col>39</xdr:col>
      <xdr:colOff>625020</xdr:colOff>
      <xdr:row>4</xdr:row>
      <xdr:rowOff>114300</xdr:rowOff>
    </xdr:to>
    <xdr:sp macro="" textlink="">
      <xdr:nvSpPr>
        <xdr:cNvPr id="82" name="checksum">
          <a:extLst>
            <a:ext uri="{FF2B5EF4-FFF2-40B4-BE49-F238E27FC236}">
              <a16:creationId xmlns:a16="http://schemas.microsoft.com/office/drawing/2014/main" xmlns="" id="{00000000-0008-0000-1200-000052000000}"/>
            </a:ext>
          </a:extLst>
        </xdr:cNvPr>
        <xdr:cNvSpPr txBox="1">
          <a:spLocks noChangeArrowheads="1"/>
        </xdr:cNvSpPr>
      </xdr:nvSpPr>
      <xdr:spPr bwMode="auto">
        <a:xfrm>
          <a:off x="50549175" y="695325"/>
          <a:ext cx="686389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276225</xdr:rowOff>
    </xdr:from>
    <xdr:to>
      <xdr:col>39</xdr:col>
      <xdr:colOff>567870</xdr:colOff>
      <xdr:row>4</xdr:row>
      <xdr:rowOff>114300</xdr:rowOff>
    </xdr:to>
    <xdr:sp macro="" textlink="">
      <xdr:nvSpPr>
        <xdr:cNvPr id="83" name="checksum">
          <a:extLst>
            <a:ext uri="{FF2B5EF4-FFF2-40B4-BE49-F238E27FC236}">
              <a16:creationId xmlns:a16="http://schemas.microsoft.com/office/drawing/2014/main" xmlns="" id="{00000000-0008-0000-1200-000053000000}"/>
            </a:ext>
          </a:extLst>
        </xdr:cNvPr>
        <xdr:cNvSpPr txBox="1">
          <a:spLocks noChangeArrowheads="1"/>
        </xdr:cNvSpPr>
      </xdr:nvSpPr>
      <xdr:spPr bwMode="auto">
        <a:xfrm>
          <a:off x="50549175" y="695325"/>
          <a:ext cx="680674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</xdr:rowOff>
    </xdr:from>
    <xdr:to>
      <xdr:col>40</xdr:col>
      <xdr:colOff>152482</xdr:colOff>
      <xdr:row>4</xdr:row>
      <xdr:rowOff>66675</xdr:rowOff>
    </xdr:to>
    <xdr:sp macro="" textlink="">
      <xdr:nvSpPr>
        <xdr:cNvPr id="84" name="checksum">
          <a:extLst>
            <a:ext uri="{FF2B5EF4-FFF2-40B4-BE49-F238E27FC236}">
              <a16:creationId xmlns:a16="http://schemas.microsoft.com/office/drawing/2014/main" xmlns="" id="{00000000-0008-0000-1200-000054000000}"/>
            </a:ext>
          </a:extLst>
        </xdr:cNvPr>
        <xdr:cNvSpPr txBox="1">
          <a:spLocks noChangeArrowheads="1"/>
        </xdr:cNvSpPr>
      </xdr:nvSpPr>
      <xdr:spPr bwMode="auto">
        <a:xfrm>
          <a:off x="50549175" y="466725"/>
          <a:ext cx="7639132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285750</xdr:rowOff>
    </xdr:from>
    <xdr:to>
      <xdr:col>39</xdr:col>
      <xdr:colOff>449859</xdr:colOff>
      <xdr:row>4</xdr:row>
      <xdr:rowOff>114300</xdr:rowOff>
    </xdr:to>
    <xdr:sp macro="" textlink="">
      <xdr:nvSpPr>
        <xdr:cNvPr id="85" name="checksum">
          <a:extLst>
            <a:ext uri="{FF2B5EF4-FFF2-40B4-BE49-F238E27FC236}">
              <a16:creationId xmlns:a16="http://schemas.microsoft.com/office/drawing/2014/main" xmlns="" id="{00000000-0008-0000-1200-000055000000}"/>
            </a:ext>
          </a:extLst>
        </xdr:cNvPr>
        <xdr:cNvSpPr txBox="1">
          <a:spLocks noChangeArrowheads="1"/>
        </xdr:cNvSpPr>
      </xdr:nvSpPr>
      <xdr:spPr bwMode="auto">
        <a:xfrm>
          <a:off x="50549175" y="695325"/>
          <a:ext cx="6688734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285750</xdr:rowOff>
    </xdr:from>
    <xdr:to>
      <xdr:col>39</xdr:col>
      <xdr:colOff>468909</xdr:colOff>
      <xdr:row>4</xdr:row>
      <xdr:rowOff>114300</xdr:rowOff>
    </xdr:to>
    <xdr:sp macro="" textlink="">
      <xdr:nvSpPr>
        <xdr:cNvPr id="86" name="checksum">
          <a:extLst>
            <a:ext uri="{FF2B5EF4-FFF2-40B4-BE49-F238E27FC236}">
              <a16:creationId xmlns:a16="http://schemas.microsoft.com/office/drawing/2014/main" xmlns="" id="{00000000-0008-0000-1200-000056000000}"/>
            </a:ext>
          </a:extLst>
        </xdr:cNvPr>
        <xdr:cNvSpPr txBox="1">
          <a:spLocks noChangeArrowheads="1"/>
        </xdr:cNvSpPr>
      </xdr:nvSpPr>
      <xdr:spPr bwMode="auto">
        <a:xfrm>
          <a:off x="50549175" y="695325"/>
          <a:ext cx="6707784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276225</xdr:rowOff>
    </xdr:from>
    <xdr:to>
      <xdr:col>39</xdr:col>
      <xdr:colOff>411759</xdr:colOff>
      <xdr:row>4</xdr:row>
      <xdr:rowOff>114300</xdr:rowOff>
    </xdr:to>
    <xdr:sp macro="" textlink="">
      <xdr:nvSpPr>
        <xdr:cNvPr id="87" name="checksum">
          <a:extLst>
            <a:ext uri="{FF2B5EF4-FFF2-40B4-BE49-F238E27FC236}">
              <a16:creationId xmlns:a16="http://schemas.microsoft.com/office/drawing/2014/main" xmlns="" id="{00000000-0008-0000-1200-000057000000}"/>
            </a:ext>
          </a:extLst>
        </xdr:cNvPr>
        <xdr:cNvSpPr txBox="1">
          <a:spLocks noChangeArrowheads="1"/>
        </xdr:cNvSpPr>
      </xdr:nvSpPr>
      <xdr:spPr bwMode="auto">
        <a:xfrm>
          <a:off x="50549175" y="695325"/>
          <a:ext cx="6650634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</xdr:rowOff>
    </xdr:from>
    <xdr:to>
      <xdr:col>40</xdr:col>
      <xdr:colOff>152482</xdr:colOff>
      <xdr:row>4</xdr:row>
      <xdr:rowOff>66675</xdr:rowOff>
    </xdr:to>
    <xdr:sp macro="" textlink="">
      <xdr:nvSpPr>
        <xdr:cNvPr id="88" name="checksum">
          <a:extLst>
            <a:ext uri="{FF2B5EF4-FFF2-40B4-BE49-F238E27FC236}">
              <a16:creationId xmlns:a16="http://schemas.microsoft.com/office/drawing/2014/main" xmlns="" id="{00000000-0008-0000-1200-000058000000}"/>
            </a:ext>
          </a:extLst>
        </xdr:cNvPr>
        <xdr:cNvSpPr txBox="1">
          <a:spLocks noChangeArrowheads="1"/>
        </xdr:cNvSpPr>
      </xdr:nvSpPr>
      <xdr:spPr bwMode="auto">
        <a:xfrm>
          <a:off x="50549175" y="466725"/>
          <a:ext cx="7639132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285750</xdr:rowOff>
    </xdr:from>
    <xdr:to>
      <xdr:col>39</xdr:col>
      <xdr:colOff>449859</xdr:colOff>
      <xdr:row>4</xdr:row>
      <xdr:rowOff>114300</xdr:rowOff>
    </xdr:to>
    <xdr:sp macro="" textlink="">
      <xdr:nvSpPr>
        <xdr:cNvPr id="89" name="checksum">
          <a:extLst>
            <a:ext uri="{FF2B5EF4-FFF2-40B4-BE49-F238E27FC236}">
              <a16:creationId xmlns:a16="http://schemas.microsoft.com/office/drawing/2014/main" xmlns="" id="{00000000-0008-0000-1200-000059000000}"/>
            </a:ext>
          </a:extLst>
        </xdr:cNvPr>
        <xdr:cNvSpPr txBox="1">
          <a:spLocks noChangeArrowheads="1"/>
        </xdr:cNvSpPr>
      </xdr:nvSpPr>
      <xdr:spPr bwMode="auto">
        <a:xfrm>
          <a:off x="50549175" y="695325"/>
          <a:ext cx="6688734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285750</xdr:rowOff>
    </xdr:from>
    <xdr:to>
      <xdr:col>39</xdr:col>
      <xdr:colOff>468909</xdr:colOff>
      <xdr:row>4</xdr:row>
      <xdr:rowOff>114300</xdr:rowOff>
    </xdr:to>
    <xdr:sp macro="" textlink="">
      <xdr:nvSpPr>
        <xdr:cNvPr id="90" name="checksum">
          <a:extLst>
            <a:ext uri="{FF2B5EF4-FFF2-40B4-BE49-F238E27FC236}">
              <a16:creationId xmlns:a16="http://schemas.microsoft.com/office/drawing/2014/main" xmlns="" id="{00000000-0008-0000-1200-00005A000000}"/>
            </a:ext>
          </a:extLst>
        </xdr:cNvPr>
        <xdr:cNvSpPr txBox="1">
          <a:spLocks noChangeArrowheads="1"/>
        </xdr:cNvSpPr>
      </xdr:nvSpPr>
      <xdr:spPr bwMode="auto">
        <a:xfrm>
          <a:off x="50549175" y="695325"/>
          <a:ext cx="6707784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276225</xdr:rowOff>
    </xdr:from>
    <xdr:to>
      <xdr:col>39</xdr:col>
      <xdr:colOff>411759</xdr:colOff>
      <xdr:row>4</xdr:row>
      <xdr:rowOff>114300</xdr:rowOff>
    </xdr:to>
    <xdr:sp macro="" textlink="">
      <xdr:nvSpPr>
        <xdr:cNvPr id="91" name="checksum">
          <a:extLst>
            <a:ext uri="{FF2B5EF4-FFF2-40B4-BE49-F238E27FC236}">
              <a16:creationId xmlns:a16="http://schemas.microsoft.com/office/drawing/2014/main" xmlns="" id="{00000000-0008-0000-1200-00005B000000}"/>
            </a:ext>
          </a:extLst>
        </xdr:cNvPr>
        <xdr:cNvSpPr txBox="1">
          <a:spLocks noChangeArrowheads="1"/>
        </xdr:cNvSpPr>
      </xdr:nvSpPr>
      <xdr:spPr bwMode="auto">
        <a:xfrm>
          <a:off x="50549175" y="695325"/>
          <a:ext cx="6650634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7</xdr:col>
      <xdr:colOff>271236</xdr:colOff>
      <xdr:row>2</xdr:row>
      <xdr:rowOff>163285</xdr:rowOff>
    </xdr:to>
    <xdr:sp macro="" textlink="">
      <xdr:nvSpPr>
        <xdr:cNvPr id="92" name="checksum">
          <a:extLst>
            <a:ext uri="{FF2B5EF4-FFF2-40B4-BE49-F238E27FC236}">
              <a16:creationId xmlns:a16="http://schemas.microsoft.com/office/drawing/2014/main" xmlns="" id="{00000000-0008-0000-1200-00005C000000}"/>
            </a:ext>
          </a:extLst>
        </xdr:cNvPr>
        <xdr:cNvSpPr txBox="1">
          <a:spLocks noChangeArrowheads="1"/>
        </xdr:cNvSpPr>
      </xdr:nvSpPr>
      <xdr:spPr bwMode="auto">
        <a:xfrm>
          <a:off x="3810000" y="0"/>
          <a:ext cx="5278665" cy="6123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</xdr:row>
      <xdr:rowOff>285750</xdr:rowOff>
    </xdr:from>
    <xdr:to>
      <xdr:col>14</xdr:col>
      <xdr:colOff>412750</xdr:colOff>
      <xdr:row>9</xdr:row>
      <xdr:rowOff>109351</xdr:rowOff>
    </xdr:to>
    <xdr:sp macro="" textlink="">
      <xdr:nvSpPr>
        <xdr:cNvPr id="93" name="checksum">
          <a:extLst>
            <a:ext uri="{FF2B5EF4-FFF2-40B4-BE49-F238E27FC236}">
              <a16:creationId xmlns:a16="http://schemas.microsoft.com/office/drawing/2014/main" xmlns="" id="{00000000-0008-0000-1200-00005D000000}"/>
            </a:ext>
          </a:extLst>
        </xdr:cNvPr>
        <xdr:cNvSpPr txBox="1">
          <a:spLocks noChangeArrowheads="1"/>
        </xdr:cNvSpPr>
      </xdr:nvSpPr>
      <xdr:spPr bwMode="auto">
        <a:xfrm>
          <a:off x="11944350" y="695325"/>
          <a:ext cx="6651624" cy="13416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</xdr:row>
      <xdr:rowOff>285750</xdr:rowOff>
    </xdr:from>
    <xdr:to>
      <xdr:col>14</xdr:col>
      <xdr:colOff>431800</xdr:colOff>
      <xdr:row>9</xdr:row>
      <xdr:rowOff>109351</xdr:rowOff>
    </xdr:to>
    <xdr:sp macro="" textlink="">
      <xdr:nvSpPr>
        <xdr:cNvPr id="94" name="checksum">
          <a:extLst>
            <a:ext uri="{FF2B5EF4-FFF2-40B4-BE49-F238E27FC236}">
              <a16:creationId xmlns:a16="http://schemas.microsoft.com/office/drawing/2014/main" xmlns="" id="{00000000-0008-0000-1200-00005E000000}"/>
            </a:ext>
          </a:extLst>
        </xdr:cNvPr>
        <xdr:cNvSpPr txBox="1">
          <a:spLocks noChangeArrowheads="1"/>
        </xdr:cNvSpPr>
      </xdr:nvSpPr>
      <xdr:spPr bwMode="auto">
        <a:xfrm>
          <a:off x="11944350" y="695325"/>
          <a:ext cx="6670674" cy="13416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</xdr:row>
      <xdr:rowOff>276225</xdr:rowOff>
    </xdr:from>
    <xdr:to>
      <xdr:col>14</xdr:col>
      <xdr:colOff>374650</xdr:colOff>
      <xdr:row>9</xdr:row>
      <xdr:rowOff>109351</xdr:rowOff>
    </xdr:to>
    <xdr:sp macro="" textlink="">
      <xdr:nvSpPr>
        <xdr:cNvPr id="95" name="checksum">
          <a:extLst>
            <a:ext uri="{FF2B5EF4-FFF2-40B4-BE49-F238E27FC236}">
              <a16:creationId xmlns:a16="http://schemas.microsoft.com/office/drawing/2014/main" xmlns="" id="{00000000-0008-0000-1200-00005F000000}"/>
            </a:ext>
          </a:extLst>
        </xdr:cNvPr>
        <xdr:cNvSpPr txBox="1">
          <a:spLocks noChangeArrowheads="1"/>
        </xdr:cNvSpPr>
      </xdr:nvSpPr>
      <xdr:spPr bwMode="auto">
        <a:xfrm>
          <a:off x="11944350" y="695325"/>
          <a:ext cx="6613524" cy="13416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4</xdr:row>
      <xdr:rowOff>363906</xdr:rowOff>
    </xdr:to>
    <xdr:sp macro="" textlink="">
      <xdr:nvSpPr>
        <xdr:cNvPr id="96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200-000060000000}"/>
            </a:ext>
          </a:extLst>
        </xdr:cNvPr>
        <xdr:cNvSpPr txBox="1">
          <a:spLocks noChangeArrowheads="1"/>
        </xdr:cNvSpPr>
      </xdr:nvSpPr>
      <xdr:spPr bwMode="auto">
        <a:xfrm>
          <a:off x="4457700" y="438150"/>
          <a:ext cx="0" cy="773481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 editAs="oneCell">
    <xdr:from>
      <xdr:col>9</xdr:col>
      <xdr:colOff>0</xdr:colOff>
      <xdr:row>2</xdr:row>
      <xdr:rowOff>285750</xdr:rowOff>
    </xdr:from>
    <xdr:to>
      <xdr:col>14</xdr:col>
      <xdr:colOff>412750</xdr:colOff>
      <xdr:row>9</xdr:row>
      <xdr:rowOff>109351</xdr:rowOff>
    </xdr:to>
    <xdr:sp macro="" textlink="">
      <xdr:nvSpPr>
        <xdr:cNvPr id="98" name="checksum">
          <a:extLst>
            <a:ext uri="{FF2B5EF4-FFF2-40B4-BE49-F238E27FC236}">
              <a16:creationId xmlns:a16="http://schemas.microsoft.com/office/drawing/2014/main" xmlns="" id="{00000000-0008-0000-1200-000062000000}"/>
            </a:ext>
          </a:extLst>
        </xdr:cNvPr>
        <xdr:cNvSpPr txBox="1">
          <a:spLocks noChangeArrowheads="1"/>
        </xdr:cNvSpPr>
      </xdr:nvSpPr>
      <xdr:spPr bwMode="auto">
        <a:xfrm>
          <a:off x="11944350" y="695325"/>
          <a:ext cx="6651624" cy="13416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3</xdr:row>
      <xdr:rowOff>107497</xdr:rowOff>
    </xdr:from>
    <xdr:to>
      <xdr:col>1</xdr:col>
      <xdr:colOff>2090553</xdr:colOff>
      <xdr:row>4</xdr:row>
      <xdr:rowOff>176893</xdr:rowOff>
    </xdr:to>
    <xdr:sp macro="" textlink="">
      <xdr:nvSpPr>
        <xdr:cNvPr id="99" name="checksum">
          <a:extLst>
            <a:ext uri="{FF2B5EF4-FFF2-40B4-BE49-F238E27FC236}">
              <a16:creationId xmlns:a16="http://schemas.microsoft.com/office/drawing/2014/main" xmlns="" id="{00000000-0008-0000-1200-000063000000}"/>
            </a:ext>
          </a:extLst>
        </xdr:cNvPr>
        <xdr:cNvSpPr txBox="1">
          <a:spLocks noChangeArrowheads="1"/>
        </xdr:cNvSpPr>
      </xdr:nvSpPr>
      <xdr:spPr bwMode="auto">
        <a:xfrm>
          <a:off x="0" y="815068"/>
          <a:ext cx="2435679" cy="32793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5</xdr:row>
      <xdr:rowOff>361950</xdr:rowOff>
    </xdr:to>
    <xdr:sp macro="" textlink="">
      <xdr:nvSpPr>
        <xdr:cNvPr id="101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200-000065000000}"/>
            </a:ext>
          </a:extLst>
        </xdr:cNvPr>
        <xdr:cNvSpPr txBox="1">
          <a:spLocks noChangeArrowheads="1"/>
        </xdr:cNvSpPr>
      </xdr:nvSpPr>
      <xdr:spPr bwMode="auto">
        <a:xfrm>
          <a:off x="4457700" y="438150"/>
          <a:ext cx="0" cy="971550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oneCellAnchor>
    <xdr:from>
      <xdr:col>34</xdr:col>
      <xdr:colOff>0</xdr:colOff>
      <xdr:row>2</xdr:row>
      <xdr:rowOff>28575</xdr:rowOff>
    </xdr:from>
    <xdr:ext cx="7755659" cy="536864"/>
    <xdr:sp macro="" textlink="">
      <xdr:nvSpPr>
        <xdr:cNvPr id="102" name="checksum">
          <a:extLst>
            <a:ext uri="{FF2B5EF4-FFF2-40B4-BE49-F238E27FC236}">
              <a16:creationId xmlns:a16="http://schemas.microsoft.com/office/drawing/2014/main" xmlns="" id="{00000000-0008-0000-1200-000066000000}"/>
            </a:ext>
          </a:extLst>
        </xdr:cNvPr>
        <xdr:cNvSpPr txBox="1">
          <a:spLocks noChangeArrowheads="1"/>
        </xdr:cNvSpPr>
      </xdr:nvSpPr>
      <xdr:spPr bwMode="auto">
        <a:xfrm>
          <a:off x="50549175" y="466725"/>
          <a:ext cx="7755659" cy="5368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34</xdr:col>
      <xdr:colOff>0</xdr:colOff>
      <xdr:row>2</xdr:row>
      <xdr:rowOff>285750</xdr:rowOff>
    </xdr:from>
    <xdr:ext cx="6785841" cy="365414"/>
    <xdr:sp macro="" textlink="">
      <xdr:nvSpPr>
        <xdr:cNvPr id="103" name="checksum">
          <a:extLst>
            <a:ext uri="{FF2B5EF4-FFF2-40B4-BE49-F238E27FC236}">
              <a16:creationId xmlns:a16="http://schemas.microsoft.com/office/drawing/2014/main" xmlns="" id="{00000000-0008-0000-1200-000067000000}"/>
            </a:ext>
          </a:extLst>
        </xdr:cNvPr>
        <xdr:cNvSpPr txBox="1">
          <a:spLocks noChangeArrowheads="1"/>
        </xdr:cNvSpPr>
      </xdr:nvSpPr>
      <xdr:spPr bwMode="auto">
        <a:xfrm>
          <a:off x="50549175" y="695325"/>
          <a:ext cx="6785841" cy="3654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34</xdr:col>
      <xdr:colOff>0</xdr:colOff>
      <xdr:row>2</xdr:row>
      <xdr:rowOff>285750</xdr:rowOff>
    </xdr:from>
    <xdr:ext cx="6804891" cy="365414"/>
    <xdr:sp macro="" textlink="">
      <xdr:nvSpPr>
        <xdr:cNvPr id="104" name="checksum">
          <a:extLst>
            <a:ext uri="{FF2B5EF4-FFF2-40B4-BE49-F238E27FC236}">
              <a16:creationId xmlns:a16="http://schemas.microsoft.com/office/drawing/2014/main" xmlns="" id="{00000000-0008-0000-1200-000068000000}"/>
            </a:ext>
          </a:extLst>
        </xdr:cNvPr>
        <xdr:cNvSpPr txBox="1">
          <a:spLocks noChangeArrowheads="1"/>
        </xdr:cNvSpPr>
      </xdr:nvSpPr>
      <xdr:spPr bwMode="auto">
        <a:xfrm>
          <a:off x="50549175" y="695325"/>
          <a:ext cx="6804891" cy="3654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34</xdr:col>
      <xdr:colOff>0</xdr:colOff>
      <xdr:row>2</xdr:row>
      <xdr:rowOff>276225</xdr:rowOff>
    </xdr:from>
    <xdr:ext cx="6747741" cy="359699"/>
    <xdr:sp macro="" textlink="">
      <xdr:nvSpPr>
        <xdr:cNvPr id="105" name="checksum">
          <a:extLst>
            <a:ext uri="{FF2B5EF4-FFF2-40B4-BE49-F238E27FC236}">
              <a16:creationId xmlns:a16="http://schemas.microsoft.com/office/drawing/2014/main" xmlns="" id="{00000000-0008-0000-1200-000069000000}"/>
            </a:ext>
          </a:extLst>
        </xdr:cNvPr>
        <xdr:cNvSpPr txBox="1">
          <a:spLocks noChangeArrowheads="1"/>
        </xdr:cNvSpPr>
      </xdr:nvSpPr>
      <xdr:spPr bwMode="auto">
        <a:xfrm>
          <a:off x="50549175" y="695325"/>
          <a:ext cx="6747741" cy="3596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34</xdr:col>
      <xdr:colOff>0</xdr:colOff>
      <xdr:row>2</xdr:row>
      <xdr:rowOff>28575</xdr:rowOff>
    </xdr:from>
    <xdr:ext cx="7755659" cy="536864"/>
    <xdr:sp macro="" textlink="">
      <xdr:nvSpPr>
        <xdr:cNvPr id="106" name="checksum">
          <a:extLst>
            <a:ext uri="{FF2B5EF4-FFF2-40B4-BE49-F238E27FC236}">
              <a16:creationId xmlns:a16="http://schemas.microsoft.com/office/drawing/2014/main" xmlns="" id="{00000000-0008-0000-1200-00006A000000}"/>
            </a:ext>
          </a:extLst>
        </xdr:cNvPr>
        <xdr:cNvSpPr txBox="1">
          <a:spLocks noChangeArrowheads="1"/>
        </xdr:cNvSpPr>
      </xdr:nvSpPr>
      <xdr:spPr bwMode="auto">
        <a:xfrm>
          <a:off x="50549175" y="466725"/>
          <a:ext cx="7755659" cy="5368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34</xdr:col>
      <xdr:colOff>0</xdr:colOff>
      <xdr:row>2</xdr:row>
      <xdr:rowOff>285750</xdr:rowOff>
    </xdr:from>
    <xdr:ext cx="6785841" cy="365414"/>
    <xdr:sp macro="" textlink="">
      <xdr:nvSpPr>
        <xdr:cNvPr id="107" name="checksum">
          <a:extLst>
            <a:ext uri="{FF2B5EF4-FFF2-40B4-BE49-F238E27FC236}">
              <a16:creationId xmlns:a16="http://schemas.microsoft.com/office/drawing/2014/main" xmlns="" id="{00000000-0008-0000-1200-00006B000000}"/>
            </a:ext>
          </a:extLst>
        </xdr:cNvPr>
        <xdr:cNvSpPr txBox="1">
          <a:spLocks noChangeArrowheads="1"/>
        </xdr:cNvSpPr>
      </xdr:nvSpPr>
      <xdr:spPr bwMode="auto">
        <a:xfrm>
          <a:off x="50549175" y="695325"/>
          <a:ext cx="6785841" cy="3654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41</xdr:col>
      <xdr:colOff>0</xdr:colOff>
      <xdr:row>2</xdr:row>
      <xdr:rowOff>28575</xdr:rowOff>
    </xdr:from>
    <xdr:ext cx="7619094" cy="555171"/>
    <xdr:sp macro="" textlink="">
      <xdr:nvSpPr>
        <xdr:cNvPr id="110" name="checksum">
          <a:extLst>
            <a:ext uri="{FF2B5EF4-FFF2-40B4-BE49-F238E27FC236}">
              <a16:creationId xmlns:a16="http://schemas.microsoft.com/office/drawing/2014/main" xmlns="" id="{00000000-0008-0000-1200-00006E000000}"/>
            </a:ext>
          </a:extLst>
        </xdr:cNvPr>
        <xdr:cNvSpPr txBox="1">
          <a:spLocks noChangeArrowheads="1"/>
        </xdr:cNvSpPr>
      </xdr:nvSpPr>
      <xdr:spPr bwMode="auto">
        <a:xfrm>
          <a:off x="60836175" y="466725"/>
          <a:ext cx="7619094" cy="5551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41</xdr:col>
      <xdr:colOff>0</xdr:colOff>
      <xdr:row>2</xdr:row>
      <xdr:rowOff>285750</xdr:rowOff>
    </xdr:from>
    <xdr:ext cx="6672035" cy="374196"/>
    <xdr:sp macro="" textlink="">
      <xdr:nvSpPr>
        <xdr:cNvPr id="111" name="checksum">
          <a:extLst>
            <a:ext uri="{FF2B5EF4-FFF2-40B4-BE49-F238E27FC236}">
              <a16:creationId xmlns:a16="http://schemas.microsoft.com/office/drawing/2014/main" xmlns="" id="{00000000-0008-0000-1200-00006F000000}"/>
            </a:ext>
          </a:extLst>
        </xdr:cNvPr>
        <xdr:cNvSpPr txBox="1">
          <a:spLocks noChangeArrowheads="1"/>
        </xdr:cNvSpPr>
      </xdr:nvSpPr>
      <xdr:spPr bwMode="auto">
        <a:xfrm>
          <a:off x="60531375" y="695325"/>
          <a:ext cx="6672035" cy="3741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41</xdr:col>
      <xdr:colOff>0</xdr:colOff>
      <xdr:row>2</xdr:row>
      <xdr:rowOff>285750</xdr:rowOff>
    </xdr:from>
    <xdr:ext cx="6691085" cy="374196"/>
    <xdr:sp macro="" textlink="">
      <xdr:nvSpPr>
        <xdr:cNvPr id="112" name="checksum">
          <a:extLst>
            <a:ext uri="{FF2B5EF4-FFF2-40B4-BE49-F238E27FC236}">
              <a16:creationId xmlns:a16="http://schemas.microsoft.com/office/drawing/2014/main" xmlns="" id="{00000000-0008-0000-1200-000070000000}"/>
            </a:ext>
          </a:extLst>
        </xdr:cNvPr>
        <xdr:cNvSpPr txBox="1">
          <a:spLocks noChangeArrowheads="1"/>
        </xdr:cNvSpPr>
      </xdr:nvSpPr>
      <xdr:spPr bwMode="auto">
        <a:xfrm>
          <a:off x="60531375" y="695325"/>
          <a:ext cx="6691085" cy="3741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41</xdr:col>
      <xdr:colOff>0</xdr:colOff>
      <xdr:row>2</xdr:row>
      <xdr:rowOff>276225</xdr:rowOff>
    </xdr:from>
    <xdr:ext cx="6633935" cy="374196"/>
    <xdr:sp macro="" textlink="">
      <xdr:nvSpPr>
        <xdr:cNvPr id="113" name="checksum">
          <a:extLst>
            <a:ext uri="{FF2B5EF4-FFF2-40B4-BE49-F238E27FC236}">
              <a16:creationId xmlns:a16="http://schemas.microsoft.com/office/drawing/2014/main" xmlns="" id="{00000000-0008-0000-1200-000071000000}"/>
            </a:ext>
          </a:extLst>
        </xdr:cNvPr>
        <xdr:cNvSpPr txBox="1">
          <a:spLocks noChangeArrowheads="1"/>
        </xdr:cNvSpPr>
      </xdr:nvSpPr>
      <xdr:spPr bwMode="auto">
        <a:xfrm>
          <a:off x="60531375" y="695325"/>
          <a:ext cx="6633935" cy="3741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35</xdr:col>
      <xdr:colOff>0</xdr:colOff>
      <xdr:row>2</xdr:row>
      <xdr:rowOff>0</xdr:rowOff>
    </xdr:from>
    <xdr:to>
      <xdr:col>35</xdr:col>
      <xdr:colOff>0</xdr:colOff>
      <xdr:row>4</xdr:row>
      <xdr:rowOff>363906</xdr:rowOff>
    </xdr:to>
    <xdr:sp macro="" textlink="">
      <xdr:nvSpPr>
        <xdr:cNvPr id="114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200-000072000000}"/>
            </a:ext>
          </a:extLst>
        </xdr:cNvPr>
        <xdr:cNvSpPr txBox="1">
          <a:spLocks noChangeArrowheads="1"/>
        </xdr:cNvSpPr>
      </xdr:nvSpPr>
      <xdr:spPr bwMode="auto">
        <a:xfrm>
          <a:off x="53044725" y="438150"/>
          <a:ext cx="0" cy="773481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oneCellAnchor>
    <xdr:from>
      <xdr:col>41</xdr:col>
      <xdr:colOff>0</xdr:colOff>
      <xdr:row>2</xdr:row>
      <xdr:rowOff>28575</xdr:rowOff>
    </xdr:from>
    <xdr:ext cx="7619094" cy="555171"/>
    <xdr:sp macro="" textlink="">
      <xdr:nvSpPr>
        <xdr:cNvPr id="115" name="checksum">
          <a:extLst>
            <a:ext uri="{FF2B5EF4-FFF2-40B4-BE49-F238E27FC236}">
              <a16:creationId xmlns:a16="http://schemas.microsoft.com/office/drawing/2014/main" xmlns="" id="{00000000-0008-0000-1200-000073000000}"/>
            </a:ext>
          </a:extLst>
        </xdr:cNvPr>
        <xdr:cNvSpPr txBox="1">
          <a:spLocks noChangeArrowheads="1"/>
        </xdr:cNvSpPr>
      </xdr:nvSpPr>
      <xdr:spPr bwMode="auto">
        <a:xfrm>
          <a:off x="60836175" y="466725"/>
          <a:ext cx="7619094" cy="5551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41</xdr:col>
      <xdr:colOff>0</xdr:colOff>
      <xdr:row>2</xdr:row>
      <xdr:rowOff>285750</xdr:rowOff>
    </xdr:from>
    <xdr:ext cx="6672035" cy="374196"/>
    <xdr:sp macro="" textlink="">
      <xdr:nvSpPr>
        <xdr:cNvPr id="116" name="checksum">
          <a:extLst>
            <a:ext uri="{FF2B5EF4-FFF2-40B4-BE49-F238E27FC236}">
              <a16:creationId xmlns:a16="http://schemas.microsoft.com/office/drawing/2014/main" xmlns="" id="{00000000-0008-0000-1200-000074000000}"/>
            </a:ext>
          </a:extLst>
        </xdr:cNvPr>
        <xdr:cNvSpPr txBox="1">
          <a:spLocks noChangeArrowheads="1"/>
        </xdr:cNvSpPr>
      </xdr:nvSpPr>
      <xdr:spPr bwMode="auto">
        <a:xfrm>
          <a:off x="60531375" y="695325"/>
          <a:ext cx="6672035" cy="3741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41</xdr:col>
      <xdr:colOff>0</xdr:colOff>
      <xdr:row>2</xdr:row>
      <xdr:rowOff>285750</xdr:rowOff>
    </xdr:from>
    <xdr:ext cx="6691085" cy="374196"/>
    <xdr:sp macro="" textlink="">
      <xdr:nvSpPr>
        <xdr:cNvPr id="117" name="checksum">
          <a:extLst>
            <a:ext uri="{FF2B5EF4-FFF2-40B4-BE49-F238E27FC236}">
              <a16:creationId xmlns:a16="http://schemas.microsoft.com/office/drawing/2014/main" xmlns="" id="{00000000-0008-0000-1200-000075000000}"/>
            </a:ext>
          </a:extLst>
        </xdr:cNvPr>
        <xdr:cNvSpPr txBox="1">
          <a:spLocks noChangeArrowheads="1"/>
        </xdr:cNvSpPr>
      </xdr:nvSpPr>
      <xdr:spPr bwMode="auto">
        <a:xfrm>
          <a:off x="60531375" y="695325"/>
          <a:ext cx="6691085" cy="3741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41</xdr:col>
      <xdr:colOff>0</xdr:colOff>
      <xdr:row>2</xdr:row>
      <xdr:rowOff>276225</xdr:rowOff>
    </xdr:from>
    <xdr:ext cx="6633935" cy="374196"/>
    <xdr:sp macro="" textlink="">
      <xdr:nvSpPr>
        <xdr:cNvPr id="118" name="checksum">
          <a:extLst>
            <a:ext uri="{FF2B5EF4-FFF2-40B4-BE49-F238E27FC236}">
              <a16:creationId xmlns:a16="http://schemas.microsoft.com/office/drawing/2014/main" xmlns="" id="{00000000-0008-0000-1200-000076000000}"/>
            </a:ext>
          </a:extLst>
        </xdr:cNvPr>
        <xdr:cNvSpPr txBox="1">
          <a:spLocks noChangeArrowheads="1"/>
        </xdr:cNvSpPr>
      </xdr:nvSpPr>
      <xdr:spPr bwMode="auto">
        <a:xfrm>
          <a:off x="60531375" y="695325"/>
          <a:ext cx="6633935" cy="3741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35</xdr:col>
      <xdr:colOff>0</xdr:colOff>
      <xdr:row>2</xdr:row>
      <xdr:rowOff>0</xdr:rowOff>
    </xdr:from>
    <xdr:to>
      <xdr:col>35</xdr:col>
      <xdr:colOff>0</xdr:colOff>
      <xdr:row>5</xdr:row>
      <xdr:rowOff>361950</xdr:rowOff>
    </xdr:to>
    <xdr:sp macro="" textlink="">
      <xdr:nvSpPr>
        <xdr:cNvPr id="119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200-000077000000}"/>
            </a:ext>
          </a:extLst>
        </xdr:cNvPr>
        <xdr:cNvSpPr txBox="1">
          <a:spLocks noChangeArrowheads="1"/>
        </xdr:cNvSpPr>
      </xdr:nvSpPr>
      <xdr:spPr bwMode="auto">
        <a:xfrm>
          <a:off x="53044725" y="438150"/>
          <a:ext cx="0" cy="971550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0</xdr:colOff>
      <xdr:row>2</xdr:row>
      <xdr:rowOff>28575</xdr:rowOff>
    </xdr:from>
    <xdr:to>
      <xdr:col>24</xdr:col>
      <xdr:colOff>107950</xdr:colOff>
      <xdr:row>5</xdr:row>
      <xdr:rowOff>9525</xdr:rowOff>
    </xdr:to>
    <xdr:sp macro="" textlink="">
      <xdr:nvSpPr>
        <xdr:cNvPr id="2" name="checksum">
          <a:extLst>
            <a:ext uri="{FF2B5EF4-FFF2-40B4-BE49-F238E27FC236}">
              <a16:creationId xmlns:a16="http://schemas.microsoft.com/office/drawing/2014/main" xmlns="" id="{00000000-0008-0000-1300-000002000000}"/>
            </a:ext>
          </a:extLst>
        </xdr:cNvPr>
        <xdr:cNvSpPr txBox="1">
          <a:spLocks noChangeArrowheads="1"/>
        </xdr:cNvSpPr>
      </xdr:nvSpPr>
      <xdr:spPr bwMode="auto">
        <a:xfrm>
          <a:off x="25669875" y="466725"/>
          <a:ext cx="7594599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23</xdr:col>
      <xdr:colOff>412749</xdr:colOff>
      <xdr:row>4</xdr:row>
      <xdr:rowOff>180975</xdr:rowOff>
    </xdr:to>
    <xdr:sp macro="" textlink="">
      <xdr:nvSpPr>
        <xdr:cNvPr id="3" name="checksum">
          <a:extLst>
            <a:ext uri="{FF2B5EF4-FFF2-40B4-BE49-F238E27FC236}">
              <a16:creationId xmlns:a16="http://schemas.microsoft.com/office/drawing/2014/main" xmlns="" id="{00000000-0008-0000-1300-000003000000}"/>
            </a:ext>
          </a:extLst>
        </xdr:cNvPr>
        <xdr:cNvSpPr txBox="1">
          <a:spLocks noChangeArrowheads="1"/>
        </xdr:cNvSpPr>
      </xdr:nvSpPr>
      <xdr:spPr bwMode="auto">
        <a:xfrm>
          <a:off x="25669875" y="695325"/>
          <a:ext cx="6651623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23</xdr:col>
      <xdr:colOff>431799</xdr:colOff>
      <xdr:row>4</xdr:row>
      <xdr:rowOff>180975</xdr:rowOff>
    </xdr:to>
    <xdr:sp macro="" textlink="">
      <xdr:nvSpPr>
        <xdr:cNvPr id="4" name="checksum">
          <a:extLst>
            <a:ext uri="{FF2B5EF4-FFF2-40B4-BE49-F238E27FC236}">
              <a16:creationId xmlns:a16="http://schemas.microsoft.com/office/drawing/2014/main" xmlns="" id="{00000000-0008-0000-1300-000004000000}"/>
            </a:ext>
          </a:extLst>
        </xdr:cNvPr>
        <xdr:cNvSpPr txBox="1">
          <a:spLocks noChangeArrowheads="1"/>
        </xdr:cNvSpPr>
      </xdr:nvSpPr>
      <xdr:spPr bwMode="auto">
        <a:xfrm>
          <a:off x="25669875" y="695325"/>
          <a:ext cx="6670673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23</xdr:col>
      <xdr:colOff>374649</xdr:colOff>
      <xdr:row>4</xdr:row>
      <xdr:rowOff>180975</xdr:rowOff>
    </xdr:to>
    <xdr:sp macro="" textlink="">
      <xdr:nvSpPr>
        <xdr:cNvPr id="5" name="checksum">
          <a:extLst>
            <a:ext uri="{FF2B5EF4-FFF2-40B4-BE49-F238E27FC236}">
              <a16:creationId xmlns:a16="http://schemas.microsoft.com/office/drawing/2014/main" xmlns="" id="{00000000-0008-0000-1300-000005000000}"/>
            </a:ext>
          </a:extLst>
        </xdr:cNvPr>
        <xdr:cNvSpPr txBox="1">
          <a:spLocks noChangeArrowheads="1"/>
        </xdr:cNvSpPr>
      </xdr:nvSpPr>
      <xdr:spPr bwMode="auto">
        <a:xfrm>
          <a:off x="25669875" y="695325"/>
          <a:ext cx="6613523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24</xdr:col>
      <xdr:colOff>107950</xdr:colOff>
      <xdr:row>5</xdr:row>
      <xdr:rowOff>9525</xdr:rowOff>
    </xdr:to>
    <xdr:sp macro="" textlink="">
      <xdr:nvSpPr>
        <xdr:cNvPr id="6" name="checksum">
          <a:extLst>
            <a:ext uri="{FF2B5EF4-FFF2-40B4-BE49-F238E27FC236}">
              <a16:creationId xmlns:a16="http://schemas.microsoft.com/office/drawing/2014/main" xmlns="" id="{00000000-0008-0000-1300-000006000000}"/>
            </a:ext>
          </a:extLst>
        </xdr:cNvPr>
        <xdr:cNvSpPr txBox="1">
          <a:spLocks noChangeArrowheads="1"/>
        </xdr:cNvSpPr>
      </xdr:nvSpPr>
      <xdr:spPr bwMode="auto">
        <a:xfrm>
          <a:off x="25669875" y="466725"/>
          <a:ext cx="7594599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23</xdr:col>
      <xdr:colOff>412749</xdr:colOff>
      <xdr:row>4</xdr:row>
      <xdr:rowOff>180975</xdr:rowOff>
    </xdr:to>
    <xdr:sp macro="" textlink="">
      <xdr:nvSpPr>
        <xdr:cNvPr id="7" name="checksum">
          <a:extLst>
            <a:ext uri="{FF2B5EF4-FFF2-40B4-BE49-F238E27FC236}">
              <a16:creationId xmlns:a16="http://schemas.microsoft.com/office/drawing/2014/main" xmlns="" id="{00000000-0008-0000-1300-000007000000}"/>
            </a:ext>
          </a:extLst>
        </xdr:cNvPr>
        <xdr:cNvSpPr txBox="1">
          <a:spLocks noChangeArrowheads="1"/>
        </xdr:cNvSpPr>
      </xdr:nvSpPr>
      <xdr:spPr bwMode="auto">
        <a:xfrm>
          <a:off x="25669875" y="695325"/>
          <a:ext cx="6651623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23</xdr:col>
      <xdr:colOff>431799</xdr:colOff>
      <xdr:row>4</xdr:row>
      <xdr:rowOff>180975</xdr:rowOff>
    </xdr:to>
    <xdr:sp macro="" textlink="">
      <xdr:nvSpPr>
        <xdr:cNvPr id="8" name="checksum">
          <a:extLst>
            <a:ext uri="{FF2B5EF4-FFF2-40B4-BE49-F238E27FC236}">
              <a16:creationId xmlns:a16="http://schemas.microsoft.com/office/drawing/2014/main" xmlns="" id="{00000000-0008-0000-1300-000008000000}"/>
            </a:ext>
          </a:extLst>
        </xdr:cNvPr>
        <xdr:cNvSpPr txBox="1">
          <a:spLocks noChangeArrowheads="1"/>
        </xdr:cNvSpPr>
      </xdr:nvSpPr>
      <xdr:spPr bwMode="auto">
        <a:xfrm>
          <a:off x="25669875" y="695325"/>
          <a:ext cx="6670673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23</xdr:col>
      <xdr:colOff>374649</xdr:colOff>
      <xdr:row>4</xdr:row>
      <xdr:rowOff>180975</xdr:rowOff>
    </xdr:to>
    <xdr:sp macro="" textlink="">
      <xdr:nvSpPr>
        <xdr:cNvPr id="9" name="checksum">
          <a:extLst>
            <a:ext uri="{FF2B5EF4-FFF2-40B4-BE49-F238E27FC236}">
              <a16:creationId xmlns:a16="http://schemas.microsoft.com/office/drawing/2014/main" xmlns="" id="{00000000-0008-0000-1300-000009000000}"/>
            </a:ext>
          </a:extLst>
        </xdr:cNvPr>
        <xdr:cNvSpPr txBox="1">
          <a:spLocks noChangeArrowheads="1"/>
        </xdr:cNvSpPr>
      </xdr:nvSpPr>
      <xdr:spPr bwMode="auto">
        <a:xfrm>
          <a:off x="25669875" y="695325"/>
          <a:ext cx="6613523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24</xdr:col>
      <xdr:colOff>107951</xdr:colOff>
      <xdr:row>4</xdr:row>
      <xdr:rowOff>66675</xdr:rowOff>
    </xdr:to>
    <xdr:sp macro="" textlink="">
      <xdr:nvSpPr>
        <xdr:cNvPr id="10" name="checksum">
          <a:extLst>
            <a:ext uri="{FF2B5EF4-FFF2-40B4-BE49-F238E27FC236}">
              <a16:creationId xmlns:a16="http://schemas.microsoft.com/office/drawing/2014/main" xmlns="" id="{00000000-0008-0000-1300-00000A000000}"/>
            </a:ext>
          </a:extLst>
        </xdr:cNvPr>
        <xdr:cNvSpPr txBox="1">
          <a:spLocks noChangeArrowheads="1"/>
        </xdr:cNvSpPr>
      </xdr:nvSpPr>
      <xdr:spPr bwMode="auto">
        <a:xfrm>
          <a:off x="25669875" y="466725"/>
          <a:ext cx="759460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23</xdr:col>
      <xdr:colOff>412750</xdr:colOff>
      <xdr:row>4</xdr:row>
      <xdr:rowOff>114300</xdr:rowOff>
    </xdr:to>
    <xdr:sp macro="" textlink="">
      <xdr:nvSpPr>
        <xdr:cNvPr id="11" name="checksum">
          <a:extLst>
            <a:ext uri="{FF2B5EF4-FFF2-40B4-BE49-F238E27FC236}">
              <a16:creationId xmlns:a16="http://schemas.microsoft.com/office/drawing/2014/main" xmlns="" id="{00000000-0008-0000-1300-00000B000000}"/>
            </a:ext>
          </a:extLst>
        </xdr:cNvPr>
        <xdr:cNvSpPr txBox="1">
          <a:spLocks noChangeArrowheads="1"/>
        </xdr:cNvSpPr>
      </xdr:nvSpPr>
      <xdr:spPr bwMode="auto">
        <a:xfrm>
          <a:off x="25669875" y="695325"/>
          <a:ext cx="6651624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23</xdr:col>
      <xdr:colOff>431800</xdr:colOff>
      <xdr:row>4</xdr:row>
      <xdr:rowOff>114300</xdr:rowOff>
    </xdr:to>
    <xdr:sp macro="" textlink="">
      <xdr:nvSpPr>
        <xdr:cNvPr id="12" name="checksum">
          <a:extLst>
            <a:ext uri="{FF2B5EF4-FFF2-40B4-BE49-F238E27FC236}">
              <a16:creationId xmlns:a16="http://schemas.microsoft.com/office/drawing/2014/main" xmlns="" id="{00000000-0008-0000-1300-00000C000000}"/>
            </a:ext>
          </a:extLst>
        </xdr:cNvPr>
        <xdr:cNvSpPr txBox="1">
          <a:spLocks noChangeArrowheads="1"/>
        </xdr:cNvSpPr>
      </xdr:nvSpPr>
      <xdr:spPr bwMode="auto">
        <a:xfrm>
          <a:off x="25669875" y="695325"/>
          <a:ext cx="6670674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23</xdr:col>
      <xdr:colOff>374650</xdr:colOff>
      <xdr:row>4</xdr:row>
      <xdr:rowOff>114300</xdr:rowOff>
    </xdr:to>
    <xdr:sp macro="" textlink="">
      <xdr:nvSpPr>
        <xdr:cNvPr id="13" name="checksum">
          <a:extLst>
            <a:ext uri="{FF2B5EF4-FFF2-40B4-BE49-F238E27FC236}">
              <a16:creationId xmlns:a16="http://schemas.microsoft.com/office/drawing/2014/main" xmlns="" id="{00000000-0008-0000-1300-00000D000000}"/>
            </a:ext>
          </a:extLst>
        </xdr:cNvPr>
        <xdr:cNvSpPr txBox="1">
          <a:spLocks noChangeArrowheads="1"/>
        </xdr:cNvSpPr>
      </xdr:nvSpPr>
      <xdr:spPr bwMode="auto">
        <a:xfrm>
          <a:off x="25669875" y="695325"/>
          <a:ext cx="6613524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24</xdr:col>
      <xdr:colOff>107951</xdr:colOff>
      <xdr:row>4</xdr:row>
      <xdr:rowOff>66675</xdr:rowOff>
    </xdr:to>
    <xdr:sp macro="" textlink="">
      <xdr:nvSpPr>
        <xdr:cNvPr id="14" name="checksum">
          <a:extLst>
            <a:ext uri="{FF2B5EF4-FFF2-40B4-BE49-F238E27FC236}">
              <a16:creationId xmlns:a16="http://schemas.microsoft.com/office/drawing/2014/main" xmlns="" id="{00000000-0008-0000-1300-00000E000000}"/>
            </a:ext>
          </a:extLst>
        </xdr:cNvPr>
        <xdr:cNvSpPr txBox="1">
          <a:spLocks noChangeArrowheads="1"/>
        </xdr:cNvSpPr>
      </xdr:nvSpPr>
      <xdr:spPr bwMode="auto">
        <a:xfrm>
          <a:off x="25669875" y="466725"/>
          <a:ext cx="759460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23</xdr:col>
      <xdr:colOff>412750</xdr:colOff>
      <xdr:row>4</xdr:row>
      <xdr:rowOff>114300</xdr:rowOff>
    </xdr:to>
    <xdr:sp macro="" textlink="">
      <xdr:nvSpPr>
        <xdr:cNvPr id="15" name="checksum">
          <a:extLst>
            <a:ext uri="{FF2B5EF4-FFF2-40B4-BE49-F238E27FC236}">
              <a16:creationId xmlns:a16="http://schemas.microsoft.com/office/drawing/2014/main" xmlns="" id="{00000000-0008-0000-1300-00000F000000}"/>
            </a:ext>
          </a:extLst>
        </xdr:cNvPr>
        <xdr:cNvSpPr txBox="1">
          <a:spLocks noChangeArrowheads="1"/>
        </xdr:cNvSpPr>
      </xdr:nvSpPr>
      <xdr:spPr bwMode="auto">
        <a:xfrm>
          <a:off x="25669875" y="695325"/>
          <a:ext cx="6651624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23</xdr:col>
      <xdr:colOff>431800</xdr:colOff>
      <xdr:row>4</xdr:row>
      <xdr:rowOff>114300</xdr:rowOff>
    </xdr:to>
    <xdr:sp macro="" textlink="">
      <xdr:nvSpPr>
        <xdr:cNvPr id="16" name="checksum">
          <a:extLst>
            <a:ext uri="{FF2B5EF4-FFF2-40B4-BE49-F238E27FC236}">
              <a16:creationId xmlns:a16="http://schemas.microsoft.com/office/drawing/2014/main" xmlns="" id="{00000000-0008-0000-1300-000010000000}"/>
            </a:ext>
          </a:extLst>
        </xdr:cNvPr>
        <xdr:cNvSpPr txBox="1">
          <a:spLocks noChangeArrowheads="1"/>
        </xdr:cNvSpPr>
      </xdr:nvSpPr>
      <xdr:spPr bwMode="auto">
        <a:xfrm>
          <a:off x="25669875" y="695325"/>
          <a:ext cx="6670674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23</xdr:col>
      <xdr:colOff>374650</xdr:colOff>
      <xdr:row>4</xdr:row>
      <xdr:rowOff>114300</xdr:rowOff>
    </xdr:to>
    <xdr:sp macro="" textlink="">
      <xdr:nvSpPr>
        <xdr:cNvPr id="17" name="checksum">
          <a:extLst>
            <a:ext uri="{FF2B5EF4-FFF2-40B4-BE49-F238E27FC236}">
              <a16:creationId xmlns:a16="http://schemas.microsoft.com/office/drawing/2014/main" xmlns="" id="{00000000-0008-0000-1300-000011000000}"/>
            </a:ext>
          </a:extLst>
        </xdr:cNvPr>
        <xdr:cNvSpPr txBox="1">
          <a:spLocks noChangeArrowheads="1"/>
        </xdr:cNvSpPr>
      </xdr:nvSpPr>
      <xdr:spPr bwMode="auto">
        <a:xfrm>
          <a:off x="25669875" y="695325"/>
          <a:ext cx="6613524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24</xdr:col>
      <xdr:colOff>107951</xdr:colOff>
      <xdr:row>4</xdr:row>
      <xdr:rowOff>66675</xdr:rowOff>
    </xdr:to>
    <xdr:sp macro="" textlink="">
      <xdr:nvSpPr>
        <xdr:cNvPr id="18" name="checksum">
          <a:extLst>
            <a:ext uri="{FF2B5EF4-FFF2-40B4-BE49-F238E27FC236}">
              <a16:creationId xmlns:a16="http://schemas.microsoft.com/office/drawing/2014/main" xmlns="" id="{00000000-0008-0000-1300-000012000000}"/>
            </a:ext>
          </a:extLst>
        </xdr:cNvPr>
        <xdr:cNvSpPr txBox="1">
          <a:spLocks noChangeArrowheads="1"/>
        </xdr:cNvSpPr>
      </xdr:nvSpPr>
      <xdr:spPr bwMode="auto">
        <a:xfrm>
          <a:off x="25669875" y="466725"/>
          <a:ext cx="759460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23</xdr:col>
      <xdr:colOff>412749</xdr:colOff>
      <xdr:row>4</xdr:row>
      <xdr:rowOff>114300</xdr:rowOff>
    </xdr:to>
    <xdr:sp macro="" textlink="">
      <xdr:nvSpPr>
        <xdr:cNvPr id="19" name="checksum">
          <a:extLst>
            <a:ext uri="{FF2B5EF4-FFF2-40B4-BE49-F238E27FC236}">
              <a16:creationId xmlns:a16="http://schemas.microsoft.com/office/drawing/2014/main" xmlns="" id="{00000000-0008-0000-1300-000013000000}"/>
            </a:ext>
          </a:extLst>
        </xdr:cNvPr>
        <xdr:cNvSpPr txBox="1">
          <a:spLocks noChangeArrowheads="1"/>
        </xdr:cNvSpPr>
      </xdr:nvSpPr>
      <xdr:spPr bwMode="auto">
        <a:xfrm>
          <a:off x="25669875" y="695325"/>
          <a:ext cx="6651623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23</xdr:col>
      <xdr:colOff>431799</xdr:colOff>
      <xdr:row>4</xdr:row>
      <xdr:rowOff>114300</xdr:rowOff>
    </xdr:to>
    <xdr:sp macro="" textlink="">
      <xdr:nvSpPr>
        <xdr:cNvPr id="20" name="checksum">
          <a:extLst>
            <a:ext uri="{FF2B5EF4-FFF2-40B4-BE49-F238E27FC236}">
              <a16:creationId xmlns:a16="http://schemas.microsoft.com/office/drawing/2014/main" xmlns="" id="{00000000-0008-0000-1300-000014000000}"/>
            </a:ext>
          </a:extLst>
        </xdr:cNvPr>
        <xdr:cNvSpPr txBox="1">
          <a:spLocks noChangeArrowheads="1"/>
        </xdr:cNvSpPr>
      </xdr:nvSpPr>
      <xdr:spPr bwMode="auto">
        <a:xfrm>
          <a:off x="25669875" y="695325"/>
          <a:ext cx="6670673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23</xdr:col>
      <xdr:colOff>374649</xdr:colOff>
      <xdr:row>4</xdr:row>
      <xdr:rowOff>114300</xdr:rowOff>
    </xdr:to>
    <xdr:sp macro="" textlink="">
      <xdr:nvSpPr>
        <xdr:cNvPr id="21" name="checksum">
          <a:extLst>
            <a:ext uri="{FF2B5EF4-FFF2-40B4-BE49-F238E27FC236}">
              <a16:creationId xmlns:a16="http://schemas.microsoft.com/office/drawing/2014/main" xmlns="" id="{00000000-0008-0000-1300-000015000000}"/>
            </a:ext>
          </a:extLst>
        </xdr:cNvPr>
        <xdr:cNvSpPr txBox="1">
          <a:spLocks noChangeArrowheads="1"/>
        </xdr:cNvSpPr>
      </xdr:nvSpPr>
      <xdr:spPr bwMode="auto">
        <a:xfrm>
          <a:off x="25669875" y="695325"/>
          <a:ext cx="6613523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24</xdr:col>
      <xdr:colOff>107951</xdr:colOff>
      <xdr:row>4</xdr:row>
      <xdr:rowOff>66675</xdr:rowOff>
    </xdr:to>
    <xdr:sp macro="" textlink="">
      <xdr:nvSpPr>
        <xdr:cNvPr id="22" name="checksum">
          <a:extLst>
            <a:ext uri="{FF2B5EF4-FFF2-40B4-BE49-F238E27FC236}">
              <a16:creationId xmlns:a16="http://schemas.microsoft.com/office/drawing/2014/main" xmlns="" id="{00000000-0008-0000-1300-000016000000}"/>
            </a:ext>
          </a:extLst>
        </xdr:cNvPr>
        <xdr:cNvSpPr txBox="1">
          <a:spLocks noChangeArrowheads="1"/>
        </xdr:cNvSpPr>
      </xdr:nvSpPr>
      <xdr:spPr bwMode="auto">
        <a:xfrm>
          <a:off x="25669875" y="466725"/>
          <a:ext cx="759460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23</xdr:col>
      <xdr:colOff>412749</xdr:colOff>
      <xdr:row>4</xdr:row>
      <xdr:rowOff>114300</xdr:rowOff>
    </xdr:to>
    <xdr:sp macro="" textlink="">
      <xdr:nvSpPr>
        <xdr:cNvPr id="23" name="checksum">
          <a:extLst>
            <a:ext uri="{FF2B5EF4-FFF2-40B4-BE49-F238E27FC236}">
              <a16:creationId xmlns:a16="http://schemas.microsoft.com/office/drawing/2014/main" xmlns="" id="{00000000-0008-0000-1300-000017000000}"/>
            </a:ext>
          </a:extLst>
        </xdr:cNvPr>
        <xdr:cNvSpPr txBox="1">
          <a:spLocks noChangeArrowheads="1"/>
        </xdr:cNvSpPr>
      </xdr:nvSpPr>
      <xdr:spPr bwMode="auto">
        <a:xfrm>
          <a:off x="25669875" y="695325"/>
          <a:ext cx="6651623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23</xdr:col>
      <xdr:colOff>431799</xdr:colOff>
      <xdr:row>4</xdr:row>
      <xdr:rowOff>114300</xdr:rowOff>
    </xdr:to>
    <xdr:sp macro="" textlink="">
      <xdr:nvSpPr>
        <xdr:cNvPr id="24" name="checksum">
          <a:extLst>
            <a:ext uri="{FF2B5EF4-FFF2-40B4-BE49-F238E27FC236}">
              <a16:creationId xmlns:a16="http://schemas.microsoft.com/office/drawing/2014/main" xmlns="" id="{00000000-0008-0000-1300-000018000000}"/>
            </a:ext>
          </a:extLst>
        </xdr:cNvPr>
        <xdr:cNvSpPr txBox="1">
          <a:spLocks noChangeArrowheads="1"/>
        </xdr:cNvSpPr>
      </xdr:nvSpPr>
      <xdr:spPr bwMode="auto">
        <a:xfrm>
          <a:off x="25669875" y="695325"/>
          <a:ext cx="6670673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23</xdr:col>
      <xdr:colOff>374649</xdr:colOff>
      <xdr:row>4</xdr:row>
      <xdr:rowOff>114300</xdr:rowOff>
    </xdr:to>
    <xdr:sp macro="" textlink="">
      <xdr:nvSpPr>
        <xdr:cNvPr id="25" name="checksum">
          <a:extLst>
            <a:ext uri="{FF2B5EF4-FFF2-40B4-BE49-F238E27FC236}">
              <a16:creationId xmlns:a16="http://schemas.microsoft.com/office/drawing/2014/main" xmlns="" id="{00000000-0008-0000-1300-000019000000}"/>
            </a:ext>
          </a:extLst>
        </xdr:cNvPr>
        <xdr:cNvSpPr txBox="1">
          <a:spLocks noChangeArrowheads="1"/>
        </xdr:cNvSpPr>
      </xdr:nvSpPr>
      <xdr:spPr bwMode="auto">
        <a:xfrm>
          <a:off x="25669875" y="695325"/>
          <a:ext cx="6613523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24</xdr:col>
      <xdr:colOff>107950</xdr:colOff>
      <xdr:row>4</xdr:row>
      <xdr:rowOff>66675</xdr:rowOff>
    </xdr:to>
    <xdr:sp macro="" textlink="">
      <xdr:nvSpPr>
        <xdr:cNvPr id="26" name="checksum">
          <a:extLst>
            <a:ext uri="{FF2B5EF4-FFF2-40B4-BE49-F238E27FC236}">
              <a16:creationId xmlns:a16="http://schemas.microsoft.com/office/drawing/2014/main" xmlns="" id="{00000000-0008-0000-1300-00001A000000}"/>
            </a:ext>
          </a:extLst>
        </xdr:cNvPr>
        <xdr:cNvSpPr txBox="1">
          <a:spLocks noChangeArrowheads="1"/>
        </xdr:cNvSpPr>
      </xdr:nvSpPr>
      <xdr:spPr bwMode="auto">
        <a:xfrm>
          <a:off x="25669875" y="466725"/>
          <a:ext cx="7594599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23</xdr:col>
      <xdr:colOff>412749</xdr:colOff>
      <xdr:row>4</xdr:row>
      <xdr:rowOff>114300</xdr:rowOff>
    </xdr:to>
    <xdr:sp macro="" textlink="">
      <xdr:nvSpPr>
        <xdr:cNvPr id="27" name="checksum">
          <a:extLst>
            <a:ext uri="{FF2B5EF4-FFF2-40B4-BE49-F238E27FC236}">
              <a16:creationId xmlns:a16="http://schemas.microsoft.com/office/drawing/2014/main" xmlns="" id="{00000000-0008-0000-1300-00001B000000}"/>
            </a:ext>
          </a:extLst>
        </xdr:cNvPr>
        <xdr:cNvSpPr txBox="1">
          <a:spLocks noChangeArrowheads="1"/>
        </xdr:cNvSpPr>
      </xdr:nvSpPr>
      <xdr:spPr bwMode="auto">
        <a:xfrm>
          <a:off x="25669875" y="695325"/>
          <a:ext cx="6651623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23</xdr:col>
      <xdr:colOff>431799</xdr:colOff>
      <xdr:row>4</xdr:row>
      <xdr:rowOff>114300</xdr:rowOff>
    </xdr:to>
    <xdr:sp macro="" textlink="">
      <xdr:nvSpPr>
        <xdr:cNvPr id="28" name="checksum">
          <a:extLst>
            <a:ext uri="{FF2B5EF4-FFF2-40B4-BE49-F238E27FC236}">
              <a16:creationId xmlns:a16="http://schemas.microsoft.com/office/drawing/2014/main" xmlns="" id="{00000000-0008-0000-1300-00001C000000}"/>
            </a:ext>
          </a:extLst>
        </xdr:cNvPr>
        <xdr:cNvSpPr txBox="1">
          <a:spLocks noChangeArrowheads="1"/>
        </xdr:cNvSpPr>
      </xdr:nvSpPr>
      <xdr:spPr bwMode="auto">
        <a:xfrm>
          <a:off x="25669875" y="695325"/>
          <a:ext cx="6670673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23</xdr:col>
      <xdr:colOff>374649</xdr:colOff>
      <xdr:row>4</xdr:row>
      <xdr:rowOff>114300</xdr:rowOff>
    </xdr:to>
    <xdr:sp macro="" textlink="">
      <xdr:nvSpPr>
        <xdr:cNvPr id="29" name="checksum">
          <a:extLst>
            <a:ext uri="{FF2B5EF4-FFF2-40B4-BE49-F238E27FC236}">
              <a16:creationId xmlns:a16="http://schemas.microsoft.com/office/drawing/2014/main" xmlns="" id="{00000000-0008-0000-1300-00001D000000}"/>
            </a:ext>
          </a:extLst>
        </xdr:cNvPr>
        <xdr:cNvSpPr txBox="1">
          <a:spLocks noChangeArrowheads="1"/>
        </xdr:cNvSpPr>
      </xdr:nvSpPr>
      <xdr:spPr bwMode="auto">
        <a:xfrm>
          <a:off x="25669875" y="695325"/>
          <a:ext cx="6613523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24</xdr:col>
      <xdr:colOff>107950</xdr:colOff>
      <xdr:row>4</xdr:row>
      <xdr:rowOff>66675</xdr:rowOff>
    </xdr:to>
    <xdr:sp macro="" textlink="">
      <xdr:nvSpPr>
        <xdr:cNvPr id="30" name="checksum">
          <a:extLst>
            <a:ext uri="{FF2B5EF4-FFF2-40B4-BE49-F238E27FC236}">
              <a16:creationId xmlns:a16="http://schemas.microsoft.com/office/drawing/2014/main" xmlns="" id="{00000000-0008-0000-1300-00001E000000}"/>
            </a:ext>
          </a:extLst>
        </xdr:cNvPr>
        <xdr:cNvSpPr txBox="1">
          <a:spLocks noChangeArrowheads="1"/>
        </xdr:cNvSpPr>
      </xdr:nvSpPr>
      <xdr:spPr bwMode="auto">
        <a:xfrm>
          <a:off x="25669875" y="466725"/>
          <a:ext cx="7594599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23</xdr:col>
      <xdr:colOff>412749</xdr:colOff>
      <xdr:row>4</xdr:row>
      <xdr:rowOff>114300</xdr:rowOff>
    </xdr:to>
    <xdr:sp macro="" textlink="">
      <xdr:nvSpPr>
        <xdr:cNvPr id="31" name="checksum">
          <a:extLst>
            <a:ext uri="{FF2B5EF4-FFF2-40B4-BE49-F238E27FC236}">
              <a16:creationId xmlns:a16="http://schemas.microsoft.com/office/drawing/2014/main" xmlns="" id="{00000000-0008-0000-1300-00001F000000}"/>
            </a:ext>
          </a:extLst>
        </xdr:cNvPr>
        <xdr:cNvSpPr txBox="1">
          <a:spLocks noChangeArrowheads="1"/>
        </xdr:cNvSpPr>
      </xdr:nvSpPr>
      <xdr:spPr bwMode="auto">
        <a:xfrm>
          <a:off x="25669875" y="695325"/>
          <a:ext cx="6651623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23</xdr:col>
      <xdr:colOff>431799</xdr:colOff>
      <xdr:row>4</xdr:row>
      <xdr:rowOff>114300</xdr:rowOff>
    </xdr:to>
    <xdr:sp macro="" textlink="">
      <xdr:nvSpPr>
        <xdr:cNvPr id="32" name="checksum">
          <a:extLst>
            <a:ext uri="{FF2B5EF4-FFF2-40B4-BE49-F238E27FC236}">
              <a16:creationId xmlns:a16="http://schemas.microsoft.com/office/drawing/2014/main" xmlns="" id="{00000000-0008-0000-1300-000020000000}"/>
            </a:ext>
          </a:extLst>
        </xdr:cNvPr>
        <xdr:cNvSpPr txBox="1">
          <a:spLocks noChangeArrowheads="1"/>
        </xdr:cNvSpPr>
      </xdr:nvSpPr>
      <xdr:spPr bwMode="auto">
        <a:xfrm>
          <a:off x="25669875" y="695325"/>
          <a:ext cx="6670673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23</xdr:col>
      <xdr:colOff>374649</xdr:colOff>
      <xdr:row>4</xdr:row>
      <xdr:rowOff>114300</xdr:rowOff>
    </xdr:to>
    <xdr:sp macro="" textlink="">
      <xdr:nvSpPr>
        <xdr:cNvPr id="33" name="checksum">
          <a:extLst>
            <a:ext uri="{FF2B5EF4-FFF2-40B4-BE49-F238E27FC236}">
              <a16:creationId xmlns:a16="http://schemas.microsoft.com/office/drawing/2014/main" xmlns="" id="{00000000-0008-0000-1300-000021000000}"/>
            </a:ext>
          </a:extLst>
        </xdr:cNvPr>
        <xdr:cNvSpPr txBox="1">
          <a:spLocks noChangeArrowheads="1"/>
        </xdr:cNvSpPr>
      </xdr:nvSpPr>
      <xdr:spPr bwMode="auto">
        <a:xfrm>
          <a:off x="25669875" y="695325"/>
          <a:ext cx="6613523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24</xdr:col>
      <xdr:colOff>107951</xdr:colOff>
      <xdr:row>4</xdr:row>
      <xdr:rowOff>66675</xdr:rowOff>
    </xdr:to>
    <xdr:sp macro="" textlink="">
      <xdr:nvSpPr>
        <xdr:cNvPr id="34" name="checksum">
          <a:extLst>
            <a:ext uri="{FF2B5EF4-FFF2-40B4-BE49-F238E27FC236}">
              <a16:creationId xmlns:a16="http://schemas.microsoft.com/office/drawing/2014/main" xmlns="" id="{00000000-0008-0000-1300-000022000000}"/>
            </a:ext>
          </a:extLst>
        </xdr:cNvPr>
        <xdr:cNvSpPr txBox="1">
          <a:spLocks noChangeArrowheads="1"/>
        </xdr:cNvSpPr>
      </xdr:nvSpPr>
      <xdr:spPr bwMode="auto">
        <a:xfrm>
          <a:off x="25669875" y="466725"/>
          <a:ext cx="759460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23</xdr:col>
      <xdr:colOff>412750</xdr:colOff>
      <xdr:row>4</xdr:row>
      <xdr:rowOff>114300</xdr:rowOff>
    </xdr:to>
    <xdr:sp macro="" textlink="">
      <xdr:nvSpPr>
        <xdr:cNvPr id="35" name="checksum">
          <a:extLst>
            <a:ext uri="{FF2B5EF4-FFF2-40B4-BE49-F238E27FC236}">
              <a16:creationId xmlns:a16="http://schemas.microsoft.com/office/drawing/2014/main" xmlns="" id="{00000000-0008-0000-1300-000023000000}"/>
            </a:ext>
          </a:extLst>
        </xdr:cNvPr>
        <xdr:cNvSpPr txBox="1">
          <a:spLocks noChangeArrowheads="1"/>
        </xdr:cNvSpPr>
      </xdr:nvSpPr>
      <xdr:spPr bwMode="auto">
        <a:xfrm>
          <a:off x="25669875" y="695325"/>
          <a:ext cx="6651624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23</xdr:col>
      <xdr:colOff>431800</xdr:colOff>
      <xdr:row>4</xdr:row>
      <xdr:rowOff>114300</xdr:rowOff>
    </xdr:to>
    <xdr:sp macro="" textlink="">
      <xdr:nvSpPr>
        <xdr:cNvPr id="36" name="checksum">
          <a:extLst>
            <a:ext uri="{FF2B5EF4-FFF2-40B4-BE49-F238E27FC236}">
              <a16:creationId xmlns:a16="http://schemas.microsoft.com/office/drawing/2014/main" xmlns="" id="{00000000-0008-0000-1300-000024000000}"/>
            </a:ext>
          </a:extLst>
        </xdr:cNvPr>
        <xdr:cNvSpPr txBox="1">
          <a:spLocks noChangeArrowheads="1"/>
        </xdr:cNvSpPr>
      </xdr:nvSpPr>
      <xdr:spPr bwMode="auto">
        <a:xfrm>
          <a:off x="25669875" y="695325"/>
          <a:ext cx="6670674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23</xdr:col>
      <xdr:colOff>374650</xdr:colOff>
      <xdr:row>4</xdr:row>
      <xdr:rowOff>114300</xdr:rowOff>
    </xdr:to>
    <xdr:sp macro="" textlink="">
      <xdr:nvSpPr>
        <xdr:cNvPr id="37" name="checksum">
          <a:extLst>
            <a:ext uri="{FF2B5EF4-FFF2-40B4-BE49-F238E27FC236}">
              <a16:creationId xmlns:a16="http://schemas.microsoft.com/office/drawing/2014/main" xmlns="" id="{00000000-0008-0000-1300-000025000000}"/>
            </a:ext>
          </a:extLst>
        </xdr:cNvPr>
        <xdr:cNvSpPr txBox="1">
          <a:spLocks noChangeArrowheads="1"/>
        </xdr:cNvSpPr>
      </xdr:nvSpPr>
      <xdr:spPr bwMode="auto">
        <a:xfrm>
          <a:off x="25669875" y="695325"/>
          <a:ext cx="6613524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24</xdr:col>
      <xdr:colOff>107951</xdr:colOff>
      <xdr:row>4</xdr:row>
      <xdr:rowOff>66675</xdr:rowOff>
    </xdr:to>
    <xdr:sp macro="" textlink="">
      <xdr:nvSpPr>
        <xdr:cNvPr id="38" name="checksum">
          <a:extLst>
            <a:ext uri="{FF2B5EF4-FFF2-40B4-BE49-F238E27FC236}">
              <a16:creationId xmlns:a16="http://schemas.microsoft.com/office/drawing/2014/main" xmlns="" id="{00000000-0008-0000-1300-000026000000}"/>
            </a:ext>
          </a:extLst>
        </xdr:cNvPr>
        <xdr:cNvSpPr txBox="1">
          <a:spLocks noChangeArrowheads="1"/>
        </xdr:cNvSpPr>
      </xdr:nvSpPr>
      <xdr:spPr bwMode="auto">
        <a:xfrm>
          <a:off x="25669875" y="466725"/>
          <a:ext cx="759460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23</xdr:col>
      <xdr:colOff>412750</xdr:colOff>
      <xdr:row>4</xdr:row>
      <xdr:rowOff>114300</xdr:rowOff>
    </xdr:to>
    <xdr:sp macro="" textlink="">
      <xdr:nvSpPr>
        <xdr:cNvPr id="39" name="checksum">
          <a:extLst>
            <a:ext uri="{FF2B5EF4-FFF2-40B4-BE49-F238E27FC236}">
              <a16:creationId xmlns:a16="http://schemas.microsoft.com/office/drawing/2014/main" xmlns="" id="{00000000-0008-0000-1300-000027000000}"/>
            </a:ext>
          </a:extLst>
        </xdr:cNvPr>
        <xdr:cNvSpPr txBox="1">
          <a:spLocks noChangeArrowheads="1"/>
        </xdr:cNvSpPr>
      </xdr:nvSpPr>
      <xdr:spPr bwMode="auto">
        <a:xfrm>
          <a:off x="25669875" y="695325"/>
          <a:ext cx="6651624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23</xdr:col>
      <xdr:colOff>431800</xdr:colOff>
      <xdr:row>4</xdr:row>
      <xdr:rowOff>114300</xdr:rowOff>
    </xdr:to>
    <xdr:sp macro="" textlink="">
      <xdr:nvSpPr>
        <xdr:cNvPr id="40" name="checksum">
          <a:extLst>
            <a:ext uri="{FF2B5EF4-FFF2-40B4-BE49-F238E27FC236}">
              <a16:creationId xmlns:a16="http://schemas.microsoft.com/office/drawing/2014/main" xmlns="" id="{00000000-0008-0000-1300-000028000000}"/>
            </a:ext>
          </a:extLst>
        </xdr:cNvPr>
        <xdr:cNvSpPr txBox="1">
          <a:spLocks noChangeArrowheads="1"/>
        </xdr:cNvSpPr>
      </xdr:nvSpPr>
      <xdr:spPr bwMode="auto">
        <a:xfrm>
          <a:off x="25669875" y="695325"/>
          <a:ext cx="6670674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23</xdr:col>
      <xdr:colOff>374650</xdr:colOff>
      <xdr:row>4</xdr:row>
      <xdr:rowOff>114300</xdr:rowOff>
    </xdr:to>
    <xdr:sp macro="" textlink="">
      <xdr:nvSpPr>
        <xdr:cNvPr id="41" name="checksum">
          <a:extLst>
            <a:ext uri="{FF2B5EF4-FFF2-40B4-BE49-F238E27FC236}">
              <a16:creationId xmlns:a16="http://schemas.microsoft.com/office/drawing/2014/main" xmlns="" id="{00000000-0008-0000-1300-000029000000}"/>
            </a:ext>
          </a:extLst>
        </xdr:cNvPr>
        <xdr:cNvSpPr txBox="1">
          <a:spLocks noChangeArrowheads="1"/>
        </xdr:cNvSpPr>
      </xdr:nvSpPr>
      <xdr:spPr bwMode="auto">
        <a:xfrm>
          <a:off x="25669875" y="695325"/>
          <a:ext cx="6613524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24</xdr:col>
      <xdr:colOff>107951</xdr:colOff>
      <xdr:row>4</xdr:row>
      <xdr:rowOff>66675</xdr:rowOff>
    </xdr:to>
    <xdr:sp macro="" textlink="">
      <xdr:nvSpPr>
        <xdr:cNvPr id="42" name="checksum">
          <a:extLst>
            <a:ext uri="{FF2B5EF4-FFF2-40B4-BE49-F238E27FC236}">
              <a16:creationId xmlns:a16="http://schemas.microsoft.com/office/drawing/2014/main" xmlns="" id="{00000000-0008-0000-1300-00002A000000}"/>
            </a:ext>
          </a:extLst>
        </xdr:cNvPr>
        <xdr:cNvSpPr txBox="1">
          <a:spLocks noChangeArrowheads="1"/>
        </xdr:cNvSpPr>
      </xdr:nvSpPr>
      <xdr:spPr bwMode="auto">
        <a:xfrm>
          <a:off x="25669875" y="466725"/>
          <a:ext cx="759460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23</xdr:col>
      <xdr:colOff>412750</xdr:colOff>
      <xdr:row>4</xdr:row>
      <xdr:rowOff>114300</xdr:rowOff>
    </xdr:to>
    <xdr:sp macro="" textlink="">
      <xdr:nvSpPr>
        <xdr:cNvPr id="43" name="checksum">
          <a:extLst>
            <a:ext uri="{FF2B5EF4-FFF2-40B4-BE49-F238E27FC236}">
              <a16:creationId xmlns:a16="http://schemas.microsoft.com/office/drawing/2014/main" xmlns="" id="{00000000-0008-0000-1300-00002B000000}"/>
            </a:ext>
          </a:extLst>
        </xdr:cNvPr>
        <xdr:cNvSpPr txBox="1">
          <a:spLocks noChangeArrowheads="1"/>
        </xdr:cNvSpPr>
      </xdr:nvSpPr>
      <xdr:spPr bwMode="auto">
        <a:xfrm>
          <a:off x="25669875" y="695325"/>
          <a:ext cx="6651624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23</xdr:col>
      <xdr:colOff>431800</xdr:colOff>
      <xdr:row>4</xdr:row>
      <xdr:rowOff>114300</xdr:rowOff>
    </xdr:to>
    <xdr:sp macro="" textlink="">
      <xdr:nvSpPr>
        <xdr:cNvPr id="44" name="checksum">
          <a:extLst>
            <a:ext uri="{FF2B5EF4-FFF2-40B4-BE49-F238E27FC236}">
              <a16:creationId xmlns:a16="http://schemas.microsoft.com/office/drawing/2014/main" xmlns="" id="{00000000-0008-0000-1300-00002C000000}"/>
            </a:ext>
          </a:extLst>
        </xdr:cNvPr>
        <xdr:cNvSpPr txBox="1">
          <a:spLocks noChangeArrowheads="1"/>
        </xdr:cNvSpPr>
      </xdr:nvSpPr>
      <xdr:spPr bwMode="auto">
        <a:xfrm>
          <a:off x="25669875" y="695325"/>
          <a:ext cx="6670674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23</xdr:col>
      <xdr:colOff>374650</xdr:colOff>
      <xdr:row>4</xdr:row>
      <xdr:rowOff>114300</xdr:rowOff>
    </xdr:to>
    <xdr:sp macro="" textlink="">
      <xdr:nvSpPr>
        <xdr:cNvPr id="45" name="checksum">
          <a:extLst>
            <a:ext uri="{FF2B5EF4-FFF2-40B4-BE49-F238E27FC236}">
              <a16:creationId xmlns:a16="http://schemas.microsoft.com/office/drawing/2014/main" xmlns="" id="{00000000-0008-0000-1300-00002D000000}"/>
            </a:ext>
          </a:extLst>
        </xdr:cNvPr>
        <xdr:cNvSpPr txBox="1">
          <a:spLocks noChangeArrowheads="1"/>
        </xdr:cNvSpPr>
      </xdr:nvSpPr>
      <xdr:spPr bwMode="auto">
        <a:xfrm>
          <a:off x="25669875" y="695325"/>
          <a:ext cx="6613524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24</xdr:col>
      <xdr:colOff>107951</xdr:colOff>
      <xdr:row>4</xdr:row>
      <xdr:rowOff>66675</xdr:rowOff>
    </xdr:to>
    <xdr:sp macro="" textlink="">
      <xdr:nvSpPr>
        <xdr:cNvPr id="46" name="checksum">
          <a:extLst>
            <a:ext uri="{FF2B5EF4-FFF2-40B4-BE49-F238E27FC236}">
              <a16:creationId xmlns:a16="http://schemas.microsoft.com/office/drawing/2014/main" xmlns="" id="{00000000-0008-0000-1300-00002E000000}"/>
            </a:ext>
          </a:extLst>
        </xdr:cNvPr>
        <xdr:cNvSpPr txBox="1">
          <a:spLocks noChangeArrowheads="1"/>
        </xdr:cNvSpPr>
      </xdr:nvSpPr>
      <xdr:spPr bwMode="auto">
        <a:xfrm>
          <a:off x="25669875" y="466725"/>
          <a:ext cx="759460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23</xdr:col>
      <xdr:colOff>412750</xdr:colOff>
      <xdr:row>4</xdr:row>
      <xdr:rowOff>114300</xdr:rowOff>
    </xdr:to>
    <xdr:sp macro="" textlink="">
      <xdr:nvSpPr>
        <xdr:cNvPr id="47" name="checksum">
          <a:extLst>
            <a:ext uri="{FF2B5EF4-FFF2-40B4-BE49-F238E27FC236}">
              <a16:creationId xmlns:a16="http://schemas.microsoft.com/office/drawing/2014/main" xmlns="" id="{00000000-0008-0000-1300-00002F000000}"/>
            </a:ext>
          </a:extLst>
        </xdr:cNvPr>
        <xdr:cNvSpPr txBox="1">
          <a:spLocks noChangeArrowheads="1"/>
        </xdr:cNvSpPr>
      </xdr:nvSpPr>
      <xdr:spPr bwMode="auto">
        <a:xfrm>
          <a:off x="25669875" y="695325"/>
          <a:ext cx="6651624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23</xdr:col>
      <xdr:colOff>431800</xdr:colOff>
      <xdr:row>4</xdr:row>
      <xdr:rowOff>114300</xdr:rowOff>
    </xdr:to>
    <xdr:sp macro="" textlink="">
      <xdr:nvSpPr>
        <xdr:cNvPr id="48" name="checksum">
          <a:extLst>
            <a:ext uri="{FF2B5EF4-FFF2-40B4-BE49-F238E27FC236}">
              <a16:creationId xmlns:a16="http://schemas.microsoft.com/office/drawing/2014/main" xmlns="" id="{00000000-0008-0000-1300-000030000000}"/>
            </a:ext>
          </a:extLst>
        </xdr:cNvPr>
        <xdr:cNvSpPr txBox="1">
          <a:spLocks noChangeArrowheads="1"/>
        </xdr:cNvSpPr>
      </xdr:nvSpPr>
      <xdr:spPr bwMode="auto">
        <a:xfrm>
          <a:off x="25669875" y="695325"/>
          <a:ext cx="6670674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23</xdr:col>
      <xdr:colOff>374650</xdr:colOff>
      <xdr:row>4</xdr:row>
      <xdr:rowOff>114300</xdr:rowOff>
    </xdr:to>
    <xdr:sp macro="" textlink="">
      <xdr:nvSpPr>
        <xdr:cNvPr id="49" name="checksum">
          <a:extLst>
            <a:ext uri="{FF2B5EF4-FFF2-40B4-BE49-F238E27FC236}">
              <a16:creationId xmlns:a16="http://schemas.microsoft.com/office/drawing/2014/main" xmlns="" id="{00000000-0008-0000-1300-000031000000}"/>
            </a:ext>
          </a:extLst>
        </xdr:cNvPr>
        <xdr:cNvSpPr txBox="1">
          <a:spLocks noChangeArrowheads="1"/>
        </xdr:cNvSpPr>
      </xdr:nvSpPr>
      <xdr:spPr bwMode="auto">
        <a:xfrm>
          <a:off x="25669875" y="695325"/>
          <a:ext cx="6613524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25</xdr:col>
      <xdr:colOff>0</xdr:colOff>
      <xdr:row>2</xdr:row>
      <xdr:rowOff>28575</xdr:rowOff>
    </xdr:from>
    <xdr:to>
      <xdr:col>31</xdr:col>
      <xdr:colOff>107953</xdr:colOff>
      <xdr:row>4</xdr:row>
      <xdr:rowOff>66675</xdr:rowOff>
    </xdr:to>
    <xdr:sp macro="" textlink="">
      <xdr:nvSpPr>
        <xdr:cNvPr id="50" name="checksum">
          <a:extLst>
            <a:ext uri="{FF2B5EF4-FFF2-40B4-BE49-F238E27FC236}">
              <a16:creationId xmlns:a16="http://schemas.microsoft.com/office/drawing/2014/main" xmlns="" id="{00000000-0008-0000-1300-000032000000}"/>
            </a:ext>
          </a:extLst>
        </xdr:cNvPr>
        <xdr:cNvSpPr txBox="1">
          <a:spLocks noChangeArrowheads="1"/>
        </xdr:cNvSpPr>
      </xdr:nvSpPr>
      <xdr:spPr bwMode="auto">
        <a:xfrm>
          <a:off x="35956875" y="466725"/>
          <a:ext cx="7594602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25</xdr:col>
      <xdr:colOff>0</xdr:colOff>
      <xdr:row>2</xdr:row>
      <xdr:rowOff>285750</xdr:rowOff>
    </xdr:from>
    <xdr:to>
      <xdr:col>30</xdr:col>
      <xdr:colOff>412750</xdr:colOff>
      <xdr:row>4</xdr:row>
      <xdr:rowOff>114300</xdr:rowOff>
    </xdr:to>
    <xdr:sp macro="" textlink="">
      <xdr:nvSpPr>
        <xdr:cNvPr id="51" name="checksum">
          <a:extLst>
            <a:ext uri="{FF2B5EF4-FFF2-40B4-BE49-F238E27FC236}">
              <a16:creationId xmlns:a16="http://schemas.microsoft.com/office/drawing/2014/main" xmlns="" id="{00000000-0008-0000-1300-000033000000}"/>
            </a:ext>
          </a:extLst>
        </xdr:cNvPr>
        <xdr:cNvSpPr txBox="1">
          <a:spLocks noChangeArrowheads="1"/>
        </xdr:cNvSpPr>
      </xdr:nvSpPr>
      <xdr:spPr bwMode="auto">
        <a:xfrm>
          <a:off x="35652075" y="695325"/>
          <a:ext cx="665162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25</xdr:col>
      <xdr:colOff>0</xdr:colOff>
      <xdr:row>2</xdr:row>
      <xdr:rowOff>285750</xdr:rowOff>
    </xdr:from>
    <xdr:to>
      <xdr:col>30</xdr:col>
      <xdr:colOff>431800</xdr:colOff>
      <xdr:row>4</xdr:row>
      <xdr:rowOff>114300</xdr:rowOff>
    </xdr:to>
    <xdr:sp macro="" textlink="">
      <xdr:nvSpPr>
        <xdr:cNvPr id="52" name="checksum">
          <a:extLst>
            <a:ext uri="{FF2B5EF4-FFF2-40B4-BE49-F238E27FC236}">
              <a16:creationId xmlns:a16="http://schemas.microsoft.com/office/drawing/2014/main" xmlns="" id="{00000000-0008-0000-1300-000034000000}"/>
            </a:ext>
          </a:extLst>
        </xdr:cNvPr>
        <xdr:cNvSpPr txBox="1">
          <a:spLocks noChangeArrowheads="1"/>
        </xdr:cNvSpPr>
      </xdr:nvSpPr>
      <xdr:spPr bwMode="auto">
        <a:xfrm>
          <a:off x="35652075" y="695325"/>
          <a:ext cx="66706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25</xdr:col>
      <xdr:colOff>0</xdr:colOff>
      <xdr:row>2</xdr:row>
      <xdr:rowOff>276225</xdr:rowOff>
    </xdr:from>
    <xdr:to>
      <xdr:col>30</xdr:col>
      <xdr:colOff>374650</xdr:colOff>
      <xdr:row>4</xdr:row>
      <xdr:rowOff>114300</xdr:rowOff>
    </xdr:to>
    <xdr:sp macro="" textlink="">
      <xdr:nvSpPr>
        <xdr:cNvPr id="53" name="checksum">
          <a:extLst>
            <a:ext uri="{FF2B5EF4-FFF2-40B4-BE49-F238E27FC236}">
              <a16:creationId xmlns:a16="http://schemas.microsoft.com/office/drawing/2014/main" xmlns="" id="{00000000-0008-0000-1300-000035000000}"/>
            </a:ext>
          </a:extLst>
        </xdr:cNvPr>
        <xdr:cNvSpPr txBox="1">
          <a:spLocks noChangeArrowheads="1"/>
        </xdr:cNvSpPr>
      </xdr:nvSpPr>
      <xdr:spPr bwMode="auto">
        <a:xfrm>
          <a:off x="35652075" y="695325"/>
          <a:ext cx="661352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19</xdr:col>
      <xdr:colOff>0</xdr:colOff>
      <xdr:row>2</xdr:row>
      <xdr:rowOff>0</xdr:rowOff>
    </xdr:from>
    <xdr:to>
      <xdr:col>19</xdr:col>
      <xdr:colOff>0</xdr:colOff>
      <xdr:row>4</xdr:row>
      <xdr:rowOff>363906</xdr:rowOff>
    </xdr:to>
    <xdr:sp macro="" textlink="">
      <xdr:nvSpPr>
        <xdr:cNvPr id="54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300-000036000000}"/>
            </a:ext>
          </a:extLst>
        </xdr:cNvPr>
        <xdr:cNvSpPr txBox="1">
          <a:spLocks noChangeArrowheads="1"/>
        </xdr:cNvSpPr>
      </xdr:nvSpPr>
      <xdr:spPr bwMode="auto">
        <a:xfrm>
          <a:off x="28165425" y="438150"/>
          <a:ext cx="0" cy="773481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 editAs="oneCell">
    <xdr:from>
      <xdr:col>25</xdr:col>
      <xdr:colOff>0</xdr:colOff>
      <xdr:row>2</xdr:row>
      <xdr:rowOff>28575</xdr:rowOff>
    </xdr:from>
    <xdr:to>
      <xdr:col>31</xdr:col>
      <xdr:colOff>107953</xdr:colOff>
      <xdr:row>4</xdr:row>
      <xdr:rowOff>66675</xdr:rowOff>
    </xdr:to>
    <xdr:sp macro="" textlink="">
      <xdr:nvSpPr>
        <xdr:cNvPr id="55" name="checksum">
          <a:extLst>
            <a:ext uri="{FF2B5EF4-FFF2-40B4-BE49-F238E27FC236}">
              <a16:creationId xmlns:a16="http://schemas.microsoft.com/office/drawing/2014/main" xmlns="" id="{00000000-0008-0000-1300-000037000000}"/>
            </a:ext>
          </a:extLst>
        </xdr:cNvPr>
        <xdr:cNvSpPr txBox="1">
          <a:spLocks noChangeArrowheads="1"/>
        </xdr:cNvSpPr>
      </xdr:nvSpPr>
      <xdr:spPr bwMode="auto">
        <a:xfrm>
          <a:off x="35956875" y="466725"/>
          <a:ext cx="7594602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25</xdr:col>
      <xdr:colOff>0</xdr:colOff>
      <xdr:row>2</xdr:row>
      <xdr:rowOff>285750</xdr:rowOff>
    </xdr:from>
    <xdr:to>
      <xdr:col>30</xdr:col>
      <xdr:colOff>412750</xdr:colOff>
      <xdr:row>4</xdr:row>
      <xdr:rowOff>114300</xdr:rowOff>
    </xdr:to>
    <xdr:sp macro="" textlink="">
      <xdr:nvSpPr>
        <xdr:cNvPr id="56" name="checksum">
          <a:extLst>
            <a:ext uri="{FF2B5EF4-FFF2-40B4-BE49-F238E27FC236}">
              <a16:creationId xmlns:a16="http://schemas.microsoft.com/office/drawing/2014/main" xmlns="" id="{00000000-0008-0000-1300-000038000000}"/>
            </a:ext>
          </a:extLst>
        </xdr:cNvPr>
        <xdr:cNvSpPr txBox="1">
          <a:spLocks noChangeArrowheads="1"/>
        </xdr:cNvSpPr>
      </xdr:nvSpPr>
      <xdr:spPr bwMode="auto">
        <a:xfrm>
          <a:off x="35652075" y="695325"/>
          <a:ext cx="665162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25</xdr:col>
      <xdr:colOff>0</xdr:colOff>
      <xdr:row>2</xdr:row>
      <xdr:rowOff>285750</xdr:rowOff>
    </xdr:from>
    <xdr:to>
      <xdr:col>30</xdr:col>
      <xdr:colOff>431800</xdr:colOff>
      <xdr:row>4</xdr:row>
      <xdr:rowOff>114300</xdr:rowOff>
    </xdr:to>
    <xdr:sp macro="" textlink="">
      <xdr:nvSpPr>
        <xdr:cNvPr id="57" name="checksum">
          <a:extLst>
            <a:ext uri="{FF2B5EF4-FFF2-40B4-BE49-F238E27FC236}">
              <a16:creationId xmlns:a16="http://schemas.microsoft.com/office/drawing/2014/main" xmlns="" id="{00000000-0008-0000-1300-000039000000}"/>
            </a:ext>
          </a:extLst>
        </xdr:cNvPr>
        <xdr:cNvSpPr txBox="1">
          <a:spLocks noChangeArrowheads="1"/>
        </xdr:cNvSpPr>
      </xdr:nvSpPr>
      <xdr:spPr bwMode="auto">
        <a:xfrm>
          <a:off x="35652075" y="695325"/>
          <a:ext cx="66706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25</xdr:col>
      <xdr:colOff>0</xdr:colOff>
      <xdr:row>2</xdr:row>
      <xdr:rowOff>276225</xdr:rowOff>
    </xdr:from>
    <xdr:to>
      <xdr:col>30</xdr:col>
      <xdr:colOff>374650</xdr:colOff>
      <xdr:row>4</xdr:row>
      <xdr:rowOff>114300</xdr:rowOff>
    </xdr:to>
    <xdr:sp macro="" textlink="">
      <xdr:nvSpPr>
        <xdr:cNvPr id="58" name="checksum">
          <a:extLst>
            <a:ext uri="{FF2B5EF4-FFF2-40B4-BE49-F238E27FC236}">
              <a16:creationId xmlns:a16="http://schemas.microsoft.com/office/drawing/2014/main" xmlns="" id="{00000000-0008-0000-1300-00003A000000}"/>
            </a:ext>
          </a:extLst>
        </xdr:cNvPr>
        <xdr:cNvSpPr txBox="1">
          <a:spLocks noChangeArrowheads="1"/>
        </xdr:cNvSpPr>
      </xdr:nvSpPr>
      <xdr:spPr bwMode="auto">
        <a:xfrm>
          <a:off x="35652075" y="695325"/>
          <a:ext cx="661352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19</xdr:col>
      <xdr:colOff>0</xdr:colOff>
      <xdr:row>2</xdr:row>
      <xdr:rowOff>0</xdr:rowOff>
    </xdr:from>
    <xdr:to>
      <xdr:col>19</xdr:col>
      <xdr:colOff>0</xdr:colOff>
      <xdr:row>5</xdr:row>
      <xdr:rowOff>361950</xdr:rowOff>
    </xdr:to>
    <xdr:sp macro="" textlink="">
      <xdr:nvSpPr>
        <xdr:cNvPr id="59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300-00003B000000}"/>
            </a:ext>
          </a:extLst>
        </xdr:cNvPr>
        <xdr:cNvSpPr txBox="1">
          <a:spLocks noChangeArrowheads="1"/>
        </xdr:cNvSpPr>
      </xdr:nvSpPr>
      <xdr:spPr bwMode="auto">
        <a:xfrm>
          <a:off x="28165425" y="438150"/>
          <a:ext cx="0" cy="971550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 editAs="oneCell">
    <xdr:from>
      <xdr:col>34</xdr:col>
      <xdr:colOff>0</xdr:colOff>
      <xdr:row>2</xdr:row>
      <xdr:rowOff>28575</xdr:rowOff>
    </xdr:from>
    <xdr:to>
      <xdr:col>40</xdr:col>
      <xdr:colOff>315769</xdr:colOff>
      <xdr:row>4</xdr:row>
      <xdr:rowOff>66675</xdr:rowOff>
    </xdr:to>
    <xdr:sp macro="" textlink="">
      <xdr:nvSpPr>
        <xdr:cNvPr id="60" name="checksum">
          <a:extLst>
            <a:ext uri="{FF2B5EF4-FFF2-40B4-BE49-F238E27FC236}">
              <a16:creationId xmlns:a16="http://schemas.microsoft.com/office/drawing/2014/main" xmlns="" id="{00000000-0008-0000-1300-00003C000000}"/>
            </a:ext>
          </a:extLst>
        </xdr:cNvPr>
        <xdr:cNvSpPr txBox="1">
          <a:spLocks noChangeArrowheads="1"/>
        </xdr:cNvSpPr>
      </xdr:nvSpPr>
      <xdr:spPr bwMode="auto">
        <a:xfrm>
          <a:off x="50549175" y="466725"/>
          <a:ext cx="7802418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285750</xdr:rowOff>
    </xdr:from>
    <xdr:to>
      <xdr:col>39</xdr:col>
      <xdr:colOff>592117</xdr:colOff>
      <xdr:row>4</xdr:row>
      <xdr:rowOff>114300</xdr:rowOff>
    </xdr:to>
    <xdr:sp macro="" textlink="">
      <xdr:nvSpPr>
        <xdr:cNvPr id="61" name="checksum">
          <a:extLst>
            <a:ext uri="{FF2B5EF4-FFF2-40B4-BE49-F238E27FC236}">
              <a16:creationId xmlns:a16="http://schemas.microsoft.com/office/drawing/2014/main" xmlns="" id="{00000000-0008-0000-1300-00003D000000}"/>
            </a:ext>
          </a:extLst>
        </xdr:cNvPr>
        <xdr:cNvSpPr txBox="1">
          <a:spLocks noChangeArrowheads="1"/>
        </xdr:cNvSpPr>
      </xdr:nvSpPr>
      <xdr:spPr bwMode="auto">
        <a:xfrm>
          <a:off x="50549175" y="695325"/>
          <a:ext cx="6830991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285750</xdr:rowOff>
    </xdr:from>
    <xdr:to>
      <xdr:col>39</xdr:col>
      <xdr:colOff>611167</xdr:colOff>
      <xdr:row>4</xdr:row>
      <xdr:rowOff>114300</xdr:rowOff>
    </xdr:to>
    <xdr:sp macro="" textlink="">
      <xdr:nvSpPr>
        <xdr:cNvPr id="62" name="checksum">
          <a:extLst>
            <a:ext uri="{FF2B5EF4-FFF2-40B4-BE49-F238E27FC236}">
              <a16:creationId xmlns:a16="http://schemas.microsoft.com/office/drawing/2014/main" xmlns="" id="{00000000-0008-0000-1300-00003E000000}"/>
            </a:ext>
          </a:extLst>
        </xdr:cNvPr>
        <xdr:cNvSpPr txBox="1">
          <a:spLocks noChangeArrowheads="1"/>
        </xdr:cNvSpPr>
      </xdr:nvSpPr>
      <xdr:spPr bwMode="auto">
        <a:xfrm>
          <a:off x="50549175" y="695325"/>
          <a:ext cx="6850041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276225</xdr:rowOff>
    </xdr:from>
    <xdr:to>
      <xdr:col>39</xdr:col>
      <xdr:colOff>554017</xdr:colOff>
      <xdr:row>4</xdr:row>
      <xdr:rowOff>114300</xdr:rowOff>
    </xdr:to>
    <xdr:sp macro="" textlink="">
      <xdr:nvSpPr>
        <xdr:cNvPr id="63" name="checksum">
          <a:extLst>
            <a:ext uri="{FF2B5EF4-FFF2-40B4-BE49-F238E27FC236}">
              <a16:creationId xmlns:a16="http://schemas.microsoft.com/office/drawing/2014/main" xmlns="" id="{00000000-0008-0000-1300-00003F000000}"/>
            </a:ext>
          </a:extLst>
        </xdr:cNvPr>
        <xdr:cNvSpPr txBox="1">
          <a:spLocks noChangeArrowheads="1"/>
        </xdr:cNvSpPr>
      </xdr:nvSpPr>
      <xdr:spPr bwMode="auto">
        <a:xfrm>
          <a:off x="50549175" y="695325"/>
          <a:ext cx="6792891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</xdr:rowOff>
    </xdr:from>
    <xdr:to>
      <xdr:col>40</xdr:col>
      <xdr:colOff>315769</xdr:colOff>
      <xdr:row>4</xdr:row>
      <xdr:rowOff>66675</xdr:rowOff>
    </xdr:to>
    <xdr:sp macro="" textlink="">
      <xdr:nvSpPr>
        <xdr:cNvPr id="64" name="checksum">
          <a:extLst>
            <a:ext uri="{FF2B5EF4-FFF2-40B4-BE49-F238E27FC236}">
              <a16:creationId xmlns:a16="http://schemas.microsoft.com/office/drawing/2014/main" xmlns="" id="{00000000-0008-0000-1300-000040000000}"/>
            </a:ext>
          </a:extLst>
        </xdr:cNvPr>
        <xdr:cNvSpPr txBox="1">
          <a:spLocks noChangeArrowheads="1"/>
        </xdr:cNvSpPr>
      </xdr:nvSpPr>
      <xdr:spPr bwMode="auto">
        <a:xfrm>
          <a:off x="50549175" y="466725"/>
          <a:ext cx="7802418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285750</xdr:rowOff>
    </xdr:from>
    <xdr:to>
      <xdr:col>39</xdr:col>
      <xdr:colOff>592117</xdr:colOff>
      <xdr:row>4</xdr:row>
      <xdr:rowOff>114300</xdr:rowOff>
    </xdr:to>
    <xdr:sp macro="" textlink="">
      <xdr:nvSpPr>
        <xdr:cNvPr id="65" name="checksum">
          <a:extLst>
            <a:ext uri="{FF2B5EF4-FFF2-40B4-BE49-F238E27FC236}">
              <a16:creationId xmlns:a16="http://schemas.microsoft.com/office/drawing/2014/main" xmlns="" id="{00000000-0008-0000-1300-000041000000}"/>
            </a:ext>
          </a:extLst>
        </xdr:cNvPr>
        <xdr:cNvSpPr txBox="1">
          <a:spLocks noChangeArrowheads="1"/>
        </xdr:cNvSpPr>
      </xdr:nvSpPr>
      <xdr:spPr bwMode="auto">
        <a:xfrm>
          <a:off x="50549175" y="695325"/>
          <a:ext cx="6830991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285750</xdr:rowOff>
    </xdr:from>
    <xdr:to>
      <xdr:col>39</xdr:col>
      <xdr:colOff>611167</xdr:colOff>
      <xdr:row>4</xdr:row>
      <xdr:rowOff>114300</xdr:rowOff>
    </xdr:to>
    <xdr:sp macro="" textlink="">
      <xdr:nvSpPr>
        <xdr:cNvPr id="66" name="checksum">
          <a:extLst>
            <a:ext uri="{FF2B5EF4-FFF2-40B4-BE49-F238E27FC236}">
              <a16:creationId xmlns:a16="http://schemas.microsoft.com/office/drawing/2014/main" xmlns="" id="{00000000-0008-0000-1300-000042000000}"/>
            </a:ext>
          </a:extLst>
        </xdr:cNvPr>
        <xdr:cNvSpPr txBox="1">
          <a:spLocks noChangeArrowheads="1"/>
        </xdr:cNvSpPr>
      </xdr:nvSpPr>
      <xdr:spPr bwMode="auto">
        <a:xfrm>
          <a:off x="50549175" y="695325"/>
          <a:ext cx="6850041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276225</xdr:rowOff>
    </xdr:from>
    <xdr:to>
      <xdr:col>39</xdr:col>
      <xdr:colOff>554017</xdr:colOff>
      <xdr:row>4</xdr:row>
      <xdr:rowOff>114300</xdr:rowOff>
    </xdr:to>
    <xdr:sp macro="" textlink="">
      <xdr:nvSpPr>
        <xdr:cNvPr id="67" name="checksum">
          <a:extLst>
            <a:ext uri="{FF2B5EF4-FFF2-40B4-BE49-F238E27FC236}">
              <a16:creationId xmlns:a16="http://schemas.microsoft.com/office/drawing/2014/main" xmlns="" id="{00000000-0008-0000-1300-000043000000}"/>
            </a:ext>
          </a:extLst>
        </xdr:cNvPr>
        <xdr:cNvSpPr txBox="1">
          <a:spLocks noChangeArrowheads="1"/>
        </xdr:cNvSpPr>
      </xdr:nvSpPr>
      <xdr:spPr bwMode="auto">
        <a:xfrm>
          <a:off x="50549175" y="695325"/>
          <a:ext cx="6792891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</xdr:rowOff>
    </xdr:from>
    <xdr:to>
      <xdr:col>40</xdr:col>
      <xdr:colOff>315769</xdr:colOff>
      <xdr:row>4</xdr:row>
      <xdr:rowOff>66675</xdr:rowOff>
    </xdr:to>
    <xdr:sp macro="" textlink="">
      <xdr:nvSpPr>
        <xdr:cNvPr id="68" name="checksum">
          <a:extLst>
            <a:ext uri="{FF2B5EF4-FFF2-40B4-BE49-F238E27FC236}">
              <a16:creationId xmlns:a16="http://schemas.microsoft.com/office/drawing/2014/main" xmlns="" id="{00000000-0008-0000-1300-000044000000}"/>
            </a:ext>
          </a:extLst>
        </xdr:cNvPr>
        <xdr:cNvSpPr txBox="1">
          <a:spLocks noChangeArrowheads="1"/>
        </xdr:cNvSpPr>
      </xdr:nvSpPr>
      <xdr:spPr bwMode="auto">
        <a:xfrm>
          <a:off x="50549175" y="466725"/>
          <a:ext cx="7802418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285750</xdr:rowOff>
    </xdr:from>
    <xdr:to>
      <xdr:col>39</xdr:col>
      <xdr:colOff>592117</xdr:colOff>
      <xdr:row>4</xdr:row>
      <xdr:rowOff>114300</xdr:rowOff>
    </xdr:to>
    <xdr:sp macro="" textlink="">
      <xdr:nvSpPr>
        <xdr:cNvPr id="69" name="checksum">
          <a:extLst>
            <a:ext uri="{FF2B5EF4-FFF2-40B4-BE49-F238E27FC236}">
              <a16:creationId xmlns:a16="http://schemas.microsoft.com/office/drawing/2014/main" xmlns="" id="{00000000-0008-0000-1300-000045000000}"/>
            </a:ext>
          </a:extLst>
        </xdr:cNvPr>
        <xdr:cNvSpPr txBox="1">
          <a:spLocks noChangeArrowheads="1"/>
        </xdr:cNvSpPr>
      </xdr:nvSpPr>
      <xdr:spPr bwMode="auto">
        <a:xfrm>
          <a:off x="50549175" y="695325"/>
          <a:ext cx="6830991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285750</xdr:rowOff>
    </xdr:from>
    <xdr:to>
      <xdr:col>39</xdr:col>
      <xdr:colOff>611167</xdr:colOff>
      <xdr:row>4</xdr:row>
      <xdr:rowOff>114300</xdr:rowOff>
    </xdr:to>
    <xdr:sp macro="" textlink="">
      <xdr:nvSpPr>
        <xdr:cNvPr id="70" name="checksum">
          <a:extLst>
            <a:ext uri="{FF2B5EF4-FFF2-40B4-BE49-F238E27FC236}">
              <a16:creationId xmlns:a16="http://schemas.microsoft.com/office/drawing/2014/main" xmlns="" id="{00000000-0008-0000-1300-000046000000}"/>
            </a:ext>
          </a:extLst>
        </xdr:cNvPr>
        <xdr:cNvSpPr txBox="1">
          <a:spLocks noChangeArrowheads="1"/>
        </xdr:cNvSpPr>
      </xdr:nvSpPr>
      <xdr:spPr bwMode="auto">
        <a:xfrm>
          <a:off x="50549175" y="695325"/>
          <a:ext cx="6850041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276225</xdr:rowOff>
    </xdr:from>
    <xdr:to>
      <xdr:col>39</xdr:col>
      <xdr:colOff>554017</xdr:colOff>
      <xdr:row>4</xdr:row>
      <xdr:rowOff>114300</xdr:rowOff>
    </xdr:to>
    <xdr:sp macro="" textlink="">
      <xdr:nvSpPr>
        <xdr:cNvPr id="71" name="checksum">
          <a:extLst>
            <a:ext uri="{FF2B5EF4-FFF2-40B4-BE49-F238E27FC236}">
              <a16:creationId xmlns:a16="http://schemas.microsoft.com/office/drawing/2014/main" xmlns="" id="{00000000-0008-0000-1300-000047000000}"/>
            </a:ext>
          </a:extLst>
        </xdr:cNvPr>
        <xdr:cNvSpPr txBox="1">
          <a:spLocks noChangeArrowheads="1"/>
        </xdr:cNvSpPr>
      </xdr:nvSpPr>
      <xdr:spPr bwMode="auto">
        <a:xfrm>
          <a:off x="50549175" y="695325"/>
          <a:ext cx="6792891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</xdr:rowOff>
    </xdr:from>
    <xdr:to>
      <xdr:col>40</xdr:col>
      <xdr:colOff>315769</xdr:colOff>
      <xdr:row>4</xdr:row>
      <xdr:rowOff>66675</xdr:rowOff>
    </xdr:to>
    <xdr:sp macro="" textlink="">
      <xdr:nvSpPr>
        <xdr:cNvPr id="72" name="checksum">
          <a:extLst>
            <a:ext uri="{FF2B5EF4-FFF2-40B4-BE49-F238E27FC236}">
              <a16:creationId xmlns:a16="http://schemas.microsoft.com/office/drawing/2014/main" xmlns="" id="{00000000-0008-0000-1300-000048000000}"/>
            </a:ext>
          </a:extLst>
        </xdr:cNvPr>
        <xdr:cNvSpPr txBox="1">
          <a:spLocks noChangeArrowheads="1"/>
        </xdr:cNvSpPr>
      </xdr:nvSpPr>
      <xdr:spPr bwMode="auto">
        <a:xfrm>
          <a:off x="50549175" y="466725"/>
          <a:ext cx="7802418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285750</xdr:rowOff>
    </xdr:from>
    <xdr:to>
      <xdr:col>39</xdr:col>
      <xdr:colOff>592117</xdr:colOff>
      <xdr:row>4</xdr:row>
      <xdr:rowOff>114300</xdr:rowOff>
    </xdr:to>
    <xdr:sp macro="" textlink="">
      <xdr:nvSpPr>
        <xdr:cNvPr id="73" name="checksum">
          <a:extLst>
            <a:ext uri="{FF2B5EF4-FFF2-40B4-BE49-F238E27FC236}">
              <a16:creationId xmlns:a16="http://schemas.microsoft.com/office/drawing/2014/main" xmlns="" id="{00000000-0008-0000-1300-000049000000}"/>
            </a:ext>
          </a:extLst>
        </xdr:cNvPr>
        <xdr:cNvSpPr txBox="1">
          <a:spLocks noChangeArrowheads="1"/>
        </xdr:cNvSpPr>
      </xdr:nvSpPr>
      <xdr:spPr bwMode="auto">
        <a:xfrm>
          <a:off x="50549175" y="695325"/>
          <a:ext cx="6830991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285750</xdr:rowOff>
    </xdr:from>
    <xdr:to>
      <xdr:col>39</xdr:col>
      <xdr:colOff>611167</xdr:colOff>
      <xdr:row>4</xdr:row>
      <xdr:rowOff>114300</xdr:rowOff>
    </xdr:to>
    <xdr:sp macro="" textlink="">
      <xdr:nvSpPr>
        <xdr:cNvPr id="74" name="checksum">
          <a:extLst>
            <a:ext uri="{FF2B5EF4-FFF2-40B4-BE49-F238E27FC236}">
              <a16:creationId xmlns:a16="http://schemas.microsoft.com/office/drawing/2014/main" xmlns="" id="{00000000-0008-0000-1300-00004A000000}"/>
            </a:ext>
          </a:extLst>
        </xdr:cNvPr>
        <xdr:cNvSpPr txBox="1">
          <a:spLocks noChangeArrowheads="1"/>
        </xdr:cNvSpPr>
      </xdr:nvSpPr>
      <xdr:spPr bwMode="auto">
        <a:xfrm>
          <a:off x="50549175" y="695325"/>
          <a:ext cx="6850041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276225</xdr:rowOff>
    </xdr:from>
    <xdr:to>
      <xdr:col>39</xdr:col>
      <xdr:colOff>554017</xdr:colOff>
      <xdr:row>4</xdr:row>
      <xdr:rowOff>114300</xdr:rowOff>
    </xdr:to>
    <xdr:sp macro="" textlink="">
      <xdr:nvSpPr>
        <xdr:cNvPr id="75" name="checksum">
          <a:extLst>
            <a:ext uri="{FF2B5EF4-FFF2-40B4-BE49-F238E27FC236}">
              <a16:creationId xmlns:a16="http://schemas.microsoft.com/office/drawing/2014/main" xmlns="" id="{00000000-0008-0000-1300-00004B000000}"/>
            </a:ext>
          </a:extLst>
        </xdr:cNvPr>
        <xdr:cNvSpPr txBox="1">
          <a:spLocks noChangeArrowheads="1"/>
        </xdr:cNvSpPr>
      </xdr:nvSpPr>
      <xdr:spPr bwMode="auto">
        <a:xfrm>
          <a:off x="50549175" y="695325"/>
          <a:ext cx="6792891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</xdr:rowOff>
    </xdr:from>
    <xdr:to>
      <xdr:col>40</xdr:col>
      <xdr:colOff>336550</xdr:colOff>
      <xdr:row>4</xdr:row>
      <xdr:rowOff>66675</xdr:rowOff>
    </xdr:to>
    <xdr:sp macro="" textlink="">
      <xdr:nvSpPr>
        <xdr:cNvPr id="76" name="checksum">
          <a:extLst>
            <a:ext uri="{FF2B5EF4-FFF2-40B4-BE49-F238E27FC236}">
              <a16:creationId xmlns:a16="http://schemas.microsoft.com/office/drawing/2014/main" xmlns="" id="{00000000-0008-0000-1300-00004C000000}"/>
            </a:ext>
          </a:extLst>
        </xdr:cNvPr>
        <xdr:cNvSpPr txBox="1">
          <a:spLocks noChangeArrowheads="1"/>
        </xdr:cNvSpPr>
      </xdr:nvSpPr>
      <xdr:spPr bwMode="auto">
        <a:xfrm>
          <a:off x="50549175" y="466725"/>
          <a:ext cx="7823199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285750</xdr:rowOff>
    </xdr:from>
    <xdr:to>
      <xdr:col>39</xdr:col>
      <xdr:colOff>605971</xdr:colOff>
      <xdr:row>4</xdr:row>
      <xdr:rowOff>114300</xdr:rowOff>
    </xdr:to>
    <xdr:sp macro="" textlink="">
      <xdr:nvSpPr>
        <xdr:cNvPr id="77" name="checksum">
          <a:extLst>
            <a:ext uri="{FF2B5EF4-FFF2-40B4-BE49-F238E27FC236}">
              <a16:creationId xmlns:a16="http://schemas.microsoft.com/office/drawing/2014/main" xmlns="" id="{00000000-0008-0000-1300-00004D000000}"/>
            </a:ext>
          </a:extLst>
        </xdr:cNvPr>
        <xdr:cNvSpPr txBox="1">
          <a:spLocks noChangeArrowheads="1"/>
        </xdr:cNvSpPr>
      </xdr:nvSpPr>
      <xdr:spPr bwMode="auto">
        <a:xfrm>
          <a:off x="50549175" y="695325"/>
          <a:ext cx="684484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285750</xdr:rowOff>
    </xdr:from>
    <xdr:to>
      <xdr:col>39</xdr:col>
      <xdr:colOff>625021</xdr:colOff>
      <xdr:row>4</xdr:row>
      <xdr:rowOff>114300</xdr:rowOff>
    </xdr:to>
    <xdr:sp macro="" textlink="">
      <xdr:nvSpPr>
        <xdr:cNvPr id="78" name="checksum">
          <a:extLst>
            <a:ext uri="{FF2B5EF4-FFF2-40B4-BE49-F238E27FC236}">
              <a16:creationId xmlns:a16="http://schemas.microsoft.com/office/drawing/2014/main" xmlns="" id="{00000000-0008-0000-1300-00004E000000}"/>
            </a:ext>
          </a:extLst>
        </xdr:cNvPr>
        <xdr:cNvSpPr txBox="1">
          <a:spLocks noChangeArrowheads="1"/>
        </xdr:cNvSpPr>
      </xdr:nvSpPr>
      <xdr:spPr bwMode="auto">
        <a:xfrm>
          <a:off x="50549175" y="695325"/>
          <a:ext cx="686389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276225</xdr:rowOff>
    </xdr:from>
    <xdr:to>
      <xdr:col>39</xdr:col>
      <xdr:colOff>567871</xdr:colOff>
      <xdr:row>4</xdr:row>
      <xdr:rowOff>114300</xdr:rowOff>
    </xdr:to>
    <xdr:sp macro="" textlink="">
      <xdr:nvSpPr>
        <xdr:cNvPr id="79" name="checksum">
          <a:extLst>
            <a:ext uri="{FF2B5EF4-FFF2-40B4-BE49-F238E27FC236}">
              <a16:creationId xmlns:a16="http://schemas.microsoft.com/office/drawing/2014/main" xmlns="" id="{00000000-0008-0000-1300-00004F000000}"/>
            </a:ext>
          </a:extLst>
        </xdr:cNvPr>
        <xdr:cNvSpPr txBox="1">
          <a:spLocks noChangeArrowheads="1"/>
        </xdr:cNvSpPr>
      </xdr:nvSpPr>
      <xdr:spPr bwMode="auto">
        <a:xfrm>
          <a:off x="50549175" y="695325"/>
          <a:ext cx="680674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</xdr:rowOff>
    </xdr:from>
    <xdr:to>
      <xdr:col>40</xdr:col>
      <xdr:colOff>336550</xdr:colOff>
      <xdr:row>4</xdr:row>
      <xdr:rowOff>66675</xdr:rowOff>
    </xdr:to>
    <xdr:sp macro="" textlink="">
      <xdr:nvSpPr>
        <xdr:cNvPr id="80" name="checksum">
          <a:extLst>
            <a:ext uri="{FF2B5EF4-FFF2-40B4-BE49-F238E27FC236}">
              <a16:creationId xmlns:a16="http://schemas.microsoft.com/office/drawing/2014/main" xmlns="" id="{00000000-0008-0000-1300-000050000000}"/>
            </a:ext>
          </a:extLst>
        </xdr:cNvPr>
        <xdr:cNvSpPr txBox="1">
          <a:spLocks noChangeArrowheads="1"/>
        </xdr:cNvSpPr>
      </xdr:nvSpPr>
      <xdr:spPr bwMode="auto">
        <a:xfrm>
          <a:off x="50549175" y="466725"/>
          <a:ext cx="7823199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285750</xdr:rowOff>
    </xdr:from>
    <xdr:to>
      <xdr:col>39</xdr:col>
      <xdr:colOff>605971</xdr:colOff>
      <xdr:row>4</xdr:row>
      <xdr:rowOff>114300</xdr:rowOff>
    </xdr:to>
    <xdr:sp macro="" textlink="">
      <xdr:nvSpPr>
        <xdr:cNvPr id="81" name="checksum">
          <a:extLst>
            <a:ext uri="{FF2B5EF4-FFF2-40B4-BE49-F238E27FC236}">
              <a16:creationId xmlns:a16="http://schemas.microsoft.com/office/drawing/2014/main" xmlns="" id="{00000000-0008-0000-1300-000051000000}"/>
            </a:ext>
          </a:extLst>
        </xdr:cNvPr>
        <xdr:cNvSpPr txBox="1">
          <a:spLocks noChangeArrowheads="1"/>
        </xdr:cNvSpPr>
      </xdr:nvSpPr>
      <xdr:spPr bwMode="auto">
        <a:xfrm>
          <a:off x="50549175" y="695325"/>
          <a:ext cx="684484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285750</xdr:rowOff>
    </xdr:from>
    <xdr:to>
      <xdr:col>39</xdr:col>
      <xdr:colOff>625021</xdr:colOff>
      <xdr:row>4</xdr:row>
      <xdr:rowOff>114300</xdr:rowOff>
    </xdr:to>
    <xdr:sp macro="" textlink="">
      <xdr:nvSpPr>
        <xdr:cNvPr id="82" name="checksum">
          <a:extLst>
            <a:ext uri="{FF2B5EF4-FFF2-40B4-BE49-F238E27FC236}">
              <a16:creationId xmlns:a16="http://schemas.microsoft.com/office/drawing/2014/main" xmlns="" id="{00000000-0008-0000-1300-000052000000}"/>
            </a:ext>
          </a:extLst>
        </xdr:cNvPr>
        <xdr:cNvSpPr txBox="1">
          <a:spLocks noChangeArrowheads="1"/>
        </xdr:cNvSpPr>
      </xdr:nvSpPr>
      <xdr:spPr bwMode="auto">
        <a:xfrm>
          <a:off x="50549175" y="695325"/>
          <a:ext cx="686389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276225</xdr:rowOff>
    </xdr:from>
    <xdr:to>
      <xdr:col>39</xdr:col>
      <xdr:colOff>567871</xdr:colOff>
      <xdr:row>4</xdr:row>
      <xdr:rowOff>114300</xdr:rowOff>
    </xdr:to>
    <xdr:sp macro="" textlink="">
      <xdr:nvSpPr>
        <xdr:cNvPr id="83" name="checksum">
          <a:extLst>
            <a:ext uri="{FF2B5EF4-FFF2-40B4-BE49-F238E27FC236}">
              <a16:creationId xmlns:a16="http://schemas.microsoft.com/office/drawing/2014/main" xmlns="" id="{00000000-0008-0000-1300-000053000000}"/>
            </a:ext>
          </a:extLst>
        </xdr:cNvPr>
        <xdr:cNvSpPr txBox="1">
          <a:spLocks noChangeArrowheads="1"/>
        </xdr:cNvSpPr>
      </xdr:nvSpPr>
      <xdr:spPr bwMode="auto">
        <a:xfrm>
          <a:off x="50549175" y="695325"/>
          <a:ext cx="680674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</xdr:rowOff>
    </xdr:from>
    <xdr:to>
      <xdr:col>40</xdr:col>
      <xdr:colOff>152483</xdr:colOff>
      <xdr:row>4</xdr:row>
      <xdr:rowOff>66675</xdr:rowOff>
    </xdr:to>
    <xdr:sp macro="" textlink="">
      <xdr:nvSpPr>
        <xdr:cNvPr id="84" name="checksum">
          <a:extLst>
            <a:ext uri="{FF2B5EF4-FFF2-40B4-BE49-F238E27FC236}">
              <a16:creationId xmlns:a16="http://schemas.microsoft.com/office/drawing/2014/main" xmlns="" id="{00000000-0008-0000-1300-000054000000}"/>
            </a:ext>
          </a:extLst>
        </xdr:cNvPr>
        <xdr:cNvSpPr txBox="1">
          <a:spLocks noChangeArrowheads="1"/>
        </xdr:cNvSpPr>
      </xdr:nvSpPr>
      <xdr:spPr bwMode="auto">
        <a:xfrm>
          <a:off x="50549175" y="466725"/>
          <a:ext cx="7639132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285750</xdr:rowOff>
    </xdr:from>
    <xdr:to>
      <xdr:col>39</xdr:col>
      <xdr:colOff>449860</xdr:colOff>
      <xdr:row>4</xdr:row>
      <xdr:rowOff>114300</xdr:rowOff>
    </xdr:to>
    <xdr:sp macro="" textlink="">
      <xdr:nvSpPr>
        <xdr:cNvPr id="85" name="checksum">
          <a:extLst>
            <a:ext uri="{FF2B5EF4-FFF2-40B4-BE49-F238E27FC236}">
              <a16:creationId xmlns:a16="http://schemas.microsoft.com/office/drawing/2014/main" xmlns="" id="{00000000-0008-0000-1300-000055000000}"/>
            </a:ext>
          </a:extLst>
        </xdr:cNvPr>
        <xdr:cNvSpPr txBox="1">
          <a:spLocks noChangeArrowheads="1"/>
        </xdr:cNvSpPr>
      </xdr:nvSpPr>
      <xdr:spPr bwMode="auto">
        <a:xfrm>
          <a:off x="50549175" y="695325"/>
          <a:ext cx="6688734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285750</xdr:rowOff>
    </xdr:from>
    <xdr:to>
      <xdr:col>39</xdr:col>
      <xdr:colOff>468910</xdr:colOff>
      <xdr:row>4</xdr:row>
      <xdr:rowOff>114300</xdr:rowOff>
    </xdr:to>
    <xdr:sp macro="" textlink="">
      <xdr:nvSpPr>
        <xdr:cNvPr id="86" name="checksum">
          <a:extLst>
            <a:ext uri="{FF2B5EF4-FFF2-40B4-BE49-F238E27FC236}">
              <a16:creationId xmlns:a16="http://schemas.microsoft.com/office/drawing/2014/main" xmlns="" id="{00000000-0008-0000-1300-000056000000}"/>
            </a:ext>
          </a:extLst>
        </xdr:cNvPr>
        <xdr:cNvSpPr txBox="1">
          <a:spLocks noChangeArrowheads="1"/>
        </xdr:cNvSpPr>
      </xdr:nvSpPr>
      <xdr:spPr bwMode="auto">
        <a:xfrm>
          <a:off x="50549175" y="695325"/>
          <a:ext cx="6707784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276225</xdr:rowOff>
    </xdr:from>
    <xdr:to>
      <xdr:col>39</xdr:col>
      <xdr:colOff>411760</xdr:colOff>
      <xdr:row>4</xdr:row>
      <xdr:rowOff>114300</xdr:rowOff>
    </xdr:to>
    <xdr:sp macro="" textlink="">
      <xdr:nvSpPr>
        <xdr:cNvPr id="87" name="checksum">
          <a:extLst>
            <a:ext uri="{FF2B5EF4-FFF2-40B4-BE49-F238E27FC236}">
              <a16:creationId xmlns:a16="http://schemas.microsoft.com/office/drawing/2014/main" xmlns="" id="{00000000-0008-0000-1300-000057000000}"/>
            </a:ext>
          </a:extLst>
        </xdr:cNvPr>
        <xdr:cNvSpPr txBox="1">
          <a:spLocks noChangeArrowheads="1"/>
        </xdr:cNvSpPr>
      </xdr:nvSpPr>
      <xdr:spPr bwMode="auto">
        <a:xfrm>
          <a:off x="50549175" y="695325"/>
          <a:ext cx="6650634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</xdr:rowOff>
    </xdr:from>
    <xdr:to>
      <xdr:col>40</xdr:col>
      <xdr:colOff>152483</xdr:colOff>
      <xdr:row>4</xdr:row>
      <xdr:rowOff>66675</xdr:rowOff>
    </xdr:to>
    <xdr:sp macro="" textlink="">
      <xdr:nvSpPr>
        <xdr:cNvPr id="88" name="checksum">
          <a:extLst>
            <a:ext uri="{FF2B5EF4-FFF2-40B4-BE49-F238E27FC236}">
              <a16:creationId xmlns:a16="http://schemas.microsoft.com/office/drawing/2014/main" xmlns="" id="{00000000-0008-0000-1300-000058000000}"/>
            </a:ext>
          </a:extLst>
        </xdr:cNvPr>
        <xdr:cNvSpPr txBox="1">
          <a:spLocks noChangeArrowheads="1"/>
        </xdr:cNvSpPr>
      </xdr:nvSpPr>
      <xdr:spPr bwMode="auto">
        <a:xfrm>
          <a:off x="50549175" y="466725"/>
          <a:ext cx="7639132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285750</xdr:rowOff>
    </xdr:from>
    <xdr:to>
      <xdr:col>39</xdr:col>
      <xdr:colOff>449860</xdr:colOff>
      <xdr:row>4</xdr:row>
      <xdr:rowOff>114300</xdr:rowOff>
    </xdr:to>
    <xdr:sp macro="" textlink="">
      <xdr:nvSpPr>
        <xdr:cNvPr id="89" name="checksum">
          <a:extLst>
            <a:ext uri="{FF2B5EF4-FFF2-40B4-BE49-F238E27FC236}">
              <a16:creationId xmlns:a16="http://schemas.microsoft.com/office/drawing/2014/main" xmlns="" id="{00000000-0008-0000-1300-000059000000}"/>
            </a:ext>
          </a:extLst>
        </xdr:cNvPr>
        <xdr:cNvSpPr txBox="1">
          <a:spLocks noChangeArrowheads="1"/>
        </xdr:cNvSpPr>
      </xdr:nvSpPr>
      <xdr:spPr bwMode="auto">
        <a:xfrm>
          <a:off x="50549175" y="695325"/>
          <a:ext cx="6688734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285750</xdr:rowOff>
    </xdr:from>
    <xdr:to>
      <xdr:col>39</xdr:col>
      <xdr:colOff>468910</xdr:colOff>
      <xdr:row>4</xdr:row>
      <xdr:rowOff>114300</xdr:rowOff>
    </xdr:to>
    <xdr:sp macro="" textlink="">
      <xdr:nvSpPr>
        <xdr:cNvPr id="90" name="checksum">
          <a:extLst>
            <a:ext uri="{FF2B5EF4-FFF2-40B4-BE49-F238E27FC236}">
              <a16:creationId xmlns:a16="http://schemas.microsoft.com/office/drawing/2014/main" xmlns="" id="{00000000-0008-0000-1300-00005A000000}"/>
            </a:ext>
          </a:extLst>
        </xdr:cNvPr>
        <xdr:cNvSpPr txBox="1">
          <a:spLocks noChangeArrowheads="1"/>
        </xdr:cNvSpPr>
      </xdr:nvSpPr>
      <xdr:spPr bwMode="auto">
        <a:xfrm>
          <a:off x="50549175" y="695325"/>
          <a:ext cx="6707784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276225</xdr:rowOff>
    </xdr:from>
    <xdr:to>
      <xdr:col>39</xdr:col>
      <xdr:colOff>411760</xdr:colOff>
      <xdr:row>4</xdr:row>
      <xdr:rowOff>114300</xdr:rowOff>
    </xdr:to>
    <xdr:sp macro="" textlink="">
      <xdr:nvSpPr>
        <xdr:cNvPr id="91" name="checksum">
          <a:extLst>
            <a:ext uri="{FF2B5EF4-FFF2-40B4-BE49-F238E27FC236}">
              <a16:creationId xmlns:a16="http://schemas.microsoft.com/office/drawing/2014/main" xmlns="" id="{00000000-0008-0000-1300-00005B000000}"/>
            </a:ext>
          </a:extLst>
        </xdr:cNvPr>
        <xdr:cNvSpPr txBox="1">
          <a:spLocks noChangeArrowheads="1"/>
        </xdr:cNvSpPr>
      </xdr:nvSpPr>
      <xdr:spPr bwMode="auto">
        <a:xfrm>
          <a:off x="50549175" y="695325"/>
          <a:ext cx="6650634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7</xdr:col>
      <xdr:colOff>271236</xdr:colOff>
      <xdr:row>2</xdr:row>
      <xdr:rowOff>163285</xdr:rowOff>
    </xdr:to>
    <xdr:sp macro="" textlink="">
      <xdr:nvSpPr>
        <xdr:cNvPr id="92" name="checksum">
          <a:extLst>
            <a:ext uri="{FF2B5EF4-FFF2-40B4-BE49-F238E27FC236}">
              <a16:creationId xmlns:a16="http://schemas.microsoft.com/office/drawing/2014/main" xmlns="" id="{00000000-0008-0000-1300-00005C000000}"/>
            </a:ext>
          </a:extLst>
        </xdr:cNvPr>
        <xdr:cNvSpPr txBox="1">
          <a:spLocks noChangeArrowheads="1"/>
        </xdr:cNvSpPr>
      </xdr:nvSpPr>
      <xdr:spPr bwMode="auto">
        <a:xfrm>
          <a:off x="3795032" y="0"/>
          <a:ext cx="5262337" cy="6014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</xdr:row>
      <xdr:rowOff>285750</xdr:rowOff>
    </xdr:from>
    <xdr:to>
      <xdr:col>14</xdr:col>
      <xdr:colOff>412750</xdr:colOff>
      <xdr:row>9</xdr:row>
      <xdr:rowOff>84817</xdr:rowOff>
    </xdr:to>
    <xdr:sp macro="" textlink="">
      <xdr:nvSpPr>
        <xdr:cNvPr id="93" name="checksum">
          <a:extLst>
            <a:ext uri="{FF2B5EF4-FFF2-40B4-BE49-F238E27FC236}">
              <a16:creationId xmlns:a16="http://schemas.microsoft.com/office/drawing/2014/main" xmlns="" id="{00000000-0008-0000-1300-00005D000000}"/>
            </a:ext>
          </a:extLst>
        </xdr:cNvPr>
        <xdr:cNvSpPr txBox="1">
          <a:spLocks noChangeArrowheads="1"/>
        </xdr:cNvSpPr>
      </xdr:nvSpPr>
      <xdr:spPr bwMode="auto">
        <a:xfrm>
          <a:off x="11944350" y="695325"/>
          <a:ext cx="6651624" cy="13389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</xdr:row>
      <xdr:rowOff>285750</xdr:rowOff>
    </xdr:from>
    <xdr:to>
      <xdr:col>14</xdr:col>
      <xdr:colOff>431800</xdr:colOff>
      <xdr:row>9</xdr:row>
      <xdr:rowOff>84817</xdr:rowOff>
    </xdr:to>
    <xdr:sp macro="" textlink="">
      <xdr:nvSpPr>
        <xdr:cNvPr id="94" name="checksum">
          <a:extLst>
            <a:ext uri="{FF2B5EF4-FFF2-40B4-BE49-F238E27FC236}">
              <a16:creationId xmlns:a16="http://schemas.microsoft.com/office/drawing/2014/main" xmlns="" id="{00000000-0008-0000-1300-00005E000000}"/>
            </a:ext>
          </a:extLst>
        </xdr:cNvPr>
        <xdr:cNvSpPr txBox="1">
          <a:spLocks noChangeArrowheads="1"/>
        </xdr:cNvSpPr>
      </xdr:nvSpPr>
      <xdr:spPr bwMode="auto">
        <a:xfrm>
          <a:off x="11944350" y="695325"/>
          <a:ext cx="6670674" cy="13389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</xdr:row>
      <xdr:rowOff>276225</xdr:rowOff>
    </xdr:from>
    <xdr:to>
      <xdr:col>14</xdr:col>
      <xdr:colOff>374650</xdr:colOff>
      <xdr:row>9</xdr:row>
      <xdr:rowOff>84817</xdr:rowOff>
    </xdr:to>
    <xdr:sp macro="" textlink="">
      <xdr:nvSpPr>
        <xdr:cNvPr id="95" name="checksum">
          <a:extLst>
            <a:ext uri="{FF2B5EF4-FFF2-40B4-BE49-F238E27FC236}">
              <a16:creationId xmlns:a16="http://schemas.microsoft.com/office/drawing/2014/main" xmlns="" id="{00000000-0008-0000-1300-00005F000000}"/>
            </a:ext>
          </a:extLst>
        </xdr:cNvPr>
        <xdr:cNvSpPr txBox="1">
          <a:spLocks noChangeArrowheads="1"/>
        </xdr:cNvSpPr>
      </xdr:nvSpPr>
      <xdr:spPr bwMode="auto">
        <a:xfrm>
          <a:off x="11944350" y="695325"/>
          <a:ext cx="6613524" cy="13389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4</xdr:row>
      <xdr:rowOff>363906</xdr:rowOff>
    </xdr:to>
    <xdr:sp macro="" textlink="">
      <xdr:nvSpPr>
        <xdr:cNvPr id="96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300-000060000000}"/>
            </a:ext>
          </a:extLst>
        </xdr:cNvPr>
        <xdr:cNvSpPr txBox="1">
          <a:spLocks noChangeArrowheads="1"/>
        </xdr:cNvSpPr>
      </xdr:nvSpPr>
      <xdr:spPr bwMode="auto">
        <a:xfrm>
          <a:off x="4457700" y="438150"/>
          <a:ext cx="0" cy="773481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 editAs="oneCell">
    <xdr:from>
      <xdr:col>2</xdr:col>
      <xdr:colOff>1230086</xdr:colOff>
      <xdr:row>0</xdr:row>
      <xdr:rowOff>0</xdr:rowOff>
    </xdr:from>
    <xdr:to>
      <xdr:col>6</xdr:col>
      <xdr:colOff>1174749</xdr:colOff>
      <xdr:row>2</xdr:row>
      <xdr:rowOff>128360</xdr:rowOff>
    </xdr:to>
    <xdr:sp macro="" textlink="">
      <xdr:nvSpPr>
        <xdr:cNvPr id="97" name="checksum">
          <a:extLst>
            <a:ext uri="{FF2B5EF4-FFF2-40B4-BE49-F238E27FC236}">
              <a16:creationId xmlns:a16="http://schemas.microsoft.com/office/drawing/2014/main" xmlns="" id="{00000000-0008-0000-1300-000061000000}"/>
            </a:ext>
          </a:extLst>
        </xdr:cNvPr>
        <xdr:cNvSpPr txBox="1">
          <a:spLocks noChangeArrowheads="1"/>
        </xdr:cNvSpPr>
      </xdr:nvSpPr>
      <xdr:spPr bwMode="auto">
        <a:xfrm>
          <a:off x="3985986" y="0"/>
          <a:ext cx="5075463" cy="5474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</xdr:row>
      <xdr:rowOff>285750</xdr:rowOff>
    </xdr:from>
    <xdr:to>
      <xdr:col>14</xdr:col>
      <xdr:colOff>412750</xdr:colOff>
      <xdr:row>9</xdr:row>
      <xdr:rowOff>84817</xdr:rowOff>
    </xdr:to>
    <xdr:sp macro="" textlink="">
      <xdr:nvSpPr>
        <xdr:cNvPr id="98" name="checksum">
          <a:extLst>
            <a:ext uri="{FF2B5EF4-FFF2-40B4-BE49-F238E27FC236}">
              <a16:creationId xmlns:a16="http://schemas.microsoft.com/office/drawing/2014/main" xmlns="" id="{00000000-0008-0000-1300-000062000000}"/>
            </a:ext>
          </a:extLst>
        </xdr:cNvPr>
        <xdr:cNvSpPr txBox="1">
          <a:spLocks noChangeArrowheads="1"/>
        </xdr:cNvSpPr>
      </xdr:nvSpPr>
      <xdr:spPr bwMode="auto">
        <a:xfrm>
          <a:off x="11944350" y="695325"/>
          <a:ext cx="6651624" cy="13389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3</xdr:row>
      <xdr:rowOff>107497</xdr:rowOff>
    </xdr:from>
    <xdr:to>
      <xdr:col>1</xdr:col>
      <xdr:colOff>2090553</xdr:colOff>
      <xdr:row>4</xdr:row>
      <xdr:rowOff>176893</xdr:rowOff>
    </xdr:to>
    <xdr:sp macro="" textlink="">
      <xdr:nvSpPr>
        <xdr:cNvPr id="99" name="checksum">
          <a:extLst>
            <a:ext uri="{FF2B5EF4-FFF2-40B4-BE49-F238E27FC236}">
              <a16:creationId xmlns:a16="http://schemas.microsoft.com/office/drawing/2014/main" xmlns="" id="{00000000-0008-0000-1300-000063000000}"/>
            </a:ext>
          </a:extLst>
        </xdr:cNvPr>
        <xdr:cNvSpPr txBox="1">
          <a:spLocks noChangeArrowheads="1"/>
        </xdr:cNvSpPr>
      </xdr:nvSpPr>
      <xdr:spPr bwMode="auto">
        <a:xfrm>
          <a:off x="0" y="802822"/>
          <a:ext cx="2424793" cy="3265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5</xdr:row>
      <xdr:rowOff>361950</xdr:rowOff>
    </xdr:to>
    <xdr:sp macro="" textlink="">
      <xdr:nvSpPr>
        <xdr:cNvPr id="101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300-000065000000}"/>
            </a:ext>
          </a:extLst>
        </xdr:cNvPr>
        <xdr:cNvSpPr txBox="1">
          <a:spLocks noChangeArrowheads="1"/>
        </xdr:cNvSpPr>
      </xdr:nvSpPr>
      <xdr:spPr bwMode="auto">
        <a:xfrm>
          <a:off x="4457700" y="438150"/>
          <a:ext cx="0" cy="971550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oneCellAnchor>
    <xdr:from>
      <xdr:col>34</xdr:col>
      <xdr:colOff>0</xdr:colOff>
      <xdr:row>2</xdr:row>
      <xdr:rowOff>28575</xdr:rowOff>
    </xdr:from>
    <xdr:ext cx="7755659" cy="536864"/>
    <xdr:sp macro="" textlink="">
      <xdr:nvSpPr>
        <xdr:cNvPr id="102" name="checksum">
          <a:extLst>
            <a:ext uri="{FF2B5EF4-FFF2-40B4-BE49-F238E27FC236}">
              <a16:creationId xmlns:a16="http://schemas.microsoft.com/office/drawing/2014/main" xmlns="" id="{00000000-0008-0000-1300-000066000000}"/>
            </a:ext>
          </a:extLst>
        </xdr:cNvPr>
        <xdr:cNvSpPr txBox="1">
          <a:spLocks noChangeArrowheads="1"/>
        </xdr:cNvSpPr>
      </xdr:nvSpPr>
      <xdr:spPr bwMode="auto">
        <a:xfrm>
          <a:off x="50549175" y="466725"/>
          <a:ext cx="7755659" cy="5368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34</xdr:col>
      <xdr:colOff>0</xdr:colOff>
      <xdr:row>2</xdr:row>
      <xdr:rowOff>285750</xdr:rowOff>
    </xdr:from>
    <xdr:ext cx="6785841" cy="365414"/>
    <xdr:sp macro="" textlink="">
      <xdr:nvSpPr>
        <xdr:cNvPr id="103" name="checksum">
          <a:extLst>
            <a:ext uri="{FF2B5EF4-FFF2-40B4-BE49-F238E27FC236}">
              <a16:creationId xmlns:a16="http://schemas.microsoft.com/office/drawing/2014/main" xmlns="" id="{00000000-0008-0000-1300-000067000000}"/>
            </a:ext>
          </a:extLst>
        </xdr:cNvPr>
        <xdr:cNvSpPr txBox="1">
          <a:spLocks noChangeArrowheads="1"/>
        </xdr:cNvSpPr>
      </xdr:nvSpPr>
      <xdr:spPr bwMode="auto">
        <a:xfrm>
          <a:off x="50549175" y="695325"/>
          <a:ext cx="6785841" cy="3654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34</xdr:col>
      <xdr:colOff>0</xdr:colOff>
      <xdr:row>2</xdr:row>
      <xdr:rowOff>285750</xdr:rowOff>
    </xdr:from>
    <xdr:ext cx="6804891" cy="365414"/>
    <xdr:sp macro="" textlink="">
      <xdr:nvSpPr>
        <xdr:cNvPr id="104" name="checksum">
          <a:extLst>
            <a:ext uri="{FF2B5EF4-FFF2-40B4-BE49-F238E27FC236}">
              <a16:creationId xmlns:a16="http://schemas.microsoft.com/office/drawing/2014/main" xmlns="" id="{00000000-0008-0000-1300-000068000000}"/>
            </a:ext>
          </a:extLst>
        </xdr:cNvPr>
        <xdr:cNvSpPr txBox="1">
          <a:spLocks noChangeArrowheads="1"/>
        </xdr:cNvSpPr>
      </xdr:nvSpPr>
      <xdr:spPr bwMode="auto">
        <a:xfrm>
          <a:off x="50549175" y="695325"/>
          <a:ext cx="6804891" cy="3654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34</xdr:col>
      <xdr:colOff>0</xdr:colOff>
      <xdr:row>2</xdr:row>
      <xdr:rowOff>276225</xdr:rowOff>
    </xdr:from>
    <xdr:ext cx="6747741" cy="359699"/>
    <xdr:sp macro="" textlink="">
      <xdr:nvSpPr>
        <xdr:cNvPr id="105" name="checksum">
          <a:extLst>
            <a:ext uri="{FF2B5EF4-FFF2-40B4-BE49-F238E27FC236}">
              <a16:creationId xmlns:a16="http://schemas.microsoft.com/office/drawing/2014/main" xmlns="" id="{00000000-0008-0000-1300-000069000000}"/>
            </a:ext>
          </a:extLst>
        </xdr:cNvPr>
        <xdr:cNvSpPr txBox="1">
          <a:spLocks noChangeArrowheads="1"/>
        </xdr:cNvSpPr>
      </xdr:nvSpPr>
      <xdr:spPr bwMode="auto">
        <a:xfrm>
          <a:off x="50549175" y="695325"/>
          <a:ext cx="6747741" cy="3596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34</xdr:col>
      <xdr:colOff>0</xdr:colOff>
      <xdr:row>2</xdr:row>
      <xdr:rowOff>28575</xdr:rowOff>
    </xdr:from>
    <xdr:ext cx="7755659" cy="536864"/>
    <xdr:sp macro="" textlink="">
      <xdr:nvSpPr>
        <xdr:cNvPr id="106" name="checksum">
          <a:extLst>
            <a:ext uri="{FF2B5EF4-FFF2-40B4-BE49-F238E27FC236}">
              <a16:creationId xmlns:a16="http://schemas.microsoft.com/office/drawing/2014/main" xmlns="" id="{00000000-0008-0000-1300-00006A000000}"/>
            </a:ext>
          </a:extLst>
        </xdr:cNvPr>
        <xdr:cNvSpPr txBox="1">
          <a:spLocks noChangeArrowheads="1"/>
        </xdr:cNvSpPr>
      </xdr:nvSpPr>
      <xdr:spPr bwMode="auto">
        <a:xfrm>
          <a:off x="50549175" y="466725"/>
          <a:ext cx="7755659" cy="5368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34</xdr:col>
      <xdr:colOff>0</xdr:colOff>
      <xdr:row>2</xdr:row>
      <xdr:rowOff>285750</xdr:rowOff>
    </xdr:from>
    <xdr:ext cx="6785841" cy="365414"/>
    <xdr:sp macro="" textlink="">
      <xdr:nvSpPr>
        <xdr:cNvPr id="107" name="checksum">
          <a:extLst>
            <a:ext uri="{FF2B5EF4-FFF2-40B4-BE49-F238E27FC236}">
              <a16:creationId xmlns:a16="http://schemas.microsoft.com/office/drawing/2014/main" xmlns="" id="{00000000-0008-0000-1300-00006B000000}"/>
            </a:ext>
          </a:extLst>
        </xdr:cNvPr>
        <xdr:cNvSpPr txBox="1">
          <a:spLocks noChangeArrowheads="1"/>
        </xdr:cNvSpPr>
      </xdr:nvSpPr>
      <xdr:spPr bwMode="auto">
        <a:xfrm>
          <a:off x="50549175" y="695325"/>
          <a:ext cx="6785841" cy="3654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34</xdr:col>
      <xdr:colOff>0</xdr:colOff>
      <xdr:row>2</xdr:row>
      <xdr:rowOff>285750</xdr:rowOff>
    </xdr:from>
    <xdr:ext cx="6804891" cy="365414"/>
    <xdr:sp macro="" textlink="">
      <xdr:nvSpPr>
        <xdr:cNvPr id="108" name="checksum">
          <a:extLst>
            <a:ext uri="{FF2B5EF4-FFF2-40B4-BE49-F238E27FC236}">
              <a16:creationId xmlns:a16="http://schemas.microsoft.com/office/drawing/2014/main" xmlns="" id="{00000000-0008-0000-1300-00006C000000}"/>
            </a:ext>
          </a:extLst>
        </xdr:cNvPr>
        <xdr:cNvSpPr txBox="1">
          <a:spLocks noChangeArrowheads="1"/>
        </xdr:cNvSpPr>
      </xdr:nvSpPr>
      <xdr:spPr bwMode="auto">
        <a:xfrm>
          <a:off x="50549175" y="695325"/>
          <a:ext cx="6804891" cy="3654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34</xdr:col>
      <xdr:colOff>0</xdr:colOff>
      <xdr:row>2</xdr:row>
      <xdr:rowOff>276225</xdr:rowOff>
    </xdr:from>
    <xdr:ext cx="6747741" cy="359699"/>
    <xdr:sp macro="" textlink="">
      <xdr:nvSpPr>
        <xdr:cNvPr id="109" name="checksum">
          <a:extLst>
            <a:ext uri="{FF2B5EF4-FFF2-40B4-BE49-F238E27FC236}">
              <a16:creationId xmlns:a16="http://schemas.microsoft.com/office/drawing/2014/main" xmlns="" id="{00000000-0008-0000-1300-00006D000000}"/>
            </a:ext>
          </a:extLst>
        </xdr:cNvPr>
        <xdr:cNvSpPr txBox="1">
          <a:spLocks noChangeArrowheads="1"/>
        </xdr:cNvSpPr>
      </xdr:nvSpPr>
      <xdr:spPr bwMode="auto">
        <a:xfrm>
          <a:off x="50549175" y="695325"/>
          <a:ext cx="6747741" cy="3596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41</xdr:col>
      <xdr:colOff>0</xdr:colOff>
      <xdr:row>2</xdr:row>
      <xdr:rowOff>28575</xdr:rowOff>
    </xdr:from>
    <xdr:ext cx="7619094" cy="555171"/>
    <xdr:sp macro="" textlink="">
      <xdr:nvSpPr>
        <xdr:cNvPr id="110" name="checksum">
          <a:extLst>
            <a:ext uri="{FF2B5EF4-FFF2-40B4-BE49-F238E27FC236}">
              <a16:creationId xmlns:a16="http://schemas.microsoft.com/office/drawing/2014/main" xmlns="" id="{00000000-0008-0000-1300-00006E000000}"/>
            </a:ext>
          </a:extLst>
        </xdr:cNvPr>
        <xdr:cNvSpPr txBox="1">
          <a:spLocks noChangeArrowheads="1"/>
        </xdr:cNvSpPr>
      </xdr:nvSpPr>
      <xdr:spPr bwMode="auto">
        <a:xfrm>
          <a:off x="60836175" y="466725"/>
          <a:ext cx="7619094" cy="5551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41</xdr:col>
      <xdr:colOff>0</xdr:colOff>
      <xdr:row>2</xdr:row>
      <xdr:rowOff>285750</xdr:rowOff>
    </xdr:from>
    <xdr:ext cx="6672035" cy="374196"/>
    <xdr:sp macro="" textlink="">
      <xdr:nvSpPr>
        <xdr:cNvPr id="111" name="checksum">
          <a:extLst>
            <a:ext uri="{FF2B5EF4-FFF2-40B4-BE49-F238E27FC236}">
              <a16:creationId xmlns:a16="http://schemas.microsoft.com/office/drawing/2014/main" xmlns="" id="{00000000-0008-0000-1300-00006F000000}"/>
            </a:ext>
          </a:extLst>
        </xdr:cNvPr>
        <xdr:cNvSpPr txBox="1">
          <a:spLocks noChangeArrowheads="1"/>
        </xdr:cNvSpPr>
      </xdr:nvSpPr>
      <xdr:spPr bwMode="auto">
        <a:xfrm>
          <a:off x="60531375" y="695325"/>
          <a:ext cx="6672035" cy="3741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41</xdr:col>
      <xdr:colOff>0</xdr:colOff>
      <xdr:row>2</xdr:row>
      <xdr:rowOff>285750</xdr:rowOff>
    </xdr:from>
    <xdr:ext cx="6691085" cy="374196"/>
    <xdr:sp macro="" textlink="">
      <xdr:nvSpPr>
        <xdr:cNvPr id="112" name="checksum">
          <a:extLst>
            <a:ext uri="{FF2B5EF4-FFF2-40B4-BE49-F238E27FC236}">
              <a16:creationId xmlns:a16="http://schemas.microsoft.com/office/drawing/2014/main" xmlns="" id="{00000000-0008-0000-1300-000070000000}"/>
            </a:ext>
          </a:extLst>
        </xdr:cNvPr>
        <xdr:cNvSpPr txBox="1">
          <a:spLocks noChangeArrowheads="1"/>
        </xdr:cNvSpPr>
      </xdr:nvSpPr>
      <xdr:spPr bwMode="auto">
        <a:xfrm>
          <a:off x="60531375" y="695325"/>
          <a:ext cx="6691085" cy="3741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41</xdr:col>
      <xdr:colOff>0</xdr:colOff>
      <xdr:row>2</xdr:row>
      <xdr:rowOff>276225</xdr:rowOff>
    </xdr:from>
    <xdr:ext cx="6633935" cy="374196"/>
    <xdr:sp macro="" textlink="">
      <xdr:nvSpPr>
        <xdr:cNvPr id="113" name="checksum">
          <a:extLst>
            <a:ext uri="{FF2B5EF4-FFF2-40B4-BE49-F238E27FC236}">
              <a16:creationId xmlns:a16="http://schemas.microsoft.com/office/drawing/2014/main" xmlns="" id="{00000000-0008-0000-1300-000071000000}"/>
            </a:ext>
          </a:extLst>
        </xdr:cNvPr>
        <xdr:cNvSpPr txBox="1">
          <a:spLocks noChangeArrowheads="1"/>
        </xdr:cNvSpPr>
      </xdr:nvSpPr>
      <xdr:spPr bwMode="auto">
        <a:xfrm>
          <a:off x="60531375" y="695325"/>
          <a:ext cx="6633935" cy="3741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35</xdr:col>
      <xdr:colOff>0</xdr:colOff>
      <xdr:row>2</xdr:row>
      <xdr:rowOff>0</xdr:rowOff>
    </xdr:from>
    <xdr:to>
      <xdr:col>35</xdr:col>
      <xdr:colOff>0</xdr:colOff>
      <xdr:row>4</xdr:row>
      <xdr:rowOff>363906</xdr:rowOff>
    </xdr:to>
    <xdr:sp macro="" textlink="">
      <xdr:nvSpPr>
        <xdr:cNvPr id="114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300-000072000000}"/>
            </a:ext>
          </a:extLst>
        </xdr:cNvPr>
        <xdr:cNvSpPr txBox="1">
          <a:spLocks noChangeArrowheads="1"/>
        </xdr:cNvSpPr>
      </xdr:nvSpPr>
      <xdr:spPr bwMode="auto">
        <a:xfrm>
          <a:off x="53044725" y="438150"/>
          <a:ext cx="0" cy="773481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oneCellAnchor>
    <xdr:from>
      <xdr:col>41</xdr:col>
      <xdr:colOff>0</xdr:colOff>
      <xdr:row>2</xdr:row>
      <xdr:rowOff>28575</xdr:rowOff>
    </xdr:from>
    <xdr:ext cx="7619094" cy="555171"/>
    <xdr:sp macro="" textlink="">
      <xdr:nvSpPr>
        <xdr:cNvPr id="115" name="checksum">
          <a:extLst>
            <a:ext uri="{FF2B5EF4-FFF2-40B4-BE49-F238E27FC236}">
              <a16:creationId xmlns:a16="http://schemas.microsoft.com/office/drawing/2014/main" xmlns="" id="{00000000-0008-0000-1300-000073000000}"/>
            </a:ext>
          </a:extLst>
        </xdr:cNvPr>
        <xdr:cNvSpPr txBox="1">
          <a:spLocks noChangeArrowheads="1"/>
        </xdr:cNvSpPr>
      </xdr:nvSpPr>
      <xdr:spPr bwMode="auto">
        <a:xfrm>
          <a:off x="60836175" y="466725"/>
          <a:ext cx="7619094" cy="5551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41</xdr:col>
      <xdr:colOff>0</xdr:colOff>
      <xdr:row>2</xdr:row>
      <xdr:rowOff>285750</xdr:rowOff>
    </xdr:from>
    <xdr:ext cx="6672035" cy="374196"/>
    <xdr:sp macro="" textlink="">
      <xdr:nvSpPr>
        <xdr:cNvPr id="116" name="checksum">
          <a:extLst>
            <a:ext uri="{FF2B5EF4-FFF2-40B4-BE49-F238E27FC236}">
              <a16:creationId xmlns:a16="http://schemas.microsoft.com/office/drawing/2014/main" xmlns="" id="{00000000-0008-0000-1300-000074000000}"/>
            </a:ext>
          </a:extLst>
        </xdr:cNvPr>
        <xdr:cNvSpPr txBox="1">
          <a:spLocks noChangeArrowheads="1"/>
        </xdr:cNvSpPr>
      </xdr:nvSpPr>
      <xdr:spPr bwMode="auto">
        <a:xfrm>
          <a:off x="60531375" y="695325"/>
          <a:ext cx="6672035" cy="3741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41</xdr:col>
      <xdr:colOff>0</xdr:colOff>
      <xdr:row>2</xdr:row>
      <xdr:rowOff>285750</xdr:rowOff>
    </xdr:from>
    <xdr:ext cx="6691085" cy="374196"/>
    <xdr:sp macro="" textlink="">
      <xdr:nvSpPr>
        <xdr:cNvPr id="117" name="checksum">
          <a:extLst>
            <a:ext uri="{FF2B5EF4-FFF2-40B4-BE49-F238E27FC236}">
              <a16:creationId xmlns:a16="http://schemas.microsoft.com/office/drawing/2014/main" xmlns="" id="{00000000-0008-0000-1300-000075000000}"/>
            </a:ext>
          </a:extLst>
        </xdr:cNvPr>
        <xdr:cNvSpPr txBox="1">
          <a:spLocks noChangeArrowheads="1"/>
        </xdr:cNvSpPr>
      </xdr:nvSpPr>
      <xdr:spPr bwMode="auto">
        <a:xfrm>
          <a:off x="60531375" y="695325"/>
          <a:ext cx="6691085" cy="3741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41</xdr:col>
      <xdr:colOff>0</xdr:colOff>
      <xdr:row>2</xdr:row>
      <xdr:rowOff>276225</xdr:rowOff>
    </xdr:from>
    <xdr:ext cx="6633935" cy="374196"/>
    <xdr:sp macro="" textlink="">
      <xdr:nvSpPr>
        <xdr:cNvPr id="118" name="checksum">
          <a:extLst>
            <a:ext uri="{FF2B5EF4-FFF2-40B4-BE49-F238E27FC236}">
              <a16:creationId xmlns:a16="http://schemas.microsoft.com/office/drawing/2014/main" xmlns="" id="{00000000-0008-0000-1300-000076000000}"/>
            </a:ext>
          </a:extLst>
        </xdr:cNvPr>
        <xdr:cNvSpPr txBox="1">
          <a:spLocks noChangeArrowheads="1"/>
        </xdr:cNvSpPr>
      </xdr:nvSpPr>
      <xdr:spPr bwMode="auto">
        <a:xfrm>
          <a:off x="60531375" y="695325"/>
          <a:ext cx="6633935" cy="3741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35</xdr:col>
      <xdr:colOff>0</xdr:colOff>
      <xdr:row>2</xdr:row>
      <xdr:rowOff>0</xdr:rowOff>
    </xdr:from>
    <xdr:to>
      <xdr:col>35</xdr:col>
      <xdr:colOff>0</xdr:colOff>
      <xdr:row>5</xdr:row>
      <xdr:rowOff>361950</xdr:rowOff>
    </xdr:to>
    <xdr:sp macro="" textlink="">
      <xdr:nvSpPr>
        <xdr:cNvPr id="119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300-000077000000}"/>
            </a:ext>
          </a:extLst>
        </xdr:cNvPr>
        <xdr:cNvSpPr txBox="1">
          <a:spLocks noChangeArrowheads="1"/>
        </xdr:cNvSpPr>
      </xdr:nvSpPr>
      <xdr:spPr bwMode="auto">
        <a:xfrm>
          <a:off x="53044725" y="438150"/>
          <a:ext cx="0" cy="971550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:US115"/>
  <sheetViews>
    <sheetView view="pageBreakPreview" zoomScale="70" zoomScaleNormal="70" zoomScaleSheetLayoutView="70" workbookViewId="0">
      <selection activeCell="H17" sqref="H17"/>
    </sheetView>
  </sheetViews>
  <sheetFormatPr defaultRowHeight="14.4" x14ac:dyDescent="0.3"/>
  <cols>
    <col min="1" max="1" width="13.6640625" customWidth="1"/>
    <col min="2" max="2" width="5" style="165" customWidth="1"/>
    <col min="3" max="3" width="28.88671875" customWidth="1"/>
    <col min="4" max="4" width="16.109375" customWidth="1"/>
    <col min="6" max="7" width="12.109375" customWidth="1"/>
    <col min="8" max="8" width="16.5546875" customWidth="1"/>
    <col min="9" max="25" width="12.109375" customWidth="1"/>
    <col min="26" max="26" width="16.5546875" customWidth="1"/>
    <col min="27" max="43" width="12.109375" customWidth="1"/>
    <col min="44" max="44" width="16.5546875" customWidth="1"/>
    <col min="45" max="61" width="12.109375" customWidth="1"/>
    <col min="62" max="63" width="12.109375" style="126" customWidth="1"/>
    <col min="64" max="79" width="17" style="126" customWidth="1"/>
    <col min="80" max="80" width="16.5546875" customWidth="1"/>
    <col min="81" max="81" width="14" customWidth="1"/>
    <col min="82" max="97" width="12.109375" customWidth="1"/>
    <col min="98" max="98" width="16.5546875" style="126" customWidth="1"/>
    <col min="99" max="117" width="12.109375" style="126" customWidth="1"/>
    <col min="118" max="133" width="17" style="126" customWidth="1"/>
    <col min="134" max="151" width="14" customWidth="1"/>
    <col min="152" max="152" width="16.5546875" customWidth="1"/>
    <col min="153" max="169" width="12.109375" customWidth="1"/>
    <col min="170" max="170" width="16.5546875" style="126" customWidth="1"/>
    <col min="171" max="187" width="12.109375" style="126" customWidth="1"/>
    <col min="188" max="188" width="16.5546875" customWidth="1"/>
    <col min="189" max="205" width="12.109375" customWidth="1"/>
    <col min="206" max="206" width="16.5546875" style="126" customWidth="1"/>
    <col min="207" max="223" width="12.109375" style="126" customWidth="1"/>
    <col min="224" max="224" width="16.5546875" style="126" customWidth="1"/>
    <col min="225" max="241" width="12.109375" style="126" customWidth="1"/>
    <col min="242" max="242" width="16.5546875" style="126" customWidth="1"/>
    <col min="243" max="259" width="12.109375" style="126" customWidth="1"/>
    <col min="260" max="260" width="16.5546875" style="126" customWidth="1"/>
    <col min="261" max="277" width="12.109375" style="126" customWidth="1"/>
    <col min="278" max="278" width="16.5546875" style="126" customWidth="1"/>
    <col min="279" max="295" width="12.109375" style="126" customWidth="1"/>
    <col min="296" max="296" width="16.5546875" style="126" customWidth="1"/>
    <col min="297" max="313" width="12.109375" style="126" customWidth="1"/>
    <col min="314" max="314" width="16.5546875" style="126" customWidth="1"/>
    <col min="315" max="331" width="12.109375" style="126" customWidth="1"/>
    <col min="332" max="332" width="16.5546875" style="126" customWidth="1"/>
    <col min="333" max="349" width="12.109375" style="126" customWidth="1"/>
    <col min="350" max="350" width="16.5546875" style="126" customWidth="1"/>
    <col min="351" max="367" width="12.109375" style="126" customWidth="1"/>
    <col min="368" max="368" width="16.5546875" customWidth="1"/>
    <col min="369" max="385" width="12.109375" customWidth="1"/>
    <col min="386" max="386" width="16.5546875" style="126" customWidth="1"/>
    <col min="387" max="403" width="12.109375" style="126" customWidth="1"/>
    <col min="404" max="404" width="16.5546875" customWidth="1"/>
    <col min="405" max="419" width="12.109375" customWidth="1"/>
    <col min="420" max="420" width="12.33203125" customWidth="1"/>
    <col min="421" max="421" width="12.109375" customWidth="1"/>
    <col min="422" max="439" width="12.88671875" customWidth="1"/>
    <col min="440" max="440" width="14" customWidth="1"/>
    <col min="441" max="456" width="11.88671875" customWidth="1"/>
    <col min="457" max="457" width="15.88671875" customWidth="1"/>
    <col min="476" max="493" width="13.33203125" customWidth="1"/>
    <col min="512" max="529" width="12.109375" customWidth="1"/>
    <col min="530" max="530" width="15.33203125" customWidth="1"/>
    <col min="531" max="547" width="11.6640625" customWidth="1"/>
    <col min="548" max="548" width="13.33203125" customWidth="1"/>
    <col min="549" max="565" width="12" customWidth="1"/>
  </cols>
  <sheetData>
    <row r="1" spans="1:565" ht="15.6" x14ac:dyDescent="0.3">
      <c r="C1" s="1"/>
    </row>
    <row r="2" spans="1:565" ht="20.399999999999999" x14ac:dyDescent="0.35">
      <c r="B2" s="166"/>
      <c r="C2" s="2" t="s">
        <v>0</v>
      </c>
      <c r="D2" t="s">
        <v>1228</v>
      </c>
      <c r="PX2" s="243"/>
      <c r="PY2" s="243"/>
    </row>
    <row r="3" spans="1:565" ht="20.399999999999999" x14ac:dyDescent="0.35">
      <c r="B3" s="166"/>
      <c r="C3" s="2"/>
      <c r="D3" s="128"/>
      <c r="E3" s="128"/>
      <c r="F3" s="128"/>
      <c r="G3" s="128"/>
      <c r="H3" s="128"/>
      <c r="I3" s="128"/>
      <c r="J3" s="128"/>
      <c r="K3" s="128"/>
      <c r="L3" s="128"/>
      <c r="M3" s="128"/>
      <c r="N3" s="128"/>
      <c r="O3" s="128"/>
      <c r="P3" s="128"/>
      <c r="Q3" s="128"/>
      <c r="R3" s="128"/>
      <c r="S3" s="128"/>
      <c r="T3" s="128"/>
      <c r="U3" s="128"/>
      <c r="V3" s="128"/>
      <c r="W3" s="128"/>
      <c r="X3" s="128"/>
      <c r="Y3" s="128"/>
      <c r="Z3" s="128"/>
      <c r="AA3" s="128"/>
      <c r="AB3" s="128"/>
      <c r="AC3" s="128"/>
      <c r="AD3" s="128"/>
      <c r="AE3" s="128"/>
      <c r="AF3" s="128"/>
      <c r="AG3" s="128"/>
      <c r="AH3" s="128"/>
      <c r="AI3" s="128"/>
      <c r="AJ3" s="128"/>
      <c r="AK3" s="128"/>
      <c r="AL3" s="128"/>
      <c r="AM3" s="128"/>
      <c r="AN3" s="128"/>
      <c r="AO3" s="128"/>
      <c r="AP3" s="128"/>
      <c r="AQ3" s="128"/>
      <c r="AR3" s="128"/>
      <c r="AS3" s="128"/>
      <c r="AT3" s="128"/>
      <c r="AU3" s="128"/>
      <c r="AV3" s="128"/>
      <c r="AW3" s="128"/>
      <c r="AX3" s="128"/>
      <c r="AY3" s="128"/>
      <c r="AZ3" s="128"/>
      <c r="BA3" s="128"/>
      <c r="BB3" s="128"/>
      <c r="BC3" s="128"/>
      <c r="BD3" s="128"/>
      <c r="BE3" s="128"/>
      <c r="BF3" s="128"/>
      <c r="BG3" s="128"/>
      <c r="BH3" s="128"/>
      <c r="BI3" s="128"/>
      <c r="BJ3" s="191"/>
      <c r="BK3" s="191"/>
      <c r="BL3" s="191"/>
      <c r="BM3" s="191"/>
      <c r="BN3" s="191"/>
      <c r="BO3" s="191"/>
      <c r="BP3" s="191"/>
      <c r="BQ3" s="191"/>
      <c r="BR3" s="191"/>
      <c r="BS3" s="191"/>
      <c r="BT3" s="191"/>
      <c r="BU3" s="191"/>
      <c r="BV3" s="191"/>
      <c r="BW3" s="191"/>
      <c r="BX3" s="191"/>
      <c r="BY3" s="191"/>
      <c r="BZ3" s="191"/>
      <c r="CA3" s="191"/>
      <c r="CB3" s="128"/>
      <c r="CC3" s="128"/>
      <c r="CD3" s="128"/>
      <c r="CE3" s="128"/>
      <c r="CF3" s="128"/>
      <c r="CG3" s="128"/>
      <c r="CH3" s="128"/>
      <c r="CI3" s="128"/>
      <c r="CJ3" s="128"/>
      <c r="CK3" s="128"/>
      <c r="CL3" s="128"/>
      <c r="CM3" s="128"/>
      <c r="CN3" s="128"/>
      <c r="CO3" s="128"/>
      <c r="CP3" s="128"/>
      <c r="CQ3" s="128"/>
      <c r="CR3" s="128"/>
      <c r="CS3" s="128"/>
      <c r="CT3" s="128"/>
      <c r="CU3" s="128"/>
      <c r="CV3" s="128"/>
      <c r="CW3" s="128"/>
      <c r="CX3" s="128"/>
      <c r="CY3" s="128"/>
      <c r="CZ3" s="128"/>
      <c r="DA3" s="128"/>
      <c r="DB3" s="128"/>
      <c r="DC3" s="128"/>
      <c r="DD3" s="128"/>
      <c r="DE3" s="128"/>
      <c r="DF3" s="128"/>
      <c r="DG3" s="128"/>
      <c r="DH3" s="128"/>
      <c r="DI3" s="128"/>
      <c r="DJ3" s="128"/>
      <c r="DK3" s="128"/>
      <c r="DL3" s="191"/>
      <c r="DM3" s="191"/>
      <c r="DN3" s="191"/>
      <c r="DO3" s="191"/>
      <c r="DP3" s="191"/>
      <c r="DQ3" s="191"/>
      <c r="DR3" s="191"/>
      <c r="DS3" s="191"/>
      <c r="DT3" s="191"/>
      <c r="DU3" s="191"/>
      <c r="DV3" s="191"/>
      <c r="DW3" s="191"/>
      <c r="DX3" s="191"/>
      <c r="DY3" s="191"/>
      <c r="DZ3" s="191"/>
      <c r="EA3" s="191"/>
      <c r="EB3" s="191"/>
      <c r="EC3" s="191"/>
      <c r="EV3" s="128"/>
      <c r="EW3" s="128"/>
      <c r="EX3" s="128"/>
      <c r="EY3" s="128"/>
      <c r="EZ3" s="128"/>
      <c r="FA3" s="128"/>
      <c r="FB3" s="128"/>
      <c r="FC3" s="128"/>
      <c r="FD3" s="128"/>
      <c r="FE3" s="128"/>
      <c r="FF3" s="128"/>
      <c r="FG3" s="128"/>
      <c r="FH3" s="128"/>
      <c r="FI3" s="128"/>
      <c r="FJ3" s="128"/>
      <c r="FK3" s="128"/>
      <c r="FL3" s="128"/>
      <c r="FM3" s="128"/>
      <c r="FN3" s="128"/>
      <c r="FO3" s="128"/>
      <c r="FP3" s="128"/>
      <c r="FQ3" s="128"/>
      <c r="FR3" s="128"/>
      <c r="FS3" s="128"/>
      <c r="FT3" s="128"/>
      <c r="FU3" s="128"/>
      <c r="FV3" s="128"/>
      <c r="FW3" s="128"/>
      <c r="FX3" s="128"/>
      <c r="FY3" s="128"/>
      <c r="FZ3" s="128"/>
      <c r="GA3" s="128"/>
      <c r="GB3" s="128"/>
      <c r="GC3" s="128"/>
      <c r="GD3" s="128"/>
      <c r="GE3" s="128"/>
      <c r="GF3" s="128"/>
      <c r="GG3" s="128"/>
      <c r="GH3" s="128"/>
      <c r="GI3" s="128"/>
      <c r="GJ3" s="128"/>
      <c r="GK3" s="128"/>
      <c r="GL3" s="128"/>
      <c r="GM3" s="128"/>
      <c r="GN3" s="128"/>
      <c r="GO3" s="128"/>
      <c r="GP3" s="128"/>
      <c r="GQ3" s="128"/>
      <c r="GR3" s="128"/>
      <c r="GS3" s="128"/>
      <c r="GT3" s="128"/>
      <c r="GU3" s="128"/>
      <c r="GV3" s="128"/>
      <c r="GW3" s="128"/>
      <c r="GX3" s="128"/>
      <c r="GY3" s="128"/>
      <c r="GZ3" s="128"/>
      <c r="HA3" s="128"/>
      <c r="HB3" s="128"/>
      <c r="HC3" s="128"/>
      <c r="HD3" s="128"/>
      <c r="HE3" s="128"/>
      <c r="HF3" s="128"/>
      <c r="HG3" s="128"/>
      <c r="HH3" s="128"/>
      <c r="HI3" s="128"/>
      <c r="HJ3" s="128"/>
      <c r="HK3" s="128"/>
      <c r="HL3" s="128"/>
      <c r="HM3" s="128"/>
      <c r="HN3" s="128"/>
      <c r="HO3" s="128"/>
      <c r="HP3" s="128"/>
      <c r="HQ3" s="128"/>
      <c r="HR3" s="128"/>
      <c r="HS3" s="128"/>
      <c r="HT3" s="128"/>
      <c r="HU3" s="128"/>
      <c r="HV3" s="128"/>
      <c r="HW3" s="128"/>
      <c r="HX3" s="128"/>
      <c r="HY3" s="128"/>
      <c r="HZ3" s="128"/>
      <c r="IA3" s="128"/>
      <c r="IB3" s="128"/>
      <c r="IC3" s="128"/>
      <c r="ID3" s="128"/>
      <c r="IE3" s="128"/>
      <c r="IF3" s="128"/>
      <c r="IG3" s="128"/>
      <c r="IH3" s="128"/>
      <c r="II3" s="128"/>
      <c r="IJ3" s="128"/>
      <c r="IK3" s="128"/>
      <c r="IL3" s="128"/>
      <c r="IM3" s="128"/>
      <c r="IN3" s="128"/>
      <c r="IO3" s="128"/>
      <c r="IP3" s="128"/>
      <c r="IQ3" s="128"/>
      <c r="IR3" s="128"/>
      <c r="IS3" s="128"/>
      <c r="IT3" s="128"/>
      <c r="IU3" s="128"/>
      <c r="IV3" s="128"/>
      <c r="IW3" s="128"/>
      <c r="IX3" s="128"/>
      <c r="IY3" s="128"/>
      <c r="IZ3" s="128"/>
      <c r="JA3" s="128"/>
      <c r="JB3" s="128"/>
      <c r="JC3" s="128"/>
      <c r="JD3" s="128"/>
      <c r="JE3" s="128"/>
      <c r="JF3" s="128"/>
      <c r="JG3" s="128"/>
      <c r="JH3" s="128"/>
      <c r="JI3" s="128"/>
      <c r="JJ3" s="128"/>
      <c r="JK3" s="128"/>
      <c r="JL3" s="128"/>
      <c r="JM3" s="128"/>
      <c r="JN3" s="128"/>
      <c r="JO3" s="128"/>
      <c r="JP3" s="128"/>
      <c r="JQ3" s="128"/>
      <c r="JR3" s="128"/>
      <c r="JS3" s="128"/>
      <c r="JT3" s="128"/>
      <c r="JU3" s="128"/>
      <c r="JV3" s="128"/>
      <c r="JW3" s="128"/>
      <c r="JX3" s="128"/>
      <c r="JY3" s="128"/>
      <c r="JZ3" s="128"/>
      <c r="KA3" s="128"/>
      <c r="KB3" s="128"/>
      <c r="KC3" s="128"/>
      <c r="KD3" s="128"/>
      <c r="KE3" s="128"/>
      <c r="KF3" s="128"/>
      <c r="KG3" s="128"/>
      <c r="KH3" s="128"/>
      <c r="KI3" s="128"/>
      <c r="KJ3" s="128"/>
      <c r="KK3" s="128"/>
      <c r="KL3" s="128"/>
      <c r="KM3" s="128"/>
      <c r="KN3" s="128"/>
      <c r="KO3" s="128"/>
      <c r="KP3" s="128"/>
      <c r="KQ3" s="128"/>
      <c r="KR3" s="128"/>
      <c r="KS3" s="128"/>
      <c r="KT3" s="128"/>
      <c r="KU3" s="128"/>
      <c r="KV3" s="128"/>
      <c r="KW3" s="128"/>
      <c r="KX3" s="128"/>
      <c r="KY3" s="128"/>
      <c r="KZ3" s="128"/>
      <c r="LA3" s="128"/>
      <c r="LB3" s="128"/>
      <c r="LC3" s="128"/>
      <c r="LD3" s="128"/>
      <c r="LE3" s="128"/>
      <c r="LF3" s="128"/>
      <c r="LG3" s="128"/>
      <c r="LH3" s="128"/>
      <c r="LI3" s="128"/>
      <c r="LJ3" s="128"/>
      <c r="LK3" s="128"/>
      <c r="LL3" s="128"/>
      <c r="LM3" s="128"/>
      <c r="LN3" s="128"/>
      <c r="LO3" s="128"/>
      <c r="LP3" s="128"/>
      <c r="LQ3" s="128"/>
      <c r="LR3" s="128"/>
      <c r="LS3" s="128"/>
      <c r="LT3" s="128"/>
      <c r="LU3" s="128"/>
      <c r="LV3" s="128"/>
      <c r="LW3" s="128"/>
      <c r="LX3" s="128"/>
      <c r="LY3" s="128"/>
      <c r="LZ3" s="128"/>
      <c r="MA3" s="128"/>
      <c r="MB3" s="128"/>
      <c r="MC3" s="128"/>
      <c r="MD3" s="128"/>
      <c r="ME3" s="128"/>
      <c r="MF3" s="128"/>
      <c r="MG3" s="128"/>
      <c r="MH3" s="128"/>
      <c r="MI3" s="128"/>
      <c r="MJ3" s="128"/>
      <c r="MK3" s="128"/>
      <c r="ML3" s="128"/>
      <c r="MM3" s="128"/>
      <c r="MN3" s="128"/>
      <c r="MO3" s="128"/>
      <c r="MP3" s="128"/>
      <c r="MQ3" s="128"/>
      <c r="MR3" s="128"/>
      <c r="MS3" s="128"/>
      <c r="MT3" s="128"/>
      <c r="MU3" s="128"/>
      <c r="MV3" s="128"/>
      <c r="MW3" s="128"/>
      <c r="MX3" s="128"/>
      <c r="MY3" s="128"/>
      <c r="MZ3" s="128"/>
      <c r="NA3" s="128"/>
      <c r="NB3" s="128"/>
      <c r="NC3" s="128"/>
      <c r="ND3" s="128"/>
      <c r="NE3" s="128"/>
      <c r="NF3" s="128"/>
      <c r="NG3" s="128"/>
      <c r="NH3" s="128"/>
      <c r="NI3" s="128"/>
      <c r="NJ3" s="128"/>
      <c r="NK3" s="128"/>
      <c r="NL3" s="128"/>
      <c r="NM3" s="128"/>
      <c r="NN3" s="128"/>
      <c r="NO3" s="128"/>
      <c r="NP3" s="128"/>
      <c r="NQ3" s="128"/>
      <c r="NR3" s="128"/>
      <c r="NS3" s="128"/>
      <c r="NT3" s="128"/>
      <c r="NU3" s="128"/>
      <c r="NV3" s="128"/>
      <c r="NW3" s="128"/>
      <c r="NX3" s="128"/>
      <c r="NY3" s="128"/>
      <c r="NZ3" s="128"/>
      <c r="OA3" s="128"/>
      <c r="OB3" s="128"/>
      <c r="OC3" s="128"/>
      <c r="OD3" s="128"/>
      <c r="OE3" s="128"/>
      <c r="OF3" s="128"/>
      <c r="OG3" s="128"/>
      <c r="OH3" s="128"/>
      <c r="OI3" s="128"/>
      <c r="OJ3" s="128"/>
      <c r="OK3" s="128"/>
      <c r="OL3" s="128"/>
      <c r="OM3" s="128"/>
      <c r="ON3" s="128"/>
      <c r="OO3" s="128"/>
      <c r="OP3" s="128"/>
      <c r="OQ3" s="128"/>
      <c r="OR3" s="128"/>
      <c r="OS3" s="128"/>
      <c r="OT3" s="128"/>
      <c r="OU3" s="128"/>
      <c r="OV3" s="128"/>
      <c r="OW3" s="128"/>
      <c r="OX3" s="128"/>
      <c r="OY3" s="128"/>
      <c r="OZ3" s="128"/>
      <c r="PA3" s="128"/>
      <c r="PB3" s="128"/>
      <c r="PC3" s="128"/>
      <c r="PD3" s="128"/>
      <c r="PE3" s="128"/>
      <c r="PX3" s="243"/>
      <c r="PY3" s="243"/>
    </row>
    <row r="4" spans="1:565" ht="20.399999999999999" x14ac:dyDescent="0.35">
      <c r="A4" s="3"/>
      <c r="B4" s="166"/>
      <c r="C4" s="2"/>
    </row>
    <row r="5" spans="1:565" ht="18" thickBot="1" x14ac:dyDescent="0.35">
      <c r="C5" s="4"/>
      <c r="D5" s="4"/>
      <c r="E5" s="4"/>
      <c r="F5" s="21"/>
      <c r="G5" s="21"/>
      <c r="H5" s="183">
        <v>37</v>
      </c>
      <c r="I5" s="183"/>
      <c r="J5" s="183"/>
      <c r="K5" s="183"/>
      <c r="L5" s="183"/>
      <c r="M5" s="183"/>
      <c r="N5" s="183"/>
      <c r="O5" s="183"/>
      <c r="P5" s="183"/>
      <c r="Q5" s="183"/>
      <c r="R5" s="183"/>
      <c r="S5" s="183"/>
      <c r="T5" s="183"/>
      <c r="U5" s="183"/>
      <c r="V5" s="183"/>
      <c r="W5" s="109"/>
      <c r="X5" s="109"/>
      <c r="Y5" s="109"/>
      <c r="Z5" s="183">
        <v>62</v>
      </c>
      <c r="AA5" s="183"/>
      <c r="AB5" s="183"/>
      <c r="AC5" s="183"/>
      <c r="AD5" s="183"/>
      <c r="AE5" s="183"/>
      <c r="AF5" s="183"/>
      <c r="AG5" s="183"/>
      <c r="AH5" s="183"/>
      <c r="AI5" s="183"/>
      <c r="AJ5" s="183"/>
      <c r="AK5" s="183"/>
      <c r="AL5" s="183"/>
      <c r="AM5" s="183"/>
      <c r="AN5" s="183"/>
      <c r="AO5" s="109"/>
      <c r="AP5" s="109"/>
      <c r="AQ5" s="109"/>
      <c r="AR5" s="183">
        <v>45</v>
      </c>
      <c r="AS5" s="183"/>
      <c r="AT5" s="183"/>
      <c r="AU5" s="183"/>
      <c r="AV5" s="183"/>
      <c r="AW5" s="183"/>
      <c r="AX5" s="183"/>
      <c r="AY5" s="183"/>
      <c r="AZ5" s="183"/>
      <c r="BA5" s="183"/>
      <c r="BB5" s="183"/>
      <c r="BC5" s="183"/>
      <c r="BD5" s="183"/>
      <c r="BE5" s="183"/>
      <c r="BF5" s="183"/>
      <c r="BG5" s="109"/>
      <c r="BH5" s="109"/>
      <c r="BI5" s="109"/>
      <c r="BJ5" s="183" t="s">
        <v>974</v>
      </c>
      <c r="BK5" s="109"/>
      <c r="BL5" s="109"/>
      <c r="BM5" s="109"/>
      <c r="BN5" s="109"/>
      <c r="BO5" s="109"/>
      <c r="BP5" s="109"/>
      <c r="BQ5" s="109"/>
      <c r="BR5" s="109"/>
      <c r="BS5" s="109"/>
      <c r="BT5" s="109"/>
      <c r="BU5" s="109"/>
      <c r="BV5" s="109"/>
      <c r="BW5" s="109"/>
      <c r="BX5" s="109"/>
      <c r="BY5" s="109"/>
      <c r="BZ5" s="109"/>
      <c r="CA5" s="109"/>
      <c r="CB5" s="183">
        <v>17</v>
      </c>
      <c r="CC5" s="183"/>
      <c r="CD5" s="183"/>
      <c r="CE5" s="183"/>
      <c r="CF5" s="183"/>
      <c r="CG5" s="183"/>
      <c r="CH5" s="183"/>
      <c r="CI5" s="183"/>
      <c r="CJ5" s="183"/>
      <c r="CK5" s="183"/>
      <c r="CL5" s="183"/>
      <c r="CM5" s="183"/>
      <c r="CN5" s="183"/>
      <c r="CO5" s="183"/>
      <c r="CP5" s="183"/>
      <c r="CQ5" s="109"/>
      <c r="CR5" s="109"/>
      <c r="CS5" s="109"/>
      <c r="CT5" s="183" t="s">
        <v>918</v>
      </c>
      <c r="CU5" s="183"/>
      <c r="CV5" s="183"/>
      <c r="CW5" s="183"/>
      <c r="CX5" s="183"/>
      <c r="CY5" s="183"/>
      <c r="CZ5" s="183"/>
      <c r="DA5" s="183"/>
      <c r="DB5" s="183"/>
      <c r="DC5" s="183"/>
      <c r="DD5" s="183"/>
      <c r="DE5" s="183"/>
      <c r="DF5" s="183"/>
      <c r="DG5" s="183"/>
      <c r="DH5" s="183"/>
      <c r="DI5" s="109"/>
      <c r="DJ5" s="109"/>
      <c r="DK5" s="109"/>
      <c r="DL5" s="109">
        <v>59</v>
      </c>
      <c r="DM5" s="109"/>
      <c r="DN5" s="109"/>
      <c r="DO5" s="109"/>
      <c r="DP5" s="109"/>
      <c r="DQ5" s="109"/>
      <c r="DR5" s="109"/>
      <c r="DS5" s="109"/>
      <c r="DT5" s="109"/>
      <c r="DU5" s="109"/>
      <c r="DV5" s="109"/>
      <c r="DW5" s="109"/>
      <c r="DX5" s="109"/>
      <c r="DY5" s="109"/>
      <c r="DZ5" s="109"/>
      <c r="EA5" s="109"/>
      <c r="EB5" s="109"/>
      <c r="EC5" s="109"/>
      <c r="ED5" s="183" t="s">
        <v>955</v>
      </c>
      <c r="EE5" s="183"/>
      <c r="EF5" s="183"/>
      <c r="EG5" s="183"/>
      <c r="EH5" s="183"/>
      <c r="EI5" s="183"/>
      <c r="EJ5" s="183"/>
      <c r="EK5" s="183"/>
      <c r="EL5" s="183"/>
      <c r="EM5" s="183"/>
      <c r="EN5" s="183"/>
      <c r="EO5" s="183"/>
      <c r="EP5" s="183"/>
      <c r="EQ5" s="183"/>
      <c r="ER5" s="183"/>
      <c r="ES5" s="109"/>
      <c r="ET5" s="109"/>
      <c r="EU5" s="109"/>
      <c r="EV5" s="183">
        <v>61</v>
      </c>
      <c r="EW5" s="183"/>
      <c r="EX5" s="183"/>
      <c r="EY5" s="183"/>
      <c r="EZ5" s="183"/>
      <c r="FA5" s="183"/>
      <c r="FB5" s="183"/>
      <c r="FC5" s="183"/>
      <c r="FD5" s="183"/>
      <c r="FE5" s="183"/>
      <c r="FF5" s="183"/>
      <c r="FG5" s="183"/>
      <c r="FH5" s="183"/>
      <c r="FI5" s="183"/>
      <c r="FJ5" s="183"/>
      <c r="FK5" s="109"/>
      <c r="FL5" s="109"/>
      <c r="FM5" s="109"/>
      <c r="FN5" s="184" t="s">
        <v>706</v>
      </c>
      <c r="FO5" s="184"/>
      <c r="FP5" s="183"/>
      <c r="FQ5" s="183"/>
      <c r="FR5" s="183"/>
      <c r="FS5" s="183"/>
      <c r="FT5" s="183" t="s">
        <v>917</v>
      </c>
      <c r="FU5" s="183"/>
      <c r="FV5" s="183"/>
      <c r="FW5" s="183"/>
      <c r="FX5" s="183"/>
      <c r="FY5" s="183"/>
      <c r="FZ5" s="183"/>
      <c r="GA5" s="183"/>
      <c r="GB5" s="183"/>
      <c r="GC5" s="109"/>
      <c r="GD5" s="109"/>
      <c r="GE5" s="109"/>
      <c r="GF5" s="183">
        <v>51</v>
      </c>
      <c r="GG5" s="183"/>
      <c r="GH5" s="183"/>
      <c r="GI5" s="183"/>
      <c r="GJ5" s="183"/>
      <c r="GK5" s="183"/>
      <c r="GL5" s="183"/>
      <c r="GM5" s="183"/>
      <c r="GN5" s="183"/>
      <c r="GO5" s="183"/>
      <c r="GP5" s="183"/>
      <c r="GQ5" s="183"/>
      <c r="GR5" s="183"/>
      <c r="GS5" s="183"/>
      <c r="GT5" s="183"/>
      <c r="GU5" s="109"/>
      <c r="GV5" s="109"/>
      <c r="GW5" s="109"/>
      <c r="GX5" s="184" t="s">
        <v>707</v>
      </c>
      <c r="GY5" s="183"/>
      <c r="GZ5" s="183"/>
      <c r="HA5" s="183"/>
      <c r="HB5" s="183"/>
      <c r="HC5" s="183"/>
      <c r="HD5" s="183"/>
      <c r="HE5" s="183"/>
      <c r="HF5" s="183"/>
      <c r="HG5" s="183"/>
      <c r="HH5" s="183"/>
      <c r="HI5" s="183"/>
      <c r="HJ5" s="183"/>
      <c r="HK5" s="183"/>
      <c r="HL5" s="183"/>
      <c r="HM5" s="109"/>
      <c r="HN5" s="109"/>
      <c r="HO5" s="109"/>
      <c r="HP5" s="183">
        <v>52</v>
      </c>
      <c r="HQ5" s="183"/>
      <c r="HR5" s="183"/>
      <c r="HS5" s="183"/>
      <c r="HT5" s="183"/>
      <c r="HU5" s="183"/>
      <c r="HV5" s="183"/>
      <c r="HW5" s="183"/>
      <c r="HX5" s="183"/>
      <c r="HY5" s="183"/>
      <c r="HZ5" s="183"/>
      <c r="IA5" s="183"/>
      <c r="IB5" s="183"/>
      <c r="IC5" s="183"/>
      <c r="ID5" s="183"/>
      <c r="IE5" s="109"/>
      <c r="IF5" s="109"/>
      <c r="IG5" s="109"/>
      <c r="IH5" s="184" t="s">
        <v>708</v>
      </c>
      <c r="II5" s="183"/>
      <c r="IJ5" s="183"/>
      <c r="IK5" s="183"/>
      <c r="IL5" s="183"/>
      <c r="IM5" s="183"/>
      <c r="IN5" s="183"/>
      <c r="IO5" s="183"/>
      <c r="IP5" s="183"/>
      <c r="IQ5" s="183"/>
      <c r="IR5" s="183"/>
      <c r="IS5" s="183"/>
      <c r="IT5" s="183"/>
      <c r="IU5" s="183"/>
      <c r="IV5" s="183"/>
      <c r="IW5" s="109"/>
      <c r="IX5" s="109"/>
      <c r="IY5" s="109"/>
      <c r="IZ5" s="183">
        <v>53</v>
      </c>
      <c r="JA5" s="183"/>
      <c r="JB5" s="183"/>
      <c r="JC5" s="183"/>
      <c r="JD5" s="183"/>
      <c r="JE5" s="183"/>
      <c r="JF5" s="183"/>
      <c r="JG5" s="183"/>
      <c r="JH5" s="183"/>
      <c r="JI5" s="183"/>
      <c r="JJ5" s="183"/>
      <c r="JK5" s="183"/>
      <c r="JL5" s="183"/>
      <c r="JM5" s="183"/>
      <c r="JN5" s="183"/>
      <c r="JO5" s="109"/>
      <c r="JP5" s="109"/>
      <c r="JQ5" s="109"/>
      <c r="JR5" s="184" t="s">
        <v>709</v>
      </c>
      <c r="JS5" s="183"/>
      <c r="JT5" s="183"/>
      <c r="JU5" s="183"/>
      <c r="JV5" s="183"/>
      <c r="JW5" s="183"/>
      <c r="JX5" s="183"/>
      <c r="JY5" s="183"/>
      <c r="JZ5" s="183"/>
      <c r="KA5" s="183"/>
      <c r="KB5" s="183"/>
      <c r="KC5" s="183"/>
      <c r="KD5" s="183"/>
      <c r="KE5" s="183"/>
      <c r="KF5" s="183"/>
      <c r="KG5" s="109"/>
      <c r="KH5" s="109"/>
      <c r="KI5" s="109"/>
      <c r="KJ5" s="183">
        <v>54</v>
      </c>
      <c r="KK5" s="183"/>
      <c r="KL5" s="183"/>
      <c r="KM5" s="183"/>
      <c r="KN5" s="183"/>
      <c r="KO5" s="183"/>
      <c r="KP5" s="183"/>
      <c r="KQ5" s="183"/>
      <c r="KR5" s="183"/>
      <c r="KS5" s="183"/>
      <c r="KT5" s="183"/>
      <c r="KU5" s="183"/>
      <c r="KV5" s="183"/>
      <c r="KW5" s="183"/>
      <c r="KX5" s="183"/>
      <c r="KY5" s="109"/>
      <c r="KZ5" s="109"/>
      <c r="LA5" s="109"/>
      <c r="LB5" s="184" t="s">
        <v>710</v>
      </c>
      <c r="LC5" s="183"/>
      <c r="LD5" s="183"/>
      <c r="LE5" s="183"/>
      <c r="LF5" s="183"/>
      <c r="LG5" s="183"/>
      <c r="LH5" s="183"/>
      <c r="LI5" s="183"/>
      <c r="LJ5" s="183"/>
      <c r="LK5" s="183"/>
      <c r="LL5" s="183"/>
      <c r="LM5" s="183"/>
      <c r="LN5" s="183"/>
      <c r="LO5" s="183"/>
      <c r="LP5" s="183"/>
      <c r="LQ5" s="109"/>
      <c r="LR5" s="109"/>
      <c r="LS5" s="109"/>
      <c r="LT5" s="183">
        <v>58</v>
      </c>
      <c r="LU5" s="183"/>
      <c r="LV5" s="183"/>
      <c r="LW5" s="183"/>
      <c r="LX5" s="183"/>
      <c r="LY5" s="183"/>
      <c r="LZ5" s="183"/>
      <c r="MA5" s="183"/>
      <c r="MB5" s="183"/>
      <c r="MC5" s="183"/>
      <c r="MD5" s="183"/>
      <c r="ME5" s="183"/>
      <c r="MF5" s="183"/>
      <c r="MG5" s="183"/>
      <c r="MH5" s="183"/>
      <c r="MI5" s="109"/>
      <c r="MJ5" s="109"/>
      <c r="MK5" s="109"/>
      <c r="ML5" s="184" t="s">
        <v>711</v>
      </c>
      <c r="MM5" s="183"/>
      <c r="MN5" s="183"/>
      <c r="MO5" s="183"/>
      <c r="MP5" s="183"/>
      <c r="MQ5" s="183"/>
      <c r="MR5" s="183"/>
      <c r="MS5" s="183"/>
      <c r="MT5" s="183"/>
      <c r="MU5" s="183"/>
      <c r="MV5" s="183"/>
      <c r="MW5" s="183"/>
      <c r="MX5" s="183"/>
      <c r="MY5" s="183"/>
      <c r="MZ5" s="183"/>
      <c r="NA5" s="109"/>
      <c r="NB5" s="109"/>
      <c r="NC5" s="109"/>
      <c r="ND5" s="183">
        <v>60</v>
      </c>
      <c r="NE5" s="183"/>
      <c r="NF5" s="183"/>
      <c r="NG5" s="183"/>
      <c r="NH5" s="183"/>
      <c r="NI5" s="183"/>
      <c r="NJ5" s="183"/>
      <c r="NK5" s="183"/>
      <c r="NL5" s="183"/>
      <c r="NM5" s="183"/>
      <c r="NN5" s="183"/>
      <c r="NO5" s="183"/>
      <c r="NP5" s="183"/>
      <c r="NQ5" s="183"/>
      <c r="NR5" s="183"/>
      <c r="NS5" s="109"/>
      <c r="NT5" s="109"/>
      <c r="NU5" s="109"/>
      <c r="NV5" s="184" t="s">
        <v>712</v>
      </c>
      <c r="NW5" s="183"/>
      <c r="NX5" s="183"/>
      <c r="NY5" s="183"/>
      <c r="NZ5" s="183"/>
      <c r="OA5" s="183"/>
      <c r="OB5" s="183"/>
      <c r="OC5" s="183"/>
      <c r="OD5" s="183"/>
      <c r="OE5" s="183"/>
      <c r="OF5" s="183"/>
      <c r="OG5" s="183"/>
      <c r="OH5" s="183"/>
      <c r="OI5" s="183"/>
      <c r="OJ5" s="183"/>
      <c r="OK5" s="109"/>
      <c r="OL5" s="109"/>
      <c r="OM5" s="109"/>
      <c r="ON5" s="183">
        <v>57</v>
      </c>
      <c r="OO5" s="183"/>
      <c r="OP5" s="183"/>
      <c r="OQ5" s="183"/>
      <c r="OR5" s="183"/>
      <c r="OS5" s="183"/>
      <c r="OT5" s="183"/>
      <c r="OU5" s="183"/>
      <c r="OV5" s="183"/>
      <c r="OW5" s="183"/>
      <c r="OX5" s="183"/>
      <c r="OY5" s="183"/>
      <c r="OZ5" s="183"/>
      <c r="PA5" s="183"/>
      <c r="PB5" s="183"/>
      <c r="PC5" s="109"/>
      <c r="PD5" s="109"/>
      <c r="PE5" s="109"/>
      <c r="PF5" s="183">
        <v>63</v>
      </c>
      <c r="PG5" s="183"/>
      <c r="PH5" s="183"/>
      <c r="PI5" s="183"/>
      <c r="PJ5" s="183"/>
      <c r="PK5" s="183"/>
      <c r="PL5" s="183"/>
      <c r="PM5" s="183"/>
      <c r="PN5" s="183"/>
      <c r="PO5" s="183"/>
      <c r="PP5" s="183"/>
      <c r="PQ5" s="183"/>
      <c r="PR5" s="183"/>
      <c r="PS5" s="183"/>
      <c r="PT5" s="183"/>
      <c r="PU5" s="109"/>
      <c r="PV5" s="109"/>
      <c r="PW5" s="109"/>
      <c r="PX5" s="183" t="s">
        <v>1087</v>
      </c>
      <c r="PY5" s="183"/>
      <c r="PZ5" s="183"/>
      <c r="QA5" s="183"/>
      <c r="QB5" s="183"/>
      <c r="QC5" s="183"/>
      <c r="QD5" s="183"/>
      <c r="QE5" s="183"/>
      <c r="QF5" s="183"/>
      <c r="QG5" s="183"/>
      <c r="QH5" s="183"/>
      <c r="QI5" s="183"/>
      <c r="QJ5" s="183"/>
      <c r="QK5" s="183"/>
      <c r="QL5" s="183"/>
      <c r="QM5" s="109"/>
      <c r="QN5" s="109"/>
      <c r="QO5" s="109"/>
      <c r="QP5" s="183">
        <v>65</v>
      </c>
      <c r="QQ5" s="183"/>
      <c r="QR5" s="183"/>
      <c r="QS5" s="183"/>
      <c r="QT5" s="183"/>
      <c r="QU5" s="183"/>
      <c r="QV5" s="183"/>
      <c r="QW5" s="183"/>
      <c r="QX5" s="183"/>
      <c r="QY5" s="183"/>
      <c r="QZ5" s="183"/>
      <c r="RA5" s="183"/>
      <c r="RB5" s="183"/>
      <c r="RC5" s="183"/>
      <c r="RD5" s="183"/>
      <c r="RE5" s="109"/>
      <c r="RF5" s="109"/>
      <c r="RG5" s="109"/>
      <c r="RH5" s="183" t="s">
        <v>1081</v>
      </c>
      <c r="RI5" s="183"/>
      <c r="RJ5" s="183"/>
      <c r="RK5" s="183"/>
      <c r="RL5" s="183"/>
      <c r="RM5" s="183"/>
      <c r="RN5" s="183"/>
      <c r="RO5" s="183"/>
      <c r="RP5" s="183"/>
      <c r="RQ5" s="183"/>
      <c r="RR5" s="183"/>
      <c r="RS5" s="183"/>
      <c r="RT5" s="183"/>
      <c r="RU5" s="183"/>
      <c r="RV5" s="183"/>
      <c r="RW5" s="109"/>
      <c r="RX5" s="109"/>
      <c r="RY5" s="109"/>
      <c r="RZ5" s="183">
        <v>67</v>
      </c>
      <c r="SA5" s="183"/>
      <c r="SB5" s="183"/>
      <c r="SC5" s="183"/>
      <c r="SD5" s="183"/>
      <c r="SE5" s="183"/>
      <c r="SF5" s="183"/>
      <c r="SG5" s="183"/>
      <c r="SH5" s="183"/>
      <c r="SI5" s="183"/>
      <c r="SJ5" s="183"/>
      <c r="SK5" s="183"/>
      <c r="SL5" s="183"/>
      <c r="SM5" s="183"/>
      <c r="SN5" s="183"/>
      <c r="SO5" s="109"/>
      <c r="SP5" s="109"/>
      <c r="SQ5" s="109"/>
      <c r="SR5" s="183" t="s">
        <v>1083</v>
      </c>
      <c r="SS5" s="183"/>
      <c r="ST5" s="183"/>
      <c r="SU5" s="183"/>
      <c r="SV5" s="183"/>
      <c r="SW5" s="183"/>
      <c r="SX5" s="183"/>
      <c r="SY5" s="183"/>
      <c r="SZ5" s="183"/>
      <c r="TA5" s="183"/>
      <c r="TB5" s="183"/>
      <c r="TC5" s="183"/>
      <c r="TD5" s="183"/>
      <c r="TE5" s="183"/>
      <c r="TF5" s="183"/>
      <c r="TG5" s="109"/>
      <c r="TH5" s="109"/>
      <c r="TI5" s="109"/>
      <c r="TJ5" s="183">
        <v>69</v>
      </c>
      <c r="TK5" s="183"/>
      <c r="TL5" s="183"/>
      <c r="TM5" s="183"/>
      <c r="TN5" s="183"/>
      <c r="TO5" s="183"/>
      <c r="TP5" s="183"/>
      <c r="TQ5" s="183"/>
      <c r="TR5" s="183"/>
      <c r="TS5" s="183"/>
      <c r="TT5" s="183"/>
      <c r="TU5" s="183"/>
      <c r="TV5" s="183"/>
      <c r="TW5" s="183"/>
      <c r="TX5" s="183"/>
      <c r="TY5" s="109"/>
      <c r="TZ5" s="109"/>
      <c r="UA5" s="109"/>
      <c r="UB5" s="183" t="s">
        <v>1208</v>
      </c>
      <c r="UC5" s="183"/>
      <c r="UD5" s="183"/>
      <c r="UE5" s="183"/>
      <c r="UF5" s="183"/>
      <c r="UG5" s="183"/>
      <c r="UH5" s="183"/>
      <c r="UI5" s="183"/>
      <c r="UJ5" s="183"/>
      <c r="UK5" s="183"/>
      <c r="UL5" s="183"/>
      <c r="UM5" s="183"/>
      <c r="UN5" s="183"/>
      <c r="UO5" s="183"/>
      <c r="UP5" s="183"/>
      <c r="UQ5" s="109"/>
      <c r="UR5" s="109"/>
      <c r="US5" s="109"/>
    </row>
    <row r="6" spans="1:565" s="250" customFormat="1" ht="77.25" customHeight="1" x14ac:dyDescent="0.3">
      <c r="B6" s="286"/>
      <c r="C6" s="289"/>
      <c r="D6" s="161"/>
      <c r="E6" s="162"/>
      <c r="G6" s="251"/>
      <c r="H6" s="283" t="s">
        <v>1030</v>
      </c>
      <c r="I6" s="284"/>
      <c r="J6" s="284"/>
      <c r="K6" s="284"/>
      <c r="L6" s="284"/>
      <c r="M6" s="284"/>
      <c r="N6" s="284"/>
      <c r="O6" s="284"/>
      <c r="P6" s="284"/>
      <c r="Q6" s="284"/>
      <c r="R6" s="284"/>
      <c r="S6" s="284"/>
      <c r="T6" s="284"/>
      <c r="U6" s="284"/>
      <c r="V6" s="284"/>
      <c r="W6" s="284"/>
      <c r="X6" s="284"/>
      <c r="Y6" s="285"/>
      <c r="Z6" s="283" t="s">
        <v>1031</v>
      </c>
      <c r="AA6" s="284"/>
      <c r="AB6" s="284"/>
      <c r="AC6" s="284"/>
      <c r="AD6" s="284"/>
      <c r="AE6" s="284"/>
      <c r="AF6" s="284"/>
      <c r="AG6" s="284"/>
      <c r="AH6" s="284"/>
      <c r="AI6" s="284"/>
      <c r="AJ6" s="284"/>
      <c r="AK6" s="284"/>
      <c r="AL6" s="284"/>
      <c r="AM6" s="284"/>
      <c r="AN6" s="284"/>
      <c r="AO6" s="284"/>
      <c r="AP6" s="284"/>
      <c r="AQ6" s="285"/>
      <c r="AR6" s="283" t="s">
        <v>1032</v>
      </c>
      <c r="AS6" s="284"/>
      <c r="AT6" s="284"/>
      <c r="AU6" s="284"/>
      <c r="AV6" s="284"/>
      <c r="AW6" s="284"/>
      <c r="AX6" s="284"/>
      <c r="AY6" s="284"/>
      <c r="AZ6" s="284"/>
      <c r="BA6" s="284"/>
      <c r="BB6" s="284"/>
      <c r="BC6" s="284"/>
      <c r="BD6" s="284"/>
      <c r="BE6" s="284"/>
      <c r="BF6" s="284"/>
      <c r="BG6" s="284"/>
      <c r="BH6" s="284"/>
      <c r="BI6" s="285"/>
      <c r="BJ6" s="283" t="s">
        <v>1033</v>
      </c>
      <c r="BK6" s="284"/>
      <c r="BL6" s="284"/>
      <c r="BM6" s="284"/>
      <c r="BN6" s="284"/>
      <c r="BO6" s="284"/>
      <c r="BP6" s="284"/>
      <c r="BQ6" s="284"/>
      <c r="BR6" s="284"/>
      <c r="BS6" s="284"/>
      <c r="BT6" s="284"/>
      <c r="BU6" s="284"/>
      <c r="BV6" s="284"/>
      <c r="BW6" s="284"/>
      <c r="BX6" s="284"/>
      <c r="BY6" s="284"/>
      <c r="BZ6" s="284"/>
      <c r="CA6" s="285"/>
      <c r="CB6" s="283" t="s">
        <v>1037</v>
      </c>
      <c r="CC6" s="284"/>
      <c r="CD6" s="284"/>
      <c r="CE6" s="284"/>
      <c r="CF6" s="284"/>
      <c r="CG6" s="284"/>
      <c r="CH6" s="284"/>
      <c r="CI6" s="284"/>
      <c r="CJ6" s="284"/>
      <c r="CK6" s="284"/>
      <c r="CL6" s="284"/>
      <c r="CM6" s="284"/>
      <c r="CN6" s="284"/>
      <c r="CO6" s="284"/>
      <c r="CP6" s="284"/>
      <c r="CQ6" s="284"/>
      <c r="CR6" s="284"/>
      <c r="CS6" s="285"/>
      <c r="CT6" s="283" t="s">
        <v>1202</v>
      </c>
      <c r="CU6" s="284"/>
      <c r="CV6" s="284"/>
      <c r="CW6" s="284"/>
      <c r="CX6" s="284"/>
      <c r="CY6" s="284"/>
      <c r="CZ6" s="284"/>
      <c r="DA6" s="284"/>
      <c r="DB6" s="284"/>
      <c r="DC6" s="284"/>
      <c r="DD6" s="284"/>
      <c r="DE6" s="284"/>
      <c r="DF6" s="284"/>
      <c r="DG6" s="284"/>
      <c r="DH6" s="284"/>
      <c r="DI6" s="284"/>
      <c r="DJ6" s="284"/>
      <c r="DK6" s="285"/>
      <c r="DL6" s="283" t="s">
        <v>1203</v>
      </c>
      <c r="DM6" s="284"/>
      <c r="DN6" s="284"/>
      <c r="DO6" s="284"/>
      <c r="DP6" s="284"/>
      <c r="DQ6" s="284"/>
      <c r="DR6" s="284"/>
      <c r="DS6" s="284"/>
      <c r="DT6" s="284"/>
      <c r="DU6" s="284"/>
      <c r="DV6" s="284"/>
      <c r="DW6" s="284"/>
      <c r="DX6" s="284"/>
      <c r="DY6" s="284"/>
      <c r="DZ6" s="284"/>
      <c r="EA6" s="284"/>
      <c r="EB6" s="284"/>
      <c r="EC6" s="285"/>
      <c r="ED6" s="283" t="s">
        <v>1201</v>
      </c>
      <c r="EE6" s="284"/>
      <c r="EF6" s="284"/>
      <c r="EG6" s="284"/>
      <c r="EH6" s="284"/>
      <c r="EI6" s="284"/>
      <c r="EJ6" s="284"/>
      <c r="EK6" s="284"/>
      <c r="EL6" s="284"/>
      <c r="EM6" s="284"/>
      <c r="EN6" s="284"/>
      <c r="EO6" s="284"/>
      <c r="EP6" s="284"/>
      <c r="EQ6" s="284"/>
      <c r="ER6" s="284"/>
      <c r="ES6" s="284"/>
      <c r="ET6" s="284"/>
      <c r="EU6" s="285"/>
      <c r="EV6" s="283" t="s">
        <v>1050</v>
      </c>
      <c r="EW6" s="284"/>
      <c r="EX6" s="284"/>
      <c r="EY6" s="284"/>
      <c r="EZ6" s="284"/>
      <c r="FA6" s="284"/>
      <c r="FB6" s="284"/>
      <c r="FC6" s="284"/>
      <c r="FD6" s="284"/>
      <c r="FE6" s="284"/>
      <c r="FF6" s="284"/>
      <c r="FG6" s="284"/>
      <c r="FH6" s="284"/>
      <c r="FI6" s="284"/>
      <c r="FJ6" s="284"/>
      <c r="FK6" s="284"/>
      <c r="FL6" s="284"/>
      <c r="FM6" s="285"/>
      <c r="FN6" s="283" t="s">
        <v>1051</v>
      </c>
      <c r="FO6" s="284"/>
      <c r="FP6" s="284"/>
      <c r="FQ6" s="284"/>
      <c r="FR6" s="284"/>
      <c r="FS6" s="284"/>
      <c r="FT6" s="284"/>
      <c r="FU6" s="284"/>
      <c r="FV6" s="284"/>
      <c r="FW6" s="284"/>
      <c r="FX6" s="284"/>
      <c r="FY6" s="284"/>
      <c r="FZ6" s="284"/>
      <c r="GA6" s="284"/>
      <c r="GB6" s="284"/>
      <c r="GC6" s="284"/>
      <c r="GD6" s="284"/>
      <c r="GE6" s="285"/>
      <c r="GF6" s="292" t="s">
        <v>1042</v>
      </c>
      <c r="GG6" s="293"/>
      <c r="GH6" s="293"/>
      <c r="GI6" s="293"/>
      <c r="GJ6" s="293"/>
      <c r="GK6" s="293"/>
      <c r="GL6" s="293"/>
      <c r="GM6" s="293"/>
      <c r="GN6" s="293"/>
      <c r="GO6" s="293"/>
      <c r="GP6" s="293"/>
      <c r="GQ6" s="293"/>
      <c r="GR6" s="293"/>
      <c r="GS6" s="293"/>
      <c r="GT6" s="293"/>
      <c r="GU6" s="293"/>
      <c r="GV6" s="293"/>
      <c r="GW6" s="294"/>
      <c r="GX6" s="292" t="s">
        <v>1043</v>
      </c>
      <c r="GY6" s="293"/>
      <c r="GZ6" s="293"/>
      <c r="HA6" s="293"/>
      <c r="HB6" s="293"/>
      <c r="HC6" s="293"/>
      <c r="HD6" s="293"/>
      <c r="HE6" s="293"/>
      <c r="HF6" s="293"/>
      <c r="HG6" s="293"/>
      <c r="HH6" s="293"/>
      <c r="HI6" s="293"/>
      <c r="HJ6" s="293"/>
      <c r="HK6" s="293"/>
      <c r="HL6" s="293"/>
      <c r="HM6" s="293"/>
      <c r="HN6" s="293"/>
      <c r="HO6" s="294"/>
      <c r="HP6" s="292" t="s">
        <v>1044</v>
      </c>
      <c r="HQ6" s="293"/>
      <c r="HR6" s="293"/>
      <c r="HS6" s="293"/>
      <c r="HT6" s="293"/>
      <c r="HU6" s="293"/>
      <c r="HV6" s="293"/>
      <c r="HW6" s="293"/>
      <c r="HX6" s="293"/>
      <c r="HY6" s="293"/>
      <c r="HZ6" s="293"/>
      <c r="IA6" s="293"/>
      <c r="IB6" s="293"/>
      <c r="IC6" s="293"/>
      <c r="ID6" s="293"/>
      <c r="IE6" s="293"/>
      <c r="IF6" s="293"/>
      <c r="IG6" s="294"/>
      <c r="IH6" s="292" t="s">
        <v>1045</v>
      </c>
      <c r="II6" s="293"/>
      <c r="IJ6" s="293"/>
      <c r="IK6" s="293"/>
      <c r="IL6" s="293"/>
      <c r="IM6" s="293"/>
      <c r="IN6" s="293"/>
      <c r="IO6" s="293"/>
      <c r="IP6" s="293"/>
      <c r="IQ6" s="293"/>
      <c r="IR6" s="293"/>
      <c r="IS6" s="293"/>
      <c r="IT6" s="293"/>
      <c r="IU6" s="293"/>
      <c r="IV6" s="293"/>
      <c r="IW6" s="293"/>
      <c r="IX6" s="293"/>
      <c r="IY6" s="294"/>
      <c r="IZ6" s="292" t="s">
        <v>1046</v>
      </c>
      <c r="JA6" s="293"/>
      <c r="JB6" s="293"/>
      <c r="JC6" s="293"/>
      <c r="JD6" s="293"/>
      <c r="JE6" s="293"/>
      <c r="JF6" s="293"/>
      <c r="JG6" s="293"/>
      <c r="JH6" s="293"/>
      <c r="JI6" s="293"/>
      <c r="JJ6" s="293"/>
      <c r="JK6" s="293"/>
      <c r="JL6" s="293"/>
      <c r="JM6" s="293"/>
      <c r="JN6" s="293"/>
      <c r="JO6" s="293"/>
      <c r="JP6" s="293"/>
      <c r="JQ6" s="294"/>
      <c r="JR6" s="292" t="s">
        <v>914</v>
      </c>
      <c r="JS6" s="293"/>
      <c r="JT6" s="293"/>
      <c r="JU6" s="293"/>
      <c r="JV6" s="293"/>
      <c r="JW6" s="293"/>
      <c r="JX6" s="293"/>
      <c r="JY6" s="293"/>
      <c r="JZ6" s="293"/>
      <c r="KA6" s="293"/>
      <c r="KB6" s="293"/>
      <c r="KC6" s="293"/>
      <c r="KD6" s="293"/>
      <c r="KE6" s="293"/>
      <c r="KF6" s="293"/>
      <c r="KG6" s="293"/>
      <c r="KH6" s="293"/>
      <c r="KI6" s="294"/>
      <c r="KJ6" s="292" t="s">
        <v>1047</v>
      </c>
      <c r="KK6" s="293"/>
      <c r="KL6" s="293"/>
      <c r="KM6" s="293"/>
      <c r="KN6" s="293"/>
      <c r="KO6" s="293"/>
      <c r="KP6" s="293"/>
      <c r="KQ6" s="293"/>
      <c r="KR6" s="293"/>
      <c r="KS6" s="293"/>
      <c r="KT6" s="293"/>
      <c r="KU6" s="293"/>
      <c r="KV6" s="293"/>
      <c r="KW6" s="293"/>
      <c r="KX6" s="293"/>
      <c r="KY6" s="293"/>
      <c r="KZ6" s="293"/>
      <c r="LA6" s="294"/>
      <c r="LB6" s="292" t="s">
        <v>1048</v>
      </c>
      <c r="LC6" s="293"/>
      <c r="LD6" s="293"/>
      <c r="LE6" s="293"/>
      <c r="LF6" s="293"/>
      <c r="LG6" s="293"/>
      <c r="LH6" s="293"/>
      <c r="LI6" s="293"/>
      <c r="LJ6" s="293"/>
      <c r="LK6" s="293"/>
      <c r="LL6" s="293"/>
      <c r="LM6" s="293"/>
      <c r="LN6" s="293"/>
      <c r="LO6" s="293"/>
      <c r="LP6" s="293"/>
      <c r="LQ6" s="293"/>
      <c r="LR6" s="293"/>
      <c r="LS6" s="294"/>
      <c r="LT6" s="283" t="s">
        <v>1041</v>
      </c>
      <c r="LU6" s="284"/>
      <c r="LV6" s="284"/>
      <c r="LW6" s="284"/>
      <c r="LX6" s="284"/>
      <c r="LY6" s="284"/>
      <c r="LZ6" s="284"/>
      <c r="MA6" s="284"/>
      <c r="MB6" s="284"/>
      <c r="MC6" s="284"/>
      <c r="MD6" s="284"/>
      <c r="ME6" s="284"/>
      <c r="MF6" s="284"/>
      <c r="MG6" s="284"/>
      <c r="MH6" s="284"/>
      <c r="MI6" s="284"/>
      <c r="MJ6" s="284"/>
      <c r="MK6" s="285"/>
      <c r="ML6" s="283" t="s">
        <v>915</v>
      </c>
      <c r="MM6" s="284"/>
      <c r="MN6" s="284"/>
      <c r="MO6" s="284"/>
      <c r="MP6" s="284"/>
      <c r="MQ6" s="284"/>
      <c r="MR6" s="284"/>
      <c r="MS6" s="284"/>
      <c r="MT6" s="284"/>
      <c r="MU6" s="284"/>
      <c r="MV6" s="284"/>
      <c r="MW6" s="284"/>
      <c r="MX6" s="284"/>
      <c r="MY6" s="284"/>
      <c r="MZ6" s="284"/>
      <c r="NA6" s="284"/>
      <c r="NB6" s="284"/>
      <c r="NC6" s="285"/>
      <c r="ND6" s="283" t="s">
        <v>1035</v>
      </c>
      <c r="NE6" s="284"/>
      <c r="NF6" s="284"/>
      <c r="NG6" s="284"/>
      <c r="NH6" s="284"/>
      <c r="NI6" s="284"/>
      <c r="NJ6" s="284"/>
      <c r="NK6" s="284"/>
      <c r="NL6" s="284"/>
      <c r="NM6" s="284"/>
      <c r="NN6" s="284"/>
      <c r="NO6" s="284"/>
      <c r="NP6" s="284"/>
      <c r="NQ6" s="284"/>
      <c r="NR6" s="284"/>
      <c r="NS6" s="284"/>
      <c r="NT6" s="284"/>
      <c r="NU6" s="285"/>
      <c r="NV6" s="283" t="s">
        <v>1036</v>
      </c>
      <c r="NW6" s="284"/>
      <c r="NX6" s="284"/>
      <c r="NY6" s="284"/>
      <c r="NZ6" s="284"/>
      <c r="OA6" s="284"/>
      <c r="OB6" s="284"/>
      <c r="OC6" s="284"/>
      <c r="OD6" s="284"/>
      <c r="OE6" s="284"/>
      <c r="OF6" s="284"/>
      <c r="OG6" s="284"/>
      <c r="OH6" s="284"/>
      <c r="OI6" s="284"/>
      <c r="OJ6" s="284"/>
      <c r="OK6" s="284"/>
      <c r="OL6" s="284"/>
      <c r="OM6" s="285"/>
      <c r="ON6" s="283" t="s">
        <v>1088</v>
      </c>
      <c r="OO6" s="284"/>
      <c r="OP6" s="284"/>
      <c r="OQ6" s="284"/>
      <c r="OR6" s="284"/>
      <c r="OS6" s="284"/>
      <c r="OT6" s="284"/>
      <c r="OU6" s="284"/>
      <c r="OV6" s="284"/>
      <c r="OW6" s="284"/>
      <c r="OX6" s="284"/>
      <c r="OY6" s="284"/>
      <c r="OZ6" s="284"/>
      <c r="PA6" s="284"/>
      <c r="PB6" s="284"/>
      <c r="PC6" s="284"/>
      <c r="PD6" s="284"/>
      <c r="PE6" s="285"/>
      <c r="PF6" s="283" t="s">
        <v>1049</v>
      </c>
      <c r="PG6" s="284"/>
      <c r="PH6" s="284"/>
      <c r="PI6" s="284"/>
      <c r="PJ6" s="284"/>
      <c r="PK6" s="284"/>
      <c r="PL6" s="284"/>
      <c r="PM6" s="284"/>
      <c r="PN6" s="284"/>
      <c r="PO6" s="284"/>
      <c r="PP6" s="284"/>
      <c r="PQ6" s="284"/>
      <c r="PR6" s="284"/>
      <c r="PS6" s="284"/>
      <c r="PT6" s="284"/>
      <c r="PU6" s="284"/>
      <c r="PV6" s="284"/>
      <c r="PW6" s="285"/>
      <c r="PX6" s="280" t="s">
        <v>1199</v>
      </c>
      <c r="PY6" s="281"/>
      <c r="PZ6" s="281"/>
      <c r="QA6" s="281"/>
      <c r="QB6" s="281"/>
      <c r="QC6" s="281"/>
      <c r="QD6" s="281"/>
      <c r="QE6" s="281"/>
      <c r="QF6" s="281"/>
      <c r="QG6" s="281"/>
      <c r="QH6" s="281"/>
      <c r="QI6" s="281"/>
      <c r="QJ6" s="281"/>
      <c r="QK6" s="281"/>
      <c r="QL6" s="281"/>
      <c r="QM6" s="281"/>
      <c r="QN6" s="281"/>
      <c r="QO6" s="282"/>
      <c r="QP6" s="283" t="s">
        <v>1080</v>
      </c>
      <c r="QQ6" s="284"/>
      <c r="QR6" s="284"/>
      <c r="QS6" s="284"/>
      <c r="QT6" s="284"/>
      <c r="QU6" s="284"/>
      <c r="QV6" s="284"/>
      <c r="QW6" s="284"/>
      <c r="QX6" s="284"/>
      <c r="QY6" s="284"/>
      <c r="QZ6" s="284"/>
      <c r="RA6" s="284"/>
      <c r="RB6" s="284"/>
      <c r="RC6" s="284"/>
      <c r="RD6" s="284"/>
      <c r="RE6" s="284"/>
      <c r="RF6" s="284"/>
      <c r="RG6" s="285"/>
      <c r="RH6" s="295" t="s">
        <v>1082</v>
      </c>
      <c r="RI6" s="296"/>
      <c r="RJ6" s="296"/>
      <c r="RK6" s="296"/>
      <c r="RL6" s="296"/>
      <c r="RM6" s="296"/>
      <c r="RN6" s="296"/>
      <c r="RO6" s="296"/>
      <c r="RP6" s="296"/>
      <c r="RQ6" s="296"/>
      <c r="RR6" s="296"/>
      <c r="RS6" s="296"/>
      <c r="RT6" s="296"/>
      <c r="RU6" s="296"/>
      <c r="RV6" s="296"/>
      <c r="RW6" s="296"/>
      <c r="RX6" s="296"/>
      <c r="RY6" s="297"/>
      <c r="RZ6" s="258" t="s">
        <v>1084</v>
      </c>
      <c r="SA6" s="259"/>
      <c r="SB6" s="259"/>
      <c r="SC6" s="259"/>
      <c r="SD6" s="259"/>
      <c r="SE6" s="259"/>
      <c r="SF6" s="259"/>
      <c r="SG6" s="259"/>
      <c r="SH6" s="259"/>
      <c r="SI6" s="259"/>
      <c r="SJ6" s="259"/>
      <c r="SK6" s="259"/>
      <c r="SL6" s="259"/>
      <c r="SM6" s="259"/>
      <c r="SN6" s="259"/>
      <c r="SO6" s="259"/>
      <c r="SP6" s="259"/>
      <c r="SQ6" s="260"/>
      <c r="SR6" s="298" t="s">
        <v>1085</v>
      </c>
      <c r="SS6" s="299"/>
      <c r="ST6" s="299"/>
      <c r="SU6" s="299"/>
      <c r="SV6" s="299"/>
      <c r="SW6" s="299"/>
      <c r="SX6" s="299"/>
      <c r="SY6" s="299"/>
      <c r="SZ6" s="299"/>
      <c r="TA6" s="299"/>
      <c r="TB6" s="299"/>
      <c r="TC6" s="299"/>
      <c r="TD6" s="299"/>
      <c r="TE6" s="299"/>
      <c r="TF6" s="299"/>
      <c r="TG6" s="299"/>
      <c r="TH6" s="299"/>
      <c r="TI6" s="300"/>
      <c r="TJ6" s="258" t="s">
        <v>1086</v>
      </c>
      <c r="TK6" s="259"/>
      <c r="TL6" s="259"/>
      <c r="TM6" s="259"/>
      <c r="TN6" s="259"/>
      <c r="TO6" s="259"/>
      <c r="TP6" s="259"/>
      <c r="TQ6" s="259"/>
      <c r="TR6" s="259"/>
      <c r="TS6" s="259"/>
      <c r="TT6" s="259"/>
      <c r="TU6" s="259"/>
      <c r="TV6" s="259"/>
      <c r="TW6" s="259"/>
      <c r="TX6" s="259"/>
      <c r="TY6" s="259"/>
      <c r="TZ6" s="259"/>
      <c r="UA6" s="260"/>
      <c r="UB6" s="258" t="s">
        <v>1209</v>
      </c>
      <c r="UC6" s="259"/>
      <c r="UD6" s="259"/>
      <c r="UE6" s="259"/>
      <c r="UF6" s="259"/>
      <c r="UG6" s="259"/>
      <c r="UH6" s="259"/>
      <c r="UI6" s="259"/>
      <c r="UJ6" s="259"/>
      <c r="UK6" s="259"/>
      <c r="UL6" s="259"/>
      <c r="UM6" s="259"/>
      <c r="UN6" s="259"/>
      <c r="UO6" s="259"/>
      <c r="UP6" s="259"/>
      <c r="UQ6" s="259"/>
      <c r="UR6" s="259"/>
      <c r="US6" s="260"/>
    </row>
    <row r="7" spans="1:565" ht="15.75" customHeight="1" x14ac:dyDescent="0.3">
      <c r="B7" s="287"/>
      <c r="C7" s="290"/>
      <c r="D7" s="22"/>
      <c r="E7" s="23"/>
      <c r="F7" s="264" t="s">
        <v>320</v>
      </c>
      <c r="G7" s="264" t="s">
        <v>322</v>
      </c>
      <c r="H7" s="261" t="s">
        <v>1053</v>
      </c>
      <c r="I7" s="264" t="s">
        <v>258</v>
      </c>
      <c r="J7" s="264" t="s">
        <v>259</v>
      </c>
      <c r="K7" s="264" t="s">
        <v>260</v>
      </c>
      <c r="L7" s="269" t="s">
        <v>261</v>
      </c>
      <c r="M7" s="264" t="s">
        <v>262</v>
      </c>
      <c r="N7" s="264" t="s">
        <v>272</v>
      </c>
      <c r="O7" s="264" t="s">
        <v>263</v>
      </c>
      <c r="P7" s="264" t="s">
        <v>264</v>
      </c>
      <c r="Q7" s="264" t="s">
        <v>271</v>
      </c>
      <c r="R7" s="264" t="s">
        <v>260</v>
      </c>
      <c r="S7" s="264" t="s">
        <v>265</v>
      </c>
      <c r="T7" s="269" t="s">
        <v>266</v>
      </c>
      <c r="U7" s="264" t="s">
        <v>267</v>
      </c>
      <c r="V7" s="264" t="s">
        <v>321</v>
      </c>
      <c r="W7" s="271" t="s">
        <v>268</v>
      </c>
      <c r="X7" s="274" t="s">
        <v>313</v>
      </c>
      <c r="Y7" s="277" t="s">
        <v>916</v>
      </c>
      <c r="Z7" s="261" t="s">
        <v>1053</v>
      </c>
      <c r="AA7" s="264" t="s">
        <v>258</v>
      </c>
      <c r="AB7" s="264" t="s">
        <v>259</v>
      </c>
      <c r="AC7" s="264" t="s">
        <v>260</v>
      </c>
      <c r="AD7" s="269" t="s">
        <v>261</v>
      </c>
      <c r="AE7" s="264" t="s">
        <v>262</v>
      </c>
      <c r="AF7" s="264" t="s">
        <v>272</v>
      </c>
      <c r="AG7" s="264" t="s">
        <v>263</v>
      </c>
      <c r="AH7" s="264" t="s">
        <v>264</v>
      </c>
      <c r="AI7" s="264" t="s">
        <v>271</v>
      </c>
      <c r="AJ7" s="264" t="s">
        <v>260</v>
      </c>
      <c r="AK7" s="264" t="s">
        <v>265</v>
      </c>
      <c r="AL7" s="269" t="s">
        <v>266</v>
      </c>
      <c r="AM7" s="264" t="s">
        <v>267</v>
      </c>
      <c r="AN7" s="264" t="s">
        <v>321</v>
      </c>
      <c r="AO7" s="271" t="s">
        <v>268</v>
      </c>
      <c r="AP7" s="274" t="s">
        <v>313</v>
      </c>
      <c r="AQ7" s="277" t="s">
        <v>916</v>
      </c>
      <c r="AR7" s="261" t="s">
        <v>1053</v>
      </c>
      <c r="AS7" s="264" t="s">
        <v>258</v>
      </c>
      <c r="AT7" s="264" t="s">
        <v>259</v>
      </c>
      <c r="AU7" s="264" t="s">
        <v>260</v>
      </c>
      <c r="AV7" s="269" t="s">
        <v>261</v>
      </c>
      <c r="AW7" s="264" t="s">
        <v>262</v>
      </c>
      <c r="AX7" s="264" t="s">
        <v>272</v>
      </c>
      <c r="AY7" s="264" t="s">
        <v>263</v>
      </c>
      <c r="AZ7" s="264" t="s">
        <v>264</v>
      </c>
      <c r="BA7" s="264" t="s">
        <v>271</v>
      </c>
      <c r="BB7" s="264" t="s">
        <v>260</v>
      </c>
      <c r="BC7" s="264" t="s">
        <v>265</v>
      </c>
      <c r="BD7" s="269" t="s">
        <v>266</v>
      </c>
      <c r="BE7" s="264" t="s">
        <v>267</v>
      </c>
      <c r="BF7" s="264" t="s">
        <v>321</v>
      </c>
      <c r="BG7" s="271" t="s">
        <v>268</v>
      </c>
      <c r="BH7" s="274" t="s">
        <v>313</v>
      </c>
      <c r="BI7" s="277" t="s">
        <v>916</v>
      </c>
      <c r="BJ7" s="261" t="s">
        <v>1053</v>
      </c>
      <c r="BK7" s="264" t="s">
        <v>258</v>
      </c>
      <c r="BL7" s="264" t="s">
        <v>259</v>
      </c>
      <c r="BM7" s="264" t="s">
        <v>260</v>
      </c>
      <c r="BN7" s="269" t="s">
        <v>261</v>
      </c>
      <c r="BO7" s="264" t="s">
        <v>262</v>
      </c>
      <c r="BP7" s="264" t="s">
        <v>272</v>
      </c>
      <c r="BQ7" s="264" t="s">
        <v>263</v>
      </c>
      <c r="BR7" s="264" t="s">
        <v>264</v>
      </c>
      <c r="BS7" s="264" t="s">
        <v>271</v>
      </c>
      <c r="BT7" s="264" t="s">
        <v>260</v>
      </c>
      <c r="BU7" s="264" t="s">
        <v>265</v>
      </c>
      <c r="BV7" s="269" t="s">
        <v>266</v>
      </c>
      <c r="BW7" s="264" t="s">
        <v>267</v>
      </c>
      <c r="BX7" s="264" t="s">
        <v>321</v>
      </c>
      <c r="BY7" s="271" t="s">
        <v>268</v>
      </c>
      <c r="BZ7" s="274" t="s">
        <v>313</v>
      </c>
      <c r="CA7" s="277" t="s">
        <v>916</v>
      </c>
      <c r="CB7" s="261" t="s">
        <v>1053</v>
      </c>
      <c r="CC7" s="264" t="s">
        <v>258</v>
      </c>
      <c r="CD7" s="264" t="s">
        <v>259</v>
      </c>
      <c r="CE7" s="264" t="s">
        <v>260</v>
      </c>
      <c r="CF7" s="269" t="s">
        <v>261</v>
      </c>
      <c r="CG7" s="264" t="s">
        <v>262</v>
      </c>
      <c r="CH7" s="264" t="s">
        <v>272</v>
      </c>
      <c r="CI7" s="264" t="s">
        <v>263</v>
      </c>
      <c r="CJ7" s="264" t="s">
        <v>264</v>
      </c>
      <c r="CK7" s="264" t="s">
        <v>271</v>
      </c>
      <c r="CL7" s="264" t="s">
        <v>260</v>
      </c>
      <c r="CM7" s="264" t="s">
        <v>265</v>
      </c>
      <c r="CN7" s="269" t="s">
        <v>266</v>
      </c>
      <c r="CO7" s="264" t="s">
        <v>267</v>
      </c>
      <c r="CP7" s="264" t="s">
        <v>321</v>
      </c>
      <c r="CQ7" s="271" t="s">
        <v>268</v>
      </c>
      <c r="CR7" s="274" t="s">
        <v>313</v>
      </c>
      <c r="CS7" s="277" t="s">
        <v>916</v>
      </c>
      <c r="CT7" s="261" t="s">
        <v>1053</v>
      </c>
      <c r="CU7" s="264" t="s">
        <v>258</v>
      </c>
      <c r="CV7" s="264" t="s">
        <v>259</v>
      </c>
      <c r="CW7" s="264" t="s">
        <v>260</v>
      </c>
      <c r="CX7" s="269" t="s">
        <v>261</v>
      </c>
      <c r="CY7" s="264" t="s">
        <v>262</v>
      </c>
      <c r="CZ7" s="264" t="s">
        <v>272</v>
      </c>
      <c r="DA7" s="264" t="s">
        <v>263</v>
      </c>
      <c r="DB7" s="264" t="s">
        <v>264</v>
      </c>
      <c r="DC7" s="264" t="s">
        <v>271</v>
      </c>
      <c r="DD7" s="264" t="s">
        <v>260</v>
      </c>
      <c r="DE7" s="264" t="s">
        <v>265</v>
      </c>
      <c r="DF7" s="269" t="s">
        <v>266</v>
      </c>
      <c r="DG7" s="264" t="s">
        <v>267</v>
      </c>
      <c r="DH7" s="264" t="s">
        <v>321</v>
      </c>
      <c r="DI7" s="271" t="s">
        <v>268</v>
      </c>
      <c r="DJ7" s="274" t="s">
        <v>313</v>
      </c>
      <c r="DK7" s="277" t="s">
        <v>916</v>
      </c>
      <c r="DL7" s="261" t="s">
        <v>1053</v>
      </c>
      <c r="DM7" s="264" t="s">
        <v>258</v>
      </c>
      <c r="DN7" s="264" t="s">
        <v>259</v>
      </c>
      <c r="DO7" s="264" t="s">
        <v>260</v>
      </c>
      <c r="DP7" s="269" t="s">
        <v>261</v>
      </c>
      <c r="DQ7" s="264" t="s">
        <v>262</v>
      </c>
      <c r="DR7" s="264" t="s">
        <v>272</v>
      </c>
      <c r="DS7" s="264" t="s">
        <v>263</v>
      </c>
      <c r="DT7" s="264" t="s">
        <v>264</v>
      </c>
      <c r="DU7" s="264" t="s">
        <v>271</v>
      </c>
      <c r="DV7" s="264" t="s">
        <v>260</v>
      </c>
      <c r="DW7" s="264" t="s">
        <v>265</v>
      </c>
      <c r="DX7" s="269" t="s">
        <v>266</v>
      </c>
      <c r="DY7" s="264" t="s">
        <v>267</v>
      </c>
      <c r="DZ7" s="264" t="s">
        <v>321</v>
      </c>
      <c r="EA7" s="271" t="s">
        <v>268</v>
      </c>
      <c r="EB7" s="274" t="s">
        <v>313</v>
      </c>
      <c r="EC7" s="277" t="s">
        <v>916</v>
      </c>
      <c r="ED7" s="261" t="s">
        <v>1053</v>
      </c>
      <c r="EE7" s="264" t="s">
        <v>258</v>
      </c>
      <c r="EF7" s="264" t="s">
        <v>259</v>
      </c>
      <c r="EG7" s="264" t="s">
        <v>260</v>
      </c>
      <c r="EH7" s="269" t="s">
        <v>261</v>
      </c>
      <c r="EI7" s="264" t="s">
        <v>262</v>
      </c>
      <c r="EJ7" s="264" t="s">
        <v>272</v>
      </c>
      <c r="EK7" s="264" t="s">
        <v>263</v>
      </c>
      <c r="EL7" s="264" t="s">
        <v>264</v>
      </c>
      <c r="EM7" s="264" t="s">
        <v>271</v>
      </c>
      <c r="EN7" s="264" t="s">
        <v>260</v>
      </c>
      <c r="EO7" s="264" t="s">
        <v>265</v>
      </c>
      <c r="EP7" s="269" t="s">
        <v>266</v>
      </c>
      <c r="EQ7" s="264" t="s">
        <v>267</v>
      </c>
      <c r="ER7" s="264" t="s">
        <v>321</v>
      </c>
      <c r="ES7" s="271" t="s">
        <v>268</v>
      </c>
      <c r="ET7" s="274" t="s">
        <v>313</v>
      </c>
      <c r="EU7" s="277" t="s">
        <v>916</v>
      </c>
      <c r="EV7" s="261" t="s">
        <v>1053</v>
      </c>
      <c r="EW7" s="264" t="s">
        <v>258</v>
      </c>
      <c r="EX7" s="264" t="s">
        <v>259</v>
      </c>
      <c r="EY7" s="264" t="s">
        <v>260</v>
      </c>
      <c r="EZ7" s="269" t="s">
        <v>261</v>
      </c>
      <c r="FA7" s="264" t="s">
        <v>262</v>
      </c>
      <c r="FB7" s="264" t="s">
        <v>272</v>
      </c>
      <c r="FC7" s="264" t="s">
        <v>263</v>
      </c>
      <c r="FD7" s="264" t="s">
        <v>264</v>
      </c>
      <c r="FE7" s="264" t="s">
        <v>271</v>
      </c>
      <c r="FF7" s="264" t="s">
        <v>260</v>
      </c>
      <c r="FG7" s="264" t="s">
        <v>265</v>
      </c>
      <c r="FH7" s="269" t="s">
        <v>266</v>
      </c>
      <c r="FI7" s="264" t="s">
        <v>267</v>
      </c>
      <c r="FJ7" s="264" t="s">
        <v>321</v>
      </c>
      <c r="FK7" s="271" t="s">
        <v>268</v>
      </c>
      <c r="FL7" s="274" t="s">
        <v>313</v>
      </c>
      <c r="FM7" s="277" t="s">
        <v>916</v>
      </c>
      <c r="FN7" s="261" t="s">
        <v>1053</v>
      </c>
      <c r="FO7" s="264" t="s">
        <v>258</v>
      </c>
      <c r="FP7" s="264" t="s">
        <v>259</v>
      </c>
      <c r="FQ7" s="264" t="s">
        <v>260</v>
      </c>
      <c r="FR7" s="269" t="s">
        <v>261</v>
      </c>
      <c r="FS7" s="264" t="s">
        <v>262</v>
      </c>
      <c r="FT7" s="264" t="s">
        <v>272</v>
      </c>
      <c r="FU7" s="264" t="s">
        <v>263</v>
      </c>
      <c r="FV7" s="264" t="s">
        <v>264</v>
      </c>
      <c r="FW7" s="264" t="s">
        <v>271</v>
      </c>
      <c r="FX7" s="264" t="s">
        <v>260</v>
      </c>
      <c r="FY7" s="264" t="s">
        <v>265</v>
      </c>
      <c r="FZ7" s="269" t="s">
        <v>266</v>
      </c>
      <c r="GA7" s="264" t="s">
        <v>267</v>
      </c>
      <c r="GB7" s="264" t="s">
        <v>321</v>
      </c>
      <c r="GC7" s="271" t="s">
        <v>268</v>
      </c>
      <c r="GD7" s="274" t="s">
        <v>313</v>
      </c>
      <c r="GE7" s="277" t="s">
        <v>916</v>
      </c>
      <c r="GF7" s="261" t="s">
        <v>1053</v>
      </c>
      <c r="GG7" s="264" t="s">
        <v>258</v>
      </c>
      <c r="GH7" s="264" t="s">
        <v>259</v>
      </c>
      <c r="GI7" s="264" t="s">
        <v>260</v>
      </c>
      <c r="GJ7" s="269" t="s">
        <v>261</v>
      </c>
      <c r="GK7" s="264" t="s">
        <v>262</v>
      </c>
      <c r="GL7" s="264" t="s">
        <v>272</v>
      </c>
      <c r="GM7" s="264" t="s">
        <v>263</v>
      </c>
      <c r="GN7" s="264" t="s">
        <v>264</v>
      </c>
      <c r="GO7" s="264" t="s">
        <v>271</v>
      </c>
      <c r="GP7" s="264" t="s">
        <v>260</v>
      </c>
      <c r="GQ7" s="264" t="s">
        <v>265</v>
      </c>
      <c r="GR7" s="269" t="s">
        <v>266</v>
      </c>
      <c r="GS7" s="264" t="s">
        <v>267</v>
      </c>
      <c r="GT7" s="264" t="s">
        <v>321</v>
      </c>
      <c r="GU7" s="271" t="s">
        <v>268</v>
      </c>
      <c r="GV7" s="274" t="s">
        <v>313</v>
      </c>
      <c r="GW7" s="277" t="s">
        <v>916</v>
      </c>
      <c r="GX7" s="261" t="s">
        <v>1053</v>
      </c>
      <c r="GY7" s="264" t="s">
        <v>258</v>
      </c>
      <c r="GZ7" s="264" t="s">
        <v>259</v>
      </c>
      <c r="HA7" s="264" t="s">
        <v>260</v>
      </c>
      <c r="HB7" s="269" t="s">
        <v>261</v>
      </c>
      <c r="HC7" s="264" t="s">
        <v>262</v>
      </c>
      <c r="HD7" s="264" t="s">
        <v>272</v>
      </c>
      <c r="HE7" s="264" t="s">
        <v>263</v>
      </c>
      <c r="HF7" s="264" t="s">
        <v>264</v>
      </c>
      <c r="HG7" s="264" t="s">
        <v>271</v>
      </c>
      <c r="HH7" s="264" t="s">
        <v>260</v>
      </c>
      <c r="HI7" s="264" t="s">
        <v>265</v>
      </c>
      <c r="HJ7" s="269" t="s">
        <v>266</v>
      </c>
      <c r="HK7" s="264" t="s">
        <v>267</v>
      </c>
      <c r="HL7" s="264" t="s">
        <v>321</v>
      </c>
      <c r="HM7" s="271" t="s">
        <v>268</v>
      </c>
      <c r="HN7" s="274" t="s">
        <v>313</v>
      </c>
      <c r="HO7" s="277" t="s">
        <v>916</v>
      </c>
      <c r="HP7" s="261" t="s">
        <v>1053</v>
      </c>
      <c r="HQ7" s="264" t="s">
        <v>258</v>
      </c>
      <c r="HR7" s="264" t="s">
        <v>259</v>
      </c>
      <c r="HS7" s="264" t="s">
        <v>260</v>
      </c>
      <c r="HT7" s="269" t="s">
        <v>261</v>
      </c>
      <c r="HU7" s="264" t="s">
        <v>262</v>
      </c>
      <c r="HV7" s="264" t="s">
        <v>272</v>
      </c>
      <c r="HW7" s="264" t="s">
        <v>263</v>
      </c>
      <c r="HX7" s="264" t="s">
        <v>264</v>
      </c>
      <c r="HY7" s="264" t="s">
        <v>271</v>
      </c>
      <c r="HZ7" s="264" t="s">
        <v>260</v>
      </c>
      <c r="IA7" s="264" t="s">
        <v>265</v>
      </c>
      <c r="IB7" s="269" t="s">
        <v>266</v>
      </c>
      <c r="IC7" s="264" t="s">
        <v>267</v>
      </c>
      <c r="ID7" s="264" t="s">
        <v>321</v>
      </c>
      <c r="IE7" s="271" t="s">
        <v>268</v>
      </c>
      <c r="IF7" s="274" t="s">
        <v>313</v>
      </c>
      <c r="IG7" s="277" t="s">
        <v>916</v>
      </c>
      <c r="IH7" s="261" t="s">
        <v>1053</v>
      </c>
      <c r="II7" s="264" t="s">
        <v>258</v>
      </c>
      <c r="IJ7" s="264" t="s">
        <v>259</v>
      </c>
      <c r="IK7" s="264" t="s">
        <v>260</v>
      </c>
      <c r="IL7" s="269" t="s">
        <v>261</v>
      </c>
      <c r="IM7" s="264" t="s">
        <v>262</v>
      </c>
      <c r="IN7" s="264" t="s">
        <v>272</v>
      </c>
      <c r="IO7" s="264" t="s">
        <v>263</v>
      </c>
      <c r="IP7" s="264" t="s">
        <v>264</v>
      </c>
      <c r="IQ7" s="264" t="s">
        <v>271</v>
      </c>
      <c r="IR7" s="264" t="s">
        <v>260</v>
      </c>
      <c r="IS7" s="264" t="s">
        <v>265</v>
      </c>
      <c r="IT7" s="269" t="s">
        <v>266</v>
      </c>
      <c r="IU7" s="264" t="s">
        <v>267</v>
      </c>
      <c r="IV7" s="264" t="s">
        <v>321</v>
      </c>
      <c r="IW7" s="271" t="s">
        <v>268</v>
      </c>
      <c r="IX7" s="274" t="s">
        <v>313</v>
      </c>
      <c r="IY7" s="277" t="s">
        <v>916</v>
      </c>
      <c r="IZ7" s="261" t="s">
        <v>1053</v>
      </c>
      <c r="JA7" s="264" t="s">
        <v>258</v>
      </c>
      <c r="JB7" s="264" t="s">
        <v>259</v>
      </c>
      <c r="JC7" s="264" t="s">
        <v>260</v>
      </c>
      <c r="JD7" s="269" t="s">
        <v>261</v>
      </c>
      <c r="JE7" s="264" t="s">
        <v>262</v>
      </c>
      <c r="JF7" s="264" t="s">
        <v>272</v>
      </c>
      <c r="JG7" s="264" t="s">
        <v>263</v>
      </c>
      <c r="JH7" s="264" t="s">
        <v>264</v>
      </c>
      <c r="JI7" s="264" t="s">
        <v>271</v>
      </c>
      <c r="JJ7" s="264" t="s">
        <v>260</v>
      </c>
      <c r="JK7" s="264" t="s">
        <v>265</v>
      </c>
      <c r="JL7" s="269" t="s">
        <v>266</v>
      </c>
      <c r="JM7" s="264" t="s">
        <v>267</v>
      </c>
      <c r="JN7" s="264" t="s">
        <v>321</v>
      </c>
      <c r="JO7" s="271" t="s">
        <v>268</v>
      </c>
      <c r="JP7" s="274" t="s">
        <v>313</v>
      </c>
      <c r="JQ7" s="277" t="s">
        <v>916</v>
      </c>
      <c r="JR7" s="261" t="s">
        <v>1053</v>
      </c>
      <c r="JS7" s="264" t="s">
        <v>258</v>
      </c>
      <c r="JT7" s="264" t="s">
        <v>259</v>
      </c>
      <c r="JU7" s="264" t="s">
        <v>260</v>
      </c>
      <c r="JV7" s="269" t="s">
        <v>261</v>
      </c>
      <c r="JW7" s="264" t="s">
        <v>262</v>
      </c>
      <c r="JX7" s="264" t="s">
        <v>272</v>
      </c>
      <c r="JY7" s="264" t="s">
        <v>263</v>
      </c>
      <c r="JZ7" s="264" t="s">
        <v>264</v>
      </c>
      <c r="KA7" s="264" t="s">
        <v>271</v>
      </c>
      <c r="KB7" s="264" t="s">
        <v>260</v>
      </c>
      <c r="KC7" s="264" t="s">
        <v>265</v>
      </c>
      <c r="KD7" s="269" t="s">
        <v>266</v>
      </c>
      <c r="KE7" s="264" t="s">
        <v>267</v>
      </c>
      <c r="KF7" s="264" t="s">
        <v>321</v>
      </c>
      <c r="KG7" s="271" t="s">
        <v>268</v>
      </c>
      <c r="KH7" s="274" t="s">
        <v>313</v>
      </c>
      <c r="KI7" s="277" t="s">
        <v>916</v>
      </c>
      <c r="KJ7" s="261" t="s">
        <v>1053</v>
      </c>
      <c r="KK7" s="264" t="s">
        <v>258</v>
      </c>
      <c r="KL7" s="264" t="s">
        <v>259</v>
      </c>
      <c r="KM7" s="264" t="s">
        <v>260</v>
      </c>
      <c r="KN7" s="269" t="s">
        <v>261</v>
      </c>
      <c r="KO7" s="264" t="s">
        <v>262</v>
      </c>
      <c r="KP7" s="264" t="s">
        <v>272</v>
      </c>
      <c r="KQ7" s="264" t="s">
        <v>263</v>
      </c>
      <c r="KR7" s="264" t="s">
        <v>264</v>
      </c>
      <c r="KS7" s="264" t="s">
        <v>271</v>
      </c>
      <c r="KT7" s="264" t="s">
        <v>260</v>
      </c>
      <c r="KU7" s="264" t="s">
        <v>265</v>
      </c>
      <c r="KV7" s="269" t="s">
        <v>266</v>
      </c>
      <c r="KW7" s="264" t="s">
        <v>267</v>
      </c>
      <c r="KX7" s="264" t="s">
        <v>321</v>
      </c>
      <c r="KY7" s="271" t="s">
        <v>268</v>
      </c>
      <c r="KZ7" s="274" t="s">
        <v>313</v>
      </c>
      <c r="LA7" s="277" t="s">
        <v>916</v>
      </c>
      <c r="LB7" s="261" t="s">
        <v>1053</v>
      </c>
      <c r="LC7" s="264" t="s">
        <v>258</v>
      </c>
      <c r="LD7" s="264" t="s">
        <v>259</v>
      </c>
      <c r="LE7" s="264" t="s">
        <v>260</v>
      </c>
      <c r="LF7" s="269" t="s">
        <v>261</v>
      </c>
      <c r="LG7" s="264" t="s">
        <v>262</v>
      </c>
      <c r="LH7" s="264" t="s">
        <v>272</v>
      </c>
      <c r="LI7" s="264" t="s">
        <v>263</v>
      </c>
      <c r="LJ7" s="264" t="s">
        <v>264</v>
      </c>
      <c r="LK7" s="264" t="s">
        <v>271</v>
      </c>
      <c r="LL7" s="264" t="s">
        <v>260</v>
      </c>
      <c r="LM7" s="264" t="s">
        <v>265</v>
      </c>
      <c r="LN7" s="269" t="s">
        <v>266</v>
      </c>
      <c r="LO7" s="264" t="s">
        <v>267</v>
      </c>
      <c r="LP7" s="264" t="s">
        <v>321</v>
      </c>
      <c r="LQ7" s="271" t="s">
        <v>268</v>
      </c>
      <c r="LR7" s="274" t="s">
        <v>313</v>
      </c>
      <c r="LS7" s="277" t="s">
        <v>916</v>
      </c>
      <c r="LT7" s="261" t="s">
        <v>1053</v>
      </c>
      <c r="LU7" s="264" t="s">
        <v>258</v>
      </c>
      <c r="LV7" s="264" t="s">
        <v>259</v>
      </c>
      <c r="LW7" s="264" t="s">
        <v>260</v>
      </c>
      <c r="LX7" s="269" t="s">
        <v>261</v>
      </c>
      <c r="LY7" s="264" t="s">
        <v>262</v>
      </c>
      <c r="LZ7" s="264" t="s">
        <v>272</v>
      </c>
      <c r="MA7" s="264" t="s">
        <v>263</v>
      </c>
      <c r="MB7" s="264" t="s">
        <v>264</v>
      </c>
      <c r="MC7" s="264" t="s">
        <v>271</v>
      </c>
      <c r="MD7" s="264" t="s">
        <v>260</v>
      </c>
      <c r="ME7" s="264" t="s">
        <v>265</v>
      </c>
      <c r="MF7" s="269" t="s">
        <v>266</v>
      </c>
      <c r="MG7" s="264" t="s">
        <v>267</v>
      </c>
      <c r="MH7" s="264" t="s">
        <v>321</v>
      </c>
      <c r="MI7" s="271" t="s">
        <v>268</v>
      </c>
      <c r="MJ7" s="274" t="s">
        <v>313</v>
      </c>
      <c r="MK7" s="277" t="s">
        <v>916</v>
      </c>
      <c r="ML7" s="261" t="s">
        <v>1053</v>
      </c>
      <c r="MM7" s="264" t="s">
        <v>258</v>
      </c>
      <c r="MN7" s="264" t="s">
        <v>259</v>
      </c>
      <c r="MO7" s="264" t="s">
        <v>260</v>
      </c>
      <c r="MP7" s="269" t="s">
        <v>261</v>
      </c>
      <c r="MQ7" s="264" t="s">
        <v>262</v>
      </c>
      <c r="MR7" s="264" t="s">
        <v>272</v>
      </c>
      <c r="MS7" s="264" t="s">
        <v>263</v>
      </c>
      <c r="MT7" s="264" t="s">
        <v>264</v>
      </c>
      <c r="MU7" s="264" t="s">
        <v>271</v>
      </c>
      <c r="MV7" s="264" t="s">
        <v>260</v>
      </c>
      <c r="MW7" s="264" t="s">
        <v>265</v>
      </c>
      <c r="MX7" s="269" t="s">
        <v>266</v>
      </c>
      <c r="MY7" s="264" t="s">
        <v>267</v>
      </c>
      <c r="MZ7" s="264" t="s">
        <v>321</v>
      </c>
      <c r="NA7" s="271" t="s">
        <v>268</v>
      </c>
      <c r="NB7" s="274" t="s">
        <v>313</v>
      </c>
      <c r="NC7" s="277" t="s">
        <v>916</v>
      </c>
      <c r="ND7" s="261" t="s">
        <v>1053</v>
      </c>
      <c r="NE7" s="264" t="s">
        <v>258</v>
      </c>
      <c r="NF7" s="264" t="s">
        <v>259</v>
      </c>
      <c r="NG7" s="264" t="s">
        <v>260</v>
      </c>
      <c r="NH7" s="269" t="s">
        <v>261</v>
      </c>
      <c r="NI7" s="264" t="s">
        <v>262</v>
      </c>
      <c r="NJ7" s="264" t="s">
        <v>272</v>
      </c>
      <c r="NK7" s="264" t="s">
        <v>263</v>
      </c>
      <c r="NL7" s="264" t="s">
        <v>264</v>
      </c>
      <c r="NM7" s="264" t="s">
        <v>271</v>
      </c>
      <c r="NN7" s="264" t="s">
        <v>260</v>
      </c>
      <c r="NO7" s="264" t="s">
        <v>265</v>
      </c>
      <c r="NP7" s="269" t="s">
        <v>266</v>
      </c>
      <c r="NQ7" s="264" t="s">
        <v>267</v>
      </c>
      <c r="NR7" s="264" t="s">
        <v>321</v>
      </c>
      <c r="NS7" s="271" t="s">
        <v>268</v>
      </c>
      <c r="NT7" s="274" t="s">
        <v>313</v>
      </c>
      <c r="NU7" s="277" t="s">
        <v>916</v>
      </c>
      <c r="NV7" s="261" t="s">
        <v>1053</v>
      </c>
      <c r="NW7" s="264" t="s">
        <v>258</v>
      </c>
      <c r="NX7" s="264" t="s">
        <v>259</v>
      </c>
      <c r="NY7" s="264" t="s">
        <v>260</v>
      </c>
      <c r="NZ7" s="269" t="s">
        <v>261</v>
      </c>
      <c r="OA7" s="264" t="s">
        <v>262</v>
      </c>
      <c r="OB7" s="264" t="s">
        <v>272</v>
      </c>
      <c r="OC7" s="264" t="s">
        <v>263</v>
      </c>
      <c r="OD7" s="264" t="s">
        <v>264</v>
      </c>
      <c r="OE7" s="264" t="s">
        <v>271</v>
      </c>
      <c r="OF7" s="264" t="s">
        <v>260</v>
      </c>
      <c r="OG7" s="264" t="s">
        <v>265</v>
      </c>
      <c r="OH7" s="269" t="s">
        <v>266</v>
      </c>
      <c r="OI7" s="264" t="s">
        <v>267</v>
      </c>
      <c r="OJ7" s="264" t="s">
        <v>321</v>
      </c>
      <c r="OK7" s="271" t="s">
        <v>268</v>
      </c>
      <c r="OL7" s="274" t="s">
        <v>313</v>
      </c>
      <c r="OM7" s="277" t="s">
        <v>916</v>
      </c>
      <c r="ON7" s="261" t="s">
        <v>1053</v>
      </c>
      <c r="OO7" s="264" t="s">
        <v>258</v>
      </c>
      <c r="OP7" s="264" t="s">
        <v>259</v>
      </c>
      <c r="OQ7" s="264" t="s">
        <v>260</v>
      </c>
      <c r="OR7" s="269" t="s">
        <v>261</v>
      </c>
      <c r="OS7" s="264" t="s">
        <v>262</v>
      </c>
      <c r="OT7" s="264" t="s">
        <v>272</v>
      </c>
      <c r="OU7" s="264" t="s">
        <v>263</v>
      </c>
      <c r="OV7" s="264" t="s">
        <v>264</v>
      </c>
      <c r="OW7" s="264" t="s">
        <v>271</v>
      </c>
      <c r="OX7" s="264" t="s">
        <v>260</v>
      </c>
      <c r="OY7" s="264" t="s">
        <v>265</v>
      </c>
      <c r="OZ7" s="269" t="s">
        <v>266</v>
      </c>
      <c r="PA7" s="264" t="s">
        <v>267</v>
      </c>
      <c r="PB7" s="264" t="s">
        <v>321</v>
      </c>
      <c r="PC7" s="271" t="s">
        <v>268</v>
      </c>
      <c r="PD7" s="274" t="s">
        <v>313</v>
      </c>
      <c r="PE7" s="277" t="s">
        <v>916</v>
      </c>
      <c r="PF7" s="261" t="s">
        <v>1053</v>
      </c>
      <c r="PG7" s="264" t="s">
        <v>258</v>
      </c>
      <c r="PH7" s="264" t="s">
        <v>259</v>
      </c>
      <c r="PI7" s="264" t="s">
        <v>260</v>
      </c>
      <c r="PJ7" s="269" t="s">
        <v>261</v>
      </c>
      <c r="PK7" s="264" t="s">
        <v>262</v>
      </c>
      <c r="PL7" s="264" t="s">
        <v>272</v>
      </c>
      <c r="PM7" s="264" t="s">
        <v>263</v>
      </c>
      <c r="PN7" s="264" t="s">
        <v>264</v>
      </c>
      <c r="PO7" s="264" t="s">
        <v>271</v>
      </c>
      <c r="PP7" s="264" t="s">
        <v>260</v>
      </c>
      <c r="PQ7" s="264" t="s">
        <v>265</v>
      </c>
      <c r="PR7" s="269" t="s">
        <v>266</v>
      </c>
      <c r="PS7" s="264" t="s">
        <v>267</v>
      </c>
      <c r="PT7" s="264" t="s">
        <v>321</v>
      </c>
      <c r="PU7" s="271" t="s">
        <v>268</v>
      </c>
      <c r="PV7" s="274" t="s">
        <v>313</v>
      </c>
      <c r="PW7" s="277" t="s">
        <v>916</v>
      </c>
      <c r="PX7" s="261" t="s">
        <v>1053</v>
      </c>
      <c r="PY7" s="264" t="s">
        <v>258</v>
      </c>
      <c r="PZ7" s="264" t="s">
        <v>259</v>
      </c>
      <c r="QA7" s="264" t="s">
        <v>260</v>
      </c>
      <c r="QB7" s="269" t="s">
        <v>261</v>
      </c>
      <c r="QC7" s="264" t="s">
        <v>262</v>
      </c>
      <c r="QD7" s="264" t="s">
        <v>272</v>
      </c>
      <c r="QE7" s="264" t="s">
        <v>263</v>
      </c>
      <c r="QF7" s="264" t="s">
        <v>264</v>
      </c>
      <c r="QG7" s="264" t="s">
        <v>271</v>
      </c>
      <c r="QH7" s="264" t="s">
        <v>260</v>
      </c>
      <c r="QI7" s="264" t="s">
        <v>265</v>
      </c>
      <c r="QJ7" s="269" t="s">
        <v>266</v>
      </c>
      <c r="QK7" s="264" t="s">
        <v>267</v>
      </c>
      <c r="QL7" s="264" t="s">
        <v>321</v>
      </c>
      <c r="QM7" s="271" t="s">
        <v>268</v>
      </c>
      <c r="QN7" s="274" t="s">
        <v>313</v>
      </c>
      <c r="QO7" s="277" t="s">
        <v>916</v>
      </c>
      <c r="QP7" s="261" t="s">
        <v>1053</v>
      </c>
      <c r="QQ7" s="264" t="s">
        <v>258</v>
      </c>
      <c r="QR7" s="264" t="s">
        <v>259</v>
      </c>
      <c r="QS7" s="264" t="s">
        <v>260</v>
      </c>
      <c r="QT7" s="269" t="s">
        <v>261</v>
      </c>
      <c r="QU7" s="264" t="s">
        <v>262</v>
      </c>
      <c r="QV7" s="264" t="s">
        <v>272</v>
      </c>
      <c r="QW7" s="264" t="s">
        <v>263</v>
      </c>
      <c r="QX7" s="264" t="s">
        <v>264</v>
      </c>
      <c r="QY7" s="264" t="s">
        <v>271</v>
      </c>
      <c r="QZ7" s="264" t="s">
        <v>260</v>
      </c>
      <c r="RA7" s="264" t="s">
        <v>265</v>
      </c>
      <c r="RB7" s="269" t="s">
        <v>266</v>
      </c>
      <c r="RC7" s="264" t="s">
        <v>267</v>
      </c>
      <c r="RD7" s="264" t="s">
        <v>321</v>
      </c>
      <c r="RE7" s="271" t="s">
        <v>268</v>
      </c>
      <c r="RF7" s="274" t="s">
        <v>313</v>
      </c>
      <c r="RG7" s="277" t="s">
        <v>916</v>
      </c>
      <c r="RH7" s="261" t="s">
        <v>1053</v>
      </c>
      <c r="RI7" s="264" t="s">
        <v>258</v>
      </c>
      <c r="RJ7" s="264" t="s">
        <v>259</v>
      </c>
      <c r="RK7" s="264" t="s">
        <v>260</v>
      </c>
      <c r="RL7" s="269" t="s">
        <v>261</v>
      </c>
      <c r="RM7" s="264" t="s">
        <v>262</v>
      </c>
      <c r="RN7" s="264" t="s">
        <v>272</v>
      </c>
      <c r="RO7" s="264" t="s">
        <v>263</v>
      </c>
      <c r="RP7" s="264" t="s">
        <v>264</v>
      </c>
      <c r="RQ7" s="264" t="s">
        <v>271</v>
      </c>
      <c r="RR7" s="264" t="s">
        <v>260</v>
      </c>
      <c r="RS7" s="264" t="s">
        <v>265</v>
      </c>
      <c r="RT7" s="269" t="s">
        <v>266</v>
      </c>
      <c r="RU7" s="264" t="s">
        <v>267</v>
      </c>
      <c r="RV7" s="264" t="s">
        <v>321</v>
      </c>
      <c r="RW7" s="271" t="s">
        <v>268</v>
      </c>
      <c r="RX7" s="274" t="s">
        <v>313</v>
      </c>
      <c r="RY7" s="277" t="s">
        <v>916</v>
      </c>
      <c r="RZ7" s="261" t="s">
        <v>1053</v>
      </c>
      <c r="SA7" s="264" t="s">
        <v>258</v>
      </c>
      <c r="SB7" s="264" t="s">
        <v>259</v>
      </c>
      <c r="SC7" s="264" t="s">
        <v>260</v>
      </c>
      <c r="SD7" s="269" t="s">
        <v>261</v>
      </c>
      <c r="SE7" s="264" t="s">
        <v>262</v>
      </c>
      <c r="SF7" s="264" t="s">
        <v>272</v>
      </c>
      <c r="SG7" s="264" t="s">
        <v>263</v>
      </c>
      <c r="SH7" s="264" t="s">
        <v>264</v>
      </c>
      <c r="SI7" s="264" t="s">
        <v>271</v>
      </c>
      <c r="SJ7" s="264" t="s">
        <v>260</v>
      </c>
      <c r="SK7" s="264" t="s">
        <v>265</v>
      </c>
      <c r="SL7" s="269" t="s">
        <v>266</v>
      </c>
      <c r="SM7" s="264" t="s">
        <v>267</v>
      </c>
      <c r="SN7" s="264" t="s">
        <v>321</v>
      </c>
      <c r="SO7" s="271" t="s">
        <v>268</v>
      </c>
      <c r="SP7" s="274" t="s">
        <v>313</v>
      </c>
      <c r="SQ7" s="277" t="s">
        <v>916</v>
      </c>
      <c r="SR7" s="261" t="s">
        <v>1053</v>
      </c>
      <c r="SS7" s="264" t="s">
        <v>258</v>
      </c>
      <c r="ST7" s="264" t="s">
        <v>259</v>
      </c>
      <c r="SU7" s="264" t="s">
        <v>260</v>
      </c>
      <c r="SV7" s="269" t="s">
        <v>261</v>
      </c>
      <c r="SW7" s="264" t="s">
        <v>262</v>
      </c>
      <c r="SX7" s="264" t="s">
        <v>272</v>
      </c>
      <c r="SY7" s="264" t="s">
        <v>263</v>
      </c>
      <c r="SZ7" s="264" t="s">
        <v>264</v>
      </c>
      <c r="TA7" s="264" t="s">
        <v>271</v>
      </c>
      <c r="TB7" s="264" t="s">
        <v>260</v>
      </c>
      <c r="TC7" s="264" t="s">
        <v>265</v>
      </c>
      <c r="TD7" s="269" t="s">
        <v>266</v>
      </c>
      <c r="TE7" s="264" t="s">
        <v>267</v>
      </c>
      <c r="TF7" s="264" t="s">
        <v>321</v>
      </c>
      <c r="TG7" s="271" t="s">
        <v>268</v>
      </c>
      <c r="TH7" s="274" t="s">
        <v>313</v>
      </c>
      <c r="TI7" s="277" t="s">
        <v>916</v>
      </c>
      <c r="TJ7" s="261" t="s">
        <v>1053</v>
      </c>
      <c r="TK7" s="264" t="s">
        <v>258</v>
      </c>
      <c r="TL7" s="264" t="s">
        <v>259</v>
      </c>
      <c r="TM7" s="264" t="s">
        <v>260</v>
      </c>
      <c r="TN7" s="269" t="s">
        <v>261</v>
      </c>
      <c r="TO7" s="264" t="s">
        <v>262</v>
      </c>
      <c r="TP7" s="264" t="s">
        <v>272</v>
      </c>
      <c r="TQ7" s="264" t="s">
        <v>263</v>
      </c>
      <c r="TR7" s="264" t="s">
        <v>264</v>
      </c>
      <c r="TS7" s="264" t="s">
        <v>271</v>
      </c>
      <c r="TT7" s="264" t="s">
        <v>260</v>
      </c>
      <c r="TU7" s="264" t="s">
        <v>265</v>
      </c>
      <c r="TV7" s="269" t="s">
        <v>266</v>
      </c>
      <c r="TW7" s="264" t="s">
        <v>267</v>
      </c>
      <c r="TX7" s="264" t="s">
        <v>321</v>
      </c>
      <c r="TY7" s="271" t="s">
        <v>268</v>
      </c>
      <c r="TZ7" s="274" t="s">
        <v>313</v>
      </c>
      <c r="UA7" s="277" t="s">
        <v>916</v>
      </c>
      <c r="UB7" s="261" t="s">
        <v>1053</v>
      </c>
      <c r="UC7" s="264" t="s">
        <v>258</v>
      </c>
      <c r="UD7" s="264" t="s">
        <v>259</v>
      </c>
      <c r="UE7" s="264" t="s">
        <v>260</v>
      </c>
      <c r="UF7" s="269" t="s">
        <v>261</v>
      </c>
      <c r="UG7" s="264" t="s">
        <v>262</v>
      </c>
      <c r="UH7" s="264" t="s">
        <v>272</v>
      </c>
      <c r="UI7" s="264" t="s">
        <v>263</v>
      </c>
      <c r="UJ7" s="264" t="s">
        <v>264</v>
      </c>
      <c r="UK7" s="264" t="s">
        <v>271</v>
      </c>
      <c r="UL7" s="264" t="s">
        <v>260</v>
      </c>
      <c r="UM7" s="264" t="s">
        <v>265</v>
      </c>
      <c r="UN7" s="269" t="s">
        <v>266</v>
      </c>
      <c r="UO7" s="264" t="s">
        <v>267</v>
      </c>
      <c r="UP7" s="264" t="s">
        <v>321</v>
      </c>
      <c r="UQ7" s="271" t="s">
        <v>268</v>
      </c>
      <c r="UR7" s="274" t="s">
        <v>313</v>
      </c>
      <c r="US7" s="277" t="s">
        <v>916</v>
      </c>
    </row>
    <row r="8" spans="1:565" ht="15.6" x14ac:dyDescent="0.3">
      <c r="B8" s="287"/>
      <c r="C8" s="290"/>
      <c r="D8" s="22"/>
      <c r="E8" s="23"/>
      <c r="F8" s="267"/>
      <c r="G8" s="267"/>
      <c r="H8" s="262"/>
      <c r="I8" s="265"/>
      <c r="J8" s="267"/>
      <c r="K8" s="267"/>
      <c r="L8" s="269"/>
      <c r="M8" s="265"/>
      <c r="N8" s="265"/>
      <c r="O8" s="265"/>
      <c r="P8" s="267"/>
      <c r="Q8" s="265"/>
      <c r="R8" s="267"/>
      <c r="S8" s="267"/>
      <c r="T8" s="269"/>
      <c r="U8" s="267"/>
      <c r="V8" s="267"/>
      <c r="W8" s="272"/>
      <c r="X8" s="275"/>
      <c r="Y8" s="278"/>
      <c r="Z8" s="262"/>
      <c r="AA8" s="265"/>
      <c r="AB8" s="267"/>
      <c r="AC8" s="267"/>
      <c r="AD8" s="269"/>
      <c r="AE8" s="265"/>
      <c r="AF8" s="265"/>
      <c r="AG8" s="265"/>
      <c r="AH8" s="267"/>
      <c r="AI8" s="265"/>
      <c r="AJ8" s="267"/>
      <c r="AK8" s="267"/>
      <c r="AL8" s="269"/>
      <c r="AM8" s="267"/>
      <c r="AN8" s="267"/>
      <c r="AO8" s="272"/>
      <c r="AP8" s="275"/>
      <c r="AQ8" s="278"/>
      <c r="AR8" s="262"/>
      <c r="AS8" s="265"/>
      <c r="AT8" s="267"/>
      <c r="AU8" s="267"/>
      <c r="AV8" s="269"/>
      <c r="AW8" s="265"/>
      <c r="AX8" s="265"/>
      <c r="AY8" s="265"/>
      <c r="AZ8" s="267"/>
      <c r="BA8" s="265"/>
      <c r="BB8" s="267"/>
      <c r="BC8" s="267"/>
      <c r="BD8" s="269"/>
      <c r="BE8" s="267"/>
      <c r="BF8" s="267"/>
      <c r="BG8" s="272"/>
      <c r="BH8" s="275"/>
      <c r="BI8" s="278"/>
      <c r="BJ8" s="262"/>
      <c r="BK8" s="265"/>
      <c r="BL8" s="267"/>
      <c r="BM8" s="267"/>
      <c r="BN8" s="269"/>
      <c r="BO8" s="265"/>
      <c r="BP8" s="265"/>
      <c r="BQ8" s="265"/>
      <c r="BR8" s="267"/>
      <c r="BS8" s="265"/>
      <c r="BT8" s="267"/>
      <c r="BU8" s="267"/>
      <c r="BV8" s="269"/>
      <c r="BW8" s="267"/>
      <c r="BX8" s="267"/>
      <c r="BY8" s="272"/>
      <c r="BZ8" s="275"/>
      <c r="CA8" s="278"/>
      <c r="CB8" s="262"/>
      <c r="CC8" s="265"/>
      <c r="CD8" s="267"/>
      <c r="CE8" s="267"/>
      <c r="CF8" s="269"/>
      <c r="CG8" s="265"/>
      <c r="CH8" s="265"/>
      <c r="CI8" s="265"/>
      <c r="CJ8" s="267"/>
      <c r="CK8" s="265"/>
      <c r="CL8" s="267"/>
      <c r="CM8" s="267"/>
      <c r="CN8" s="269"/>
      <c r="CO8" s="267"/>
      <c r="CP8" s="267"/>
      <c r="CQ8" s="272"/>
      <c r="CR8" s="275"/>
      <c r="CS8" s="278"/>
      <c r="CT8" s="262"/>
      <c r="CU8" s="265"/>
      <c r="CV8" s="267"/>
      <c r="CW8" s="267"/>
      <c r="CX8" s="269"/>
      <c r="CY8" s="265"/>
      <c r="CZ8" s="265"/>
      <c r="DA8" s="265"/>
      <c r="DB8" s="267"/>
      <c r="DC8" s="265"/>
      <c r="DD8" s="267"/>
      <c r="DE8" s="267"/>
      <c r="DF8" s="269"/>
      <c r="DG8" s="267"/>
      <c r="DH8" s="267"/>
      <c r="DI8" s="272"/>
      <c r="DJ8" s="275"/>
      <c r="DK8" s="278"/>
      <c r="DL8" s="262"/>
      <c r="DM8" s="265"/>
      <c r="DN8" s="267"/>
      <c r="DO8" s="267"/>
      <c r="DP8" s="269"/>
      <c r="DQ8" s="265"/>
      <c r="DR8" s="265"/>
      <c r="DS8" s="265"/>
      <c r="DT8" s="267"/>
      <c r="DU8" s="265"/>
      <c r="DV8" s="267"/>
      <c r="DW8" s="267"/>
      <c r="DX8" s="269"/>
      <c r="DY8" s="267"/>
      <c r="DZ8" s="267"/>
      <c r="EA8" s="272"/>
      <c r="EB8" s="275"/>
      <c r="EC8" s="278"/>
      <c r="ED8" s="262"/>
      <c r="EE8" s="265"/>
      <c r="EF8" s="267"/>
      <c r="EG8" s="267"/>
      <c r="EH8" s="269"/>
      <c r="EI8" s="265"/>
      <c r="EJ8" s="265"/>
      <c r="EK8" s="265"/>
      <c r="EL8" s="267"/>
      <c r="EM8" s="265"/>
      <c r="EN8" s="267"/>
      <c r="EO8" s="267"/>
      <c r="EP8" s="269"/>
      <c r="EQ8" s="267"/>
      <c r="ER8" s="267"/>
      <c r="ES8" s="272"/>
      <c r="ET8" s="275"/>
      <c r="EU8" s="278"/>
      <c r="EV8" s="262"/>
      <c r="EW8" s="265"/>
      <c r="EX8" s="267"/>
      <c r="EY8" s="267"/>
      <c r="EZ8" s="269"/>
      <c r="FA8" s="265"/>
      <c r="FB8" s="265"/>
      <c r="FC8" s="265"/>
      <c r="FD8" s="267"/>
      <c r="FE8" s="265"/>
      <c r="FF8" s="267"/>
      <c r="FG8" s="267"/>
      <c r="FH8" s="269"/>
      <c r="FI8" s="267"/>
      <c r="FJ8" s="267"/>
      <c r="FK8" s="272"/>
      <c r="FL8" s="275"/>
      <c r="FM8" s="278"/>
      <c r="FN8" s="262"/>
      <c r="FO8" s="265"/>
      <c r="FP8" s="267"/>
      <c r="FQ8" s="267"/>
      <c r="FR8" s="269"/>
      <c r="FS8" s="265"/>
      <c r="FT8" s="265"/>
      <c r="FU8" s="265"/>
      <c r="FV8" s="267"/>
      <c r="FW8" s="265"/>
      <c r="FX8" s="267"/>
      <c r="FY8" s="267"/>
      <c r="FZ8" s="269"/>
      <c r="GA8" s="267"/>
      <c r="GB8" s="267"/>
      <c r="GC8" s="272"/>
      <c r="GD8" s="275"/>
      <c r="GE8" s="278"/>
      <c r="GF8" s="262"/>
      <c r="GG8" s="265"/>
      <c r="GH8" s="267"/>
      <c r="GI8" s="267"/>
      <c r="GJ8" s="269"/>
      <c r="GK8" s="265"/>
      <c r="GL8" s="265"/>
      <c r="GM8" s="265"/>
      <c r="GN8" s="267"/>
      <c r="GO8" s="265"/>
      <c r="GP8" s="267"/>
      <c r="GQ8" s="267"/>
      <c r="GR8" s="269"/>
      <c r="GS8" s="267"/>
      <c r="GT8" s="267"/>
      <c r="GU8" s="272"/>
      <c r="GV8" s="275"/>
      <c r="GW8" s="278"/>
      <c r="GX8" s="262"/>
      <c r="GY8" s="265"/>
      <c r="GZ8" s="267"/>
      <c r="HA8" s="267"/>
      <c r="HB8" s="269"/>
      <c r="HC8" s="265"/>
      <c r="HD8" s="265"/>
      <c r="HE8" s="265"/>
      <c r="HF8" s="267"/>
      <c r="HG8" s="265"/>
      <c r="HH8" s="267"/>
      <c r="HI8" s="267"/>
      <c r="HJ8" s="269"/>
      <c r="HK8" s="267"/>
      <c r="HL8" s="267"/>
      <c r="HM8" s="272"/>
      <c r="HN8" s="275"/>
      <c r="HO8" s="278"/>
      <c r="HP8" s="262"/>
      <c r="HQ8" s="265"/>
      <c r="HR8" s="267"/>
      <c r="HS8" s="267"/>
      <c r="HT8" s="269"/>
      <c r="HU8" s="265"/>
      <c r="HV8" s="265"/>
      <c r="HW8" s="265"/>
      <c r="HX8" s="267"/>
      <c r="HY8" s="265"/>
      <c r="HZ8" s="267"/>
      <c r="IA8" s="267"/>
      <c r="IB8" s="269"/>
      <c r="IC8" s="267"/>
      <c r="ID8" s="267"/>
      <c r="IE8" s="272"/>
      <c r="IF8" s="275"/>
      <c r="IG8" s="278"/>
      <c r="IH8" s="262"/>
      <c r="II8" s="265"/>
      <c r="IJ8" s="267"/>
      <c r="IK8" s="267"/>
      <c r="IL8" s="269"/>
      <c r="IM8" s="265"/>
      <c r="IN8" s="265"/>
      <c r="IO8" s="265"/>
      <c r="IP8" s="267"/>
      <c r="IQ8" s="265"/>
      <c r="IR8" s="267"/>
      <c r="IS8" s="267"/>
      <c r="IT8" s="269"/>
      <c r="IU8" s="267"/>
      <c r="IV8" s="267"/>
      <c r="IW8" s="272"/>
      <c r="IX8" s="275"/>
      <c r="IY8" s="278"/>
      <c r="IZ8" s="262"/>
      <c r="JA8" s="265"/>
      <c r="JB8" s="267"/>
      <c r="JC8" s="267"/>
      <c r="JD8" s="269"/>
      <c r="JE8" s="265"/>
      <c r="JF8" s="265"/>
      <c r="JG8" s="265"/>
      <c r="JH8" s="267"/>
      <c r="JI8" s="265"/>
      <c r="JJ8" s="267"/>
      <c r="JK8" s="267"/>
      <c r="JL8" s="269"/>
      <c r="JM8" s="267"/>
      <c r="JN8" s="267"/>
      <c r="JO8" s="272"/>
      <c r="JP8" s="275"/>
      <c r="JQ8" s="278"/>
      <c r="JR8" s="262"/>
      <c r="JS8" s="265"/>
      <c r="JT8" s="267"/>
      <c r="JU8" s="267"/>
      <c r="JV8" s="269"/>
      <c r="JW8" s="265"/>
      <c r="JX8" s="265"/>
      <c r="JY8" s="265"/>
      <c r="JZ8" s="267"/>
      <c r="KA8" s="265"/>
      <c r="KB8" s="267"/>
      <c r="KC8" s="267"/>
      <c r="KD8" s="269"/>
      <c r="KE8" s="267"/>
      <c r="KF8" s="267"/>
      <c r="KG8" s="272"/>
      <c r="KH8" s="275"/>
      <c r="KI8" s="278"/>
      <c r="KJ8" s="262"/>
      <c r="KK8" s="265"/>
      <c r="KL8" s="267"/>
      <c r="KM8" s="267"/>
      <c r="KN8" s="269"/>
      <c r="KO8" s="265"/>
      <c r="KP8" s="265"/>
      <c r="KQ8" s="265"/>
      <c r="KR8" s="267"/>
      <c r="KS8" s="265"/>
      <c r="KT8" s="267"/>
      <c r="KU8" s="267"/>
      <c r="KV8" s="269"/>
      <c r="KW8" s="267"/>
      <c r="KX8" s="267"/>
      <c r="KY8" s="272"/>
      <c r="KZ8" s="275"/>
      <c r="LA8" s="278"/>
      <c r="LB8" s="262"/>
      <c r="LC8" s="265"/>
      <c r="LD8" s="267"/>
      <c r="LE8" s="267"/>
      <c r="LF8" s="269"/>
      <c r="LG8" s="265"/>
      <c r="LH8" s="265"/>
      <c r="LI8" s="265"/>
      <c r="LJ8" s="267"/>
      <c r="LK8" s="265"/>
      <c r="LL8" s="267"/>
      <c r="LM8" s="267"/>
      <c r="LN8" s="269"/>
      <c r="LO8" s="267"/>
      <c r="LP8" s="267"/>
      <c r="LQ8" s="272"/>
      <c r="LR8" s="275"/>
      <c r="LS8" s="278"/>
      <c r="LT8" s="262"/>
      <c r="LU8" s="265"/>
      <c r="LV8" s="267"/>
      <c r="LW8" s="267"/>
      <c r="LX8" s="269"/>
      <c r="LY8" s="265"/>
      <c r="LZ8" s="265"/>
      <c r="MA8" s="265"/>
      <c r="MB8" s="267"/>
      <c r="MC8" s="265"/>
      <c r="MD8" s="267"/>
      <c r="ME8" s="267"/>
      <c r="MF8" s="269"/>
      <c r="MG8" s="267"/>
      <c r="MH8" s="267"/>
      <c r="MI8" s="272"/>
      <c r="MJ8" s="275"/>
      <c r="MK8" s="278"/>
      <c r="ML8" s="262"/>
      <c r="MM8" s="265"/>
      <c r="MN8" s="267"/>
      <c r="MO8" s="267"/>
      <c r="MP8" s="269"/>
      <c r="MQ8" s="265"/>
      <c r="MR8" s="265"/>
      <c r="MS8" s="265"/>
      <c r="MT8" s="267"/>
      <c r="MU8" s="265"/>
      <c r="MV8" s="267"/>
      <c r="MW8" s="267"/>
      <c r="MX8" s="269"/>
      <c r="MY8" s="267"/>
      <c r="MZ8" s="267"/>
      <c r="NA8" s="272"/>
      <c r="NB8" s="275"/>
      <c r="NC8" s="278"/>
      <c r="ND8" s="262"/>
      <c r="NE8" s="265"/>
      <c r="NF8" s="267"/>
      <c r="NG8" s="267"/>
      <c r="NH8" s="269"/>
      <c r="NI8" s="265"/>
      <c r="NJ8" s="265"/>
      <c r="NK8" s="265"/>
      <c r="NL8" s="267"/>
      <c r="NM8" s="265"/>
      <c r="NN8" s="267"/>
      <c r="NO8" s="267"/>
      <c r="NP8" s="269"/>
      <c r="NQ8" s="267"/>
      <c r="NR8" s="267"/>
      <c r="NS8" s="272"/>
      <c r="NT8" s="275"/>
      <c r="NU8" s="278"/>
      <c r="NV8" s="262"/>
      <c r="NW8" s="265"/>
      <c r="NX8" s="267"/>
      <c r="NY8" s="267"/>
      <c r="NZ8" s="269"/>
      <c r="OA8" s="265"/>
      <c r="OB8" s="265"/>
      <c r="OC8" s="265"/>
      <c r="OD8" s="267"/>
      <c r="OE8" s="265"/>
      <c r="OF8" s="267"/>
      <c r="OG8" s="267"/>
      <c r="OH8" s="269"/>
      <c r="OI8" s="267"/>
      <c r="OJ8" s="267"/>
      <c r="OK8" s="272"/>
      <c r="OL8" s="275"/>
      <c r="OM8" s="278"/>
      <c r="ON8" s="262"/>
      <c r="OO8" s="265"/>
      <c r="OP8" s="267"/>
      <c r="OQ8" s="267"/>
      <c r="OR8" s="269"/>
      <c r="OS8" s="265"/>
      <c r="OT8" s="265"/>
      <c r="OU8" s="265"/>
      <c r="OV8" s="267"/>
      <c r="OW8" s="265"/>
      <c r="OX8" s="267"/>
      <c r="OY8" s="267"/>
      <c r="OZ8" s="269"/>
      <c r="PA8" s="267"/>
      <c r="PB8" s="267"/>
      <c r="PC8" s="272"/>
      <c r="PD8" s="275"/>
      <c r="PE8" s="278"/>
      <c r="PF8" s="262"/>
      <c r="PG8" s="265"/>
      <c r="PH8" s="267"/>
      <c r="PI8" s="267"/>
      <c r="PJ8" s="269"/>
      <c r="PK8" s="265"/>
      <c r="PL8" s="265"/>
      <c r="PM8" s="265"/>
      <c r="PN8" s="267"/>
      <c r="PO8" s="265"/>
      <c r="PP8" s="267"/>
      <c r="PQ8" s="267"/>
      <c r="PR8" s="269"/>
      <c r="PS8" s="267"/>
      <c r="PT8" s="267"/>
      <c r="PU8" s="272"/>
      <c r="PV8" s="275"/>
      <c r="PW8" s="278"/>
      <c r="PX8" s="262"/>
      <c r="PY8" s="265"/>
      <c r="PZ8" s="267"/>
      <c r="QA8" s="267"/>
      <c r="QB8" s="269"/>
      <c r="QC8" s="265"/>
      <c r="QD8" s="265"/>
      <c r="QE8" s="265"/>
      <c r="QF8" s="267"/>
      <c r="QG8" s="265"/>
      <c r="QH8" s="267"/>
      <c r="QI8" s="267"/>
      <c r="QJ8" s="269"/>
      <c r="QK8" s="267"/>
      <c r="QL8" s="267"/>
      <c r="QM8" s="272"/>
      <c r="QN8" s="275"/>
      <c r="QO8" s="278"/>
      <c r="QP8" s="262"/>
      <c r="QQ8" s="265"/>
      <c r="QR8" s="267"/>
      <c r="QS8" s="267"/>
      <c r="QT8" s="269"/>
      <c r="QU8" s="265"/>
      <c r="QV8" s="265"/>
      <c r="QW8" s="265"/>
      <c r="QX8" s="267"/>
      <c r="QY8" s="265"/>
      <c r="QZ8" s="267"/>
      <c r="RA8" s="267"/>
      <c r="RB8" s="269"/>
      <c r="RC8" s="267"/>
      <c r="RD8" s="267"/>
      <c r="RE8" s="272"/>
      <c r="RF8" s="275"/>
      <c r="RG8" s="278"/>
      <c r="RH8" s="262"/>
      <c r="RI8" s="265"/>
      <c r="RJ8" s="267"/>
      <c r="RK8" s="267"/>
      <c r="RL8" s="269"/>
      <c r="RM8" s="265"/>
      <c r="RN8" s="265"/>
      <c r="RO8" s="265"/>
      <c r="RP8" s="267"/>
      <c r="RQ8" s="265"/>
      <c r="RR8" s="267"/>
      <c r="RS8" s="267"/>
      <c r="RT8" s="269"/>
      <c r="RU8" s="267"/>
      <c r="RV8" s="267"/>
      <c r="RW8" s="272"/>
      <c r="RX8" s="275"/>
      <c r="RY8" s="278"/>
      <c r="RZ8" s="262"/>
      <c r="SA8" s="265"/>
      <c r="SB8" s="267"/>
      <c r="SC8" s="267"/>
      <c r="SD8" s="269"/>
      <c r="SE8" s="265"/>
      <c r="SF8" s="265"/>
      <c r="SG8" s="265"/>
      <c r="SH8" s="267"/>
      <c r="SI8" s="265"/>
      <c r="SJ8" s="267"/>
      <c r="SK8" s="267"/>
      <c r="SL8" s="269"/>
      <c r="SM8" s="267"/>
      <c r="SN8" s="267"/>
      <c r="SO8" s="272"/>
      <c r="SP8" s="275"/>
      <c r="SQ8" s="278"/>
      <c r="SR8" s="262"/>
      <c r="SS8" s="265"/>
      <c r="ST8" s="267"/>
      <c r="SU8" s="267"/>
      <c r="SV8" s="269"/>
      <c r="SW8" s="265"/>
      <c r="SX8" s="265"/>
      <c r="SY8" s="265"/>
      <c r="SZ8" s="267"/>
      <c r="TA8" s="265"/>
      <c r="TB8" s="267"/>
      <c r="TC8" s="267"/>
      <c r="TD8" s="269"/>
      <c r="TE8" s="267"/>
      <c r="TF8" s="267"/>
      <c r="TG8" s="272"/>
      <c r="TH8" s="275"/>
      <c r="TI8" s="278"/>
      <c r="TJ8" s="262"/>
      <c r="TK8" s="265"/>
      <c r="TL8" s="267"/>
      <c r="TM8" s="267"/>
      <c r="TN8" s="269"/>
      <c r="TO8" s="265"/>
      <c r="TP8" s="265"/>
      <c r="TQ8" s="265"/>
      <c r="TR8" s="267"/>
      <c r="TS8" s="265"/>
      <c r="TT8" s="267"/>
      <c r="TU8" s="267"/>
      <c r="TV8" s="269"/>
      <c r="TW8" s="267"/>
      <c r="TX8" s="267"/>
      <c r="TY8" s="272"/>
      <c r="TZ8" s="275"/>
      <c r="UA8" s="278"/>
      <c r="UB8" s="262"/>
      <c r="UC8" s="265"/>
      <c r="UD8" s="267"/>
      <c r="UE8" s="267"/>
      <c r="UF8" s="269"/>
      <c r="UG8" s="265"/>
      <c r="UH8" s="265"/>
      <c r="UI8" s="265"/>
      <c r="UJ8" s="267"/>
      <c r="UK8" s="265"/>
      <c r="UL8" s="267"/>
      <c r="UM8" s="267"/>
      <c r="UN8" s="269"/>
      <c r="UO8" s="267"/>
      <c r="UP8" s="267"/>
      <c r="UQ8" s="272"/>
      <c r="UR8" s="275"/>
      <c r="US8" s="278"/>
    </row>
    <row r="9" spans="1:565" ht="15.6" x14ac:dyDescent="0.3">
      <c r="B9" s="287"/>
      <c r="C9" s="290"/>
      <c r="D9" s="22"/>
      <c r="E9" s="23"/>
      <c r="F9" s="267"/>
      <c r="G9" s="267"/>
      <c r="H9" s="262"/>
      <c r="I9" s="265"/>
      <c r="J9" s="267"/>
      <c r="K9" s="267"/>
      <c r="L9" s="269"/>
      <c r="M9" s="265"/>
      <c r="N9" s="265"/>
      <c r="O9" s="265"/>
      <c r="P9" s="267"/>
      <c r="Q9" s="265"/>
      <c r="R9" s="267"/>
      <c r="S9" s="267"/>
      <c r="T9" s="269"/>
      <c r="U9" s="267"/>
      <c r="V9" s="267"/>
      <c r="W9" s="272"/>
      <c r="X9" s="275"/>
      <c r="Y9" s="278"/>
      <c r="Z9" s="262"/>
      <c r="AA9" s="265"/>
      <c r="AB9" s="267"/>
      <c r="AC9" s="267"/>
      <c r="AD9" s="269"/>
      <c r="AE9" s="265"/>
      <c r="AF9" s="265"/>
      <c r="AG9" s="265"/>
      <c r="AH9" s="267"/>
      <c r="AI9" s="265"/>
      <c r="AJ9" s="267"/>
      <c r="AK9" s="267"/>
      <c r="AL9" s="269"/>
      <c r="AM9" s="267"/>
      <c r="AN9" s="267"/>
      <c r="AO9" s="272"/>
      <c r="AP9" s="275"/>
      <c r="AQ9" s="278"/>
      <c r="AR9" s="262"/>
      <c r="AS9" s="265"/>
      <c r="AT9" s="267"/>
      <c r="AU9" s="267"/>
      <c r="AV9" s="269"/>
      <c r="AW9" s="265"/>
      <c r="AX9" s="265"/>
      <c r="AY9" s="265"/>
      <c r="AZ9" s="267"/>
      <c r="BA9" s="265"/>
      <c r="BB9" s="267"/>
      <c r="BC9" s="267"/>
      <c r="BD9" s="269"/>
      <c r="BE9" s="267"/>
      <c r="BF9" s="267"/>
      <c r="BG9" s="272"/>
      <c r="BH9" s="275"/>
      <c r="BI9" s="278"/>
      <c r="BJ9" s="262"/>
      <c r="BK9" s="265"/>
      <c r="BL9" s="267"/>
      <c r="BM9" s="267"/>
      <c r="BN9" s="269"/>
      <c r="BO9" s="265"/>
      <c r="BP9" s="265"/>
      <c r="BQ9" s="265"/>
      <c r="BR9" s="267"/>
      <c r="BS9" s="265"/>
      <c r="BT9" s="267"/>
      <c r="BU9" s="267"/>
      <c r="BV9" s="269"/>
      <c r="BW9" s="267"/>
      <c r="BX9" s="267"/>
      <c r="BY9" s="272"/>
      <c r="BZ9" s="275"/>
      <c r="CA9" s="278"/>
      <c r="CB9" s="262"/>
      <c r="CC9" s="265"/>
      <c r="CD9" s="267"/>
      <c r="CE9" s="267"/>
      <c r="CF9" s="269"/>
      <c r="CG9" s="265"/>
      <c r="CH9" s="265"/>
      <c r="CI9" s="265"/>
      <c r="CJ9" s="267"/>
      <c r="CK9" s="265"/>
      <c r="CL9" s="267"/>
      <c r="CM9" s="267"/>
      <c r="CN9" s="269"/>
      <c r="CO9" s="267"/>
      <c r="CP9" s="267"/>
      <c r="CQ9" s="272"/>
      <c r="CR9" s="275"/>
      <c r="CS9" s="278"/>
      <c r="CT9" s="262"/>
      <c r="CU9" s="265"/>
      <c r="CV9" s="267"/>
      <c r="CW9" s="267"/>
      <c r="CX9" s="269"/>
      <c r="CY9" s="265"/>
      <c r="CZ9" s="265"/>
      <c r="DA9" s="265"/>
      <c r="DB9" s="267"/>
      <c r="DC9" s="265"/>
      <c r="DD9" s="267"/>
      <c r="DE9" s="267"/>
      <c r="DF9" s="269"/>
      <c r="DG9" s="267"/>
      <c r="DH9" s="267"/>
      <c r="DI9" s="272"/>
      <c r="DJ9" s="275"/>
      <c r="DK9" s="278"/>
      <c r="DL9" s="262"/>
      <c r="DM9" s="265"/>
      <c r="DN9" s="267"/>
      <c r="DO9" s="267"/>
      <c r="DP9" s="269"/>
      <c r="DQ9" s="265"/>
      <c r="DR9" s="265"/>
      <c r="DS9" s="265"/>
      <c r="DT9" s="267"/>
      <c r="DU9" s="265"/>
      <c r="DV9" s="267"/>
      <c r="DW9" s="267"/>
      <c r="DX9" s="269"/>
      <c r="DY9" s="267"/>
      <c r="DZ9" s="267"/>
      <c r="EA9" s="272"/>
      <c r="EB9" s="275"/>
      <c r="EC9" s="278"/>
      <c r="ED9" s="262"/>
      <c r="EE9" s="265"/>
      <c r="EF9" s="267"/>
      <c r="EG9" s="267"/>
      <c r="EH9" s="269"/>
      <c r="EI9" s="265"/>
      <c r="EJ9" s="265"/>
      <c r="EK9" s="265"/>
      <c r="EL9" s="267"/>
      <c r="EM9" s="265"/>
      <c r="EN9" s="267"/>
      <c r="EO9" s="267"/>
      <c r="EP9" s="269"/>
      <c r="EQ9" s="267"/>
      <c r="ER9" s="267"/>
      <c r="ES9" s="272"/>
      <c r="ET9" s="275"/>
      <c r="EU9" s="278"/>
      <c r="EV9" s="262"/>
      <c r="EW9" s="265"/>
      <c r="EX9" s="267"/>
      <c r="EY9" s="267"/>
      <c r="EZ9" s="269"/>
      <c r="FA9" s="265"/>
      <c r="FB9" s="265"/>
      <c r="FC9" s="265"/>
      <c r="FD9" s="267"/>
      <c r="FE9" s="265"/>
      <c r="FF9" s="267"/>
      <c r="FG9" s="267"/>
      <c r="FH9" s="269"/>
      <c r="FI9" s="267"/>
      <c r="FJ9" s="267"/>
      <c r="FK9" s="272"/>
      <c r="FL9" s="275"/>
      <c r="FM9" s="278"/>
      <c r="FN9" s="262"/>
      <c r="FO9" s="265"/>
      <c r="FP9" s="267"/>
      <c r="FQ9" s="267"/>
      <c r="FR9" s="269"/>
      <c r="FS9" s="265"/>
      <c r="FT9" s="265"/>
      <c r="FU9" s="265"/>
      <c r="FV9" s="267"/>
      <c r="FW9" s="265"/>
      <c r="FX9" s="267"/>
      <c r="FY9" s="267"/>
      <c r="FZ9" s="269"/>
      <c r="GA9" s="267"/>
      <c r="GB9" s="267"/>
      <c r="GC9" s="272"/>
      <c r="GD9" s="275"/>
      <c r="GE9" s="278"/>
      <c r="GF9" s="262"/>
      <c r="GG9" s="265"/>
      <c r="GH9" s="267"/>
      <c r="GI9" s="267"/>
      <c r="GJ9" s="269"/>
      <c r="GK9" s="265"/>
      <c r="GL9" s="265"/>
      <c r="GM9" s="265"/>
      <c r="GN9" s="267"/>
      <c r="GO9" s="265"/>
      <c r="GP9" s="267"/>
      <c r="GQ9" s="267"/>
      <c r="GR9" s="269"/>
      <c r="GS9" s="267"/>
      <c r="GT9" s="267"/>
      <c r="GU9" s="272"/>
      <c r="GV9" s="275"/>
      <c r="GW9" s="278"/>
      <c r="GX9" s="262"/>
      <c r="GY9" s="265"/>
      <c r="GZ9" s="267"/>
      <c r="HA9" s="267"/>
      <c r="HB9" s="269"/>
      <c r="HC9" s="265"/>
      <c r="HD9" s="265"/>
      <c r="HE9" s="265"/>
      <c r="HF9" s="267"/>
      <c r="HG9" s="265"/>
      <c r="HH9" s="267"/>
      <c r="HI9" s="267"/>
      <c r="HJ9" s="269"/>
      <c r="HK9" s="267"/>
      <c r="HL9" s="267"/>
      <c r="HM9" s="272"/>
      <c r="HN9" s="275"/>
      <c r="HO9" s="278"/>
      <c r="HP9" s="262"/>
      <c r="HQ9" s="265"/>
      <c r="HR9" s="267"/>
      <c r="HS9" s="267"/>
      <c r="HT9" s="269"/>
      <c r="HU9" s="265"/>
      <c r="HV9" s="265"/>
      <c r="HW9" s="265"/>
      <c r="HX9" s="267"/>
      <c r="HY9" s="265"/>
      <c r="HZ9" s="267"/>
      <c r="IA9" s="267"/>
      <c r="IB9" s="269"/>
      <c r="IC9" s="267"/>
      <c r="ID9" s="267"/>
      <c r="IE9" s="272"/>
      <c r="IF9" s="275"/>
      <c r="IG9" s="278"/>
      <c r="IH9" s="262"/>
      <c r="II9" s="265"/>
      <c r="IJ9" s="267"/>
      <c r="IK9" s="267"/>
      <c r="IL9" s="269"/>
      <c r="IM9" s="265"/>
      <c r="IN9" s="265"/>
      <c r="IO9" s="265"/>
      <c r="IP9" s="267"/>
      <c r="IQ9" s="265"/>
      <c r="IR9" s="267"/>
      <c r="IS9" s="267"/>
      <c r="IT9" s="269"/>
      <c r="IU9" s="267"/>
      <c r="IV9" s="267"/>
      <c r="IW9" s="272"/>
      <c r="IX9" s="275"/>
      <c r="IY9" s="278"/>
      <c r="IZ9" s="262"/>
      <c r="JA9" s="265"/>
      <c r="JB9" s="267"/>
      <c r="JC9" s="267"/>
      <c r="JD9" s="269"/>
      <c r="JE9" s="265"/>
      <c r="JF9" s="265"/>
      <c r="JG9" s="265"/>
      <c r="JH9" s="267"/>
      <c r="JI9" s="265"/>
      <c r="JJ9" s="267"/>
      <c r="JK9" s="267"/>
      <c r="JL9" s="269"/>
      <c r="JM9" s="267"/>
      <c r="JN9" s="267"/>
      <c r="JO9" s="272"/>
      <c r="JP9" s="275"/>
      <c r="JQ9" s="278"/>
      <c r="JR9" s="262"/>
      <c r="JS9" s="265"/>
      <c r="JT9" s="267"/>
      <c r="JU9" s="267"/>
      <c r="JV9" s="269"/>
      <c r="JW9" s="265"/>
      <c r="JX9" s="265"/>
      <c r="JY9" s="265"/>
      <c r="JZ9" s="267"/>
      <c r="KA9" s="265"/>
      <c r="KB9" s="267"/>
      <c r="KC9" s="267"/>
      <c r="KD9" s="269"/>
      <c r="KE9" s="267"/>
      <c r="KF9" s="267"/>
      <c r="KG9" s="272"/>
      <c r="KH9" s="275"/>
      <c r="KI9" s="278"/>
      <c r="KJ9" s="262"/>
      <c r="KK9" s="265"/>
      <c r="KL9" s="267"/>
      <c r="KM9" s="267"/>
      <c r="KN9" s="269"/>
      <c r="KO9" s="265"/>
      <c r="KP9" s="265"/>
      <c r="KQ9" s="265"/>
      <c r="KR9" s="267"/>
      <c r="KS9" s="265"/>
      <c r="KT9" s="267"/>
      <c r="KU9" s="267"/>
      <c r="KV9" s="269"/>
      <c r="KW9" s="267"/>
      <c r="KX9" s="267"/>
      <c r="KY9" s="272"/>
      <c r="KZ9" s="275"/>
      <c r="LA9" s="278"/>
      <c r="LB9" s="262"/>
      <c r="LC9" s="265"/>
      <c r="LD9" s="267"/>
      <c r="LE9" s="267"/>
      <c r="LF9" s="269"/>
      <c r="LG9" s="265"/>
      <c r="LH9" s="265"/>
      <c r="LI9" s="265"/>
      <c r="LJ9" s="267"/>
      <c r="LK9" s="265"/>
      <c r="LL9" s="267"/>
      <c r="LM9" s="267"/>
      <c r="LN9" s="269"/>
      <c r="LO9" s="267"/>
      <c r="LP9" s="267"/>
      <c r="LQ9" s="272"/>
      <c r="LR9" s="275"/>
      <c r="LS9" s="278"/>
      <c r="LT9" s="262"/>
      <c r="LU9" s="265"/>
      <c r="LV9" s="267"/>
      <c r="LW9" s="267"/>
      <c r="LX9" s="269"/>
      <c r="LY9" s="265"/>
      <c r="LZ9" s="265"/>
      <c r="MA9" s="265"/>
      <c r="MB9" s="267"/>
      <c r="MC9" s="265"/>
      <c r="MD9" s="267"/>
      <c r="ME9" s="267"/>
      <c r="MF9" s="269"/>
      <c r="MG9" s="267"/>
      <c r="MH9" s="267"/>
      <c r="MI9" s="272"/>
      <c r="MJ9" s="275"/>
      <c r="MK9" s="278"/>
      <c r="ML9" s="262"/>
      <c r="MM9" s="265"/>
      <c r="MN9" s="267"/>
      <c r="MO9" s="267"/>
      <c r="MP9" s="269"/>
      <c r="MQ9" s="265"/>
      <c r="MR9" s="265"/>
      <c r="MS9" s="265"/>
      <c r="MT9" s="267"/>
      <c r="MU9" s="265"/>
      <c r="MV9" s="267"/>
      <c r="MW9" s="267"/>
      <c r="MX9" s="269"/>
      <c r="MY9" s="267"/>
      <c r="MZ9" s="267"/>
      <c r="NA9" s="272"/>
      <c r="NB9" s="275"/>
      <c r="NC9" s="278"/>
      <c r="ND9" s="262"/>
      <c r="NE9" s="265"/>
      <c r="NF9" s="267"/>
      <c r="NG9" s="267"/>
      <c r="NH9" s="269"/>
      <c r="NI9" s="265"/>
      <c r="NJ9" s="265"/>
      <c r="NK9" s="265"/>
      <c r="NL9" s="267"/>
      <c r="NM9" s="265"/>
      <c r="NN9" s="267"/>
      <c r="NO9" s="267"/>
      <c r="NP9" s="269"/>
      <c r="NQ9" s="267"/>
      <c r="NR9" s="267"/>
      <c r="NS9" s="272"/>
      <c r="NT9" s="275"/>
      <c r="NU9" s="278"/>
      <c r="NV9" s="262"/>
      <c r="NW9" s="265"/>
      <c r="NX9" s="267"/>
      <c r="NY9" s="267"/>
      <c r="NZ9" s="269"/>
      <c r="OA9" s="265"/>
      <c r="OB9" s="265"/>
      <c r="OC9" s="265"/>
      <c r="OD9" s="267"/>
      <c r="OE9" s="265"/>
      <c r="OF9" s="267"/>
      <c r="OG9" s="267"/>
      <c r="OH9" s="269"/>
      <c r="OI9" s="267"/>
      <c r="OJ9" s="267"/>
      <c r="OK9" s="272"/>
      <c r="OL9" s="275"/>
      <c r="OM9" s="278"/>
      <c r="ON9" s="262"/>
      <c r="OO9" s="265"/>
      <c r="OP9" s="267"/>
      <c r="OQ9" s="267"/>
      <c r="OR9" s="269"/>
      <c r="OS9" s="265"/>
      <c r="OT9" s="265"/>
      <c r="OU9" s="265"/>
      <c r="OV9" s="267"/>
      <c r="OW9" s="265"/>
      <c r="OX9" s="267"/>
      <c r="OY9" s="267"/>
      <c r="OZ9" s="269"/>
      <c r="PA9" s="267"/>
      <c r="PB9" s="267"/>
      <c r="PC9" s="272"/>
      <c r="PD9" s="275"/>
      <c r="PE9" s="278"/>
      <c r="PF9" s="262"/>
      <c r="PG9" s="265"/>
      <c r="PH9" s="267"/>
      <c r="PI9" s="267"/>
      <c r="PJ9" s="269"/>
      <c r="PK9" s="265"/>
      <c r="PL9" s="265"/>
      <c r="PM9" s="265"/>
      <c r="PN9" s="267"/>
      <c r="PO9" s="265"/>
      <c r="PP9" s="267"/>
      <c r="PQ9" s="267"/>
      <c r="PR9" s="269"/>
      <c r="PS9" s="267"/>
      <c r="PT9" s="267"/>
      <c r="PU9" s="272"/>
      <c r="PV9" s="275"/>
      <c r="PW9" s="278"/>
      <c r="PX9" s="262"/>
      <c r="PY9" s="265"/>
      <c r="PZ9" s="267"/>
      <c r="QA9" s="267"/>
      <c r="QB9" s="269"/>
      <c r="QC9" s="265"/>
      <c r="QD9" s="265"/>
      <c r="QE9" s="265"/>
      <c r="QF9" s="267"/>
      <c r="QG9" s="265"/>
      <c r="QH9" s="267"/>
      <c r="QI9" s="267"/>
      <c r="QJ9" s="269"/>
      <c r="QK9" s="267"/>
      <c r="QL9" s="267"/>
      <c r="QM9" s="272"/>
      <c r="QN9" s="275"/>
      <c r="QO9" s="278"/>
      <c r="QP9" s="262"/>
      <c r="QQ9" s="265"/>
      <c r="QR9" s="267"/>
      <c r="QS9" s="267"/>
      <c r="QT9" s="269"/>
      <c r="QU9" s="265"/>
      <c r="QV9" s="265"/>
      <c r="QW9" s="265"/>
      <c r="QX9" s="267"/>
      <c r="QY9" s="265"/>
      <c r="QZ9" s="267"/>
      <c r="RA9" s="267"/>
      <c r="RB9" s="269"/>
      <c r="RC9" s="267"/>
      <c r="RD9" s="267"/>
      <c r="RE9" s="272"/>
      <c r="RF9" s="275"/>
      <c r="RG9" s="278"/>
      <c r="RH9" s="262"/>
      <c r="RI9" s="265"/>
      <c r="RJ9" s="267"/>
      <c r="RK9" s="267"/>
      <c r="RL9" s="269"/>
      <c r="RM9" s="265"/>
      <c r="RN9" s="265"/>
      <c r="RO9" s="265"/>
      <c r="RP9" s="267"/>
      <c r="RQ9" s="265"/>
      <c r="RR9" s="267"/>
      <c r="RS9" s="267"/>
      <c r="RT9" s="269"/>
      <c r="RU9" s="267"/>
      <c r="RV9" s="267"/>
      <c r="RW9" s="272"/>
      <c r="RX9" s="275"/>
      <c r="RY9" s="278"/>
      <c r="RZ9" s="262"/>
      <c r="SA9" s="265"/>
      <c r="SB9" s="267"/>
      <c r="SC9" s="267"/>
      <c r="SD9" s="269"/>
      <c r="SE9" s="265"/>
      <c r="SF9" s="265"/>
      <c r="SG9" s="265"/>
      <c r="SH9" s="267"/>
      <c r="SI9" s="265"/>
      <c r="SJ9" s="267"/>
      <c r="SK9" s="267"/>
      <c r="SL9" s="269"/>
      <c r="SM9" s="267"/>
      <c r="SN9" s="267"/>
      <c r="SO9" s="272"/>
      <c r="SP9" s="275"/>
      <c r="SQ9" s="278"/>
      <c r="SR9" s="262"/>
      <c r="SS9" s="265"/>
      <c r="ST9" s="267"/>
      <c r="SU9" s="267"/>
      <c r="SV9" s="269"/>
      <c r="SW9" s="265"/>
      <c r="SX9" s="265"/>
      <c r="SY9" s="265"/>
      <c r="SZ9" s="267"/>
      <c r="TA9" s="265"/>
      <c r="TB9" s="267"/>
      <c r="TC9" s="267"/>
      <c r="TD9" s="269"/>
      <c r="TE9" s="267"/>
      <c r="TF9" s="267"/>
      <c r="TG9" s="272"/>
      <c r="TH9" s="275"/>
      <c r="TI9" s="278"/>
      <c r="TJ9" s="262"/>
      <c r="TK9" s="265"/>
      <c r="TL9" s="267"/>
      <c r="TM9" s="267"/>
      <c r="TN9" s="269"/>
      <c r="TO9" s="265"/>
      <c r="TP9" s="265"/>
      <c r="TQ9" s="265"/>
      <c r="TR9" s="267"/>
      <c r="TS9" s="265"/>
      <c r="TT9" s="267"/>
      <c r="TU9" s="267"/>
      <c r="TV9" s="269"/>
      <c r="TW9" s="267"/>
      <c r="TX9" s="267"/>
      <c r="TY9" s="272"/>
      <c r="TZ9" s="275"/>
      <c r="UA9" s="278"/>
      <c r="UB9" s="262"/>
      <c r="UC9" s="265"/>
      <c r="UD9" s="267"/>
      <c r="UE9" s="267"/>
      <c r="UF9" s="269"/>
      <c r="UG9" s="265"/>
      <c r="UH9" s="265"/>
      <c r="UI9" s="265"/>
      <c r="UJ9" s="267"/>
      <c r="UK9" s="265"/>
      <c r="UL9" s="267"/>
      <c r="UM9" s="267"/>
      <c r="UN9" s="269"/>
      <c r="UO9" s="267"/>
      <c r="UP9" s="267"/>
      <c r="UQ9" s="272"/>
      <c r="UR9" s="275"/>
      <c r="US9" s="278"/>
    </row>
    <row r="10" spans="1:565" ht="15.6" x14ac:dyDescent="0.3">
      <c r="B10" s="287"/>
      <c r="C10" s="290"/>
      <c r="D10" s="22"/>
      <c r="E10" s="23"/>
      <c r="F10" s="267"/>
      <c r="G10" s="267"/>
      <c r="H10" s="262"/>
      <c r="I10" s="265"/>
      <c r="J10" s="267"/>
      <c r="K10" s="267"/>
      <c r="L10" s="269"/>
      <c r="M10" s="265"/>
      <c r="N10" s="265"/>
      <c r="O10" s="265"/>
      <c r="P10" s="267"/>
      <c r="Q10" s="265"/>
      <c r="R10" s="267"/>
      <c r="S10" s="267"/>
      <c r="T10" s="269"/>
      <c r="U10" s="267"/>
      <c r="V10" s="267"/>
      <c r="W10" s="272"/>
      <c r="X10" s="275"/>
      <c r="Y10" s="278"/>
      <c r="Z10" s="262"/>
      <c r="AA10" s="265"/>
      <c r="AB10" s="267"/>
      <c r="AC10" s="267"/>
      <c r="AD10" s="269"/>
      <c r="AE10" s="265"/>
      <c r="AF10" s="265"/>
      <c r="AG10" s="265"/>
      <c r="AH10" s="267"/>
      <c r="AI10" s="265"/>
      <c r="AJ10" s="267"/>
      <c r="AK10" s="267"/>
      <c r="AL10" s="269"/>
      <c r="AM10" s="267"/>
      <c r="AN10" s="267"/>
      <c r="AO10" s="272"/>
      <c r="AP10" s="275"/>
      <c r="AQ10" s="278"/>
      <c r="AR10" s="262"/>
      <c r="AS10" s="265"/>
      <c r="AT10" s="267"/>
      <c r="AU10" s="267"/>
      <c r="AV10" s="269"/>
      <c r="AW10" s="265"/>
      <c r="AX10" s="265"/>
      <c r="AY10" s="265"/>
      <c r="AZ10" s="267"/>
      <c r="BA10" s="265"/>
      <c r="BB10" s="267"/>
      <c r="BC10" s="267"/>
      <c r="BD10" s="269"/>
      <c r="BE10" s="267"/>
      <c r="BF10" s="267"/>
      <c r="BG10" s="272"/>
      <c r="BH10" s="275"/>
      <c r="BI10" s="278"/>
      <c r="BJ10" s="262"/>
      <c r="BK10" s="265"/>
      <c r="BL10" s="267"/>
      <c r="BM10" s="267"/>
      <c r="BN10" s="269"/>
      <c r="BO10" s="265"/>
      <c r="BP10" s="265"/>
      <c r="BQ10" s="265"/>
      <c r="BR10" s="267"/>
      <c r="BS10" s="265"/>
      <c r="BT10" s="267"/>
      <c r="BU10" s="267"/>
      <c r="BV10" s="269"/>
      <c r="BW10" s="267"/>
      <c r="BX10" s="267"/>
      <c r="BY10" s="272"/>
      <c r="BZ10" s="275"/>
      <c r="CA10" s="278"/>
      <c r="CB10" s="262"/>
      <c r="CC10" s="265"/>
      <c r="CD10" s="267"/>
      <c r="CE10" s="267"/>
      <c r="CF10" s="269"/>
      <c r="CG10" s="265"/>
      <c r="CH10" s="265"/>
      <c r="CI10" s="265"/>
      <c r="CJ10" s="267"/>
      <c r="CK10" s="265"/>
      <c r="CL10" s="267"/>
      <c r="CM10" s="267"/>
      <c r="CN10" s="269"/>
      <c r="CO10" s="267"/>
      <c r="CP10" s="267"/>
      <c r="CQ10" s="272"/>
      <c r="CR10" s="275"/>
      <c r="CS10" s="278"/>
      <c r="CT10" s="262"/>
      <c r="CU10" s="265"/>
      <c r="CV10" s="267"/>
      <c r="CW10" s="267"/>
      <c r="CX10" s="269"/>
      <c r="CY10" s="265"/>
      <c r="CZ10" s="265"/>
      <c r="DA10" s="265"/>
      <c r="DB10" s="267"/>
      <c r="DC10" s="265"/>
      <c r="DD10" s="267"/>
      <c r="DE10" s="267"/>
      <c r="DF10" s="269"/>
      <c r="DG10" s="267"/>
      <c r="DH10" s="267"/>
      <c r="DI10" s="272"/>
      <c r="DJ10" s="275"/>
      <c r="DK10" s="278"/>
      <c r="DL10" s="262"/>
      <c r="DM10" s="265"/>
      <c r="DN10" s="267"/>
      <c r="DO10" s="267"/>
      <c r="DP10" s="269"/>
      <c r="DQ10" s="265"/>
      <c r="DR10" s="265"/>
      <c r="DS10" s="265"/>
      <c r="DT10" s="267"/>
      <c r="DU10" s="265"/>
      <c r="DV10" s="267"/>
      <c r="DW10" s="267"/>
      <c r="DX10" s="269"/>
      <c r="DY10" s="267"/>
      <c r="DZ10" s="267"/>
      <c r="EA10" s="272"/>
      <c r="EB10" s="275"/>
      <c r="EC10" s="278"/>
      <c r="ED10" s="262"/>
      <c r="EE10" s="265"/>
      <c r="EF10" s="267"/>
      <c r="EG10" s="267"/>
      <c r="EH10" s="269"/>
      <c r="EI10" s="265"/>
      <c r="EJ10" s="265"/>
      <c r="EK10" s="265"/>
      <c r="EL10" s="267"/>
      <c r="EM10" s="265"/>
      <c r="EN10" s="267"/>
      <c r="EO10" s="267"/>
      <c r="EP10" s="269"/>
      <c r="EQ10" s="267"/>
      <c r="ER10" s="267"/>
      <c r="ES10" s="272"/>
      <c r="ET10" s="275"/>
      <c r="EU10" s="278"/>
      <c r="EV10" s="262"/>
      <c r="EW10" s="265"/>
      <c r="EX10" s="267"/>
      <c r="EY10" s="267"/>
      <c r="EZ10" s="269"/>
      <c r="FA10" s="265"/>
      <c r="FB10" s="265"/>
      <c r="FC10" s="265"/>
      <c r="FD10" s="267"/>
      <c r="FE10" s="265"/>
      <c r="FF10" s="267"/>
      <c r="FG10" s="267"/>
      <c r="FH10" s="269"/>
      <c r="FI10" s="267"/>
      <c r="FJ10" s="267"/>
      <c r="FK10" s="272"/>
      <c r="FL10" s="275"/>
      <c r="FM10" s="278"/>
      <c r="FN10" s="262"/>
      <c r="FO10" s="265"/>
      <c r="FP10" s="267"/>
      <c r="FQ10" s="267"/>
      <c r="FR10" s="269"/>
      <c r="FS10" s="265"/>
      <c r="FT10" s="265"/>
      <c r="FU10" s="265"/>
      <c r="FV10" s="267"/>
      <c r="FW10" s="265"/>
      <c r="FX10" s="267"/>
      <c r="FY10" s="267"/>
      <c r="FZ10" s="269"/>
      <c r="GA10" s="267"/>
      <c r="GB10" s="267"/>
      <c r="GC10" s="272"/>
      <c r="GD10" s="275"/>
      <c r="GE10" s="278"/>
      <c r="GF10" s="262"/>
      <c r="GG10" s="265"/>
      <c r="GH10" s="267"/>
      <c r="GI10" s="267"/>
      <c r="GJ10" s="269"/>
      <c r="GK10" s="265"/>
      <c r="GL10" s="265"/>
      <c r="GM10" s="265"/>
      <c r="GN10" s="267"/>
      <c r="GO10" s="265"/>
      <c r="GP10" s="267"/>
      <c r="GQ10" s="267"/>
      <c r="GR10" s="269"/>
      <c r="GS10" s="267"/>
      <c r="GT10" s="267"/>
      <c r="GU10" s="272"/>
      <c r="GV10" s="275"/>
      <c r="GW10" s="278"/>
      <c r="GX10" s="262"/>
      <c r="GY10" s="265"/>
      <c r="GZ10" s="267"/>
      <c r="HA10" s="267"/>
      <c r="HB10" s="269"/>
      <c r="HC10" s="265"/>
      <c r="HD10" s="265"/>
      <c r="HE10" s="265"/>
      <c r="HF10" s="267"/>
      <c r="HG10" s="265"/>
      <c r="HH10" s="267"/>
      <c r="HI10" s="267"/>
      <c r="HJ10" s="269"/>
      <c r="HK10" s="267"/>
      <c r="HL10" s="267"/>
      <c r="HM10" s="272"/>
      <c r="HN10" s="275"/>
      <c r="HO10" s="278"/>
      <c r="HP10" s="262"/>
      <c r="HQ10" s="265"/>
      <c r="HR10" s="267"/>
      <c r="HS10" s="267"/>
      <c r="HT10" s="269"/>
      <c r="HU10" s="265"/>
      <c r="HV10" s="265"/>
      <c r="HW10" s="265"/>
      <c r="HX10" s="267"/>
      <c r="HY10" s="265"/>
      <c r="HZ10" s="267"/>
      <c r="IA10" s="267"/>
      <c r="IB10" s="269"/>
      <c r="IC10" s="267"/>
      <c r="ID10" s="267"/>
      <c r="IE10" s="272"/>
      <c r="IF10" s="275"/>
      <c r="IG10" s="278"/>
      <c r="IH10" s="262"/>
      <c r="II10" s="265"/>
      <c r="IJ10" s="267"/>
      <c r="IK10" s="267"/>
      <c r="IL10" s="269"/>
      <c r="IM10" s="265"/>
      <c r="IN10" s="265"/>
      <c r="IO10" s="265"/>
      <c r="IP10" s="267"/>
      <c r="IQ10" s="265"/>
      <c r="IR10" s="267"/>
      <c r="IS10" s="267"/>
      <c r="IT10" s="269"/>
      <c r="IU10" s="267"/>
      <c r="IV10" s="267"/>
      <c r="IW10" s="272"/>
      <c r="IX10" s="275"/>
      <c r="IY10" s="278"/>
      <c r="IZ10" s="262"/>
      <c r="JA10" s="265"/>
      <c r="JB10" s="267"/>
      <c r="JC10" s="267"/>
      <c r="JD10" s="269"/>
      <c r="JE10" s="265"/>
      <c r="JF10" s="265"/>
      <c r="JG10" s="265"/>
      <c r="JH10" s="267"/>
      <c r="JI10" s="265"/>
      <c r="JJ10" s="267"/>
      <c r="JK10" s="267"/>
      <c r="JL10" s="269"/>
      <c r="JM10" s="267"/>
      <c r="JN10" s="267"/>
      <c r="JO10" s="272"/>
      <c r="JP10" s="275"/>
      <c r="JQ10" s="278"/>
      <c r="JR10" s="262"/>
      <c r="JS10" s="265"/>
      <c r="JT10" s="267"/>
      <c r="JU10" s="267"/>
      <c r="JV10" s="269"/>
      <c r="JW10" s="265"/>
      <c r="JX10" s="265"/>
      <c r="JY10" s="265"/>
      <c r="JZ10" s="267"/>
      <c r="KA10" s="265"/>
      <c r="KB10" s="267"/>
      <c r="KC10" s="267"/>
      <c r="KD10" s="269"/>
      <c r="KE10" s="267"/>
      <c r="KF10" s="267"/>
      <c r="KG10" s="272"/>
      <c r="KH10" s="275"/>
      <c r="KI10" s="278"/>
      <c r="KJ10" s="262"/>
      <c r="KK10" s="265"/>
      <c r="KL10" s="267"/>
      <c r="KM10" s="267"/>
      <c r="KN10" s="269"/>
      <c r="KO10" s="265"/>
      <c r="KP10" s="265"/>
      <c r="KQ10" s="265"/>
      <c r="KR10" s="267"/>
      <c r="KS10" s="265"/>
      <c r="KT10" s="267"/>
      <c r="KU10" s="267"/>
      <c r="KV10" s="269"/>
      <c r="KW10" s="267"/>
      <c r="KX10" s="267"/>
      <c r="KY10" s="272"/>
      <c r="KZ10" s="275"/>
      <c r="LA10" s="278"/>
      <c r="LB10" s="262"/>
      <c r="LC10" s="265"/>
      <c r="LD10" s="267"/>
      <c r="LE10" s="267"/>
      <c r="LF10" s="269"/>
      <c r="LG10" s="265"/>
      <c r="LH10" s="265"/>
      <c r="LI10" s="265"/>
      <c r="LJ10" s="267"/>
      <c r="LK10" s="265"/>
      <c r="LL10" s="267"/>
      <c r="LM10" s="267"/>
      <c r="LN10" s="269"/>
      <c r="LO10" s="267"/>
      <c r="LP10" s="267"/>
      <c r="LQ10" s="272"/>
      <c r="LR10" s="275"/>
      <c r="LS10" s="278"/>
      <c r="LT10" s="262"/>
      <c r="LU10" s="265"/>
      <c r="LV10" s="267"/>
      <c r="LW10" s="267"/>
      <c r="LX10" s="269"/>
      <c r="LY10" s="265"/>
      <c r="LZ10" s="265"/>
      <c r="MA10" s="265"/>
      <c r="MB10" s="267"/>
      <c r="MC10" s="265"/>
      <c r="MD10" s="267"/>
      <c r="ME10" s="267"/>
      <c r="MF10" s="269"/>
      <c r="MG10" s="267"/>
      <c r="MH10" s="267"/>
      <c r="MI10" s="272"/>
      <c r="MJ10" s="275"/>
      <c r="MK10" s="278"/>
      <c r="ML10" s="262"/>
      <c r="MM10" s="265"/>
      <c r="MN10" s="267"/>
      <c r="MO10" s="267"/>
      <c r="MP10" s="269"/>
      <c r="MQ10" s="265"/>
      <c r="MR10" s="265"/>
      <c r="MS10" s="265"/>
      <c r="MT10" s="267"/>
      <c r="MU10" s="265"/>
      <c r="MV10" s="267"/>
      <c r="MW10" s="267"/>
      <c r="MX10" s="269"/>
      <c r="MY10" s="267"/>
      <c r="MZ10" s="267"/>
      <c r="NA10" s="272"/>
      <c r="NB10" s="275"/>
      <c r="NC10" s="278"/>
      <c r="ND10" s="262"/>
      <c r="NE10" s="265"/>
      <c r="NF10" s="267"/>
      <c r="NG10" s="267"/>
      <c r="NH10" s="269"/>
      <c r="NI10" s="265"/>
      <c r="NJ10" s="265"/>
      <c r="NK10" s="265"/>
      <c r="NL10" s="267"/>
      <c r="NM10" s="265"/>
      <c r="NN10" s="267"/>
      <c r="NO10" s="267"/>
      <c r="NP10" s="269"/>
      <c r="NQ10" s="267"/>
      <c r="NR10" s="267"/>
      <c r="NS10" s="272"/>
      <c r="NT10" s="275"/>
      <c r="NU10" s="278"/>
      <c r="NV10" s="262"/>
      <c r="NW10" s="265"/>
      <c r="NX10" s="267"/>
      <c r="NY10" s="267"/>
      <c r="NZ10" s="269"/>
      <c r="OA10" s="265"/>
      <c r="OB10" s="265"/>
      <c r="OC10" s="265"/>
      <c r="OD10" s="267"/>
      <c r="OE10" s="265"/>
      <c r="OF10" s="267"/>
      <c r="OG10" s="267"/>
      <c r="OH10" s="269"/>
      <c r="OI10" s="267"/>
      <c r="OJ10" s="267"/>
      <c r="OK10" s="272"/>
      <c r="OL10" s="275"/>
      <c r="OM10" s="278"/>
      <c r="ON10" s="262"/>
      <c r="OO10" s="265"/>
      <c r="OP10" s="267"/>
      <c r="OQ10" s="267"/>
      <c r="OR10" s="269"/>
      <c r="OS10" s="265"/>
      <c r="OT10" s="265"/>
      <c r="OU10" s="265"/>
      <c r="OV10" s="267"/>
      <c r="OW10" s="265"/>
      <c r="OX10" s="267"/>
      <c r="OY10" s="267"/>
      <c r="OZ10" s="269"/>
      <c r="PA10" s="267"/>
      <c r="PB10" s="267"/>
      <c r="PC10" s="272"/>
      <c r="PD10" s="275"/>
      <c r="PE10" s="278"/>
      <c r="PF10" s="262"/>
      <c r="PG10" s="265"/>
      <c r="PH10" s="267"/>
      <c r="PI10" s="267"/>
      <c r="PJ10" s="269"/>
      <c r="PK10" s="265"/>
      <c r="PL10" s="265"/>
      <c r="PM10" s="265"/>
      <c r="PN10" s="267"/>
      <c r="PO10" s="265"/>
      <c r="PP10" s="267"/>
      <c r="PQ10" s="267"/>
      <c r="PR10" s="269"/>
      <c r="PS10" s="267"/>
      <c r="PT10" s="267"/>
      <c r="PU10" s="272"/>
      <c r="PV10" s="275"/>
      <c r="PW10" s="278"/>
      <c r="PX10" s="262"/>
      <c r="PY10" s="265"/>
      <c r="PZ10" s="267"/>
      <c r="QA10" s="267"/>
      <c r="QB10" s="269"/>
      <c r="QC10" s="265"/>
      <c r="QD10" s="265"/>
      <c r="QE10" s="265"/>
      <c r="QF10" s="267"/>
      <c r="QG10" s="265"/>
      <c r="QH10" s="267"/>
      <c r="QI10" s="267"/>
      <c r="QJ10" s="269"/>
      <c r="QK10" s="267"/>
      <c r="QL10" s="267"/>
      <c r="QM10" s="272"/>
      <c r="QN10" s="275"/>
      <c r="QO10" s="278"/>
      <c r="QP10" s="262"/>
      <c r="QQ10" s="265"/>
      <c r="QR10" s="267"/>
      <c r="QS10" s="267"/>
      <c r="QT10" s="269"/>
      <c r="QU10" s="265"/>
      <c r="QV10" s="265"/>
      <c r="QW10" s="265"/>
      <c r="QX10" s="267"/>
      <c r="QY10" s="265"/>
      <c r="QZ10" s="267"/>
      <c r="RA10" s="267"/>
      <c r="RB10" s="269"/>
      <c r="RC10" s="267"/>
      <c r="RD10" s="267"/>
      <c r="RE10" s="272"/>
      <c r="RF10" s="275"/>
      <c r="RG10" s="278"/>
      <c r="RH10" s="262"/>
      <c r="RI10" s="265"/>
      <c r="RJ10" s="267"/>
      <c r="RK10" s="267"/>
      <c r="RL10" s="269"/>
      <c r="RM10" s="265"/>
      <c r="RN10" s="265"/>
      <c r="RO10" s="265"/>
      <c r="RP10" s="267"/>
      <c r="RQ10" s="265"/>
      <c r="RR10" s="267"/>
      <c r="RS10" s="267"/>
      <c r="RT10" s="269"/>
      <c r="RU10" s="267"/>
      <c r="RV10" s="267"/>
      <c r="RW10" s="272"/>
      <c r="RX10" s="275"/>
      <c r="RY10" s="278"/>
      <c r="RZ10" s="262"/>
      <c r="SA10" s="265"/>
      <c r="SB10" s="267"/>
      <c r="SC10" s="267"/>
      <c r="SD10" s="269"/>
      <c r="SE10" s="265"/>
      <c r="SF10" s="265"/>
      <c r="SG10" s="265"/>
      <c r="SH10" s="267"/>
      <c r="SI10" s="265"/>
      <c r="SJ10" s="267"/>
      <c r="SK10" s="267"/>
      <c r="SL10" s="269"/>
      <c r="SM10" s="267"/>
      <c r="SN10" s="267"/>
      <c r="SO10" s="272"/>
      <c r="SP10" s="275"/>
      <c r="SQ10" s="278"/>
      <c r="SR10" s="262"/>
      <c r="SS10" s="265"/>
      <c r="ST10" s="267"/>
      <c r="SU10" s="267"/>
      <c r="SV10" s="269"/>
      <c r="SW10" s="265"/>
      <c r="SX10" s="265"/>
      <c r="SY10" s="265"/>
      <c r="SZ10" s="267"/>
      <c r="TA10" s="265"/>
      <c r="TB10" s="267"/>
      <c r="TC10" s="267"/>
      <c r="TD10" s="269"/>
      <c r="TE10" s="267"/>
      <c r="TF10" s="267"/>
      <c r="TG10" s="272"/>
      <c r="TH10" s="275"/>
      <c r="TI10" s="278"/>
      <c r="TJ10" s="262"/>
      <c r="TK10" s="265"/>
      <c r="TL10" s="267"/>
      <c r="TM10" s="267"/>
      <c r="TN10" s="269"/>
      <c r="TO10" s="265"/>
      <c r="TP10" s="265"/>
      <c r="TQ10" s="265"/>
      <c r="TR10" s="267"/>
      <c r="TS10" s="265"/>
      <c r="TT10" s="267"/>
      <c r="TU10" s="267"/>
      <c r="TV10" s="269"/>
      <c r="TW10" s="267"/>
      <c r="TX10" s="267"/>
      <c r="TY10" s="272"/>
      <c r="TZ10" s="275"/>
      <c r="UA10" s="278"/>
      <c r="UB10" s="262"/>
      <c r="UC10" s="265"/>
      <c r="UD10" s="267"/>
      <c r="UE10" s="267"/>
      <c r="UF10" s="269"/>
      <c r="UG10" s="265"/>
      <c r="UH10" s="265"/>
      <c r="UI10" s="265"/>
      <c r="UJ10" s="267"/>
      <c r="UK10" s="265"/>
      <c r="UL10" s="267"/>
      <c r="UM10" s="267"/>
      <c r="UN10" s="269"/>
      <c r="UO10" s="267"/>
      <c r="UP10" s="267"/>
      <c r="UQ10" s="272"/>
      <c r="UR10" s="275"/>
      <c r="US10" s="278"/>
    </row>
    <row r="11" spans="1:565" ht="16.2" thickBot="1" x14ac:dyDescent="0.35">
      <c r="B11" s="287"/>
      <c r="C11" s="290"/>
      <c r="D11" s="22"/>
      <c r="E11" s="23"/>
      <c r="F11" s="267"/>
      <c r="G11" s="267"/>
      <c r="H11" s="262"/>
      <c r="I11" s="265"/>
      <c r="J11" s="267"/>
      <c r="K11" s="267"/>
      <c r="L11" s="269"/>
      <c r="M11" s="265"/>
      <c r="N11" s="265"/>
      <c r="O11" s="265"/>
      <c r="P11" s="267"/>
      <c r="Q11" s="265"/>
      <c r="R11" s="267"/>
      <c r="S11" s="267"/>
      <c r="T11" s="269"/>
      <c r="U11" s="267"/>
      <c r="V11" s="267"/>
      <c r="W11" s="272"/>
      <c r="X11" s="275"/>
      <c r="Y11" s="278"/>
      <c r="Z11" s="262"/>
      <c r="AA11" s="265"/>
      <c r="AB11" s="267"/>
      <c r="AC11" s="267"/>
      <c r="AD11" s="269"/>
      <c r="AE11" s="265"/>
      <c r="AF11" s="265"/>
      <c r="AG11" s="265"/>
      <c r="AH11" s="267"/>
      <c r="AI11" s="265"/>
      <c r="AJ11" s="267"/>
      <c r="AK11" s="267"/>
      <c r="AL11" s="269"/>
      <c r="AM11" s="267"/>
      <c r="AN11" s="267"/>
      <c r="AO11" s="272"/>
      <c r="AP11" s="275"/>
      <c r="AQ11" s="278"/>
      <c r="AR11" s="262"/>
      <c r="AS11" s="265"/>
      <c r="AT11" s="267"/>
      <c r="AU11" s="267"/>
      <c r="AV11" s="269"/>
      <c r="AW11" s="265"/>
      <c r="AX11" s="265"/>
      <c r="AY11" s="265"/>
      <c r="AZ11" s="267"/>
      <c r="BA11" s="265"/>
      <c r="BB11" s="267"/>
      <c r="BC11" s="267"/>
      <c r="BD11" s="269"/>
      <c r="BE11" s="267"/>
      <c r="BF11" s="267"/>
      <c r="BG11" s="272"/>
      <c r="BH11" s="275"/>
      <c r="BI11" s="278"/>
      <c r="BJ11" s="262"/>
      <c r="BK11" s="265"/>
      <c r="BL11" s="267"/>
      <c r="BM11" s="267"/>
      <c r="BN11" s="269"/>
      <c r="BO11" s="265"/>
      <c r="BP11" s="265"/>
      <c r="BQ11" s="265"/>
      <c r="BR11" s="267"/>
      <c r="BS11" s="265"/>
      <c r="BT11" s="267"/>
      <c r="BU11" s="267"/>
      <c r="BV11" s="269"/>
      <c r="BW11" s="267"/>
      <c r="BX11" s="267"/>
      <c r="BY11" s="272"/>
      <c r="BZ11" s="275"/>
      <c r="CA11" s="278"/>
      <c r="CB11" s="262"/>
      <c r="CC11" s="265"/>
      <c r="CD11" s="267"/>
      <c r="CE11" s="267"/>
      <c r="CF11" s="269"/>
      <c r="CG11" s="265"/>
      <c r="CH11" s="265"/>
      <c r="CI11" s="265"/>
      <c r="CJ11" s="267"/>
      <c r="CK11" s="265"/>
      <c r="CL11" s="267"/>
      <c r="CM11" s="267"/>
      <c r="CN11" s="269"/>
      <c r="CO11" s="267"/>
      <c r="CP11" s="267"/>
      <c r="CQ11" s="272"/>
      <c r="CR11" s="275"/>
      <c r="CS11" s="278"/>
      <c r="CT11" s="262"/>
      <c r="CU11" s="265"/>
      <c r="CV11" s="267"/>
      <c r="CW11" s="267"/>
      <c r="CX11" s="269"/>
      <c r="CY11" s="265"/>
      <c r="CZ11" s="265"/>
      <c r="DA11" s="265"/>
      <c r="DB11" s="267"/>
      <c r="DC11" s="265"/>
      <c r="DD11" s="267"/>
      <c r="DE11" s="267"/>
      <c r="DF11" s="269"/>
      <c r="DG11" s="267"/>
      <c r="DH11" s="267"/>
      <c r="DI11" s="272"/>
      <c r="DJ11" s="275"/>
      <c r="DK11" s="278"/>
      <c r="DL11" s="262"/>
      <c r="DM11" s="265"/>
      <c r="DN11" s="267"/>
      <c r="DO11" s="267"/>
      <c r="DP11" s="269"/>
      <c r="DQ11" s="265"/>
      <c r="DR11" s="265"/>
      <c r="DS11" s="265"/>
      <c r="DT11" s="267"/>
      <c r="DU11" s="265"/>
      <c r="DV11" s="267"/>
      <c r="DW11" s="267"/>
      <c r="DX11" s="269"/>
      <c r="DY11" s="267"/>
      <c r="DZ11" s="267"/>
      <c r="EA11" s="272"/>
      <c r="EB11" s="275"/>
      <c r="EC11" s="278"/>
      <c r="ED11" s="262"/>
      <c r="EE11" s="265"/>
      <c r="EF11" s="267"/>
      <c r="EG11" s="267"/>
      <c r="EH11" s="269"/>
      <c r="EI11" s="265"/>
      <c r="EJ11" s="265"/>
      <c r="EK11" s="265"/>
      <c r="EL11" s="267"/>
      <c r="EM11" s="265"/>
      <c r="EN11" s="267"/>
      <c r="EO11" s="267"/>
      <c r="EP11" s="269"/>
      <c r="EQ11" s="267"/>
      <c r="ER11" s="267"/>
      <c r="ES11" s="272"/>
      <c r="ET11" s="275"/>
      <c r="EU11" s="278"/>
      <c r="EV11" s="262"/>
      <c r="EW11" s="265"/>
      <c r="EX11" s="267"/>
      <c r="EY11" s="267"/>
      <c r="EZ11" s="269"/>
      <c r="FA11" s="265"/>
      <c r="FB11" s="265"/>
      <c r="FC11" s="265"/>
      <c r="FD11" s="267"/>
      <c r="FE11" s="265"/>
      <c r="FF11" s="267"/>
      <c r="FG11" s="267"/>
      <c r="FH11" s="269"/>
      <c r="FI11" s="267"/>
      <c r="FJ11" s="267"/>
      <c r="FK11" s="272"/>
      <c r="FL11" s="275"/>
      <c r="FM11" s="278"/>
      <c r="FN11" s="262"/>
      <c r="FO11" s="265"/>
      <c r="FP11" s="267"/>
      <c r="FQ11" s="267"/>
      <c r="FR11" s="269"/>
      <c r="FS11" s="265"/>
      <c r="FT11" s="265"/>
      <c r="FU11" s="265"/>
      <c r="FV11" s="267"/>
      <c r="FW11" s="265"/>
      <c r="FX11" s="267"/>
      <c r="FY11" s="267"/>
      <c r="FZ11" s="269"/>
      <c r="GA11" s="267"/>
      <c r="GB11" s="267"/>
      <c r="GC11" s="272"/>
      <c r="GD11" s="275"/>
      <c r="GE11" s="278"/>
      <c r="GF11" s="262"/>
      <c r="GG11" s="265"/>
      <c r="GH11" s="267"/>
      <c r="GI11" s="267"/>
      <c r="GJ11" s="269"/>
      <c r="GK11" s="265"/>
      <c r="GL11" s="265"/>
      <c r="GM11" s="265"/>
      <c r="GN11" s="267"/>
      <c r="GO11" s="265"/>
      <c r="GP11" s="267"/>
      <c r="GQ11" s="267"/>
      <c r="GR11" s="269"/>
      <c r="GS11" s="267"/>
      <c r="GT11" s="267"/>
      <c r="GU11" s="272"/>
      <c r="GV11" s="275"/>
      <c r="GW11" s="278"/>
      <c r="GX11" s="262"/>
      <c r="GY11" s="265"/>
      <c r="GZ11" s="267"/>
      <c r="HA11" s="267"/>
      <c r="HB11" s="269"/>
      <c r="HC11" s="265"/>
      <c r="HD11" s="265"/>
      <c r="HE11" s="265"/>
      <c r="HF11" s="267"/>
      <c r="HG11" s="265"/>
      <c r="HH11" s="267"/>
      <c r="HI11" s="267"/>
      <c r="HJ11" s="269"/>
      <c r="HK11" s="267"/>
      <c r="HL11" s="267"/>
      <c r="HM11" s="272"/>
      <c r="HN11" s="275"/>
      <c r="HO11" s="278"/>
      <c r="HP11" s="262"/>
      <c r="HQ11" s="265"/>
      <c r="HR11" s="267"/>
      <c r="HS11" s="267"/>
      <c r="HT11" s="269"/>
      <c r="HU11" s="265"/>
      <c r="HV11" s="265"/>
      <c r="HW11" s="265"/>
      <c r="HX11" s="267"/>
      <c r="HY11" s="265"/>
      <c r="HZ11" s="267"/>
      <c r="IA11" s="267"/>
      <c r="IB11" s="269"/>
      <c r="IC11" s="267"/>
      <c r="ID11" s="267"/>
      <c r="IE11" s="272"/>
      <c r="IF11" s="275"/>
      <c r="IG11" s="278"/>
      <c r="IH11" s="262"/>
      <c r="II11" s="265"/>
      <c r="IJ11" s="267"/>
      <c r="IK11" s="267"/>
      <c r="IL11" s="269"/>
      <c r="IM11" s="265"/>
      <c r="IN11" s="265"/>
      <c r="IO11" s="265"/>
      <c r="IP11" s="267"/>
      <c r="IQ11" s="265"/>
      <c r="IR11" s="267"/>
      <c r="IS11" s="267"/>
      <c r="IT11" s="269"/>
      <c r="IU11" s="267"/>
      <c r="IV11" s="267"/>
      <c r="IW11" s="272"/>
      <c r="IX11" s="275"/>
      <c r="IY11" s="278"/>
      <c r="IZ11" s="262"/>
      <c r="JA11" s="265"/>
      <c r="JB11" s="267"/>
      <c r="JC11" s="267"/>
      <c r="JD11" s="269"/>
      <c r="JE11" s="265"/>
      <c r="JF11" s="265"/>
      <c r="JG11" s="265"/>
      <c r="JH11" s="267"/>
      <c r="JI11" s="265"/>
      <c r="JJ11" s="267"/>
      <c r="JK11" s="267"/>
      <c r="JL11" s="269"/>
      <c r="JM11" s="267"/>
      <c r="JN11" s="267"/>
      <c r="JO11" s="272"/>
      <c r="JP11" s="275"/>
      <c r="JQ11" s="278"/>
      <c r="JR11" s="262"/>
      <c r="JS11" s="265"/>
      <c r="JT11" s="267"/>
      <c r="JU11" s="267"/>
      <c r="JV11" s="269"/>
      <c r="JW11" s="265"/>
      <c r="JX11" s="265"/>
      <c r="JY11" s="265"/>
      <c r="JZ11" s="267"/>
      <c r="KA11" s="265"/>
      <c r="KB11" s="267"/>
      <c r="KC11" s="267"/>
      <c r="KD11" s="269"/>
      <c r="KE11" s="267"/>
      <c r="KF11" s="267"/>
      <c r="KG11" s="272"/>
      <c r="KH11" s="275"/>
      <c r="KI11" s="278"/>
      <c r="KJ11" s="262"/>
      <c r="KK11" s="265"/>
      <c r="KL11" s="267"/>
      <c r="KM11" s="267"/>
      <c r="KN11" s="269"/>
      <c r="KO11" s="265"/>
      <c r="KP11" s="265"/>
      <c r="KQ11" s="265"/>
      <c r="KR11" s="267"/>
      <c r="KS11" s="265"/>
      <c r="KT11" s="267"/>
      <c r="KU11" s="267"/>
      <c r="KV11" s="269"/>
      <c r="KW11" s="267"/>
      <c r="KX11" s="267"/>
      <c r="KY11" s="272"/>
      <c r="KZ11" s="275"/>
      <c r="LA11" s="278"/>
      <c r="LB11" s="262"/>
      <c r="LC11" s="265"/>
      <c r="LD11" s="267"/>
      <c r="LE11" s="267"/>
      <c r="LF11" s="269"/>
      <c r="LG11" s="265"/>
      <c r="LH11" s="265"/>
      <c r="LI11" s="265"/>
      <c r="LJ11" s="267"/>
      <c r="LK11" s="265"/>
      <c r="LL11" s="267"/>
      <c r="LM11" s="267"/>
      <c r="LN11" s="269"/>
      <c r="LO11" s="267"/>
      <c r="LP11" s="267"/>
      <c r="LQ11" s="272"/>
      <c r="LR11" s="275"/>
      <c r="LS11" s="278"/>
      <c r="LT11" s="262"/>
      <c r="LU11" s="265"/>
      <c r="LV11" s="267"/>
      <c r="LW11" s="267"/>
      <c r="LX11" s="269"/>
      <c r="LY11" s="265"/>
      <c r="LZ11" s="265"/>
      <c r="MA11" s="265"/>
      <c r="MB11" s="267"/>
      <c r="MC11" s="265"/>
      <c r="MD11" s="267"/>
      <c r="ME11" s="267"/>
      <c r="MF11" s="269"/>
      <c r="MG11" s="267"/>
      <c r="MH11" s="267"/>
      <c r="MI11" s="272"/>
      <c r="MJ11" s="275"/>
      <c r="MK11" s="278"/>
      <c r="ML11" s="262"/>
      <c r="MM11" s="265"/>
      <c r="MN11" s="267"/>
      <c r="MO11" s="267"/>
      <c r="MP11" s="269"/>
      <c r="MQ11" s="265"/>
      <c r="MR11" s="265"/>
      <c r="MS11" s="265"/>
      <c r="MT11" s="267"/>
      <c r="MU11" s="265"/>
      <c r="MV11" s="267"/>
      <c r="MW11" s="267"/>
      <c r="MX11" s="269"/>
      <c r="MY11" s="267"/>
      <c r="MZ11" s="267"/>
      <c r="NA11" s="272"/>
      <c r="NB11" s="275"/>
      <c r="NC11" s="278"/>
      <c r="ND11" s="262"/>
      <c r="NE11" s="265"/>
      <c r="NF11" s="267"/>
      <c r="NG11" s="267"/>
      <c r="NH11" s="269"/>
      <c r="NI11" s="265"/>
      <c r="NJ11" s="265"/>
      <c r="NK11" s="265"/>
      <c r="NL11" s="267"/>
      <c r="NM11" s="265"/>
      <c r="NN11" s="267"/>
      <c r="NO11" s="267"/>
      <c r="NP11" s="269"/>
      <c r="NQ11" s="267"/>
      <c r="NR11" s="267"/>
      <c r="NS11" s="272"/>
      <c r="NT11" s="275"/>
      <c r="NU11" s="278"/>
      <c r="NV11" s="262"/>
      <c r="NW11" s="265"/>
      <c r="NX11" s="267"/>
      <c r="NY11" s="267"/>
      <c r="NZ11" s="269"/>
      <c r="OA11" s="265"/>
      <c r="OB11" s="265"/>
      <c r="OC11" s="265"/>
      <c r="OD11" s="267"/>
      <c r="OE11" s="265"/>
      <c r="OF11" s="267"/>
      <c r="OG11" s="267"/>
      <c r="OH11" s="269"/>
      <c r="OI11" s="267"/>
      <c r="OJ11" s="267"/>
      <c r="OK11" s="272"/>
      <c r="OL11" s="275"/>
      <c r="OM11" s="278"/>
      <c r="ON11" s="262"/>
      <c r="OO11" s="265"/>
      <c r="OP11" s="267"/>
      <c r="OQ11" s="267"/>
      <c r="OR11" s="269"/>
      <c r="OS11" s="265"/>
      <c r="OT11" s="265"/>
      <c r="OU11" s="265"/>
      <c r="OV11" s="267"/>
      <c r="OW11" s="265"/>
      <c r="OX11" s="267"/>
      <c r="OY11" s="267"/>
      <c r="OZ11" s="269"/>
      <c r="PA11" s="267"/>
      <c r="PB11" s="267"/>
      <c r="PC11" s="272"/>
      <c r="PD11" s="275"/>
      <c r="PE11" s="278"/>
      <c r="PF11" s="262"/>
      <c r="PG11" s="265"/>
      <c r="PH11" s="267"/>
      <c r="PI11" s="267"/>
      <c r="PJ11" s="269"/>
      <c r="PK11" s="265"/>
      <c r="PL11" s="265"/>
      <c r="PM11" s="265"/>
      <c r="PN11" s="267"/>
      <c r="PO11" s="265"/>
      <c r="PP11" s="267"/>
      <c r="PQ11" s="267"/>
      <c r="PR11" s="269"/>
      <c r="PS11" s="267"/>
      <c r="PT11" s="267"/>
      <c r="PU11" s="272"/>
      <c r="PV11" s="275"/>
      <c r="PW11" s="278"/>
      <c r="PX11" s="262"/>
      <c r="PY11" s="265"/>
      <c r="PZ11" s="267"/>
      <c r="QA11" s="267"/>
      <c r="QB11" s="269"/>
      <c r="QC11" s="265"/>
      <c r="QD11" s="265"/>
      <c r="QE11" s="265"/>
      <c r="QF11" s="267"/>
      <c r="QG11" s="265"/>
      <c r="QH11" s="267"/>
      <c r="QI11" s="267"/>
      <c r="QJ11" s="269"/>
      <c r="QK11" s="267"/>
      <c r="QL11" s="267"/>
      <c r="QM11" s="272"/>
      <c r="QN11" s="275"/>
      <c r="QO11" s="278"/>
      <c r="QP11" s="262"/>
      <c r="QQ11" s="265"/>
      <c r="QR11" s="267"/>
      <c r="QS11" s="267"/>
      <c r="QT11" s="269"/>
      <c r="QU11" s="265"/>
      <c r="QV11" s="265"/>
      <c r="QW11" s="265"/>
      <c r="QX11" s="267"/>
      <c r="QY11" s="265"/>
      <c r="QZ11" s="267"/>
      <c r="RA11" s="267"/>
      <c r="RB11" s="269"/>
      <c r="RC11" s="267"/>
      <c r="RD11" s="267"/>
      <c r="RE11" s="272"/>
      <c r="RF11" s="275"/>
      <c r="RG11" s="278"/>
      <c r="RH11" s="262"/>
      <c r="RI11" s="265"/>
      <c r="RJ11" s="267"/>
      <c r="RK11" s="267"/>
      <c r="RL11" s="269"/>
      <c r="RM11" s="265"/>
      <c r="RN11" s="265"/>
      <c r="RO11" s="265"/>
      <c r="RP11" s="267"/>
      <c r="RQ11" s="265"/>
      <c r="RR11" s="267"/>
      <c r="RS11" s="267"/>
      <c r="RT11" s="269"/>
      <c r="RU11" s="267"/>
      <c r="RV11" s="267"/>
      <c r="RW11" s="272"/>
      <c r="RX11" s="275"/>
      <c r="RY11" s="278"/>
      <c r="RZ11" s="262"/>
      <c r="SA11" s="265"/>
      <c r="SB11" s="267"/>
      <c r="SC11" s="267"/>
      <c r="SD11" s="269"/>
      <c r="SE11" s="265"/>
      <c r="SF11" s="265"/>
      <c r="SG11" s="265"/>
      <c r="SH11" s="267"/>
      <c r="SI11" s="265"/>
      <c r="SJ11" s="267"/>
      <c r="SK11" s="267"/>
      <c r="SL11" s="269"/>
      <c r="SM11" s="267"/>
      <c r="SN11" s="267"/>
      <c r="SO11" s="272"/>
      <c r="SP11" s="275"/>
      <c r="SQ11" s="278"/>
      <c r="SR11" s="262"/>
      <c r="SS11" s="265"/>
      <c r="ST11" s="267"/>
      <c r="SU11" s="267"/>
      <c r="SV11" s="269"/>
      <c r="SW11" s="265"/>
      <c r="SX11" s="265"/>
      <c r="SY11" s="265"/>
      <c r="SZ11" s="267"/>
      <c r="TA11" s="265"/>
      <c r="TB11" s="267"/>
      <c r="TC11" s="267"/>
      <c r="TD11" s="269"/>
      <c r="TE11" s="267"/>
      <c r="TF11" s="267"/>
      <c r="TG11" s="272"/>
      <c r="TH11" s="275"/>
      <c r="TI11" s="278"/>
      <c r="TJ11" s="262"/>
      <c r="TK11" s="265"/>
      <c r="TL11" s="267"/>
      <c r="TM11" s="267"/>
      <c r="TN11" s="269"/>
      <c r="TO11" s="265"/>
      <c r="TP11" s="265"/>
      <c r="TQ11" s="265"/>
      <c r="TR11" s="267"/>
      <c r="TS11" s="265"/>
      <c r="TT11" s="267"/>
      <c r="TU11" s="267"/>
      <c r="TV11" s="269"/>
      <c r="TW11" s="267"/>
      <c r="TX11" s="267"/>
      <c r="TY11" s="272"/>
      <c r="TZ11" s="275"/>
      <c r="UA11" s="278"/>
      <c r="UB11" s="262"/>
      <c r="UC11" s="265"/>
      <c r="UD11" s="267"/>
      <c r="UE11" s="267"/>
      <c r="UF11" s="269"/>
      <c r="UG11" s="265"/>
      <c r="UH11" s="265"/>
      <c r="UI11" s="265"/>
      <c r="UJ11" s="267"/>
      <c r="UK11" s="265"/>
      <c r="UL11" s="267"/>
      <c r="UM11" s="267"/>
      <c r="UN11" s="269"/>
      <c r="UO11" s="267"/>
      <c r="UP11" s="267"/>
      <c r="UQ11" s="272"/>
      <c r="UR11" s="275"/>
      <c r="US11" s="278"/>
    </row>
    <row r="12" spans="1:565" ht="50.25" customHeight="1" thickBot="1" x14ac:dyDescent="0.35">
      <c r="A12" s="5"/>
      <c r="B12" s="288"/>
      <c r="C12" s="291"/>
      <c r="D12" s="24"/>
      <c r="E12" s="25"/>
      <c r="F12" s="268"/>
      <c r="G12" s="268"/>
      <c r="H12" s="263"/>
      <c r="I12" s="266"/>
      <c r="J12" s="268"/>
      <c r="K12" s="268"/>
      <c r="L12" s="270"/>
      <c r="M12" s="266"/>
      <c r="N12" s="266"/>
      <c r="O12" s="266"/>
      <c r="P12" s="268"/>
      <c r="Q12" s="266"/>
      <c r="R12" s="268"/>
      <c r="S12" s="268"/>
      <c r="T12" s="270"/>
      <c r="U12" s="268"/>
      <c r="V12" s="268"/>
      <c r="W12" s="273"/>
      <c r="X12" s="276"/>
      <c r="Y12" s="279"/>
      <c r="Z12" s="263"/>
      <c r="AA12" s="266"/>
      <c r="AB12" s="268"/>
      <c r="AC12" s="268"/>
      <c r="AD12" s="270"/>
      <c r="AE12" s="266"/>
      <c r="AF12" s="266"/>
      <c r="AG12" s="266"/>
      <c r="AH12" s="268"/>
      <c r="AI12" s="266"/>
      <c r="AJ12" s="268"/>
      <c r="AK12" s="268"/>
      <c r="AL12" s="270"/>
      <c r="AM12" s="268"/>
      <c r="AN12" s="268"/>
      <c r="AO12" s="273"/>
      <c r="AP12" s="276"/>
      <c r="AQ12" s="279"/>
      <c r="AR12" s="263"/>
      <c r="AS12" s="266"/>
      <c r="AT12" s="268"/>
      <c r="AU12" s="268"/>
      <c r="AV12" s="270"/>
      <c r="AW12" s="266"/>
      <c r="AX12" s="266"/>
      <c r="AY12" s="266"/>
      <c r="AZ12" s="268"/>
      <c r="BA12" s="266"/>
      <c r="BB12" s="268"/>
      <c r="BC12" s="268"/>
      <c r="BD12" s="270"/>
      <c r="BE12" s="268"/>
      <c r="BF12" s="268"/>
      <c r="BG12" s="273"/>
      <c r="BH12" s="276"/>
      <c r="BI12" s="279"/>
      <c r="BJ12" s="263"/>
      <c r="BK12" s="266"/>
      <c r="BL12" s="268"/>
      <c r="BM12" s="268"/>
      <c r="BN12" s="270"/>
      <c r="BO12" s="266"/>
      <c r="BP12" s="266"/>
      <c r="BQ12" s="266"/>
      <c r="BR12" s="268"/>
      <c r="BS12" s="266"/>
      <c r="BT12" s="268"/>
      <c r="BU12" s="268"/>
      <c r="BV12" s="270"/>
      <c r="BW12" s="268"/>
      <c r="BX12" s="268"/>
      <c r="BY12" s="273"/>
      <c r="BZ12" s="276"/>
      <c r="CA12" s="279"/>
      <c r="CB12" s="263"/>
      <c r="CC12" s="266"/>
      <c r="CD12" s="268"/>
      <c r="CE12" s="268"/>
      <c r="CF12" s="270"/>
      <c r="CG12" s="266"/>
      <c r="CH12" s="266"/>
      <c r="CI12" s="266"/>
      <c r="CJ12" s="268"/>
      <c r="CK12" s="266"/>
      <c r="CL12" s="268"/>
      <c r="CM12" s="268"/>
      <c r="CN12" s="270"/>
      <c r="CO12" s="268"/>
      <c r="CP12" s="268"/>
      <c r="CQ12" s="273"/>
      <c r="CR12" s="276"/>
      <c r="CS12" s="279"/>
      <c r="CT12" s="263"/>
      <c r="CU12" s="266"/>
      <c r="CV12" s="268"/>
      <c r="CW12" s="268"/>
      <c r="CX12" s="270"/>
      <c r="CY12" s="266"/>
      <c r="CZ12" s="266"/>
      <c r="DA12" s="266"/>
      <c r="DB12" s="268"/>
      <c r="DC12" s="266"/>
      <c r="DD12" s="268"/>
      <c r="DE12" s="268"/>
      <c r="DF12" s="270"/>
      <c r="DG12" s="268"/>
      <c r="DH12" s="268"/>
      <c r="DI12" s="273"/>
      <c r="DJ12" s="276"/>
      <c r="DK12" s="279"/>
      <c r="DL12" s="263"/>
      <c r="DM12" s="266"/>
      <c r="DN12" s="268"/>
      <c r="DO12" s="268"/>
      <c r="DP12" s="270"/>
      <c r="DQ12" s="266"/>
      <c r="DR12" s="266"/>
      <c r="DS12" s="266"/>
      <c r="DT12" s="268"/>
      <c r="DU12" s="266"/>
      <c r="DV12" s="268"/>
      <c r="DW12" s="268"/>
      <c r="DX12" s="270"/>
      <c r="DY12" s="268"/>
      <c r="DZ12" s="268"/>
      <c r="EA12" s="273"/>
      <c r="EB12" s="276"/>
      <c r="EC12" s="279"/>
      <c r="ED12" s="263"/>
      <c r="EE12" s="266"/>
      <c r="EF12" s="268"/>
      <c r="EG12" s="268"/>
      <c r="EH12" s="270"/>
      <c r="EI12" s="266"/>
      <c r="EJ12" s="266"/>
      <c r="EK12" s="266"/>
      <c r="EL12" s="268"/>
      <c r="EM12" s="266"/>
      <c r="EN12" s="268"/>
      <c r="EO12" s="268"/>
      <c r="EP12" s="270"/>
      <c r="EQ12" s="268"/>
      <c r="ER12" s="268"/>
      <c r="ES12" s="273"/>
      <c r="ET12" s="276"/>
      <c r="EU12" s="279"/>
      <c r="EV12" s="263"/>
      <c r="EW12" s="266"/>
      <c r="EX12" s="268"/>
      <c r="EY12" s="268"/>
      <c r="EZ12" s="270"/>
      <c r="FA12" s="266"/>
      <c r="FB12" s="266"/>
      <c r="FC12" s="266"/>
      <c r="FD12" s="268"/>
      <c r="FE12" s="266"/>
      <c r="FF12" s="268"/>
      <c r="FG12" s="268"/>
      <c r="FH12" s="270"/>
      <c r="FI12" s="268"/>
      <c r="FJ12" s="268"/>
      <c r="FK12" s="273"/>
      <c r="FL12" s="276"/>
      <c r="FM12" s="279"/>
      <c r="FN12" s="263"/>
      <c r="FO12" s="266"/>
      <c r="FP12" s="268"/>
      <c r="FQ12" s="268"/>
      <c r="FR12" s="270"/>
      <c r="FS12" s="266"/>
      <c r="FT12" s="266"/>
      <c r="FU12" s="266"/>
      <c r="FV12" s="268"/>
      <c r="FW12" s="266"/>
      <c r="FX12" s="268"/>
      <c r="FY12" s="268"/>
      <c r="FZ12" s="270"/>
      <c r="GA12" s="268"/>
      <c r="GB12" s="268"/>
      <c r="GC12" s="273"/>
      <c r="GD12" s="276"/>
      <c r="GE12" s="279"/>
      <c r="GF12" s="263"/>
      <c r="GG12" s="266"/>
      <c r="GH12" s="268"/>
      <c r="GI12" s="268"/>
      <c r="GJ12" s="270"/>
      <c r="GK12" s="266"/>
      <c r="GL12" s="266"/>
      <c r="GM12" s="266"/>
      <c r="GN12" s="268"/>
      <c r="GO12" s="266"/>
      <c r="GP12" s="268"/>
      <c r="GQ12" s="268"/>
      <c r="GR12" s="270"/>
      <c r="GS12" s="268"/>
      <c r="GT12" s="268"/>
      <c r="GU12" s="273"/>
      <c r="GV12" s="276"/>
      <c r="GW12" s="279"/>
      <c r="GX12" s="263"/>
      <c r="GY12" s="266"/>
      <c r="GZ12" s="268"/>
      <c r="HA12" s="268"/>
      <c r="HB12" s="270"/>
      <c r="HC12" s="266"/>
      <c r="HD12" s="266"/>
      <c r="HE12" s="266"/>
      <c r="HF12" s="268"/>
      <c r="HG12" s="266"/>
      <c r="HH12" s="268"/>
      <c r="HI12" s="268"/>
      <c r="HJ12" s="270"/>
      <c r="HK12" s="268"/>
      <c r="HL12" s="268"/>
      <c r="HM12" s="273"/>
      <c r="HN12" s="276"/>
      <c r="HO12" s="279"/>
      <c r="HP12" s="263"/>
      <c r="HQ12" s="266"/>
      <c r="HR12" s="268"/>
      <c r="HS12" s="268"/>
      <c r="HT12" s="270"/>
      <c r="HU12" s="266"/>
      <c r="HV12" s="266"/>
      <c r="HW12" s="266"/>
      <c r="HX12" s="268"/>
      <c r="HY12" s="266"/>
      <c r="HZ12" s="268"/>
      <c r="IA12" s="268"/>
      <c r="IB12" s="270"/>
      <c r="IC12" s="268"/>
      <c r="ID12" s="268"/>
      <c r="IE12" s="273"/>
      <c r="IF12" s="276"/>
      <c r="IG12" s="279"/>
      <c r="IH12" s="263"/>
      <c r="II12" s="266"/>
      <c r="IJ12" s="268"/>
      <c r="IK12" s="268"/>
      <c r="IL12" s="270"/>
      <c r="IM12" s="266"/>
      <c r="IN12" s="266"/>
      <c r="IO12" s="266"/>
      <c r="IP12" s="268"/>
      <c r="IQ12" s="266"/>
      <c r="IR12" s="268"/>
      <c r="IS12" s="268"/>
      <c r="IT12" s="270"/>
      <c r="IU12" s="268"/>
      <c r="IV12" s="268"/>
      <c r="IW12" s="273"/>
      <c r="IX12" s="276"/>
      <c r="IY12" s="279"/>
      <c r="IZ12" s="263"/>
      <c r="JA12" s="266"/>
      <c r="JB12" s="268"/>
      <c r="JC12" s="268"/>
      <c r="JD12" s="270"/>
      <c r="JE12" s="266"/>
      <c r="JF12" s="266"/>
      <c r="JG12" s="266"/>
      <c r="JH12" s="268"/>
      <c r="JI12" s="266"/>
      <c r="JJ12" s="268"/>
      <c r="JK12" s="268"/>
      <c r="JL12" s="270"/>
      <c r="JM12" s="268"/>
      <c r="JN12" s="268"/>
      <c r="JO12" s="273"/>
      <c r="JP12" s="276"/>
      <c r="JQ12" s="279"/>
      <c r="JR12" s="263"/>
      <c r="JS12" s="266"/>
      <c r="JT12" s="268"/>
      <c r="JU12" s="268"/>
      <c r="JV12" s="270"/>
      <c r="JW12" s="266"/>
      <c r="JX12" s="266"/>
      <c r="JY12" s="266"/>
      <c r="JZ12" s="268"/>
      <c r="KA12" s="266"/>
      <c r="KB12" s="268"/>
      <c r="KC12" s="268"/>
      <c r="KD12" s="270"/>
      <c r="KE12" s="268"/>
      <c r="KF12" s="268"/>
      <c r="KG12" s="273"/>
      <c r="KH12" s="276"/>
      <c r="KI12" s="279"/>
      <c r="KJ12" s="263"/>
      <c r="KK12" s="266"/>
      <c r="KL12" s="268"/>
      <c r="KM12" s="268"/>
      <c r="KN12" s="270"/>
      <c r="KO12" s="266"/>
      <c r="KP12" s="266"/>
      <c r="KQ12" s="266"/>
      <c r="KR12" s="268"/>
      <c r="KS12" s="266"/>
      <c r="KT12" s="268"/>
      <c r="KU12" s="268"/>
      <c r="KV12" s="270"/>
      <c r="KW12" s="268"/>
      <c r="KX12" s="268"/>
      <c r="KY12" s="273"/>
      <c r="KZ12" s="276"/>
      <c r="LA12" s="279"/>
      <c r="LB12" s="263"/>
      <c r="LC12" s="266"/>
      <c r="LD12" s="268"/>
      <c r="LE12" s="268"/>
      <c r="LF12" s="270"/>
      <c r="LG12" s="266"/>
      <c r="LH12" s="266"/>
      <c r="LI12" s="266"/>
      <c r="LJ12" s="268"/>
      <c r="LK12" s="266"/>
      <c r="LL12" s="268"/>
      <c r="LM12" s="268"/>
      <c r="LN12" s="270"/>
      <c r="LO12" s="268"/>
      <c r="LP12" s="268"/>
      <c r="LQ12" s="273"/>
      <c r="LR12" s="276"/>
      <c r="LS12" s="279"/>
      <c r="LT12" s="263"/>
      <c r="LU12" s="266"/>
      <c r="LV12" s="268"/>
      <c r="LW12" s="268"/>
      <c r="LX12" s="270"/>
      <c r="LY12" s="266"/>
      <c r="LZ12" s="266"/>
      <c r="MA12" s="266"/>
      <c r="MB12" s="268"/>
      <c r="MC12" s="266"/>
      <c r="MD12" s="268"/>
      <c r="ME12" s="268"/>
      <c r="MF12" s="270"/>
      <c r="MG12" s="268"/>
      <c r="MH12" s="268"/>
      <c r="MI12" s="273"/>
      <c r="MJ12" s="276"/>
      <c r="MK12" s="279"/>
      <c r="ML12" s="263"/>
      <c r="MM12" s="266"/>
      <c r="MN12" s="268"/>
      <c r="MO12" s="268"/>
      <c r="MP12" s="270"/>
      <c r="MQ12" s="266"/>
      <c r="MR12" s="266"/>
      <c r="MS12" s="266"/>
      <c r="MT12" s="268"/>
      <c r="MU12" s="266"/>
      <c r="MV12" s="268"/>
      <c r="MW12" s="268"/>
      <c r="MX12" s="270"/>
      <c r="MY12" s="268"/>
      <c r="MZ12" s="268"/>
      <c r="NA12" s="273"/>
      <c r="NB12" s="276"/>
      <c r="NC12" s="279"/>
      <c r="ND12" s="263"/>
      <c r="NE12" s="266"/>
      <c r="NF12" s="268"/>
      <c r="NG12" s="268"/>
      <c r="NH12" s="270"/>
      <c r="NI12" s="266"/>
      <c r="NJ12" s="266"/>
      <c r="NK12" s="266"/>
      <c r="NL12" s="268"/>
      <c r="NM12" s="266"/>
      <c r="NN12" s="268"/>
      <c r="NO12" s="268"/>
      <c r="NP12" s="270"/>
      <c r="NQ12" s="268"/>
      <c r="NR12" s="268"/>
      <c r="NS12" s="273"/>
      <c r="NT12" s="276"/>
      <c r="NU12" s="279"/>
      <c r="NV12" s="263"/>
      <c r="NW12" s="266"/>
      <c r="NX12" s="268"/>
      <c r="NY12" s="268"/>
      <c r="NZ12" s="270"/>
      <c r="OA12" s="266"/>
      <c r="OB12" s="266"/>
      <c r="OC12" s="266"/>
      <c r="OD12" s="268"/>
      <c r="OE12" s="266"/>
      <c r="OF12" s="268"/>
      <c r="OG12" s="268"/>
      <c r="OH12" s="270"/>
      <c r="OI12" s="268"/>
      <c r="OJ12" s="268"/>
      <c r="OK12" s="273"/>
      <c r="OL12" s="276"/>
      <c r="OM12" s="279"/>
      <c r="ON12" s="263"/>
      <c r="OO12" s="266"/>
      <c r="OP12" s="268"/>
      <c r="OQ12" s="268"/>
      <c r="OR12" s="270"/>
      <c r="OS12" s="266"/>
      <c r="OT12" s="266"/>
      <c r="OU12" s="266"/>
      <c r="OV12" s="268"/>
      <c r="OW12" s="266"/>
      <c r="OX12" s="268"/>
      <c r="OY12" s="268"/>
      <c r="OZ12" s="270"/>
      <c r="PA12" s="268"/>
      <c r="PB12" s="268"/>
      <c r="PC12" s="273"/>
      <c r="PD12" s="276"/>
      <c r="PE12" s="279"/>
      <c r="PF12" s="263"/>
      <c r="PG12" s="266"/>
      <c r="PH12" s="268"/>
      <c r="PI12" s="268"/>
      <c r="PJ12" s="270"/>
      <c r="PK12" s="266"/>
      <c r="PL12" s="266"/>
      <c r="PM12" s="266"/>
      <c r="PN12" s="268"/>
      <c r="PO12" s="266"/>
      <c r="PP12" s="268"/>
      <c r="PQ12" s="268"/>
      <c r="PR12" s="270"/>
      <c r="PS12" s="268"/>
      <c r="PT12" s="268"/>
      <c r="PU12" s="273"/>
      <c r="PV12" s="276"/>
      <c r="PW12" s="279"/>
      <c r="PX12" s="263"/>
      <c r="PY12" s="266"/>
      <c r="PZ12" s="268"/>
      <c r="QA12" s="268"/>
      <c r="QB12" s="270"/>
      <c r="QC12" s="266"/>
      <c r="QD12" s="266"/>
      <c r="QE12" s="266"/>
      <c r="QF12" s="268"/>
      <c r="QG12" s="266"/>
      <c r="QH12" s="268"/>
      <c r="QI12" s="268"/>
      <c r="QJ12" s="270"/>
      <c r="QK12" s="268"/>
      <c r="QL12" s="268"/>
      <c r="QM12" s="273"/>
      <c r="QN12" s="276"/>
      <c r="QO12" s="279"/>
      <c r="QP12" s="263"/>
      <c r="QQ12" s="266"/>
      <c r="QR12" s="268"/>
      <c r="QS12" s="268"/>
      <c r="QT12" s="270"/>
      <c r="QU12" s="266"/>
      <c r="QV12" s="266"/>
      <c r="QW12" s="266"/>
      <c r="QX12" s="268"/>
      <c r="QY12" s="266"/>
      <c r="QZ12" s="268"/>
      <c r="RA12" s="268"/>
      <c r="RB12" s="270"/>
      <c r="RC12" s="268"/>
      <c r="RD12" s="268"/>
      <c r="RE12" s="273"/>
      <c r="RF12" s="276"/>
      <c r="RG12" s="279"/>
      <c r="RH12" s="263"/>
      <c r="RI12" s="266"/>
      <c r="RJ12" s="268"/>
      <c r="RK12" s="268"/>
      <c r="RL12" s="270"/>
      <c r="RM12" s="266"/>
      <c r="RN12" s="266"/>
      <c r="RO12" s="266"/>
      <c r="RP12" s="268"/>
      <c r="RQ12" s="266"/>
      <c r="RR12" s="268"/>
      <c r="RS12" s="268"/>
      <c r="RT12" s="270"/>
      <c r="RU12" s="268"/>
      <c r="RV12" s="268"/>
      <c r="RW12" s="273"/>
      <c r="RX12" s="276"/>
      <c r="RY12" s="279"/>
      <c r="RZ12" s="263"/>
      <c r="SA12" s="266"/>
      <c r="SB12" s="268"/>
      <c r="SC12" s="268"/>
      <c r="SD12" s="270"/>
      <c r="SE12" s="266"/>
      <c r="SF12" s="266"/>
      <c r="SG12" s="266"/>
      <c r="SH12" s="268"/>
      <c r="SI12" s="266"/>
      <c r="SJ12" s="268"/>
      <c r="SK12" s="268"/>
      <c r="SL12" s="270"/>
      <c r="SM12" s="268"/>
      <c r="SN12" s="268"/>
      <c r="SO12" s="273"/>
      <c r="SP12" s="276"/>
      <c r="SQ12" s="279"/>
      <c r="SR12" s="263"/>
      <c r="SS12" s="266"/>
      <c r="ST12" s="268"/>
      <c r="SU12" s="268"/>
      <c r="SV12" s="270"/>
      <c r="SW12" s="266"/>
      <c r="SX12" s="266"/>
      <c r="SY12" s="266"/>
      <c r="SZ12" s="268"/>
      <c r="TA12" s="266"/>
      <c r="TB12" s="268"/>
      <c r="TC12" s="268"/>
      <c r="TD12" s="270"/>
      <c r="TE12" s="268"/>
      <c r="TF12" s="268"/>
      <c r="TG12" s="273"/>
      <c r="TH12" s="276"/>
      <c r="TI12" s="279"/>
      <c r="TJ12" s="263"/>
      <c r="TK12" s="266"/>
      <c r="TL12" s="268"/>
      <c r="TM12" s="268"/>
      <c r="TN12" s="270"/>
      <c r="TO12" s="266"/>
      <c r="TP12" s="266"/>
      <c r="TQ12" s="266"/>
      <c r="TR12" s="268"/>
      <c r="TS12" s="266"/>
      <c r="TT12" s="268"/>
      <c r="TU12" s="268"/>
      <c r="TV12" s="270"/>
      <c r="TW12" s="268"/>
      <c r="TX12" s="268"/>
      <c r="TY12" s="273"/>
      <c r="TZ12" s="276"/>
      <c r="UA12" s="279"/>
      <c r="UB12" s="263"/>
      <c r="UC12" s="266"/>
      <c r="UD12" s="268"/>
      <c r="UE12" s="268"/>
      <c r="UF12" s="270"/>
      <c r="UG12" s="266"/>
      <c r="UH12" s="266"/>
      <c r="UI12" s="266"/>
      <c r="UJ12" s="268"/>
      <c r="UK12" s="266"/>
      <c r="UL12" s="268"/>
      <c r="UM12" s="268"/>
      <c r="UN12" s="270"/>
      <c r="UO12" s="268"/>
      <c r="UP12" s="268"/>
      <c r="UQ12" s="273"/>
      <c r="UR12" s="276"/>
      <c r="US12" s="279"/>
    </row>
    <row r="13" spans="1:565" ht="15" thickBot="1" x14ac:dyDescent="0.35">
      <c r="A13" s="6"/>
      <c r="B13" s="167"/>
      <c r="C13" s="7"/>
      <c r="D13" s="7" t="s">
        <v>269</v>
      </c>
      <c r="E13" s="26" t="s">
        <v>270</v>
      </c>
      <c r="F13" s="95" t="s">
        <v>323</v>
      </c>
      <c r="G13" s="95" t="s">
        <v>324</v>
      </c>
      <c r="H13" s="28" t="str">
        <f>H5&amp;"04"</f>
        <v>3704</v>
      </c>
      <c r="I13" s="28" t="str">
        <f>H5&amp;"05"</f>
        <v>3705</v>
      </c>
      <c r="J13" s="28" t="str">
        <f>H5&amp;"06"</f>
        <v>3706</v>
      </c>
      <c r="K13" s="28" t="str">
        <f>H5&amp;"07"</f>
        <v>3707</v>
      </c>
      <c r="L13" s="28" t="str">
        <f>H5&amp;"08"</f>
        <v>3708</v>
      </c>
      <c r="M13" s="28" t="str">
        <f>H5&amp;"09"</f>
        <v>3709</v>
      </c>
      <c r="N13" s="28" t="str">
        <f>H5&amp;"52"</f>
        <v>3752</v>
      </c>
      <c r="O13" s="28" t="str">
        <f>H5&amp;"10"</f>
        <v>3710</v>
      </c>
      <c r="P13" s="28" t="str">
        <f>H5&amp;"11"</f>
        <v>3711</v>
      </c>
      <c r="Q13" s="28" t="str">
        <f>H5&amp;"12"</f>
        <v>3712</v>
      </c>
      <c r="R13" s="28" t="str">
        <f>H5&amp;"13"</f>
        <v>3713</v>
      </c>
      <c r="S13" s="28" t="str">
        <f>H5&amp;"14"</f>
        <v>3714</v>
      </c>
      <c r="T13" s="28" t="str">
        <f>H5&amp;"15"</f>
        <v>3715</v>
      </c>
      <c r="U13" s="28" t="str">
        <f>H5&amp;"16"</f>
        <v>3716</v>
      </c>
      <c r="V13" s="28" t="str">
        <f>H5&amp;"21"</f>
        <v>3721</v>
      </c>
      <c r="W13" s="92" t="str">
        <f>H5&amp;"19"</f>
        <v>3719</v>
      </c>
      <c r="X13" s="7" t="str">
        <f>H5&amp;"51"</f>
        <v>3751</v>
      </c>
      <c r="Y13" s="91" t="str">
        <f>H5&amp;"23"</f>
        <v>3723</v>
      </c>
      <c r="Z13" s="28" t="str">
        <f>Z5&amp;"04"</f>
        <v>6204</v>
      </c>
      <c r="AA13" s="28" t="str">
        <f>Z5&amp;"05"</f>
        <v>6205</v>
      </c>
      <c r="AB13" s="28" t="str">
        <f>Z5&amp;"06"</f>
        <v>6206</v>
      </c>
      <c r="AC13" s="28" t="str">
        <f>Z5&amp;"07"</f>
        <v>6207</v>
      </c>
      <c r="AD13" s="28" t="str">
        <f>Z5&amp;"08"</f>
        <v>6208</v>
      </c>
      <c r="AE13" s="28" t="str">
        <f>Z5&amp;"09"</f>
        <v>6209</v>
      </c>
      <c r="AF13" s="28" t="str">
        <f>Z5&amp;"52"</f>
        <v>6252</v>
      </c>
      <c r="AG13" s="28" t="str">
        <f>Z5&amp;"10"</f>
        <v>6210</v>
      </c>
      <c r="AH13" s="28" t="str">
        <f>Z5&amp;"11"</f>
        <v>6211</v>
      </c>
      <c r="AI13" s="28" t="str">
        <f>Z5&amp;"12"</f>
        <v>6212</v>
      </c>
      <c r="AJ13" s="28" t="str">
        <f>Z5&amp;"13"</f>
        <v>6213</v>
      </c>
      <c r="AK13" s="28" t="str">
        <f>Z5&amp;"14"</f>
        <v>6214</v>
      </c>
      <c r="AL13" s="28" t="str">
        <f>Z5&amp;"15"</f>
        <v>6215</v>
      </c>
      <c r="AM13" s="28" t="str">
        <f>Z5&amp;"16"</f>
        <v>6216</v>
      </c>
      <c r="AN13" s="28" t="str">
        <f>Z5&amp;"21"</f>
        <v>6221</v>
      </c>
      <c r="AO13" s="92" t="str">
        <f>Z5&amp;"19"</f>
        <v>6219</v>
      </c>
      <c r="AP13" s="7" t="str">
        <f>Z5&amp;"51"</f>
        <v>6251</v>
      </c>
      <c r="AQ13" s="91" t="str">
        <f>Z5&amp;"23"</f>
        <v>6223</v>
      </c>
      <c r="AR13" s="28" t="str">
        <f>AR5&amp;"04"</f>
        <v>4504</v>
      </c>
      <c r="AS13" s="28" t="str">
        <f>AR5&amp;"05"</f>
        <v>4505</v>
      </c>
      <c r="AT13" s="28" t="str">
        <f>AR5&amp;"06"</f>
        <v>4506</v>
      </c>
      <c r="AU13" s="28" t="str">
        <f>AR5&amp;"07"</f>
        <v>4507</v>
      </c>
      <c r="AV13" s="28" t="str">
        <f>AR5&amp;"08"</f>
        <v>4508</v>
      </c>
      <c r="AW13" s="28" t="str">
        <f>AR5&amp;"09"</f>
        <v>4509</v>
      </c>
      <c r="AX13" s="28" t="str">
        <f>AR5&amp;"52"</f>
        <v>4552</v>
      </c>
      <c r="AY13" s="28" t="str">
        <f>AR5&amp;"10"</f>
        <v>4510</v>
      </c>
      <c r="AZ13" s="28" t="str">
        <f>AR5&amp;"11"</f>
        <v>4511</v>
      </c>
      <c r="BA13" s="28" t="str">
        <f>AR5&amp;"12"</f>
        <v>4512</v>
      </c>
      <c r="BB13" s="28" t="str">
        <f>AR5&amp;"13"</f>
        <v>4513</v>
      </c>
      <c r="BC13" s="28" t="str">
        <f>AR5&amp;"14"</f>
        <v>4514</v>
      </c>
      <c r="BD13" s="28" t="str">
        <f>AR5&amp;"15"</f>
        <v>4515</v>
      </c>
      <c r="BE13" s="28" t="str">
        <f>AR5&amp;"16"</f>
        <v>4516</v>
      </c>
      <c r="BF13" s="28" t="str">
        <f>AR5&amp;"21"</f>
        <v>4521</v>
      </c>
      <c r="BG13" s="92" t="str">
        <f>AR5&amp;"19"</f>
        <v>4519</v>
      </c>
      <c r="BH13" s="7" t="str">
        <f>AR5&amp;"51"</f>
        <v>4551</v>
      </c>
      <c r="BI13" s="91" t="str">
        <f>AR5&amp;"23"</f>
        <v>4523</v>
      </c>
      <c r="BJ13" s="147" t="str">
        <f>BJ5&amp;"04"</f>
        <v>КОЛ06104</v>
      </c>
      <c r="BK13" s="147" t="str">
        <f>BJ5&amp;"05"</f>
        <v>КОЛ06105</v>
      </c>
      <c r="BL13" s="147" t="str">
        <f>BJ5&amp;"06"</f>
        <v>КОЛ06106</v>
      </c>
      <c r="BM13" s="147" t="str">
        <f>BJ5&amp;"07"</f>
        <v>КОЛ06107</v>
      </c>
      <c r="BN13" s="147" t="str">
        <f>BJ5&amp;"08"</f>
        <v>КОЛ06108</v>
      </c>
      <c r="BO13" s="147" t="str">
        <f>BJ5&amp;"09"</f>
        <v>КОЛ06109</v>
      </c>
      <c r="BP13" s="147" t="str">
        <f>BJ5&amp;"52"</f>
        <v>КОЛ06152</v>
      </c>
      <c r="BQ13" s="147" t="str">
        <f>BJ5&amp;"10"</f>
        <v>КОЛ06110</v>
      </c>
      <c r="BR13" s="147" t="str">
        <f>BJ5&amp;"11"</f>
        <v>КОЛ06111</v>
      </c>
      <c r="BS13" s="147" t="str">
        <f>BJ5&amp;"12"</f>
        <v>КОЛ06112</v>
      </c>
      <c r="BT13" s="147" t="str">
        <f>BJ5&amp;"13"</f>
        <v>КОЛ06113</v>
      </c>
      <c r="BU13" s="147" t="str">
        <f>BJ5&amp;"14"</f>
        <v>КОЛ06114</v>
      </c>
      <c r="BV13" s="147" t="str">
        <f>BJ5&amp;"15"</f>
        <v>КОЛ06115</v>
      </c>
      <c r="BW13" s="147" t="str">
        <f>BJ5&amp;"16"</f>
        <v>КОЛ06116</v>
      </c>
      <c r="BX13" s="147" t="str">
        <f>BJ5&amp;"21"</f>
        <v>КОЛ06121</v>
      </c>
      <c r="BY13" s="152" t="str">
        <f>BJ5&amp;"19"</f>
        <v>КОЛ06119</v>
      </c>
      <c r="BZ13" s="132" t="str">
        <f>BJ5&amp;"51"</f>
        <v>КОЛ06151</v>
      </c>
      <c r="CA13" s="151" t="str">
        <f>BJ5&amp;"23"</f>
        <v>КОЛ06123</v>
      </c>
      <c r="CB13" s="28" t="str">
        <f>CB5&amp;"04"</f>
        <v>1704</v>
      </c>
      <c r="CC13" s="28" t="str">
        <f>CB5&amp;"05"</f>
        <v>1705</v>
      </c>
      <c r="CD13" s="28" t="str">
        <f>CB5&amp;"06"</f>
        <v>1706</v>
      </c>
      <c r="CE13" s="28" t="str">
        <f>CB5&amp;"07"</f>
        <v>1707</v>
      </c>
      <c r="CF13" s="28" t="str">
        <f>CB5&amp;"08"</f>
        <v>1708</v>
      </c>
      <c r="CG13" s="28" t="str">
        <f>CB5&amp;"09"</f>
        <v>1709</v>
      </c>
      <c r="CH13" s="28" t="str">
        <f>CB5&amp;"52"</f>
        <v>1752</v>
      </c>
      <c r="CI13" s="28" t="str">
        <f>CB5&amp;"10"</f>
        <v>1710</v>
      </c>
      <c r="CJ13" s="28" t="str">
        <f>CB5&amp;"11"</f>
        <v>1711</v>
      </c>
      <c r="CK13" s="28" t="str">
        <f>CB5&amp;"12"</f>
        <v>1712</v>
      </c>
      <c r="CL13" s="28" t="str">
        <f>CB5&amp;"13"</f>
        <v>1713</v>
      </c>
      <c r="CM13" s="28" t="str">
        <f>CB5&amp;"14"</f>
        <v>1714</v>
      </c>
      <c r="CN13" s="28" t="str">
        <f>CB5&amp;"15"</f>
        <v>1715</v>
      </c>
      <c r="CO13" s="28" t="str">
        <f>CB5&amp;"16"</f>
        <v>1716</v>
      </c>
      <c r="CP13" s="28" t="str">
        <f>CB5&amp;"21"</f>
        <v>1721</v>
      </c>
      <c r="CQ13" s="92" t="str">
        <f>CB5&amp;"19"</f>
        <v>1719</v>
      </c>
      <c r="CR13" s="7" t="str">
        <f>CB5&amp;"51"</f>
        <v>1751</v>
      </c>
      <c r="CS13" s="91" t="str">
        <f>CB5&amp;"23"</f>
        <v>1723</v>
      </c>
      <c r="CT13" s="147" t="str">
        <f>CT5&amp;"04"</f>
        <v>КОЛ01704</v>
      </c>
      <c r="CU13" s="147" t="str">
        <f>CT5&amp;"05"</f>
        <v>КОЛ01705</v>
      </c>
      <c r="CV13" s="147" t="str">
        <f>CT5&amp;"06"</f>
        <v>КОЛ01706</v>
      </c>
      <c r="CW13" s="147" t="str">
        <f>CT5&amp;"07"</f>
        <v>КОЛ01707</v>
      </c>
      <c r="CX13" s="147" t="str">
        <f>CT5&amp;"08"</f>
        <v>КОЛ01708</v>
      </c>
      <c r="CY13" s="147" t="str">
        <f>CT5&amp;"09"</f>
        <v>КОЛ01709</v>
      </c>
      <c r="CZ13" s="147" t="str">
        <f>CT5&amp;"52"</f>
        <v>КОЛ01752</v>
      </c>
      <c r="DA13" s="147" t="str">
        <f>CT5&amp;"10"</f>
        <v>КОЛ01710</v>
      </c>
      <c r="DB13" s="147" t="str">
        <f>CT5&amp;"11"</f>
        <v>КОЛ01711</v>
      </c>
      <c r="DC13" s="147" t="str">
        <f>CT5&amp;"12"</f>
        <v>КОЛ01712</v>
      </c>
      <c r="DD13" s="147" t="str">
        <f>CT5&amp;"13"</f>
        <v>КОЛ01713</v>
      </c>
      <c r="DE13" s="147" t="str">
        <f>CT5&amp;"14"</f>
        <v>КОЛ01714</v>
      </c>
      <c r="DF13" s="147" t="str">
        <f>CT5&amp;"15"</f>
        <v>КОЛ01715</v>
      </c>
      <c r="DG13" s="147" t="str">
        <f>CT5&amp;"16"</f>
        <v>КОЛ01716</v>
      </c>
      <c r="DH13" s="147" t="str">
        <f>CT5&amp;"21"</f>
        <v>КОЛ01721</v>
      </c>
      <c r="DI13" s="152" t="str">
        <f>CT5&amp;"19"</f>
        <v>КОЛ01719</v>
      </c>
      <c r="DJ13" s="132" t="str">
        <f>CT5&amp;"51"</f>
        <v>КОЛ01751</v>
      </c>
      <c r="DK13" s="151" t="str">
        <f>CT5&amp;"23"</f>
        <v>КОЛ01723</v>
      </c>
      <c r="DL13" s="147" t="str">
        <f>DL5&amp;"04"</f>
        <v>5904</v>
      </c>
      <c r="DM13" s="147" t="str">
        <f>DL5&amp;"05"</f>
        <v>5905</v>
      </c>
      <c r="DN13" s="147" t="str">
        <f>DL5&amp;"06"</f>
        <v>5906</v>
      </c>
      <c r="DO13" s="147" t="str">
        <f>DL5&amp;"07"</f>
        <v>5907</v>
      </c>
      <c r="DP13" s="147" t="str">
        <f>DL5&amp;"08"</f>
        <v>5908</v>
      </c>
      <c r="DQ13" s="147" t="str">
        <f>DL5&amp;"09"</f>
        <v>5909</v>
      </c>
      <c r="DR13" s="147" t="str">
        <f>DL5&amp;"52"</f>
        <v>5952</v>
      </c>
      <c r="DS13" s="147" t="str">
        <f>DL5&amp;"10"</f>
        <v>5910</v>
      </c>
      <c r="DT13" s="147" t="str">
        <f>DL5&amp;"11"</f>
        <v>5911</v>
      </c>
      <c r="DU13" s="147" t="str">
        <f>DL5&amp;"12"</f>
        <v>5912</v>
      </c>
      <c r="DV13" s="147" t="str">
        <f>DL5&amp;"13"</f>
        <v>5913</v>
      </c>
      <c r="DW13" s="147" t="str">
        <f>DL5&amp;"14"</f>
        <v>5914</v>
      </c>
      <c r="DX13" s="147" t="str">
        <f>DL5&amp;"15"</f>
        <v>5915</v>
      </c>
      <c r="DY13" s="147" t="str">
        <f>DL5&amp;"16"</f>
        <v>5916</v>
      </c>
      <c r="DZ13" s="147" t="str">
        <f>DL5&amp;"21"</f>
        <v>5921</v>
      </c>
      <c r="EA13" s="152" t="str">
        <f>DL5&amp;"19"</f>
        <v>5919</v>
      </c>
      <c r="EB13" s="132" t="str">
        <f>DL5&amp;"51"</f>
        <v>5951</v>
      </c>
      <c r="EC13" s="151" t="str">
        <f>DL5&amp;"23"</f>
        <v>5923</v>
      </c>
      <c r="ED13" s="147" t="str">
        <f>ED5&amp;"04"</f>
        <v>КОЛ03704</v>
      </c>
      <c r="EE13" s="147" t="str">
        <f>ED5&amp;"05"</f>
        <v>КОЛ03705</v>
      </c>
      <c r="EF13" s="147" t="str">
        <f>ED5&amp;"06"</f>
        <v>КОЛ03706</v>
      </c>
      <c r="EG13" s="147" t="str">
        <f>ED5&amp;"07"</f>
        <v>КОЛ03707</v>
      </c>
      <c r="EH13" s="147" t="str">
        <f>ED5&amp;"08"</f>
        <v>КОЛ03708</v>
      </c>
      <c r="EI13" s="147" t="str">
        <f>ED5&amp;"09"</f>
        <v>КОЛ03709</v>
      </c>
      <c r="EJ13" s="147" t="str">
        <f>ED5&amp;"52"</f>
        <v>КОЛ03752</v>
      </c>
      <c r="EK13" s="147" t="str">
        <f>ED5&amp;"10"</f>
        <v>КОЛ03710</v>
      </c>
      <c r="EL13" s="147" t="str">
        <f>ED5&amp;"11"</f>
        <v>КОЛ03711</v>
      </c>
      <c r="EM13" s="147" t="str">
        <f>ED5&amp;"12"</f>
        <v>КОЛ03712</v>
      </c>
      <c r="EN13" s="147" t="str">
        <f>ED5&amp;"13"</f>
        <v>КОЛ03713</v>
      </c>
      <c r="EO13" s="147" t="str">
        <f>ED5&amp;"14"</f>
        <v>КОЛ03714</v>
      </c>
      <c r="EP13" s="147" t="str">
        <f>ED5&amp;"15"</f>
        <v>КОЛ03715</v>
      </c>
      <c r="EQ13" s="147" t="str">
        <f>ED5&amp;"16"</f>
        <v>КОЛ03716</v>
      </c>
      <c r="ER13" s="147" t="str">
        <f>ED5&amp;"21"</f>
        <v>КОЛ03721</v>
      </c>
      <c r="ES13" s="152" t="str">
        <f>ED5&amp;"19"</f>
        <v>КОЛ03719</v>
      </c>
      <c r="ET13" s="132" t="str">
        <f>ED5&amp;"51"</f>
        <v>КОЛ03751</v>
      </c>
      <c r="EU13" s="151" t="str">
        <f>ED5&amp;"23"</f>
        <v>КОЛ03723</v>
      </c>
      <c r="EV13" s="28" t="str">
        <f>EV5&amp;"04"</f>
        <v>6104</v>
      </c>
      <c r="EW13" s="28" t="str">
        <f>EV5&amp;"05"</f>
        <v>6105</v>
      </c>
      <c r="EX13" s="28" t="str">
        <f>EV5&amp;"06"</f>
        <v>6106</v>
      </c>
      <c r="EY13" s="28" t="str">
        <f>EV5&amp;"07"</f>
        <v>6107</v>
      </c>
      <c r="EZ13" s="28" t="str">
        <f>EV5&amp;"08"</f>
        <v>6108</v>
      </c>
      <c r="FA13" s="28" t="str">
        <f>EV5&amp;"09"</f>
        <v>6109</v>
      </c>
      <c r="FB13" s="28" t="str">
        <f>EV5&amp;"52"</f>
        <v>6152</v>
      </c>
      <c r="FC13" s="28" t="str">
        <f>EV5&amp;"10"</f>
        <v>6110</v>
      </c>
      <c r="FD13" s="28" t="str">
        <f>EV5&amp;"11"</f>
        <v>6111</v>
      </c>
      <c r="FE13" s="28" t="str">
        <f>EV5&amp;"12"</f>
        <v>6112</v>
      </c>
      <c r="FF13" s="28" t="str">
        <f>EV5&amp;"13"</f>
        <v>6113</v>
      </c>
      <c r="FG13" s="28" t="str">
        <f>EV5&amp;"14"</f>
        <v>6114</v>
      </c>
      <c r="FH13" s="28" t="str">
        <f>EV5&amp;"15"</f>
        <v>6115</v>
      </c>
      <c r="FI13" s="28" t="str">
        <f>EV5&amp;"16"</f>
        <v>6116</v>
      </c>
      <c r="FJ13" s="28" t="str">
        <f>EV5&amp;"21"</f>
        <v>6121</v>
      </c>
      <c r="FK13" s="92" t="str">
        <f>EV5&amp;"19"</f>
        <v>6119</v>
      </c>
      <c r="FL13" s="7" t="str">
        <f>EV5&amp;"51"</f>
        <v>6151</v>
      </c>
      <c r="FM13" s="91" t="str">
        <f>EV5&amp;"23"</f>
        <v>6123</v>
      </c>
      <c r="FN13" s="147" t="str">
        <f>FN5&amp;"04"</f>
        <v>КОЛ04904</v>
      </c>
      <c r="FO13" s="147" t="str">
        <f>FN5&amp;"05"</f>
        <v>КОЛ04905</v>
      </c>
      <c r="FP13" s="147" t="str">
        <f>FN5&amp;"06"</f>
        <v>КОЛ04906</v>
      </c>
      <c r="FQ13" s="147" t="str">
        <f>FN5&amp;"07"</f>
        <v>КОЛ04907</v>
      </c>
      <c r="FR13" s="147" t="str">
        <f>FN5&amp;"08"</f>
        <v>КОЛ04908</v>
      </c>
      <c r="FS13" s="147" t="str">
        <f>FN5&amp;"09"</f>
        <v>КОЛ04909</v>
      </c>
      <c r="FT13" s="147" t="str">
        <f>FN5&amp;"52"</f>
        <v>КОЛ04952</v>
      </c>
      <c r="FU13" s="147" t="str">
        <f>FN5&amp;"10"</f>
        <v>КОЛ04910</v>
      </c>
      <c r="FV13" s="147" t="str">
        <f>FN5&amp;"11"</f>
        <v>КОЛ04911</v>
      </c>
      <c r="FW13" s="147" t="str">
        <f>FN5&amp;"12"</f>
        <v>КОЛ04912</v>
      </c>
      <c r="FX13" s="147" t="str">
        <f>FN5&amp;"13"</f>
        <v>КОЛ04913</v>
      </c>
      <c r="FY13" s="147" t="str">
        <f>FN5&amp;"14"</f>
        <v>КОЛ04914</v>
      </c>
      <c r="FZ13" s="147" t="str">
        <f>FN5&amp;"15"</f>
        <v>КОЛ04915</v>
      </c>
      <c r="GA13" s="147" t="str">
        <f>FN5&amp;"16"</f>
        <v>КОЛ04916</v>
      </c>
      <c r="GB13" s="147" t="str">
        <f>FN5&amp;"21"</f>
        <v>КОЛ04921</v>
      </c>
      <c r="GC13" s="152" t="str">
        <f>FN5&amp;"19"</f>
        <v>КОЛ04919</v>
      </c>
      <c r="GD13" s="132" t="str">
        <f>FN5&amp;"51"</f>
        <v>КОЛ04951</v>
      </c>
      <c r="GE13" s="151" t="str">
        <f>FN5&amp;"23"</f>
        <v>КОЛ04923</v>
      </c>
      <c r="GF13" s="28" t="str">
        <f>GF5&amp;"04"</f>
        <v>5104</v>
      </c>
      <c r="GG13" s="28" t="str">
        <f>GF5&amp;"05"</f>
        <v>5105</v>
      </c>
      <c r="GH13" s="28" t="str">
        <f>GF5&amp;"06"</f>
        <v>5106</v>
      </c>
      <c r="GI13" s="28" t="str">
        <f>GF5&amp;"07"</f>
        <v>5107</v>
      </c>
      <c r="GJ13" s="28" t="str">
        <f>GF5&amp;"08"</f>
        <v>5108</v>
      </c>
      <c r="GK13" s="28" t="str">
        <f>GF5&amp;"09"</f>
        <v>5109</v>
      </c>
      <c r="GL13" s="28" t="str">
        <f>GF5&amp;"52"</f>
        <v>5152</v>
      </c>
      <c r="GM13" s="28" t="str">
        <f>GF5&amp;"10"</f>
        <v>5110</v>
      </c>
      <c r="GN13" s="28" t="str">
        <f>GF5&amp;"11"</f>
        <v>5111</v>
      </c>
      <c r="GO13" s="28" t="str">
        <f>GF5&amp;"12"</f>
        <v>5112</v>
      </c>
      <c r="GP13" s="28" t="str">
        <f>GF5&amp;"13"</f>
        <v>5113</v>
      </c>
      <c r="GQ13" s="28" t="str">
        <f>GF5&amp;"14"</f>
        <v>5114</v>
      </c>
      <c r="GR13" s="28" t="str">
        <f>GF5&amp;"15"</f>
        <v>5115</v>
      </c>
      <c r="GS13" s="28" t="str">
        <f>GF5&amp;"16"</f>
        <v>5116</v>
      </c>
      <c r="GT13" s="28" t="str">
        <f>GF5&amp;"21"</f>
        <v>5121</v>
      </c>
      <c r="GU13" s="92" t="str">
        <f>GF5&amp;"19"</f>
        <v>5119</v>
      </c>
      <c r="GV13" s="7" t="str">
        <f>GF5&amp;"51"</f>
        <v>5151</v>
      </c>
      <c r="GW13" s="91" t="str">
        <f>GF5&amp;"23"</f>
        <v>5123</v>
      </c>
      <c r="GX13" s="147" t="str">
        <f>GX5&amp;"04"</f>
        <v>КОЛ05104</v>
      </c>
      <c r="GY13" s="147" t="str">
        <f>GX5&amp;"05"</f>
        <v>КОЛ05105</v>
      </c>
      <c r="GZ13" s="147" t="str">
        <f>GX5&amp;"06"</f>
        <v>КОЛ05106</v>
      </c>
      <c r="HA13" s="147" t="str">
        <f>GX5&amp;"07"</f>
        <v>КОЛ05107</v>
      </c>
      <c r="HB13" s="147" t="str">
        <f>GX5&amp;"08"</f>
        <v>КОЛ05108</v>
      </c>
      <c r="HC13" s="147" t="str">
        <f>GX5&amp;"09"</f>
        <v>КОЛ05109</v>
      </c>
      <c r="HD13" s="147" t="str">
        <f>GX5&amp;"52"</f>
        <v>КОЛ05152</v>
      </c>
      <c r="HE13" s="147" t="str">
        <f>GX5&amp;"10"</f>
        <v>КОЛ05110</v>
      </c>
      <c r="HF13" s="147" t="str">
        <f>GX5&amp;"11"</f>
        <v>КОЛ05111</v>
      </c>
      <c r="HG13" s="147" t="str">
        <f>GX5&amp;"12"</f>
        <v>КОЛ05112</v>
      </c>
      <c r="HH13" s="147" t="str">
        <f>GX5&amp;"13"</f>
        <v>КОЛ05113</v>
      </c>
      <c r="HI13" s="147" t="str">
        <f>GX5&amp;"14"</f>
        <v>КОЛ05114</v>
      </c>
      <c r="HJ13" s="147" t="str">
        <f>GX5&amp;"15"</f>
        <v>КОЛ05115</v>
      </c>
      <c r="HK13" s="147" t="str">
        <f>GX5&amp;"16"</f>
        <v>КОЛ05116</v>
      </c>
      <c r="HL13" s="147" t="str">
        <f>GX5&amp;"21"</f>
        <v>КОЛ05121</v>
      </c>
      <c r="HM13" s="152" t="str">
        <f>GX5&amp;"19"</f>
        <v>КОЛ05119</v>
      </c>
      <c r="HN13" s="132" t="str">
        <f>GX5&amp;"51"</f>
        <v>КОЛ05151</v>
      </c>
      <c r="HO13" s="151" t="str">
        <f>GX5&amp;"23"</f>
        <v>КОЛ05123</v>
      </c>
      <c r="HP13" s="147" t="str">
        <f>HP5&amp;"04"</f>
        <v>5204</v>
      </c>
      <c r="HQ13" s="147" t="str">
        <f>HP5&amp;"05"</f>
        <v>5205</v>
      </c>
      <c r="HR13" s="147" t="str">
        <f>HP5&amp;"06"</f>
        <v>5206</v>
      </c>
      <c r="HS13" s="147" t="str">
        <f>HP5&amp;"07"</f>
        <v>5207</v>
      </c>
      <c r="HT13" s="147" t="str">
        <f>HP5&amp;"08"</f>
        <v>5208</v>
      </c>
      <c r="HU13" s="147" t="str">
        <f>HP5&amp;"09"</f>
        <v>5209</v>
      </c>
      <c r="HV13" s="147" t="str">
        <f>HP5&amp;"52"</f>
        <v>5252</v>
      </c>
      <c r="HW13" s="147" t="str">
        <f>HP5&amp;"10"</f>
        <v>5210</v>
      </c>
      <c r="HX13" s="147" t="str">
        <f>HP5&amp;"11"</f>
        <v>5211</v>
      </c>
      <c r="HY13" s="147" t="str">
        <f>HP5&amp;"12"</f>
        <v>5212</v>
      </c>
      <c r="HZ13" s="147" t="str">
        <f>HP5&amp;"13"</f>
        <v>5213</v>
      </c>
      <c r="IA13" s="147" t="str">
        <f>HP5&amp;"14"</f>
        <v>5214</v>
      </c>
      <c r="IB13" s="147" t="str">
        <f>HP5&amp;"15"</f>
        <v>5215</v>
      </c>
      <c r="IC13" s="147" t="str">
        <f>HP5&amp;"16"</f>
        <v>5216</v>
      </c>
      <c r="ID13" s="147" t="str">
        <f>HP5&amp;"21"</f>
        <v>5221</v>
      </c>
      <c r="IE13" s="152" t="str">
        <f>HP5&amp;"19"</f>
        <v>5219</v>
      </c>
      <c r="IF13" s="132" t="str">
        <f>HP5&amp;"51"</f>
        <v>5251</v>
      </c>
      <c r="IG13" s="151" t="str">
        <f>HP5&amp;"23"</f>
        <v>5223</v>
      </c>
      <c r="IH13" s="147" t="str">
        <f>IH5&amp;"04"</f>
        <v>КОЛ05204</v>
      </c>
      <c r="II13" s="147" t="str">
        <f>IH5&amp;"05"</f>
        <v>КОЛ05205</v>
      </c>
      <c r="IJ13" s="147" t="str">
        <f>IH5&amp;"06"</f>
        <v>КОЛ05206</v>
      </c>
      <c r="IK13" s="147" t="str">
        <f>IH5&amp;"07"</f>
        <v>КОЛ05207</v>
      </c>
      <c r="IL13" s="147" t="str">
        <f>IH5&amp;"08"</f>
        <v>КОЛ05208</v>
      </c>
      <c r="IM13" s="147" t="str">
        <f>IH5&amp;"09"</f>
        <v>КОЛ05209</v>
      </c>
      <c r="IN13" s="147" t="str">
        <f>IH5&amp;"52"</f>
        <v>КОЛ05252</v>
      </c>
      <c r="IO13" s="147" t="str">
        <f>IH5&amp;"10"</f>
        <v>КОЛ05210</v>
      </c>
      <c r="IP13" s="147" t="str">
        <f>IH5&amp;"11"</f>
        <v>КОЛ05211</v>
      </c>
      <c r="IQ13" s="147" t="str">
        <f>IH5&amp;"12"</f>
        <v>КОЛ05212</v>
      </c>
      <c r="IR13" s="147" t="str">
        <f>IH5&amp;"13"</f>
        <v>КОЛ05213</v>
      </c>
      <c r="IS13" s="147" t="str">
        <f>IH5&amp;"14"</f>
        <v>КОЛ05214</v>
      </c>
      <c r="IT13" s="147" t="str">
        <f>IH5&amp;"15"</f>
        <v>КОЛ05215</v>
      </c>
      <c r="IU13" s="147" t="str">
        <f>IH5&amp;"16"</f>
        <v>КОЛ05216</v>
      </c>
      <c r="IV13" s="147" t="str">
        <f>IH5&amp;"21"</f>
        <v>КОЛ05221</v>
      </c>
      <c r="IW13" s="152" t="str">
        <f>IH5&amp;"19"</f>
        <v>КОЛ05219</v>
      </c>
      <c r="IX13" s="132" t="str">
        <f>IH5&amp;"51"</f>
        <v>КОЛ05251</v>
      </c>
      <c r="IY13" s="151" t="str">
        <f>IH5&amp;"23"</f>
        <v>КОЛ05223</v>
      </c>
      <c r="IZ13" s="147" t="str">
        <f>IZ5&amp;"04"</f>
        <v>5304</v>
      </c>
      <c r="JA13" s="147" t="str">
        <f>IZ5&amp;"05"</f>
        <v>5305</v>
      </c>
      <c r="JB13" s="147" t="str">
        <f>IZ5&amp;"06"</f>
        <v>5306</v>
      </c>
      <c r="JC13" s="147" t="str">
        <f>IZ5&amp;"07"</f>
        <v>5307</v>
      </c>
      <c r="JD13" s="147" t="str">
        <f>IZ5&amp;"08"</f>
        <v>5308</v>
      </c>
      <c r="JE13" s="147" t="str">
        <f>IZ5&amp;"09"</f>
        <v>5309</v>
      </c>
      <c r="JF13" s="147" t="str">
        <f>IZ5&amp;"52"</f>
        <v>5352</v>
      </c>
      <c r="JG13" s="147" t="str">
        <f>IZ5&amp;"10"</f>
        <v>5310</v>
      </c>
      <c r="JH13" s="147" t="str">
        <f>IZ5&amp;"11"</f>
        <v>5311</v>
      </c>
      <c r="JI13" s="147" t="str">
        <f>IZ5&amp;"12"</f>
        <v>5312</v>
      </c>
      <c r="JJ13" s="147" t="str">
        <f>IZ5&amp;"13"</f>
        <v>5313</v>
      </c>
      <c r="JK13" s="147" t="str">
        <f>IZ5&amp;"14"</f>
        <v>5314</v>
      </c>
      <c r="JL13" s="147" t="str">
        <f>IZ5&amp;"15"</f>
        <v>5315</v>
      </c>
      <c r="JM13" s="147" t="str">
        <f>IZ5&amp;"16"</f>
        <v>5316</v>
      </c>
      <c r="JN13" s="147" t="str">
        <f>IZ5&amp;"21"</f>
        <v>5321</v>
      </c>
      <c r="JO13" s="152" t="str">
        <f>IZ5&amp;"19"</f>
        <v>5319</v>
      </c>
      <c r="JP13" s="132" t="str">
        <f>IZ5&amp;"51"</f>
        <v>5351</v>
      </c>
      <c r="JQ13" s="151" t="str">
        <f>IZ5&amp;"23"</f>
        <v>5323</v>
      </c>
      <c r="JR13" s="147" t="str">
        <f>JR5&amp;"04"</f>
        <v>КОЛ05304</v>
      </c>
      <c r="JS13" s="147" t="str">
        <f>JR5&amp;"05"</f>
        <v>КОЛ05305</v>
      </c>
      <c r="JT13" s="147" t="str">
        <f>JR5&amp;"06"</f>
        <v>КОЛ05306</v>
      </c>
      <c r="JU13" s="147" t="str">
        <f>JR5&amp;"07"</f>
        <v>КОЛ05307</v>
      </c>
      <c r="JV13" s="147" t="str">
        <f>JR5&amp;"08"</f>
        <v>КОЛ05308</v>
      </c>
      <c r="JW13" s="147" t="str">
        <f>JR5&amp;"09"</f>
        <v>КОЛ05309</v>
      </c>
      <c r="JX13" s="147" t="str">
        <f>JR5&amp;"52"</f>
        <v>КОЛ05352</v>
      </c>
      <c r="JY13" s="147" t="str">
        <f>JR5&amp;"10"</f>
        <v>КОЛ05310</v>
      </c>
      <c r="JZ13" s="147" t="str">
        <f>JR5&amp;"11"</f>
        <v>КОЛ05311</v>
      </c>
      <c r="KA13" s="147" t="str">
        <f>JR5&amp;"12"</f>
        <v>КОЛ05312</v>
      </c>
      <c r="KB13" s="147" t="str">
        <f>JR5&amp;"13"</f>
        <v>КОЛ05313</v>
      </c>
      <c r="KC13" s="147" t="str">
        <f>JR5&amp;"14"</f>
        <v>КОЛ05314</v>
      </c>
      <c r="KD13" s="147" t="str">
        <f>JR5&amp;"15"</f>
        <v>КОЛ05315</v>
      </c>
      <c r="KE13" s="147" t="str">
        <f>JR5&amp;"16"</f>
        <v>КОЛ05316</v>
      </c>
      <c r="KF13" s="147" t="str">
        <f>JR5&amp;"21"</f>
        <v>КОЛ05321</v>
      </c>
      <c r="KG13" s="152" t="str">
        <f>JR5&amp;"19"</f>
        <v>КОЛ05319</v>
      </c>
      <c r="KH13" s="132" t="str">
        <f>JR5&amp;"51"</f>
        <v>КОЛ05351</v>
      </c>
      <c r="KI13" s="151" t="str">
        <f>JR5&amp;"23"</f>
        <v>КОЛ05323</v>
      </c>
      <c r="KJ13" s="147" t="str">
        <f>KJ5&amp;"04"</f>
        <v>5404</v>
      </c>
      <c r="KK13" s="147" t="str">
        <f>KJ5&amp;"05"</f>
        <v>5405</v>
      </c>
      <c r="KL13" s="147" t="str">
        <f>KJ5&amp;"06"</f>
        <v>5406</v>
      </c>
      <c r="KM13" s="147" t="str">
        <f>KJ5&amp;"07"</f>
        <v>5407</v>
      </c>
      <c r="KN13" s="147" t="str">
        <f>KJ5&amp;"08"</f>
        <v>5408</v>
      </c>
      <c r="KO13" s="147" t="str">
        <f>KJ5&amp;"09"</f>
        <v>5409</v>
      </c>
      <c r="KP13" s="147" t="str">
        <f>KJ5&amp;"52"</f>
        <v>5452</v>
      </c>
      <c r="KQ13" s="147" t="str">
        <f>KJ5&amp;"10"</f>
        <v>5410</v>
      </c>
      <c r="KR13" s="147" t="str">
        <f>KJ5&amp;"11"</f>
        <v>5411</v>
      </c>
      <c r="KS13" s="147" t="str">
        <f>KJ5&amp;"12"</f>
        <v>5412</v>
      </c>
      <c r="KT13" s="147" t="str">
        <f>KJ5&amp;"13"</f>
        <v>5413</v>
      </c>
      <c r="KU13" s="147" t="str">
        <f>KJ5&amp;"14"</f>
        <v>5414</v>
      </c>
      <c r="KV13" s="147" t="str">
        <f>KJ5&amp;"15"</f>
        <v>5415</v>
      </c>
      <c r="KW13" s="147" t="str">
        <f>KJ5&amp;"16"</f>
        <v>5416</v>
      </c>
      <c r="KX13" s="147" t="str">
        <f>KJ5&amp;"21"</f>
        <v>5421</v>
      </c>
      <c r="KY13" s="152" t="str">
        <f>KJ5&amp;"19"</f>
        <v>5419</v>
      </c>
      <c r="KZ13" s="132" t="str">
        <f>KJ5&amp;"51"</f>
        <v>5451</v>
      </c>
      <c r="LA13" s="151" t="str">
        <f>KJ5&amp;"23"</f>
        <v>5423</v>
      </c>
      <c r="LB13" s="147" t="str">
        <f>LB5&amp;"04"</f>
        <v>КОЛ05404</v>
      </c>
      <c r="LC13" s="147" t="str">
        <f>LB5&amp;"05"</f>
        <v>КОЛ05405</v>
      </c>
      <c r="LD13" s="147" t="str">
        <f>LB5&amp;"06"</f>
        <v>КОЛ05406</v>
      </c>
      <c r="LE13" s="147" t="str">
        <f>LB5&amp;"07"</f>
        <v>КОЛ05407</v>
      </c>
      <c r="LF13" s="147" t="str">
        <f>LB5&amp;"08"</f>
        <v>КОЛ05408</v>
      </c>
      <c r="LG13" s="147" t="str">
        <f>LB5&amp;"09"</f>
        <v>КОЛ05409</v>
      </c>
      <c r="LH13" s="147" t="str">
        <f>LB5&amp;"52"</f>
        <v>КОЛ05452</v>
      </c>
      <c r="LI13" s="147" t="str">
        <f>LB5&amp;"10"</f>
        <v>КОЛ05410</v>
      </c>
      <c r="LJ13" s="147" t="str">
        <f>LB5&amp;"11"</f>
        <v>КОЛ05411</v>
      </c>
      <c r="LK13" s="147" t="str">
        <f>LB5&amp;"12"</f>
        <v>КОЛ05412</v>
      </c>
      <c r="LL13" s="147" t="str">
        <f>LB5&amp;"13"</f>
        <v>КОЛ05413</v>
      </c>
      <c r="LM13" s="147" t="str">
        <f>LB5&amp;"14"</f>
        <v>КОЛ05414</v>
      </c>
      <c r="LN13" s="147" t="str">
        <f>LB5&amp;"15"</f>
        <v>КОЛ05415</v>
      </c>
      <c r="LO13" s="147" t="str">
        <f>LB5&amp;"16"</f>
        <v>КОЛ05416</v>
      </c>
      <c r="LP13" s="147" t="str">
        <f>LB5&amp;"21"</f>
        <v>КОЛ05421</v>
      </c>
      <c r="LQ13" s="152" t="str">
        <f>LB5&amp;"19"</f>
        <v>КОЛ05419</v>
      </c>
      <c r="LR13" s="132" t="str">
        <f>LB5&amp;"51"</f>
        <v>КОЛ05451</v>
      </c>
      <c r="LS13" s="151" t="str">
        <f>LB5&amp;"23"</f>
        <v>КОЛ05423</v>
      </c>
      <c r="LT13" s="147" t="str">
        <f>LT5&amp;"04"</f>
        <v>5804</v>
      </c>
      <c r="LU13" s="147" t="str">
        <f>LT5&amp;"05"</f>
        <v>5805</v>
      </c>
      <c r="LV13" s="147" t="str">
        <f>LT5&amp;"06"</f>
        <v>5806</v>
      </c>
      <c r="LW13" s="147" t="str">
        <f>LT5&amp;"07"</f>
        <v>5807</v>
      </c>
      <c r="LX13" s="147" t="str">
        <f>LT5&amp;"08"</f>
        <v>5808</v>
      </c>
      <c r="LY13" s="147" t="str">
        <f>LT5&amp;"09"</f>
        <v>5809</v>
      </c>
      <c r="LZ13" s="147" t="str">
        <f>LT5&amp;"52"</f>
        <v>5852</v>
      </c>
      <c r="MA13" s="147" t="str">
        <f>LT5&amp;"10"</f>
        <v>5810</v>
      </c>
      <c r="MB13" s="147" t="str">
        <f>LT5&amp;"11"</f>
        <v>5811</v>
      </c>
      <c r="MC13" s="147" t="str">
        <f>LT5&amp;"12"</f>
        <v>5812</v>
      </c>
      <c r="MD13" s="147" t="str">
        <f>LT5&amp;"13"</f>
        <v>5813</v>
      </c>
      <c r="ME13" s="147" t="str">
        <f>LT5&amp;"14"</f>
        <v>5814</v>
      </c>
      <c r="MF13" s="147" t="str">
        <f>LT5&amp;"15"</f>
        <v>5815</v>
      </c>
      <c r="MG13" s="147" t="str">
        <f>LT5&amp;"16"</f>
        <v>5816</v>
      </c>
      <c r="MH13" s="147" t="str">
        <f>LT5&amp;"21"</f>
        <v>5821</v>
      </c>
      <c r="MI13" s="152" t="str">
        <f>LT5&amp;"19"</f>
        <v>5819</v>
      </c>
      <c r="MJ13" s="132" t="str">
        <f>LT5&amp;"51"</f>
        <v>5851</v>
      </c>
      <c r="MK13" s="151" t="str">
        <f>LT5&amp;"23"</f>
        <v>5823</v>
      </c>
      <c r="ML13" s="147" t="str">
        <f>ML5&amp;"04"</f>
        <v>КОЛ05504</v>
      </c>
      <c r="MM13" s="147" t="str">
        <f>ML5&amp;"05"</f>
        <v>КОЛ05505</v>
      </c>
      <c r="MN13" s="147" t="str">
        <f>ML5&amp;"06"</f>
        <v>КОЛ05506</v>
      </c>
      <c r="MO13" s="147" t="str">
        <f>ML5&amp;"07"</f>
        <v>КОЛ05507</v>
      </c>
      <c r="MP13" s="147" t="str">
        <f>ML5&amp;"08"</f>
        <v>КОЛ05508</v>
      </c>
      <c r="MQ13" s="147" t="str">
        <f>ML5&amp;"09"</f>
        <v>КОЛ05509</v>
      </c>
      <c r="MR13" s="147" t="str">
        <f>ML5&amp;"52"</f>
        <v>КОЛ05552</v>
      </c>
      <c r="MS13" s="147" t="str">
        <f>ML5&amp;"10"</f>
        <v>КОЛ05510</v>
      </c>
      <c r="MT13" s="147" t="str">
        <f>ML5&amp;"11"</f>
        <v>КОЛ05511</v>
      </c>
      <c r="MU13" s="147" t="str">
        <f>ML5&amp;"12"</f>
        <v>КОЛ05512</v>
      </c>
      <c r="MV13" s="147" t="str">
        <f>ML5&amp;"13"</f>
        <v>КОЛ05513</v>
      </c>
      <c r="MW13" s="147" t="str">
        <f>ML5&amp;"14"</f>
        <v>КОЛ05514</v>
      </c>
      <c r="MX13" s="147" t="str">
        <f>ML5&amp;"15"</f>
        <v>КОЛ05515</v>
      </c>
      <c r="MY13" s="147" t="str">
        <f>ML5&amp;"16"</f>
        <v>КОЛ05516</v>
      </c>
      <c r="MZ13" s="147" t="str">
        <f>ML5&amp;"21"</f>
        <v>КОЛ05521</v>
      </c>
      <c r="NA13" s="152" t="str">
        <f>ML5&amp;"19"</f>
        <v>КОЛ05519</v>
      </c>
      <c r="NB13" s="132" t="str">
        <f>ML5&amp;"51"</f>
        <v>КОЛ05551</v>
      </c>
      <c r="NC13" s="151" t="str">
        <f>ML5&amp;"23"</f>
        <v>КОЛ05523</v>
      </c>
      <c r="ND13" s="28" t="str">
        <f>ND5&amp;"04"</f>
        <v>6004</v>
      </c>
      <c r="NE13" s="28" t="str">
        <f>ND5&amp;"05"</f>
        <v>6005</v>
      </c>
      <c r="NF13" s="28" t="str">
        <f>ND5&amp;"06"</f>
        <v>6006</v>
      </c>
      <c r="NG13" s="28" t="str">
        <f>ND5&amp;"07"</f>
        <v>6007</v>
      </c>
      <c r="NH13" s="28" t="str">
        <f>ND5&amp;"08"</f>
        <v>6008</v>
      </c>
      <c r="NI13" s="28" t="str">
        <f>ND5&amp;"09"</f>
        <v>6009</v>
      </c>
      <c r="NJ13" s="28" t="str">
        <f>ND5&amp;"52"</f>
        <v>6052</v>
      </c>
      <c r="NK13" s="28" t="str">
        <f>ND5&amp;"10"</f>
        <v>6010</v>
      </c>
      <c r="NL13" s="28" t="str">
        <f>ND5&amp;"11"</f>
        <v>6011</v>
      </c>
      <c r="NM13" s="28" t="str">
        <f>ND5&amp;"12"</f>
        <v>6012</v>
      </c>
      <c r="NN13" s="28" t="str">
        <f>ND5&amp;"13"</f>
        <v>6013</v>
      </c>
      <c r="NO13" s="28" t="str">
        <f>ND5&amp;"14"</f>
        <v>6014</v>
      </c>
      <c r="NP13" s="28" t="str">
        <f>ND5&amp;"15"</f>
        <v>6015</v>
      </c>
      <c r="NQ13" s="28" t="str">
        <f>ND5&amp;"16"</f>
        <v>6016</v>
      </c>
      <c r="NR13" s="28" t="str">
        <f>ND5&amp;"21"</f>
        <v>6021</v>
      </c>
      <c r="NS13" s="92" t="str">
        <f>ND5&amp;"19"</f>
        <v>6019</v>
      </c>
      <c r="NT13" s="7" t="str">
        <f>ND5&amp;"51"</f>
        <v>6051</v>
      </c>
      <c r="NU13" s="91" t="str">
        <f>ND5&amp;"23"</f>
        <v>6023</v>
      </c>
      <c r="NV13" s="147" t="str">
        <f>NV5&amp;"04"</f>
        <v>КОЛ06004</v>
      </c>
      <c r="NW13" s="147" t="str">
        <f>NV5&amp;"05"</f>
        <v>КОЛ06005</v>
      </c>
      <c r="NX13" s="147" t="str">
        <f>NV5&amp;"06"</f>
        <v>КОЛ06006</v>
      </c>
      <c r="NY13" s="147" t="str">
        <f>NV5&amp;"07"</f>
        <v>КОЛ06007</v>
      </c>
      <c r="NZ13" s="147" t="str">
        <f>NV5&amp;"08"</f>
        <v>КОЛ06008</v>
      </c>
      <c r="OA13" s="147" t="str">
        <f>NV5&amp;"09"</f>
        <v>КОЛ06009</v>
      </c>
      <c r="OB13" s="147" t="str">
        <f>NV5&amp;"52"</f>
        <v>КОЛ06052</v>
      </c>
      <c r="OC13" s="147" t="str">
        <f>NV5&amp;"10"</f>
        <v>КОЛ06010</v>
      </c>
      <c r="OD13" s="147" t="str">
        <f>NV5&amp;"11"</f>
        <v>КОЛ06011</v>
      </c>
      <c r="OE13" s="147" t="str">
        <f>NV5&amp;"12"</f>
        <v>КОЛ06012</v>
      </c>
      <c r="OF13" s="147" t="str">
        <f>NV5&amp;"13"</f>
        <v>КОЛ06013</v>
      </c>
      <c r="OG13" s="147" t="str">
        <f>NV5&amp;"14"</f>
        <v>КОЛ06014</v>
      </c>
      <c r="OH13" s="147" t="str">
        <f>NV5&amp;"15"</f>
        <v>КОЛ06015</v>
      </c>
      <c r="OI13" s="147" t="str">
        <f>NV5&amp;"16"</f>
        <v>КОЛ06016</v>
      </c>
      <c r="OJ13" s="147" t="str">
        <f>NV5&amp;"21"</f>
        <v>КОЛ06021</v>
      </c>
      <c r="OK13" s="152" t="str">
        <f>NV5&amp;"19"</f>
        <v>КОЛ06019</v>
      </c>
      <c r="OL13" s="132" t="str">
        <f>NV5&amp;"51"</f>
        <v>КОЛ06051</v>
      </c>
      <c r="OM13" s="151" t="str">
        <f>NV5&amp;"23"</f>
        <v>КОЛ06023</v>
      </c>
      <c r="ON13" s="28" t="str">
        <f>ON5&amp;"04"</f>
        <v>5704</v>
      </c>
      <c r="OO13" s="28" t="str">
        <f>ON5&amp;"05"</f>
        <v>5705</v>
      </c>
      <c r="OP13" s="28" t="str">
        <f>ON5&amp;"06"</f>
        <v>5706</v>
      </c>
      <c r="OQ13" s="28" t="str">
        <f>ON5&amp;"07"</f>
        <v>5707</v>
      </c>
      <c r="OR13" s="28" t="str">
        <f>ON5&amp;"08"</f>
        <v>5708</v>
      </c>
      <c r="OS13" s="28" t="str">
        <f>ON5&amp;"09"</f>
        <v>5709</v>
      </c>
      <c r="OT13" s="28" t="str">
        <f>ON5&amp;"52"</f>
        <v>5752</v>
      </c>
      <c r="OU13" s="28" t="str">
        <f>ON5&amp;"10"</f>
        <v>5710</v>
      </c>
      <c r="OV13" s="28" t="str">
        <f>ON5&amp;"11"</f>
        <v>5711</v>
      </c>
      <c r="OW13" s="28" t="str">
        <f>ON5&amp;"12"</f>
        <v>5712</v>
      </c>
      <c r="OX13" s="28" t="str">
        <f>ON5&amp;"13"</f>
        <v>5713</v>
      </c>
      <c r="OY13" s="28" t="str">
        <f>ON5&amp;"14"</f>
        <v>5714</v>
      </c>
      <c r="OZ13" s="28" t="str">
        <f>ON5&amp;"15"</f>
        <v>5715</v>
      </c>
      <c r="PA13" s="28" t="str">
        <f>ON5&amp;"16"</f>
        <v>5716</v>
      </c>
      <c r="PB13" s="28" t="str">
        <f>ON5&amp;"21"</f>
        <v>5721</v>
      </c>
      <c r="PC13" s="92" t="str">
        <f>ON5&amp;"19"</f>
        <v>5719</v>
      </c>
      <c r="PD13" s="7" t="str">
        <f>ON5&amp;"51"</f>
        <v>5751</v>
      </c>
      <c r="PE13" s="91" t="str">
        <f>ON5&amp;"23"</f>
        <v>5723</v>
      </c>
      <c r="PF13" s="147" t="str">
        <f>PF5&amp;"04"</f>
        <v>6304</v>
      </c>
      <c r="PG13" s="147" t="str">
        <f>PF5&amp;"05"</f>
        <v>6305</v>
      </c>
      <c r="PH13" s="147" t="str">
        <f>PF5&amp;"06"</f>
        <v>6306</v>
      </c>
      <c r="PI13" s="147" t="str">
        <f>PF5&amp;"07"</f>
        <v>6307</v>
      </c>
      <c r="PJ13" s="147" t="str">
        <f>PF5&amp;"08"</f>
        <v>6308</v>
      </c>
      <c r="PK13" s="147" t="str">
        <f>PF5&amp;"09"</f>
        <v>6309</v>
      </c>
      <c r="PL13" s="147" t="str">
        <f>PF5&amp;"52"</f>
        <v>6352</v>
      </c>
      <c r="PM13" s="147" t="str">
        <f>PF5&amp;"10"</f>
        <v>6310</v>
      </c>
      <c r="PN13" s="147" t="str">
        <f>PF5&amp;"11"</f>
        <v>6311</v>
      </c>
      <c r="PO13" s="147" t="str">
        <f>PF5&amp;"12"</f>
        <v>6312</v>
      </c>
      <c r="PP13" s="147" t="str">
        <f>PF5&amp;"13"</f>
        <v>6313</v>
      </c>
      <c r="PQ13" s="147" t="str">
        <f>PF5&amp;"14"</f>
        <v>6314</v>
      </c>
      <c r="PR13" s="147" t="str">
        <f>PF5&amp;"15"</f>
        <v>6315</v>
      </c>
      <c r="PS13" s="147" t="str">
        <f>PF5&amp;"16"</f>
        <v>6316</v>
      </c>
      <c r="PT13" s="147" t="str">
        <f>PF5&amp;"21"</f>
        <v>6321</v>
      </c>
      <c r="PU13" s="152" t="str">
        <f>PF5&amp;"19"</f>
        <v>6319</v>
      </c>
      <c r="PV13" s="132" t="str">
        <f>PF5&amp;"51"</f>
        <v>6351</v>
      </c>
      <c r="PW13" s="151" t="str">
        <f>PF5&amp;"23"</f>
        <v>6323</v>
      </c>
      <c r="PX13" s="147" t="str">
        <f>PX5&amp;"04"</f>
        <v>КОЛ06404</v>
      </c>
      <c r="PY13" s="147" t="str">
        <f>PX5&amp;"05"</f>
        <v>КОЛ06405</v>
      </c>
      <c r="PZ13" s="147" t="str">
        <f>PX5&amp;"06"</f>
        <v>КОЛ06406</v>
      </c>
      <c r="QA13" s="147" t="str">
        <f>PX5&amp;"07"</f>
        <v>КОЛ06407</v>
      </c>
      <c r="QB13" s="147" t="str">
        <f>PX5&amp;"08"</f>
        <v>КОЛ06408</v>
      </c>
      <c r="QC13" s="147" t="str">
        <f>PX5&amp;"09"</f>
        <v>КОЛ06409</v>
      </c>
      <c r="QD13" s="147" t="str">
        <f>PX5&amp;"52"</f>
        <v>КОЛ06452</v>
      </c>
      <c r="QE13" s="147" t="str">
        <f>PX5&amp;"10"</f>
        <v>КОЛ06410</v>
      </c>
      <c r="QF13" s="147" t="str">
        <f>PX5&amp;"11"</f>
        <v>КОЛ06411</v>
      </c>
      <c r="QG13" s="147" t="str">
        <f>PX5&amp;"12"</f>
        <v>КОЛ06412</v>
      </c>
      <c r="QH13" s="147" t="str">
        <f>PX5&amp;"13"</f>
        <v>КОЛ06413</v>
      </c>
      <c r="QI13" s="147" t="str">
        <f>PX5&amp;"14"</f>
        <v>КОЛ06414</v>
      </c>
      <c r="QJ13" s="147" t="str">
        <f>PX5&amp;"15"</f>
        <v>КОЛ06415</v>
      </c>
      <c r="QK13" s="147" t="str">
        <f>PX5&amp;"16"</f>
        <v>КОЛ06416</v>
      </c>
      <c r="QL13" s="147" t="str">
        <f>PX5&amp;"21"</f>
        <v>КОЛ06421</v>
      </c>
      <c r="QM13" s="152" t="str">
        <f>PX5&amp;"19"</f>
        <v>КОЛ06419</v>
      </c>
      <c r="QN13" s="132" t="str">
        <f>PX5&amp;"51"</f>
        <v>КОЛ06451</v>
      </c>
      <c r="QO13" s="151" t="str">
        <f>PX5&amp;"23"</f>
        <v>КОЛ06423</v>
      </c>
      <c r="QP13" s="147" t="str">
        <f>QP5&amp;"04"</f>
        <v>6504</v>
      </c>
      <c r="QQ13" s="147" t="str">
        <f>QP5&amp;"05"</f>
        <v>6505</v>
      </c>
      <c r="QR13" s="147" t="str">
        <f>QP5&amp;"06"</f>
        <v>6506</v>
      </c>
      <c r="QS13" s="147" t="str">
        <f>QP5&amp;"07"</f>
        <v>6507</v>
      </c>
      <c r="QT13" s="147" t="str">
        <f>QP5&amp;"08"</f>
        <v>6508</v>
      </c>
      <c r="QU13" s="147" t="str">
        <f>QP5&amp;"09"</f>
        <v>6509</v>
      </c>
      <c r="QV13" s="147" t="str">
        <f>QP5&amp;"52"</f>
        <v>6552</v>
      </c>
      <c r="QW13" s="147" t="str">
        <f>QP5&amp;"10"</f>
        <v>6510</v>
      </c>
      <c r="QX13" s="147" t="str">
        <f>QP5&amp;"11"</f>
        <v>6511</v>
      </c>
      <c r="QY13" s="147" t="str">
        <f>QP5&amp;"12"</f>
        <v>6512</v>
      </c>
      <c r="QZ13" s="147" t="str">
        <f>QP5&amp;"13"</f>
        <v>6513</v>
      </c>
      <c r="RA13" s="147" t="str">
        <f>QP5&amp;"14"</f>
        <v>6514</v>
      </c>
      <c r="RB13" s="147" t="str">
        <f>QP5&amp;"15"</f>
        <v>6515</v>
      </c>
      <c r="RC13" s="147" t="str">
        <f>QP5&amp;"16"</f>
        <v>6516</v>
      </c>
      <c r="RD13" s="147" t="str">
        <f>QP5&amp;"21"</f>
        <v>6521</v>
      </c>
      <c r="RE13" s="152" t="str">
        <f>QP5&amp;"19"</f>
        <v>6519</v>
      </c>
      <c r="RF13" s="132" t="str">
        <f>QP5&amp;"51"</f>
        <v>6551</v>
      </c>
      <c r="RG13" s="151" t="str">
        <f>QP5&amp;"23"</f>
        <v>6523</v>
      </c>
      <c r="RH13" s="147" t="str">
        <f>RH5&amp;"04"</f>
        <v>КОЛ06604</v>
      </c>
      <c r="RI13" s="147" t="str">
        <f>RH5&amp;"05"</f>
        <v>КОЛ06605</v>
      </c>
      <c r="RJ13" s="147" t="str">
        <f>RH5&amp;"06"</f>
        <v>КОЛ06606</v>
      </c>
      <c r="RK13" s="147" t="str">
        <f>RH5&amp;"07"</f>
        <v>КОЛ06607</v>
      </c>
      <c r="RL13" s="147" t="str">
        <f>RH5&amp;"08"</f>
        <v>КОЛ06608</v>
      </c>
      <c r="RM13" s="147" t="str">
        <f>RH5&amp;"09"</f>
        <v>КОЛ06609</v>
      </c>
      <c r="RN13" s="147" t="str">
        <f>RH5&amp;"52"</f>
        <v>КОЛ06652</v>
      </c>
      <c r="RO13" s="147" t="str">
        <f>RH5&amp;"10"</f>
        <v>КОЛ06610</v>
      </c>
      <c r="RP13" s="147" t="str">
        <f>RH5&amp;"11"</f>
        <v>КОЛ06611</v>
      </c>
      <c r="RQ13" s="147" t="str">
        <f>RH5&amp;"12"</f>
        <v>КОЛ06612</v>
      </c>
      <c r="RR13" s="147" t="str">
        <f>RH5&amp;"13"</f>
        <v>КОЛ06613</v>
      </c>
      <c r="RS13" s="147" t="str">
        <f>RH5&amp;"14"</f>
        <v>КОЛ06614</v>
      </c>
      <c r="RT13" s="147" t="str">
        <f>RH5&amp;"15"</f>
        <v>КОЛ06615</v>
      </c>
      <c r="RU13" s="147" t="str">
        <f>RH5&amp;"16"</f>
        <v>КОЛ06616</v>
      </c>
      <c r="RV13" s="147" t="str">
        <f>RH5&amp;"21"</f>
        <v>КОЛ06621</v>
      </c>
      <c r="RW13" s="152" t="str">
        <f>RH5&amp;"19"</f>
        <v>КОЛ06619</v>
      </c>
      <c r="RX13" s="132" t="str">
        <f>RH5&amp;"51"</f>
        <v>КОЛ06651</v>
      </c>
      <c r="RY13" s="151" t="str">
        <f>RH5&amp;"23"</f>
        <v>КОЛ06623</v>
      </c>
      <c r="RZ13" s="147" t="str">
        <f>RZ5&amp;"04"</f>
        <v>6704</v>
      </c>
      <c r="SA13" s="147" t="str">
        <f>RZ5&amp;"05"</f>
        <v>6705</v>
      </c>
      <c r="SB13" s="147" t="str">
        <f>RZ5&amp;"06"</f>
        <v>6706</v>
      </c>
      <c r="SC13" s="147" t="str">
        <f>RZ5&amp;"07"</f>
        <v>6707</v>
      </c>
      <c r="SD13" s="147" t="str">
        <f>RZ5&amp;"08"</f>
        <v>6708</v>
      </c>
      <c r="SE13" s="147" t="str">
        <f>RZ5&amp;"09"</f>
        <v>6709</v>
      </c>
      <c r="SF13" s="147" t="str">
        <f>RZ5&amp;"52"</f>
        <v>6752</v>
      </c>
      <c r="SG13" s="147" t="str">
        <f>RZ5&amp;"10"</f>
        <v>6710</v>
      </c>
      <c r="SH13" s="147" t="str">
        <f>RZ5&amp;"11"</f>
        <v>6711</v>
      </c>
      <c r="SI13" s="147" t="str">
        <f>RZ5&amp;"12"</f>
        <v>6712</v>
      </c>
      <c r="SJ13" s="147" t="str">
        <f>RZ5&amp;"13"</f>
        <v>6713</v>
      </c>
      <c r="SK13" s="147" t="str">
        <f>RZ5&amp;"14"</f>
        <v>6714</v>
      </c>
      <c r="SL13" s="147" t="str">
        <f>RZ5&amp;"15"</f>
        <v>6715</v>
      </c>
      <c r="SM13" s="147" t="str">
        <f>RZ5&amp;"16"</f>
        <v>6716</v>
      </c>
      <c r="SN13" s="147" t="str">
        <f>RZ5&amp;"21"</f>
        <v>6721</v>
      </c>
      <c r="SO13" s="152" t="str">
        <f>RZ5&amp;"19"</f>
        <v>6719</v>
      </c>
      <c r="SP13" s="132" t="str">
        <f>RZ5&amp;"51"</f>
        <v>6751</v>
      </c>
      <c r="SQ13" s="151" t="str">
        <f>RZ5&amp;"23"</f>
        <v>6723</v>
      </c>
      <c r="SR13" s="147" t="str">
        <f>SR5&amp;"04"</f>
        <v>КОЛ06804</v>
      </c>
      <c r="SS13" s="147" t="str">
        <f>SR5&amp;"05"</f>
        <v>КОЛ06805</v>
      </c>
      <c r="ST13" s="147" t="str">
        <f>SR5&amp;"06"</f>
        <v>КОЛ06806</v>
      </c>
      <c r="SU13" s="147" t="str">
        <f>SR5&amp;"07"</f>
        <v>КОЛ06807</v>
      </c>
      <c r="SV13" s="147" t="str">
        <f>SR5&amp;"08"</f>
        <v>КОЛ06808</v>
      </c>
      <c r="SW13" s="147" t="str">
        <f>SR5&amp;"09"</f>
        <v>КОЛ06809</v>
      </c>
      <c r="SX13" s="147" t="str">
        <f>SR5&amp;"52"</f>
        <v>КОЛ06852</v>
      </c>
      <c r="SY13" s="147" t="str">
        <f>SR5&amp;"10"</f>
        <v>КОЛ06810</v>
      </c>
      <c r="SZ13" s="147" t="str">
        <f>SR5&amp;"11"</f>
        <v>КОЛ06811</v>
      </c>
      <c r="TA13" s="147" t="str">
        <f>SR5&amp;"12"</f>
        <v>КОЛ06812</v>
      </c>
      <c r="TB13" s="147" t="str">
        <f>SR5&amp;"13"</f>
        <v>КОЛ06813</v>
      </c>
      <c r="TC13" s="147" t="str">
        <f>SR5&amp;"14"</f>
        <v>КОЛ06814</v>
      </c>
      <c r="TD13" s="147" t="str">
        <f>SR5&amp;"15"</f>
        <v>КОЛ06815</v>
      </c>
      <c r="TE13" s="147" t="str">
        <f>SR5&amp;"16"</f>
        <v>КОЛ06816</v>
      </c>
      <c r="TF13" s="147" t="str">
        <f>SR5&amp;"21"</f>
        <v>КОЛ06821</v>
      </c>
      <c r="TG13" s="152" t="str">
        <f>SR5&amp;"19"</f>
        <v>КОЛ06819</v>
      </c>
      <c r="TH13" s="132" t="str">
        <f>SR5&amp;"51"</f>
        <v>КОЛ06851</v>
      </c>
      <c r="TI13" s="151" t="str">
        <f>SR5&amp;"23"</f>
        <v>КОЛ06823</v>
      </c>
      <c r="TJ13" s="147" t="str">
        <f>TJ5&amp;"04"</f>
        <v>6904</v>
      </c>
      <c r="TK13" s="147" t="str">
        <f>TJ5&amp;"05"</f>
        <v>6905</v>
      </c>
      <c r="TL13" s="147" t="str">
        <f>TJ5&amp;"06"</f>
        <v>6906</v>
      </c>
      <c r="TM13" s="147" t="str">
        <f>TJ5&amp;"07"</f>
        <v>6907</v>
      </c>
      <c r="TN13" s="147" t="str">
        <f>TJ5&amp;"08"</f>
        <v>6908</v>
      </c>
      <c r="TO13" s="147" t="str">
        <f>TJ5&amp;"09"</f>
        <v>6909</v>
      </c>
      <c r="TP13" s="147" t="str">
        <f>TJ5&amp;"52"</f>
        <v>6952</v>
      </c>
      <c r="TQ13" s="147" t="str">
        <f>TJ5&amp;"10"</f>
        <v>6910</v>
      </c>
      <c r="TR13" s="147" t="str">
        <f>TJ5&amp;"11"</f>
        <v>6911</v>
      </c>
      <c r="TS13" s="147" t="str">
        <f>TJ5&amp;"12"</f>
        <v>6912</v>
      </c>
      <c r="TT13" s="147" t="str">
        <f>TJ5&amp;"13"</f>
        <v>6913</v>
      </c>
      <c r="TU13" s="147" t="str">
        <f>TJ5&amp;"14"</f>
        <v>6914</v>
      </c>
      <c r="TV13" s="147" t="str">
        <f>TJ5&amp;"15"</f>
        <v>6915</v>
      </c>
      <c r="TW13" s="147" t="str">
        <f>TJ5&amp;"16"</f>
        <v>6916</v>
      </c>
      <c r="TX13" s="147" t="str">
        <f>TJ5&amp;"21"</f>
        <v>6921</v>
      </c>
      <c r="TY13" s="152" t="str">
        <f>TJ5&amp;"19"</f>
        <v>6919</v>
      </c>
      <c r="TZ13" s="132" t="str">
        <f>TJ5&amp;"51"</f>
        <v>6951</v>
      </c>
      <c r="UA13" s="151" t="str">
        <f>TJ5&amp;"23"</f>
        <v>6923</v>
      </c>
      <c r="UB13" s="147" t="str">
        <f>UB5&amp;"04"</f>
        <v>КОЛ07004</v>
      </c>
      <c r="UC13" s="147" t="str">
        <f>UB5&amp;"05"</f>
        <v>КОЛ07005</v>
      </c>
      <c r="UD13" s="147" t="str">
        <f>UB5&amp;"06"</f>
        <v>КОЛ07006</v>
      </c>
      <c r="UE13" s="147" t="str">
        <f>UB5&amp;"07"</f>
        <v>КОЛ07007</v>
      </c>
      <c r="UF13" s="147" t="str">
        <f>UB5&amp;"08"</f>
        <v>КОЛ07008</v>
      </c>
      <c r="UG13" s="147" t="str">
        <f>UB5&amp;"09"</f>
        <v>КОЛ07009</v>
      </c>
      <c r="UH13" s="147" t="str">
        <f>UB5&amp;"52"</f>
        <v>КОЛ07052</v>
      </c>
      <c r="UI13" s="147" t="str">
        <f>UB5&amp;"10"</f>
        <v>КОЛ07010</v>
      </c>
      <c r="UJ13" s="147" t="str">
        <f>UB5&amp;"11"</f>
        <v>КОЛ07011</v>
      </c>
      <c r="UK13" s="147" t="str">
        <f>UB5&amp;"12"</f>
        <v>КОЛ07012</v>
      </c>
      <c r="UL13" s="147" t="str">
        <f>UB5&amp;"13"</f>
        <v>КОЛ07013</v>
      </c>
      <c r="UM13" s="147" t="str">
        <f>UB5&amp;"14"</f>
        <v>КОЛ07014</v>
      </c>
      <c r="UN13" s="147" t="str">
        <f>UB5&amp;"15"</f>
        <v>КОЛ07015</v>
      </c>
      <c r="UO13" s="147" t="str">
        <f>UB5&amp;"16"</f>
        <v>КОЛ07016</v>
      </c>
      <c r="UP13" s="147" t="str">
        <f>UB5&amp;"21"</f>
        <v>КОЛ07021</v>
      </c>
      <c r="UQ13" s="152" t="str">
        <f>UB5&amp;"19"</f>
        <v>КОЛ07019</v>
      </c>
      <c r="UR13" s="132" t="str">
        <f>UB5&amp;"51"</f>
        <v>КОЛ07051</v>
      </c>
      <c r="US13" s="151" t="str">
        <f>UB5&amp;"23"</f>
        <v>КОЛ07023</v>
      </c>
    </row>
    <row r="14" spans="1:565" ht="15" thickBot="1" x14ac:dyDescent="0.35">
      <c r="A14" s="8" t="s">
        <v>1</v>
      </c>
      <c r="B14" s="168" t="s">
        <v>2</v>
      </c>
      <c r="C14" s="10" t="s">
        <v>3</v>
      </c>
      <c r="F14" s="89"/>
      <c r="G14" s="88"/>
      <c r="H14" s="30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93"/>
      <c r="Y14" s="34"/>
      <c r="Z14" s="30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93"/>
      <c r="AQ14" s="34"/>
      <c r="AR14" s="30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93"/>
      <c r="BI14" s="34"/>
      <c r="BJ14" s="30"/>
      <c r="BK14" s="31"/>
      <c r="BL14" s="31"/>
      <c r="BM14" s="31"/>
      <c r="BN14" s="31"/>
      <c r="BO14" s="31"/>
      <c r="BP14" s="31"/>
      <c r="BQ14" s="31"/>
      <c r="BR14" s="31"/>
      <c r="BS14" s="31"/>
      <c r="BT14" s="31"/>
      <c r="BU14" s="31"/>
      <c r="BV14" s="31"/>
      <c r="BW14" s="31"/>
      <c r="BX14" s="31"/>
      <c r="BY14" s="31"/>
      <c r="BZ14" s="93"/>
      <c r="CA14" s="34"/>
      <c r="CB14" s="30"/>
      <c r="CC14" s="31"/>
      <c r="CD14" s="31"/>
      <c r="CE14" s="31"/>
      <c r="CF14" s="31"/>
      <c r="CG14" s="31"/>
      <c r="CH14" s="31"/>
      <c r="CI14" s="31"/>
      <c r="CJ14" s="31"/>
      <c r="CK14" s="31"/>
      <c r="CL14" s="31"/>
      <c r="CM14" s="31"/>
      <c r="CN14" s="31"/>
      <c r="CO14" s="31"/>
      <c r="CP14" s="31"/>
      <c r="CQ14" s="31"/>
      <c r="CR14" s="93"/>
      <c r="CS14" s="34"/>
      <c r="CT14" s="30"/>
      <c r="CU14" s="31"/>
      <c r="CV14" s="31"/>
      <c r="CW14" s="31"/>
      <c r="CX14" s="31"/>
      <c r="CY14" s="31"/>
      <c r="CZ14" s="31"/>
      <c r="DA14" s="31"/>
      <c r="DB14" s="31"/>
      <c r="DC14" s="31"/>
      <c r="DD14" s="31"/>
      <c r="DE14" s="31"/>
      <c r="DF14" s="31"/>
      <c r="DG14" s="31"/>
      <c r="DH14" s="31"/>
      <c r="DI14" s="31"/>
      <c r="DJ14" s="93"/>
      <c r="DK14" s="34"/>
      <c r="DL14" s="30"/>
      <c r="DM14" s="31"/>
      <c r="DN14" s="31"/>
      <c r="DO14" s="31"/>
      <c r="DP14" s="31"/>
      <c r="DQ14" s="31"/>
      <c r="DR14" s="31"/>
      <c r="DS14" s="31"/>
      <c r="DT14" s="31"/>
      <c r="DU14" s="31"/>
      <c r="DV14" s="31"/>
      <c r="DW14" s="31"/>
      <c r="DX14" s="31"/>
      <c r="DY14" s="31"/>
      <c r="DZ14" s="31"/>
      <c r="EA14" s="31"/>
      <c r="EB14" s="93"/>
      <c r="EC14" s="34"/>
      <c r="ED14" s="30"/>
      <c r="EE14" s="31"/>
      <c r="EF14" s="31"/>
      <c r="EG14" s="31"/>
      <c r="EH14" s="31"/>
      <c r="EI14" s="31"/>
      <c r="EJ14" s="31"/>
      <c r="EK14" s="31"/>
      <c r="EL14" s="31"/>
      <c r="EM14" s="31"/>
      <c r="EN14" s="31"/>
      <c r="EO14" s="31"/>
      <c r="EP14" s="31"/>
      <c r="EQ14" s="31"/>
      <c r="ER14" s="31"/>
      <c r="ES14" s="31"/>
      <c r="ET14" s="93"/>
      <c r="EU14" s="34"/>
      <c r="EV14" s="30"/>
      <c r="EW14" s="31"/>
      <c r="EX14" s="31"/>
      <c r="EY14" s="31"/>
      <c r="EZ14" s="31"/>
      <c r="FA14" s="31"/>
      <c r="FB14" s="31"/>
      <c r="FC14" s="31"/>
      <c r="FD14" s="31"/>
      <c r="FE14" s="31"/>
      <c r="FF14" s="31"/>
      <c r="FG14" s="31"/>
      <c r="FH14" s="31"/>
      <c r="FI14" s="31"/>
      <c r="FJ14" s="31"/>
      <c r="FK14" s="31"/>
      <c r="FL14" s="93"/>
      <c r="FM14" s="34"/>
      <c r="FN14" s="30"/>
      <c r="FO14" s="31"/>
      <c r="FP14" s="31"/>
      <c r="FQ14" s="31"/>
      <c r="FR14" s="31"/>
      <c r="FS14" s="31"/>
      <c r="FT14" s="31"/>
      <c r="FU14" s="31"/>
      <c r="FV14" s="31"/>
      <c r="FW14" s="31"/>
      <c r="FX14" s="31"/>
      <c r="FY14" s="31"/>
      <c r="FZ14" s="31"/>
      <c r="GA14" s="31"/>
      <c r="GB14" s="31"/>
      <c r="GC14" s="31"/>
      <c r="GD14" s="93"/>
      <c r="GE14" s="34"/>
      <c r="GF14" s="30"/>
      <c r="GG14" s="31"/>
      <c r="GH14" s="31"/>
      <c r="GI14" s="31"/>
      <c r="GJ14" s="31"/>
      <c r="GK14" s="31"/>
      <c r="GL14" s="31"/>
      <c r="GM14" s="31"/>
      <c r="GN14" s="31"/>
      <c r="GO14" s="31"/>
      <c r="GP14" s="31"/>
      <c r="GQ14" s="31"/>
      <c r="GR14" s="31"/>
      <c r="GS14" s="31"/>
      <c r="GT14" s="31"/>
      <c r="GU14" s="31"/>
      <c r="GV14" s="93"/>
      <c r="GW14" s="34"/>
      <c r="GX14" s="30"/>
      <c r="GY14" s="31"/>
      <c r="GZ14" s="31"/>
      <c r="HA14" s="31"/>
      <c r="HB14" s="31"/>
      <c r="HC14" s="31"/>
      <c r="HD14" s="31"/>
      <c r="HE14" s="31"/>
      <c r="HF14" s="31"/>
      <c r="HG14" s="31"/>
      <c r="HH14" s="31"/>
      <c r="HI14" s="31"/>
      <c r="HJ14" s="31"/>
      <c r="HK14" s="31"/>
      <c r="HL14" s="31"/>
      <c r="HM14" s="31"/>
      <c r="HN14" s="93"/>
      <c r="HO14" s="34"/>
      <c r="HP14" s="30"/>
      <c r="HQ14" s="31"/>
      <c r="HR14" s="31"/>
      <c r="HS14" s="31"/>
      <c r="HT14" s="31"/>
      <c r="HU14" s="31"/>
      <c r="HV14" s="31"/>
      <c r="HW14" s="31"/>
      <c r="HX14" s="31"/>
      <c r="HY14" s="31"/>
      <c r="HZ14" s="31"/>
      <c r="IA14" s="31"/>
      <c r="IB14" s="31"/>
      <c r="IC14" s="31"/>
      <c r="ID14" s="31"/>
      <c r="IE14" s="31"/>
      <c r="IF14" s="93"/>
      <c r="IG14" s="34"/>
      <c r="IH14" s="30"/>
      <c r="II14" s="31"/>
      <c r="IJ14" s="31"/>
      <c r="IK14" s="31"/>
      <c r="IL14" s="31"/>
      <c r="IM14" s="31"/>
      <c r="IN14" s="31"/>
      <c r="IO14" s="31"/>
      <c r="IP14" s="31"/>
      <c r="IQ14" s="31"/>
      <c r="IR14" s="31"/>
      <c r="IS14" s="31"/>
      <c r="IT14" s="31"/>
      <c r="IU14" s="31"/>
      <c r="IV14" s="31"/>
      <c r="IW14" s="31"/>
      <c r="IX14" s="93"/>
      <c r="IY14" s="34"/>
      <c r="IZ14" s="30"/>
      <c r="JA14" s="31"/>
      <c r="JB14" s="31"/>
      <c r="JC14" s="31"/>
      <c r="JD14" s="31"/>
      <c r="JE14" s="31"/>
      <c r="JF14" s="31"/>
      <c r="JG14" s="31"/>
      <c r="JH14" s="31"/>
      <c r="JI14" s="31"/>
      <c r="JJ14" s="31"/>
      <c r="JK14" s="31"/>
      <c r="JL14" s="31"/>
      <c r="JM14" s="31"/>
      <c r="JN14" s="31"/>
      <c r="JO14" s="31"/>
      <c r="JP14" s="93"/>
      <c r="JQ14" s="34"/>
      <c r="JR14" s="30"/>
      <c r="JS14" s="31"/>
      <c r="JT14" s="31"/>
      <c r="JU14" s="31"/>
      <c r="JV14" s="31"/>
      <c r="JW14" s="31"/>
      <c r="JX14" s="31"/>
      <c r="JY14" s="31"/>
      <c r="JZ14" s="31"/>
      <c r="KA14" s="31"/>
      <c r="KB14" s="31"/>
      <c r="KC14" s="31"/>
      <c r="KD14" s="31"/>
      <c r="KE14" s="31"/>
      <c r="KF14" s="31"/>
      <c r="KG14" s="31"/>
      <c r="KH14" s="93"/>
      <c r="KI14" s="34"/>
      <c r="KJ14" s="30"/>
      <c r="KK14" s="31"/>
      <c r="KL14" s="31"/>
      <c r="KM14" s="31"/>
      <c r="KN14" s="31"/>
      <c r="KO14" s="31"/>
      <c r="KP14" s="31"/>
      <c r="KQ14" s="31"/>
      <c r="KR14" s="31"/>
      <c r="KS14" s="31"/>
      <c r="KT14" s="31"/>
      <c r="KU14" s="31"/>
      <c r="KV14" s="31"/>
      <c r="KW14" s="31"/>
      <c r="KX14" s="31"/>
      <c r="KY14" s="31"/>
      <c r="KZ14" s="93"/>
      <c r="LA14" s="34"/>
      <c r="LB14" s="30"/>
      <c r="LC14" s="31"/>
      <c r="LD14" s="31"/>
      <c r="LE14" s="31"/>
      <c r="LF14" s="31"/>
      <c r="LG14" s="31"/>
      <c r="LH14" s="31"/>
      <c r="LI14" s="31"/>
      <c r="LJ14" s="31"/>
      <c r="LK14" s="31"/>
      <c r="LL14" s="31"/>
      <c r="LM14" s="31"/>
      <c r="LN14" s="31"/>
      <c r="LO14" s="31"/>
      <c r="LP14" s="31"/>
      <c r="LQ14" s="31"/>
      <c r="LR14" s="93"/>
      <c r="LS14" s="34"/>
      <c r="LT14" s="30"/>
      <c r="LU14" s="31"/>
      <c r="LV14" s="31"/>
      <c r="LW14" s="31"/>
      <c r="LX14" s="31"/>
      <c r="LY14" s="31"/>
      <c r="LZ14" s="31"/>
      <c r="MA14" s="31"/>
      <c r="MB14" s="31"/>
      <c r="MC14" s="31"/>
      <c r="MD14" s="31"/>
      <c r="ME14" s="31"/>
      <c r="MF14" s="31"/>
      <c r="MG14" s="31"/>
      <c r="MH14" s="31"/>
      <c r="MI14" s="31"/>
      <c r="MJ14" s="93"/>
      <c r="MK14" s="34"/>
      <c r="ML14" s="30"/>
      <c r="MM14" s="31"/>
      <c r="MN14" s="31"/>
      <c r="MO14" s="31"/>
      <c r="MP14" s="31"/>
      <c r="MQ14" s="31"/>
      <c r="MR14" s="31"/>
      <c r="MS14" s="31"/>
      <c r="MT14" s="31"/>
      <c r="MU14" s="31"/>
      <c r="MV14" s="31"/>
      <c r="MW14" s="31"/>
      <c r="MX14" s="31"/>
      <c r="MY14" s="31"/>
      <c r="MZ14" s="31"/>
      <c r="NA14" s="31"/>
      <c r="NB14" s="93"/>
      <c r="NC14" s="34"/>
      <c r="ND14" s="30"/>
      <c r="NE14" s="31"/>
      <c r="NF14" s="31"/>
      <c r="NG14" s="31"/>
      <c r="NH14" s="31"/>
      <c r="NI14" s="31"/>
      <c r="NJ14" s="31"/>
      <c r="NK14" s="31"/>
      <c r="NL14" s="31"/>
      <c r="NM14" s="31"/>
      <c r="NN14" s="31"/>
      <c r="NO14" s="31"/>
      <c r="NP14" s="31"/>
      <c r="NQ14" s="31"/>
      <c r="NR14" s="31"/>
      <c r="NS14" s="31"/>
      <c r="NT14" s="93"/>
      <c r="NU14" s="34"/>
      <c r="NV14" s="30"/>
      <c r="NW14" s="31"/>
      <c r="NX14" s="31"/>
      <c r="NY14" s="31"/>
      <c r="NZ14" s="31"/>
      <c r="OA14" s="31"/>
      <c r="OB14" s="31"/>
      <c r="OC14" s="31"/>
      <c r="OD14" s="31"/>
      <c r="OE14" s="31"/>
      <c r="OF14" s="31"/>
      <c r="OG14" s="31"/>
      <c r="OH14" s="31"/>
      <c r="OI14" s="31"/>
      <c r="OJ14" s="31"/>
      <c r="OK14" s="31"/>
      <c r="OL14" s="93"/>
      <c r="OM14" s="34"/>
      <c r="ON14" s="30"/>
      <c r="OO14" s="31"/>
      <c r="OP14" s="31"/>
      <c r="OQ14" s="31"/>
      <c r="OR14" s="31"/>
      <c r="OS14" s="31"/>
      <c r="OT14" s="31"/>
      <c r="OU14" s="31"/>
      <c r="OV14" s="31"/>
      <c r="OW14" s="31"/>
      <c r="OX14" s="31"/>
      <c r="OY14" s="31"/>
      <c r="OZ14" s="31"/>
      <c r="PA14" s="31"/>
      <c r="PB14" s="31"/>
      <c r="PC14" s="31"/>
      <c r="PD14" s="93"/>
      <c r="PE14" s="34"/>
      <c r="PF14" s="30"/>
      <c r="PG14" s="31"/>
      <c r="PH14" s="31"/>
      <c r="PI14" s="31"/>
      <c r="PJ14" s="31"/>
      <c r="PK14" s="31"/>
      <c r="PL14" s="31"/>
      <c r="PM14" s="31"/>
      <c r="PN14" s="31"/>
      <c r="PO14" s="31"/>
      <c r="PP14" s="31"/>
      <c r="PQ14" s="31"/>
      <c r="PR14" s="31"/>
      <c r="PS14" s="31"/>
      <c r="PT14" s="31"/>
      <c r="PU14" s="31"/>
      <c r="PV14" s="93"/>
      <c r="PW14" s="34"/>
      <c r="PX14" s="30"/>
      <c r="PY14" s="31"/>
      <c r="PZ14" s="31"/>
      <c r="QA14" s="31"/>
      <c r="QB14" s="31"/>
      <c r="QC14" s="31"/>
      <c r="QD14" s="31"/>
      <c r="QE14" s="31"/>
      <c r="QF14" s="31"/>
      <c r="QG14" s="31"/>
      <c r="QH14" s="31"/>
      <c r="QI14" s="31"/>
      <c r="QJ14" s="31"/>
      <c r="QK14" s="31"/>
      <c r="QL14" s="31"/>
      <c r="QM14" s="31"/>
      <c r="QN14" s="93"/>
      <c r="QO14" s="34"/>
      <c r="QP14" s="30"/>
      <c r="QQ14" s="31"/>
      <c r="QR14" s="31"/>
      <c r="QS14" s="31"/>
      <c r="QT14" s="31"/>
      <c r="QU14" s="31"/>
      <c r="QV14" s="31"/>
      <c r="QW14" s="31"/>
      <c r="QX14" s="31"/>
      <c r="QY14" s="31"/>
      <c r="QZ14" s="31"/>
      <c r="RA14" s="31"/>
      <c r="RB14" s="31"/>
      <c r="RC14" s="31"/>
      <c r="RD14" s="31"/>
      <c r="RE14" s="31"/>
      <c r="RF14" s="93"/>
      <c r="RG14" s="34"/>
      <c r="RH14" s="30"/>
      <c r="RI14" s="31"/>
      <c r="RJ14" s="31"/>
      <c r="RK14" s="31"/>
      <c r="RL14" s="31"/>
      <c r="RM14" s="31"/>
      <c r="RN14" s="31"/>
      <c r="RO14" s="31"/>
      <c r="RP14" s="31"/>
      <c r="RQ14" s="31"/>
      <c r="RR14" s="31"/>
      <c r="RS14" s="31"/>
      <c r="RT14" s="31"/>
      <c r="RU14" s="31"/>
      <c r="RV14" s="31"/>
      <c r="RW14" s="31"/>
      <c r="RX14" s="93"/>
      <c r="RY14" s="34"/>
      <c r="RZ14" s="30"/>
      <c r="SA14" s="31"/>
      <c r="SB14" s="31"/>
      <c r="SC14" s="31"/>
      <c r="SD14" s="31"/>
      <c r="SE14" s="31"/>
      <c r="SF14" s="31"/>
      <c r="SG14" s="31"/>
      <c r="SH14" s="31"/>
      <c r="SI14" s="31"/>
      <c r="SJ14" s="31"/>
      <c r="SK14" s="31"/>
      <c r="SL14" s="31"/>
      <c r="SM14" s="31"/>
      <c r="SN14" s="31"/>
      <c r="SO14" s="31"/>
      <c r="SP14" s="93"/>
      <c r="SQ14" s="34"/>
      <c r="SR14" s="30"/>
      <c r="SS14" s="31"/>
      <c r="ST14" s="31"/>
      <c r="SU14" s="31"/>
      <c r="SV14" s="31"/>
      <c r="SW14" s="31"/>
      <c r="SX14" s="31"/>
      <c r="SY14" s="31"/>
      <c r="SZ14" s="31"/>
      <c r="TA14" s="31"/>
      <c r="TB14" s="31"/>
      <c r="TC14" s="31"/>
      <c r="TD14" s="31"/>
      <c r="TE14" s="31"/>
      <c r="TF14" s="31"/>
      <c r="TG14" s="31"/>
      <c r="TH14" s="93"/>
      <c r="TI14" s="34"/>
      <c r="TJ14" s="30"/>
      <c r="TK14" s="31"/>
      <c r="TL14" s="31"/>
      <c r="TM14" s="31"/>
      <c r="TN14" s="31"/>
      <c r="TO14" s="31"/>
      <c r="TP14" s="31"/>
      <c r="TQ14" s="31"/>
      <c r="TR14" s="31"/>
      <c r="TS14" s="31"/>
      <c r="TT14" s="31"/>
      <c r="TU14" s="31"/>
      <c r="TV14" s="31"/>
      <c r="TW14" s="31"/>
      <c r="TX14" s="31"/>
      <c r="TY14" s="31"/>
      <c r="TZ14" s="93"/>
      <c r="UA14" s="34"/>
      <c r="UB14" s="30"/>
      <c r="UC14" s="31"/>
      <c r="UD14" s="31"/>
      <c r="UE14" s="31"/>
      <c r="UF14" s="31"/>
      <c r="UG14" s="31"/>
      <c r="UH14" s="31"/>
      <c r="UI14" s="31"/>
      <c r="UJ14" s="31"/>
      <c r="UK14" s="31"/>
      <c r="UL14" s="31"/>
      <c r="UM14" s="31"/>
      <c r="UN14" s="31"/>
      <c r="UO14" s="31"/>
      <c r="UP14" s="31"/>
      <c r="UQ14" s="31"/>
      <c r="UR14" s="93"/>
      <c r="US14" s="34"/>
    </row>
    <row r="15" spans="1:565" ht="15" thickBot="1" x14ac:dyDescent="0.35">
      <c r="A15" s="8" t="s">
        <v>1</v>
      </c>
      <c r="B15" s="168" t="s">
        <v>2</v>
      </c>
      <c r="C15" s="10" t="s">
        <v>4</v>
      </c>
      <c r="F15" s="89"/>
      <c r="G15" s="89"/>
      <c r="H15" s="32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94"/>
      <c r="Y15" s="34"/>
      <c r="Z15" s="32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33"/>
      <c r="AN15" s="33"/>
      <c r="AO15" s="33"/>
      <c r="AP15" s="94"/>
      <c r="AQ15" s="34"/>
      <c r="AR15" s="32"/>
      <c r="AS15" s="33"/>
      <c r="AT15" s="33"/>
      <c r="AU15" s="33"/>
      <c r="AV15" s="33"/>
      <c r="AW15" s="33"/>
      <c r="AX15" s="33"/>
      <c r="AY15" s="33"/>
      <c r="AZ15" s="33"/>
      <c r="BA15" s="33"/>
      <c r="BB15" s="33"/>
      <c r="BC15" s="33"/>
      <c r="BD15" s="33"/>
      <c r="BE15" s="33"/>
      <c r="BF15" s="33"/>
      <c r="BG15" s="33"/>
      <c r="BH15" s="94"/>
      <c r="BI15" s="34"/>
      <c r="BJ15" s="148"/>
      <c r="BK15" s="33"/>
      <c r="BL15" s="33"/>
      <c r="BM15" s="33"/>
      <c r="BN15" s="33"/>
      <c r="BO15" s="33"/>
      <c r="BP15" s="33"/>
      <c r="BQ15" s="33"/>
      <c r="BR15" s="33"/>
      <c r="BS15" s="33"/>
      <c r="BT15" s="33"/>
      <c r="BU15" s="33"/>
      <c r="BV15" s="33"/>
      <c r="BW15" s="33"/>
      <c r="BX15" s="33"/>
      <c r="BY15" s="33"/>
      <c r="BZ15" s="94"/>
      <c r="CA15" s="34"/>
      <c r="CB15" s="32"/>
      <c r="CC15" s="33"/>
      <c r="CD15" s="33"/>
      <c r="CE15" s="33"/>
      <c r="CF15" s="33"/>
      <c r="CG15" s="33"/>
      <c r="CH15" s="33"/>
      <c r="CI15" s="33"/>
      <c r="CJ15" s="33"/>
      <c r="CK15" s="33"/>
      <c r="CL15" s="33"/>
      <c r="CM15" s="33"/>
      <c r="CN15" s="33"/>
      <c r="CO15" s="33"/>
      <c r="CP15" s="33"/>
      <c r="CQ15" s="33"/>
      <c r="CR15" s="94"/>
      <c r="CS15" s="34"/>
      <c r="CT15" s="148"/>
      <c r="CU15" s="33"/>
      <c r="CV15" s="33"/>
      <c r="CW15" s="33"/>
      <c r="CX15" s="33"/>
      <c r="CY15" s="33"/>
      <c r="CZ15" s="33"/>
      <c r="DA15" s="33"/>
      <c r="DB15" s="33"/>
      <c r="DC15" s="33"/>
      <c r="DD15" s="33"/>
      <c r="DE15" s="33"/>
      <c r="DF15" s="33"/>
      <c r="DG15" s="33"/>
      <c r="DH15" s="33"/>
      <c r="DI15" s="33"/>
      <c r="DJ15" s="94"/>
      <c r="DK15" s="34"/>
      <c r="DL15" s="148"/>
      <c r="DM15" s="33"/>
      <c r="DN15" s="33"/>
      <c r="DO15" s="33"/>
      <c r="DP15" s="33"/>
      <c r="DQ15" s="33"/>
      <c r="DR15" s="33"/>
      <c r="DS15" s="33"/>
      <c r="DT15" s="33"/>
      <c r="DU15" s="33"/>
      <c r="DV15" s="33"/>
      <c r="DW15" s="33"/>
      <c r="DX15" s="33"/>
      <c r="DY15" s="33"/>
      <c r="DZ15" s="33"/>
      <c r="EA15" s="33"/>
      <c r="EB15" s="94"/>
      <c r="EC15" s="34"/>
      <c r="ED15" s="148"/>
      <c r="EE15" s="33"/>
      <c r="EF15" s="33"/>
      <c r="EG15" s="33"/>
      <c r="EH15" s="33"/>
      <c r="EI15" s="33"/>
      <c r="EJ15" s="33"/>
      <c r="EK15" s="33"/>
      <c r="EL15" s="33"/>
      <c r="EM15" s="33"/>
      <c r="EN15" s="33"/>
      <c r="EO15" s="33"/>
      <c r="EP15" s="33"/>
      <c r="EQ15" s="33"/>
      <c r="ER15" s="33"/>
      <c r="ES15" s="33"/>
      <c r="ET15" s="94"/>
      <c r="EU15" s="34"/>
      <c r="EV15" s="32"/>
      <c r="EW15" s="33"/>
      <c r="EX15" s="33"/>
      <c r="EY15" s="33"/>
      <c r="EZ15" s="33"/>
      <c r="FA15" s="33"/>
      <c r="FB15" s="33"/>
      <c r="FC15" s="33"/>
      <c r="FD15" s="33"/>
      <c r="FE15" s="33"/>
      <c r="FF15" s="33"/>
      <c r="FG15" s="33"/>
      <c r="FH15" s="33"/>
      <c r="FI15" s="33"/>
      <c r="FJ15" s="33"/>
      <c r="FK15" s="33"/>
      <c r="FL15" s="94"/>
      <c r="FM15" s="34"/>
      <c r="FN15" s="148"/>
      <c r="FO15" s="33"/>
      <c r="FP15" s="33"/>
      <c r="FQ15" s="33"/>
      <c r="FR15" s="33"/>
      <c r="FS15" s="33"/>
      <c r="FT15" s="33"/>
      <c r="FU15" s="33"/>
      <c r="FV15" s="33"/>
      <c r="FW15" s="33"/>
      <c r="FX15" s="33"/>
      <c r="FY15" s="33"/>
      <c r="FZ15" s="33"/>
      <c r="GA15" s="33"/>
      <c r="GB15" s="33"/>
      <c r="GC15" s="33"/>
      <c r="GD15" s="94"/>
      <c r="GE15" s="34"/>
      <c r="GF15" s="32"/>
      <c r="GG15" s="33"/>
      <c r="GH15" s="33"/>
      <c r="GI15" s="33"/>
      <c r="GJ15" s="33"/>
      <c r="GK15" s="33"/>
      <c r="GL15" s="33"/>
      <c r="GM15" s="33"/>
      <c r="GN15" s="33"/>
      <c r="GO15" s="33"/>
      <c r="GP15" s="33"/>
      <c r="GQ15" s="33"/>
      <c r="GR15" s="33"/>
      <c r="GS15" s="33"/>
      <c r="GT15" s="33"/>
      <c r="GU15" s="33"/>
      <c r="GV15" s="94"/>
      <c r="GW15" s="34"/>
      <c r="GX15" s="148"/>
      <c r="GY15" s="33"/>
      <c r="GZ15" s="33"/>
      <c r="HA15" s="33"/>
      <c r="HB15" s="33"/>
      <c r="HC15" s="33"/>
      <c r="HD15" s="33"/>
      <c r="HE15" s="33"/>
      <c r="HF15" s="33"/>
      <c r="HG15" s="33"/>
      <c r="HH15" s="33"/>
      <c r="HI15" s="33"/>
      <c r="HJ15" s="33"/>
      <c r="HK15" s="33"/>
      <c r="HL15" s="33"/>
      <c r="HM15" s="33"/>
      <c r="HN15" s="94"/>
      <c r="HO15" s="34"/>
      <c r="HP15" s="148"/>
      <c r="HQ15" s="33"/>
      <c r="HR15" s="33"/>
      <c r="HS15" s="33"/>
      <c r="HT15" s="33"/>
      <c r="HU15" s="33"/>
      <c r="HV15" s="33"/>
      <c r="HW15" s="33"/>
      <c r="HX15" s="33"/>
      <c r="HY15" s="33"/>
      <c r="HZ15" s="33"/>
      <c r="IA15" s="33"/>
      <c r="IB15" s="33"/>
      <c r="IC15" s="33"/>
      <c r="ID15" s="33"/>
      <c r="IE15" s="33"/>
      <c r="IF15" s="94"/>
      <c r="IG15" s="34"/>
      <c r="IH15" s="148"/>
      <c r="II15" s="33"/>
      <c r="IJ15" s="33"/>
      <c r="IK15" s="33"/>
      <c r="IL15" s="33"/>
      <c r="IM15" s="33"/>
      <c r="IN15" s="33"/>
      <c r="IO15" s="33"/>
      <c r="IP15" s="33"/>
      <c r="IQ15" s="33"/>
      <c r="IR15" s="33"/>
      <c r="IS15" s="33"/>
      <c r="IT15" s="33"/>
      <c r="IU15" s="33"/>
      <c r="IV15" s="33"/>
      <c r="IW15" s="33"/>
      <c r="IX15" s="94"/>
      <c r="IY15" s="34"/>
      <c r="IZ15" s="148"/>
      <c r="JA15" s="33"/>
      <c r="JB15" s="33"/>
      <c r="JC15" s="33"/>
      <c r="JD15" s="33"/>
      <c r="JE15" s="33"/>
      <c r="JF15" s="33"/>
      <c r="JG15" s="33"/>
      <c r="JH15" s="33"/>
      <c r="JI15" s="33"/>
      <c r="JJ15" s="33"/>
      <c r="JK15" s="33"/>
      <c r="JL15" s="33"/>
      <c r="JM15" s="33"/>
      <c r="JN15" s="33"/>
      <c r="JO15" s="33"/>
      <c r="JP15" s="94"/>
      <c r="JQ15" s="34"/>
      <c r="JR15" s="148"/>
      <c r="JS15" s="33"/>
      <c r="JT15" s="33"/>
      <c r="JU15" s="33"/>
      <c r="JV15" s="33"/>
      <c r="JW15" s="33"/>
      <c r="JX15" s="33"/>
      <c r="JY15" s="33"/>
      <c r="JZ15" s="33"/>
      <c r="KA15" s="33"/>
      <c r="KB15" s="33"/>
      <c r="KC15" s="33"/>
      <c r="KD15" s="33"/>
      <c r="KE15" s="33"/>
      <c r="KF15" s="33"/>
      <c r="KG15" s="33"/>
      <c r="KH15" s="94"/>
      <c r="KI15" s="34"/>
      <c r="KJ15" s="148"/>
      <c r="KK15" s="33"/>
      <c r="KL15" s="33"/>
      <c r="KM15" s="33"/>
      <c r="KN15" s="33"/>
      <c r="KO15" s="33"/>
      <c r="KP15" s="33"/>
      <c r="KQ15" s="33"/>
      <c r="KR15" s="33"/>
      <c r="KS15" s="33"/>
      <c r="KT15" s="33"/>
      <c r="KU15" s="33"/>
      <c r="KV15" s="33"/>
      <c r="KW15" s="33"/>
      <c r="KX15" s="33"/>
      <c r="KY15" s="33"/>
      <c r="KZ15" s="94"/>
      <c r="LA15" s="34"/>
      <c r="LB15" s="148"/>
      <c r="LC15" s="33"/>
      <c r="LD15" s="33"/>
      <c r="LE15" s="33"/>
      <c r="LF15" s="33"/>
      <c r="LG15" s="33"/>
      <c r="LH15" s="33"/>
      <c r="LI15" s="33"/>
      <c r="LJ15" s="33"/>
      <c r="LK15" s="33"/>
      <c r="LL15" s="33"/>
      <c r="LM15" s="33"/>
      <c r="LN15" s="33"/>
      <c r="LO15" s="33"/>
      <c r="LP15" s="33"/>
      <c r="LQ15" s="33"/>
      <c r="LR15" s="94"/>
      <c r="LS15" s="34"/>
      <c r="LT15" s="148"/>
      <c r="LU15" s="33"/>
      <c r="LV15" s="33"/>
      <c r="LW15" s="33"/>
      <c r="LX15" s="33"/>
      <c r="LY15" s="33"/>
      <c r="LZ15" s="33"/>
      <c r="MA15" s="33"/>
      <c r="MB15" s="31"/>
      <c r="MC15" s="33"/>
      <c r="MD15" s="33"/>
      <c r="ME15" s="33"/>
      <c r="MF15" s="33"/>
      <c r="MG15" s="33"/>
      <c r="MH15" s="33"/>
      <c r="MI15" s="33"/>
      <c r="MJ15" s="94"/>
      <c r="MK15" s="34"/>
      <c r="ML15" s="148"/>
      <c r="MM15" s="33"/>
      <c r="MN15" s="33"/>
      <c r="MO15" s="33"/>
      <c r="MP15" s="33"/>
      <c r="MQ15" s="33"/>
      <c r="MR15" s="33"/>
      <c r="MS15" s="33"/>
      <c r="MT15" s="33"/>
      <c r="MU15" s="33"/>
      <c r="MV15" s="33"/>
      <c r="MW15" s="33"/>
      <c r="MX15" s="33"/>
      <c r="MY15" s="33"/>
      <c r="MZ15" s="33"/>
      <c r="NA15" s="33"/>
      <c r="NB15" s="94"/>
      <c r="NC15" s="34"/>
      <c r="ND15" s="32"/>
      <c r="NE15" s="33"/>
      <c r="NF15" s="33"/>
      <c r="NG15" s="33"/>
      <c r="NH15" s="33"/>
      <c r="NI15" s="33"/>
      <c r="NJ15" s="33"/>
      <c r="NK15" s="33"/>
      <c r="NL15" s="33"/>
      <c r="NM15" s="33"/>
      <c r="NN15" s="33"/>
      <c r="NO15" s="33"/>
      <c r="NP15" s="33"/>
      <c r="NQ15" s="33"/>
      <c r="NR15" s="33"/>
      <c r="NS15" s="33"/>
      <c r="NT15" s="94"/>
      <c r="NU15" s="34"/>
      <c r="NV15" s="148"/>
      <c r="NW15" s="33"/>
      <c r="NX15" s="33"/>
      <c r="NY15" s="33"/>
      <c r="NZ15" s="33"/>
      <c r="OA15" s="33"/>
      <c r="OB15" s="33"/>
      <c r="OC15" s="33"/>
      <c r="OD15" s="33"/>
      <c r="OE15" s="33"/>
      <c r="OF15" s="33"/>
      <c r="OG15" s="33"/>
      <c r="OH15" s="33"/>
      <c r="OI15" s="33"/>
      <c r="OJ15" s="33"/>
      <c r="OK15" s="33"/>
      <c r="OL15" s="94"/>
      <c r="OM15" s="34"/>
      <c r="ON15" s="32"/>
      <c r="OO15" s="33"/>
      <c r="OP15" s="33"/>
      <c r="OQ15" s="33"/>
      <c r="OR15" s="33"/>
      <c r="OS15" s="33"/>
      <c r="OT15" s="33"/>
      <c r="OU15" s="33"/>
      <c r="OV15" s="33"/>
      <c r="OW15" s="33"/>
      <c r="OX15" s="33"/>
      <c r="OY15" s="33"/>
      <c r="OZ15" s="33"/>
      <c r="PA15" s="33"/>
      <c r="PB15" s="33"/>
      <c r="PC15" s="33"/>
      <c r="PD15" s="94"/>
      <c r="PE15" s="34"/>
      <c r="PF15" s="148"/>
      <c r="PG15" s="33"/>
      <c r="PH15" s="33"/>
      <c r="PI15" s="33"/>
      <c r="PJ15" s="33"/>
      <c r="PK15" s="33"/>
      <c r="PL15" s="33"/>
      <c r="PM15" s="33"/>
      <c r="PN15" s="31"/>
      <c r="PO15" s="33"/>
      <c r="PP15" s="33"/>
      <c r="PQ15" s="33"/>
      <c r="PR15" s="33"/>
      <c r="PS15" s="33"/>
      <c r="PT15" s="33"/>
      <c r="PU15" s="33"/>
      <c r="PV15" s="94"/>
      <c r="PW15" s="34"/>
      <c r="PX15" s="148"/>
      <c r="PY15" s="33"/>
      <c r="PZ15" s="33"/>
      <c r="QA15" s="33"/>
      <c r="QB15" s="33"/>
      <c r="QC15" s="33"/>
      <c r="QD15" s="33"/>
      <c r="QE15" s="33"/>
      <c r="QF15" s="31"/>
      <c r="QG15" s="33"/>
      <c r="QH15" s="33"/>
      <c r="QI15" s="33"/>
      <c r="QJ15" s="33"/>
      <c r="QK15" s="33"/>
      <c r="QL15" s="33"/>
      <c r="QM15" s="33"/>
      <c r="QN15" s="94"/>
      <c r="QO15" s="34"/>
      <c r="QP15" s="148"/>
      <c r="QQ15" s="33"/>
      <c r="QR15" s="33"/>
      <c r="QS15" s="33"/>
      <c r="QT15" s="33"/>
      <c r="QU15" s="33"/>
      <c r="QV15" s="33"/>
      <c r="QW15" s="33"/>
      <c r="QX15" s="31"/>
      <c r="QY15" s="33"/>
      <c r="QZ15" s="33"/>
      <c r="RA15" s="33"/>
      <c r="RB15" s="33"/>
      <c r="RC15" s="33"/>
      <c r="RD15" s="33"/>
      <c r="RE15" s="33"/>
      <c r="RF15" s="94"/>
      <c r="RG15" s="34"/>
      <c r="RH15" s="148"/>
      <c r="RI15" s="33"/>
      <c r="RJ15" s="33"/>
      <c r="RK15" s="33"/>
      <c r="RL15" s="33"/>
      <c r="RM15" s="33"/>
      <c r="RN15" s="33"/>
      <c r="RO15" s="33"/>
      <c r="RP15" s="31"/>
      <c r="RQ15" s="33"/>
      <c r="RR15" s="33"/>
      <c r="RS15" s="33"/>
      <c r="RT15" s="33"/>
      <c r="RU15" s="33"/>
      <c r="RV15" s="33"/>
      <c r="RW15" s="33"/>
      <c r="RX15" s="94"/>
      <c r="RY15" s="34"/>
      <c r="RZ15" s="148"/>
      <c r="SA15" s="33"/>
      <c r="SB15" s="33"/>
      <c r="SC15" s="33"/>
      <c r="SD15" s="33"/>
      <c r="SE15" s="33"/>
      <c r="SF15" s="33"/>
      <c r="SG15" s="33"/>
      <c r="SH15" s="31"/>
      <c r="SI15" s="33"/>
      <c r="SJ15" s="33"/>
      <c r="SK15" s="33"/>
      <c r="SL15" s="33"/>
      <c r="SM15" s="33"/>
      <c r="SN15" s="33"/>
      <c r="SO15" s="33"/>
      <c r="SP15" s="94"/>
      <c r="SQ15" s="34"/>
      <c r="SR15" s="148"/>
      <c r="SS15" s="33"/>
      <c r="ST15" s="33"/>
      <c r="SU15" s="33"/>
      <c r="SV15" s="33"/>
      <c r="SW15" s="33"/>
      <c r="SX15" s="33"/>
      <c r="SY15" s="33"/>
      <c r="SZ15" s="31"/>
      <c r="TA15" s="33"/>
      <c r="TB15" s="33"/>
      <c r="TC15" s="33"/>
      <c r="TD15" s="33"/>
      <c r="TE15" s="33"/>
      <c r="TF15" s="33"/>
      <c r="TG15" s="33"/>
      <c r="TH15" s="94"/>
      <c r="TI15" s="34"/>
      <c r="TJ15" s="148"/>
      <c r="TK15" s="33"/>
      <c r="TL15" s="33"/>
      <c r="TM15" s="33"/>
      <c r="TN15" s="33"/>
      <c r="TO15" s="33"/>
      <c r="TP15" s="33"/>
      <c r="TQ15" s="33"/>
      <c r="TR15" s="31"/>
      <c r="TS15" s="33"/>
      <c r="TT15" s="33"/>
      <c r="TU15" s="33"/>
      <c r="TV15" s="33"/>
      <c r="TW15" s="33"/>
      <c r="TX15" s="33"/>
      <c r="TY15" s="33"/>
      <c r="TZ15" s="94"/>
      <c r="UA15" s="34"/>
      <c r="UB15" s="148"/>
      <c r="UC15" s="33"/>
      <c r="UD15" s="33"/>
      <c r="UE15" s="33"/>
      <c r="UF15" s="33"/>
      <c r="UG15" s="33"/>
      <c r="UH15" s="33"/>
      <c r="UI15" s="33"/>
      <c r="UJ15" s="31"/>
      <c r="UK15" s="33"/>
      <c r="UL15" s="33"/>
      <c r="UM15" s="33"/>
      <c r="UN15" s="33"/>
      <c r="UO15" s="33"/>
      <c r="UP15" s="33"/>
      <c r="UQ15" s="33"/>
      <c r="UR15" s="94"/>
      <c r="US15" s="34"/>
    </row>
    <row r="16" spans="1:565" ht="15" thickBot="1" x14ac:dyDescent="0.35">
      <c r="A16" s="8" t="s">
        <v>5</v>
      </c>
      <c r="B16" s="169" t="s">
        <v>6</v>
      </c>
      <c r="C16" s="12" t="s">
        <v>7</v>
      </c>
      <c r="F16" s="90"/>
      <c r="G16" s="90"/>
      <c r="H16" s="32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94"/>
      <c r="Y16" s="34"/>
      <c r="Z16" s="32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94"/>
      <c r="AQ16" s="34"/>
      <c r="AR16" s="32"/>
      <c r="AS16" s="33"/>
      <c r="AT16" s="33"/>
      <c r="AU16" s="33"/>
      <c r="AV16" s="33"/>
      <c r="AW16" s="33"/>
      <c r="AX16" s="33"/>
      <c r="AY16" s="33"/>
      <c r="AZ16" s="33"/>
      <c r="BA16" s="33"/>
      <c r="BB16" s="33"/>
      <c r="BC16" s="33"/>
      <c r="BD16" s="33"/>
      <c r="BE16" s="33"/>
      <c r="BF16" s="33"/>
      <c r="BG16" s="33"/>
      <c r="BH16" s="94"/>
      <c r="BI16" s="34"/>
      <c r="BJ16" s="148"/>
      <c r="BK16" s="33"/>
      <c r="BL16" s="33"/>
      <c r="BM16" s="33"/>
      <c r="BN16" s="33"/>
      <c r="BO16" s="33"/>
      <c r="BP16" s="33"/>
      <c r="BQ16" s="33"/>
      <c r="BR16" s="33"/>
      <c r="BS16" s="33"/>
      <c r="BT16" s="33"/>
      <c r="BU16" s="33"/>
      <c r="BV16" s="33"/>
      <c r="BW16" s="33"/>
      <c r="BX16" s="33"/>
      <c r="BY16" s="33"/>
      <c r="BZ16" s="94"/>
      <c r="CA16" s="34"/>
      <c r="CB16" s="32"/>
      <c r="CC16" s="33"/>
      <c r="CD16" s="33"/>
      <c r="CE16" s="33"/>
      <c r="CF16" s="33"/>
      <c r="CG16" s="33"/>
      <c r="CH16" s="33"/>
      <c r="CI16" s="33"/>
      <c r="CJ16" s="33"/>
      <c r="CK16" s="33"/>
      <c r="CL16" s="33"/>
      <c r="CM16" s="33"/>
      <c r="CN16" s="33"/>
      <c r="CO16" s="33"/>
      <c r="CP16" s="33"/>
      <c r="CQ16" s="33"/>
      <c r="CR16" s="94"/>
      <c r="CS16" s="34"/>
      <c r="CT16" s="148"/>
      <c r="CU16" s="33"/>
      <c r="CV16" s="33"/>
      <c r="CW16" s="33"/>
      <c r="CX16" s="33"/>
      <c r="CY16" s="33"/>
      <c r="CZ16" s="33"/>
      <c r="DA16" s="33"/>
      <c r="DB16" s="33"/>
      <c r="DC16" s="33"/>
      <c r="DD16" s="33"/>
      <c r="DE16" s="33"/>
      <c r="DF16" s="33"/>
      <c r="DG16" s="33"/>
      <c r="DH16" s="33"/>
      <c r="DI16" s="33"/>
      <c r="DJ16" s="94"/>
      <c r="DK16" s="34"/>
      <c r="DL16" s="148"/>
      <c r="DM16" s="33"/>
      <c r="DN16" s="33"/>
      <c r="DO16" s="33"/>
      <c r="DP16" s="33"/>
      <c r="DQ16" s="33"/>
      <c r="DR16" s="33"/>
      <c r="DS16" s="33"/>
      <c r="DT16" s="33"/>
      <c r="DU16" s="33"/>
      <c r="DV16" s="33"/>
      <c r="DW16" s="33"/>
      <c r="DX16" s="33"/>
      <c r="DY16" s="33"/>
      <c r="DZ16" s="33"/>
      <c r="EA16" s="33"/>
      <c r="EB16" s="94"/>
      <c r="EC16" s="34"/>
      <c r="ED16" s="148"/>
      <c r="EE16" s="33"/>
      <c r="EF16" s="33"/>
      <c r="EG16" s="33"/>
      <c r="EH16" s="33"/>
      <c r="EI16" s="33"/>
      <c r="EJ16" s="33"/>
      <c r="EK16" s="33"/>
      <c r="EL16" s="33"/>
      <c r="EM16" s="33"/>
      <c r="EN16" s="33"/>
      <c r="EO16" s="33"/>
      <c r="EP16" s="33"/>
      <c r="EQ16" s="33"/>
      <c r="ER16" s="33"/>
      <c r="ES16" s="33"/>
      <c r="ET16" s="94"/>
      <c r="EU16" s="34"/>
      <c r="EV16" s="32"/>
      <c r="EW16" s="33"/>
      <c r="EX16" s="33"/>
      <c r="EY16" s="33"/>
      <c r="EZ16" s="33"/>
      <c r="FA16" s="33"/>
      <c r="FB16" s="33"/>
      <c r="FC16" s="33"/>
      <c r="FD16" s="33"/>
      <c r="FE16" s="33"/>
      <c r="FF16" s="33"/>
      <c r="FG16" s="33"/>
      <c r="FH16" s="33"/>
      <c r="FI16" s="33"/>
      <c r="FJ16" s="33"/>
      <c r="FK16" s="33"/>
      <c r="FL16" s="94"/>
      <c r="FM16" s="34"/>
      <c r="FN16" s="148"/>
      <c r="FO16" s="33"/>
      <c r="FP16" s="33"/>
      <c r="FQ16" s="33"/>
      <c r="FR16" s="33"/>
      <c r="FS16" s="33"/>
      <c r="FT16" s="33"/>
      <c r="FU16" s="33"/>
      <c r="FV16" s="33"/>
      <c r="FW16" s="33"/>
      <c r="FX16" s="33"/>
      <c r="FY16" s="33"/>
      <c r="FZ16" s="33"/>
      <c r="GA16" s="33"/>
      <c r="GB16" s="33"/>
      <c r="GC16" s="33"/>
      <c r="GD16" s="94"/>
      <c r="GE16" s="34"/>
      <c r="GF16" s="32"/>
      <c r="GG16" s="33"/>
      <c r="GH16" s="33"/>
      <c r="GI16" s="33"/>
      <c r="GJ16" s="33"/>
      <c r="GK16" s="33"/>
      <c r="GL16" s="33"/>
      <c r="GM16" s="33"/>
      <c r="GN16" s="33"/>
      <c r="GO16" s="33"/>
      <c r="GP16" s="33"/>
      <c r="GQ16" s="33"/>
      <c r="GR16" s="33"/>
      <c r="GS16" s="33"/>
      <c r="GT16" s="33"/>
      <c r="GU16" s="33"/>
      <c r="GV16" s="94"/>
      <c r="GW16" s="34"/>
      <c r="GX16" s="148"/>
      <c r="GY16" s="33"/>
      <c r="GZ16" s="33"/>
      <c r="HA16" s="33"/>
      <c r="HB16" s="33"/>
      <c r="HC16" s="33"/>
      <c r="HD16" s="33"/>
      <c r="HE16" s="33"/>
      <c r="HF16" s="33"/>
      <c r="HG16" s="33"/>
      <c r="HH16" s="33"/>
      <c r="HI16" s="33"/>
      <c r="HJ16" s="33"/>
      <c r="HK16" s="33"/>
      <c r="HL16" s="33"/>
      <c r="HM16" s="33"/>
      <c r="HN16" s="94"/>
      <c r="HO16" s="34"/>
      <c r="HP16" s="148"/>
      <c r="HQ16" s="33"/>
      <c r="HR16" s="33"/>
      <c r="HS16" s="33"/>
      <c r="HT16" s="33"/>
      <c r="HU16" s="33"/>
      <c r="HV16" s="33"/>
      <c r="HW16" s="33"/>
      <c r="HX16" s="33"/>
      <c r="HY16" s="33"/>
      <c r="HZ16" s="33"/>
      <c r="IA16" s="33"/>
      <c r="IB16" s="33"/>
      <c r="IC16" s="33"/>
      <c r="ID16" s="33"/>
      <c r="IE16" s="33"/>
      <c r="IF16" s="94"/>
      <c r="IG16" s="34"/>
      <c r="IH16" s="148"/>
      <c r="II16" s="33"/>
      <c r="IJ16" s="33"/>
      <c r="IK16" s="33"/>
      <c r="IL16" s="33"/>
      <c r="IM16" s="33"/>
      <c r="IN16" s="33"/>
      <c r="IO16" s="33"/>
      <c r="IP16" s="33"/>
      <c r="IQ16" s="33"/>
      <c r="IR16" s="33"/>
      <c r="IS16" s="33"/>
      <c r="IT16" s="33"/>
      <c r="IU16" s="33"/>
      <c r="IV16" s="33"/>
      <c r="IW16" s="33"/>
      <c r="IX16" s="94"/>
      <c r="IY16" s="34"/>
      <c r="IZ16" s="148"/>
      <c r="JA16" s="33"/>
      <c r="JB16" s="33"/>
      <c r="JC16" s="33"/>
      <c r="JD16" s="33"/>
      <c r="JE16" s="33"/>
      <c r="JF16" s="33"/>
      <c r="JG16" s="33"/>
      <c r="JH16" s="33"/>
      <c r="JI16" s="33"/>
      <c r="JJ16" s="33"/>
      <c r="JK16" s="33"/>
      <c r="JL16" s="33"/>
      <c r="JM16" s="33"/>
      <c r="JN16" s="33"/>
      <c r="JO16" s="33"/>
      <c r="JP16" s="94"/>
      <c r="JQ16" s="34"/>
      <c r="JR16" s="148"/>
      <c r="JS16" s="33"/>
      <c r="JT16" s="33"/>
      <c r="JU16" s="33"/>
      <c r="JV16" s="33"/>
      <c r="JW16" s="33"/>
      <c r="JX16" s="33"/>
      <c r="JY16" s="33"/>
      <c r="JZ16" s="33"/>
      <c r="KA16" s="33"/>
      <c r="KB16" s="33"/>
      <c r="KC16" s="33"/>
      <c r="KD16" s="33"/>
      <c r="KE16" s="33"/>
      <c r="KF16" s="33"/>
      <c r="KG16" s="33"/>
      <c r="KH16" s="94"/>
      <c r="KI16" s="34"/>
      <c r="KJ16" s="148"/>
      <c r="KK16" s="33"/>
      <c r="KL16" s="33"/>
      <c r="KM16" s="33"/>
      <c r="KN16" s="33"/>
      <c r="KO16" s="33"/>
      <c r="KP16" s="33"/>
      <c r="KQ16" s="33"/>
      <c r="KR16" s="33"/>
      <c r="KS16" s="33"/>
      <c r="KT16" s="33"/>
      <c r="KU16" s="33"/>
      <c r="KV16" s="33"/>
      <c r="KW16" s="33"/>
      <c r="KX16" s="33"/>
      <c r="KY16" s="33"/>
      <c r="KZ16" s="94"/>
      <c r="LA16" s="34"/>
      <c r="LB16" s="148"/>
      <c r="LC16" s="33"/>
      <c r="LD16" s="33"/>
      <c r="LE16" s="33"/>
      <c r="LF16" s="33"/>
      <c r="LG16" s="33"/>
      <c r="LH16" s="33"/>
      <c r="LI16" s="33"/>
      <c r="LJ16" s="33"/>
      <c r="LK16" s="33"/>
      <c r="LL16" s="33"/>
      <c r="LM16" s="33"/>
      <c r="LN16" s="33"/>
      <c r="LO16" s="33"/>
      <c r="LP16" s="33"/>
      <c r="LQ16" s="33"/>
      <c r="LR16" s="94"/>
      <c r="LS16" s="34"/>
      <c r="LT16" s="148"/>
      <c r="LU16" s="33"/>
      <c r="LV16" s="33"/>
      <c r="LW16" s="33"/>
      <c r="LX16" s="33"/>
      <c r="LY16" s="33"/>
      <c r="LZ16" s="33"/>
      <c r="MA16" s="33"/>
      <c r="MB16" s="31"/>
      <c r="MC16" s="33"/>
      <c r="MD16" s="33"/>
      <c r="ME16" s="33"/>
      <c r="MF16" s="33"/>
      <c r="MG16" s="33"/>
      <c r="MH16" s="33"/>
      <c r="MI16" s="33"/>
      <c r="MJ16" s="94"/>
      <c r="MK16" s="34"/>
      <c r="ML16" s="148"/>
      <c r="MM16" s="33"/>
      <c r="MN16" s="33"/>
      <c r="MO16" s="33"/>
      <c r="MP16" s="33"/>
      <c r="MQ16" s="33"/>
      <c r="MR16" s="33"/>
      <c r="MS16" s="33"/>
      <c r="MT16" s="33"/>
      <c r="MU16" s="33"/>
      <c r="MV16" s="33"/>
      <c r="MW16" s="33"/>
      <c r="MX16" s="33"/>
      <c r="MY16" s="33"/>
      <c r="MZ16" s="33"/>
      <c r="NA16" s="33"/>
      <c r="NB16" s="94"/>
      <c r="NC16" s="34"/>
      <c r="ND16" s="32"/>
      <c r="NE16" s="33"/>
      <c r="NF16" s="33"/>
      <c r="NG16" s="33"/>
      <c r="NH16" s="33"/>
      <c r="NI16" s="33"/>
      <c r="NJ16" s="33"/>
      <c r="NK16" s="33"/>
      <c r="NL16" s="33"/>
      <c r="NM16" s="33"/>
      <c r="NN16" s="33"/>
      <c r="NO16" s="33"/>
      <c r="NP16" s="33"/>
      <c r="NQ16" s="33"/>
      <c r="NR16" s="33"/>
      <c r="NS16" s="33"/>
      <c r="NT16" s="94"/>
      <c r="NU16" s="34"/>
      <c r="NV16" s="148"/>
      <c r="NW16" s="33"/>
      <c r="NX16" s="33"/>
      <c r="NY16" s="33"/>
      <c r="NZ16" s="33"/>
      <c r="OA16" s="33"/>
      <c r="OB16" s="33"/>
      <c r="OC16" s="33"/>
      <c r="OD16" s="33"/>
      <c r="OE16" s="33"/>
      <c r="OF16" s="33"/>
      <c r="OG16" s="33"/>
      <c r="OH16" s="33"/>
      <c r="OI16" s="33"/>
      <c r="OJ16" s="33"/>
      <c r="OK16" s="33"/>
      <c r="OL16" s="94"/>
      <c r="OM16" s="34"/>
      <c r="ON16" s="32"/>
      <c r="OO16" s="33"/>
      <c r="OP16" s="33"/>
      <c r="OQ16" s="33"/>
      <c r="OR16" s="33"/>
      <c r="OS16" s="33"/>
      <c r="OT16" s="33"/>
      <c r="OU16" s="33"/>
      <c r="OV16" s="33"/>
      <c r="OW16" s="33"/>
      <c r="OX16" s="33"/>
      <c r="OY16" s="33"/>
      <c r="OZ16" s="33"/>
      <c r="PA16" s="33"/>
      <c r="PB16" s="33"/>
      <c r="PC16" s="33"/>
      <c r="PD16" s="94"/>
      <c r="PE16" s="34"/>
      <c r="PF16" s="148"/>
      <c r="PG16" s="33"/>
      <c r="PH16" s="33"/>
      <c r="PI16" s="33"/>
      <c r="PJ16" s="33"/>
      <c r="PK16" s="33"/>
      <c r="PL16" s="33"/>
      <c r="PM16" s="33"/>
      <c r="PN16" s="31"/>
      <c r="PO16" s="33"/>
      <c r="PP16" s="33"/>
      <c r="PQ16" s="33"/>
      <c r="PR16" s="33"/>
      <c r="PS16" s="33"/>
      <c r="PT16" s="33"/>
      <c r="PU16" s="33"/>
      <c r="PV16" s="94"/>
      <c r="PW16" s="34"/>
      <c r="PX16" s="148"/>
      <c r="PY16" s="33"/>
      <c r="PZ16" s="33"/>
      <c r="QA16" s="33"/>
      <c r="QB16" s="33"/>
      <c r="QC16" s="33"/>
      <c r="QD16" s="33"/>
      <c r="QE16" s="33"/>
      <c r="QF16" s="31"/>
      <c r="QG16" s="33"/>
      <c r="QH16" s="33"/>
      <c r="QI16" s="33"/>
      <c r="QJ16" s="33"/>
      <c r="QK16" s="33"/>
      <c r="QL16" s="33"/>
      <c r="QM16" s="33"/>
      <c r="QN16" s="94"/>
      <c r="QO16" s="34"/>
      <c r="QP16" s="148"/>
      <c r="QQ16" s="33"/>
      <c r="QR16" s="33"/>
      <c r="QS16" s="33"/>
      <c r="QT16" s="33"/>
      <c r="QU16" s="33"/>
      <c r="QV16" s="33"/>
      <c r="QW16" s="33"/>
      <c r="QX16" s="31"/>
      <c r="QY16" s="33"/>
      <c r="QZ16" s="33"/>
      <c r="RA16" s="33"/>
      <c r="RB16" s="33"/>
      <c r="RC16" s="33"/>
      <c r="RD16" s="33"/>
      <c r="RE16" s="33"/>
      <c r="RF16" s="94"/>
      <c r="RG16" s="34"/>
      <c r="RH16" s="148"/>
      <c r="RI16" s="33"/>
      <c r="RJ16" s="33"/>
      <c r="RK16" s="33"/>
      <c r="RL16" s="33"/>
      <c r="RM16" s="33"/>
      <c r="RN16" s="33"/>
      <c r="RO16" s="33"/>
      <c r="RP16" s="31"/>
      <c r="RQ16" s="33"/>
      <c r="RR16" s="33"/>
      <c r="RS16" s="33"/>
      <c r="RT16" s="33"/>
      <c r="RU16" s="33"/>
      <c r="RV16" s="33"/>
      <c r="RW16" s="33"/>
      <c r="RX16" s="94"/>
      <c r="RY16" s="34"/>
      <c r="RZ16" s="148"/>
      <c r="SA16" s="33"/>
      <c r="SB16" s="33"/>
      <c r="SC16" s="33"/>
      <c r="SD16" s="33"/>
      <c r="SE16" s="33"/>
      <c r="SF16" s="33"/>
      <c r="SG16" s="33"/>
      <c r="SH16" s="31"/>
      <c r="SI16" s="33"/>
      <c r="SJ16" s="33"/>
      <c r="SK16" s="33"/>
      <c r="SL16" s="33"/>
      <c r="SM16" s="33"/>
      <c r="SN16" s="33"/>
      <c r="SO16" s="33"/>
      <c r="SP16" s="94"/>
      <c r="SQ16" s="34"/>
      <c r="SR16" s="148"/>
      <c r="SS16" s="33"/>
      <c r="ST16" s="33"/>
      <c r="SU16" s="33"/>
      <c r="SV16" s="33"/>
      <c r="SW16" s="33"/>
      <c r="SX16" s="33"/>
      <c r="SY16" s="33"/>
      <c r="SZ16" s="31"/>
      <c r="TA16" s="33"/>
      <c r="TB16" s="33"/>
      <c r="TC16" s="33"/>
      <c r="TD16" s="33"/>
      <c r="TE16" s="33"/>
      <c r="TF16" s="33"/>
      <c r="TG16" s="33"/>
      <c r="TH16" s="94"/>
      <c r="TI16" s="34"/>
      <c r="TJ16" s="148"/>
      <c r="TK16" s="33"/>
      <c r="TL16" s="33"/>
      <c r="TM16" s="33"/>
      <c r="TN16" s="33"/>
      <c r="TO16" s="33"/>
      <c r="TP16" s="33"/>
      <c r="TQ16" s="33"/>
      <c r="TR16" s="31"/>
      <c r="TS16" s="33"/>
      <c r="TT16" s="33"/>
      <c r="TU16" s="33"/>
      <c r="TV16" s="33"/>
      <c r="TW16" s="33"/>
      <c r="TX16" s="33"/>
      <c r="TY16" s="33"/>
      <c r="TZ16" s="94"/>
      <c r="UA16" s="34"/>
      <c r="UB16" s="148"/>
      <c r="UC16" s="33"/>
      <c r="UD16" s="33"/>
      <c r="UE16" s="33"/>
      <c r="UF16" s="33"/>
      <c r="UG16" s="33"/>
      <c r="UH16" s="33"/>
      <c r="UI16" s="33"/>
      <c r="UJ16" s="31"/>
      <c r="UK16" s="33"/>
      <c r="UL16" s="33"/>
      <c r="UM16" s="33"/>
      <c r="UN16" s="33"/>
      <c r="UO16" s="33"/>
      <c r="UP16" s="33"/>
      <c r="UQ16" s="33"/>
      <c r="UR16" s="94"/>
      <c r="US16" s="34"/>
    </row>
    <row r="17" spans="1:565" x14ac:dyDescent="0.3">
      <c r="A17" s="8" t="s">
        <v>8</v>
      </c>
      <c r="B17" s="168" t="s">
        <v>9</v>
      </c>
      <c r="C17" s="13" t="s">
        <v>10</v>
      </c>
      <c r="F17" s="36">
        <v>5033296200</v>
      </c>
      <c r="G17" s="36"/>
      <c r="H17" s="35"/>
      <c r="I17" s="35">
        <v>80189873.420000002</v>
      </c>
      <c r="J17" s="35">
        <v>63350000</v>
      </c>
      <c r="K17" s="35">
        <v>16839873.420000002</v>
      </c>
      <c r="L17" s="35">
        <v>63350000</v>
      </c>
      <c r="M17" s="35">
        <v>6500.37</v>
      </c>
      <c r="N17" s="36"/>
      <c r="O17" s="35">
        <v>80189873.420000002</v>
      </c>
      <c r="P17" s="35">
        <v>63350000</v>
      </c>
      <c r="Q17" s="35"/>
      <c r="R17" s="35">
        <v>16839873.420000002</v>
      </c>
      <c r="S17" s="35">
        <v>21</v>
      </c>
      <c r="T17" s="35">
        <v>6500.37</v>
      </c>
      <c r="U17" s="35"/>
      <c r="V17" s="35">
        <v>63350000</v>
      </c>
      <c r="W17" s="36"/>
      <c r="X17" s="36">
        <v>63350000</v>
      </c>
      <c r="Y17" s="87">
        <v>63350000</v>
      </c>
      <c r="Z17" s="35"/>
      <c r="AA17" s="35">
        <v>277308860.75999999</v>
      </c>
      <c r="AB17" s="35">
        <v>219074000</v>
      </c>
      <c r="AC17" s="35">
        <v>58234860.759999998</v>
      </c>
      <c r="AD17" s="35">
        <v>219074000</v>
      </c>
      <c r="AE17" s="35"/>
      <c r="AF17" s="36"/>
      <c r="AG17" s="35">
        <v>277308860.75999999</v>
      </c>
      <c r="AH17" s="35">
        <v>219074000</v>
      </c>
      <c r="AI17" s="35"/>
      <c r="AJ17" s="35">
        <v>58234860.759999998</v>
      </c>
      <c r="AK17" s="35">
        <v>21</v>
      </c>
      <c r="AL17" s="35"/>
      <c r="AM17" s="35"/>
      <c r="AN17" s="35">
        <v>219074000</v>
      </c>
      <c r="AO17" s="36"/>
      <c r="AP17" s="36">
        <v>219074000</v>
      </c>
      <c r="AQ17" s="87">
        <v>219074000</v>
      </c>
      <c r="AR17" s="35"/>
      <c r="AS17" s="35">
        <v>1938938734.1800001</v>
      </c>
      <c r="AT17" s="35">
        <v>1531761600</v>
      </c>
      <c r="AU17" s="35">
        <v>407177134.18000001</v>
      </c>
      <c r="AV17" s="35">
        <v>1531761600</v>
      </c>
      <c r="AW17" s="35"/>
      <c r="AX17" s="36"/>
      <c r="AY17" s="35">
        <v>1938938734.1800001</v>
      </c>
      <c r="AZ17" s="35">
        <v>1531761600</v>
      </c>
      <c r="BA17" s="35"/>
      <c r="BB17" s="35">
        <v>407177134.18000001</v>
      </c>
      <c r="BC17" s="35">
        <v>21</v>
      </c>
      <c r="BD17" s="35"/>
      <c r="BE17" s="35"/>
      <c r="BF17" s="35">
        <v>1531761600</v>
      </c>
      <c r="BG17" s="36"/>
      <c r="BH17" s="36">
        <v>1531761600</v>
      </c>
      <c r="BI17" s="87">
        <v>1531761600</v>
      </c>
      <c r="BJ17" s="35"/>
      <c r="BK17" s="35">
        <v>2554710526.3200002</v>
      </c>
      <c r="BL17" s="35">
        <v>2426975000</v>
      </c>
      <c r="BM17" s="35">
        <v>127735526.31999999</v>
      </c>
      <c r="BN17" s="35">
        <v>2426975000</v>
      </c>
      <c r="BO17" s="35"/>
      <c r="BP17" s="36"/>
      <c r="BQ17" s="35">
        <v>2554710526.3200002</v>
      </c>
      <c r="BR17" s="35">
        <v>2426975000</v>
      </c>
      <c r="BS17" s="35"/>
      <c r="BT17" s="35">
        <v>127735526.31999999</v>
      </c>
      <c r="BU17" s="35">
        <v>5</v>
      </c>
      <c r="BV17" s="35"/>
      <c r="BW17" s="35"/>
      <c r="BX17" s="35">
        <v>2426975000</v>
      </c>
      <c r="BY17" s="36"/>
      <c r="BZ17" s="36">
        <v>2426975000</v>
      </c>
      <c r="CA17" s="87">
        <v>2426975000</v>
      </c>
      <c r="CB17" s="35"/>
      <c r="CC17" s="35">
        <v>103404683.55</v>
      </c>
      <c r="CD17" s="35">
        <v>81689700</v>
      </c>
      <c r="CE17" s="35">
        <v>21714983.550000001</v>
      </c>
      <c r="CF17" s="35">
        <v>81689700</v>
      </c>
      <c r="CG17" s="35"/>
      <c r="CH17" s="36"/>
      <c r="CI17" s="35">
        <v>103404683.55</v>
      </c>
      <c r="CJ17" s="35">
        <v>81689700</v>
      </c>
      <c r="CK17" s="35"/>
      <c r="CL17" s="35">
        <v>21714983.550000001</v>
      </c>
      <c r="CM17" s="35">
        <v>21</v>
      </c>
      <c r="CN17" s="35"/>
      <c r="CO17" s="35"/>
      <c r="CP17" s="35">
        <v>81689700</v>
      </c>
      <c r="CQ17" s="36"/>
      <c r="CR17" s="36">
        <v>81689700</v>
      </c>
      <c r="CS17" s="87">
        <v>81689700</v>
      </c>
      <c r="CT17" s="35"/>
      <c r="CU17" s="35"/>
      <c r="CV17" s="35"/>
      <c r="CW17" s="35"/>
      <c r="CX17" s="35"/>
      <c r="CY17" s="35"/>
      <c r="CZ17" s="36"/>
      <c r="DA17" s="35"/>
      <c r="DB17" s="35"/>
      <c r="DC17" s="35"/>
      <c r="DD17" s="35"/>
      <c r="DE17" s="35"/>
      <c r="DF17" s="35"/>
      <c r="DG17" s="35"/>
      <c r="DH17" s="35"/>
      <c r="DI17" s="36"/>
      <c r="DJ17" s="36"/>
      <c r="DK17" s="87"/>
      <c r="DL17" s="35"/>
      <c r="DM17" s="35">
        <v>556790279.02999997</v>
      </c>
      <c r="DN17" s="35">
        <v>556734600</v>
      </c>
      <c r="DO17" s="35">
        <v>55679.03</v>
      </c>
      <c r="DP17" s="35">
        <v>556734600</v>
      </c>
      <c r="DQ17" s="35"/>
      <c r="DR17" s="36"/>
      <c r="DS17" s="35">
        <v>556790279.02999997</v>
      </c>
      <c r="DT17" s="35">
        <v>556734600</v>
      </c>
      <c r="DU17" s="35"/>
      <c r="DV17" s="35">
        <v>55679.03</v>
      </c>
      <c r="DW17" s="35">
        <v>0.01</v>
      </c>
      <c r="DX17" s="35"/>
      <c r="DY17" s="35"/>
      <c r="DZ17" s="35">
        <v>556734600</v>
      </c>
      <c r="EA17" s="36"/>
      <c r="EB17" s="36">
        <v>556734600</v>
      </c>
      <c r="EC17" s="87">
        <v>556734600</v>
      </c>
      <c r="ED17" s="35"/>
      <c r="EE17" s="35">
        <v>99067000</v>
      </c>
      <c r="EF17" s="35">
        <v>95104300</v>
      </c>
      <c r="EG17" s="35">
        <v>3962700</v>
      </c>
      <c r="EH17" s="35">
        <v>95104300</v>
      </c>
      <c r="EI17" s="35"/>
      <c r="EJ17" s="36"/>
      <c r="EK17" s="35">
        <v>99067000</v>
      </c>
      <c r="EL17" s="35">
        <v>95104300</v>
      </c>
      <c r="EM17" s="35"/>
      <c r="EN17" s="35">
        <v>3962700</v>
      </c>
      <c r="EO17" s="35">
        <v>4.0000200000000001</v>
      </c>
      <c r="EP17" s="35"/>
      <c r="EQ17" s="35"/>
      <c r="ER17" s="35">
        <v>95104300</v>
      </c>
      <c r="ES17" s="36"/>
      <c r="ET17" s="36">
        <v>95104300</v>
      </c>
      <c r="EU17" s="87">
        <v>95104300</v>
      </c>
      <c r="EV17" s="35"/>
      <c r="EW17" s="35">
        <v>49996582.280000001</v>
      </c>
      <c r="EX17" s="35">
        <v>39497300</v>
      </c>
      <c r="EY17" s="35">
        <v>10499282.279999999</v>
      </c>
      <c r="EZ17" s="35">
        <v>39497300</v>
      </c>
      <c r="FA17" s="35"/>
      <c r="FB17" s="36"/>
      <c r="FC17" s="35">
        <v>49996582.280000001</v>
      </c>
      <c r="FD17" s="35">
        <v>39497300</v>
      </c>
      <c r="FE17" s="35"/>
      <c r="FF17" s="35">
        <v>10499282.279999999</v>
      </c>
      <c r="FG17" s="35">
        <v>21</v>
      </c>
      <c r="FH17" s="35"/>
      <c r="FI17" s="35"/>
      <c r="FJ17" s="35">
        <v>39497300</v>
      </c>
      <c r="FK17" s="36"/>
      <c r="FL17" s="36">
        <v>39497300</v>
      </c>
      <c r="FM17" s="87">
        <v>39497300</v>
      </c>
      <c r="FN17" s="35"/>
      <c r="FO17" s="35"/>
      <c r="FP17" s="35"/>
      <c r="FQ17" s="35"/>
      <c r="FR17" s="35"/>
      <c r="FS17" s="35"/>
      <c r="FT17" s="36"/>
      <c r="FU17" s="35"/>
      <c r="FV17" s="35"/>
      <c r="FW17" s="35"/>
      <c r="FX17" s="35"/>
      <c r="FY17" s="35"/>
      <c r="FZ17" s="35"/>
      <c r="GA17" s="35"/>
      <c r="GB17" s="35"/>
      <c r="GC17" s="36"/>
      <c r="GD17" s="36"/>
      <c r="GE17" s="87"/>
      <c r="GF17" s="35"/>
      <c r="GG17" s="35">
        <v>23570000</v>
      </c>
      <c r="GH17" s="35">
        <v>18620300</v>
      </c>
      <c r="GI17" s="35">
        <v>4949700</v>
      </c>
      <c r="GJ17" s="35">
        <v>18620300</v>
      </c>
      <c r="GK17" s="35"/>
      <c r="GL17" s="36"/>
      <c r="GM17" s="35">
        <v>23570000</v>
      </c>
      <c r="GN17" s="35">
        <v>18620300</v>
      </c>
      <c r="GO17" s="35"/>
      <c r="GP17" s="35">
        <v>4949700</v>
      </c>
      <c r="GQ17" s="35">
        <v>21</v>
      </c>
      <c r="GR17" s="35"/>
      <c r="GS17" s="35"/>
      <c r="GT17" s="35">
        <v>18620300</v>
      </c>
      <c r="GU17" s="36"/>
      <c r="GV17" s="36">
        <v>18620300</v>
      </c>
      <c r="GW17" s="87">
        <v>18620300</v>
      </c>
      <c r="GX17" s="35"/>
      <c r="GY17" s="35"/>
      <c r="GZ17" s="35"/>
      <c r="HA17" s="35"/>
      <c r="HB17" s="35"/>
      <c r="HC17" s="35"/>
      <c r="HD17" s="36"/>
      <c r="HE17" s="35"/>
      <c r="HF17" s="35"/>
      <c r="HG17" s="35"/>
      <c r="HH17" s="35"/>
      <c r="HI17" s="35"/>
      <c r="HJ17" s="35"/>
      <c r="HK17" s="35"/>
      <c r="HL17" s="35"/>
      <c r="HM17" s="36"/>
      <c r="HN17" s="36"/>
      <c r="HO17" s="87"/>
      <c r="HP17" s="35"/>
      <c r="HQ17" s="35"/>
      <c r="HR17" s="35"/>
      <c r="HS17" s="35"/>
      <c r="HT17" s="35"/>
      <c r="HU17" s="35"/>
      <c r="HV17" s="36"/>
      <c r="HW17" s="35"/>
      <c r="HX17" s="35"/>
      <c r="HY17" s="35"/>
      <c r="HZ17" s="35"/>
      <c r="IA17" s="35"/>
      <c r="IB17" s="35"/>
      <c r="IC17" s="35"/>
      <c r="ID17" s="35"/>
      <c r="IE17" s="36"/>
      <c r="IF17" s="36"/>
      <c r="IG17" s="87"/>
      <c r="IH17" s="35"/>
      <c r="II17" s="35"/>
      <c r="IJ17" s="35"/>
      <c r="IK17" s="35"/>
      <c r="IL17" s="35"/>
      <c r="IM17" s="35"/>
      <c r="IN17" s="36"/>
      <c r="IO17" s="35"/>
      <c r="IP17" s="35"/>
      <c r="IQ17" s="35"/>
      <c r="IR17" s="35"/>
      <c r="IS17" s="35"/>
      <c r="IT17" s="35"/>
      <c r="IU17" s="35"/>
      <c r="IV17" s="35"/>
      <c r="IW17" s="36"/>
      <c r="IX17" s="36"/>
      <c r="IY17" s="87"/>
      <c r="IZ17" s="35"/>
      <c r="JA17" s="35"/>
      <c r="JB17" s="35"/>
      <c r="JC17" s="35"/>
      <c r="JD17" s="35"/>
      <c r="JE17" s="35"/>
      <c r="JF17" s="36"/>
      <c r="JG17" s="35"/>
      <c r="JH17" s="35"/>
      <c r="JI17" s="35"/>
      <c r="JJ17" s="35"/>
      <c r="JK17" s="35"/>
      <c r="JL17" s="35"/>
      <c r="JM17" s="35"/>
      <c r="JN17" s="35"/>
      <c r="JO17" s="36"/>
      <c r="JP17" s="36"/>
      <c r="JQ17" s="87"/>
      <c r="JR17" s="35"/>
      <c r="JS17" s="35"/>
      <c r="JT17" s="35"/>
      <c r="JU17" s="35"/>
      <c r="JV17" s="35"/>
      <c r="JW17" s="35"/>
      <c r="JX17" s="36"/>
      <c r="JY17" s="35"/>
      <c r="JZ17" s="35"/>
      <c r="KA17" s="35"/>
      <c r="KB17" s="35"/>
      <c r="KC17" s="35"/>
      <c r="KD17" s="35"/>
      <c r="KE17" s="35"/>
      <c r="KF17" s="35"/>
      <c r="KG17" s="36"/>
      <c r="KH17" s="36"/>
      <c r="KI17" s="87"/>
      <c r="KJ17" s="35"/>
      <c r="KK17" s="35"/>
      <c r="KL17" s="35"/>
      <c r="KM17" s="35"/>
      <c r="KN17" s="35"/>
      <c r="KO17" s="35"/>
      <c r="KP17" s="36"/>
      <c r="KQ17" s="35"/>
      <c r="KR17" s="35"/>
      <c r="KS17" s="35"/>
      <c r="KT17" s="35"/>
      <c r="KU17" s="35"/>
      <c r="KV17" s="35"/>
      <c r="KW17" s="35"/>
      <c r="KX17" s="35"/>
      <c r="KY17" s="36"/>
      <c r="KZ17" s="36"/>
      <c r="LA17" s="87"/>
      <c r="LB17" s="35"/>
      <c r="LC17" s="35"/>
      <c r="LD17" s="35"/>
      <c r="LE17" s="35"/>
      <c r="LF17" s="35"/>
      <c r="LG17" s="35"/>
      <c r="LH17" s="36"/>
      <c r="LI17" s="35"/>
      <c r="LJ17" s="35"/>
      <c r="LK17" s="35"/>
      <c r="LL17" s="35"/>
      <c r="LM17" s="35"/>
      <c r="LN17" s="35"/>
      <c r="LO17" s="35"/>
      <c r="LP17" s="35"/>
      <c r="LQ17" s="36"/>
      <c r="LR17" s="36"/>
      <c r="LS17" s="87"/>
      <c r="LT17" s="35"/>
      <c r="LU17" s="35"/>
      <c r="LV17" s="35"/>
      <c r="LW17" s="35"/>
      <c r="LX17" s="35"/>
      <c r="LY17" s="35"/>
      <c r="LZ17" s="36"/>
      <c r="MA17" s="35"/>
      <c r="MB17" s="35"/>
      <c r="MC17" s="35"/>
      <c r="MD17" s="35"/>
      <c r="ME17" s="35"/>
      <c r="MF17" s="35"/>
      <c r="MG17" s="35"/>
      <c r="MH17" s="35"/>
      <c r="MI17" s="36"/>
      <c r="MJ17" s="36"/>
      <c r="MK17" s="87"/>
      <c r="ML17" s="35"/>
      <c r="MM17" s="35"/>
      <c r="MN17" s="35"/>
      <c r="MO17" s="35"/>
      <c r="MP17" s="35"/>
      <c r="MQ17" s="35"/>
      <c r="MR17" s="36"/>
      <c r="MS17" s="35"/>
      <c r="MT17" s="35"/>
      <c r="MU17" s="35"/>
      <c r="MV17" s="35"/>
      <c r="MW17" s="35"/>
      <c r="MX17" s="35"/>
      <c r="MY17" s="35"/>
      <c r="MZ17" s="35"/>
      <c r="NA17" s="36"/>
      <c r="NB17" s="36"/>
      <c r="NC17" s="87"/>
      <c r="ND17" s="35"/>
      <c r="NE17" s="35">
        <v>619493.68000000005</v>
      </c>
      <c r="NF17" s="35">
        <v>489400</v>
      </c>
      <c r="NG17" s="35">
        <v>130093.68</v>
      </c>
      <c r="NH17" s="35">
        <v>489400</v>
      </c>
      <c r="NI17" s="35"/>
      <c r="NJ17" s="36"/>
      <c r="NK17" s="35">
        <v>619493.68000000005</v>
      </c>
      <c r="NL17" s="35">
        <v>489400</v>
      </c>
      <c r="NM17" s="35"/>
      <c r="NN17" s="35">
        <v>130093.68</v>
      </c>
      <c r="NO17" s="35">
        <v>21</v>
      </c>
      <c r="NP17" s="35"/>
      <c r="NQ17" s="35"/>
      <c r="NR17" s="35">
        <v>489400</v>
      </c>
      <c r="NS17" s="36"/>
      <c r="NT17" s="36">
        <v>489400</v>
      </c>
      <c r="NU17" s="87">
        <v>489400</v>
      </c>
      <c r="NV17" s="35"/>
      <c r="NW17" s="35"/>
      <c r="NX17" s="35"/>
      <c r="NY17" s="35"/>
      <c r="NZ17" s="35"/>
      <c r="OA17" s="35"/>
      <c r="OB17" s="36"/>
      <c r="OC17" s="35"/>
      <c r="OD17" s="35"/>
      <c r="OE17" s="35"/>
      <c r="OF17" s="35"/>
      <c r="OG17" s="35"/>
      <c r="OH17" s="35"/>
      <c r="OI17" s="35"/>
      <c r="OJ17" s="35"/>
      <c r="OK17" s="36"/>
      <c r="OL17" s="36"/>
      <c r="OM17" s="87"/>
      <c r="ON17" s="35"/>
      <c r="OO17" s="35"/>
      <c r="OP17" s="35"/>
      <c r="OQ17" s="35"/>
      <c r="OR17" s="35"/>
      <c r="OS17" s="35"/>
      <c r="OT17" s="36"/>
      <c r="OU17" s="35"/>
      <c r="OV17" s="35"/>
      <c r="OW17" s="35"/>
      <c r="OX17" s="35"/>
      <c r="OY17" s="35"/>
      <c r="OZ17" s="35"/>
      <c r="PA17" s="35"/>
      <c r="PB17" s="35"/>
      <c r="PC17" s="36"/>
      <c r="PD17" s="36"/>
      <c r="PE17" s="87"/>
      <c r="PF17" s="35"/>
      <c r="PG17" s="35"/>
      <c r="PH17" s="35"/>
      <c r="PI17" s="35"/>
      <c r="PJ17" s="35"/>
      <c r="PK17" s="35"/>
      <c r="PL17" s="36"/>
      <c r="PM17" s="35"/>
      <c r="PN17" s="35"/>
      <c r="PO17" s="35"/>
      <c r="PP17" s="35"/>
      <c r="PQ17" s="35"/>
      <c r="PR17" s="35"/>
      <c r="PS17" s="35"/>
      <c r="PT17" s="35"/>
      <c r="PU17" s="36"/>
      <c r="PV17" s="36"/>
      <c r="PW17" s="87"/>
      <c r="PX17" s="35"/>
      <c r="PY17" s="35"/>
      <c r="PZ17" s="35"/>
      <c r="QA17" s="35"/>
      <c r="QB17" s="35"/>
      <c r="QC17" s="35"/>
      <c r="QD17" s="36"/>
      <c r="QE17" s="35"/>
      <c r="QF17" s="35"/>
      <c r="QG17" s="35"/>
      <c r="QH17" s="35"/>
      <c r="QI17" s="35"/>
      <c r="QJ17" s="35"/>
      <c r="QK17" s="35"/>
      <c r="QL17" s="35"/>
      <c r="QM17" s="36"/>
      <c r="QN17" s="36"/>
      <c r="QO17" s="87"/>
      <c r="QP17" s="35"/>
      <c r="QQ17" s="35"/>
      <c r="QR17" s="35"/>
      <c r="QS17" s="35"/>
      <c r="QT17" s="35"/>
      <c r="QU17" s="35"/>
      <c r="QV17" s="36"/>
      <c r="QW17" s="35"/>
      <c r="QX17" s="35"/>
      <c r="QY17" s="35"/>
      <c r="QZ17" s="35"/>
      <c r="RA17" s="35"/>
      <c r="RB17" s="35"/>
      <c r="RC17" s="35"/>
      <c r="RD17" s="35"/>
      <c r="RE17" s="36"/>
      <c r="RF17" s="36"/>
      <c r="RG17" s="87"/>
      <c r="RH17" s="35"/>
      <c r="RI17" s="35"/>
      <c r="RJ17" s="35"/>
      <c r="RK17" s="35"/>
      <c r="RL17" s="35"/>
      <c r="RM17" s="35">
        <v>1800191.22</v>
      </c>
      <c r="RN17" s="36"/>
      <c r="RO17" s="35"/>
      <c r="RP17" s="35"/>
      <c r="RQ17" s="35"/>
      <c r="RR17" s="35"/>
      <c r="RS17" s="35"/>
      <c r="RT17" s="35">
        <v>1800191.22</v>
      </c>
      <c r="RU17" s="35">
        <v>0</v>
      </c>
      <c r="RV17" s="35"/>
      <c r="RW17" s="36"/>
      <c r="RX17" s="36"/>
      <c r="RY17" s="87"/>
      <c r="RZ17" s="35"/>
      <c r="SA17" s="35"/>
      <c r="SB17" s="35"/>
      <c r="SC17" s="35"/>
      <c r="SD17" s="35"/>
      <c r="SE17" s="35"/>
      <c r="SF17" s="36"/>
      <c r="SG17" s="35"/>
      <c r="SH17" s="35"/>
      <c r="SI17" s="35"/>
      <c r="SJ17" s="35"/>
      <c r="SK17" s="35"/>
      <c r="SL17" s="35"/>
      <c r="SM17" s="35"/>
      <c r="SN17" s="35"/>
      <c r="SO17" s="36"/>
      <c r="SP17" s="36"/>
      <c r="SQ17" s="87"/>
      <c r="SR17" s="35"/>
      <c r="SS17" s="35"/>
      <c r="ST17" s="35"/>
      <c r="SU17" s="35"/>
      <c r="SV17" s="35"/>
      <c r="SW17" s="35"/>
      <c r="SX17" s="36"/>
      <c r="SY17" s="35"/>
      <c r="SZ17" s="35"/>
      <c r="TA17" s="35"/>
      <c r="TB17" s="35"/>
      <c r="TC17" s="35"/>
      <c r="TD17" s="35"/>
      <c r="TE17" s="35"/>
      <c r="TF17" s="35"/>
      <c r="TG17" s="36"/>
      <c r="TH17" s="36"/>
      <c r="TI17" s="87"/>
      <c r="TJ17" s="35"/>
      <c r="TK17" s="35"/>
      <c r="TL17" s="35"/>
      <c r="TM17" s="35"/>
      <c r="TN17" s="35"/>
      <c r="TO17" s="35"/>
      <c r="TP17" s="36"/>
      <c r="TQ17" s="35"/>
      <c r="TR17" s="35"/>
      <c r="TS17" s="35"/>
      <c r="TT17" s="35"/>
      <c r="TU17" s="35"/>
      <c r="TV17" s="35"/>
      <c r="TW17" s="35"/>
      <c r="TX17" s="35"/>
      <c r="TY17" s="36"/>
      <c r="TZ17" s="36"/>
      <c r="UA17" s="87"/>
      <c r="UB17" s="35"/>
      <c r="UC17" s="35"/>
      <c r="UD17" s="35"/>
      <c r="UE17" s="35"/>
      <c r="UF17" s="35"/>
      <c r="UG17" s="35"/>
      <c r="UH17" s="36"/>
      <c r="UI17" s="35"/>
      <c r="UJ17" s="35"/>
      <c r="UK17" s="35"/>
      <c r="UL17" s="35"/>
      <c r="UM17" s="35"/>
      <c r="UN17" s="35"/>
      <c r="UO17" s="35"/>
      <c r="UP17" s="35"/>
      <c r="UQ17" s="36"/>
      <c r="UR17" s="36"/>
      <c r="US17" s="87"/>
    </row>
    <row r="18" spans="1:565" x14ac:dyDescent="0.3">
      <c r="A18" s="8" t="s">
        <v>11</v>
      </c>
      <c r="B18" s="169" t="s">
        <v>12</v>
      </c>
      <c r="C18" s="13" t="s">
        <v>13</v>
      </c>
      <c r="F18" s="36">
        <v>10479326700</v>
      </c>
      <c r="G18" s="35"/>
      <c r="H18" s="35"/>
      <c r="I18" s="35">
        <v>192175543.47999999</v>
      </c>
      <c r="J18" s="35">
        <v>176801500</v>
      </c>
      <c r="K18" s="35">
        <v>15374043.48</v>
      </c>
      <c r="L18" s="35">
        <v>176801500</v>
      </c>
      <c r="M18" s="35">
        <v>879553.12</v>
      </c>
      <c r="N18" s="36"/>
      <c r="O18" s="35">
        <v>192175543.47999999</v>
      </c>
      <c r="P18" s="35">
        <v>176801500</v>
      </c>
      <c r="Q18" s="35"/>
      <c r="R18" s="35">
        <v>15374043.48</v>
      </c>
      <c r="S18" s="35">
        <v>8</v>
      </c>
      <c r="T18" s="35">
        <v>879553.12</v>
      </c>
      <c r="U18" s="35"/>
      <c r="V18" s="35">
        <v>176801500</v>
      </c>
      <c r="W18" s="36"/>
      <c r="X18" s="36">
        <v>176801500</v>
      </c>
      <c r="Y18" s="85">
        <v>176801500</v>
      </c>
      <c r="Z18" s="35"/>
      <c r="AA18" s="35">
        <v>112438586.95999999</v>
      </c>
      <c r="AB18" s="35">
        <v>103443500</v>
      </c>
      <c r="AC18" s="35">
        <v>8995086.9600000009</v>
      </c>
      <c r="AD18" s="35">
        <v>103443500</v>
      </c>
      <c r="AE18" s="35">
        <v>51665.68</v>
      </c>
      <c r="AF18" s="36"/>
      <c r="AG18" s="35">
        <v>112438586.95999999</v>
      </c>
      <c r="AH18" s="35">
        <v>103443500</v>
      </c>
      <c r="AI18" s="35"/>
      <c r="AJ18" s="35">
        <v>8995086.9600000009</v>
      </c>
      <c r="AK18" s="35">
        <v>8</v>
      </c>
      <c r="AL18" s="35">
        <v>51665.68</v>
      </c>
      <c r="AM18" s="35"/>
      <c r="AN18" s="35">
        <v>103443500</v>
      </c>
      <c r="AO18" s="36"/>
      <c r="AP18" s="36">
        <v>103443500</v>
      </c>
      <c r="AQ18" s="85">
        <v>103443500</v>
      </c>
      <c r="AR18" s="35"/>
      <c r="AS18" s="35">
        <v>1817392282.6099999</v>
      </c>
      <c r="AT18" s="35">
        <v>1672000900</v>
      </c>
      <c r="AU18" s="35">
        <v>145391382.61000001</v>
      </c>
      <c r="AV18" s="35">
        <v>1672000900</v>
      </c>
      <c r="AW18" s="35">
        <v>4674123.01</v>
      </c>
      <c r="AX18" s="36"/>
      <c r="AY18" s="35">
        <v>1817392282.6099999</v>
      </c>
      <c r="AZ18" s="35">
        <v>1672000900</v>
      </c>
      <c r="BA18" s="35"/>
      <c r="BB18" s="35">
        <v>145391382.61000001</v>
      </c>
      <c r="BC18" s="35">
        <v>8</v>
      </c>
      <c r="BD18" s="35">
        <v>4674031.01</v>
      </c>
      <c r="BE18" s="35">
        <v>92</v>
      </c>
      <c r="BF18" s="35">
        <v>1672000900</v>
      </c>
      <c r="BG18" s="36"/>
      <c r="BH18" s="36">
        <v>1672000900</v>
      </c>
      <c r="BI18" s="85">
        <v>1672000900</v>
      </c>
      <c r="BJ18" s="35"/>
      <c r="BK18" s="35">
        <v>8501299986</v>
      </c>
      <c r="BL18" s="35">
        <v>8270300000</v>
      </c>
      <c r="BM18" s="35">
        <v>230999986</v>
      </c>
      <c r="BN18" s="35">
        <v>8270300000</v>
      </c>
      <c r="BO18" s="35"/>
      <c r="BP18" s="36"/>
      <c r="BQ18" s="35">
        <v>8501299986</v>
      </c>
      <c r="BR18" s="35">
        <v>8270300000</v>
      </c>
      <c r="BS18" s="35"/>
      <c r="BT18" s="35">
        <v>230999986</v>
      </c>
      <c r="BU18" s="35">
        <v>2.7172299999999998</v>
      </c>
      <c r="BV18" s="35"/>
      <c r="BW18" s="35"/>
      <c r="BX18" s="35">
        <v>8270300000</v>
      </c>
      <c r="BY18" s="36"/>
      <c r="BZ18" s="36">
        <v>8270300000</v>
      </c>
      <c r="CA18" s="85">
        <v>8270300000</v>
      </c>
      <c r="CB18" s="35"/>
      <c r="CC18" s="35">
        <v>147379456.52000001</v>
      </c>
      <c r="CD18" s="35">
        <v>135589100</v>
      </c>
      <c r="CE18" s="35">
        <v>11790356.52</v>
      </c>
      <c r="CF18" s="35">
        <v>135589100</v>
      </c>
      <c r="CG18" s="35">
        <v>644000</v>
      </c>
      <c r="CH18" s="36"/>
      <c r="CI18" s="35">
        <v>147379456.52000001</v>
      </c>
      <c r="CJ18" s="35">
        <v>135589100</v>
      </c>
      <c r="CK18" s="35"/>
      <c r="CL18" s="35">
        <v>11790356.52</v>
      </c>
      <c r="CM18" s="35">
        <v>8</v>
      </c>
      <c r="CN18" s="35">
        <v>644000</v>
      </c>
      <c r="CO18" s="35"/>
      <c r="CP18" s="35">
        <v>135589100</v>
      </c>
      <c r="CQ18" s="36"/>
      <c r="CR18" s="36">
        <v>135589100</v>
      </c>
      <c r="CS18" s="85">
        <v>135589100</v>
      </c>
      <c r="CT18" s="35"/>
      <c r="CU18" s="35"/>
      <c r="CV18" s="35"/>
      <c r="CW18" s="35"/>
      <c r="CX18" s="35"/>
      <c r="CY18" s="35"/>
      <c r="CZ18" s="36"/>
      <c r="DA18" s="35"/>
      <c r="DB18" s="35"/>
      <c r="DC18" s="35"/>
      <c r="DD18" s="35"/>
      <c r="DE18" s="35"/>
      <c r="DF18" s="35"/>
      <c r="DG18" s="35"/>
      <c r="DH18" s="35"/>
      <c r="DI18" s="36"/>
      <c r="DJ18" s="36"/>
      <c r="DK18" s="85"/>
      <c r="DL18" s="35"/>
      <c r="DM18" s="35">
        <v>18661500</v>
      </c>
      <c r="DN18" s="35">
        <v>14661500</v>
      </c>
      <c r="DO18" s="35">
        <v>4000000</v>
      </c>
      <c r="DP18" s="35">
        <v>14516157.57</v>
      </c>
      <c r="DQ18" s="35"/>
      <c r="DR18" s="36"/>
      <c r="DS18" s="35">
        <v>18476504.760000002</v>
      </c>
      <c r="DT18" s="35">
        <v>14516157.57</v>
      </c>
      <c r="DU18" s="35"/>
      <c r="DV18" s="35">
        <v>3960347.19</v>
      </c>
      <c r="DW18" s="35">
        <v>21.4345</v>
      </c>
      <c r="DX18" s="35"/>
      <c r="DY18" s="35"/>
      <c r="DZ18" s="35">
        <v>14516157.57</v>
      </c>
      <c r="EA18" s="36"/>
      <c r="EB18" s="36">
        <v>14661500</v>
      </c>
      <c r="EC18" s="85">
        <v>14661500</v>
      </c>
      <c r="ED18" s="35"/>
      <c r="EE18" s="35">
        <v>33988282.829999998</v>
      </c>
      <c r="EF18" s="35">
        <v>33648400</v>
      </c>
      <c r="EG18" s="35">
        <v>339882.83</v>
      </c>
      <c r="EH18" s="35">
        <v>33648400</v>
      </c>
      <c r="EI18" s="35"/>
      <c r="EJ18" s="36"/>
      <c r="EK18" s="35">
        <v>33988282.829999998</v>
      </c>
      <c r="EL18" s="35">
        <v>33648400</v>
      </c>
      <c r="EM18" s="35"/>
      <c r="EN18" s="35">
        <v>339882.83</v>
      </c>
      <c r="EO18" s="35">
        <v>1</v>
      </c>
      <c r="EP18" s="35"/>
      <c r="EQ18" s="35"/>
      <c r="ER18" s="35">
        <v>33648400</v>
      </c>
      <c r="ES18" s="36"/>
      <c r="ET18" s="36">
        <v>33648400</v>
      </c>
      <c r="EU18" s="85">
        <v>33648400</v>
      </c>
      <c r="EV18" s="35"/>
      <c r="EW18" s="35">
        <v>66900868.350000001</v>
      </c>
      <c r="EX18" s="35">
        <v>49634500</v>
      </c>
      <c r="EY18" s="35">
        <v>17266368.350000001</v>
      </c>
      <c r="EZ18" s="35">
        <v>49634500</v>
      </c>
      <c r="FA18" s="35">
        <v>2292519.2200000002</v>
      </c>
      <c r="FB18" s="36"/>
      <c r="FC18" s="35">
        <v>66900868.350000001</v>
      </c>
      <c r="FD18" s="35">
        <v>49634500</v>
      </c>
      <c r="FE18" s="35"/>
      <c r="FF18" s="35">
        <v>17266368.350000001</v>
      </c>
      <c r="FG18" s="35">
        <v>25.808890000000002</v>
      </c>
      <c r="FH18" s="35">
        <v>2292519.2200000002</v>
      </c>
      <c r="FI18" s="35"/>
      <c r="FJ18" s="35">
        <v>49634500</v>
      </c>
      <c r="FK18" s="36"/>
      <c r="FL18" s="36">
        <v>49634500</v>
      </c>
      <c r="FM18" s="85">
        <v>49634500</v>
      </c>
      <c r="FN18" s="35"/>
      <c r="FO18" s="35"/>
      <c r="FP18" s="35"/>
      <c r="FQ18" s="35"/>
      <c r="FR18" s="35"/>
      <c r="FS18" s="35">
        <v>268728.92</v>
      </c>
      <c r="FT18" s="36"/>
      <c r="FU18" s="35"/>
      <c r="FV18" s="35"/>
      <c r="FW18" s="35"/>
      <c r="FX18" s="35"/>
      <c r="FY18" s="35"/>
      <c r="FZ18" s="35">
        <v>268728.92</v>
      </c>
      <c r="GA18" s="35"/>
      <c r="GB18" s="35"/>
      <c r="GC18" s="36"/>
      <c r="GD18" s="36"/>
      <c r="GE18" s="85"/>
      <c r="GF18" s="35"/>
      <c r="GG18" s="35">
        <v>24641956.52</v>
      </c>
      <c r="GH18" s="35">
        <v>22670600</v>
      </c>
      <c r="GI18" s="35">
        <v>1971356.52</v>
      </c>
      <c r="GJ18" s="35">
        <v>22460380.77</v>
      </c>
      <c r="GK18" s="35"/>
      <c r="GL18" s="36"/>
      <c r="GM18" s="35">
        <v>24413457.359999999</v>
      </c>
      <c r="GN18" s="35">
        <v>22460380.77</v>
      </c>
      <c r="GO18" s="35"/>
      <c r="GP18" s="35">
        <v>1953076.59</v>
      </c>
      <c r="GQ18" s="35">
        <v>8</v>
      </c>
      <c r="GR18" s="35"/>
      <c r="GS18" s="35"/>
      <c r="GT18" s="35">
        <v>22460380.77</v>
      </c>
      <c r="GU18" s="36"/>
      <c r="GV18" s="36">
        <v>22670600</v>
      </c>
      <c r="GW18" s="85">
        <v>22670600</v>
      </c>
      <c r="GX18" s="35"/>
      <c r="GY18" s="35"/>
      <c r="GZ18" s="35"/>
      <c r="HA18" s="35"/>
      <c r="HB18" s="35"/>
      <c r="HC18" s="35"/>
      <c r="HD18" s="36"/>
      <c r="HE18" s="35"/>
      <c r="HF18" s="35"/>
      <c r="HG18" s="35"/>
      <c r="HH18" s="35"/>
      <c r="HI18" s="35"/>
      <c r="HJ18" s="35"/>
      <c r="HK18" s="35"/>
      <c r="HL18" s="35"/>
      <c r="HM18" s="36"/>
      <c r="HN18" s="36"/>
      <c r="HO18" s="85"/>
      <c r="HP18" s="35"/>
      <c r="HQ18" s="35"/>
      <c r="HR18" s="35"/>
      <c r="HS18" s="35"/>
      <c r="HT18" s="35"/>
      <c r="HU18" s="35"/>
      <c r="HV18" s="36"/>
      <c r="HW18" s="35"/>
      <c r="HX18" s="35"/>
      <c r="HY18" s="35"/>
      <c r="HZ18" s="35"/>
      <c r="IA18" s="35"/>
      <c r="IB18" s="35"/>
      <c r="IC18" s="35"/>
      <c r="ID18" s="35"/>
      <c r="IE18" s="36"/>
      <c r="IF18" s="36"/>
      <c r="IG18" s="85"/>
      <c r="IH18" s="35"/>
      <c r="II18" s="35"/>
      <c r="IJ18" s="35"/>
      <c r="IK18" s="35"/>
      <c r="IL18" s="35"/>
      <c r="IM18" s="35"/>
      <c r="IN18" s="36"/>
      <c r="IO18" s="35"/>
      <c r="IP18" s="35"/>
      <c r="IQ18" s="35"/>
      <c r="IR18" s="35"/>
      <c r="IS18" s="35"/>
      <c r="IT18" s="35"/>
      <c r="IU18" s="35"/>
      <c r="IV18" s="35"/>
      <c r="IW18" s="36"/>
      <c r="IX18" s="36"/>
      <c r="IY18" s="85"/>
      <c r="IZ18" s="35"/>
      <c r="JA18" s="35"/>
      <c r="JB18" s="35"/>
      <c r="JC18" s="35"/>
      <c r="JD18" s="35"/>
      <c r="JE18" s="35"/>
      <c r="JF18" s="36"/>
      <c r="JG18" s="35"/>
      <c r="JH18" s="35"/>
      <c r="JI18" s="35"/>
      <c r="JJ18" s="35"/>
      <c r="JK18" s="35"/>
      <c r="JL18" s="35"/>
      <c r="JM18" s="35"/>
      <c r="JN18" s="35"/>
      <c r="JO18" s="36"/>
      <c r="JP18" s="36"/>
      <c r="JQ18" s="85"/>
      <c r="JR18" s="35"/>
      <c r="JS18" s="35"/>
      <c r="JT18" s="35"/>
      <c r="JU18" s="35"/>
      <c r="JV18" s="35"/>
      <c r="JW18" s="35"/>
      <c r="JX18" s="36"/>
      <c r="JY18" s="35"/>
      <c r="JZ18" s="35"/>
      <c r="KA18" s="35"/>
      <c r="KB18" s="35"/>
      <c r="KC18" s="35"/>
      <c r="KD18" s="35"/>
      <c r="KE18" s="35"/>
      <c r="KF18" s="35"/>
      <c r="KG18" s="36"/>
      <c r="KH18" s="36"/>
      <c r="KI18" s="85"/>
      <c r="KJ18" s="35"/>
      <c r="KK18" s="35"/>
      <c r="KL18" s="35"/>
      <c r="KM18" s="35"/>
      <c r="KN18" s="35"/>
      <c r="KO18" s="35"/>
      <c r="KP18" s="36"/>
      <c r="KQ18" s="35"/>
      <c r="KR18" s="35"/>
      <c r="KS18" s="35"/>
      <c r="KT18" s="35"/>
      <c r="KU18" s="35"/>
      <c r="KV18" s="35"/>
      <c r="KW18" s="35"/>
      <c r="KX18" s="35"/>
      <c r="KY18" s="36"/>
      <c r="KZ18" s="36"/>
      <c r="LA18" s="85"/>
      <c r="LB18" s="35"/>
      <c r="LC18" s="35"/>
      <c r="LD18" s="35"/>
      <c r="LE18" s="35"/>
      <c r="LF18" s="35"/>
      <c r="LG18" s="35"/>
      <c r="LH18" s="36"/>
      <c r="LI18" s="35"/>
      <c r="LJ18" s="35"/>
      <c r="LK18" s="35"/>
      <c r="LL18" s="35"/>
      <c r="LM18" s="35"/>
      <c r="LN18" s="35"/>
      <c r="LO18" s="35"/>
      <c r="LP18" s="35"/>
      <c r="LQ18" s="36"/>
      <c r="LR18" s="36"/>
      <c r="LS18" s="85"/>
      <c r="LT18" s="35"/>
      <c r="LU18" s="35"/>
      <c r="LV18" s="35"/>
      <c r="LW18" s="35"/>
      <c r="LX18" s="35"/>
      <c r="LY18" s="35"/>
      <c r="LZ18" s="36"/>
      <c r="MA18" s="35"/>
      <c r="MB18" s="35"/>
      <c r="MC18" s="35"/>
      <c r="MD18" s="35"/>
      <c r="ME18" s="35"/>
      <c r="MF18" s="35"/>
      <c r="MG18" s="35"/>
      <c r="MH18" s="35"/>
      <c r="MI18" s="36"/>
      <c r="MJ18" s="36"/>
      <c r="MK18" s="85"/>
      <c r="ML18" s="35"/>
      <c r="MM18" s="35"/>
      <c r="MN18" s="35"/>
      <c r="MO18" s="35"/>
      <c r="MP18" s="35"/>
      <c r="MQ18" s="35"/>
      <c r="MR18" s="36"/>
      <c r="MS18" s="35"/>
      <c r="MT18" s="35"/>
      <c r="MU18" s="35"/>
      <c r="MV18" s="35"/>
      <c r="MW18" s="35"/>
      <c r="MX18" s="35"/>
      <c r="MY18" s="35"/>
      <c r="MZ18" s="35"/>
      <c r="NA18" s="36"/>
      <c r="NB18" s="36"/>
      <c r="NC18" s="85"/>
      <c r="ND18" s="35"/>
      <c r="NE18" s="35">
        <v>626847.82999999996</v>
      </c>
      <c r="NF18" s="35">
        <v>576700</v>
      </c>
      <c r="NG18" s="35">
        <v>50147.83</v>
      </c>
      <c r="NH18" s="35">
        <v>576700</v>
      </c>
      <c r="NI18" s="35"/>
      <c r="NJ18" s="36"/>
      <c r="NK18" s="35">
        <v>626847.82999999996</v>
      </c>
      <c r="NL18" s="35">
        <v>576700</v>
      </c>
      <c r="NM18" s="35"/>
      <c r="NN18" s="35">
        <v>50147.83</v>
      </c>
      <c r="NO18" s="35">
        <v>8</v>
      </c>
      <c r="NP18" s="35"/>
      <c r="NQ18" s="35"/>
      <c r="NR18" s="35">
        <v>576700</v>
      </c>
      <c r="NS18" s="36"/>
      <c r="NT18" s="36">
        <v>576700</v>
      </c>
      <c r="NU18" s="85">
        <v>576700</v>
      </c>
      <c r="NV18" s="35"/>
      <c r="NW18" s="35"/>
      <c r="NX18" s="35"/>
      <c r="NY18" s="35"/>
      <c r="NZ18" s="35"/>
      <c r="OA18" s="35"/>
      <c r="OB18" s="36"/>
      <c r="OC18" s="35"/>
      <c r="OD18" s="35"/>
      <c r="OE18" s="35"/>
      <c r="OF18" s="35"/>
      <c r="OG18" s="35"/>
      <c r="OH18" s="35"/>
      <c r="OI18" s="35"/>
      <c r="OJ18" s="35"/>
      <c r="OK18" s="36"/>
      <c r="OL18" s="36"/>
      <c r="OM18" s="85"/>
      <c r="ON18" s="35"/>
      <c r="OO18" s="35"/>
      <c r="OP18" s="35"/>
      <c r="OQ18" s="35"/>
      <c r="OR18" s="35"/>
      <c r="OS18" s="35">
        <v>1396668.09</v>
      </c>
      <c r="OT18" s="36"/>
      <c r="OU18" s="35"/>
      <c r="OV18" s="35"/>
      <c r="OW18" s="35"/>
      <c r="OX18" s="35"/>
      <c r="OY18" s="35"/>
      <c r="OZ18" s="35">
        <v>1396668.09</v>
      </c>
      <c r="PA18" s="35"/>
      <c r="PB18" s="35"/>
      <c r="PC18" s="36"/>
      <c r="PD18" s="36"/>
      <c r="PE18" s="85"/>
      <c r="PF18" s="35"/>
      <c r="PG18" s="35"/>
      <c r="PH18" s="35"/>
      <c r="PI18" s="35"/>
      <c r="PJ18" s="35"/>
      <c r="PK18" s="35"/>
      <c r="PL18" s="36"/>
      <c r="PM18" s="35"/>
      <c r="PN18" s="35"/>
      <c r="PO18" s="35"/>
      <c r="PP18" s="35"/>
      <c r="PQ18" s="35"/>
      <c r="PR18" s="35"/>
      <c r="PS18" s="35"/>
      <c r="PT18" s="35"/>
      <c r="PU18" s="36"/>
      <c r="PV18" s="36"/>
      <c r="PW18" s="85"/>
      <c r="PX18" s="35"/>
      <c r="PY18" s="35"/>
      <c r="PZ18" s="35"/>
      <c r="QA18" s="35"/>
      <c r="QB18" s="35"/>
      <c r="QC18" s="35"/>
      <c r="QD18" s="36"/>
      <c r="QE18" s="35"/>
      <c r="QF18" s="35"/>
      <c r="QG18" s="35"/>
      <c r="QH18" s="35"/>
      <c r="QI18" s="35"/>
      <c r="QJ18" s="35"/>
      <c r="QK18" s="35"/>
      <c r="QL18" s="35"/>
      <c r="QM18" s="36"/>
      <c r="QN18" s="36"/>
      <c r="QO18" s="85"/>
      <c r="QP18" s="35"/>
      <c r="QQ18" s="35"/>
      <c r="QR18" s="35"/>
      <c r="QS18" s="35"/>
      <c r="QT18" s="35"/>
      <c r="QU18" s="35"/>
      <c r="QV18" s="36"/>
      <c r="QW18" s="35"/>
      <c r="QX18" s="35"/>
      <c r="QY18" s="35"/>
      <c r="QZ18" s="35"/>
      <c r="RA18" s="35"/>
      <c r="RB18" s="35"/>
      <c r="RC18" s="35"/>
      <c r="RD18" s="35"/>
      <c r="RE18" s="36"/>
      <c r="RF18" s="36"/>
      <c r="RG18" s="85"/>
      <c r="RH18" s="35"/>
      <c r="RI18" s="35"/>
      <c r="RJ18" s="35"/>
      <c r="RK18" s="35"/>
      <c r="RL18" s="35"/>
      <c r="RM18" s="35"/>
      <c r="RN18" s="36"/>
      <c r="RO18" s="35"/>
      <c r="RP18" s="35"/>
      <c r="RQ18" s="35"/>
      <c r="RR18" s="35"/>
      <c r="RS18" s="35"/>
      <c r="RT18" s="35"/>
      <c r="RU18" s="35"/>
      <c r="RV18" s="35"/>
      <c r="RW18" s="36"/>
      <c r="RX18" s="36"/>
      <c r="RY18" s="85"/>
      <c r="RZ18" s="35"/>
      <c r="SA18" s="35"/>
      <c r="SB18" s="35"/>
      <c r="SC18" s="35"/>
      <c r="SD18" s="35"/>
      <c r="SE18" s="35"/>
      <c r="SF18" s="36"/>
      <c r="SG18" s="35"/>
      <c r="SH18" s="35"/>
      <c r="SI18" s="35"/>
      <c r="SJ18" s="35"/>
      <c r="SK18" s="35"/>
      <c r="SL18" s="35"/>
      <c r="SM18" s="35"/>
      <c r="SN18" s="35"/>
      <c r="SO18" s="36"/>
      <c r="SP18" s="36"/>
      <c r="SQ18" s="85"/>
      <c r="SR18" s="35"/>
      <c r="SS18" s="35"/>
      <c r="ST18" s="35"/>
      <c r="SU18" s="35"/>
      <c r="SV18" s="35"/>
      <c r="SW18" s="35"/>
      <c r="SX18" s="36"/>
      <c r="SY18" s="35"/>
      <c r="SZ18" s="35"/>
      <c r="TA18" s="35"/>
      <c r="TB18" s="35"/>
      <c r="TC18" s="35"/>
      <c r="TD18" s="35"/>
      <c r="TE18" s="35"/>
      <c r="TF18" s="35"/>
      <c r="TG18" s="36"/>
      <c r="TH18" s="36"/>
      <c r="TI18" s="85"/>
      <c r="TJ18" s="35"/>
      <c r="TK18" s="35"/>
      <c r="TL18" s="35"/>
      <c r="TM18" s="35"/>
      <c r="TN18" s="35"/>
      <c r="TO18" s="35"/>
      <c r="TP18" s="36"/>
      <c r="TQ18" s="35"/>
      <c r="TR18" s="35"/>
      <c r="TS18" s="35"/>
      <c r="TT18" s="35"/>
      <c r="TU18" s="35"/>
      <c r="TV18" s="35"/>
      <c r="TW18" s="35"/>
      <c r="TX18" s="35"/>
      <c r="TY18" s="36"/>
      <c r="TZ18" s="36"/>
      <c r="UA18" s="85"/>
      <c r="UB18" s="35"/>
      <c r="UC18" s="35"/>
      <c r="UD18" s="35"/>
      <c r="UE18" s="35"/>
      <c r="UF18" s="35"/>
      <c r="UG18" s="35"/>
      <c r="UH18" s="36"/>
      <c r="UI18" s="35"/>
      <c r="UJ18" s="35"/>
      <c r="UK18" s="35"/>
      <c r="UL18" s="35"/>
      <c r="UM18" s="35"/>
      <c r="UN18" s="35"/>
      <c r="UO18" s="35"/>
      <c r="UP18" s="35"/>
      <c r="UQ18" s="36"/>
      <c r="UR18" s="36"/>
      <c r="US18" s="85"/>
    </row>
    <row r="19" spans="1:565" x14ac:dyDescent="0.3">
      <c r="A19" s="8" t="s">
        <v>14</v>
      </c>
      <c r="B19" s="168" t="s">
        <v>15</v>
      </c>
      <c r="C19" s="13" t="s">
        <v>16</v>
      </c>
      <c r="F19" s="36">
        <v>890136300</v>
      </c>
      <c r="G19" s="35"/>
      <c r="H19" s="35"/>
      <c r="I19" s="35">
        <v>69712600</v>
      </c>
      <c r="J19" s="35">
        <v>62044200</v>
      </c>
      <c r="K19" s="35">
        <v>7668400</v>
      </c>
      <c r="L19" s="35">
        <v>62044200</v>
      </c>
      <c r="M19" s="35">
        <v>156964.60999999999</v>
      </c>
      <c r="N19" s="36"/>
      <c r="O19" s="35">
        <v>69712600</v>
      </c>
      <c r="P19" s="35">
        <v>62044200</v>
      </c>
      <c r="Q19" s="35"/>
      <c r="R19" s="35">
        <v>7668400</v>
      </c>
      <c r="S19" s="35">
        <v>11.000019999999999</v>
      </c>
      <c r="T19" s="35">
        <v>156964.60999999999</v>
      </c>
      <c r="U19" s="35"/>
      <c r="V19" s="35">
        <v>62044200</v>
      </c>
      <c r="W19" s="36"/>
      <c r="X19" s="36">
        <v>62044200</v>
      </c>
      <c r="Y19" s="85">
        <v>62044200</v>
      </c>
      <c r="Z19" s="35"/>
      <c r="AA19" s="35">
        <v>251097900</v>
      </c>
      <c r="AB19" s="35">
        <v>223477100</v>
      </c>
      <c r="AC19" s="35">
        <v>27620800</v>
      </c>
      <c r="AD19" s="35">
        <v>223477100</v>
      </c>
      <c r="AE19" s="35">
        <v>237989.42</v>
      </c>
      <c r="AF19" s="36"/>
      <c r="AG19" s="35">
        <v>251097900</v>
      </c>
      <c r="AH19" s="35">
        <v>223477100</v>
      </c>
      <c r="AI19" s="35"/>
      <c r="AJ19" s="35">
        <v>27620800</v>
      </c>
      <c r="AK19" s="35">
        <v>11.00001</v>
      </c>
      <c r="AL19" s="35">
        <v>237989.42</v>
      </c>
      <c r="AM19" s="35"/>
      <c r="AN19" s="35">
        <v>223477100</v>
      </c>
      <c r="AO19" s="36"/>
      <c r="AP19" s="36">
        <v>223477100</v>
      </c>
      <c r="AQ19" s="85">
        <v>223477100</v>
      </c>
      <c r="AR19" s="35"/>
      <c r="AS19" s="35">
        <v>301028400</v>
      </c>
      <c r="AT19" s="35">
        <v>267915200</v>
      </c>
      <c r="AU19" s="35">
        <v>33113200</v>
      </c>
      <c r="AV19" s="35">
        <v>267915200</v>
      </c>
      <c r="AW19" s="35">
        <v>14028877.17</v>
      </c>
      <c r="AX19" s="36"/>
      <c r="AY19" s="35">
        <v>301028400</v>
      </c>
      <c r="AZ19" s="35">
        <v>267915200</v>
      </c>
      <c r="BA19" s="35"/>
      <c r="BB19" s="35">
        <v>33113200</v>
      </c>
      <c r="BC19" s="35">
        <v>11.000030000000001</v>
      </c>
      <c r="BD19" s="35">
        <v>14028877.17</v>
      </c>
      <c r="BE19" s="35"/>
      <c r="BF19" s="35">
        <v>267915200</v>
      </c>
      <c r="BG19" s="36"/>
      <c r="BH19" s="36">
        <v>267915200</v>
      </c>
      <c r="BI19" s="85">
        <v>267915200</v>
      </c>
      <c r="BJ19" s="35"/>
      <c r="BK19" s="35">
        <v>194526316</v>
      </c>
      <c r="BL19" s="35">
        <v>184800000</v>
      </c>
      <c r="BM19" s="35">
        <v>9726316</v>
      </c>
      <c r="BN19" s="35">
        <v>184800000</v>
      </c>
      <c r="BO19" s="35"/>
      <c r="BP19" s="36"/>
      <c r="BQ19" s="35">
        <v>194526316</v>
      </c>
      <c r="BR19" s="35">
        <v>184800000</v>
      </c>
      <c r="BS19" s="35"/>
      <c r="BT19" s="35">
        <v>9726316</v>
      </c>
      <c r="BU19" s="35">
        <v>5</v>
      </c>
      <c r="BV19" s="35"/>
      <c r="BW19" s="35"/>
      <c r="BX19" s="35">
        <v>184800000</v>
      </c>
      <c r="BY19" s="36"/>
      <c r="BZ19" s="36">
        <v>184800000</v>
      </c>
      <c r="CA19" s="85">
        <v>184800000</v>
      </c>
      <c r="CB19" s="35"/>
      <c r="CC19" s="35">
        <v>53960000</v>
      </c>
      <c r="CD19" s="35">
        <v>37772000</v>
      </c>
      <c r="CE19" s="35">
        <v>16188000</v>
      </c>
      <c r="CF19" s="35">
        <v>37772000</v>
      </c>
      <c r="CG19" s="35"/>
      <c r="CH19" s="36"/>
      <c r="CI19" s="35">
        <v>53960000</v>
      </c>
      <c r="CJ19" s="35">
        <v>37772000</v>
      </c>
      <c r="CK19" s="35"/>
      <c r="CL19" s="35">
        <v>16188000</v>
      </c>
      <c r="CM19" s="35">
        <v>30</v>
      </c>
      <c r="CN19" s="35"/>
      <c r="CO19" s="35"/>
      <c r="CP19" s="35">
        <v>37772000</v>
      </c>
      <c r="CQ19" s="36"/>
      <c r="CR19" s="36">
        <v>37772000</v>
      </c>
      <c r="CS19" s="85">
        <v>37772000</v>
      </c>
      <c r="CT19" s="35"/>
      <c r="CU19" s="35"/>
      <c r="CV19" s="35"/>
      <c r="CW19" s="35"/>
      <c r="CX19" s="35"/>
      <c r="CY19" s="35"/>
      <c r="CZ19" s="36"/>
      <c r="DA19" s="35"/>
      <c r="DB19" s="35"/>
      <c r="DC19" s="35"/>
      <c r="DD19" s="35"/>
      <c r="DE19" s="35"/>
      <c r="DF19" s="35"/>
      <c r="DG19" s="35"/>
      <c r="DH19" s="35"/>
      <c r="DI19" s="36"/>
      <c r="DJ19" s="36"/>
      <c r="DK19" s="85"/>
      <c r="DL19" s="35"/>
      <c r="DM19" s="35"/>
      <c r="DN19" s="35"/>
      <c r="DO19" s="35"/>
      <c r="DP19" s="35"/>
      <c r="DQ19" s="35"/>
      <c r="DR19" s="36"/>
      <c r="DS19" s="35"/>
      <c r="DT19" s="35"/>
      <c r="DU19" s="35"/>
      <c r="DV19" s="35"/>
      <c r="DW19" s="35"/>
      <c r="DX19" s="35"/>
      <c r="DY19" s="35"/>
      <c r="DZ19" s="35"/>
      <c r="EA19" s="36"/>
      <c r="EB19" s="36"/>
      <c r="EC19" s="85"/>
      <c r="ED19" s="35"/>
      <c r="EE19" s="35">
        <v>49096600</v>
      </c>
      <c r="EF19" s="35">
        <v>48114600</v>
      </c>
      <c r="EG19" s="35">
        <v>982000</v>
      </c>
      <c r="EH19" s="35">
        <v>48114600</v>
      </c>
      <c r="EI19" s="35"/>
      <c r="EJ19" s="36"/>
      <c r="EK19" s="35">
        <v>49096600</v>
      </c>
      <c r="EL19" s="35">
        <v>48114600</v>
      </c>
      <c r="EM19" s="35"/>
      <c r="EN19" s="35">
        <v>982000</v>
      </c>
      <c r="EO19" s="35">
        <v>2.00014</v>
      </c>
      <c r="EP19" s="35"/>
      <c r="EQ19" s="35"/>
      <c r="ER19" s="35">
        <v>48114600</v>
      </c>
      <c r="ES19" s="36"/>
      <c r="ET19" s="36">
        <v>48114600</v>
      </c>
      <c r="EU19" s="85">
        <v>48114600</v>
      </c>
      <c r="EV19" s="35"/>
      <c r="EW19" s="35">
        <v>18562580</v>
      </c>
      <c r="EX19" s="35">
        <v>16520700</v>
      </c>
      <c r="EY19" s="35">
        <v>2041880</v>
      </c>
      <c r="EZ19" s="35">
        <v>16520700</v>
      </c>
      <c r="FA19" s="35"/>
      <c r="FB19" s="36"/>
      <c r="FC19" s="35">
        <v>18562580</v>
      </c>
      <c r="FD19" s="35">
        <v>16520700</v>
      </c>
      <c r="FE19" s="35"/>
      <c r="FF19" s="35">
        <v>2041880</v>
      </c>
      <c r="FG19" s="35">
        <v>10.999980000000001</v>
      </c>
      <c r="FH19" s="35"/>
      <c r="FI19" s="35"/>
      <c r="FJ19" s="35">
        <v>16520700</v>
      </c>
      <c r="FK19" s="36"/>
      <c r="FL19" s="36">
        <v>16520700</v>
      </c>
      <c r="FM19" s="85">
        <v>16520700</v>
      </c>
      <c r="FN19" s="35"/>
      <c r="FO19" s="35"/>
      <c r="FP19" s="35"/>
      <c r="FQ19" s="35"/>
      <c r="FR19" s="35"/>
      <c r="FS19" s="35"/>
      <c r="FT19" s="36"/>
      <c r="FU19" s="35"/>
      <c r="FV19" s="35"/>
      <c r="FW19" s="35"/>
      <c r="FX19" s="35"/>
      <c r="FY19" s="35"/>
      <c r="FZ19" s="35"/>
      <c r="GA19" s="35"/>
      <c r="GB19" s="35"/>
      <c r="GC19" s="36"/>
      <c r="GD19" s="36"/>
      <c r="GE19" s="85"/>
      <c r="GF19" s="35"/>
      <c r="GG19" s="35">
        <v>46416498</v>
      </c>
      <c r="GH19" s="35">
        <v>41310400</v>
      </c>
      <c r="GI19" s="35">
        <v>5106098</v>
      </c>
      <c r="GJ19" s="35">
        <v>41310396.460000001</v>
      </c>
      <c r="GK19" s="35"/>
      <c r="GL19" s="36"/>
      <c r="GM19" s="35">
        <v>46416422.020000003</v>
      </c>
      <c r="GN19" s="35">
        <v>41310332.390000001</v>
      </c>
      <c r="GO19" s="35"/>
      <c r="GP19" s="35">
        <v>5106089.63</v>
      </c>
      <c r="GQ19" s="35">
        <v>11.00061</v>
      </c>
      <c r="GR19" s="35"/>
      <c r="GS19" s="35">
        <v>64.069999999999993</v>
      </c>
      <c r="GT19" s="35">
        <v>41310396.460000001</v>
      </c>
      <c r="GU19" s="36"/>
      <c r="GV19" s="36">
        <v>41310400</v>
      </c>
      <c r="GW19" s="85">
        <v>41310400</v>
      </c>
      <c r="GX19" s="35"/>
      <c r="GY19" s="35"/>
      <c r="GZ19" s="35"/>
      <c r="HA19" s="35"/>
      <c r="HB19" s="35"/>
      <c r="HC19" s="35"/>
      <c r="HD19" s="36"/>
      <c r="HE19" s="35"/>
      <c r="HF19" s="35"/>
      <c r="HG19" s="35"/>
      <c r="HH19" s="35"/>
      <c r="HI19" s="35"/>
      <c r="HJ19" s="35"/>
      <c r="HK19" s="35"/>
      <c r="HL19" s="35"/>
      <c r="HM19" s="36"/>
      <c r="HN19" s="36"/>
      <c r="HO19" s="85"/>
      <c r="HP19" s="35"/>
      <c r="HQ19" s="35"/>
      <c r="HR19" s="35"/>
      <c r="HS19" s="35"/>
      <c r="HT19" s="35"/>
      <c r="HU19" s="35"/>
      <c r="HV19" s="36"/>
      <c r="HW19" s="35"/>
      <c r="HX19" s="35"/>
      <c r="HY19" s="35"/>
      <c r="HZ19" s="35"/>
      <c r="IA19" s="35"/>
      <c r="IB19" s="35"/>
      <c r="IC19" s="35"/>
      <c r="ID19" s="35"/>
      <c r="IE19" s="36"/>
      <c r="IF19" s="36"/>
      <c r="IG19" s="85"/>
      <c r="IH19" s="35"/>
      <c r="II19" s="35"/>
      <c r="IJ19" s="35"/>
      <c r="IK19" s="35"/>
      <c r="IL19" s="35"/>
      <c r="IM19" s="35"/>
      <c r="IN19" s="36"/>
      <c r="IO19" s="35"/>
      <c r="IP19" s="35"/>
      <c r="IQ19" s="35"/>
      <c r="IR19" s="35"/>
      <c r="IS19" s="35"/>
      <c r="IT19" s="35"/>
      <c r="IU19" s="35"/>
      <c r="IV19" s="35"/>
      <c r="IW19" s="36"/>
      <c r="IX19" s="36"/>
      <c r="IY19" s="85"/>
      <c r="IZ19" s="35"/>
      <c r="JA19" s="35">
        <v>3231685</v>
      </c>
      <c r="JB19" s="35">
        <v>2876200</v>
      </c>
      <c r="JC19" s="35">
        <v>355485</v>
      </c>
      <c r="JD19" s="35">
        <v>2876200</v>
      </c>
      <c r="JE19" s="35"/>
      <c r="JF19" s="36"/>
      <c r="JG19" s="35">
        <v>3231685</v>
      </c>
      <c r="JH19" s="35">
        <v>2876200</v>
      </c>
      <c r="JI19" s="35"/>
      <c r="JJ19" s="35">
        <v>355485</v>
      </c>
      <c r="JK19" s="35">
        <v>10.99999</v>
      </c>
      <c r="JL19" s="35"/>
      <c r="JM19" s="35"/>
      <c r="JN19" s="35">
        <v>2876200</v>
      </c>
      <c r="JO19" s="36"/>
      <c r="JP19" s="36">
        <v>2876200</v>
      </c>
      <c r="JQ19" s="85">
        <v>2876200</v>
      </c>
      <c r="JR19" s="35"/>
      <c r="JS19" s="35"/>
      <c r="JT19" s="35"/>
      <c r="JU19" s="35"/>
      <c r="JV19" s="35"/>
      <c r="JW19" s="35"/>
      <c r="JX19" s="36"/>
      <c r="JY19" s="35"/>
      <c r="JZ19" s="35"/>
      <c r="KA19" s="35"/>
      <c r="KB19" s="35"/>
      <c r="KC19" s="35"/>
      <c r="KD19" s="35"/>
      <c r="KE19" s="35"/>
      <c r="KF19" s="35"/>
      <c r="KG19" s="36"/>
      <c r="KH19" s="36"/>
      <c r="KI19" s="85"/>
      <c r="KJ19" s="35"/>
      <c r="KK19" s="35">
        <v>2355280</v>
      </c>
      <c r="KL19" s="35">
        <v>2096200</v>
      </c>
      <c r="KM19" s="35">
        <v>259080</v>
      </c>
      <c r="KN19" s="35">
        <v>2096200</v>
      </c>
      <c r="KO19" s="35"/>
      <c r="KP19" s="36"/>
      <c r="KQ19" s="35">
        <v>2355280</v>
      </c>
      <c r="KR19" s="35">
        <v>2096200</v>
      </c>
      <c r="KS19" s="35"/>
      <c r="KT19" s="35">
        <v>259080</v>
      </c>
      <c r="KU19" s="35">
        <v>10.999969999999999</v>
      </c>
      <c r="KV19" s="35"/>
      <c r="KW19" s="35"/>
      <c r="KX19" s="35">
        <v>2096200</v>
      </c>
      <c r="KY19" s="36"/>
      <c r="KZ19" s="36">
        <v>2096200</v>
      </c>
      <c r="LA19" s="85">
        <v>2096200</v>
      </c>
      <c r="LB19" s="35"/>
      <c r="LC19" s="35"/>
      <c r="LD19" s="35"/>
      <c r="LE19" s="35"/>
      <c r="LF19" s="35"/>
      <c r="LG19" s="35"/>
      <c r="LH19" s="36"/>
      <c r="LI19" s="35"/>
      <c r="LJ19" s="35"/>
      <c r="LK19" s="35"/>
      <c r="LL19" s="35"/>
      <c r="LM19" s="35"/>
      <c r="LN19" s="35"/>
      <c r="LO19" s="35"/>
      <c r="LP19" s="35"/>
      <c r="LQ19" s="36"/>
      <c r="LR19" s="36"/>
      <c r="LS19" s="85"/>
      <c r="LT19" s="35"/>
      <c r="LU19" s="35"/>
      <c r="LV19" s="35"/>
      <c r="LW19" s="35"/>
      <c r="LX19" s="35"/>
      <c r="LY19" s="35"/>
      <c r="LZ19" s="36"/>
      <c r="MA19" s="35"/>
      <c r="MB19" s="35"/>
      <c r="MC19" s="35"/>
      <c r="MD19" s="35"/>
      <c r="ME19" s="35"/>
      <c r="MF19" s="35"/>
      <c r="MG19" s="35"/>
      <c r="MH19" s="35"/>
      <c r="MI19" s="36"/>
      <c r="MJ19" s="36"/>
      <c r="MK19" s="85"/>
      <c r="ML19" s="35"/>
      <c r="MM19" s="35"/>
      <c r="MN19" s="35"/>
      <c r="MO19" s="35"/>
      <c r="MP19" s="35"/>
      <c r="MQ19" s="35"/>
      <c r="MR19" s="36"/>
      <c r="MS19" s="35"/>
      <c r="MT19" s="35"/>
      <c r="MU19" s="35"/>
      <c r="MV19" s="35"/>
      <c r="MW19" s="35"/>
      <c r="MX19" s="35"/>
      <c r="MY19" s="35"/>
      <c r="MZ19" s="35"/>
      <c r="NA19" s="36"/>
      <c r="NB19" s="36"/>
      <c r="NC19" s="85"/>
      <c r="ND19" s="35"/>
      <c r="NE19" s="35">
        <v>3606500</v>
      </c>
      <c r="NF19" s="35">
        <v>3209700</v>
      </c>
      <c r="NG19" s="35">
        <v>396800</v>
      </c>
      <c r="NH19" s="35">
        <v>3209700</v>
      </c>
      <c r="NI19" s="35"/>
      <c r="NJ19" s="36"/>
      <c r="NK19" s="35">
        <v>3606500</v>
      </c>
      <c r="NL19" s="35">
        <v>3209700</v>
      </c>
      <c r="NM19" s="35"/>
      <c r="NN19" s="35">
        <v>396800</v>
      </c>
      <c r="NO19" s="35">
        <v>11.002359999999999</v>
      </c>
      <c r="NP19" s="35"/>
      <c r="NQ19" s="35"/>
      <c r="NR19" s="35">
        <v>3209700</v>
      </c>
      <c r="NS19" s="36"/>
      <c r="NT19" s="36">
        <v>3209700</v>
      </c>
      <c r="NU19" s="85">
        <v>3209700</v>
      </c>
      <c r="NV19" s="35"/>
      <c r="NW19" s="35"/>
      <c r="NX19" s="35"/>
      <c r="NY19" s="35"/>
      <c r="NZ19" s="35"/>
      <c r="OA19" s="35"/>
      <c r="OB19" s="36"/>
      <c r="OC19" s="35"/>
      <c r="OD19" s="35"/>
      <c r="OE19" s="35"/>
      <c r="OF19" s="35"/>
      <c r="OG19" s="35"/>
      <c r="OH19" s="35"/>
      <c r="OI19" s="35"/>
      <c r="OJ19" s="35"/>
      <c r="OK19" s="36"/>
      <c r="OL19" s="36"/>
      <c r="OM19" s="85"/>
      <c r="ON19" s="35"/>
      <c r="OO19" s="35"/>
      <c r="OP19" s="35"/>
      <c r="OQ19" s="35"/>
      <c r="OR19" s="35"/>
      <c r="OS19" s="35"/>
      <c r="OT19" s="36"/>
      <c r="OU19" s="35"/>
      <c r="OV19" s="35"/>
      <c r="OW19" s="35"/>
      <c r="OX19" s="35"/>
      <c r="OY19" s="35"/>
      <c r="OZ19" s="35"/>
      <c r="PA19" s="35"/>
      <c r="PB19" s="35"/>
      <c r="PC19" s="36"/>
      <c r="PD19" s="36"/>
      <c r="PE19" s="85"/>
      <c r="PF19" s="35"/>
      <c r="PG19" s="35"/>
      <c r="PH19" s="35"/>
      <c r="PI19" s="35"/>
      <c r="PJ19" s="35"/>
      <c r="PK19" s="35"/>
      <c r="PL19" s="36"/>
      <c r="PM19" s="35"/>
      <c r="PN19" s="35"/>
      <c r="PO19" s="35"/>
      <c r="PP19" s="35"/>
      <c r="PQ19" s="35"/>
      <c r="PR19" s="35"/>
      <c r="PS19" s="35"/>
      <c r="PT19" s="35"/>
      <c r="PU19" s="36"/>
      <c r="PV19" s="36"/>
      <c r="PW19" s="85"/>
      <c r="PX19" s="35"/>
      <c r="PY19" s="35"/>
      <c r="PZ19" s="35"/>
      <c r="QA19" s="35"/>
      <c r="QB19" s="35"/>
      <c r="QC19" s="35"/>
      <c r="QD19" s="36"/>
      <c r="QE19" s="35"/>
      <c r="QF19" s="35"/>
      <c r="QG19" s="35"/>
      <c r="QH19" s="35"/>
      <c r="QI19" s="35"/>
      <c r="QJ19" s="35"/>
      <c r="QK19" s="35"/>
      <c r="QL19" s="35"/>
      <c r="QM19" s="36"/>
      <c r="QN19" s="36"/>
      <c r="QO19" s="85"/>
      <c r="QP19" s="35"/>
      <c r="QQ19" s="35"/>
      <c r="QR19" s="35"/>
      <c r="QS19" s="35"/>
      <c r="QT19" s="35"/>
      <c r="QU19" s="35"/>
      <c r="QV19" s="36"/>
      <c r="QW19" s="35"/>
      <c r="QX19" s="35"/>
      <c r="QY19" s="35"/>
      <c r="QZ19" s="35"/>
      <c r="RA19" s="35"/>
      <c r="RB19" s="35"/>
      <c r="RC19" s="35"/>
      <c r="RD19" s="35"/>
      <c r="RE19" s="36"/>
      <c r="RF19" s="36"/>
      <c r="RG19" s="85"/>
      <c r="RH19" s="35"/>
      <c r="RI19" s="35"/>
      <c r="RJ19" s="35"/>
      <c r="RK19" s="35"/>
      <c r="RL19" s="35"/>
      <c r="RM19" s="35"/>
      <c r="RN19" s="36"/>
      <c r="RO19" s="35"/>
      <c r="RP19" s="35"/>
      <c r="RQ19" s="35"/>
      <c r="RR19" s="35"/>
      <c r="RS19" s="35"/>
      <c r="RT19" s="35"/>
      <c r="RU19" s="35"/>
      <c r="RV19" s="35"/>
      <c r="RW19" s="36"/>
      <c r="RX19" s="36"/>
      <c r="RY19" s="85"/>
      <c r="RZ19" s="35"/>
      <c r="SA19" s="35"/>
      <c r="SB19" s="35"/>
      <c r="SC19" s="35"/>
      <c r="SD19" s="35"/>
      <c r="SE19" s="35"/>
      <c r="SF19" s="36"/>
      <c r="SG19" s="35"/>
      <c r="SH19" s="35"/>
      <c r="SI19" s="35"/>
      <c r="SJ19" s="35"/>
      <c r="SK19" s="35"/>
      <c r="SL19" s="35"/>
      <c r="SM19" s="35"/>
      <c r="SN19" s="35"/>
      <c r="SO19" s="36"/>
      <c r="SP19" s="36"/>
      <c r="SQ19" s="85"/>
      <c r="SR19" s="35"/>
      <c r="SS19" s="35"/>
      <c r="ST19" s="35"/>
      <c r="SU19" s="35"/>
      <c r="SV19" s="35"/>
      <c r="SW19" s="35"/>
      <c r="SX19" s="36"/>
      <c r="SY19" s="35"/>
      <c r="SZ19" s="35"/>
      <c r="TA19" s="35"/>
      <c r="TB19" s="35"/>
      <c r="TC19" s="35"/>
      <c r="TD19" s="35"/>
      <c r="TE19" s="35"/>
      <c r="TF19" s="35"/>
      <c r="TG19" s="36"/>
      <c r="TH19" s="36"/>
      <c r="TI19" s="85"/>
      <c r="TJ19" s="35"/>
      <c r="TK19" s="35"/>
      <c r="TL19" s="35"/>
      <c r="TM19" s="35"/>
      <c r="TN19" s="35"/>
      <c r="TO19" s="35"/>
      <c r="TP19" s="36"/>
      <c r="TQ19" s="35"/>
      <c r="TR19" s="35"/>
      <c r="TS19" s="35"/>
      <c r="TT19" s="35"/>
      <c r="TU19" s="35"/>
      <c r="TV19" s="35"/>
      <c r="TW19" s="35"/>
      <c r="TX19" s="35"/>
      <c r="TY19" s="36"/>
      <c r="TZ19" s="36"/>
      <c r="UA19" s="85"/>
      <c r="UB19" s="35"/>
      <c r="UC19" s="35"/>
      <c r="UD19" s="35"/>
      <c r="UE19" s="35"/>
      <c r="UF19" s="35"/>
      <c r="UG19" s="35"/>
      <c r="UH19" s="36"/>
      <c r="UI19" s="35"/>
      <c r="UJ19" s="35"/>
      <c r="UK19" s="35"/>
      <c r="UL19" s="35"/>
      <c r="UM19" s="35"/>
      <c r="UN19" s="35"/>
      <c r="UO19" s="35"/>
      <c r="UP19" s="35"/>
      <c r="UQ19" s="36"/>
      <c r="UR19" s="36"/>
      <c r="US19" s="85"/>
    </row>
    <row r="20" spans="1:565" x14ac:dyDescent="0.3">
      <c r="A20" s="8" t="s">
        <v>17</v>
      </c>
      <c r="B20" s="169" t="s">
        <v>18</v>
      </c>
      <c r="C20" s="13" t="s">
        <v>19</v>
      </c>
      <c r="F20" s="36">
        <v>6250239200</v>
      </c>
      <c r="G20" s="35"/>
      <c r="H20" s="35"/>
      <c r="I20" s="35">
        <v>511517500</v>
      </c>
      <c r="J20" s="35">
        <v>281789800</v>
      </c>
      <c r="K20" s="35">
        <v>229727700</v>
      </c>
      <c r="L20" s="35">
        <v>281789800</v>
      </c>
      <c r="M20" s="35">
        <v>196185.48</v>
      </c>
      <c r="N20" s="36"/>
      <c r="O20" s="35">
        <v>511517500</v>
      </c>
      <c r="P20" s="35">
        <v>281789800</v>
      </c>
      <c r="Q20" s="35"/>
      <c r="R20" s="35">
        <v>229727700</v>
      </c>
      <c r="S20" s="35">
        <v>44.911009999999997</v>
      </c>
      <c r="T20" s="35">
        <v>196185.48</v>
      </c>
      <c r="U20" s="35"/>
      <c r="V20" s="35">
        <v>281789800</v>
      </c>
      <c r="W20" s="36"/>
      <c r="X20" s="36">
        <v>281789800</v>
      </c>
      <c r="Y20" s="85">
        <v>281789800</v>
      </c>
      <c r="Z20" s="35"/>
      <c r="AA20" s="35">
        <v>356177800</v>
      </c>
      <c r="AB20" s="35">
        <v>302751100</v>
      </c>
      <c r="AC20" s="35">
        <v>53426700</v>
      </c>
      <c r="AD20" s="35">
        <v>302751100</v>
      </c>
      <c r="AE20" s="35">
        <v>5928008.75</v>
      </c>
      <c r="AF20" s="36"/>
      <c r="AG20" s="35">
        <v>356177800</v>
      </c>
      <c r="AH20" s="35">
        <v>302751100</v>
      </c>
      <c r="AI20" s="35"/>
      <c r="AJ20" s="35">
        <v>53426700</v>
      </c>
      <c r="AK20" s="35">
        <v>15.00001</v>
      </c>
      <c r="AL20" s="35">
        <v>5928008.75</v>
      </c>
      <c r="AM20" s="35"/>
      <c r="AN20" s="35">
        <v>302751100</v>
      </c>
      <c r="AO20" s="36"/>
      <c r="AP20" s="36">
        <v>302751100</v>
      </c>
      <c r="AQ20" s="85">
        <v>302751100</v>
      </c>
      <c r="AR20" s="35"/>
      <c r="AS20" s="35">
        <v>2351591000</v>
      </c>
      <c r="AT20" s="35">
        <v>1998852300</v>
      </c>
      <c r="AU20" s="35">
        <v>352738700</v>
      </c>
      <c r="AV20" s="35">
        <v>1998817938.5599999</v>
      </c>
      <c r="AW20" s="35">
        <v>48007953.340000004</v>
      </c>
      <c r="AX20" s="36"/>
      <c r="AY20" s="35">
        <v>2351550573.1308599</v>
      </c>
      <c r="AZ20" s="35">
        <v>1998817937.1699998</v>
      </c>
      <c r="BA20" s="35"/>
      <c r="BB20" s="35">
        <v>352732635.96086001</v>
      </c>
      <c r="BC20" s="35">
        <v>15</v>
      </c>
      <c r="BD20" s="35">
        <v>48007953.340000004</v>
      </c>
      <c r="BE20" s="35">
        <v>1.39</v>
      </c>
      <c r="BF20" s="35">
        <v>1998817938.5599999</v>
      </c>
      <c r="BG20" s="36"/>
      <c r="BH20" s="36">
        <v>1998852300</v>
      </c>
      <c r="BI20" s="85">
        <v>1998852300</v>
      </c>
      <c r="BJ20" s="35"/>
      <c r="BK20" s="35">
        <v>3119263849.6199999</v>
      </c>
      <c r="BL20" s="35">
        <v>2250000000</v>
      </c>
      <c r="BM20" s="35">
        <v>869263849.62</v>
      </c>
      <c r="BN20" s="35">
        <v>2250000000</v>
      </c>
      <c r="BO20" s="35">
        <v>35847.699999999997</v>
      </c>
      <c r="BP20" s="36"/>
      <c r="BQ20" s="35">
        <v>3119263849.6199999</v>
      </c>
      <c r="BR20" s="35">
        <v>2250000000</v>
      </c>
      <c r="BS20" s="35"/>
      <c r="BT20" s="35">
        <v>869263849.62</v>
      </c>
      <c r="BU20" s="35">
        <v>27.867599999999999</v>
      </c>
      <c r="BV20" s="35">
        <v>35847.699999999997</v>
      </c>
      <c r="BW20" s="35"/>
      <c r="BX20" s="35">
        <v>2250000000</v>
      </c>
      <c r="BY20" s="36"/>
      <c r="BZ20" s="36">
        <v>2250000000</v>
      </c>
      <c r="CA20" s="85">
        <v>2250000000</v>
      </c>
      <c r="CB20" s="35"/>
      <c r="CC20" s="35">
        <v>131158900</v>
      </c>
      <c r="CD20" s="35">
        <v>81158900</v>
      </c>
      <c r="CE20" s="35">
        <v>50000000</v>
      </c>
      <c r="CF20" s="35">
        <v>81158900</v>
      </c>
      <c r="CG20" s="35"/>
      <c r="CH20" s="36"/>
      <c r="CI20" s="35">
        <v>131158900</v>
      </c>
      <c r="CJ20" s="35">
        <v>81158900</v>
      </c>
      <c r="CK20" s="35"/>
      <c r="CL20" s="35">
        <v>50000000</v>
      </c>
      <c r="CM20" s="35">
        <v>38.121699999999997</v>
      </c>
      <c r="CN20" s="35"/>
      <c r="CO20" s="35"/>
      <c r="CP20" s="35">
        <v>81158900</v>
      </c>
      <c r="CQ20" s="36"/>
      <c r="CR20" s="36">
        <v>81158900</v>
      </c>
      <c r="CS20" s="85">
        <v>81158900</v>
      </c>
      <c r="CT20" s="35"/>
      <c r="CU20" s="35"/>
      <c r="CV20" s="35"/>
      <c r="CW20" s="35"/>
      <c r="CX20" s="35"/>
      <c r="CY20" s="35"/>
      <c r="CZ20" s="36"/>
      <c r="DA20" s="35"/>
      <c r="DB20" s="35"/>
      <c r="DC20" s="35"/>
      <c r="DD20" s="35"/>
      <c r="DE20" s="35"/>
      <c r="DF20" s="35"/>
      <c r="DG20" s="35"/>
      <c r="DH20" s="35"/>
      <c r="DI20" s="36"/>
      <c r="DJ20" s="36"/>
      <c r="DK20" s="85"/>
      <c r="DL20" s="35"/>
      <c r="DM20" s="35">
        <v>1273492301.95</v>
      </c>
      <c r="DN20" s="35">
        <v>1211953800</v>
      </c>
      <c r="DO20" s="35">
        <v>61538501.950000003</v>
      </c>
      <c r="DP20" s="35">
        <v>1211953800</v>
      </c>
      <c r="DQ20" s="35"/>
      <c r="DR20" s="36"/>
      <c r="DS20" s="35">
        <v>1273492301.95</v>
      </c>
      <c r="DT20" s="35">
        <v>1211953800</v>
      </c>
      <c r="DU20" s="35"/>
      <c r="DV20" s="35">
        <v>61538501.950000003</v>
      </c>
      <c r="DW20" s="35">
        <v>4.8322599999999998</v>
      </c>
      <c r="DX20" s="35"/>
      <c r="DY20" s="35"/>
      <c r="DZ20" s="35">
        <v>1211953800</v>
      </c>
      <c r="EA20" s="36"/>
      <c r="EB20" s="36">
        <v>1211953800</v>
      </c>
      <c r="EC20" s="85">
        <v>1211953800</v>
      </c>
      <c r="ED20" s="35"/>
      <c r="EE20" s="35">
        <v>49198061.219999999</v>
      </c>
      <c r="EF20" s="35">
        <v>48214100</v>
      </c>
      <c r="EG20" s="35">
        <v>983961.22</v>
      </c>
      <c r="EH20" s="35">
        <v>48214100</v>
      </c>
      <c r="EI20" s="35"/>
      <c r="EJ20" s="36"/>
      <c r="EK20" s="35">
        <v>49198061.219999999</v>
      </c>
      <c r="EL20" s="35">
        <v>48214100</v>
      </c>
      <c r="EM20" s="35"/>
      <c r="EN20" s="35">
        <v>983961.22</v>
      </c>
      <c r="EO20" s="35">
        <v>2</v>
      </c>
      <c r="EP20" s="35"/>
      <c r="EQ20" s="35"/>
      <c r="ER20" s="35">
        <v>48214100</v>
      </c>
      <c r="ES20" s="36"/>
      <c r="ET20" s="36">
        <v>48214100</v>
      </c>
      <c r="EU20" s="85">
        <v>48214100</v>
      </c>
      <c r="EV20" s="35"/>
      <c r="EW20" s="35">
        <v>73313000</v>
      </c>
      <c r="EX20" s="35">
        <v>49984200</v>
      </c>
      <c r="EY20" s="35">
        <v>23328800</v>
      </c>
      <c r="EZ20" s="35">
        <v>49968216.07</v>
      </c>
      <c r="FA20" s="35"/>
      <c r="FB20" s="36"/>
      <c r="FC20" s="35">
        <v>73289555.980000004</v>
      </c>
      <c r="FD20" s="35">
        <v>49968216.07</v>
      </c>
      <c r="FE20" s="35"/>
      <c r="FF20" s="35">
        <v>23321339.91</v>
      </c>
      <c r="FG20" s="35">
        <v>31.820820000000001</v>
      </c>
      <c r="FH20" s="35"/>
      <c r="FI20" s="35"/>
      <c r="FJ20" s="35">
        <v>49968216.07</v>
      </c>
      <c r="FK20" s="36"/>
      <c r="FL20" s="36">
        <v>49984200</v>
      </c>
      <c r="FM20" s="85">
        <v>49984200</v>
      </c>
      <c r="FN20" s="35"/>
      <c r="FO20" s="35"/>
      <c r="FP20" s="35"/>
      <c r="FQ20" s="35"/>
      <c r="FR20" s="35"/>
      <c r="FS20" s="35"/>
      <c r="FT20" s="36"/>
      <c r="FU20" s="35"/>
      <c r="FV20" s="35"/>
      <c r="FW20" s="35"/>
      <c r="FX20" s="35"/>
      <c r="FY20" s="35"/>
      <c r="FZ20" s="35"/>
      <c r="GA20" s="35"/>
      <c r="GB20" s="35"/>
      <c r="GC20" s="36"/>
      <c r="GD20" s="36"/>
      <c r="GE20" s="85"/>
      <c r="GF20" s="35"/>
      <c r="GG20" s="35">
        <v>77965100</v>
      </c>
      <c r="GH20" s="35">
        <v>18668900</v>
      </c>
      <c r="GI20" s="35">
        <v>59296200</v>
      </c>
      <c r="GJ20" s="35">
        <v>18668899.640000001</v>
      </c>
      <c r="GK20" s="35"/>
      <c r="GL20" s="36"/>
      <c r="GM20" s="35">
        <v>77965098.489999995</v>
      </c>
      <c r="GN20" s="35">
        <v>18668899.640000001</v>
      </c>
      <c r="GO20" s="35"/>
      <c r="GP20" s="35">
        <v>59296198.850000001</v>
      </c>
      <c r="GQ20" s="35">
        <v>76.0548</v>
      </c>
      <c r="GR20" s="35"/>
      <c r="GS20" s="35"/>
      <c r="GT20" s="35">
        <v>18668899.640000001</v>
      </c>
      <c r="GU20" s="36"/>
      <c r="GV20" s="36">
        <v>18668900</v>
      </c>
      <c r="GW20" s="85">
        <v>18668900</v>
      </c>
      <c r="GX20" s="35"/>
      <c r="GY20" s="35"/>
      <c r="GZ20" s="35"/>
      <c r="HA20" s="35"/>
      <c r="HB20" s="35"/>
      <c r="HC20" s="35"/>
      <c r="HD20" s="36"/>
      <c r="HE20" s="35"/>
      <c r="HF20" s="35"/>
      <c r="HG20" s="35"/>
      <c r="HH20" s="35"/>
      <c r="HI20" s="35"/>
      <c r="HJ20" s="35"/>
      <c r="HK20" s="35"/>
      <c r="HL20" s="35"/>
      <c r="HM20" s="36"/>
      <c r="HN20" s="36"/>
      <c r="HO20" s="85"/>
      <c r="HP20" s="35"/>
      <c r="HQ20" s="35"/>
      <c r="HR20" s="35"/>
      <c r="HS20" s="35"/>
      <c r="HT20" s="35"/>
      <c r="HU20" s="35"/>
      <c r="HV20" s="36"/>
      <c r="HW20" s="35"/>
      <c r="HX20" s="35"/>
      <c r="HY20" s="35"/>
      <c r="HZ20" s="35"/>
      <c r="IA20" s="35"/>
      <c r="IB20" s="35"/>
      <c r="IC20" s="35"/>
      <c r="ID20" s="35"/>
      <c r="IE20" s="36"/>
      <c r="IF20" s="36"/>
      <c r="IG20" s="85"/>
      <c r="IH20" s="35"/>
      <c r="II20" s="35"/>
      <c r="IJ20" s="35"/>
      <c r="IK20" s="35"/>
      <c r="IL20" s="35"/>
      <c r="IM20" s="35"/>
      <c r="IN20" s="36"/>
      <c r="IO20" s="35"/>
      <c r="IP20" s="35"/>
      <c r="IQ20" s="35"/>
      <c r="IR20" s="35"/>
      <c r="IS20" s="35"/>
      <c r="IT20" s="35"/>
      <c r="IU20" s="35"/>
      <c r="IV20" s="35"/>
      <c r="IW20" s="36"/>
      <c r="IX20" s="36"/>
      <c r="IY20" s="85"/>
      <c r="IZ20" s="35"/>
      <c r="JA20" s="35">
        <v>7800000</v>
      </c>
      <c r="JB20" s="35">
        <v>4762400</v>
      </c>
      <c r="JC20" s="35">
        <v>3037600</v>
      </c>
      <c r="JD20" s="35">
        <v>4762400</v>
      </c>
      <c r="JE20" s="35"/>
      <c r="JF20" s="36"/>
      <c r="JG20" s="35">
        <v>7800000</v>
      </c>
      <c r="JH20" s="35">
        <v>4762400</v>
      </c>
      <c r="JI20" s="35"/>
      <c r="JJ20" s="35">
        <v>3037600</v>
      </c>
      <c r="JK20" s="35">
        <v>38.94359</v>
      </c>
      <c r="JL20" s="35"/>
      <c r="JM20" s="35"/>
      <c r="JN20" s="35">
        <v>4762400</v>
      </c>
      <c r="JO20" s="36"/>
      <c r="JP20" s="36">
        <v>4762400</v>
      </c>
      <c r="JQ20" s="85">
        <v>4762400</v>
      </c>
      <c r="JR20" s="35"/>
      <c r="JS20" s="35"/>
      <c r="JT20" s="35"/>
      <c r="JU20" s="35"/>
      <c r="JV20" s="35"/>
      <c r="JW20" s="35"/>
      <c r="JX20" s="36"/>
      <c r="JY20" s="35"/>
      <c r="JZ20" s="35"/>
      <c r="KA20" s="35"/>
      <c r="KB20" s="35"/>
      <c r="KC20" s="35"/>
      <c r="KD20" s="35"/>
      <c r="KE20" s="35"/>
      <c r="KF20" s="35"/>
      <c r="KG20" s="36"/>
      <c r="KH20" s="36"/>
      <c r="KI20" s="85"/>
      <c r="KJ20" s="35"/>
      <c r="KK20" s="35">
        <v>4620700</v>
      </c>
      <c r="KL20" s="35">
        <v>1462800</v>
      </c>
      <c r="KM20" s="35">
        <v>3157900</v>
      </c>
      <c r="KN20" s="35">
        <v>1462800</v>
      </c>
      <c r="KO20" s="35"/>
      <c r="KP20" s="36"/>
      <c r="KQ20" s="35">
        <v>4620700</v>
      </c>
      <c r="KR20" s="35">
        <v>1462800</v>
      </c>
      <c r="KS20" s="35"/>
      <c r="KT20" s="35">
        <v>3157900</v>
      </c>
      <c r="KU20" s="35">
        <v>68.342460000000003</v>
      </c>
      <c r="KV20" s="35"/>
      <c r="KW20" s="35"/>
      <c r="KX20" s="35">
        <v>1462800</v>
      </c>
      <c r="KY20" s="36"/>
      <c r="KZ20" s="36">
        <v>1462800</v>
      </c>
      <c r="LA20" s="85">
        <v>1462800</v>
      </c>
      <c r="LB20" s="35"/>
      <c r="LC20" s="35"/>
      <c r="LD20" s="35"/>
      <c r="LE20" s="35"/>
      <c r="LF20" s="35"/>
      <c r="LG20" s="35"/>
      <c r="LH20" s="36"/>
      <c r="LI20" s="35"/>
      <c r="LJ20" s="35"/>
      <c r="LK20" s="35"/>
      <c r="LL20" s="35"/>
      <c r="LM20" s="35"/>
      <c r="LN20" s="35"/>
      <c r="LO20" s="35"/>
      <c r="LP20" s="35"/>
      <c r="LQ20" s="36"/>
      <c r="LR20" s="36"/>
      <c r="LS20" s="85"/>
      <c r="LT20" s="35"/>
      <c r="LU20" s="35"/>
      <c r="LV20" s="35"/>
      <c r="LW20" s="35"/>
      <c r="LX20" s="35"/>
      <c r="LY20" s="35"/>
      <c r="LZ20" s="36"/>
      <c r="MA20" s="35"/>
      <c r="MB20" s="35"/>
      <c r="MC20" s="35"/>
      <c r="MD20" s="35"/>
      <c r="ME20" s="35"/>
      <c r="MF20" s="35"/>
      <c r="MG20" s="35"/>
      <c r="MH20" s="35"/>
      <c r="MI20" s="36"/>
      <c r="MJ20" s="36"/>
      <c r="MK20" s="85"/>
      <c r="ML20" s="35"/>
      <c r="MM20" s="35"/>
      <c r="MN20" s="35"/>
      <c r="MO20" s="35"/>
      <c r="MP20" s="35"/>
      <c r="MQ20" s="35"/>
      <c r="MR20" s="36"/>
      <c r="MS20" s="35"/>
      <c r="MT20" s="35"/>
      <c r="MU20" s="35"/>
      <c r="MV20" s="35"/>
      <c r="MW20" s="35"/>
      <c r="MX20" s="35"/>
      <c r="MY20" s="35"/>
      <c r="MZ20" s="35"/>
      <c r="NA20" s="36"/>
      <c r="NB20" s="36"/>
      <c r="NC20" s="85"/>
      <c r="ND20" s="35"/>
      <c r="NE20" s="35">
        <v>1175900</v>
      </c>
      <c r="NF20" s="35">
        <v>640900</v>
      </c>
      <c r="NG20" s="35">
        <v>535000</v>
      </c>
      <c r="NH20" s="35">
        <v>640900</v>
      </c>
      <c r="NI20" s="35"/>
      <c r="NJ20" s="36"/>
      <c r="NK20" s="35">
        <v>1175900</v>
      </c>
      <c r="NL20" s="35">
        <v>640900</v>
      </c>
      <c r="NM20" s="35"/>
      <c r="NN20" s="35">
        <v>535000</v>
      </c>
      <c r="NO20" s="35">
        <v>45.497070000000001</v>
      </c>
      <c r="NP20" s="35"/>
      <c r="NQ20" s="35"/>
      <c r="NR20" s="35">
        <v>640900</v>
      </c>
      <c r="NS20" s="36"/>
      <c r="NT20" s="36">
        <v>640900</v>
      </c>
      <c r="NU20" s="85">
        <v>640900</v>
      </c>
      <c r="NV20" s="35"/>
      <c r="NW20" s="35"/>
      <c r="NX20" s="35"/>
      <c r="NY20" s="35"/>
      <c r="NZ20" s="35"/>
      <c r="OA20" s="35"/>
      <c r="OB20" s="36"/>
      <c r="OC20" s="35"/>
      <c r="OD20" s="35"/>
      <c r="OE20" s="35"/>
      <c r="OF20" s="35"/>
      <c r="OG20" s="35"/>
      <c r="OH20" s="35"/>
      <c r="OI20" s="35"/>
      <c r="OJ20" s="35"/>
      <c r="OK20" s="36"/>
      <c r="OL20" s="36"/>
      <c r="OM20" s="85"/>
      <c r="ON20" s="35"/>
      <c r="OO20" s="35"/>
      <c r="OP20" s="35"/>
      <c r="OQ20" s="35"/>
      <c r="OR20" s="35"/>
      <c r="OS20" s="35">
        <v>7676022.21</v>
      </c>
      <c r="OT20" s="36"/>
      <c r="OU20" s="35"/>
      <c r="OV20" s="35"/>
      <c r="OW20" s="35"/>
      <c r="OX20" s="35"/>
      <c r="OY20" s="35"/>
      <c r="OZ20" s="35">
        <v>7676022.21</v>
      </c>
      <c r="PA20" s="35"/>
      <c r="PB20" s="35"/>
      <c r="PC20" s="36"/>
      <c r="PD20" s="36"/>
      <c r="PE20" s="85"/>
      <c r="PF20" s="35"/>
      <c r="PG20" s="35"/>
      <c r="PH20" s="35"/>
      <c r="PI20" s="35"/>
      <c r="PJ20" s="35"/>
      <c r="PK20" s="35"/>
      <c r="PL20" s="36"/>
      <c r="PM20" s="35"/>
      <c r="PN20" s="35"/>
      <c r="PO20" s="35"/>
      <c r="PP20" s="35"/>
      <c r="PQ20" s="35"/>
      <c r="PR20" s="35"/>
      <c r="PS20" s="35"/>
      <c r="PT20" s="35"/>
      <c r="PU20" s="36"/>
      <c r="PV20" s="36"/>
      <c r="PW20" s="85"/>
      <c r="PX20" s="35"/>
      <c r="PY20" s="35"/>
      <c r="PZ20" s="35"/>
      <c r="QA20" s="35"/>
      <c r="QB20" s="35"/>
      <c r="QC20" s="35"/>
      <c r="QD20" s="36"/>
      <c r="QE20" s="35"/>
      <c r="QF20" s="35"/>
      <c r="QG20" s="35"/>
      <c r="QH20" s="35"/>
      <c r="QI20" s="35"/>
      <c r="QJ20" s="35"/>
      <c r="QK20" s="35"/>
      <c r="QL20" s="35"/>
      <c r="QM20" s="36"/>
      <c r="QN20" s="36"/>
      <c r="QO20" s="85"/>
      <c r="QP20" s="35"/>
      <c r="QQ20" s="35"/>
      <c r="QR20" s="35"/>
      <c r="QS20" s="35"/>
      <c r="QT20" s="35"/>
      <c r="QU20" s="35"/>
      <c r="QV20" s="36"/>
      <c r="QW20" s="35"/>
      <c r="QX20" s="35"/>
      <c r="QY20" s="35"/>
      <c r="QZ20" s="35"/>
      <c r="RA20" s="35"/>
      <c r="RB20" s="35"/>
      <c r="RC20" s="35"/>
      <c r="RD20" s="35"/>
      <c r="RE20" s="36"/>
      <c r="RF20" s="36"/>
      <c r="RG20" s="85"/>
      <c r="RH20" s="35"/>
      <c r="RI20" s="35"/>
      <c r="RJ20" s="35"/>
      <c r="RK20" s="35"/>
      <c r="RL20" s="35"/>
      <c r="RM20" s="35">
        <v>1089397.52</v>
      </c>
      <c r="RN20" s="36"/>
      <c r="RO20" s="35"/>
      <c r="RP20" s="35"/>
      <c r="RQ20" s="35"/>
      <c r="RR20" s="35"/>
      <c r="RS20" s="35"/>
      <c r="RT20" s="35">
        <v>1089397.52</v>
      </c>
      <c r="RU20" s="35"/>
      <c r="RV20" s="35"/>
      <c r="RW20" s="36"/>
      <c r="RX20" s="36"/>
      <c r="RY20" s="85"/>
      <c r="RZ20" s="35"/>
      <c r="SA20" s="35"/>
      <c r="SB20" s="35"/>
      <c r="SC20" s="35"/>
      <c r="SD20" s="35"/>
      <c r="SE20" s="35"/>
      <c r="SF20" s="36"/>
      <c r="SG20" s="35"/>
      <c r="SH20" s="35"/>
      <c r="SI20" s="35"/>
      <c r="SJ20" s="35"/>
      <c r="SK20" s="35"/>
      <c r="SL20" s="35"/>
      <c r="SM20" s="35"/>
      <c r="SN20" s="35"/>
      <c r="SO20" s="36"/>
      <c r="SP20" s="36"/>
      <c r="SQ20" s="85"/>
      <c r="SR20" s="35"/>
      <c r="SS20" s="35"/>
      <c r="ST20" s="35"/>
      <c r="SU20" s="35"/>
      <c r="SV20" s="35"/>
      <c r="SW20" s="35"/>
      <c r="SX20" s="36"/>
      <c r="SY20" s="35"/>
      <c r="SZ20" s="35"/>
      <c r="TA20" s="35"/>
      <c r="TB20" s="35"/>
      <c r="TC20" s="35"/>
      <c r="TD20" s="35"/>
      <c r="TE20" s="35"/>
      <c r="TF20" s="35"/>
      <c r="TG20" s="36"/>
      <c r="TH20" s="36"/>
      <c r="TI20" s="85"/>
      <c r="TJ20" s="35"/>
      <c r="TK20" s="35"/>
      <c r="TL20" s="35"/>
      <c r="TM20" s="35"/>
      <c r="TN20" s="35"/>
      <c r="TO20" s="35"/>
      <c r="TP20" s="36"/>
      <c r="TQ20" s="35"/>
      <c r="TR20" s="35"/>
      <c r="TS20" s="35"/>
      <c r="TT20" s="35"/>
      <c r="TU20" s="35"/>
      <c r="TV20" s="35"/>
      <c r="TW20" s="35"/>
      <c r="TX20" s="35"/>
      <c r="TY20" s="36"/>
      <c r="TZ20" s="36"/>
      <c r="UA20" s="85"/>
      <c r="UB20" s="35"/>
      <c r="UC20" s="35"/>
      <c r="UD20" s="35"/>
      <c r="UE20" s="35"/>
      <c r="UF20" s="35"/>
      <c r="UG20" s="35"/>
      <c r="UH20" s="36"/>
      <c r="UI20" s="35"/>
      <c r="UJ20" s="35"/>
      <c r="UK20" s="35"/>
      <c r="UL20" s="35"/>
      <c r="UM20" s="35"/>
      <c r="UN20" s="35"/>
      <c r="UO20" s="35"/>
      <c r="UP20" s="35"/>
      <c r="UQ20" s="36"/>
      <c r="UR20" s="36"/>
      <c r="US20" s="85"/>
    </row>
    <row r="21" spans="1:565" x14ac:dyDescent="0.3">
      <c r="A21" s="8" t="s">
        <v>20</v>
      </c>
      <c r="B21" s="168" t="s">
        <v>21</v>
      </c>
      <c r="C21" s="13" t="s">
        <v>22</v>
      </c>
      <c r="F21" s="36">
        <v>437811600</v>
      </c>
      <c r="G21" s="35"/>
      <c r="H21" s="35"/>
      <c r="I21" s="35">
        <v>52335484</v>
      </c>
      <c r="J21" s="35">
        <v>48672000</v>
      </c>
      <c r="K21" s="35">
        <v>3663484</v>
      </c>
      <c r="L21" s="35">
        <v>48672000</v>
      </c>
      <c r="M21" s="35">
        <v>303897.19</v>
      </c>
      <c r="N21" s="36"/>
      <c r="O21" s="35">
        <v>52335484</v>
      </c>
      <c r="P21" s="35">
        <v>48672000</v>
      </c>
      <c r="Q21" s="35"/>
      <c r="R21" s="35">
        <v>3663484</v>
      </c>
      <c r="S21" s="35">
        <v>7</v>
      </c>
      <c r="T21" s="35">
        <v>228414.79</v>
      </c>
      <c r="U21" s="35">
        <v>75482.399999999994</v>
      </c>
      <c r="V21" s="35">
        <v>48672000</v>
      </c>
      <c r="W21" s="36"/>
      <c r="X21" s="36">
        <v>48672000</v>
      </c>
      <c r="Y21" s="85">
        <v>48672000</v>
      </c>
      <c r="Z21" s="35"/>
      <c r="AA21" s="35">
        <v>87333548.390000001</v>
      </c>
      <c r="AB21" s="35">
        <v>81220200</v>
      </c>
      <c r="AC21" s="35">
        <v>6113348.3899999997</v>
      </c>
      <c r="AD21" s="35">
        <v>81220200</v>
      </c>
      <c r="AE21" s="35">
        <v>1458912.22</v>
      </c>
      <c r="AF21" s="36"/>
      <c r="AG21" s="35">
        <v>87333548.390000001</v>
      </c>
      <c r="AH21" s="35">
        <v>81220200</v>
      </c>
      <c r="AI21" s="35"/>
      <c r="AJ21" s="35">
        <v>6113348.3899999997</v>
      </c>
      <c r="AK21" s="35">
        <v>7</v>
      </c>
      <c r="AL21" s="35">
        <v>1458912.22</v>
      </c>
      <c r="AM21" s="35"/>
      <c r="AN21" s="35">
        <v>81220200</v>
      </c>
      <c r="AO21" s="36"/>
      <c r="AP21" s="36">
        <v>81220200</v>
      </c>
      <c r="AQ21" s="85">
        <v>81220200</v>
      </c>
      <c r="AR21" s="35"/>
      <c r="AS21" s="35">
        <v>114094086.02</v>
      </c>
      <c r="AT21" s="35">
        <v>106107500</v>
      </c>
      <c r="AU21" s="35">
        <v>7986586.0199999996</v>
      </c>
      <c r="AV21" s="35">
        <v>106096924.22</v>
      </c>
      <c r="AW21" s="35">
        <v>2053112.16</v>
      </c>
      <c r="AX21" s="36"/>
      <c r="AY21" s="35">
        <v>114082714.20999999</v>
      </c>
      <c r="AZ21" s="35">
        <v>106096924.22</v>
      </c>
      <c r="BA21" s="35"/>
      <c r="BB21" s="35">
        <v>7985789.9900000002</v>
      </c>
      <c r="BC21" s="35">
        <v>7</v>
      </c>
      <c r="BD21" s="35">
        <v>2053112.16</v>
      </c>
      <c r="BE21" s="35"/>
      <c r="BF21" s="35">
        <v>106096924.22</v>
      </c>
      <c r="BG21" s="36"/>
      <c r="BH21" s="36">
        <v>106107500</v>
      </c>
      <c r="BI21" s="85">
        <v>106107500</v>
      </c>
      <c r="BJ21" s="35"/>
      <c r="BK21" s="35">
        <v>18494623.66</v>
      </c>
      <c r="BL21" s="35">
        <v>17200000</v>
      </c>
      <c r="BM21" s="35">
        <v>1294623.6599999999</v>
      </c>
      <c r="BN21" s="35">
        <v>17200000</v>
      </c>
      <c r="BO21" s="35"/>
      <c r="BP21" s="36"/>
      <c r="BQ21" s="35">
        <v>18494623.66</v>
      </c>
      <c r="BR21" s="35">
        <v>17200000</v>
      </c>
      <c r="BS21" s="35"/>
      <c r="BT21" s="35">
        <v>1294623.6599999999</v>
      </c>
      <c r="BU21" s="35">
        <v>7</v>
      </c>
      <c r="BV21" s="35"/>
      <c r="BW21" s="35"/>
      <c r="BX21" s="35">
        <v>17200000</v>
      </c>
      <c r="BY21" s="36"/>
      <c r="BZ21" s="36">
        <v>17200000</v>
      </c>
      <c r="CA21" s="85">
        <v>17200000</v>
      </c>
      <c r="CB21" s="35"/>
      <c r="CC21" s="35">
        <v>59320537.630000003</v>
      </c>
      <c r="CD21" s="35">
        <v>55168100</v>
      </c>
      <c r="CE21" s="35">
        <v>4152437.63</v>
      </c>
      <c r="CF21" s="35">
        <v>55168100</v>
      </c>
      <c r="CG21" s="35"/>
      <c r="CH21" s="36"/>
      <c r="CI21" s="35">
        <v>59320537.630000003</v>
      </c>
      <c r="CJ21" s="35">
        <v>55168100</v>
      </c>
      <c r="CK21" s="35"/>
      <c r="CL21" s="35">
        <v>4152437.63</v>
      </c>
      <c r="CM21" s="35">
        <v>7</v>
      </c>
      <c r="CN21" s="35"/>
      <c r="CO21" s="35"/>
      <c r="CP21" s="35">
        <v>55168100</v>
      </c>
      <c r="CQ21" s="36"/>
      <c r="CR21" s="36">
        <v>55168100</v>
      </c>
      <c r="CS21" s="85">
        <v>55168100</v>
      </c>
      <c r="CT21" s="35"/>
      <c r="CU21" s="35"/>
      <c r="CV21" s="35"/>
      <c r="CW21" s="35"/>
      <c r="CX21" s="35"/>
      <c r="CY21" s="35"/>
      <c r="CZ21" s="36"/>
      <c r="DA21" s="35"/>
      <c r="DB21" s="35"/>
      <c r="DC21" s="35"/>
      <c r="DD21" s="35"/>
      <c r="DE21" s="35"/>
      <c r="DF21" s="35"/>
      <c r="DG21" s="35"/>
      <c r="DH21" s="35"/>
      <c r="DI21" s="36"/>
      <c r="DJ21" s="36"/>
      <c r="DK21" s="85"/>
      <c r="DL21" s="35"/>
      <c r="DM21" s="35">
        <v>18213978.489999998</v>
      </c>
      <c r="DN21" s="35">
        <v>16939000</v>
      </c>
      <c r="DO21" s="35">
        <v>1274978.49</v>
      </c>
      <c r="DP21" s="35">
        <v>16939000</v>
      </c>
      <c r="DQ21" s="35"/>
      <c r="DR21" s="36"/>
      <c r="DS21" s="35">
        <v>18213978.489999998</v>
      </c>
      <c r="DT21" s="35">
        <v>16939000</v>
      </c>
      <c r="DU21" s="35"/>
      <c r="DV21" s="35">
        <v>1274978.49</v>
      </c>
      <c r="DW21" s="35">
        <v>7</v>
      </c>
      <c r="DX21" s="35"/>
      <c r="DY21" s="35"/>
      <c r="DZ21" s="35">
        <v>16939000</v>
      </c>
      <c r="EA21" s="36"/>
      <c r="EB21" s="36">
        <v>16939000</v>
      </c>
      <c r="EC21" s="85">
        <v>16939000</v>
      </c>
      <c r="ED21" s="35"/>
      <c r="EE21" s="35">
        <v>53961111.100000001</v>
      </c>
      <c r="EF21" s="35">
        <v>53421500</v>
      </c>
      <c r="EG21" s="35">
        <v>539611.1</v>
      </c>
      <c r="EH21" s="35">
        <v>53421500</v>
      </c>
      <c r="EI21" s="35"/>
      <c r="EJ21" s="36"/>
      <c r="EK21" s="35">
        <v>53961111.100000001</v>
      </c>
      <c r="EL21" s="35">
        <v>53421500</v>
      </c>
      <c r="EM21" s="35"/>
      <c r="EN21" s="35">
        <v>539611.1</v>
      </c>
      <c r="EO21" s="35">
        <v>1</v>
      </c>
      <c r="EP21" s="35"/>
      <c r="EQ21" s="35"/>
      <c r="ER21" s="35">
        <v>53421500</v>
      </c>
      <c r="ES21" s="36"/>
      <c r="ET21" s="36">
        <v>53421500</v>
      </c>
      <c r="EU21" s="85">
        <v>53421500</v>
      </c>
      <c r="EV21" s="35"/>
      <c r="EW21" s="35">
        <v>23058710</v>
      </c>
      <c r="EX21" s="35">
        <v>21444600</v>
      </c>
      <c r="EY21" s="35">
        <v>1614110</v>
      </c>
      <c r="EZ21" s="35">
        <v>21294472.899999999</v>
      </c>
      <c r="FA21" s="35"/>
      <c r="FB21" s="36"/>
      <c r="FC21" s="35">
        <v>22889936</v>
      </c>
      <c r="FD21" s="35">
        <v>21287640.18</v>
      </c>
      <c r="FE21" s="35"/>
      <c r="FF21" s="35">
        <v>1602295.82</v>
      </c>
      <c r="FG21" s="35">
        <v>7</v>
      </c>
      <c r="FH21" s="35"/>
      <c r="FI21" s="35">
        <v>6832.72</v>
      </c>
      <c r="FJ21" s="35">
        <v>21294472.899999999</v>
      </c>
      <c r="FK21" s="36"/>
      <c r="FL21" s="36">
        <v>21444600</v>
      </c>
      <c r="FM21" s="85">
        <v>21444600</v>
      </c>
      <c r="FN21" s="35"/>
      <c r="FO21" s="35"/>
      <c r="FP21" s="35"/>
      <c r="FQ21" s="35"/>
      <c r="FR21" s="35"/>
      <c r="FS21" s="35"/>
      <c r="FT21" s="36"/>
      <c r="FU21" s="35"/>
      <c r="FV21" s="35"/>
      <c r="FW21" s="35"/>
      <c r="FX21" s="35"/>
      <c r="FY21" s="35"/>
      <c r="FZ21" s="35"/>
      <c r="GA21" s="35"/>
      <c r="GB21" s="35"/>
      <c r="GC21" s="36"/>
      <c r="GD21" s="36"/>
      <c r="GE21" s="85"/>
      <c r="GF21" s="35"/>
      <c r="GG21" s="35">
        <v>37710645</v>
      </c>
      <c r="GH21" s="35">
        <v>35070900</v>
      </c>
      <c r="GI21" s="35">
        <v>2639745</v>
      </c>
      <c r="GJ21" s="35">
        <v>33031432.550000001</v>
      </c>
      <c r="GK21" s="35"/>
      <c r="GL21" s="36"/>
      <c r="GM21" s="35">
        <v>35517669.25</v>
      </c>
      <c r="GN21" s="35">
        <v>33031432.550000001</v>
      </c>
      <c r="GO21" s="35"/>
      <c r="GP21" s="35">
        <v>2486236.7000000002</v>
      </c>
      <c r="GQ21" s="35">
        <v>7</v>
      </c>
      <c r="GR21" s="35"/>
      <c r="GS21" s="35"/>
      <c r="GT21" s="35">
        <v>33031432.550000001</v>
      </c>
      <c r="GU21" s="36"/>
      <c r="GV21" s="36">
        <v>35070900</v>
      </c>
      <c r="GW21" s="85">
        <v>35070900</v>
      </c>
      <c r="GX21" s="35"/>
      <c r="GY21" s="35"/>
      <c r="GZ21" s="35"/>
      <c r="HA21" s="35"/>
      <c r="HB21" s="35"/>
      <c r="HC21" s="35"/>
      <c r="HD21" s="36"/>
      <c r="HE21" s="35"/>
      <c r="HF21" s="35"/>
      <c r="HG21" s="35"/>
      <c r="HH21" s="35"/>
      <c r="HI21" s="35"/>
      <c r="HJ21" s="35"/>
      <c r="HK21" s="35"/>
      <c r="HL21" s="35"/>
      <c r="HM21" s="36"/>
      <c r="HN21" s="36"/>
      <c r="HO21" s="85"/>
      <c r="HP21" s="35"/>
      <c r="HQ21" s="35"/>
      <c r="HR21" s="35"/>
      <c r="HS21" s="35"/>
      <c r="HT21" s="35"/>
      <c r="HU21" s="35"/>
      <c r="HV21" s="36"/>
      <c r="HW21" s="35"/>
      <c r="HX21" s="35"/>
      <c r="HY21" s="35"/>
      <c r="HZ21" s="35"/>
      <c r="IA21" s="35"/>
      <c r="IB21" s="35"/>
      <c r="IC21" s="35"/>
      <c r="ID21" s="35"/>
      <c r="IE21" s="36"/>
      <c r="IF21" s="36"/>
      <c r="IG21" s="85"/>
      <c r="IH21" s="35"/>
      <c r="II21" s="35"/>
      <c r="IJ21" s="35"/>
      <c r="IK21" s="35"/>
      <c r="IL21" s="35"/>
      <c r="IM21" s="35"/>
      <c r="IN21" s="36"/>
      <c r="IO21" s="35"/>
      <c r="IP21" s="35"/>
      <c r="IQ21" s="35"/>
      <c r="IR21" s="35"/>
      <c r="IS21" s="35"/>
      <c r="IT21" s="35"/>
      <c r="IU21" s="35"/>
      <c r="IV21" s="35"/>
      <c r="IW21" s="36"/>
      <c r="IX21" s="36"/>
      <c r="IY21" s="85"/>
      <c r="IZ21" s="35"/>
      <c r="JA21" s="35"/>
      <c r="JB21" s="35"/>
      <c r="JC21" s="35"/>
      <c r="JD21" s="35"/>
      <c r="JE21" s="35"/>
      <c r="JF21" s="36"/>
      <c r="JG21" s="35"/>
      <c r="JH21" s="35"/>
      <c r="JI21" s="35"/>
      <c r="JJ21" s="35"/>
      <c r="JK21" s="35"/>
      <c r="JL21" s="35"/>
      <c r="JM21" s="35"/>
      <c r="JN21" s="35"/>
      <c r="JO21" s="36"/>
      <c r="JP21" s="36"/>
      <c r="JQ21" s="85"/>
      <c r="JR21" s="35"/>
      <c r="JS21" s="35"/>
      <c r="JT21" s="35"/>
      <c r="JU21" s="35"/>
      <c r="JV21" s="35"/>
      <c r="JW21" s="35"/>
      <c r="JX21" s="36"/>
      <c r="JY21" s="35"/>
      <c r="JZ21" s="35"/>
      <c r="KA21" s="35"/>
      <c r="KB21" s="35"/>
      <c r="KC21" s="35"/>
      <c r="KD21" s="35"/>
      <c r="KE21" s="35"/>
      <c r="KF21" s="35"/>
      <c r="KG21" s="36"/>
      <c r="KH21" s="36"/>
      <c r="KI21" s="85"/>
      <c r="KJ21" s="35"/>
      <c r="KK21" s="35">
        <v>6200000</v>
      </c>
      <c r="KL21" s="35">
        <v>1952600</v>
      </c>
      <c r="KM21" s="35">
        <v>4247400</v>
      </c>
      <c r="KN21" s="35">
        <v>1952600</v>
      </c>
      <c r="KO21" s="35"/>
      <c r="KP21" s="36"/>
      <c r="KQ21" s="35">
        <v>6200000</v>
      </c>
      <c r="KR21" s="35">
        <v>1952600</v>
      </c>
      <c r="KS21" s="35"/>
      <c r="KT21" s="35">
        <v>4247400</v>
      </c>
      <c r="KU21" s="35">
        <v>68.506450000000001</v>
      </c>
      <c r="KV21" s="35"/>
      <c r="KW21" s="35"/>
      <c r="KX21" s="35">
        <v>1952600</v>
      </c>
      <c r="KY21" s="36"/>
      <c r="KZ21" s="36">
        <v>1952600</v>
      </c>
      <c r="LA21" s="85">
        <v>1952600</v>
      </c>
      <c r="LB21" s="35"/>
      <c r="LC21" s="35"/>
      <c r="LD21" s="35"/>
      <c r="LE21" s="35"/>
      <c r="LF21" s="35"/>
      <c r="LG21" s="35"/>
      <c r="LH21" s="36"/>
      <c r="LI21" s="35"/>
      <c r="LJ21" s="35"/>
      <c r="LK21" s="35"/>
      <c r="LL21" s="35"/>
      <c r="LM21" s="35"/>
      <c r="LN21" s="35"/>
      <c r="LO21" s="35"/>
      <c r="LP21" s="35"/>
      <c r="LQ21" s="36"/>
      <c r="LR21" s="36"/>
      <c r="LS21" s="85"/>
      <c r="LT21" s="35"/>
      <c r="LU21" s="35"/>
      <c r="LV21" s="35"/>
      <c r="LW21" s="35"/>
      <c r="LX21" s="35"/>
      <c r="LY21" s="35"/>
      <c r="LZ21" s="36"/>
      <c r="MA21" s="35"/>
      <c r="MB21" s="35"/>
      <c r="MC21" s="35"/>
      <c r="MD21" s="35"/>
      <c r="ME21" s="35"/>
      <c r="MF21" s="35"/>
      <c r="MG21" s="35"/>
      <c r="MH21" s="35"/>
      <c r="MI21" s="36"/>
      <c r="MJ21" s="36"/>
      <c r="MK21" s="85"/>
      <c r="ML21" s="35"/>
      <c r="MM21" s="35"/>
      <c r="MN21" s="35"/>
      <c r="MO21" s="35"/>
      <c r="MP21" s="35"/>
      <c r="MQ21" s="35"/>
      <c r="MR21" s="36"/>
      <c r="MS21" s="35"/>
      <c r="MT21" s="35"/>
      <c r="MU21" s="35"/>
      <c r="MV21" s="35"/>
      <c r="MW21" s="35"/>
      <c r="MX21" s="35"/>
      <c r="MY21" s="35"/>
      <c r="MZ21" s="35"/>
      <c r="NA21" s="36"/>
      <c r="NB21" s="36"/>
      <c r="NC21" s="85"/>
      <c r="ND21" s="35"/>
      <c r="NE21" s="35">
        <v>661505</v>
      </c>
      <c r="NF21" s="35">
        <v>615200</v>
      </c>
      <c r="NG21" s="35">
        <v>46305</v>
      </c>
      <c r="NH21" s="35">
        <v>615200</v>
      </c>
      <c r="NI21" s="35"/>
      <c r="NJ21" s="36"/>
      <c r="NK21" s="35">
        <v>661505</v>
      </c>
      <c r="NL21" s="35">
        <v>615200</v>
      </c>
      <c r="NM21" s="35"/>
      <c r="NN21" s="35">
        <v>46305</v>
      </c>
      <c r="NO21" s="35">
        <v>6.9999500000000001</v>
      </c>
      <c r="NP21" s="35"/>
      <c r="NQ21" s="35"/>
      <c r="NR21" s="35">
        <v>615200</v>
      </c>
      <c r="NS21" s="36"/>
      <c r="NT21" s="36">
        <v>615200</v>
      </c>
      <c r="NU21" s="85">
        <v>615200</v>
      </c>
      <c r="NV21" s="35"/>
      <c r="NW21" s="35"/>
      <c r="NX21" s="35"/>
      <c r="NY21" s="35"/>
      <c r="NZ21" s="35"/>
      <c r="OA21" s="35"/>
      <c r="OB21" s="36"/>
      <c r="OC21" s="35"/>
      <c r="OD21" s="35"/>
      <c r="OE21" s="35"/>
      <c r="OF21" s="35"/>
      <c r="OG21" s="35"/>
      <c r="OH21" s="35"/>
      <c r="OI21" s="35"/>
      <c r="OJ21" s="35"/>
      <c r="OK21" s="36"/>
      <c r="OL21" s="36"/>
      <c r="OM21" s="85"/>
      <c r="ON21" s="35"/>
      <c r="OO21" s="35"/>
      <c r="OP21" s="35"/>
      <c r="OQ21" s="35"/>
      <c r="OR21" s="35"/>
      <c r="OS21" s="35">
        <v>4431677.17</v>
      </c>
      <c r="OT21" s="36"/>
      <c r="OU21" s="35"/>
      <c r="OV21" s="35"/>
      <c r="OW21" s="35"/>
      <c r="OX21" s="35"/>
      <c r="OY21" s="35"/>
      <c r="OZ21" s="35">
        <v>4431677.17</v>
      </c>
      <c r="PA21" s="35"/>
      <c r="PB21" s="35"/>
      <c r="PC21" s="36"/>
      <c r="PD21" s="36"/>
      <c r="PE21" s="85"/>
      <c r="PF21" s="35"/>
      <c r="PG21" s="35"/>
      <c r="PH21" s="35"/>
      <c r="PI21" s="35"/>
      <c r="PJ21" s="35"/>
      <c r="PK21" s="35"/>
      <c r="PL21" s="36"/>
      <c r="PM21" s="35"/>
      <c r="PN21" s="35"/>
      <c r="PO21" s="35"/>
      <c r="PP21" s="35"/>
      <c r="PQ21" s="35"/>
      <c r="PR21" s="35"/>
      <c r="PS21" s="35"/>
      <c r="PT21" s="35"/>
      <c r="PU21" s="36"/>
      <c r="PV21" s="36"/>
      <c r="PW21" s="85"/>
      <c r="PX21" s="35"/>
      <c r="PY21" s="35"/>
      <c r="PZ21" s="35"/>
      <c r="QA21" s="35"/>
      <c r="QB21" s="35"/>
      <c r="QC21" s="35"/>
      <c r="QD21" s="36"/>
      <c r="QE21" s="35"/>
      <c r="QF21" s="35"/>
      <c r="QG21" s="35"/>
      <c r="QH21" s="35"/>
      <c r="QI21" s="35"/>
      <c r="QJ21" s="35"/>
      <c r="QK21" s="35"/>
      <c r="QL21" s="35"/>
      <c r="QM21" s="36"/>
      <c r="QN21" s="36"/>
      <c r="QO21" s="85"/>
      <c r="QP21" s="35"/>
      <c r="QQ21" s="35"/>
      <c r="QR21" s="35"/>
      <c r="QS21" s="35"/>
      <c r="QT21" s="35"/>
      <c r="QU21" s="35"/>
      <c r="QV21" s="36"/>
      <c r="QW21" s="35"/>
      <c r="QX21" s="35"/>
      <c r="QY21" s="35"/>
      <c r="QZ21" s="35"/>
      <c r="RA21" s="35"/>
      <c r="RB21" s="35"/>
      <c r="RC21" s="35"/>
      <c r="RD21" s="35"/>
      <c r="RE21" s="36"/>
      <c r="RF21" s="36"/>
      <c r="RG21" s="85"/>
      <c r="RH21" s="35"/>
      <c r="RI21" s="35"/>
      <c r="RJ21" s="35"/>
      <c r="RK21" s="35"/>
      <c r="RL21" s="35"/>
      <c r="RM21" s="35">
        <v>94530.69</v>
      </c>
      <c r="RN21" s="36"/>
      <c r="RO21" s="35"/>
      <c r="RP21" s="35"/>
      <c r="RQ21" s="35"/>
      <c r="RR21" s="35"/>
      <c r="RS21" s="35"/>
      <c r="RT21" s="35">
        <v>69117.149999999994</v>
      </c>
      <c r="RU21" s="35">
        <v>25413.54</v>
      </c>
      <c r="RV21" s="35"/>
      <c r="RW21" s="36"/>
      <c r="RX21" s="36"/>
      <c r="RY21" s="85"/>
      <c r="RZ21" s="35"/>
      <c r="SA21" s="35"/>
      <c r="SB21" s="35"/>
      <c r="SC21" s="35"/>
      <c r="SD21" s="35"/>
      <c r="SE21" s="35"/>
      <c r="SF21" s="36"/>
      <c r="SG21" s="35"/>
      <c r="SH21" s="35"/>
      <c r="SI21" s="35"/>
      <c r="SJ21" s="35"/>
      <c r="SK21" s="35"/>
      <c r="SL21" s="35"/>
      <c r="SM21" s="35"/>
      <c r="SN21" s="35"/>
      <c r="SO21" s="36"/>
      <c r="SP21" s="36"/>
      <c r="SQ21" s="85"/>
      <c r="SR21" s="35"/>
      <c r="SS21" s="35"/>
      <c r="ST21" s="35"/>
      <c r="SU21" s="35"/>
      <c r="SV21" s="35"/>
      <c r="SW21" s="35"/>
      <c r="SX21" s="36"/>
      <c r="SY21" s="35"/>
      <c r="SZ21" s="35"/>
      <c r="TA21" s="35"/>
      <c r="TB21" s="35"/>
      <c r="TC21" s="35"/>
      <c r="TD21" s="35"/>
      <c r="TE21" s="35"/>
      <c r="TF21" s="35"/>
      <c r="TG21" s="36"/>
      <c r="TH21" s="36"/>
      <c r="TI21" s="85"/>
      <c r="TJ21" s="35"/>
      <c r="TK21" s="35"/>
      <c r="TL21" s="35"/>
      <c r="TM21" s="35"/>
      <c r="TN21" s="35"/>
      <c r="TO21" s="35"/>
      <c r="TP21" s="36"/>
      <c r="TQ21" s="35"/>
      <c r="TR21" s="35"/>
      <c r="TS21" s="35"/>
      <c r="TT21" s="35"/>
      <c r="TU21" s="35"/>
      <c r="TV21" s="35"/>
      <c r="TW21" s="35"/>
      <c r="TX21" s="35"/>
      <c r="TY21" s="36"/>
      <c r="TZ21" s="36"/>
      <c r="UA21" s="85"/>
      <c r="UB21" s="35"/>
      <c r="UC21" s="35"/>
      <c r="UD21" s="35"/>
      <c r="UE21" s="35"/>
      <c r="UF21" s="35"/>
      <c r="UG21" s="35"/>
      <c r="UH21" s="36"/>
      <c r="UI21" s="35"/>
      <c r="UJ21" s="35"/>
      <c r="UK21" s="35"/>
      <c r="UL21" s="35"/>
      <c r="UM21" s="35"/>
      <c r="UN21" s="35"/>
      <c r="UO21" s="35"/>
      <c r="UP21" s="35"/>
      <c r="UQ21" s="36"/>
      <c r="UR21" s="36"/>
      <c r="US21" s="85"/>
    </row>
    <row r="22" spans="1:565" x14ac:dyDescent="0.3">
      <c r="A22" s="8" t="s">
        <v>23</v>
      </c>
      <c r="B22" s="169" t="s">
        <v>24</v>
      </c>
      <c r="C22" s="13" t="s">
        <v>25</v>
      </c>
      <c r="F22" s="36">
        <v>1770149900</v>
      </c>
      <c r="G22" s="35"/>
      <c r="H22" s="35"/>
      <c r="I22" s="35">
        <v>94795287</v>
      </c>
      <c r="J22" s="35">
        <v>65408700</v>
      </c>
      <c r="K22" s="35">
        <v>29386587</v>
      </c>
      <c r="L22" s="35">
        <v>65408700</v>
      </c>
      <c r="M22" s="35">
        <v>3278351.37</v>
      </c>
      <c r="N22" s="36"/>
      <c r="O22" s="35">
        <v>94795287</v>
      </c>
      <c r="P22" s="35">
        <v>65408700</v>
      </c>
      <c r="Q22" s="35"/>
      <c r="R22" s="35">
        <v>29386587</v>
      </c>
      <c r="S22" s="35">
        <v>31.000050000000002</v>
      </c>
      <c r="T22" s="35">
        <v>3278351.37</v>
      </c>
      <c r="U22" s="35"/>
      <c r="V22" s="35">
        <v>65408700</v>
      </c>
      <c r="W22" s="36"/>
      <c r="X22" s="36">
        <v>65408700</v>
      </c>
      <c r="Y22" s="85">
        <v>65408700</v>
      </c>
      <c r="Z22" s="35"/>
      <c r="AA22" s="35">
        <v>194370725</v>
      </c>
      <c r="AB22" s="35">
        <v>134115800</v>
      </c>
      <c r="AC22" s="35">
        <v>60254925</v>
      </c>
      <c r="AD22" s="35">
        <v>134115800</v>
      </c>
      <c r="AE22" s="35">
        <v>471699.18</v>
      </c>
      <c r="AF22" s="36"/>
      <c r="AG22" s="35">
        <v>194370725</v>
      </c>
      <c r="AH22" s="35">
        <v>134115800</v>
      </c>
      <c r="AI22" s="35"/>
      <c r="AJ22" s="35">
        <v>60254925</v>
      </c>
      <c r="AK22" s="35">
        <v>31</v>
      </c>
      <c r="AL22" s="35">
        <v>471699.18</v>
      </c>
      <c r="AM22" s="35"/>
      <c r="AN22" s="35">
        <v>134115800</v>
      </c>
      <c r="AO22" s="36"/>
      <c r="AP22" s="36">
        <v>134115800</v>
      </c>
      <c r="AQ22" s="85">
        <v>134115800</v>
      </c>
      <c r="AR22" s="35"/>
      <c r="AS22" s="35">
        <v>277763965</v>
      </c>
      <c r="AT22" s="35">
        <v>191657100</v>
      </c>
      <c r="AU22" s="35">
        <v>86106865</v>
      </c>
      <c r="AV22" s="35">
        <v>191657100</v>
      </c>
      <c r="AW22" s="35">
        <v>3188885.65</v>
      </c>
      <c r="AX22" s="36"/>
      <c r="AY22" s="35">
        <v>277763965</v>
      </c>
      <c r="AZ22" s="35">
        <v>191657100</v>
      </c>
      <c r="BA22" s="35"/>
      <c r="BB22" s="35">
        <v>86106865</v>
      </c>
      <c r="BC22" s="35">
        <v>31.00001</v>
      </c>
      <c r="BD22" s="35">
        <v>3188885.65</v>
      </c>
      <c r="BE22" s="35"/>
      <c r="BF22" s="35">
        <v>191657100</v>
      </c>
      <c r="BG22" s="36"/>
      <c r="BH22" s="36">
        <v>191657100</v>
      </c>
      <c r="BI22" s="85">
        <v>191657100</v>
      </c>
      <c r="BJ22" s="35"/>
      <c r="BK22" s="35">
        <v>613142106</v>
      </c>
      <c r="BL22" s="35">
        <v>582485000</v>
      </c>
      <c r="BM22" s="35">
        <v>30657106</v>
      </c>
      <c r="BN22" s="35">
        <v>582485000</v>
      </c>
      <c r="BO22" s="35"/>
      <c r="BP22" s="36"/>
      <c r="BQ22" s="35">
        <v>613142106</v>
      </c>
      <c r="BR22" s="35">
        <v>582485000</v>
      </c>
      <c r="BS22" s="35"/>
      <c r="BT22" s="35">
        <v>30657106</v>
      </c>
      <c r="BU22" s="35">
        <v>5</v>
      </c>
      <c r="BV22" s="35"/>
      <c r="BW22" s="35"/>
      <c r="BX22" s="35">
        <v>582485000</v>
      </c>
      <c r="BY22" s="36"/>
      <c r="BZ22" s="36">
        <v>582485000</v>
      </c>
      <c r="CA22" s="85">
        <v>582485000</v>
      </c>
      <c r="CB22" s="35"/>
      <c r="CC22" s="35"/>
      <c r="CD22" s="35"/>
      <c r="CE22" s="35"/>
      <c r="CF22" s="35"/>
      <c r="CG22" s="35"/>
      <c r="CH22" s="36"/>
      <c r="CI22" s="35"/>
      <c r="CJ22" s="35"/>
      <c r="CK22" s="35"/>
      <c r="CL22" s="35"/>
      <c r="CM22" s="35"/>
      <c r="CN22" s="35"/>
      <c r="CO22" s="35"/>
      <c r="CP22" s="35"/>
      <c r="CQ22" s="36"/>
      <c r="CR22" s="36"/>
      <c r="CS22" s="85"/>
      <c r="CT22" s="35"/>
      <c r="CU22" s="35">
        <v>9334380</v>
      </c>
      <c r="CV22" s="35">
        <v>8961000</v>
      </c>
      <c r="CW22" s="35">
        <v>373380</v>
      </c>
      <c r="CX22" s="35">
        <v>8961000</v>
      </c>
      <c r="CY22" s="35"/>
      <c r="CZ22" s="36"/>
      <c r="DA22" s="35">
        <v>9334380</v>
      </c>
      <c r="DB22" s="35">
        <v>8961000</v>
      </c>
      <c r="DC22" s="35"/>
      <c r="DD22" s="35">
        <v>373380</v>
      </c>
      <c r="DE22" s="35">
        <v>4.0000499999999999</v>
      </c>
      <c r="DF22" s="35"/>
      <c r="DG22" s="35"/>
      <c r="DH22" s="35">
        <v>8961000</v>
      </c>
      <c r="DI22" s="36"/>
      <c r="DJ22" s="36">
        <v>8961000</v>
      </c>
      <c r="DK22" s="85">
        <v>8961000</v>
      </c>
      <c r="DL22" s="35"/>
      <c r="DM22" s="35">
        <v>835971480</v>
      </c>
      <c r="DN22" s="35">
        <v>644490200</v>
      </c>
      <c r="DO22" s="35">
        <v>191481280</v>
      </c>
      <c r="DP22" s="35">
        <v>644490200</v>
      </c>
      <c r="DQ22" s="35"/>
      <c r="DR22" s="36"/>
      <c r="DS22" s="35">
        <v>835971480</v>
      </c>
      <c r="DT22" s="35">
        <v>644490200</v>
      </c>
      <c r="DU22" s="35"/>
      <c r="DV22" s="35">
        <v>191481280</v>
      </c>
      <c r="DW22" s="35">
        <v>22.905239999999999</v>
      </c>
      <c r="DX22" s="35"/>
      <c r="DY22" s="35"/>
      <c r="DZ22" s="35">
        <v>644490200</v>
      </c>
      <c r="EA22" s="36"/>
      <c r="EB22" s="36">
        <v>644490200</v>
      </c>
      <c r="EC22" s="85">
        <v>644490200</v>
      </c>
      <c r="ED22" s="35"/>
      <c r="EE22" s="35">
        <v>82406041.670000002</v>
      </c>
      <c r="EF22" s="35">
        <v>79109800</v>
      </c>
      <c r="EG22" s="35">
        <v>3296241.67</v>
      </c>
      <c r="EH22" s="35">
        <v>79109800</v>
      </c>
      <c r="EI22" s="35"/>
      <c r="EJ22" s="36"/>
      <c r="EK22" s="35">
        <v>82406041.670000002</v>
      </c>
      <c r="EL22" s="35">
        <v>79109800</v>
      </c>
      <c r="EM22" s="35"/>
      <c r="EN22" s="35">
        <v>3296241.67</v>
      </c>
      <c r="EO22" s="35">
        <v>4</v>
      </c>
      <c r="EP22" s="35"/>
      <c r="EQ22" s="35"/>
      <c r="ER22" s="35">
        <v>79109800</v>
      </c>
      <c r="ES22" s="36"/>
      <c r="ET22" s="36">
        <v>79109800</v>
      </c>
      <c r="EU22" s="85">
        <v>79109800</v>
      </c>
      <c r="EV22" s="35"/>
      <c r="EW22" s="35">
        <v>74465545</v>
      </c>
      <c r="EX22" s="35">
        <v>51381200</v>
      </c>
      <c r="EY22" s="35">
        <v>23084345</v>
      </c>
      <c r="EZ22" s="35">
        <v>51381199.990000002</v>
      </c>
      <c r="FA22" s="35">
        <v>1526524.16</v>
      </c>
      <c r="FB22" s="36"/>
      <c r="FC22" s="35">
        <v>74465544.450000003</v>
      </c>
      <c r="FD22" s="35">
        <v>51381199.619999997</v>
      </c>
      <c r="FE22" s="35"/>
      <c r="FF22" s="35">
        <v>23084344.829999998</v>
      </c>
      <c r="FG22" s="35">
        <v>31.000029999999999</v>
      </c>
      <c r="FH22" s="35">
        <v>1526524.16</v>
      </c>
      <c r="FI22" s="35">
        <v>0.37</v>
      </c>
      <c r="FJ22" s="35">
        <v>51381199.990000002</v>
      </c>
      <c r="FK22" s="36"/>
      <c r="FL22" s="36">
        <v>51381200</v>
      </c>
      <c r="FM22" s="85">
        <v>51381200</v>
      </c>
      <c r="FN22" s="35"/>
      <c r="FO22" s="35"/>
      <c r="FP22" s="35"/>
      <c r="FQ22" s="35"/>
      <c r="FR22" s="35"/>
      <c r="FS22" s="35"/>
      <c r="FT22" s="36"/>
      <c r="FU22" s="35"/>
      <c r="FV22" s="35"/>
      <c r="FW22" s="35"/>
      <c r="FX22" s="35"/>
      <c r="FY22" s="35"/>
      <c r="FZ22" s="35"/>
      <c r="GA22" s="35"/>
      <c r="GB22" s="35"/>
      <c r="GC22" s="36"/>
      <c r="GD22" s="36"/>
      <c r="GE22" s="85"/>
      <c r="GF22" s="35"/>
      <c r="GG22" s="35">
        <v>9420300</v>
      </c>
      <c r="GH22" s="35">
        <v>6500000</v>
      </c>
      <c r="GI22" s="35">
        <v>2920300</v>
      </c>
      <c r="GJ22" s="35">
        <v>6500000</v>
      </c>
      <c r="GK22" s="35"/>
      <c r="GL22" s="36"/>
      <c r="GM22" s="35">
        <v>9420300</v>
      </c>
      <c r="GN22" s="35">
        <v>6500000</v>
      </c>
      <c r="GO22" s="35"/>
      <c r="GP22" s="35">
        <v>2920300</v>
      </c>
      <c r="GQ22" s="35">
        <v>31.000070000000001</v>
      </c>
      <c r="GR22" s="35"/>
      <c r="GS22" s="35"/>
      <c r="GT22" s="35">
        <v>6500000</v>
      </c>
      <c r="GU22" s="36"/>
      <c r="GV22" s="36">
        <v>6500000</v>
      </c>
      <c r="GW22" s="85">
        <v>6500000</v>
      </c>
      <c r="GX22" s="35"/>
      <c r="GY22" s="35"/>
      <c r="GZ22" s="35"/>
      <c r="HA22" s="35"/>
      <c r="HB22" s="35"/>
      <c r="HC22" s="35"/>
      <c r="HD22" s="36"/>
      <c r="HE22" s="35"/>
      <c r="HF22" s="35"/>
      <c r="HG22" s="35"/>
      <c r="HH22" s="35"/>
      <c r="HI22" s="35"/>
      <c r="HJ22" s="35"/>
      <c r="HK22" s="35"/>
      <c r="HL22" s="35"/>
      <c r="HM22" s="36"/>
      <c r="HN22" s="36"/>
      <c r="HO22" s="85"/>
      <c r="HP22" s="35"/>
      <c r="HQ22" s="35"/>
      <c r="HR22" s="35"/>
      <c r="HS22" s="35"/>
      <c r="HT22" s="35"/>
      <c r="HU22" s="35"/>
      <c r="HV22" s="36"/>
      <c r="HW22" s="35"/>
      <c r="HX22" s="35"/>
      <c r="HY22" s="35"/>
      <c r="HZ22" s="35"/>
      <c r="IA22" s="35"/>
      <c r="IB22" s="35"/>
      <c r="IC22" s="35"/>
      <c r="ID22" s="35"/>
      <c r="IE22" s="36"/>
      <c r="IF22" s="36"/>
      <c r="IG22" s="85"/>
      <c r="IH22" s="35"/>
      <c r="II22" s="35"/>
      <c r="IJ22" s="35"/>
      <c r="IK22" s="35"/>
      <c r="IL22" s="35"/>
      <c r="IM22" s="35"/>
      <c r="IN22" s="36"/>
      <c r="IO22" s="35"/>
      <c r="IP22" s="35"/>
      <c r="IQ22" s="35"/>
      <c r="IR22" s="35"/>
      <c r="IS22" s="35"/>
      <c r="IT22" s="35"/>
      <c r="IU22" s="35"/>
      <c r="IV22" s="35"/>
      <c r="IW22" s="36"/>
      <c r="IX22" s="36"/>
      <c r="IY22" s="85"/>
      <c r="IZ22" s="35"/>
      <c r="JA22" s="35"/>
      <c r="JB22" s="35"/>
      <c r="JC22" s="35"/>
      <c r="JD22" s="35"/>
      <c r="JE22" s="35"/>
      <c r="JF22" s="36"/>
      <c r="JG22" s="35"/>
      <c r="JH22" s="35"/>
      <c r="JI22" s="35"/>
      <c r="JJ22" s="35"/>
      <c r="JK22" s="35"/>
      <c r="JL22" s="35"/>
      <c r="JM22" s="35"/>
      <c r="JN22" s="35"/>
      <c r="JO22" s="36"/>
      <c r="JP22" s="36"/>
      <c r="JQ22" s="85"/>
      <c r="JR22" s="35"/>
      <c r="JS22" s="35"/>
      <c r="JT22" s="35"/>
      <c r="JU22" s="35"/>
      <c r="JV22" s="35"/>
      <c r="JW22" s="35"/>
      <c r="JX22" s="36"/>
      <c r="JY22" s="35"/>
      <c r="JZ22" s="35"/>
      <c r="KA22" s="35"/>
      <c r="KB22" s="35"/>
      <c r="KC22" s="35"/>
      <c r="KD22" s="35"/>
      <c r="KE22" s="35"/>
      <c r="KF22" s="35"/>
      <c r="KG22" s="36"/>
      <c r="KH22" s="36"/>
      <c r="KI22" s="85"/>
      <c r="KJ22" s="35"/>
      <c r="KK22" s="35">
        <v>2745400</v>
      </c>
      <c r="KL22" s="35">
        <v>1894300</v>
      </c>
      <c r="KM22" s="35">
        <v>851100</v>
      </c>
      <c r="KN22" s="35">
        <v>1894300</v>
      </c>
      <c r="KO22" s="35"/>
      <c r="KP22" s="36"/>
      <c r="KQ22" s="35">
        <v>2745400</v>
      </c>
      <c r="KR22" s="35">
        <v>1894300</v>
      </c>
      <c r="KS22" s="35"/>
      <c r="KT22" s="35">
        <v>851100</v>
      </c>
      <c r="KU22" s="35">
        <v>31.00095</v>
      </c>
      <c r="KV22" s="35"/>
      <c r="KW22" s="35"/>
      <c r="KX22" s="35">
        <v>1894300</v>
      </c>
      <c r="KY22" s="36"/>
      <c r="KZ22" s="36">
        <v>1894300</v>
      </c>
      <c r="LA22" s="85">
        <v>1894300</v>
      </c>
      <c r="LB22" s="35"/>
      <c r="LC22" s="35"/>
      <c r="LD22" s="35"/>
      <c r="LE22" s="35"/>
      <c r="LF22" s="35"/>
      <c r="LG22" s="35"/>
      <c r="LH22" s="36"/>
      <c r="LI22" s="35"/>
      <c r="LJ22" s="35"/>
      <c r="LK22" s="35"/>
      <c r="LL22" s="35"/>
      <c r="LM22" s="35"/>
      <c r="LN22" s="35"/>
      <c r="LO22" s="35"/>
      <c r="LP22" s="35"/>
      <c r="LQ22" s="36"/>
      <c r="LR22" s="36"/>
      <c r="LS22" s="85"/>
      <c r="LT22" s="35"/>
      <c r="LU22" s="35"/>
      <c r="LV22" s="35"/>
      <c r="LW22" s="35"/>
      <c r="LX22" s="35"/>
      <c r="LY22" s="35"/>
      <c r="LZ22" s="36"/>
      <c r="MA22" s="35"/>
      <c r="MB22" s="35"/>
      <c r="MC22" s="35"/>
      <c r="MD22" s="35"/>
      <c r="ME22" s="35"/>
      <c r="MF22" s="35"/>
      <c r="MG22" s="35"/>
      <c r="MH22" s="35"/>
      <c r="MI22" s="36"/>
      <c r="MJ22" s="36"/>
      <c r="MK22" s="85"/>
      <c r="ML22" s="35"/>
      <c r="MM22" s="35"/>
      <c r="MN22" s="35"/>
      <c r="MO22" s="35"/>
      <c r="MP22" s="35"/>
      <c r="MQ22" s="35"/>
      <c r="MR22" s="36"/>
      <c r="MS22" s="35"/>
      <c r="MT22" s="35"/>
      <c r="MU22" s="35"/>
      <c r="MV22" s="35"/>
      <c r="MW22" s="35"/>
      <c r="MX22" s="35"/>
      <c r="MY22" s="35"/>
      <c r="MZ22" s="35"/>
      <c r="NA22" s="36"/>
      <c r="NB22" s="36"/>
      <c r="NC22" s="85"/>
      <c r="ND22" s="35"/>
      <c r="NE22" s="35">
        <v>6009900</v>
      </c>
      <c r="NF22" s="35">
        <v>4146800</v>
      </c>
      <c r="NG22" s="35">
        <v>1863100</v>
      </c>
      <c r="NH22" s="35">
        <v>4146799.99</v>
      </c>
      <c r="NI22" s="35"/>
      <c r="NJ22" s="36"/>
      <c r="NK22" s="35">
        <v>6009899.9900000002</v>
      </c>
      <c r="NL22" s="35">
        <v>4146799.99</v>
      </c>
      <c r="NM22" s="35"/>
      <c r="NN22" s="35">
        <v>1863100</v>
      </c>
      <c r="NO22" s="35">
        <v>31.000520000000002</v>
      </c>
      <c r="NP22" s="35"/>
      <c r="NQ22" s="35"/>
      <c r="NR22" s="35">
        <v>4146799.99</v>
      </c>
      <c r="NS22" s="36"/>
      <c r="NT22" s="36">
        <v>4146800</v>
      </c>
      <c r="NU22" s="85">
        <v>4146800</v>
      </c>
      <c r="NV22" s="35"/>
      <c r="NW22" s="35"/>
      <c r="NX22" s="35"/>
      <c r="NY22" s="35"/>
      <c r="NZ22" s="35"/>
      <c r="OA22" s="35"/>
      <c r="OB22" s="36"/>
      <c r="OC22" s="35"/>
      <c r="OD22" s="35"/>
      <c r="OE22" s="35"/>
      <c r="OF22" s="35"/>
      <c r="OG22" s="35"/>
      <c r="OH22" s="35"/>
      <c r="OI22" s="35"/>
      <c r="OJ22" s="35"/>
      <c r="OK22" s="36"/>
      <c r="OL22" s="36"/>
      <c r="OM22" s="85"/>
      <c r="ON22" s="35"/>
      <c r="OO22" s="35"/>
      <c r="OP22" s="35"/>
      <c r="OQ22" s="35"/>
      <c r="OR22" s="35"/>
      <c r="OS22" s="35">
        <v>379054</v>
      </c>
      <c r="OT22" s="36"/>
      <c r="OU22" s="35"/>
      <c r="OV22" s="35"/>
      <c r="OW22" s="35"/>
      <c r="OX22" s="35"/>
      <c r="OY22" s="35"/>
      <c r="OZ22" s="35">
        <v>379054</v>
      </c>
      <c r="PA22" s="35"/>
      <c r="PB22" s="35"/>
      <c r="PC22" s="36"/>
      <c r="PD22" s="36"/>
      <c r="PE22" s="85"/>
      <c r="PF22" s="35"/>
      <c r="PG22" s="35"/>
      <c r="PH22" s="35"/>
      <c r="PI22" s="35"/>
      <c r="PJ22" s="35"/>
      <c r="PK22" s="35"/>
      <c r="PL22" s="36"/>
      <c r="PM22" s="35"/>
      <c r="PN22" s="35"/>
      <c r="PO22" s="35"/>
      <c r="PP22" s="35"/>
      <c r="PQ22" s="35"/>
      <c r="PR22" s="35"/>
      <c r="PS22" s="35"/>
      <c r="PT22" s="35"/>
      <c r="PU22" s="36"/>
      <c r="PV22" s="36"/>
      <c r="PW22" s="85"/>
      <c r="PX22" s="35"/>
      <c r="PY22" s="35"/>
      <c r="PZ22" s="35"/>
      <c r="QA22" s="35"/>
      <c r="QB22" s="35"/>
      <c r="QC22" s="35"/>
      <c r="QD22" s="36"/>
      <c r="QE22" s="35"/>
      <c r="QF22" s="35"/>
      <c r="QG22" s="35"/>
      <c r="QH22" s="35"/>
      <c r="QI22" s="35"/>
      <c r="QJ22" s="35"/>
      <c r="QK22" s="35"/>
      <c r="QL22" s="35"/>
      <c r="QM22" s="36"/>
      <c r="QN22" s="36"/>
      <c r="QO22" s="85"/>
      <c r="QP22" s="35"/>
      <c r="QQ22" s="35"/>
      <c r="QR22" s="35"/>
      <c r="QS22" s="35"/>
      <c r="QT22" s="35"/>
      <c r="QU22" s="35"/>
      <c r="QV22" s="36"/>
      <c r="QW22" s="35"/>
      <c r="QX22" s="35"/>
      <c r="QY22" s="35"/>
      <c r="QZ22" s="35"/>
      <c r="RA22" s="35"/>
      <c r="RB22" s="35"/>
      <c r="RC22" s="35"/>
      <c r="RD22" s="35"/>
      <c r="RE22" s="36"/>
      <c r="RF22" s="36"/>
      <c r="RG22" s="85"/>
      <c r="RH22" s="35"/>
      <c r="RI22" s="35"/>
      <c r="RJ22" s="35"/>
      <c r="RK22" s="35"/>
      <c r="RL22" s="35"/>
      <c r="RM22" s="35"/>
      <c r="RN22" s="36"/>
      <c r="RO22" s="35"/>
      <c r="RP22" s="35"/>
      <c r="RQ22" s="35"/>
      <c r="RR22" s="35"/>
      <c r="RS22" s="35"/>
      <c r="RT22" s="35"/>
      <c r="RU22" s="35"/>
      <c r="RV22" s="35"/>
      <c r="RW22" s="36"/>
      <c r="RX22" s="36"/>
      <c r="RY22" s="85"/>
      <c r="RZ22" s="35"/>
      <c r="SA22" s="35"/>
      <c r="SB22" s="35"/>
      <c r="SC22" s="35"/>
      <c r="SD22" s="35"/>
      <c r="SE22" s="35"/>
      <c r="SF22" s="36"/>
      <c r="SG22" s="35"/>
      <c r="SH22" s="35"/>
      <c r="SI22" s="35"/>
      <c r="SJ22" s="35"/>
      <c r="SK22" s="35"/>
      <c r="SL22" s="35"/>
      <c r="SM22" s="35"/>
      <c r="SN22" s="35"/>
      <c r="SO22" s="36"/>
      <c r="SP22" s="36"/>
      <c r="SQ22" s="85"/>
      <c r="SR22" s="35"/>
      <c r="SS22" s="35"/>
      <c r="ST22" s="35"/>
      <c r="SU22" s="35"/>
      <c r="SV22" s="35"/>
      <c r="SW22" s="35"/>
      <c r="SX22" s="36"/>
      <c r="SY22" s="35"/>
      <c r="SZ22" s="35"/>
      <c r="TA22" s="35"/>
      <c r="TB22" s="35"/>
      <c r="TC22" s="35"/>
      <c r="TD22" s="35"/>
      <c r="TE22" s="35"/>
      <c r="TF22" s="35"/>
      <c r="TG22" s="36"/>
      <c r="TH22" s="36"/>
      <c r="TI22" s="85"/>
      <c r="TJ22" s="35"/>
      <c r="TK22" s="35"/>
      <c r="TL22" s="35"/>
      <c r="TM22" s="35"/>
      <c r="TN22" s="35"/>
      <c r="TO22" s="35"/>
      <c r="TP22" s="36"/>
      <c r="TQ22" s="35"/>
      <c r="TR22" s="35"/>
      <c r="TS22" s="35"/>
      <c r="TT22" s="35"/>
      <c r="TU22" s="35"/>
      <c r="TV22" s="35"/>
      <c r="TW22" s="35"/>
      <c r="TX22" s="35"/>
      <c r="TY22" s="36"/>
      <c r="TZ22" s="36"/>
      <c r="UA22" s="85"/>
      <c r="UB22" s="35"/>
      <c r="UC22" s="35"/>
      <c r="UD22" s="35"/>
      <c r="UE22" s="35"/>
      <c r="UF22" s="35"/>
      <c r="UG22" s="35"/>
      <c r="UH22" s="36"/>
      <c r="UI22" s="35"/>
      <c r="UJ22" s="35"/>
      <c r="UK22" s="35"/>
      <c r="UL22" s="35"/>
      <c r="UM22" s="35"/>
      <c r="UN22" s="35"/>
      <c r="UO22" s="35"/>
      <c r="UP22" s="35"/>
      <c r="UQ22" s="36"/>
      <c r="UR22" s="36"/>
      <c r="US22" s="85"/>
    </row>
    <row r="23" spans="1:565" x14ac:dyDescent="0.3">
      <c r="A23" s="8" t="s">
        <v>26</v>
      </c>
      <c r="B23" s="168" t="s">
        <v>27</v>
      </c>
      <c r="C23" s="13" t="s">
        <v>28</v>
      </c>
      <c r="F23" s="36">
        <v>354211400</v>
      </c>
      <c r="G23" s="35"/>
      <c r="H23" s="35"/>
      <c r="I23" s="35">
        <v>46596800</v>
      </c>
      <c r="J23" s="35">
        <v>44266900</v>
      </c>
      <c r="K23" s="35">
        <v>2329900</v>
      </c>
      <c r="L23" s="35">
        <v>44266900</v>
      </c>
      <c r="M23" s="35">
        <v>486721.76</v>
      </c>
      <c r="N23" s="36"/>
      <c r="O23" s="35">
        <v>46596800</v>
      </c>
      <c r="P23" s="35">
        <v>44266900</v>
      </c>
      <c r="Q23" s="35"/>
      <c r="R23" s="35">
        <v>2329900</v>
      </c>
      <c r="S23" s="35">
        <v>5.0001300000000004</v>
      </c>
      <c r="T23" s="35">
        <v>486721.76</v>
      </c>
      <c r="U23" s="35"/>
      <c r="V23" s="35">
        <v>44266900</v>
      </c>
      <c r="W23" s="36"/>
      <c r="X23" s="36">
        <v>44266900</v>
      </c>
      <c r="Y23" s="85">
        <v>44266900</v>
      </c>
      <c r="Z23" s="35"/>
      <c r="AA23" s="35">
        <v>57852316</v>
      </c>
      <c r="AB23" s="35">
        <v>54959700</v>
      </c>
      <c r="AC23" s="35">
        <v>2892616</v>
      </c>
      <c r="AD23" s="35">
        <v>54959537.539999999</v>
      </c>
      <c r="AE23" s="35">
        <v>161782.14000000001</v>
      </c>
      <c r="AF23" s="36"/>
      <c r="AG23" s="35">
        <v>57852145</v>
      </c>
      <c r="AH23" s="35">
        <v>54959537.539999999</v>
      </c>
      <c r="AI23" s="35"/>
      <c r="AJ23" s="35">
        <v>2892607.46</v>
      </c>
      <c r="AK23" s="35">
        <v>5</v>
      </c>
      <c r="AL23" s="35">
        <v>161782.14000000001</v>
      </c>
      <c r="AM23" s="35"/>
      <c r="AN23" s="35">
        <v>54959537.539999999</v>
      </c>
      <c r="AO23" s="36"/>
      <c r="AP23" s="36">
        <v>54959700</v>
      </c>
      <c r="AQ23" s="85">
        <v>54959700</v>
      </c>
      <c r="AR23" s="35"/>
      <c r="AS23" s="35">
        <v>107994500</v>
      </c>
      <c r="AT23" s="35">
        <v>75285500</v>
      </c>
      <c r="AU23" s="35">
        <v>32709000</v>
      </c>
      <c r="AV23" s="35">
        <v>75283164.819999993</v>
      </c>
      <c r="AW23" s="35"/>
      <c r="AX23" s="36"/>
      <c r="AY23" s="35">
        <v>107991150.23999999</v>
      </c>
      <c r="AZ23" s="35">
        <v>75283164.819999993</v>
      </c>
      <c r="BA23" s="35"/>
      <c r="BB23" s="35">
        <v>32707985.420000002</v>
      </c>
      <c r="BC23" s="35">
        <v>30.287649999999999</v>
      </c>
      <c r="BD23" s="35"/>
      <c r="BE23" s="35"/>
      <c r="BF23" s="35">
        <v>75283164.819999993</v>
      </c>
      <c r="BG23" s="36"/>
      <c r="BH23" s="36">
        <v>75285500</v>
      </c>
      <c r="BI23" s="85">
        <v>75285500</v>
      </c>
      <c r="BJ23" s="35"/>
      <c r="BK23" s="35">
        <v>7273101.0499999998</v>
      </c>
      <c r="BL23" s="35">
        <v>5015200</v>
      </c>
      <c r="BM23" s="35">
        <v>2257901.0499999998</v>
      </c>
      <c r="BN23" s="35">
        <v>4984003.26</v>
      </c>
      <c r="BO23" s="35">
        <v>26761.439999999999</v>
      </c>
      <c r="BP23" s="36"/>
      <c r="BQ23" s="35">
        <v>7230558.0599999996</v>
      </c>
      <c r="BR23" s="35">
        <v>4984003.26</v>
      </c>
      <c r="BS23" s="35"/>
      <c r="BT23" s="35">
        <v>2246554.7999999998</v>
      </c>
      <c r="BU23" s="35">
        <v>31.07028</v>
      </c>
      <c r="BV23" s="35">
        <v>26761.439999999999</v>
      </c>
      <c r="BW23" s="35"/>
      <c r="BX23" s="35">
        <v>4984003.26</v>
      </c>
      <c r="BY23" s="36"/>
      <c r="BZ23" s="36">
        <v>5015200</v>
      </c>
      <c r="CA23" s="85">
        <v>5015200</v>
      </c>
      <c r="CB23" s="35"/>
      <c r="CC23" s="35">
        <v>4800000</v>
      </c>
      <c r="CD23" s="35">
        <v>4560000</v>
      </c>
      <c r="CE23" s="35">
        <v>240000</v>
      </c>
      <c r="CF23" s="35">
        <v>4560000</v>
      </c>
      <c r="CG23" s="35"/>
      <c r="CH23" s="36"/>
      <c r="CI23" s="35">
        <v>4800000</v>
      </c>
      <c r="CJ23" s="35">
        <v>4560000</v>
      </c>
      <c r="CK23" s="35"/>
      <c r="CL23" s="35">
        <v>240000</v>
      </c>
      <c r="CM23" s="35">
        <v>5</v>
      </c>
      <c r="CN23" s="35"/>
      <c r="CO23" s="35"/>
      <c r="CP23" s="35">
        <v>4560000</v>
      </c>
      <c r="CQ23" s="36"/>
      <c r="CR23" s="36">
        <v>4560000</v>
      </c>
      <c r="CS23" s="85">
        <v>4560000</v>
      </c>
      <c r="CT23" s="35"/>
      <c r="CU23" s="35"/>
      <c r="CV23" s="35"/>
      <c r="CW23" s="35"/>
      <c r="CX23" s="35"/>
      <c r="CY23" s="35"/>
      <c r="CZ23" s="36"/>
      <c r="DA23" s="35"/>
      <c r="DB23" s="35"/>
      <c r="DC23" s="35"/>
      <c r="DD23" s="35"/>
      <c r="DE23" s="35"/>
      <c r="DF23" s="35"/>
      <c r="DG23" s="35"/>
      <c r="DH23" s="35"/>
      <c r="DI23" s="36"/>
      <c r="DJ23" s="36"/>
      <c r="DK23" s="85"/>
      <c r="DL23" s="35"/>
      <c r="DM23" s="35">
        <v>93688700</v>
      </c>
      <c r="DN23" s="35">
        <v>66920500</v>
      </c>
      <c r="DO23" s="35">
        <v>26768200</v>
      </c>
      <c r="DP23" s="35">
        <v>66920500</v>
      </c>
      <c r="DQ23" s="35">
        <v>462159.6</v>
      </c>
      <c r="DR23" s="36"/>
      <c r="DS23" s="35">
        <v>93688700</v>
      </c>
      <c r="DT23" s="35">
        <v>66920500</v>
      </c>
      <c r="DU23" s="35"/>
      <c r="DV23" s="35">
        <v>26768200</v>
      </c>
      <c r="DW23" s="35">
        <v>28.571429999999999</v>
      </c>
      <c r="DX23" s="35">
        <v>462159.6</v>
      </c>
      <c r="DY23" s="35"/>
      <c r="DZ23" s="35">
        <v>66920500</v>
      </c>
      <c r="EA23" s="36"/>
      <c r="EB23" s="36">
        <v>66920500</v>
      </c>
      <c r="EC23" s="85">
        <v>66920500</v>
      </c>
      <c r="ED23" s="35"/>
      <c r="EE23" s="35">
        <v>53700300</v>
      </c>
      <c r="EF23" s="35">
        <v>53163100</v>
      </c>
      <c r="EG23" s="35">
        <v>537200</v>
      </c>
      <c r="EH23" s="35">
        <v>53163012.159999996</v>
      </c>
      <c r="EI23" s="35"/>
      <c r="EJ23" s="36"/>
      <c r="EK23" s="35">
        <v>53700200.030000001</v>
      </c>
      <c r="EL23" s="35">
        <v>53163012.159999996</v>
      </c>
      <c r="EM23" s="35"/>
      <c r="EN23" s="35">
        <v>537187.87</v>
      </c>
      <c r="EO23" s="35">
        <v>1.0003500000000001</v>
      </c>
      <c r="EP23" s="35"/>
      <c r="EQ23" s="35"/>
      <c r="ER23" s="35">
        <v>53163012.159999996</v>
      </c>
      <c r="ES23" s="36"/>
      <c r="ET23" s="36">
        <v>53163100</v>
      </c>
      <c r="EU23" s="85">
        <v>53163100</v>
      </c>
      <c r="EV23" s="35"/>
      <c r="EW23" s="35">
        <v>28208000</v>
      </c>
      <c r="EX23" s="35">
        <v>25228400</v>
      </c>
      <c r="EY23" s="35">
        <v>2979600</v>
      </c>
      <c r="EZ23" s="35">
        <v>25228400</v>
      </c>
      <c r="FA23" s="35">
        <v>32542.93</v>
      </c>
      <c r="FB23" s="36"/>
      <c r="FC23" s="35">
        <v>28208000</v>
      </c>
      <c r="FD23" s="35">
        <v>25228400</v>
      </c>
      <c r="FE23" s="35"/>
      <c r="FF23" s="35">
        <v>2979600</v>
      </c>
      <c r="FG23" s="35">
        <v>10.56296</v>
      </c>
      <c r="FH23" s="35">
        <v>32542.93</v>
      </c>
      <c r="FI23" s="35"/>
      <c r="FJ23" s="35">
        <v>25228400</v>
      </c>
      <c r="FK23" s="36"/>
      <c r="FL23" s="36">
        <v>25228400</v>
      </c>
      <c r="FM23" s="85">
        <v>25228400</v>
      </c>
      <c r="FN23" s="35"/>
      <c r="FO23" s="35"/>
      <c r="FP23" s="35"/>
      <c r="FQ23" s="35"/>
      <c r="FR23" s="35"/>
      <c r="FS23" s="35"/>
      <c r="FT23" s="36"/>
      <c r="FU23" s="35"/>
      <c r="FV23" s="35"/>
      <c r="FW23" s="35"/>
      <c r="FX23" s="35"/>
      <c r="FY23" s="35"/>
      <c r="FZ23" s="35"/>
      <c r="GA23" s="35"/>
      <c r="GB23" s="35"/>
      <c r="GC23" s="36"/>
      <c r="GD23" s="36"/>
      <c r="GE23" s="85"/>
      <c r="GF23" s="35"/>
      <c r="GG23" s="35">
        <v>25775500</v>
      </c>
      <c r="GH23" s="35">
        <v>24425500</v>
      </c>
      <c r="GI23" s="35">
        <v>1350000</v>
      </c>
      <c r="GJ23" s="35">
        <v>19724442.870000001</v>
      </c>
      <c r="GK23" s="35"/>
      <c r="GL23" s="36"/>
      <c r="GM23" s="35">
        <v>20814620.120000001</v>
      </c>
      <c r="GN23" s="35">
        <v>19724442.870000001</v>
      </c>
      <c r="GO23" s="35"/>
      <c r="GP23" s="35">
        <v>1090177.25</v>
      </c>
      <c r="GQ23" s="35">
        <v>5.2375600000000002</v>
      </c>
      <c r="GR23" s="35"/>
      <c r="GS23" s="35"/>
      <c r="GT23" s="35">
        <v>19724442.870000001</v>
      </c>
      <c r="GU23" s="36"/>
      <c r="GV23" s="36">
        <v>24425500</v>
      </c>
      <c r="GW23" s="85">
        <v>24425500</v>
      </c>
      <c r="GX23" s="35"/>
      <c r="GY23" s="35"/>
      <c r="GZ23" s="35"/>
      <c r="HA23" s="35"/>
      <c r="HB23" s="35"/>
      <c r="HC23" s="35"/>
      <c r="HD23" s="36"/>
      <c r="HE23" s="35"/>
      <c r="HF23" s="35"/>
      <c r="HG23" s="35"/>
      <c r="HH23" s="35"/>
      <c r="HI23" s="35"/>
      <c r="HJ23" s="35"/>
      <c r="HK23" s="35"/>
      <c r="HL23" s="35"/>
      <c r="HM23" s="36"/>
      <c r="HN23" s="36"/>
      <c r="HO23" s="85"/>
      <c r="HP23" s="35"/>
      <c r="HQ23" s="35"/>
      <c r="HR23" s="35"/>
      <c r="HS23" s="35"/>
      <c r="HT23" s="35"/>
      <c r="HU23" s="35"/>
      <c r="HV23" s="36"/>
      <c r="HW23" s="35"/>
      <c r="HX23" s="35"/>
      <c r="HY23" s="35"/>
      <c r="HZ23" s="35"/>
      <c r="IA23" s="35"/>
      <c r="IB23" s="35"/>
      <c r="IC23" s="35"/>
      <c r="ID23" s="35"/>
      <c r="IE23" s="36"/>
      <c r="IF23" s="36"/>
      <c r="IG23" s="85"/>
      <c r="IH23" s="35"/>
      <c r="II23" s="35"/>
      <c r="IJ23" s="35"/>
      <c r="IK23" s="35"/>
      <c r="IL23" s="35"/>
      <c r="IM23" s="35"/>
      <c r="IN23" s="36"/>
      <c r="IO23" s="35"/>
      <c r="IP23" s="35"/>
      <c r="IQ23" s="35"/>
      <c r="IR23" s="35"/>
      <c r="IS23" s="35"/>
      <c r="IT23" s="35"/>
      <c r="IU23" s="35"/>
      <c r="IV23" s="35"/>
      <c r="IW23" s="36"/>
      <c r="IX23" s="36"/>
      <c r="IY23" s="85"/>
      <c r="IZ23" s="35"/>
      <c r="JA23" s="35"/>
      <c r="JB23" s="35"/>
      <c r="JC23" s="35"/>
      <c r="JD23" s="35"/>
      <c r="JE23" s="35"/>
      <c r="JF23" s="36"/>
      <c r="JG23" s="35"/>
      <c r="JH23" s="35"/>
      <c r="JI23" s="35"/>
      <c r="JJ23" s="35"/>
      <c r="JK23" s="35"/>
      <c r="JL23" s="35"/>
      <c r="JM23" s="35"/>
      <c r="JN23" s="35"/>
      <c r="JO23" s="36"/>
      <c r="JP23" s="36"/>
      <c r="JQ23" s="85"/>
      <c r="JR23" s="35"/>
      <c r="JS23" s="35"/>
      <c r="JT23" s="35"/>
      <c r="JU23" s="35"/>
      <c r="JV23" s="35"/>
      <c r="JW23" s="35"/>
      <c r="JX23" s="36"/>
      <c r="JY23" s="35"/>
      <c r="JZ23" s="35"/>
      <c r="KA23" s="35"/>
      <c r="KB23" s="35"/>
      <c r="KC23" s="35"/>
      <c r="KD23" s="35"/>
      <c r="KE23" s="35"/>
      <c r="KF23" s="35"/>
      <c r="KG23" s="36"/>
      <c r="KH23" s="36"/>
      <c r="KI23" s="85"/>
      <c r="KJ23" s="35"/>
      <c r="KK23" s="35"/>
      <c r="KL23" s="35"/>
      <c r="KM23" s="35"/>
      <c r="KN23" s="35"/>
      <c r="KO23" s="35"/>
      <c r="KP23" s="36"/>
      <c r="KQ23" s="35"/>
      <c r="KR23" s="35"/>
      <c r="KS23" s="35"/>
      <c r="KT23" s="35"/>
      <c r="KU23" s="35"/>
      <c r="KV23" s="35"/>
      <c r="KW23" s="35"/>
      <c r="KX23" s="35"/>
      <c r="KY23" s="36"/>
      <c r="KZ23" s="36"/>
      <c r="LA23" s="85"/>
      <c r="LB23" s="35"/>
      <c r="LC23" s="35"/>
      <c r="LD23" s="35"/>
      <c r="LE23" s="35"/>
      <c r="LF23" s="35"/>
      <c r="LG23" s="35"/>
      <c r="LH23" s="36"/>
      <c r="LI23" s="35"/>
      <c r="LJ23" s="35"/>
      <c r="LK23" s="35"/>
      <c r="LL23" s="35"/>
      <c r="LM23" s="35"/>
      <c r="LN23" s="35"/>
      <c r="LO23" s="35"/>
      <c r="LP23" s="35"/>
      <c r="LQ23" s="36"/>
      <c r="LR23" s="36"/>
      <c r="LS23" s="85"/>
      <c r="LT23" s="35"/>
      <c r="LU23" s="35"/>
      <c r="LV23" s="35"/>
      <c r="LW23" s="35"/>
      <c r="LX23" s="35"/>
      <c r="LY23" s="35"/>
      <c r="LZ23" s="36"/>
      <c r="MA23" s="35"/>
      <c r="MB23" s="35"/>
      <c r="MC23" s="35"/>
      <c r="MD23" s="35"/>
      <c r="ME23" s="35"/>
      <c r="MF23" s="35"/>
      <c r="MG23" s="35"/>
      <c r="MH23" s="35"/>
      <c r="MI23" s="36"/>
      <c r="MJ23" s="36"/>
      <c r="MK23" s="85"/>
      <c r="ML23" s="35"/>
      <c r="MM23" s="35"/>
      <c r="MN23" s="35"/>
      <c r="MO23" s="35"/>
      <c r="MP23" s="35"/>
      <c r="MQ23" s="35"/>
      <c r="MR23" s="36"/>
      <c r="MS23" s="35"/>
      <c r="MT23" s="35"/>
      <c r="MU23" s="35"/>
      <c r="MV23" s="35"/>
      <c r="MW23" s="35"/>
      <c r="MX23" s="35"/>
      <c r="MY23" s="35"/>
      <c r="MZ23" s="35"/>
      <c r="NA23" s="36"/>
      <c r="NB23" s="36"/>
      <c r="NC23" s="85"/>
      <c r="ND23" s="35"/>
      <c r="NE23" s="35">
        <v>810000</v>
      </c>
      <c r="NF23" s="35">
        <v>386600</v>
      </c>
      <c r="NG23" s="35">
        <v>423400</v>
      </c>
      <c r="NH23" s="35">
        <v>386600</v>
      </c>
      <c r="NI23" s="35"/>
      <c r="NJ23" s="36"/>
      <c r="NK23" s="35">
        <v>810000</v>
      </c>
      <c r="NL23" s="35">
        <v>386600</v>
      </c>
      <c r="NM23" s="35"/>
      <c r="NN23" s="35">
        <v>423400</v>
      </c>
      <c r="NO23" s="35">
        <v>52.271599999999999</v>
      </c>
      <c r="NP23" s="35"/>
      <c r="NQ23" s="35"/>
      <c r="NR23" s="35">
        <v>386600</v>
      </c>
      <c r="NS23" s="36"/>
      <c r="NT23" s="36">
        <v>386600</v>
      </c>
      <c r="NU23" s="85">
        <v>386600</v>
      </c>
      <c r="NV23" s="35"/>
      <c r="NW23" s="35"/>
      <c r="NX23" s="35"/>
      <c r="NY23" s="35"/>
      <c r="NZ23" s="35"/>
      <c r="OA23" s="35"/>
      <c r="OB23" s="36"/>
      <c r="OC23" s="35"/>
      <c r="OD23" s="35"/>
      <c r="OE23" s="35"/>
      <c r="OF23" s="35"/>
      <c r="OG23" s="35"/>
      <c r="OH23" s="35"/>
      <c r="OI23" s="35"/>
      <c r="OJ23" s="35"/>
      <c r="OK23" s="36"/>
      <c r="OL23" s="36"/>
      <c r="OM23" s="85"/>
      <c r="ON23" s="35"/>
      <c r="OO23" s="35"/>
      <c r="OP23" s="35"/>
      <c r="OQ23" s="35"/>
      <c r="OR23" s="35"/>
      <c r="OS23" s="35">
        <v>720402.34</v>
      </c>
      <c r="OT23" s="36"/>
      <c r="OU23" s="35"/>
      <c r="OV23" s="35"/>
      <c r="OW23" s="35"/>
      <c r="OX23" s="35"/>
      <c r="OY23" s="35"/>
      <c r="OZ23" s="35">
        <v>720402.34</v>
      </c>
      <c r="PA23" s="35"/>
      <c r="PB23" s="35"/>
      <c r="PC23" s="36"/>
      <c r="PD23" s="36"/>
      <c r="PE23" s="85"/>
      <c r="PF23" s="35"/>
      <c r="PG23" s="35"/>
      <c r="PH23" s="35"/>
      <c r="PI23" s="35"/>
      <c r="PJ23" s="35"/>
      <c r="PK23" s="35"/>
      <c r="PL23" s="36"/>
      <c r="PM23" s="35"/>
      <c r="PN23" s="35"/>
      <c r="PO23" s="35"/>
      <c r="PP23" s="35"/>
      <c r="PQ23" s="35"/>
      <c r="PR23" s="35"/>
      <c r="PS23" s="35"/>
      <c r="PT23" s="35"/>
      <c r="PU23" s="36"/>
      <c r="PV23" s="36"/>
      <c r="PW23" s="85"/>
      <c r="PX23" s="35"/>
      <c r="PY23" s="35"/>
      <c r="PZ23" s="35"/>
      <c r="QA23" s="35"/>
      <c r="QB23" s="35"/>
      <c r="QC23" s="35"/>
      <c r="QD23" s="36"/>
      <c r="QE23" s="35"/>
      <c r="QF23" s="35"/>
      <c r="QG23" s="35"/>
      <c r="QH23" s="35"/>
      <c r="QI23" s="35"/>
      <c r="QJ23" s="35"/>
      <c r="QK23" s="35"/>
      <c r="QL23" s="35"/>
      <c r="QM23" s="36"/>
      <c r="QN23" s="36"/>
      <c r="QO23" s="85"/>
      <c r="QP23" s="35"/>
      <c r="QQ23" s="35"/>
      <c r="QR23" s="35"/>
      <c r="QS23" s="35"/>
      <c r="QT23" s="35"/>
      <c r="QU23" s="35"/>
      <c r="QV23" s="36"/>
      <c r="QW23" s="35"/>
      <c r="QX23" s="35"/>
      <c r="QY23" s="35"/>
      <c r="QZ23" s="35"/>
      <c r="RA23" s="35"/>
      <c r="RB23" s="35"/>
      <c r="RC23" s="35"/>
      <c r="RD23" s="35"/>
      <c r="RE23" s="36"/>
      <c r="RF23" s="36"/>
      <c r="RG23" s="85"/>
      <c r="RH23" s="35"/>
      <c r="RI23" s="35"/>
      <c r="RJ23" s="35"/>
      <c r="RK23" s="35"/>
      <c r="RL23" s="35"/>
      <c r="RM23" s="35">
        <v>65137.7</v>
      </c>
      <c r="RN23" s="36"/>
      <c r="RO23" s="35"/>
      <c r="RP23" s="35"/>
      <c r="RQ23" s="35"/>
      <c r="RR23" s="35"/>
      <c r="RS23" s="35"/>
      <c r="RT23" s="35">
        <v>65137.7</v>
      </c>
      <c r="RU23" s="35"/>
      <c r="RV23" s="35"/>
      <c r="RW23" s="36"/>
      <c r="RX23" s="36"/>
      <c r="RY23" s="85"/>
      <c r="RZ23" s="35"/>
      <c r="SA23" s="35"/>
      <c r="SB23" s="35"/>
      <c r="SC23" s="35"/>
      <c r="SD23" s="35"/>
      <c r="SE23" s="35"/>
      <c r="SF23" s="36"/>
      <c r="SG23" s="35"/>
      <c r="SH23" s="35"/>
      <c r="SI23" s="35"/>
      <c r="SJ23" s="35"/>
      <c r="SK23" s="35"/>
      <c r="SL23" s="35"/>
      <c r="SM23" s="35"/>
      <c r="SN23" s="35"/>
      <c r="SO23" s="36"/>
      <c r="SP23" s="36"/>
      <c r="SQ23" s="85"/>
      <c r="SR23" s="35"/>
      <c r="SS23" s="35"/>
      <c r="ST23" s="35"/>
      <c r="SU23" s="35"/>
      <c r="SV23" s="35"/>
      <c r="SW23" s="35"/>
      <c r="SX23" s="36"/>
      <c r="SY23" s="35"/>
      <c r="SZ23" s="35"/>
      <c r="TA23" s="35"/>
      <c r="TB23" s="35"/>
      <c r="TC23" s="35"/>
      <c r="TD23" s="35"/>
      <c r="TE23" s="35"/>
      <c r="TF23" s="35"/>
      <c r="TG23" s="36"/>
      <c r="TH23" s="36"/>
      <c r="TI23" s="85"/>
      <c r="TJ23" s="35"/>
      <c r="TK23" s="35"/>
      <c r="TL23" s="35"/>
      <c r="TM23" s="35"/>
      <c r="TN23" s="35"/>
      <c r="TO23" s="35"/>
      <c r="TP23" s="36"/>
      <c r="TQ23" s="35"/>
      <c r="TR23" s="35"/>
      <c r="TS23" s="35"/>
      <c r="TT23" s="35"/>
      <c r="TU23" s="35"/>
      <c r="TV23" s="35"/>
      <c r="TW23" s="35"/>
      <c r="TX23" s="35"/>
      <c r="TY23" s="36"/>
      <c r="TZ23" s="36"/>
      <c r="UA23" s="85"/>
      <c r="UB23" s="35"/>
      <c r="UC23" s="35"/>
      <c r="UD23" s="35"/>
      <c r="UE23" s="35"/>
      <c r="UF23" s="35"/>
      <c r="UG23" s="35"/>
      <c r="UH23" s="36"/>
      <c r="UI23" s="35"/>
      <c r="UJ23" s="35"/>
      <c r="UK23" s="35"/>
      <c r="UL23" s="35"/>
      <c r="UM23" s="35"/>
      <c r="UN23" s="35"/>
      <c r="UO23" s="35"/>
      <c r="UP23" s="35"/>
      <c r="UQ23" s="36"/>
      <c r="UR23" s="36"/>
      <c r="US23" s="85"/>
    </row>
    <row r="24" spans="1:565" x14ac:dyDescent="0.3">
      <c r="A24" s="8" t="s">
        <v>29</v>
      </c>
      <c r="B24" s="169" t="s">
        <v>30</v>
      </c>
      <c r="C24" s="13" t="s">
        <v>31</v>
      </c>
      <c r="F24" s="36">
        <v>3950799400</v>
      </c>
      <c r="G24" s="35"/>
      <c r="H24" s="35"/>
      <c r="I24" s="35">
        <v>54169081</v>
      </c>
      <c r="J24" s="35">
        <v>47127100</v>
      </c>
      <c r="K24" s="35">
        <v>7041981</v>
      </c>
      <c r="L24" s="35">
        <v>47126765.07</v>
      </c>
      <c r="M24" s="35">
        <v>22275.85</v>
      </c>
      <c r="N24" s="36"/>
      <c r="O24" s="35">
        <v>54168696</v>
      </c>
      <c r="P24" s="35">
        <v>47126765.07</v>
      </c>
      <c r="Q24" s="35"/>
      <c r="R24" s="35">
        <v>7041930.9299999997</v>
      </c>
      <c r="S24" s="35">
        <v>13</v>
      </c>
      <c r="T24" s="35">
        <v>22275.85</v>
      </c>
      <c r="U24" s="35"/>
      <c r="V24" s="35">
        <v>47126765.07</v>
      </c>
      <c r="W24" s="36"/>
      <c r="X24" s="36">
        <v>47127100</v>
      </c>
      <c r="Y24" s="85">
        <v>47127100</v>
      </c>
      <c r="Z24" s="35"/>
      <c r="AA24" s="35">
        <v>97804023</v>
      </c>
      <c r="AB24" s="35">
        <v>85089500</v>
      </c>
      <c r="AC24" s="35">
        <v>12714523</v>
      </c>
      <c r="AD24" s="35">
        <v>85089500</v>
      </c>
      <c r="AE24" s="35"/>
      <c r="AF24" s="36"/>
      <c r="AG24" s="35">
        <v>97804023</v>
      </c>
      <c r="AH24" s="35">
        <v>85089500</v>
      </c>
      <c r="AI24" s="35"/>
      <c r="AJ24" s="35">
        <v>12714523</v>
      </c>
      <c r="AK24" s="35">
        <v>13</v>
      </c>
      <c r="AL24" s="35"/>
      <c r="AM24" s="35"/>
      <c r="AN24" s="35">
        <v>85089500</v>
      </c>
      <c r="AO24" s="36"/>
      <c r="AP24" s="36">
        <v>85089500</v>
      </c>
      <c r="AQ24" s="85">
        <v>85089500</v>
      </c>
      <c r="AR24" s="35"/>
      <c r="AS24" s="35">
        <v>612687817</v>
      </c>
      <c r="AT24" s="35">
        <v>533038400</v>
      </c>
      <c r="AU24" s="35">
        <v>79649417</v>
      </c>
      <c r="AV24" s="35">
        <v>532994900.19</v>
      </c>
      <c r="AW24" s="35">
        <v>2706156.32</v>
      </c>
      <c r="AX24" s="36"/>
      <c r="AY24" s="35">
        <v>612637817</v>
      </c>
      <c r="AZ24" s="35">
        <v>532994900.19</v>
      </c>
      <c r="BA24" s="35"/>
      <c r="BB24" s="35">
        <v>79642916.810000002</v>
      </c>
      <c r="BC24" s="35">
        <v>13</v>
      </c>
      <c r="BD24" s="35">
        <v>2706156.32</v>
      </c>
      <c r="BE24" s="35"/>
      <c r="BF24" s="35">
        <v>532994900.19</v>
      </c>
      <c r="BG24" s="36"/>
      <c r="BH24" s="36">
        <v>533038400</v>
      </c>
      <c r="BI24" s="85">
        <v>533038400</v>
      </c>
      <c r="BJ24" s="35"/>
      <c r="BK24" s="35">
        <v>2367981682</v>
      </c>
      <c r="BL24" s="35">
        <v>2365613700</v>
      </c>
      <c r="BM24" s="35">
        <v>2367982</v>
      </c>
      <c r="BN24" s="35">
        <v>2352933190.0799999</v>
      </c>
      <c r="BO24" s="35"/>
      <c r="BP24" s="36"/>
      <c r="BQ24" s="35">
        <v>2355288479</v>
      </c>
      <c r="BR24" s="35">
        <v>2352933190.0799999</v>
      </c>
      <c r="BS24" s="35"/>
      <c r="BT24" s="35">
        <v>2355288.92</v>
      </c>
      <c r="BU24" s="35">
        <v>0.1</v>
      </c>
      <c r="BV24" s="35"/>
      <c r="BW24" s="35"/>
      <c r="BX24" s="35">
        <v>2352933190.0799999</v>
      </c>
      <c r="BY24" s="36"/>
      <c r="BZ24" s="36">
        <v>2365613700</v>
      </c>
      <c r="CA24" s="85">
        <v>2365613700</v>
      </c>
      <c r="CB24" s="35"/>
      <c r="CC24" s="35">
        <v>56128506</v>
      </c>
      <c r="CD24" s="35">
        <v>48831800</v>
      </c>
      <c r="CE24" s="35">
        <v>7296706</v>
      </c>
      <c r="CF24" s="35">
        <v>40262162.579999998</v>
      </c>
      <c r="CG24" s="35"/>
      <c r="CH24" s="36"/>
      <c r="CI24" s="35">
        <v>46278348</v>
      </c>
      <c r="CJ24" s="35">
        <v>40262162.579999998</v>
      </c>
      <c r="CK24" s="35"/>
      <c r="CL24" s="35">
        <v>6016185.4199999999</v>
      </c>
      <c r="CM24" s="35">
        <v>13</v>
      </c>
      <c r="CN24" s="35"/>
      <c r="CO24" s="35"/>
      <c r="CP24" s="35">
        <v>40262162.579999998</v>
      </c>
      <c r="CQ24" s="36"/>
      <c r="CR24" s="36">
        <v>48831800</v>
      </c>
      <c r="CS24" s="85">
        <v>48831800</v>
      </c>
      <c r="CT24" s="35"/>
      <c r="CU24" s="35"/>
      <c r="CV24" s="35"/>
      <c r="CW24" s="35"/>
      <c r="CX24" s="35"/>
      <c r="CY24" s="35"/>
      <c r="CZ24" s="36"/>
      <c r="DA24" s="35"/>
      <c r="DB24" s="35"/>
      <c r="DC24" s="35"/>
      <c r="DD24" s="35"/>
      <c r="DE24" s="35"/>
      <c r="DF24" s="35"/>
      <c r="DG24" s="35"/>
      <c r="DH24" s="35"/>
      <c r="DI24" s="36"/>
      <c r="DJ24" s="36"/>
      <c r="DK24" s="85"/>
      <c r="DL24" s="35"/>
      <c r="DM24" s="35">
        <v>760529200</v>
      </c>
      <c r="DN24" s="35">
        <v>750529200</v>
      </c>
      <c r="DO24" s="35">
        <v>10000000</v>
      </c>
      <c r="DP24" s="35">
        <v>750529200</v>
      </c>
      <c r="DQ24" s="35"/>
      <c r="DR24" s="36"/>
      <c r="DS24" s="35">
        <v>760529200</v>
      </c>
      <c r="DT24" s="35">
        <v>750529200</v>
      </c>
      <c r="DU24" s="35"/>
      <c r="DV24" s="35">
        <v>10000000</v>
      </c>
      <c r="DW24" s="35">
        <v>1.31487</v>
      </c>
      <c r="DX24" s="35"/>
      <c r="DY24" s="35"/>
      <c r="DZ24" s="35">
        <v>750529200</v>
      </c>
      <c r="EA24" s="36"/>
      <c r="EB24" s="36">
        <v>750529200</v>
      </c>
      <c r="EC24" s="85">
        <v>750529200</v>
      </c>
      <c r="ED24" s="35"/>
      <c r="EE24" s="35">
        <v>41974388</v>
      </c>
      <c r="EF24" s="35">
        <v>41134900</v>
      </c>
      <c r="EG24" s="35">
        <v>839488</v>
      </c>
      <c r="EH24" s="35">
        <v>41134900</v>
      </c>
      <c r="EI24" s="35"/>
      <c r="EJ24" s="36"/>
      <c r="EK24" s="35">
        <v>41974388</v>
      </c>
      <c r="EL24" s="35">
        <v>41134900</v>
      </c>
      <c r="EM24" s="35"/>
      <c r="EN24" s="35">
        <v>839488</v>
      </c>
      <c r="EO24" s="35">
        <v>2</v>
      </c>
      <c r="EP24" s="35"/>
      <c r="EQ24" s="35"/>
      <c r="ER24" s="35">
        <v>41134900</v>
      </c>
      <c r="ES24" s="36"/>
      <c r="ET24" s="36">
        <v>41134900</v>
      </c>
      <c r="EU24" s="85">
        <v>41134900</v>
      </c>
      <c r="EV24" s="35"/>
      <c r="EW24" s="35">
        <v>70966772</v>
      </c>
      <c r="EX24" s="35">
        <v>43131900</v>
      </c>
      <c r="EY24" s="35">
        <v>27834872</v>
      </c>
      <c r="EZ24" s="35">
        <v>42923354.359999999</v>
      </c>
      <c r="FA24" s="35">
        <v>284019.74</v>
      </c>
      <c r="FB24" s="36"/>
      <c r="FC24" s="35">
        <v>70256071.049999997</v>
      </c>
      <c r="FD24" s="35">
        <v>42699952.920000002</v>
      </c>
      <c r="FE24" s="35"/>
      <c r="FF24" s="35">
        <v>27556118.129999999</v>
      </c>
      <c r="FG24" s="35">
        <v>39.2224</v>
      </c>
      <c r="FH24" s="35">
        <v>284019.74</v>
      </c>
      <c r="FI24" s="35">
        <v>223401.44</v>
      </c>
      <c r="FJ24" s="35">
        <v>42923354.359999999</v>
      </c>
      <c r="FK24" s="36"/>
      <c r="FL24" s="36">
        <v>43131900</v>
      </c>
      <c r="FM24" s="85">
        <v>43131900</v>
      </c>
      <c r="FN24" s="35"/>
      <c r="FO24" s="35"/>
      <c r="FP24" s="35"/>
      <c r="FQ24" s="35"/>
      <c r="FR24" s="35"/>
      <c r="FS24" s="35">
        <v>716079.75</v>
      </c>
      <c r="FT24" s="36"/>
      <c r="FU24" s="35"/>
      <c r="FV24" s="35"/>
      <c r="FW24" s="35"/>
      <c r="FX24" s="35"/>
      <c r="FY24" s="35"/>
      <c r="FZ24" s="35">
        <v>716079.75</v>
      </c>
      <c r="GA24" s="35"/>
      <c r="GB24" s="35"/>
      <c r="GC24" s="36"/>
      <c r="GD24" s="36"/>
      <c r="GE24" s="85"/>
      <c r="GF24" s="35"/>
      <c r="GG24" s="35">
        <v>35778046</v>
      </c>
      <c r="GH24" s="35">
        <v>31126900</v>
      </c>
      <c r="GI24" s="35">
        <v>4651146</v>
      </c>
      <c r="GJ24" s="35">
        <v>31126900</v>
      </c>
      <c r="GK24" s="35"/>
      <c r="GL24" s="36"/>
      <c r="GM24" s="35">
        <v>35778046</v>
      </c>
      <c r="GN24" s="35">
        <v>31126900</v>
      </c>
      <c r="GO24" s="35"/>
      <c r="GP24" s="35">
        <v>4651146</v>
      </c>
      <c r="GQ24" s="35">
        <v>13</v>
      </c>
      <c r="GR24" s="35"/>
      <c r="GS24" s="35"/>
      <c r="GT24" s="35">
        <v>31126900</v>
      </c>
      <c r="GU24" s="36"/>
      <c r="GV24" s="36">
        <v>31126900</v>
      </c>
      <c r="GW24" s="85">
        <v>31126900</v>
      </c>
      <c r="GX24" s="35"/>
      <c r="GY24" s="35"/>
      <c r="GZ24" s="35"/>
      <c r="HA24" s="35"/>
      <c r="HB24" s="35"/>
      <c r="HC24" s="35"/>
      <c r="HD24" s="36"/>
      <c r="HE24" s="35"/>
      <c r="HF24" s="35"/>
      <c r="HG24" s="35"/>
      <c r="HH24" s="35"/>
      <c r="HI24" s="35"/>
      <c r="HJ24" s="35"/>
      <c r="HK24" s="35"/>
      <c r="HL24" s="35"/>
      <c r="HM24" s="36"/>
      <c r="HN24" s="36"/>
      <c r="HO24" s="85"/>
      <c r="HP24" s="35"/>
      <c r="HQ24" s="35"/>
      <c r="HR24" s="35"/>
      <c r="HS24" s="35"/>
      <c r="HT24" s="35"/>
      <c r="HU24" s="35"/>
      <c r="HV24" s="36"/>
      <c r="HW24" s="35"/>
      <c r="HX24" s="35"/>
      <c r="HY24" s="35"/>
      <c r="HZ24" s="35"/>
      <c r="IA24" s="35"/>
      <c r="IB24" s="35"/>
      <c r="IC24" s="35"/>
      <c r="ID24" s="35"/>
      <c r="IE24" s="36"/>
      <c r="IF24" s="36"/>
      <c r="IG24" s="85"/>
      <c r="IH24" s="35"/>
      <c r="II24" s="35"/>
      <c r="IJ24" s="35"/>
      <c r="IK24" s="35"/>
      <c r="IL24" s="35"/>
      <c r="IM24" s="35"/>
      <c r="IN24" s="36"/>
      <c r="IO24" s="35"/>
      <c r="IP24" s="35"/>
      <c r="IQ24" s="35"/>
      <c r="IR24" s="35"/>
      <c r="IS24" s="35"/>
      <c r="IT24" s="35"/>
      <c r="IU24" s="35"/>
      <c r="IV24" s="35"/>
      <c r="IW24" s="36"/>
      <c r="IX24" s="36"/>
      <c r="IY24" s="85"/>
      <c r="IZ24" s="35"/>
      <c r="JA24" s="35">
        <v>2702759</v>
      </c>
      <c r="JB24" s="35">
        <v>2351400</v>
      </c>
      <c r="JC24" s="35">
        <v>351359</v>
      </c>
      <c r="JD24" s="35">
        <v>2351400</v>
      </c>
      <c r="JE24" s="35"/>
      <c r="JF24" s="36"/>
      <c r="JG24" s="35">
        <v>2702759</v>
      </c>
      <c r="JH24" s="35">
        <v>2351400</v>
      </c>
      <c r="JI24" s="35"/>
      <c r="JJ24" s="35">
        <v>351359</v>
      </c>
      <c r="JK24" s="35">
        <v>13.00001</v>
      </c>
      <c r="JL24" s="35"/>
      <c r="JM24" s="35"/>
      <c r="JN24" s="35">
        <v>2351400</v>
      </c>
      <c r="JO24" s="36"/>
      <c r="JP24" s="36">
        <v>2351400</v>
      </c>
      <c r="JQ24" s="85">
        <v>2351400</v>
      </c>
      <c r="JR24" s="35"/>
      <c r="JS24" s="35"/>
      <c r="JT24" s="35"/>
      <c r="JU24" s="35"/>
      <c r="JV24" s="35"/>
      <c r="JW24" s="35"/>
      <c r="JX24" s="36"/>
      <c r="JY24" s="35"/>
      <c r="JZ24" s="35"/>
      <c r="KA24" s="35"/>
      <c r="KB24" s="35"/>
      <c r="KC24" s="35"/>
      <c r="KD24" s="35"/>
      <c r="KE24" s="35"/>
      <c r="KF24" s="35"/>
      <c r="KG24" s="36"/>
      <c r="KH24" s="36"/>
      <c r="KI24" s="85"/>
      <c r="KJ24" s="35"/>
      <c r="KK24" s="35">
        <v>5269597</v>
      </c>
      <c r="KL24" s="35">
        <v>2382100</v>
      </c>
      <c r="KM24" s="35">
        <v>2887497</v>
      </c>
      <c r="KN24" s="35">
        <v>2382100</v>
      </c>
      <c r="KO24" s="35"/>
      <c r="KP24" s="36"/>
      <c r="KQ24" s="35">
        <v>5269597</v>
      </c>
      <c r="KR24" s="35">
        <v>2382100</v>
      </c>
      <c r="KS24" s="35"/>
      <c r="KT24" s="35">
        <v>2887497</v>
      </c>
      <c r="KU24" s="35">
        <v>54.795400000000001</v>
      </c>
      <c r="KV24" s="35"/>
      <c r="KW24" s="35"/>
      <c r="KX24" s="35">
        <v>2382100</v>
      </c>
      <c r="KY24" s="36"/>
      <c r="KZ24" s="36">
        <v>2382100</v>
      </c>
      <c r="LA24" s="85">
        <v>2382100</v>
      </c>
      <c r="LB24" s="35"/>
      <c r="LC24" s="35"/>
      <c r="LD24" s="35"/>
      <c r="LE24" s="35"/>
      <c r="LF24" s="35"/>
      <c r="LG24" s="35"/>
      <c r="LH24" s="36"/>
      <c r="LI24" s="35"/>
      <c r="LJ24" s="35"/>
      <c r="LK24" s="35"/>
      <c r="LL24" s="35"/>
      <c r="LM24" s="35"/>
      <c r="LN24" s="35"/>
      <c r="LO24" s="35"/>
      <c r="LP24" s="35"/>
      <c r="LQ24" s="36"/>
      <c r="LR24" s="36"/>
      <c r="LS24" s="85"/>
      <c r="LT24" s="35"/>
      <c r="LU24" s="35"/>
      <c r="LV24" s="35"/>
      <c r="LW24" s="35"/>
      <c r="LX24" s="35"/>
      <c r="LY24" s="35"/>
      <c r="LZ24" s="36"/>
      <c r="MA24" s="35"/>
      <c r="MB24" s="35"/>
      <c r="MC24" s="35"/>
      <c r="MD24" s="35"/>
      <c r="ME24" s="35"/>
      <c r="MF24" s="35"/>
      <c r="MG24" s="35"/>
      <c r="MH24" s="35"/>
      <c r="MI24" s="36"/>
      <c r="MJ24" s="36"/>
      <c r="MK24" s="85"/>
      <c r="ML24" s="35"/>
      <c r="MM24" s="35"/>
      <c r="MN24" s="35"/>
      <c r="MO24" s="35"/>
      <c r="MP24" s="35"/>
      <c r="MQ24" s="35"/>
      <c r="MR24" s="36"/>
      <c r="MS24" s="35"/>
      <c r="MT24" s="35"/>
      <c r="MU24" s="35"/>
      <c r="MV24" s="35"/>
      <c r="MW24" s="35"/>
      <c r="MX24" s="35"/>
      <c r="MY24" s="35"/>
      <c r="MZ24" s="35"/>
      <c r="NA24" s="36"/>
      <c r="NB24" s="36"/>
      <c r="NC24" s="85"/>
      <c r="ND24" s="35"/>
      <c r="NE24" s="35">
        <v>1455003</v>
      </c>
      <c r="NF24" s="35">
        <v>442500</v>
      </c>
      <c r="NG24" s="35">
        <v>1012503</v>
      </c>
      <c r="NH24" s="35">
        <v>442500</v>
      </c>
      <c r="NI24" s="35"/>
      <c r="NJ24" s="36"/>
      <c r="NK24" s="35">
        <v>1455003</v>
      </c>
      <c r="NL24" s="35">
        <v>442500</v>
      </c>
      <c r="NM24" s="35"/>
      <c r="NN24" s="35">
        <v>1012503</v>
      </c>
      <c r="NO24" s="35">
        <v>69.587689999999995</v>
      </c>
      <c r="NP24" s="35"/>
      <c r="NQ24" s="35"/>
      <c r="NR24" s="35">
        <v>442500</v>
      </c>
      <c r="NS24" s="36"/>
      <c r="NT24" s="36">
        <v>442500</v>
      </c>
      <c r="NU24" s="85">
        <v>442500</v>
      </c>
      <c r="NV24" s="35"/>
      <c r="NW24" s="35"/>
      <c r="NX24" s="35"/>
      <c r="NY24" s="35"/>
      <c r="NZ24" s="35"/>
      <c r="OA24" s="35"/>
      <c r="OB24" s="36"/>
      <c r="OC24" s="35"/>
      <c r="OD24" s="35"/>
      <c r="OE24" s="35"/>
      <c r="OF24" s="35"/>
      <c r="OG24" s="35"/>
      <c r="OH24" s="35"/>
      <c r="OI24" s="35"/>
      <c r="OJ24" s="35"/>
      <c r="OK24" s="36"/>
      <c r="OL24" s="36"/>
      <c r="OM24" s="85"/>
      <c r="ON24" s="35"/>
      <c r="OO24" s="35"/>
      <c r="OP24" s="35"/>
      <c r="OQ24" s="35"/>
      <c r="OR24" s="35"/>
      <c r="OS24" s="35">
        <v>1217330.2</v>
      </c>
      <c r="OT24" s="36"/>
      <c r="OU24" s="35"/>
      <c r="OV24" s="35"/>
      <c r="OW24" s="35"/>
      <c r="OX24" s="35"/>
      <c r="OY24" s="35"/>
      <c r="OZ24" s="35">
        <v>1217330.2</v>
      </c>
      <c r="PA24" s="35"/>
      <c r="PB24" s="35"/>
      <c r="PC24" s="36"/>
      <c r="PD24" s="36"/>
      <c r="PE24" s="85"/>
      <c r="PF24" s="35"/>
      <c r="PG24" s="35"/>
      <c r="PH24" s="35"/>
      <c r="PI24" s="35"/>
      <c r="PJ24" s="35"/>
      <c r="PK24" s="35"/>
      <c r="PL24" s="36"/>
      <c r="PM24" s="35"/>
      <c r="PN24" s="35"/>
      <c r="PO24" s="35"/>
      <c r="PP24" s="35"/>
      <c r="PQ24" s="35"/>
      <c r="PR24" s="35"/>
      <c r="PS24" s="35"/>
      <c r="PT24" s="35"/>
      <c r="PU24" s="36"/>
      <c r="PV24" s="36"/>
      <c r="PW24" s="85"/>
      <c r="PX24" s="35"/>
      <c r="PY24" s="35"/>
      <c r="PZ24" s="35"/>
      <c r="QA24" s="35"/>
      <c r="QB24" s="35"/>
      <c r="QC24" s="35"/>
      <c r="QD24" s="36"/>
      <c r="QE24" s="35"/>
      <c r="QF24" s="35"/>
      <c r="QG24" s="35"/>
      <c r="QH24" s="35"/>
      <c r="QI24" s="35"/>
      <c r="QJ24" s="35"/>
      <c r="QK24" s="35"/>
      <c r="QL24" s="35"/>
      <c r="QM24" s="36"/>
      <c r="QN24" s="36"/>
      <c r="QO24" s="85"/>
      <c r="QP24" s="35"/>
      <c r="QQ24" s="35"/>
      <c r="QR24" s="35"/>
      <c r="QS24" s="35"/>
      <c r="QT24" s="35"/>
      <c r="QU24" s="35"/>
      <c r="QV24" s="36"/>
      <c r="QW24" s="35"/>
      <c r="QX24" s="35"/>
      <c r="QY24" s="35"/>
      <c r="QZ24" s="35"/>
      <c r="RA24" s="35"/>
      <c r="RB24" s="35"/>
      <c r="RC24" s="35"/>
      <c r="RD24" s="35"/>
      <c r="RE24" s="36"/>
      <c r="RF24" s="36"/>
      <c r="RG24" s="85"/>
      <c r="RH24" s="35"/>
      <c r="RI24" s="35"/>
      <c r="RJ24" s="35"/>
      <c r="RK24" s="35"/>
      <c r="RL24" s="35"/>
      <c r="RM24" s="35">
        <v>233285.68</v>
      </c>
      <c r="RN24" s="36"/>
      <c r="RO24" s="35"/>
      <c r="RP24" s="35"/>
      <c r="RQ24" s="35"/>
      <c r="RR24" s="35"/>
      <c r="RS24" s="35"/>
      <c r="RT24" s="35">
        <v>233285.68</v>
      </c>
      <c r="RU24" s="35"/>
      <c r="RV24" s="35"/>
      <c r="RW24" s="36"/>
      <c r="RX24" s="36"/>
      <c r="RY24" s="85"/>
      <c r="RZ24" s="35"/>
      <c r="SA24" s="35"/>
      <c r="SB24" s="35"/>
      <c r="SC24" s="35"/>
      <c r="SD24" s="35"/>
      <c r="SE24" s="35"/>
      <c r="SF24" s="36"/>
      <c r="SG24" s="35"/>
      <c r="SH24" s="35"/>
      <c r="SI24" s="35"/>
      <c r="SJ24" s="35"/>
      <c r="SK24" s="35"/>
      <c r="SL24" s="35"/>
      <c r="SM24" s="35"/>
      <c r="SN24" s="35"/>
      <c r="SO24" s="36"/>
      <c r="SP24" s="36"/>
      <c r="SQ24" s="85"/>
      <c r="SR24" s="35"/>
      <c r="SS24" s="35"/>
      <c r="ST24" s="35"/>
      <c r="SU24" s="35"/>
      <c r="SV24" s="35"/>
      <c r="SW24" s="35"/>
      <c r="SX24" s="36"/>
      <c r="SY24" s="35"/>
      <c r="SZ24" s="35"/>
      <c r="TA24" s="35"/>
      <c r="TB24" s="35"/>
      <c r="TC24" s="35"/>
      <c r="TD24" s="35"/>
      <c r="TE24" s="35"/>
      <c r="TF24" s="35"/>
      <c r="TG24" s="36"/>
      <c r="TH24" s="36"/>
      <c r="TI24" s="85"/>
      <c r="TJ24" s="35"/>
      <c r="TK24" s="35"/>
      <c r="TL24" s="35"/>
      <c r="TM24" s="35"/>
      <c r="TN24" s="35"/>
      <c r="TO24" s="35"/>
      <c r="TP24" s="36"/>
      <c r="TQ24" s="35"/>
      <c r="TR24" s="35"/>
      <c r="TS24" s="35"/>
      <c r="TT24" s="35"/>
      <c r="TU24" s="35"/>
      <c r="TV24" s="35"/>
      <c r="TW24" s="35"/>
      <c r="TX24" s="35"/>
      <c r="TY24" s="36"/>
      <c r="TZ24" s="36"/>
      <c r="UA24" s="85"/>
      <c r="UB24" s="35"/>
      <c r="UC24" s="35"/>
      <c r="UD24" s="35"/>
      <c r="UE24" s="35"/>
      <c r="UF24" s="35"/>
      <c r="UG24" s="35"/>
      <c r="UH24" s="36"/>
      <c r="UI24" s="35"/>
      <c r="UJ24" s="35"/>
      <c r="UK24" s="35"/>
      <c r="UL24" s="35"/>
      <c r="UM24" s="35"/>
      <c r="UN24" s="35"/>
      <c r="UO24" s="35"/>
      <c r="UP24" s="35"/>
      <c r="UQ24" s="36"/>
      <c r="UR24" s="36"/>
      <c r="US24" s="85"/>
    </row>
    <row r="25" spans="1:565" x14ac:dyDescent="0.3">
      <c r="A25" s="8" t="s">
        <v>32</v>
      </c>
      <c r="B25" s="168" t="s">
        <v>33</v>
      </c>
      <c r="C25" s="13" t="s">
        <v>34</v>
      </c>
      <c r="F25" s="36">
        <v>3156702400</v>
      </c>
      <c r="G25" s="35"/>
      <c r="H25" s="35"/>
      <c r="I25" s="35">
        <v>33604583.329999998</v>
      </c>
      <c r="J25" s="35">
        <v>24195300</v>
      </c>
      <c r="K25" s="35">
        <v>9409283.3300000001</v>
      </c>
      <c r="L25" s="35">
        <v>24195299.98</v>
      </c>
      <c r="M25" s="35"/>
      <c r="N25" s="36"/>
      <c r="O25" s="35">
        <v>33604583.310000002</v>
      </c>
      <c r="P25" s="35">
        <v>24195299.98</v>
      </c>
      <c r="Q25" s="35"/>
      <c r="R25" s="35">
        <v>9409283.3300000001</v>
      </c>
      <c r="S25" s="35">
        <v>28</v>
      </c>
      <c r="T25" s="35"/>
      <c r="U25" s="35"/>
      <c r="V25" s="35">
        <v>24195299.98</v>
      </c>
      <c r="W25" s="36"/>
      <c r="X25" s="36">
        <v>24195300</v>
      </c>
      <c r="Y25" s="85">
        <v>24195300</v>
      </c>
      <c r="Z25" s="35"/>
      <c r="AA25" s="35">
        <v>108996111.11</v>
      </c>
      <c r="AB25" s="35">
        <v>78477200</v>
      </c>
      <c r="AC25" s="35">
        <v>30518911.109999999</v>
      </c>
      <c r="AD25" s="35">
        <v>78477200</v>
      </c>
      <c r="AE25" s="35"/>
      <c r="AF25" s="36"/>
      <c r="AG25" s="35">
        <v>108996111.08</v>
      </c>
      <c r="AH25" s="35">
        <v>78477200</v>
      </c>
      <c r="AI25" s="35"/>
      <c r="AJ25" s="35">
        <v>30518911.079999998</v>
      </c>
      <c r="AK25" s="35">
        <v>28</v>
      </c>
      <c r="AL25" s="35"/>
      <c r="AM25" s="35"/>
      <c r="AN25" s="35">
        <v>78477200</v>
      </c>
      <c r="AO25" s="36"/>
      <c r="AP25" s="36">
        <v>78477200</v>
      </c>
      <c r="AQ25" s="85">
        <v>78477200</v>
      </c>
      <c r="AR25" s="35"/>
      <c r="AS25" s="35">
        <v>890870416.65999997</v>
      </c>
      <c r="AT25" s="35">
        <v>641426700</v>
      </c>
      <c r="AU25" s="35">
        <v>249443716.66</v>
      </c>
      <c r="AV25" s="35">
        <v>641348228.70000005</v>
      </c>
      <c r="AW25" s="35"/>
      <c r="AX25" s="36"/>
      <c r="AY25" s="35">
        <v>890761428.70000005</v>
      </c>
      <c r="AZ25" s="35">
        <v>641348228.70000005</v>
      </c>
      <c r="BA25" s="35"/>
      <c r="BB25" s="35">
        <v>249413200</v>
      </c>
      <c r="BC25" s="35">
        <v>28</v>
      </c>
      <c r="BD25" s="35"/>
      <c r="BE25" s="35"/>
      <c r="BF25" s="35">
        <v>641348228.70000005</v>
      </c>
      <c r="BG25" s="36"/>
      <c r="BH25" s="36">
        <v>641426700</v>
      </c>
      <c r="BI25" s="85">
        <v>641426700</v>
      </c>
      <c r="BJ25" s="35"/>
      <c r="BK25" s="35">
        <v>2157894736.8400002</v>
      </c>
      <c r="BL25" s="35">
        <v>2050000000</v>
      </c>
      <c r="BM25" s="35">
        <v>107894736.84</v>
      </c>
      <c r="BN25" s="35">
        <v>2050000000</v>
      </c>
      <c r="BO25" s="35"/>
      <c r="BP25" s="36"/>
      <c r="BQ25" s="35">
        <v>2157894736.5999999</v>
      </c>
      <c r="BR25" s="35">
        <v>2049999999.77</v>
      </c>
      <c r="BS25" s="35"/>
      <c r="BT25" s="35">
        <v>107894736.83</v>
      </c>
      <c r="BU25" s="35">
        <v>5</v>
      </c>
      <c r="BV25" s="35"/>
      <c r="BW25" s="35">
        <v>0.23</v>
      </c>
      <c r="BX25" s="35">
        <v>2050000000</v>
      </c>
      <c r="BY25" s="36"/>
      <c r="BZ25" s="36">
        <v>2050000000</v>
      </c>
      <c r="CA25" s="85">
        <v>2050000000</v>
      </c>
      <c r="CB25" s="35"/>
      <c r="CC25" s="35">
        <v>93464722.219999999</v>
      </c>
      <c r="CD25" s="35">
        <v>67294600</v>
      </c>
      <c r="CE25" s="35">
        <v>26170122.219999999</v>
      </c>
      <c r="CF25" s="35">
        <v>67294600</v>
      </c>
      <c r="CG25" s="35"/>
      <c r="CH25" s="36"/>
      <c r="CI25" s="35">
        <v>93464722.219999999</v>
      </c>
      <c r="CJ25" s="35">
        <v>67294600</v>
      </c>
      <c r="CK25" s="35"/>
      <c r="CL25" s="35">
        <v>26170122.219999999</v>
      </c>
      <c r="CM25" s="35">
        <v>28</v>
      </c>
      <c r="CN25" s="35"/>
      <c r="CO25" s="35"/>
      <c r="CP25" s="35">
        <v>67294600</v>
      </c>
      <c r="CQ25" s="36"/>
      <c r="CR25" s="36">
        <v>67294600</v>
      </c>
      <c r="CS25" s="85">
        <v>67294600</v>
      </c>
      <c r="CT25" s="35"/>
      <c r="CU25" s="35"/>
      <c r="CV25" s="35"/>
      <c r="CW25" s="35"/>
      <c r="CX25" s="35"/>
      <c r="CY25" s="35"/>
      <c r="CZ25" s="36"/>
      <c r="DA25" s="35"/>
      <c r="DB25" s="35"/>
      <c r="DC25" s="35"/>
      <c r="DD25" s="35"/>
      <c r="DE25" s="35"/>
      <c r="DF25" s="35"/>
      <c r="DG25" s="35"/>
      <c r="DH25" s="35"/>
      <c r="DI25" s="36"/>
      <c r="DJ25" s="36"/>
      <c r="DK25" s="85"/>
      <c r="DL25" s="35"/>
      <c r="DM25" s="35">
        <v>39823200</v>
      </c>
      <c r="DN25" s="35">
        <v>37823200</v>
      </c>
      <c r="DO25" s="35">
        <v>2000000</v>
      </c>
      <c r="DP25" s="35">
        <v>37076823.469999999</v>
      </c>
      <c r="DQ25" s="35"/>
      <c r="DR25" s="36"/>
      <c r="DS25" s="35">
        <v>39037431.380000003</v>
      </c>
      <c r="DT25" s="35">
        <v>37076823.469999999</v>
      </c>
      <c r="DU25" s="35"/>
      <c r="DV25" s="35">
        <v>1960607.91</v>
      </c>
      <c r="DW25" s="35">
        <v>5.0223800000000001</v>
      </c>
      <c r="DX25" s="35"/>
      <c r="DY25" s="35"/>
      <c r="DZ25" s="35">
        <v>37076823.469999999</v>
      </c>
      <c r="EA25" s="36"/>
      <c r="EB25" s="36">
        <v>37823200</v>
      </c>
      <c r="EC25" s="85">
        <v>37823200</v>
      </c>
      <c r="ED25" s="35"/>
      <c r="EE25" s="35">
        <v>123788495.42</v>
      </c>
      <c r="EF25" s="35">
        <v>114820200</v>
      </c>
      <c r="EG25" s="35">
        <v>8968295.4199999999</v>
      </c>
      <c r="EH25" s="35">
        <v>114820200</v>
      </c>
      <c r="EI25" s="35"/>
      <c r="EJ25" s="36"/>
      <c r="EK25" s="35">
        <v>123788495.42</v>
      </c>
      <c r="EL25" s="35">
        <v>114820200</v>
      </c>
      <c r="EM25" s="35"/>
      <c r="EN25" s="35">
        <v>8968295.4199999999</v>
      </c>
      <c r="EO25" s="35">
        <v>7.2448499999999996</v>
      </c>
      <c r="EP25" s="35"/>
      <c r="EQ25" s="35"/>
      <c r="ER25" s="35">
        <v>114820200</v>
      </c>
      <c r="ES25" s="36"/>
      <c r="ET25" s="36">
        <v>114820200</v>
      </c>
      <c r="EU25" s="85">
        <v>114820200</v>
      </c>
      <c r="EV25" s="35"/>
      <c r="EW25" s="35">
        <v>117319583.33</v>
      </c>
      <c r="EX25" s="35">
        <v>84470100</v>
      </c>
      <c r="EY25" s="35">
        <v>32849483.329999998</v>
      </c>
      <c r="EZ25" s="35">
        <v>84470099.939999998</v>
      </c>
      <c r="FA25" s="35"/>
      <c r="FB25" s="36"/>
      <c r="FC25" s="35">
        <v>117319583.25</v>
      </c>
      <c r="FD25" s="35">
        <v>84470099.939999998</v>
      </c>
      <c r="FE25" s="35"/>
      <c r="FF25" s="35">
        <v>32849483.309999999</v>
      </c>
      <c r="FG25" s="35">
        <v>28</v>
      </c>
      <c r="FH25" s="35"/>
      <c r="FI25" s="35"/>
      <c r="FJ25" s="35">
        <v>84470099.939999998</v>
      </c>
      <c r="FK25" s="36"/>
      <c r="FL25" s="36">
        <v>84470100</v>
      </c>
      <c r="FM25" s="85">
        <v>84470100</v>
      </c>
      <c r="FN25" s="35"/>
      <c r="FO25" s="35"/>
      <c r="FP25" s="35"/>
      <c r="FQ25" s="35"/>
      <c r="FR25" s="35"/>
      <c r="FS25" s="35"/>
      <c r="FT25" s="36"/>
      <c r="FU25" s="35"/>
      <c r="FV25" s="35"/>
      <c r="FW25" s="35"/>
      <c r="FX25" s="35"/>
      <c r="FY25" s="35"/>
      <c r="FZ25" s="35"/>
      <c r="GA25" s="35"/>
      <c r="GB25" s="35"/>
      <c r="GC25" s="36"/>
      <c r="GD25" s="36"/>
      <c r="GE25" s="85"/>
      <c r="GF25" s="35"/>
      <c r="GG25" s="35">
        <v>31375000</v>
      </c>
      <c r="GH25" s="35">
        <v>22590000</v>
      </c>
      <c r="GI25" s="35">
        <v>8785000</v>
      </c>
      <c r="GJ25" s="35">
        <v>22589982.640000001</v>
      </c>
      <c r="GK25" s="35"/>
      <c r="GL25" s="36"/>
      <c r="GM25" s="35">
        <v>31374975.890000001</v>
      </c>
      <c r="GN25" s="35">
        <v>22589982.640000001</v>
      </c>
      <c r="GO25" s="35"/>
      <c r="GP25" s="35">
        <v>8784993.25</v>
      </c>
      <c r="GQ25" s="35">
        <v>28</v>
      </c>
      <c r="GR25" s="35"/>
      <c r="GS25" s="35"/>
      <c r="GT25" s="35">
        <v>22589982.640000001</v>
      </c>
      <c r="GU25" s="36"/>
      <c r="GV25" s="36">
        <v>22590000</v>
      </c>
      <c r="GW25" s="85">
        <v>22590000</v>
      </c>
      <c r="GX25" s="35"/>
      <c r="GY25" s="35"/>
      <c r="GZ25" s="35"/>
      <c r="HA25" s="35"/>
      <c r="HB25" s="35"/>
      <c r="HC25" s="35"/>
      <c r="HD25" s="36"/>
      <c r="HE25" s="35"/>
      <c r="HF25" s="35"/>
      <c r="HG25" s="35"/>
      <c r="HH25" s="35"/>
      <c r="HI25" s="35"/>
      <c r="HJ25" s="35"/>
      <c r="HK25" s="35"/>
      <c r="HL25" s="35"/>
      <c r="HM25" s="36"/>
      <c r="HN25" s="36"/>
      <c r="HO25" s="85"/>
      <c r="HP25" s="35"/>
      <c r="HQ25" s="35"/>
      <c r="HR25" s="35"/>
      <c r="HS25" s="35"/>
      <c r="HT25" s="35"/>
      <c r="HU25" s="35"/>
      <c r="HV25" s="36"/>
      <c r="HW25" s="35"/>
      <c r="HX25" s="35"/>
      <c r="HY25" s="35"/>
      <c r="HZ25" s="35"/>
      <c r="IA25" s="35"/>
      <c r="IB25" s="35"/>
      <c r="IC25" s="35"/>
      <c r="ID25" s="35"/>
      <c r="IE25" s="36"/>
      <c r="IF25" s="36"/>
      <c r="IG25" s="85"/>
      <c r="IH25" s="35"/>
      <c r="II25" s="35"/>
      <c r="IJ25" s="35"/>
      <c r="IK25" s="35"/>
      <c r="IL25" s="35"/>
      <c r="IM25" s="35"/>
      <c r="IN25" s="36"/>
      <c r="IO25" s="35"/>
      <c r="IP25" s="35"/>
      <c r="IQ25" s="35"/>
      <c r="IR25" s="35"/>
      <c r="IS25" s="35"/>
      <c r="IT25" s="35"/>
      <c r="IU25" s="35"/>
      <c r="IV25" s="35"/>
      <c r="IW25" s="36"/>
      <c r="IX25" s="36"/>
      <c r="IY25" s="85"/>
      <c r="IZ25" s="35"/>
      <c r="JA25" s="35">
        <v>4405277.78</v>
      </c>
      <c r="JB25" s="35">
        <v>3171800</v>
      </c>
      <c r="JC25" s="35">
        <v>1233477.78</v>
      </c>
      <c r="JD25" s="35">
        <v>3171800</v>
      </c>
      <c r="JE25" s="35"/>
      <c r="JF25" s="36"/>
      <c r="JG25" s="35">
        <v>4405277.78</v>
      </c>
      <c r="JH25" s="35">
        <v>3171800</v>
      </c>
      <c r="JI25" s="35"/>
      <c r="JJ25" s="35">
        <v>1233477.78</v>
      </c>
      <c r="JK25" s="35">
        <v>28</v>
      </c>
      <c r="JL25" s="35"/>
      <c r="JM25" s="35"/>
      <c r="JN25" s="35">
        <v>3171800</v>
      </c>
      <c r="JO25" s="36"/>
      <c r="JP25" s="36">
        <v>3171800</v>
      </c>
      <c r="JQ25" s="85">
        <v>3171800</v>
      </c>
      <c r="JR25" s="35"/>
      <c r="JS25" s="35"/>
      <c r="JT25" s="35"/>
      <c r="JU25" s="35"/>
      <c r="JV25" s="35"/>
      <c r="JW25" s="35"/>
      <c r="JX25" s="36"/>
      <c r="JY25" s="35"/>
      <c r="JZ25" s="35"/>
      <c r="KA25" s="35"/>
      <c r="KB25" s="35"/>
      <c r="KC25" s="35"/>
      <c r="KD25" s="35"/>
      <c r="KE25" s="35"/>
      <c r="KF25" s="35"/>
      <c r="KG25" s="36"/>
      <c r="KH25" s="36"/>
      <c r="KI25" s="85"/>
      <c r="KJ25" s="35"/>
      <c r="KK25" s="35">
        <v>2036111.11</v>
      </c>
      <c r="KL25" s="35">
        <v>1466000</v>
      </c>
      <c r="KM25" s="35">
        <v>570111.11</v>
      </c>
      <c r="KN25" s="35">
        <v>1466000</v>
      </c>
      <c r="KO25" s="35"/>
      <c r="KP25" s="36"/>
      <c r="KQ25" s="35">
        <v>2036111.11</v>
      </c>
      <c r="KR25" s="35">
        <v>1466000</v>
      </c>
      <c r="KS25" s="35"/>
      <c r="KT25" s="35">
        <v>570111.11</v>
      </c>
      <c r="KU25" s="35">
        <v>28</v>
      </c>
      <c r="KV25" s="35"/>
      <c r="KW25" s="35"/>
      <c r="KX25" s="35">
        <v>1466000</v>
      </c>
      <c r="KY25" s="36"/>
      <c r="KZ25" s="36">
        <v>1466000</v>
      </c>
      <c r="LA25" s="85">
        <v>1466000</v>
      </c>
      <c r="LB25" s="35"/>
      <c r="LC25" s="35"/>
      <c r="LD25" s="35"/>
      <c r="LE25" s="35"/>
      <c r="LF25" s="35"/>
      <c r="LG25" s="35"/>
      <c r="LH25" s="36"/>
      <c r="LI25" s="35"/>
      <c r="LJ25" s="35"/>
      <c r="LK25" s="35"/>
      <c r="LL25" s="35"/>
      <c r="LM25" s="35"/>
      <c r="LN25" s="35"/>
      <c r="LO25" s="35"/>
      <c r="LP25" s="35"/>
      <c r="LQ25" s="36"/>
      <c r="LR25" s="36"/>
      <c r="LS25" s="85"/>
      <c r="LT25" s="35"/>
      <c r="LU25" s="35">
        <v>40664583.329999998</v>
      </c>
      <c r="LV25" s="35">
        <v>29278500</v>
      </c>
      <c r="LW25" s="35">
        <v>11386083.33</v>
      </c>
      <c r="LX25" s="35">
        <v>29278499.989999998</v>
      </c>
      <c r="LY25" s="35">
        <v>2864560</v>
      </c>
      <c r="LZ25" s="36"/>
      <c r="MA25" s="35">
        <v>40664583.32</v>
      </c>
      <c r="MB25" s="35">
        <v>29278499.989999998</v>
      </c>
      <c r="MC25" s="35"/>
      <c r="MD25" s="35">
        <v>11386083.33</v>
      </c>
      <c r="ME25" s="35">
        <v>28</v>
      </c>
      <c r="MF25" s="35">
        <v>2864560</v>
      </c>
      <c r="MG25" s="35"/>
      <c r="MH25" s="35">
        <v>29278499.989999998</v>
      </c>
      <c r="MI25" s="36"/>
      <c r="MJ25" s="36">
        <v>29278500</v>
      </c>
      <c r="MK25" s="85">
        <v>29278500</v>
      </c>
      <c r="ML25" s="35"/>
      <c r="MM25" s="35"/>
      <c r="MN25" s="35"/>
      <c r="MO25" s="35"/>
      <c r="MP25" s="35"/>
      <c r="MQ25" s="35"/>
      <c r="MR25" s="36"/>
      <c r="MS25" s="35"/>
      <c r="MT25" s="35"/>
      <c r="MU25" s="35"/>
      <c r="MV25" s="35"/>
      <c r="MW25" s="35"/>
      <c r="MX25" s="35"/>
      <c r="MY25" s="35"/>
      <c r="MZ25" s="35"/>
      <c r="NA25" s="36"/>
      <c r="NB25" s="36"/>
      <c r="NC25" s="85"/>
      <c r="ND25" s="35"/>
      <c r="NE25" s="35">
        <v>2345555.56</v>
      </c>
      <c r="NF25" s="35">
        <v>1688800</v>
      </c>
      <c r="NG25" s="35">
        <v>656755.56000000006</v>
      </c>
      <c r="NH25" s="35">
        <v>1688800</v>
      </c>
      <c r="NI25" s="35"/>
      <c r="NJ25" s="36"/>
      <c r="NK25" s="35">
        <v>2345555.56</v>
      </c>
      <c r="NL25" s="35">
        <v>1688800</v>
      </c>
      <c r="NM25" s="35"/>
      <c r="NN25" s="35">
        <v>656755.56000000006</v>
      </c>
      <c r="NO25" s="35">
        <v>28</v>
      </c>
      <c r="NP25" s="35"/>
      <c r="NQ25" s="35"/>
      <c r="NR25" s="35">
        <v>1688800</v>
      </c>
      <c r="NS25" s="36"/>
      <c r="NT25" s="36">
        <v>1688800</v>
      </c>
      <c r="NU25" s="85">
        <v>1688800</v>
      </c>
      <c r="NV25" s="35"/>
      <c r="NW25" s="35"/>
      <c r="NX25" s="35"/>
      <c r="NY25" s="35"/>
      <c r="NZ25" s="35"/>
      <c r="OA25" s="35"/>
      <c r="OB25" s="36"/>
      <c r="OC25" s="35"/>
      <c r="OD25" s="35"/>
      <c r="OE25" s="35"/>
      <c r="OF25" s="35"/>
      <c r="OG25" s="35"/>
      <c r="OH25" s="35"/>
      <c r="OI25" s="35"/>
      <c r="OJ25" s="35"/>
      <c r="OK25" s="36"/>
      <c r="OL25" s="36"/>
      <c r="OM25" s="85"/>
      <c r="ON25" s="35"/>
      <c r="OO25" s="35"/>
      <c r="OP25" s="35"/>
      <c r="OQ25" s="35"/>
      <c r="OR25" s="35"/>
      <c r="OS25" s="35">
        <v>2045150.67</v>
      </c>
      <c r="OT25" s="36"/>
      <c r="OU25" s="35"/>
      <c r="OV25" s="35"/>
      <c r="OW25" s="35"/>
      <c r="OX25" s="35"/>
      <c r="OY25" s="35"/>
      <c r="OZ25" s="35">
        <v>2045150.67</v>
      </c>
      <c r="PA25" s="35"/>
      <c r="PB25" s="35"/>
      <c r="PC25" s="36"/>
      <c r="PD25" s="36"/>
      <c r="PE25" s="85"/>
      <c r="PF25" s="35"/>
      <c r="PG25" s="35"/>
      <c r="PH25" s="35"/>
      <c r="PI25" s="35"/>
      <c r="PJ25" s="35"/>
      <c r="PK25" s="35"/>
      <c r="PL25" s="36"/>
      <c r="PM25" s="35"/>
      <c r="PN25" s="35"/>
      <c r="PO25" s="35"/>
      <c r="PP25" s="35"/>
      <c r="PQ25" s="35"/>
      <c r="PR25" s="35"/>
      <c r="PS25" s="35"/>
      <c r="PT25" s="35"/>
      <c r="PU25" s="36"/>
      <c r="PV25" s="36"/>
      <c r="PW25" s="85"/>
      <c r="PX25" s="35"/>
      <c r="PY25" s="35"/>
      <c r="PZ25" s="35"/>
      <c r="QA25" s="35"/>
      <c r="QB25" s="35"/>
      <c r="QC25" s="35"/>
      <c r="QD25" s="36"/>
      <c r="QE25" s="35"/>
      <c r="QF25" s="35"/>
      <c r="QG25" s="35"/>
      <c r="QH25" s="35"/>
      <c r="QI25" s="35"/>
      <c r="QJ25" s="35"/>
      <c r="QK25" s="35"/>
      <c r="QL25" s="35"/>
      <c r="QM25" s="36"/>
      <c r="QN25" s="36"/>
      <c r="QO25" s="85"/>
      <c r="QP25" s="35"/>
      <c r="QQ25" s="35"/>
      <c r="QR25" s="35"/>
      <c r="QS25" s="35"/>
      <c r="QT25" s="35"/>
      <c r="QU25" s="35"/>
      <c r="QV25" s="36"/>
      <c r="QW25" s="35"/>
      <c r="QX25" s="35"/>
      <c r="QY25" s="35"/>
      <c r="QZ25" s="35"/>
      <c r="RA25" s="35"/>
      <c r="RB25" s="35"/>
      <c r="RC25" s="35"/>
      <c r="RD25" s="35"/>
      <c r="RE25" s="36"/>
      <c r="RF25" s="36"/>
      <c r="RG25" s="85"/>
      <c r="RH25" s="35"/>
      <c r="RI25" s="35"/>
      <c r="RJ25" s="35"/>
      <c r="RK25" s="35"/>
      <c r="RL25" s="35"/>
      <c r="RM25" s="35">
        <v>36810624.469999999</v>
      </c>
      <c r="RN25" s="36"/>
      <c r="RO25" s="35"/>
      <c r="RP25" s="35"/>
      <c r="RQ25" s="35"/>
      <c r="RR25" s="35"/>
      <c r="RS25" s="35"/>
      <c r="RT25" s="35">
        <v>36810624.469999999</v>
      </c>
      <c r="RU25" s="35"/>
      <c r="RV25" s="35"/>
      <c r="RW25" s="36"/>
      <c r="RX25" s="36"/>
      <c r="RY25" s="85"/>
      <c r="RZ25" s="35"/>
      <c r="SA25" s="35"/>
      <c r="SB25" s="35"/>
      <c r="SC25" s="35"/>
      <c r="SD25" s="35"/>
      <c r="SE25" s="35"/>
      <c r="SF25" s="36"/>
      <c r="SG25" s="35"/>
      <c r="SH25" s="35"/>
      <c r="SI25" s="35"/>
      <c r="SJ25" s="35"/>
      <c r="SK25" s="35"/>
      <c r="SL25" s="35"/>
      <c r="SM25" s="35"/>
      <c r="SN25" s="35"/>
      <c r="SO25" s="36"/>
      <c r="SP25" s="36"/>
      <c r="SQ25" s="85"/>
      <c r="SR25" s="35"/>
      <c r="SS25" s="35"/>
      <c r="ST25" s="35"/>
      <c r="SU25" s="35"/>
      <c r="SV25" s="35"/>
      <c r="SW25" s="35"/>
      <c r="SX25" s="36"/>
      <c r="SY25" s="35"/>
      <c r="SZ25" s="35"/>
      <c r="TA25" s="35"/>
      <c r="TB25" s="35"/>
      <c r="TC25" s="35"/>
      <c r="TD25" s="35"/>
      <c r="TE25" s="35"/>
      <c r="TF25" s="35"/>
      <c r="TG25" s="36"/>
      <c r="TH25" s="36"/>
      <c r="TI25" s="85"/>
      <c r="TJ25" s="35"/>
      <c r="TK25" s="35"/>
      <c r="TL25" s="35"/>
      <c r="TM25" s="35"/>
      <c r="TN25" s="35"/>
      <c r="TO25" s="35"/>
      <c r="TP25" s="36"/>
      <c r="TQ25" s="35"/>
      <c r="TR25" s="35"/>
      <c r="TS25" s="35"/>
      <c r="TT25" s="35"/>
      <c r="TU25" s="35"/>
      <c r="TV25" s="35"/>
      <c r="TW25" s="35"/>
      <c r="TX25" s="35"/>
      <c r="TY25" s="36"/>
      <c r="TZ25" s="36"/>
      <c r="UA25" s="85"/>
      <c r="UB25" s="35"/>
      <c r="UC25" s="35"/>
      <c r="UD25" s="35"/>
      <c r="UE25" s="35"/>
      <c r="UF25" s="35"/>
      <c r="UG25" s="35"/>
      <c r="UH25" s="36"/>
      <c r="UI25" s="35"/>
      <c r="UJ25" s="35"/>
      <c r="UK25" s="35"/>
      <c r="UL25" s="35"/>
      <c r="UM25" s="35"/>
      <c r="UN25" s="35"/>
      <c r="UO25" s="35"/>
      <c r="UP25" s="35"/>
      <c r="UQ25" s="36"/>
      <c r="UR25" s="36"/>
      <c r="US25" s="85"/>
    </row>
    <row r="26" spans="1:565" x14ac:dyDescent="0.3">
      <c r="A26" s="8" t="s">
        <v>35</v>
      </c>
      <c r="B26" s="169" t="s">
        <v>36</v>
      </c>
      <c r="C26" s="13" t="s">
        <v>37</v>
      </c>
      <c r="F26" s="36">
        <v>1815947000</v>
      </c>
      <c r="G26" s="35"/>
      <c r="H26" s="35"/>
      <c r="I26" s="35">
        <v>273419500</v>
      </c>
      <c r="J26" s="35">
        <v>147646500</v>
      </c>
      <c r="K26" s="35">
        <v>125773000</v>
      </c>
      <c r="L26" s="35">
        <v>147646500</v>
      </c>
      <c r="M26" s="35">
        <v>986510.38</v>
      </c>
      <c r="N26" s="36"/>
      <c r="O26" s="35">
        <v>273419499.94999999</v>
      </c>
      <c r="P26" s="35">
        <v>147646500</v>
      </c>
      <c r="Q26" s="35"/>
      <c r="R26" s="35">
        <v>125772999.95</v>
      </c>
      <c r="S26" s="35">
        <v>46.000010000000003</v>
      </c>
      <c r="T26" s="35">
        <v>986510.38</v>
      </c>
      <c r="U26" s="35"/>
      <c r="V26" s="35">
        <v>147646500</v>
      </c>
      <c r="W26" s="36"/>
      <c r="X26" s="36">
        <v>147646500</v>
      </c>
      <c r="Y26" s="85">
        <v>147646500</v>
      </c>
      <c r="Z26" s="35"/>
      <c r="AA26" s="35">
        <v>422323500</v>
      </c>
      <c r="AB26" s="35">
        <v>228054500</v>
      </c>
      <c r="AC26" s="35">
        <v>194269000</v>
      </c>
      <c r="AD26" s="35">
        <v>228054499.47999999</v>
      </c>
      <c r="AE26" s="35">
        <v>285599.27</v>
      </c>
      <c r="AF26" s="36"/>
      <c r="AG26" s="35">
        <v>422323499</v>
      </c>
      <c r="AH26" s="35">
        <v>228054499.47999999</v>
      </c>
      <c r="AI26" s="35"/>
      <c r="AJ26" s="35">
        <v>194268999.52000001</v>
      </c>
      <c r="AK26" s="35">
        <v>46.000039999999998</v>
      </c>
      <c r="AL26" s="35">
        <v>285599.27</v>
      </c>
      <c r="AM26" s="35"/>
      <c r="AN26" s="35">
        <v>228054499.47999999</v>
      </c>
      <c r="AO26" s="36"/>
      <c r="AP26" s="36">
        <v>228054500</v>
      </c>
      <c r="AQ26" s="85">
        <v>228054500</v>
      </c>
      <c r="AR26" s="35"/>
      <c r="AS26" s="35">
        <v>1054812400</v>
      </c>
      <c r="AT26" s="35">
        <v>569598400</v>
      </c>
      <c r="AU26" s="35">
        <v>485214000</v>
      </c>
      <c r="AV26" s="35">
        <v>569299169.27999997</v>
      </c>
      <c r="AW26" s="35">
        <v>4511247.84</v>
      </c>
      <c r="AX26" s="36"/>
      <c r="AY26" s="35">
        <v>1054258268.7</v>
      </c>
      <c r="AZ26" s="35">
        <v>569299169.27999997</v>
      </c>
      <c r="BA26" s="35"/>
      <c r="BB26" s="35">
        <v>484959099.42000002</v>
      </c>
      <c r="BC26" s="35">
        <v>46.000030000000002</v>
      </c>
      <c r="BD26" s="35">
        <v>4507602.45</v>
      </c>
      <c r="BE26" s="35">
        <v>3645.39</v>
      </c>
      <c r="BF26" s="35">
        <v>569299169.27999997</v>
      </c>
      <c r="BG26" s="36"/>
      <c r="BH26" s="36">
        <v>569598400</v>
      </c>
      <c r="BI26" s="85">
        <v>569598400</v>
      </c>
      <c r="BJ26" s="35"/>
      <c r="BK26" s="35">
        <v>646395588.26999998</v>
      </c>
      <c r="BL26" s="35">
        <v>614075000</v>
      </c>
      <c r="BM26" s="35">
        <v>32320588.27</v>
      </c>
      <c r="BN26" s="35">
        <v>571638397.50999999</v>
      </c>
      <c r="BO26" s="35">
        <v>11100466.67</v>
      </c>
      <c r="BP26" s="36"/>
      <c r="BQ26" s="35">
        <v>601725421.53999996</v>
      </c>
      <c r="BR26" s="35">
        <v>571638397.5</v>
      </c>
      <c r="BS26" s="35"/>
      <c r="BT26" s="35">
        <v>30087024.039999999</v>
      </c>
      <c r="BU26" s="35">
        <v>5.0001300000000004</v>
      </c>
      <c r="BV26" s="35">
        <v>11100466.67</v>
      </c>
      <c r="BW26" s="35">
        <v>0.01</v>
      </c>
      <c r="BX26" s="35">
        <v>571638397.50999999</v>
      </c>
      <c r="BY26" s="36"/>
      <c r="BZ26" s="36">
        <v>614075000</v>
      </c>
      <c r="CA26" s="85">
        <v>614075000</v>
      </c>
      <c r="CB26" s="35"/>
      <c r="CC26" s="35">
        <v>304799900</v>
      </c>
      <c r="CD26" s="35">
        <v>164591900</v>
      </c>
      <c r="CE26" s="35">
        <v>140208000</v>
      </c>
      <c r="CF26" s="35">
        <v>164591900</v>
      </c>
      <c r="CG26" s="35"/>
      <c r="CH26" s="36"/>
      <c r="CI26" s="35">
        <v>304799899.95999998</v>
      </c>
      <c r="CJ26" s="35">
        <v>164591900</v>
      </c>
      <c r="CK26" s="35"/>
      <c r="CL26" s="35">
        <v>140207999.96000001</v>
      </c>
      <c r="CM26" s="35">
        <v>46.000019999999999</v>
      </c>
      <c r="CN26" s="35"/>
      <c r="CO26" s="35"/>
      <c r="CP26" s="35">
        <v>164591900</v>
      </c>
      <c r="CQ26" s="36"/>
      <c r="CR26" s="36">
        <v>164591900</v>
      </c>
      <c r="CS26" s="85">
        <v>164591900</v>
      </c>
      <c r="CT26" s="35"/>
      <c r="CU26" s="35"/>
      <c r="CV26" s="35"/>
      <c r="CW26" s="35"/>
      <c r="CX26" s="35"/>
      <c r="CY26" s="35"/>
      <c r="CZ26" s="36"/>
      <c r="DA26" s="35"/>
      <c r="DB26" s="35"/>
      <c r="DC26" s="35"/>
      <c r="DD26" s="35"/>
      <c r="DE26" s="35"/>
      <c r="DF26" s="35"/>
      <c r="DG26" s="35"/>
      <c r="DH26" s="35"/>
      <c r="DI26" s="36"/>
      <c r="DJ26" s="36"/>
      <c r="DK26" s="85"/>
      <c r="DL26" s="35"/>
      <c r="DM26" s="35"/>
      <c r="DN26" s="35"/>
      <c r="DO26" s="35"/>
      <c r="DP26" s="35"/>
      <c r="DQ26" s="35"/>
      <c r="DR26" s="36"/>
      <c r="DS26" s="35"/>
      <c r="DT26" s="35"/>
      <c r="DU26" s="35"/>
      <c r="DV26" s="35"/>
      <c r="DW26" s="35"/>
      <c r="DX26" s="35"/>
      <c r="DY26" s="35"/>
      <c r="DZ26" s="35"/>
      <c r="EA26" s="36"/>
      <c r="EB26" s="36"/>
      <c r="EC26" s="85"/>
      <c r="ED26" s="35"/>
      <c r="EE26" s="35">
        <v>68210200</v>
      </c>
      <c r="EF26" s="35">
        <v>51157600</v>
      </c>
      <c r="EG26" s="35">
        <v>17052600</v>
      </c>
      <c r="EH26" s="35">
        <v>51118180.340000004</v>
      </c>
      <c r="EI26" s="35"/>
      <c r="EJ26" s="36"/>
      <c r="EK26" s="35">
        <v>68157640.420000002</v>
      </c>
      <c r="EL26" s="35">
        <v>51118180.340000004</v>
      </c>
      <c r="EM26" s="35"/>
      <c r="EN26" s="35">
        <v>17039460.079999998</v>
      </c>
      <c r="EO26" s="35">
        <v>25.000070000000001</v>
      </c>
      <c r="EP26" s="35"/>
      <c r="EQ26" s="35"/>
      <c r="ER26" s="35">
        <v>51118180.340000004</v>
      </c>
      <c r="ES26" s="36"/>
      <c r="ET26" s="36">
        <v>51157600</v>
      </c>
      <c r="EU26" s="85">
        <v>51157600</v>
      </c>
      <c r="EV26" s="35"/>
      <c r="EW26" s="35">
        <v>47093340</v>
      </c>
      <c r="EX26" s="35">
        <v>25430400</v>
      </c>
      <c r="EY26" s="35">
        <v>21662940</v>
      </c>
      <c r="EZ26" s="35">
        <v>24440193.969999999</v>
      </c>
      <c r="FA26" s="35">
        <v>355418.39</v>
      </c>
      <c r="FB26" s="36"/>
      <c r="FC26" s="35">
        <v>44377118.609999999</v>
      </c>
      <c r="FD26" s="35">
        <v>23963640.68</v>
      </c>
      <c r="FE26" s="35"/>
      <c r="FF26" s="35">
        <v>20413477.93</v>
      </c>
      <c r="FG26" s="35">
        <v>46.000010000000003</v>
      </c>
      <c r="FH26" s="35">
        <v>265286.19</v>
      </c>
      <c r="FI26" s="35">
        <v>566685.49</v>
      </c>
      <c r="FJ26" s="35">
        <v>24440193.969999999</v>
      </c>
      <c r="FK26" s="36"/>
      <c r="FL26" s="36">
        <v>25430400</v>
      </c>
      <c r="FM26" s="85">
        <v>25430400</v>
      </c>
      <c r="FN26" s="35"/>
      <c r="FO26" s="35"/>
      <c r="FP26" s="35"/>
      <c r="FQ26" s="35"/>
      <c r="FR26" s="35"/>
      <c r="FS26" s="35">
        <v>110098.72</v>
      </c>
      <c r="FT26" s="36"/>
      <c r="FU26" s="35"/>
      <c r="FV26" s="35"/>
      <c r="FW26" s="35"/>
      <c r="FX26" s="35"/>
      <c r="FY26" s="35"/>
      <c r="FZ26" s="35">
        <v>110098.72</v>
      </c>
      <c r="GA26" s="35"/>
      <c r="GB26" s="35"/>
      <c r="GC26" s="36"/>
      <c r="GD26" s="36"/>
      <c r="GE26" s="85"/>
      <c r="GF26" s="35"/>
      <c r="GG26" s="35">
        <v>28505100</v>
      </c>
      <c r="GH26" s="35">
        <v>15392700</v>
      </c>
      <c r="GI26" s="35">
        <v>13112400</v>
      </c>
      <c r="GJ26" s="35">
        <v>14353033.050000001</v>
      </c>
      <c r="GK26" s="35"/>
      <c r="GL26" s="36"/>
      <c r="GM26" s="35">
        <v>26579790.140000001</v>
      </c>
      <c r="GN26" s="35">
        <v>14353033.050000001</v>
      </c>
      <c r="GO26" s="35"/>
      <c r="GP26" s="35">
        <v>12226757.09</v>
      </c>
      <c r="GQ26" s="35">
        <v>46.0002</v>
      </c>
      <c r="GR26" s="35"/>
      <c r="GS26" s="35"/>
      <c r="GT26" s="35">
        <v>14353033.050000001</v>
      </c>
      <c r="GU26" s="36"/>
      <c r="GV26" s="36">
        <v>15392700</v>
      </c>
      <c r="GW26" s="85">
        <v>15392700</v>
      </c>
      <c r="GX26" s="35"/>
      <c r="GY26" s="35"/>
      <c r="GZ26" s="35"/>
      <c r="HA26" s="35"/>
      <c r="HB26" s="35"/>
      <c r="HC26" s="35"/>
      <c r="HD26" s="36"/>
      <c r="HE26" s="35"/>
      <c r="HF26" s="35"/>
      <c r="HG26" s="35"/>
      <c r="HH26" s="35"/>
      <c r="HI26" s="35"/>
      <c r="HJ26" s="35"/>
      <c r="HK26" s="35"/>
      <c r="HL26" s="35"/>
      <c r="HM26" s="36"/>
      <c r="HN26" s="36"/>
      <c r="HO26" s="85"/>
      <c r="HP26" s="35"/>
      <c r="HQ26" s="35"/>
      <c r="HR26" s="35"/>
      <c r="HS26" s="35"/>
      <c r="HT26" s="35"/>
      <c r="HU26" s="35"/>
      <c r="HV26" s="36"/>
      <c r="HW26" s="35"/>
      <c r="HX26" s="35"/>
      <c r="HY26" s="35"/>
      <c r="HZ26" s="35"/>
      <c r="IA26" s="35"/>
      <c r="IB26" s="35"/>
      <c r="IC26" s="35"/>
      <c r="ID26" s="35"/>
      <c r="IE26" s="36"/>
      <c r="IF26" s="36"/>
      <c r="IG26" s="85"/>
      <c r="IH26" s="35"/>
      <c r="II26" s="35"/>
      <c r="IJ26" s="35"/>
      <c r="IK26" s="35"/>
      <c r="IL26" s="35"/>
      <c r="IM26" s="35"/>
      <c r="IN26" s="36"/>
      <c r="IO26" s="35"/>
      <c r="IP26" s="35"/>
      <c r="IQ26" s="35"/>
      <c r="IR26" s="35"/>
      <c r="IS26" s="35"/>
      <c r="IT26" s="35"/>
      <c r="IU26" s="35"/>
      <c r="IV26" s="35"/>
      <c r="IW26" s="36"/>
      <c r="IX26" s="36"/>
      <c r="IY26" s="85"/>
      <c r="IZ26" s="35"/>
      <c r="JA26" s="35"/>
      <c r="JB26" s="35"/>
      <c r="JC26" s="35"/>
      <c r="JD26" s="35"/>
      <c r="JE26" s="35"/>
      <c r="JF26" s="36"/>
      <c r="JG26" s="35"/>
      <c r="JH26" s="35"/>
      <c r="JI26" s="35"/>
      <c r="JJ26" s="35"/>
      <c r="JK26" s="35"/>
      <c r="JL26" s="35"/>
      <c r="JM26" s="35"/>
      <c r="JN26" s="35"/>
      <c r="JO26" s="36"/>
      <c r="JP26" s="36"/>
      <c r="JQ26" s="85"/>
      <c r="JR26" s="35"/>
      <c r="JS26" s="35"/>
      <c r="JT26" s="35"/>
      <c r="JU26" s="35"/>
      <c r="JV26" s="35"/>
      <c r="JW26" s="35"/>
      <c r="JX26" s="36"/>
      <c r="JY26" s="35"/>
      <c r="JZ26" s="35"/>
      <c r="KA26" s="35"/>
      <c r="KB26" s="35"/>
      <c r="KC26" s="35"/>
      <c r="KD26" s="35"/>
      <c r="KE26" s="35"/>
      <c r="KF26" s="35"/>
      <c r="KG26" s="36"/>
      <c r="KH26" s="36"/>
      <c r="KI26" s="85"/>
      <c r="KJ26" s="35"/>
      <c r="KK26" s="35"/>
      <c r="KL26" s="35"/>
      <c r="KM26" s="35"/>
      <c r="KN26" s="35"/>
      <c r="KO26" s="35"/>
      <c r="KP26" s="36"/>
      <c r="KQ26" s="35"/>
      <c r="KR26" s="35"/>
      <c r="KS26" s="35"/>
      <c r="KT26" s="35"/>
      <c r="KU26" s="35"/>
      <c r="KV26" s="35"/>
      <c r="KW26" s="35"/>
      <c r="KX26" s="35"/>
      <c r="KY26" s="36"/>
      <c r="KZ26" s="36"/>
      <c r="LA26" s="85"/>
      <c r="LB26" s="35"/>
      <c r="LC26" s="35"/>
      <c r="LD26" s="35"/>
      <c r="LE26" s="35"/>
      <c r="LF26" s="35"/>
      <c r="LG26" s="35"/>
      <c r="LH26" s="36"/>
      <c r="LI26" s="35"/>
      <c r="LJ26" s="35"/>
      <c r="LK26" s="35"/>
      <c r="LL26" s="35"/>
      <c r="LM26" s="35"/>
      <c r="LN26" s="35"/>
      <c r="LO26" s="35"/>
      <c r="LP26" s="35"/>
      <c r="LQ26" s="36"/>
      <c r="LR26" s="36"/>
      <c r="LS26" s="85"/>
      <c r="LT26" s="35"/>
      <c r="LU26" s="35"/>
      <c r="LV26" s="35"/>
      <c r="LW26" s="35"/>
      <c r="LX26" s="35"/>
      <c r="LY26" s="35"/>
      <c r="LZ26" s="36"/>
      <c r="MA26" s="35"/>
      <c r="MB26" s="35"/>
      <c r="MC26" s="35"/>
      <c r="MD26" s="35"/>
      <c r="ME26" s="35"/>
      <c r="MF26" s="35"/>
      <c r="MG26" s="35"/>
      <c r="MH26" s="35"/>
      <c r="MI26" s="36"/>
      <c r="MJ26" s="36"/>
      <c r="MK26" s="85"/>
      <c r="ML26" s="35"/>
      <c r="MM26" s="35"/>
      <c r="MN26" s="35"/>
      <c r="MO26" s="35"/>
      <c r="MP26" s="35"/>
      <c r="MQ26" s="35"/>
      <c r="MR26" s="36"/>
      <c r="MS26" s="35"/>
      <c r="MT26" s="35"/>
      <c r="MU26" s="35"/>
      <c r="MV26" s="35"/>
      <c r="MW26" s="35"/>
      <c r="MX26" s="35"/>
      <c r="MY26" s="35"/>
      <c r="MZ26" s="35"/>
      <c r="NA26" s="36"/>
      <c r="NB26" s="36"/>
      <c r="NC26" s="85"/>
      <c r="ND26" s="35"/>
      <c r="NE26" s="35"/>
      <c r="NF26" s="35"/>
      <c r="NG26" s="35"/>
      <c r="NH26" s="35"/>
      <c r="NI26" s="35"/>
      <c r="NJ26" s="36"/>
      <c r="NK26" s="35"/>
      <c r="NL26" s="35"/>
      <c r="NM26" s="35"/>
      <c r="NN26" s="35"/>
      <c r="NO26" s="35"/>
      <c r="NP26" s="35"/>
      <c r="NQ26" s="35"/>
      <c r="NR26" s="35"/>
      <c r="NS26" s="36"/>
      <c r="NT26" s="36"/>
      <c r="NU26" s="85"/>
      <c r="NV26" s="35"/>
      <c r="NW26" s="35"/>
      <c r="NX26" s="35"/>
      <c r="NY26" s="35"/>
      <c r="NZ26" s="35"/>
      <c r="OA26" s="35"/>
      <c r="OB26" s="36"/>
      <c r="OC26" s="35"/>
      <c r="OD26" s="35"/>
      <c r="OE26" s="35"/>
      <c r="OF26" s="35"/>
      <c r="OG26" s="35"/>
      <c r="OH26" s="35"/>
      <c r="OI26" s="35"/>
      <c r="OJ26" s="35"/>
      <c r="OK26" s="36"/>
      <c r="OL26" s="36"/>
      <c r="OM26" s="85"/>
      <c r="ON26" s="35"/>
      <c r="OO26" s="35"/>
      <c r="OP26" s="35"/>
      <c r="OQ26" s="35"/>
      <c r="OR26" s="35"/>
      <c r="OS26" s="35">
        <v>117666041.64</v>
      </c>
      <c r="OT26" s="36"/>
      <c r="OU26" s="35"/>
      <c r="OV26" s="35"/>
      <c r="OW26" s="35"/>
      <c r="OX26" s="35"/>
      <c r="OY26" s="35"/>
      <c r="OZ26" s="35">
        <v>117666041.64</v>
      </c>
      <c r="PA26" s="35"/>
      <c r="PB26" s="35"/>
      <c r="PC26" s="36"/>
      <c r="PD26" s="36"/>
      <c r="PE26" s="85"/>
      <c r="PF26" s="35"/>
      <c r="PG26" s="35"/>
      <c r="PH26" s="35"/>
      <c r="PI26" s="35"/>
      <c r="PJ26" s="35"/>
      <c r="PK26" s="35">
        <v>68902495.519999996</v>
      </c>
      <c r="PL26" s="36"/>
      <c r="PM26" s="35"/>
      <c r="PN26" s="35"/>
      <c r="PO26" s="35"/>
      <c r="PP26" s="35"/>
      <c r="PQ26" s="35"/>
      <c r="PR26" s="35">
        <v>68902495.519999996</v>
      </c>
      <c r="PS26" s="35"/>
      <c r="PT26" s="35"/>
      <c r="PU26" s="36"/>
      <c r="PV26" s="36"/>
      <c r="PW26" s="85"/>
      <c r="PX26" s="35"/>
      <c r="PY26" s="35"/>
      <c r="PZ26" s="35"/>
      <c r="QA26" s="35"/>
      <c r="QB26" s="35"/>
      <c r="QC26" s="35"/>
      <c r="QD26" s="36"/>
      <c r="QE26" s="35"/>
      <c r="QF26" s="35"/>
      <c r="QG26" s="35"/>
      <c r="QH26" s="35"/>
      <c r="QI26" s="35"/>
      <c r="QJ26" s="35"/>
      <c r="QK26" s="35"/>
      <c r="QL26" s="35"/>
      <c r="QM26" s="36"/>
      <c r="QN26" s="36"/>
      <c r="QO26" s="85"/>
      <c r="QP26" s="35"/>
      <c r="QQ26" s="35"/>
      <c r="QR26" s="35"/>
      <c r="QS26" s="35"/>
      <c r="QT26" s="35"/>
      <c r="QU26" s="35"/>
      <c r="QV26" s="36"/>
      <c r="QW26" s="35"/>
      <c r="QX26" s="35"/>
      <c r="QY26" s="35"/>
      <c r="QZ26" s="35"/>
      <c r="RA26" s="35"/>
      <c r="RB26" s="35"/>
      <c r="RC26" s="35"/>
      <c r="RD26" s="35"/>
      <c r="RE26" s="36"/>
      <c r="RF26" s="36"/>
      <c r="RG26" s="85"/>
      <c r="RH26" s="35"/>
      <c r="RI26" s="35"/>
      <c r="RJ26" s="35"/>
      <c r="RK26" s="35"/>
      <c r="RL26" s="35"/>
      <c r="RM26" s="35">
        <v>4113299.99</v>
      </c>
      <c r="RN26" s="36"/>
      <c r="RO26" s="35"/>
      <c r="RP26" s="35"/>
      <c r="RQ26" s="35"/>
      <c r="RR26" s="35"/>
      <c r="RS26" s="35"/>
      <c r="RT26" s="35">
        <v>4113299.99</v>
      </c>
      <c r="RU26" s="35"/>
      <c r="RV26" s="35"/>
      <c r="RW26" s="36"/>
      <c r="RX26" s="36"/>
      <c r="RY26" s="85"/>
      <c r="RZ26" s="35"/>
      <c r="SA26" s="35"/>
      <c r="SB26" s="35"/>
      <c r="SC26" s="35"/>
      <c r="SD26" s="35"/>
      <c r="SE26" s="35"/>
      <c r="SF26" s="36"/>
      <c r="SG26" s="35"/>
      <c r="SH26" s="35"/>
      <c r="SI26" s="35"/>
      <c r="SJ26" s="35"/>
      <c r="SK26" s="35"/>
      <c r="SL26" s="35"/>
      <c r="SM26" s="35"/>
      <c r="SN26" s="35"/>
      <c r="SO26" s="36"/>
      <c r="SP26" s="36"/>
      <c r="SQ26" s="85"/>
      <c r="SR26" s="35"/>
      <c r="SS26" s="35"/>
      <c r="ST26" s="35"/>
      <c r="SU26" s="35"/>
      <c r="SV26" s="35"/>
      <c r="SW26" s="35"/>
      <c r="SX26" s="36"/>
      <c r="SY26" s="35"/>
      <c r="SZ26" s="35"/>
      <c r="TA26" s="35"/>
      <c r="TB26" s="35"/>
      <c r="TC26" s="35"/>
      <c r="TD26" s="35"/>
      <c r="TE26" s="35"/>
      <c r="TF26" s="35"/>
      <c r="TG26" s="36"/>
      <c r="TH26" s="36"/>
      <c r="TI26" s="85"/>
      <c r="TJ26" s="35"/>
      <c r="TK26" s="35"/>
      <c r="TL26" s="35"/>
      <c r="TM26" s="35"/>
      <c r="TN26" s="35"/>
      <c r="TO26" s="35"/>
      <c r="TP26" s="36"/>
      <c r="TQ26" s="35"/>
      <c r="TR26" s="35"/>
      <c r="TS26" s="35"/>
      <c r="TT26" s="35"/>
      <c r="TU26" s="35"/>
      <c r="TV26" s="35"/>
      <c r="TW26" s="35"/>
      <c r="TX26" s="35"/>
      <c r="TY26" s="36"/>
      <c r="TZ26" s="36"/>
      <c r="UA26" s="85"/>
      <c r="UB26" s="35"/>
      <c r="UC26" s="35"/>
      <c r="UD26" s="35"/>
      <c r="UE26" s="35"/>
      <c r="UF26" s="35"/>
      <c r="UG26" s="35"/>
      <c r="UH26" s="36"/>
      <c r="UI26" s="35"/>
      <c r="UJ26" s="35"/>
      <c r="UK26" s="35"/>
      <c r="UL26" s="35"/>
      <c r="UM26" s="35"/>
      <c r="UN26" s="35"/>
      <c r="UO26" s="35"/>
      <c r="UP26" s="35"/>
      <c r="UQ26" s="36"/>
      <c r="UR26" s="36"/>
      <c r="US26" s="85"/>
    </row>
    <row r="27" spans="1:565" x14ac:dyDescent="0.3">
      <c r="A27" s="8" t="s">
        <v>38</v>
      </c>
      <c r="B27" s="168" t="s">
        <v>39</v>
      </c>
      <c r="C27" s="13" t="s">
        <v>273</v>
      </c>
      <c r="F27" s="36"/>
      <c r="G27" s="35"/>
      <c r="H27" s="35"/>
      <c r="I27" s="35"/>
      <c r="J27" s="35"/>
      <c r="K27" s="35"/>
      <c r="L27" s="35"/>
      <c r="M27" s="35"/>
      <c r="N27" s="36"/>
      <c r="O27" s="35"/>
      <c r="P27" s="35"/>
      <c r="Q27" s="35"/>
      <c r="R27" s="35"/>
      <c r="S27" s="35"/>
      <c r="T27" s="35"/>
      <c r="U27" s="35"/>
      <c r="V27" s="35"/>
      <c r="W27" s="36"/>
      <c r="X27" s="36"/>
      <c r="Y27" s="85"/>
      <c r="Z27" s="35"/>
      <c r="AA27" s="35"/>
      <c r="AB27" s="35"/>
      <c r="AC27" s="35"/>
      <c r="AD27" s="35"/>
      <c r="AE27" s="35"/>
      <c r="AF27" s="36"/>
      <c r="AG27" s="35"/>
      <c r="AH27" s="35"/>
      <c r="AI27" s="35"/>
      <c r="AJ27" s="35"/>
      <c r="AK27" s="35"/>
      <c r="AL27" s="35"/>
      <c r="AM27" s="35"/>
      <c r="AN27" s="35"/>
      <c r="AO27" s="36"/>
      <c r="AP27" s="36"/>
      <c r="AQ27" s="85"/>
      <c r="AR27" s="35"/>
      <c r="AS27" s="35"/>
      <c r="AT27" s="35"/>
      <c r="AU27" s="35"/>
      <c r="AV27" s="35"/>
      <c r="AW27" s="35"/>
      <c r="AX27" s="36"/>
      <c r="AY27" s="35"/>
      <c r="AZ27" s="35"/>
      <c r="BA27" s="35"/>
      <c r="BB27" s="35"/>
      <c r="BC27" s="35"/>
      <c r="BD27" s="35"/>
      <c r="BE27" s="35"/>
      <c r="BF27" s="35"/>
      <c r="BG27" s="36"/>
      <c r="BH27" s="36"/>
      <c r="BI27" s="85"/>
      <c r="BJ27" s="35"/>
      <c r="BK27" s="35"/>
      <c r="BL27" s="35"/>
      <c r="BM27" s="35"/>
      <c r="BN27" s="35"/>
      <c r="BO27" s="35"/>
      <c r="BP27" s="36"/>
      <c r="BQ27" s="35"/>
      <c r="BR27" s="35"/>
      <c r="BS27" s="35"/>
      <c r="BT27" s="35"/>
      <c r="BU27" s="35"/>
      <c r="BV27" s="35"/>
      <c r="BW27" s="35"/>
      <c r="BX27" s="35"/>
      <c r="BY27" s="36"/>
      <c r="BZ27" s="36"/>
      <c r="CA27" s="85"/>
      <c r="CB27" s="35"/>
      <c r="CC27" s="35"/>
      <c r="CD27" s="35"/>
      <c r="CE27" s="35"/>
      <c r="CF27" s="35"/>
      <c r="CG27" s="35"/>
      <c r="CH27" s="36"/>
      <c r="CI27" s="35"/>
      <c r="CJ27" s="35"/>
      <c r="CK27" s="35"/>
      <c r="CL27" s="35"/>
      <c r="CM27" s="35"/>
      <c r="CN27" s="35"/>
      <c r="CO27" s="35"/>
      <c r="CP27" s="35"/>
      <c r="CQ27" s="36"/>
      <c r="CR27" s="36"/>
      <c r="CS27" s="85"/>
      <c r="CT27" s="35"/>
      <c r="CU27" s="35"/>
      <c r="CV27" s="35"/>
      <c r="CW27" s="35"/>
      <c r="CX27" s="35"/>
      <c r="CY27" s="35"/>
      <c r="CZ27" s="36"/>
      <c r="DA27" s="35"/>
      <c r="DB27" s="35"/>
      <c r="DC27" s="35"/>
      <c r="DD27" s="35"/>
      <c r="DE27" s="35"/>
      <c r="DF27" s="35"/>
      <c r="DG27" s="35"/>
      <c r="DH27" s="35"/>
      <c r="DI27" s="36"/>
      <c r="DJ27" s="36"/>
      <c r="DK27" s="85"/>
      <c r="DL27" s="35"/>
      <c r="DM27" s="35"/>
      <c r="DN27" s="35"/>
      <c r="DO27" s="35"/>
      <c r="DP27" s="35"/>
      <c r="DQ27" s="35"/>
      <c r="DR27" s="36"/>
      <c r="DS27" s="35"/>
      <c r="DT27" s="35"/>
      <c r="DU27" s="35"/>
      <c r="DV27" s="35"/>
      <c r="DW27" s="35"/>
      <c r="DX27" s="35"/>
      <c r="DY27" s="35"/>
      <c r="DZ27" s="35"/>
      <c r="EA27" s="36"/>
      <c r="EB27" s="36"/>
      <c r="EC27" s="85"/>
      <c r="ED27" s="35"/>
      <c r="EE27" s="35"/>
      <c r="EF27" s="35"/>
      <c r="EG27" s="35"/>
      <c r="EH27" s="35"/>
      <c r="EI27" s="35"/>
      <c r="EJ27" s="36"/>
      <c r="EK27" s="35"/>
      <c r="EL27" s="35"/>
      <c r="EM27" s="35"/>
      <c r="EN27" s="35"/>
      <c r="EO27" s="35"/>
      <c r="EP27" s="35"/>
      <c r="EQ27" s="35"/>
      <c r="ER27" s="35"/>
      <c r="ES27" s="36"/>
      <c r="ET27" s="36"/>
      <c r="EU27" s="85"/>
      <c r="EV27" s="35"/>
      <c r="EW27" s="35"/>
      <c r="EX27" s="35"/>
      <c r="EY27" s="35"/>
      <c r="EZ27" s="35"/>
      <c r="FA27" s="35"/>
      <c r="FB27" s="36"/>
      <c r="FC27" s="35"/>
      <c r="FD27" s="35"/>
      <c r="FE27" s="35"/>
      <c r="FF27" s="35"/>
      <c r="FG27" s="35"/>
      <c r="FH27" s="35"/>
      <c r="FI27" s="35"/>
      <c r="FJ27" s="35"/>
      <c r="FK27" s="36"/>
      <c r="FL27" s="36"/>
      <c r="FM27" s="85"/>
      <c r="FN27" s="35"/>
      <c r="FO27" s="35"/>
      <c r="FP27" s="35"/>
      <c r="FQ27" s="35"/>
      <c r="FR27" s="35"/>
      <c r="FS27" s="35"/>
      <c r="FT27" s="36"/>
      <c r="FU27" s="35"/>
      <c r="FV27" s="35"/>
      <c r="FW27" s="35"/>
      <c r="FX27" s="35"/>
      <c r="FY27" s="35"/>
      <c r="FZ27" s="35"/>
      <c r="GA27" s="35"/>
      <c r="GB27" s="35"/>
      <c r="GC27" s="36"/>
      <c r="GD27" s="36"/>
      <c r="GE27" s="85"/>
      <c r="GF27" s="35"/>
      <c r="GG27" s="35"/>
      <c r="GH27" s="35"/>
      <c r="GI27" s="35"/>
      <c r="GJ27" s="35"/>
      <c r="GK27" s="35"/>
      <c r="GL27" s="36"/>
      <c r="GM27" s="35"/>
      <c r="GN27" s="35"/>
      <c r="GO27" s="35"/>
      <c r="GP27" s="35"/>
      <c r="GQ27" s="35"/>
      <c r="GR27" s="35"/>
      <c r="GS27" s="35"/>
      <c r="GT27" s="35"/>
      <c r="GU27" s="36"/>
      <c r="GV27" s="36"/>
      <c r="GW27" s="85"/>
      <c r="GX27" s="35"/>
      <c r="GY27" s="35"/>
      <c r="GZ27" s="35"/>
      <c r="HA27" s="35"/>
      <c r="HB27" s="35"/>
      <c r="HC27" s="35"/>
      <c r="HD27" s="36"/>
      <c r="HE27" s="35"/>
      <c r="HF27" s="35"/>
      <c r="HG27" s="35"/>
      <c r="HH27" s="35"/>
      <c r="HI27" s="35"/>
      <c r="HJ27" s="35"/>
      <c r="HK27" s="35"/>
      <c r="HL27" s="35"/>
      <c r="HM27" s="36"/>
      <c r="HN27" s="36"/>
      <c r="HO27" s="85"/>
      <c r="HP27" s="35"/>
      <c r="HQ27" s="35"/>
      <c r="HR27" s="35"/>
      <c r="HS27" s="35"/>
      <c r="HT27" s="35"/>
      <c r="HU27" s="35"/>
      <c r="HV27" s="36"/>
      <c r="HW27" s="35"/>
      <c r="HX27" s="35"/>
      <c r="HY27" s="35"/>
      <c r="HZ27" s="35"/>
      <c r="IA27" s="35"/>
      <c r="IB27" s="35"/>
      <c r="IC27" s="35"/>
      <c r="ID27" s="35"/>
      <c r="IE27" s="36"/>
      <c r="IF27" s="36"/>
      <c r="IG27" s="85"/>
      <c r="IH27" s="35"/>
      <c r="II27" s="35"/>
      <c r="IJ27" s="35"/>
      <c r="IK27" s="35"/>
      <c r="IL27" s="35"/>
      <c r="IM27" s="35"/>
      <c r="IN27" s="36"/>
      <c r="IO27" s="35"/>
      <c r="IP27" s="35"/>
      <c r="IQ27" s="35"/>
      <c r="IR27" s="35"/>
      <c r="IS27" s="35"/>
      <c r="IT27" s="35"/>
      <c r="IU27" s="35"/>
      <c r="IV27" s="35"/>
      <c r="IW27" s="36"/>
      <c r="IX27" s="36"/>
      <c r="IY27" s="85"/>
      <c r="IZ27" s="35"/>
      <c r="JA27" s="35"/>
      <c r="JB27" s="35"/>
      <c r="JC27" s="35"/>
      <c r="JD27" s="35"/>
      <c r="JE27" s="35"/>
      <c r="JF27" s="36"/>
      <c r="JG27" s="35"/>
      <c r="JH27" s="35"/>
      <c r="JI27" s="35"/>
      <c r="JJ27" s="35"/>
      <c r="JK27" s="35"/>
      <c r="JL27" s="35"/>
      <c r="JM27" s="35"/>
      <c r="JN27" s="35"/>
      <c r="JO27" s="36"/>
      <c r="JP27" s="36"/>
      <c r="JQ27" s="85"/>
      <c r="JR27" s="35"/>
      <c r="JS27" s="35"/>
      <c r="JT27" s="35"/>
      <c r="JU27" s="35"/>
      <c r="JV27" s="35"/>
      <c r="JW27" s="35"/>
      <c r="JX27" s="36"/>
      <c r="JY27" s="35"/>
      <c r="JZ27" s="35"/>
      <c r="KA27" s="35"/>
      <c r="KB27" s="35"/>
      <c r="KC27" s="35"/>
      <c r="KD27" s="35"/>
      <c r="KE27" s="35"/>
      <c r="KF27" s="35"/>
      <c r="KG27" s="36"/>
      <c r="KH27" s="36"/>
      <c r="KI27" s="85"/>
      <c r="KJ27" s="35"/>
      <c r="KK27" s="35"/>
      <c r="KL27" s="35"/>
      <c r="KM27" s="35"/>
      <c r="KN27" s="35"/>
      <c r="KO27" s="35"/>
      <c r="KP27" s="36"/>
      <c r="KQ27" s="35"/>
      <c r="KR27" s="35"/>
      <c r="KS27" s="35"/>
      <c r="KT27" s="35"/>
      <c r="KU27" s="35"/>
      <c r="KV27" s="35"/>
      <c r="KW27" s="35"/>
      <c r="KX27" s="35"/>
      <c r="KY27" s="36"/>
      <c r="KZ27" s="36"/>
      <c r="LA27" s="85"/>
      <c r="LB27" s="35"/>
      <c r="LC27" s="35"/>
      <c r="LD27" s="35"/>
      <c r="LE27" s="35"/>
      <c r="LF27" s="35"/>
      <c r="LG27" s="35"/>
      <c r="LH27" s="36"/>
      <c r="LI27" s="35"/>
      <c r="LJ27" s="35"/>
      <c r="LK27" s="35"/>
      <c r="LL27" s="35"/>
      <c r="LM27" s="35"/>
      <c r="LN27" s="35"/>
      <c r="LO27" s="35"/>
      <c r="LP27" s="35"/>
      <c r="LQ27" s="36"/>
      <c r="LR27" s="36"/>
      <c r="LS27" s="85"/>
      <c r="LT27" s="35"/>
      <c r="LU27" s="35"/>
      <c r="LV27" s="35"/>
      <c r="LW27" s="35"/>
      <c r="LX27" s="35"/>
      <c r="LY27" s="35"/>
      <c r="LZ27" s="36"/>
      <c r="MA27" s="35"/>
      <c r="MB27" s="35"/>
      <c r="MC27" s="35"/>
      <c r="MD27" s="35"/>
      <c r="ME27" s="35"/>
      <c r="MF27" s="35"/>
      <c r="MG27" s="35"/>
      <c r="MH27" s="35"/>
      <c r="MI27" s="36"/>
      <c r="MJ27" s="36"/>
      <c r="MK27" s="85"/>
      <c r="ML27" s="35"/>
      <c r="MM27" s="35"/>
      <c r="MN27" s="35"/>
      <c r="MO27" s="35"/>
      <c r="MP27" s="35"/>
      <c r="MQ27" s="35"/>
      <c r="MR27" s="36"/>
      <c r="MS27" s="35"/>
      <c r="MT27" s="35"/>
      <c r="MU27" s="35"/>
      <c r="MV27" s="35"/>
      <c r="MW27" s="35"/>
      <c r="MX27" s="35"/>
      <c r="MY27" s="35"/>
      <c r="MZ27" s="35"/>
      <c r="NA27" s="36"/>
      <c r="NB27" s="36"/>
      <c r="NC27" s="85"/>
      <c r="ND27" s="35"/>
      <c r="NE27" s="35"/>
      <c r="NF27" s="35"/>
      <c r="NG27" s="35"/>
      <c r="NH27" s="35"/>
      <c r="NI27" s="35"/>
      <c r="NJ27" s="36"/>
      <c r="NK27" s="35"/>
      <c r="NL27" s="35"/>
      <c r="NM27" s="35"/>
      <c r="NN27" s="35"/>
      <c r="NO27" s="35"/>
      <c r="NP27" s="35"/>
      <c r="NQ27" s="35"/>
      <c r="NR27" s="35"/>
      <c r="NS27" s="36"/>
      <c r="NT27" s="36"/>
      <c r="NU27" s="85"/>
      <c r="NV27" s="35"/>
      <c r="NW27" s="35"/>
      <c r="NX27" s="35"/>
      <c r="NY27" s="35"/>
      <c r="NZ27" s="35"/>
      <c r="OA27" s="35"/>
      <c r="OB27" s="36"/>
      <c r="OC27" s="35"/>
      <c r="OD27" s="35"/>
      <c r="OE27" s="35"/>
      <c r="OF27" s="35"/>
      <c r="OG27" s="35"/>
      <c r="OH27" s="35"/>
      <c r="OI27" s="35"/>
      <c r="OJ27" s="35"/>
      <c r="OK27" s="36"/>
      <c r="OL27" s="36"/>
      <c r="OM27" s="85"/>
      <c r="ON27" s="35"/>
      <c r="OO27" s="35"/>
      <c r="OP27" s="35"/>
      <c r="OQ27" s="35"/>
      <c r="OR27" s="35"/>
      <c r="OS27" s="35"/>
      <c r="OT27" s="36"/>
      <c r="OU27" s="35"/>
      <c r="OV27" s="35"/>
      <c r="OW27" s="35"/>
      <c r="OX27" s="35"/>
      <c r="OY27" s="35"/>
      <c r="OZ27" s="35"/>
      <c r="PA27" s="35"/>
      <c r="PB27" s="35"/>
      <c r="PC27" s="36"/>
      <c r="PD27" s="36"/>
      <c r="PE27" s="85"/>
      <c r="PF27" s="35"/>
      <c r="PG27" s="35"/>
      <c r="PH27" s="35"/>
      <c r="PI27" s="35"/>
      <c r="PJ27" s="35"/>
      <c r="PK27" s="35"/>
      <c r="PL27" s="36"/>
      <c r="PM27" s="35"/>
      <c r="PN27" s="35"/>
      <c r="PO27" s="35"/>
      <c r="PP27" s="35"/>
      <c r="PQ27" s="35"/>
      <c r="PR27" s="35"/>
      <c r="PS27" s="35"/>
      <c r="PT27" s="35"/>
      <c r="PU27" s="36"/>
      <c r="PV27" s="36"/>
      <c r="PW27" s="85"/>
      <c r="PX27" s="35"/>
      <c r="PY27" s="35"/>
      <c r="PZ27" s="35"/>
      <c r="QA27" s="35"/>
      <c r="QB27" s="35"/>
      <c r="QC27" s="35"/>
      <c r="QD27" s="36"/>
      <c r="QE27" s="35"/>
      <c r="QF27" s="35"/>
      <c r="QG27" s="35"/>
      <c r="QH27" s="35"/>
      <c r="QI27" s="35"/>
      <c r="QJ27" s="35"/>
      <c r="QK27" s="35"/>
      <c r="QL27" s="35"/>
      <c r="QM27" s="36"/>
      <c r="QN27" s="36"/>
      <c r="QO27" s="85"/>
      <c r="QP27" s="35"/>
      <c r="QQ27" s="35"/>
      <c r="QR27" s="35"/>
      <c r="QS27" s="35"/>
      <c r="QT27" s="35"/>
      <c r="QU27" s="35"/>
      <c r="QV27" s="36"/>
      <c r="QW27" s="35"/>
      <c r="QX27" s="35"/>
      <c r="QY27" s="35"/>
      <c r="QZ27" s="35"/>
      <c r="RA27" s="35"/>
      <c r="RB27" s="35"/>
      <c r="RC27" s="35"/>
      <c r="RD27" s="35"/>
      <c r="RE27" s="36"/>
      <c r="RF27" s="36"/>
      <c r="RG27" s="85"/>
      <c r="RH27" s="35"/>
      <c r="RI27" s="35"/>
      <c r="RJ27" s="35"/>
      <c r="RK27" s="35"/>
      <c r="RL27" s="35"/>
      <c r="RM27" s="35"/>
      <c r="RN27" s="36"/>
      <c r="RO27" s="35"/>
      <c r="RP27" s="35"/>
      <c r="RQ27" s="35"/>
      <c r="RR27" s="35"/>
      <c r="RS27" s="35"/>
      <c r="RT27" s="35"/>
      <c r="RU27" s="35"/>
      <c r="RV27" s="35"/>
      <c r="RW27" s="36"/>
      <c r="RX27" s="36"/>
      <c r="RY27" s="85"/>
      <c r="RZ27" s="35"/>
      <c r="SA27" s="35"/>
      <c r="SB27" s="35"/>
      <c r="SC27" s="35"/>
      <c r="SD27" s="35"/>
      <c r="SE27" s="35"/>
      <c r="SF27" s="36"/>
      <c r="SG27" s="35"/>
      <c r="SH27" s="35"/>
      <c r="SI27" s="35"/>
      <c r="SJ27" s="35"/>
      <c r="SK27" s="35"/>
      <c r="SL27" s="35"/>
      <c r="SM27" s="35"/>
      <c r="SN27" s="35"/>
      <c r="SO27" s="36"/>
      <c r="SP27" s="36"/>
      <c r="SQ27" s="85"/>
      <c r="SR27" s="35"/>
      <c r="SS27" s="35"/>
      <c r="ST27" s="35"/>
      <c r="SU27" s="35"/>
      <c r="SV27" s="35"/>
      <c r="SW27" s="35"/>
      <c r="SX27" s="36"/>
      <c r="SY27" s="35"/>
      <c r="SZ27" s="35"/>
      <c r="TA27" s="35"/>
      <c r="TB27" s="35"/>
      <c r="TC27" s="35"/>
      <c r="TD27" s="35"/>
      <c r="TE27" s="35"/>
      <c r="TF27" s="35"/>
      <c r="TG27" s="36"/>
      <c r="TH27" s="36"/>
      <c r="TI27" s="85"/>
      <c r="TJ27" s="35"/>
      <c r="TK27" s="35"/>
      <c r="TL27" s="35"/>
      <c r="TM27" s="35"/>
      <c r="TN27" s="35"/>
      <c r="TO27" s="35"/>
      <c r="TP27" s="36"/>
      <c r="TQ27" s="35"/>
      <c r="TR27" s="35"/>
      <c r="TS27" s="35"/>
      <c r="TT27" s="35"/>
      <c r="TU27" s="35"/>
      <c r="TV27" s="35"/>
      <c r="TW27" s="35"/>
      <c r="TX27" s="35"/>
      <c r="TY27" s="36"/>
      <c r="TZ27" s="36"/>
      <c r="UA27" s="85"/>
      <c r="UB27" s="35"/>
      <c r="UC27" s="35"/>
      <c r="UD27" s="35"/>
      <c r="UE27" s="35"/>
      <c r="UF27" s="35"/>
      <c r="UG27" s="35"/>
      <c r="UH27" s="36"/>
      <c r="UI27" s="35"/>
      <c r="UJ27" s="35"/>
      <c r="UK27" s="35"/>
      <c r="UL27" s="35"/>
      <c r="UM27" s="35"/>
      <c r="UN27" s="35"/>
      <c r="UO27" s="35"/>
      <c r="UP27" s="35"/>
      <c r="UQ27" s="36"/>
      <c r="UR27" s="36"/>
      <c r="US27" s="85"/>
    </row>
    <row r="28" spans="1:565" x14ac:dyDescent="0.3">
      <c r="A28" s="8" t="s">
        <v>40</v>
      </c>
      <c r="B28" s="169" t="s">
        <v>41</v>
      </c>
      <c r="C28" s="13" t="s">
        <v>42</v>
      </c>
      <c r="F28" s="36">
        <v>1733737000</v>
      </c>
      <c r="G28" s="35"/>
      <c r="H28" s="35"/>
      <c r="I28" s="35">
        <v>298516210.52999997</v>
      </c>
      <c r="J28" s="35">
        <v>283590400</v>
      </c>
      <c r="K28" s="35">
        <v>14925810.529999999</v>
      </c>
      <c r="L28" s="35">
        <v>283590400</v>
      </c>
      <c r="M28" s="35">
        <v>4396422.53</v>
      </c>
      <c r="N28" s="36"/>
      <c r="O28" s="35">
        <v>298516210.52999997</v>
      </c>
      <c r="P28" s="35">
        <v>283590400</v>
      </c>
      <c r="Q28" s="35"/>
      <c r="R28" s="35">
        <v>14925810.529999999</v>
      </c>
      <c r="S28" s="35">
        <v>5</v>
      </c>
      <c r="T28" s="35">
        <v>4396422.53</v>
      </c>
      <c r="U28" s="35">
        <v>0</v>
      </c>
      <c r="V28" s="35">
        <v>283590400</v>
      </c>
      <c r="W28" s="36"/>
      <c r="X28" s="36">
        <v>283590400</v>
      </c>
      <c r="Y28" s="85">
        <v>283590400</v>
      </c>
      <c r="Z28" s="35"/>
      <c r="AA28" s="35">
        <v>83876947.370000005</v>
      </c>
      <c r="AB28" s="35">
        <v>79683100</v>
      </c>
      <c r="AC28" s="35">
        <v>4193847.37</v>
      </c>
      <c r="AD28" s="35">
        <v>79683100</v>
      </c>
      <c r="AE28" s="35">
        <v>198702.8</v>
      </c>
      <c r="AF28" s="36"/>
      <c r="AG28" s="35">
        <v>83876947.370000005</v>
      </c>
      <c r="AH28" s="35">
        <v>79683100</v>
      </c>
      <c r="AI28" s="35"/>
      <c r="AJ28" s="35">
        <v>4193847.37</v>
      </c>
      <c r="AK28" s="35">
        <v>5</v>
      </c>
      <c r="AL28" s="35">
        <v>198702.8</v>
      </c>
      <c r="AM28" s="35"/>
      <c r="AN28" s="35">
        <v>79683100</v>
      </c>
      <c r="AO28" s="36"/>
      <c r="AP28" s="36">
        <v>79683100</v>
      </c>
      <c r="AQ28" s="85">
        <v>79683100</v>
      </c>
      <c r="AR28" s="35"/>
      <c r="AS28" s="35">
        <v>657136105.25999999</v>
      </c>
      <c r="AT28" s="35">
        <v>624279300</v>
      </c>
      <c r="AU28" s="35">
        <v>32856805.260000002</v>
      </c>
      <c r="AV28" s="35">
        <v>624279300</v>
      </c>
      <c r="AW28" s="35">
        <v>4219236.28</v>
      </c>
      <c r="AX28" s="36"/>
      <c r="AY28" s="35">
        <v>657136105.25999999</v>
      </c>
      <c r="AZ28" s="35">
        <v>624279300</v>
      </c>
      <c r="BA28" s="35"/>
      <c r="BB28" s="35">
        <v>32856805.260000002</v>
      </c>
      <c r="BC28" s="35">
        <v>5</v>
      </c>
      <c r="BD28" s="35">
        <v>4219236.28</v>
      </c>
      <c r="BE28" s="35"/>
      <c r="BF28" s="35">
        <v>624279300</v>
      </c>
      <c r="BG28" s="36"/>
      <c r="BH28" s="36">
        <v>624279300</v>
      </c>
      <c r="BI28" s="85">
        <v>624279300</v>
      </c>
      <c r="BJ28" s="35"/>
      <c r="BK28" s="35">
        <v>689715789.47000003</v>
      </c>
      <c r="BL28" s="35">
        <v>655230000</v>
      </c>
      <c r="BM28" s="35">
        <v>34485789.469999999</v>
      </c>
      <c r="BN28" s="35">
        <v>655230000</v>
      </c>
      <c r="BO28" s="35"/>
      <c r="BP28" s="36"/>
      <c r="BQ28" s="35">
        <v>689715789.47000003</v>
      </c>
      <c r="BR28" s="35">
        <v>655230000</v>
      </c>
      <c r="BS28" s="35"/>
      <c r="BT28" s="35">
        <v>34485789.469999999</v>
      </c>
      <c r="BU28" s="35">
        <v>5</v>
      </c>
      <c r="BV28" s="35"/>
      <c r="BW28" s="35"/>
      <c r="BX28" s="35">
        <v>655230000</v>
      </c>
      <c r="BY28" s="36"/>
      <c r="BZ28" s="36">
        <v>655230000</v>
      </c>
      <c r="CA28" s="85">
        <v>655230000</v>
      </c>
      <c r="CB28" s="35"/>
      <c r="CC28" s="35">
        <v>28627368.420000002</v>
      </c>
      <c r="CD28" s="35">
        <v>27196000</v>
      </c>
      <c r="CE28" s="35">
        <v>1431368.42</v>
      </c>
      <c r="CF28" s="35">
        <v>27181795.52</v>
      </c>
      <c r="CG28" s="35"/>
      <c r="CH28" s="36"/>
      <c r="CI28" s="35">
        <v>28612416.34</v>
      </c>
      <c r="CJ28" s="35">
        <v>27181795.52</v>
      </c>
      <c r="CK28" s="35"/>
      <c r="CL28" s="35">
        <v>1430620.82</v>
      </c>
      <c r="CM28" s="35">
        <v>5</v>
      </c>
      <c r="CN28" s="35"/>
      <c r="CO28" s="35"/>
      <c r="CP28" s="35">
        <v>27181795.52</v>
      </c>
      <c r="CQ28" s="36"/>
      <c r="CR28" s="36">
        <v>27196000</v>
      </c>
      <c r="CS28" s="85">
        <v>27196000</v>
      </c>
      <c r="CT28" s="35"/>
      <c r="CU28" s="35"/>
      <c r="CV28" s="35"/>
      <c r="CW28" s="35"/>
      <c r="CX28" s="35"/>
      <c r="CY28" s="35"/>
      <c r="CZ28" s="36"/>
      <c r="DA28" s="35"/>
      <c r="DB28" s="35"/>
      <c r="DC28" s="35"/>
      <c r="DD28" s="35"/>
      <c r="DE28" s="35"/>
      <c r="DF28" s="35"/>
      <c r="DG28" s="35"/>
      <c r="DH28" s="35"/>
      <c r="DI28" s="36"/>
      <c r="DJ28" s="36"/>
      <c r="DK28" s="85"/>
      <c r="DL28" s="35"/>
      <c r="DM28" s="35"/>
      <c r="DN28" s="35"/>
      <c r="DO28" s="35"/>
      <c r="DP28" s="35"/>
      <c r="DQ28" s="35"/>
      <c r="DR28" s="36"/>
      <c r="DS28" s="35"/>
      <c r="DT28" s="35"/>
      <c r="DU28" s="35"/>
      <c r="DV28" s="35"/>
      <c r="DW28" s="35"/>
      <c r="DX28" s="35"/>
      <c r="DY28" s="35"/>
      <c r="DZ28" s="35"/>
      <c r="EA28" s="36"/>
      <c r="EB28" s="36"/>
      <c r="EC28" s="85"/>
      <c r="ED28" s="35"/>
      <c r="EE28" s="35">
        <v>29784242.420000002</v>
      </c>
      <c r="EF28" s="35">
        <v>29486400</v>
      </c>
      <c r="EG28" s="35">
        <v>297842.42</v>
      </c>
      <c r="EH28" s="35">
        <v>29486400</v>
      </c>
      <c r="EI28" s="35"/>
      <c r="EJ28" s="36"/>
      <c r="EK28" s="35">
        <v>29784242.420000002</v>
      </c>
      <c r="EL28" s="35">
        <v>29486400</v>
      </c>
      <c r="EM28" s="35"/>
      <c r="EN28" s="35">
        <v>297842.42</v>
      </c>
      <c r="EO28" s="35">
        <v>1</v>
      </c>
      <c r="EP28" s="35"/>
      <c r="EQ28" s="35"/>
      <c r="ER28" s="35">
        <v>29486400</v>
      </c>
      <c r="ES28" s="36"/>
      <c r="ET28" s="36">
        <v>29486400</v>
      </c>
      <c r="EU28" s="85">
        <v>29486400</v>
      </c>
      <c r="EV28" s="35"/>
      <c r="EW28" s="35">
        <v>16345473.68</v>
      </c>
      <c r="EX28" s="35">
        <v>15528200</v>
      </c>
      <c r="EY28" s="35">
        <v>817273.68</v>
      </c>
      <c r="EZ28" s="35">
        <v>15478818.68</v>
      </c>
      <c r="FA28" s="35"/>
      <c r="FB28" s="36"/>
      <c r="FC28" s="35">
        <v>16293493.34</v>
      </c>
      <c r="FD28" s="35">
        <v>15478818.68</v>
      </c>
      <c r="FE28" s="35"/>
      <c r="FF28" s="35">
        <v>814674.66</v>
      </c>
      <c r="FG28" s="35">
        <v>5</v>
      </c>
      <c r="FH28" s="35"/>
      <c r="FI28" s="35"/>
      <c r="FJ28" s="35">
        <v>15478818.68</v>
      </c>
      <c r="FK28" s="36"/>
      <c r="FL28" s="36">
        <v>15528200</v>
      </c>
      <c r="FM28" s="85">
        <v>15528200</v>
      </c>
      <c r="FN28" s="35"/>
      <c r="FO28" s="35"/>
      <c r="FP28" s="35"/>
      <c r="FQ28" s="35"/>
      <c r="FR28" s="35"/>
      <c r="FS28" s="35"/>
      <c r="FT28" s="36"/>
      <c r="FU28" s="35"/>
      <c r="FV28" s="35"/>
      <c r="FW28" s="35"/>
      <c r="FX28" s="35"/>
      <c r="FY28" s="35"/>
      <c r="FZ28" s="35"/>
      <c r="GA28" s="35"/>
      <c r="GB28" s="35"/>
      <c r="GC28" s="36"/>
      <c r="GD28" s="36"/>
      <c r="GE28" s="85"/>
      <c r="GF28" s="35"/>
      <c r="GG28" s="35">
        <v>17081157.899999999</v>
      </c>
      <c r="GH28" s="35">
        <v>16227100</v>
      </c>
      <c r="GI28" s="35">
        <v>854057.9</v>
      </c>
      <c r="GJ28" s="35">
        <v>15310197.1</v>
      </c>
      <c r="GK28" s="35"/>
      <c r="GL28" s="36"/>
      <c r="GM28" s="35">
        <v>16115996.949999999</v>
      </c>
      <c r="GN28" s="35">
        <v>15310197.1</v>
      </c>
      <c r="GO28" s="35"/>
      <c r="GP28" s="35">
        <v>805799.85</v>
      </c>
      <c r="GQ28" s="35">
        <v>5</v>
      </c>
      <c r="GR28" s="35"/>
      <c r="GS28" s="35"/>
      <c r="GT28" s="35">
        <v>15310197.1</v>
      </c>
      <c r="GU28" s="36"/>
      <c r="GV28" s="36">
        <v>16227100</v>
      </c>
      <c r="GW28" s="85">
        <v>16227100</v>
      </c>
      <c r="GX28" s="35"/>
      <c r="GY28" s="35"/>
      <c r="GZ28" s="35"/>
      <c r="HA28" s="35"/>
      <c r="HB28" s="35"/>
      <c r="HC28" s="35"/>
      <c r="HD28" s="36"/>
      <c r="HE28" s="35"/>
      <c r="HF28" s="35"/>
      <c r="HG28" s="35"/>
      <c r="HH28" s="35"/>
      <c r="HI28" s="35"/>
      <c r="HJ28" s="35"/>
      <c r="HK28" s="35"/>
      <c r="HL28" s="35"/>
      <c r="HM28" s="36"/>
      <c r="HN28" s="36"/>
      <c r="HO28" s="85"/>
      <c r="HP28" s="35"/>
      <c r="HQ28" s="35"/>
      <c r="HR28" s="35"/>
      <c r="HS28" s="35"/>
      <c r="HT28" s="35"/>
      <c r="HU28" s="35"/>
      <c r="HV28" s="36"/>
      <c r="HW28" s="35"/>
      <c r="HX28" s="35"/>
      <c r="HY28" s="35"/>
      <c r="HZ28" s="35"/>
      <c r="IA28" s="35"/>
      <c r="IB28" s="35"/>
      <c r="IC28" s="35"/>
      <c r="ID28" s="35"/>
      <c r="IE28" s="36"/>
      <c r="IF28" s="36"/>
      <c r="IG28" s="85"/>
      <c r="IH28" s="35"/>
      <c r="II28" s="35"/>
      <c r="IJ28" s="35"/>
      <c r="IK28" s="35"/>
      <c r="IL28" s="35"/>
      <c r="IM28" s="35"/>
      <c r="IN28" s="36"/>
      <c r="IO28" s="35"/>
      <c r="IP28" s="35"/>
      <c r="IQ28" s="35"/>
      <c r="IR28" s="35"/>
      <c r="IS28" s="35"/>
      <c r="IT28" s="35"/>
      <c r="IU28" s="35"/>
      <c r="IV28" s="35"/>
      <c r="IW28" s="36"/>
      <c r="IX28" s="36"/>
      <c r="IY28" s="85"/>
      <c r="IZ28" s="35"/>
      <c r="JA28" s="35"/>
      <c r="JB28" s="35"/>
      <c r="JC28" s="35"/>
      <c r="JD28" s="35"/>
      <c r="JE28" s="35"/>
      <c r="JF28" s="36"/>
      <c r="JG28" s="35"/>
      <c r="JH28" s="35"/>
      <c r="JI28" s="35"/>
      <c r="JJ28" s="35"/>
      <c r="JK28" s="35"/>
      <c r="JL28" s="35"/>
      <c r="JM28" s="35"/>
      <c r="JN28" s="35"/>
      <c r="JO28" s="36"/>
      <c r="JP28" s="36">
        <v>2150100</v>
      </c>
      <c r="JQ28" s="85"/>
      <c r="JR28" s="35"/>
      <c r="JS28" s="35"/>
      <c r="JT28" s="35"/>
      <c r="JU28" s="35"/>
      <c r="JV28" s="35"/>
      <c r="JW28" s="35"/>
      <c r="JX28" s="36"/>
      <c r="JY28" s="35"/>
      <c r="JZ28" s="35"/>
      <c r="KA28" s="35"/>
      <c r="KB28" s="35"/>
      <c r="KC28" s="35"/>
      <c r="KD28" s="35"/>
      <c r="KE28" s="35"/>
      <c r="KF28" s="35"/>
      <c r="KG28" s="36"/>
      <c r="KH28" s="36"/>
      <c r="KI28" s="85"/>
      <c r="KJ28" s="35"/>
      <c r="KK28" s="35">
        <v>1999368.42</v>
      </c>
      <c r="KL28" s="35">
        <v>1899400</v>
      </c>
      <c r="KM28" s="35">
        <v>99968.42</v>
      </c>
      <c r="KN28" s="35">
        <v>1899400</v>
      </c>
      <c r="KO28" s="35"/>
      <c r="KP28" s="36"/>
      <c r="KQ28" s="35">
        <v>1999368.42</v>
      </c>
      <c r="KR28" s="35">
        <v>1899400</v>
      </c>
      <c r="KS28" s="35"/>
      <c r="KT28" s="35">
        <v>99968.42</v>
      </c>
      <c r="KU28" s="35">
        <v>5</v>
      </c>
      <c r="KV28" s="35"/>
      <c r="KW28" s="35"/>
      <c r="KX28" s="35">
        <v>1899400</v>
      </c>
      <c r="KY28" s="36"/>
      <c r="KZ28" s="36">
        <v>1899400</v>
      </c>
      <c r="LA28" s="85">
        <v>1899400</v>
      </c>
      <c r="LB28" s="35"/>
      <c r="LC28" s="35"/>
      <c r="LD28" s="35"/>
      <c r="LE28" s="35"/>
      <c r="LF28" s="35"/>
      <c r="LG28" s="35"/>
      <c r="LH28" s="36"/>
      <c r="LI28" s="35"/>
      <c r="LJ28" s="35"/>
      <c r="LK28" s="35"/>
      <c r="LL28" s="35"/>
      <c r="LM28" s="35"/>
      <c r="LN28" s="35"/>
      <c r="LO28" s="35"/>
      <c r="LP28" s="35"/>
      <c r="LQ28" s="36"/>
      <c r="LR28" s="36"/>
      <c r="LS28" s="85"/>
      <c r="LT28" s="35"/>
      <c r="LU28" s="35"/>
      <c r="LV28" s="35"/>
      <c r="LW28" s="35"/>
      <c r="LX28" s="35"/>
      <c r="LY28" s="35"/>
      <c r="LZ28" s="36"/>
      <c r="MA28" s="35"/>
      <c r="MB28" s="35"/>
      <c r="MC28" s="35"/>
      <c r="MD28" s="35"/>
      <c r="ME28" s="35"/>
      <c r="MF28" s="35"/>
      <c r="MG28" s="35"/>
      <c r="MH28" s="35"/>
      <c r="MI28" s="36"/>
      <c r="MJ28" s="36"/>
      <c r="MK28" s="85"/>
      <c r="ML28" s="35"/>
      <c r="MM28" s="35"/>
      <c r="MN28" s="35"/>
      <c r="MO28" s="35"/>
      <c r="MP28" s="35"/>
      <c r="MQ28" s="35"/>
      <c r="MR28" s="36"/>
      <c r="MS28" s="35"/>
      <c r="MT28" s="35"/>
      <c r="MU28" s="35"/>
      <c r="MV28" s="35"/>
      <c r="MW28" s="35"/>
      <c r="MX28" s="35"/>
      <c r="MY28" s="35"/>
      <c r="MZ28" s="35"/>
      <c r="NA28" s="36"/>
      <c r="NB28" s="36"/>
      <c r="NC28" s="85"/>
      <c r="ND28" s="35"/>
      <c r="NE28" s="35">
        <v>649578.94999999995</v>
      </c>
      <c r="NF28" s="35">
        <v>617100</v>
      </c>
      <c r="NG28" s="35">
        <v>32478.95</v>
      </c>
      <c r="NH28" s="35">
        <v>617100</v>
      </c>
      <c r="NI28" s="35"/>
      <c r="NJ28" s="36"/>
      <c r="NK28" s="35">
        <v>649578.94999999995</v>
      </c>
      <c r="NL28" s="35">
        <v>617100</v>
      </c>
      <c r="NM28" s="35"/>
      <c r="NN28" s="35">
        <v>32478.95</v>
      </c>
      <c r="NO28" s="35">
        <v>5</v>
      </c>
      <c r="NP28" s="35"/>
      <c r="NQ28" s="35"/>
      <c r="NR28" s="35">
        <v>617100</v>
      </c>
      <c r="NS28" s="36"/>
      <c r="NT28" s="36">
        <v>617100</v>
      </c>
      <c r="NU28" s="85">
        <v>617100</v>
      </c>
      <c r="NV28" s="35"/>
      <c r="NW28" s="35"/>
      <c r="NX28" s="35"/>
      <c r="NY28" s="35"/>
      <c r="NZ28" s="35"/>
      <c r="OA28" s="35"/>
      <c r="OB28" s="36"/>
      <c r="OC28" s="35"/>
      <c r="OD28" s="35"/>
      <c r="OE28" s="35"/>
      <c r="OF28" s="35"/>
      <c r="OG28" s="35"/>
      <c r="OH28" s="35"/>
      <c r="OI28" s="35"/>
      <c r="OJ28" s="35"/>
      <c r="OK28" s="36"/>
      <c r="OL28" s="36"/>
      <c r="OM28" s="85"/>
      <c r="ON28" s="35"/>
      <c r="OO28" s="35"/>
      <c r="OP28" s="35"/>
      <c r="OQ28" s="35"/>
      <c r="OR28" s="35"/>
      <c r="OS28" s="35">
        <v>67108.179999999993</v>
      </c>
      <c r="OT28" s="36"/>
      <c r="OU28" s="35"/>
      <c r="OV28" s="35"/>
      <c r="OW28" s="35"/>
      <c r="OX28" s="35"/>
      <c r="OY28" s="35"/>
      <c r="OZ28" s="35">
        <v>67108.179999999993</v>
      </c>
      <c r="PA28" s="35">
        <v>0</v>
      </c>
      <c r="PB28" s="35"/>
      <c r="PC28" s="36"/>
      <c r="PD28" s="36"/>
      <c r="PE28" s="85"/>
      <c r="PF28" s="35"/>
      <c r="PG28" s="35"/>
      <c r="PH28" s="35"/>
      <c r="PI28" s="35"/>
      <c r="PJ28" s="35"/>
      <c r="PK28" s="35">
        <v>0</v>
      </c>
      <c r="PL28" s="36"/>
      <c r="PM28" s="35"/>
      <c r="PN28" s="35"/>
      <c r="PO28" s="35"/>
      <c r="PP28" s="35"/>
      <c r="PQ28" s="35"/>
      <c r="PR28" s="35">
        <v>0</v>
      </c>
      <c r="PS28" s="35"/>
      <c r="PT28" s="35"/>
      <c r="PU28" s="36"/>
      <c r="PV28" s="36"/>
      <c r="PW28" s="85"/>
      <c r="PX28" s="35"/>
      <c r="PY28" s="35"/>
      <c r="PZ28" s="35"/>
      <c r="QA28" s="35"/>
      <c r="QB28" s="35"/>
      <c r="QC28" s="35"/>
      <c r="QD28" s="36"/>
      <c r="QE28" s="35"/>
      <c r="QF28" s="35"/>
      <c r="QG28" s="35"/>
      <c r="QH28" s="35"/>
      <c r="QI28" s="35"/>
      <c r="QJ28" s="35"/>
      <c r="QK28" s="35"/>
      <c r="QL28" s="35"/>
      <c r="QM28" s="36"/>
      <c r="QN28" s="36"/>
      <c r="QO28" s="85"/>
      <c r="QP28" s="35"/>
      <c r="QQ28" s="35"/>
      <c r="QR28" s="35"/>
      <c r="QS28" s="35"/>
      <c r="QT28" s="35"/>
      <c r="QU28" s="35"/>
      <c r="QV28" s="36"/>
      <c r="QW28" s="35"/>
      <c r="QX28" s="35"/>
      <c r="QY28" s="35"/>
      <c r="QZ28" s="35"/>
      <c r="RA28" s="35"/>
      <c r="RB28" s="35"/>
      <c r="RC28" s="35"/>
      <c r="RD28" s="35"/>
      <c r="RE28" s="36"/>
      <c r="RF28" s="36"/>
      <c r="RG28" s="85"/>
      <c r="RH28" s="35"/>
      <c r="RI28" s="35"/>
      <c r="RJ28" s="35"/>
      <c r="RK28" s="35"/>
      <c r="RL28" s="35"/>
      <c r="RM28" s="35"/>
      <c r="RN28" s="36"/>
      <c r="RO28" s="35"/>
      <c r="RP28" s="35"/>
      <c r="RQ28" s="35"/>
      <c r="RR28" s="35"/>
      <c r="RS28" s="35"/>
      <c r="RT28" s="35"/>
      <c r="RU28" s="35"/>
      <c r="RV28" s="35"/>
      <c r="RW28" s="36"/>
      <c r="RX28" s="36"/>
      <c r="RY28" s="85"/>
      <c r="RZ28" s="35"/>
      <c r="SA28" s="35"/>
      <c r="SB28" s="35"/>
      <c r="SC28" s="35"/>
      <c r="SD28" s="35"/>
      <c r="SE28" s="35"/>
      <c r="SF28" s="36"/>
      <c r="SG28" s="35"/>
      <c r="SH28" s="35"/>
      <c r="SI28" s="35"/>
      <c r="SJ28" s="35"/>
      <c r="SK28" s="35"/>
      <c r="SL28" s="35"/>
      <c r="SM28" s="35"/>
      <c r="SN28" s="35"/>
      <c r="SO28" s="36"/>
      <c r="SP28" s="36"/>
      <c r="SQ28" s="85"/>
      <c r="SR28" s="35"/>
      <c r="SS28" s="35"/>
      <c r="ST28" s="35"/>
      <c r="SU28" s="35"/>
      <c r="SV28" s="35"/>
      <c r="SW28" s="35"/>
      <c r="SX28" s="36"/>
      <c r="SY28" s="35"/>
      <c r="SZ28" s="35"/>
      <c r="TA28" s="35"/>
      <c r="TB28" s="35"/>
      <c r="TC28" s="35"/>
      <c r="TD28" s="35"/>
      <c r="TE28" s="35"/>
      <c r="TF28" s="35"/>
      <c r="TG28" s="36"/>
      <c r="TH28" s="36"/>
      <c r="TI28" s="85"/>
      <c r="TJ28" s="35"/>
      <c r="TK28" s="35"/>
      <c r="TL28" s="35"/>
      <c r="TM28" s="35"/>
      <c r="TN28" s="35"/>
      <c r="TO28" s="35"/>
      <c r="TP28" s="36"/>
      <c r="TQ28" s="35"/>
      <c r="TR28" s="35"/>
      <c r="TS28" s="35"/>
      <c r="TT28" s="35"/>
      <c r="TU28" s="35"/>
      <c r="TV28" s="35"/>
      <c r="TW28" s="35"/>
      <c r="TX28" s="35"/>
      <c r="TY28" s="36"/>
      <c r="TZ28" s="36"/>
      <c r="UA28" s="85"/>
      <c r="UB28" s="35"/>
      <c r="UC28" s="35"/>
      <c r="UD28" s="35"/>
      <c r="UE28" s="35"/>
      <c r="UF28" s="35"/>
      <c r="UG28" s="35"/>
      <c r="UH28" s="36"/>
      <c r="UI28" s="35"/>
      <c r="UJ28" s="35"/>
      <c r="UK28" s="35"/>
      <c r="UL28" s="35"/>
      <c r="UM28" s="35"/>
      <c r="UN28" s="35"/>
      <c r="UO28" s="35"/>
      <c r="UP28" s="35"/>
      <c r="UQ28" s="36"/>
      <c r="UR28" s="36"/>
      <c r="US28" s="85"/>
    </row>
    <row r="29" spans="1:565" x14ac:dyDescent="0.3">
      <c r="A29" s="8" t="s">
        <v>43</v>
      </c>
      <c r="B29" s="168" t="s">
        <v>44</v>
      </c>
      <c r="C29" s="13" t="s">
        <v>45</v>
      </c>
      <c r="F29" s="36">
        <v>2117771700</v>
      </c>
      <c r="G29" s="35"/>
      <c r="H29" s="35"/>
      <c r="I29" s="35">
        <v>187161647.06</v>
      </c>
      <c r="J29" s="35">
        <v>159087400</v>
      </c>
      <c r="K29" s="35">
        <v>28074247.059999999</v>
      </c>
      <c r="L29" s="35">
        <v>159087400</v>
      </c>
      <c r="M29" s="35">
        <v>1117642.6200000001</v>
      </c>
      <c r="N29" s="36"/>
      <c r="O29" s="35">
        <v>187161647.06</v>
      </c>
      <c r="P29" s="35">
        <v>159087400</v>
      </c>
      <c r="Q29" s="35"/>
      <c r="R29" s="35">
        <v>28074247.059999999</v>
      </c>
      <c r="S29" s="35">
        <v>15</v>
      </c>
      <c r="T29" s="35">
        <v>1117642.6200000001</v>
      </c>
      <c r="U29" s="35"/>
      <c r="V29" s="35">
        <v>159087400</v>
      </c>
      <c r="W29" s="36"/>
      <c r="X29" s="36">
        <v>159087400</v>
      </c>
      <c r="Y29" s="85">
        <v>159087400</v>
      </c>
      <c r="Z29" s="35"/>
      <c r="AA29" s="35">
        <v>249180823.53</v>
      </c>
      <c r="AB29" s="35">
        <v>211803700</v>
      </c>
      <c r="AC29" s="35">
        <v>37377123.530000001</v>
      </c>
      <c r="AD29" s="35">
        <v>211803700</v>
      </c>
      <c r="AE29" s="35">
        <v>54739.77</v>
      </c>
      <c r="AF29" s="36"/>
      <c r="AG29" s="35">
        <v>249180823.53</v>
      </c>
      <c r="AH29" s="35">
        <v>211803700</v>
      </c>
      <c r="AI29" s="35"/>
      <c r="AJ29" s="35">
        <v>37377123.530000001</v>
      </c>
      <c r="AK29" s="35">
        <v>15</v>
      </c>
      <c r="AL29" s="35">
        <v>54739.77</v>
      </c>
      <c r="AM29" s="35"/>
      <c r="AN29" s="35">
        <v>211803700</v>
      </c>
      <c r="AO29" s="36"/>
      <c r="AP29" s="36">
        <v>211803700</v>
      </c>
      <c r="AQ29" s="85">
        <v>211803700</v>
      </c>
      <c r="AR29" s="35"/>
      <c r="AS29" s="35">
        <v>332699411.76999998</v>
      </c>
      <c r="AT29" s="35">
        <v>282794500</v>
      </c>
      <c r="AU29" s="35">
        <v>49904911.770000003</v>
      </c>
      <c r="AV29" s="35">
        <v>282627046.06</v>
      </c>
      <c r="AW29" s="35">
        <v>454717.14</v>
      </c>
      <c r="AX29" s="36"/>
      <c r="AY29" s="35">
        <v>332502407.14999998</v>
      </c>
      <c r="AZ29" s="35">
        <v>282627046.06</v>
      </c>
      <c r="BA29" s="35"/>
      <c r="BB29" s="35">
        <v>49875361.090000004</v>
      </c>
      <c r="BC29" s="35">
        <v>15</v>
      </c>
      <c r="BD29" s="35">
        <v>454717.14</v>
      </c>
      <c r="BE29" s="35"/>
      <c r="BF29" s="35">
        <v>282627046.06</v>
      </c>
      <c r="BG29" s="36"/>
      <c r="BH29" s="36">
        <v>282794500</v>
      </c>
      <c r="BI29" s="85">
        <v>282794500</v>
      </c>
      <c r="BJ29" s="35"/>
      <c r="BK29" s="35">
        <v>499185263.16000003</v>
      </c>
      <c r="BL29" s="35">
        <v>474226000</v>
      </c>
      <c r="BM29" s="35">
        <v>24959263.16</v>
      </c>
      <c r="BN29" s="35">
        <v>474226000</v>
      </c>
      <c r="BO29" s="35"/>
      <c r="BP29" s="36"/>
      <c r="BQ29" s="35">
        <v>499185263.16000003</v>
      </c>
      <c r="BR29" s="35">
        <v>474226000</v>
      </c>
      <c r="BS29" s="35"/>
      <c r="BT29" s="35">
        <v>24959263.16</v>
      </c>
      <c r="BU29" s="35">
        <v>5</v>
      </c>
      <c r="BV29" s="35"/>
      <c r="BW29" s="35"/>
      <c r="BX29" s="35">
        <v>474226000</v>
      </c>
      <c r="BY29" s="36"/>
      <c r="BZ29" s="36">
        <v>474226000</v>
      </c>
      <c r="CA29" s="85">
        <v>474226000</v>
      </c>
      <c r="CB29" s="35"/>
      <c r="CC29" s="35">
        <v>183673647.06</v>
      </c>
      <c r="CD29" s="35">
        <v>156122600</v>
      </c>
      <c r="CE29" s="35">
        <v>27551047.059999999</v>
      </c>
      <c r="CF29" s="35">
        <v>156122600</v>
      </c>
      <c r="CG29" s="35"/>
      <c r="CH29" s="36"/>
      <c r="CI29" s="35">
        <v>183673647.06</v>
      </c>
      <c r="CJ29" s="35">
        <v>156122600</v>
      </c>
      <c r="CK29" s="35"/>
      <c r="CL29" s="35">
        <v>27551047.059999999</v>
      </c>
      <c r="CM29" s="35">
        <v>15</v>
      </c>
      <c r="CN29" s="35"/>
      <c r="CO29" s="35"/>
      <c r="CP29" s="35">
        <v>156122600</v>
      </c>
      <c r="CQ29" s="36"/>
      <c r="CR29" s="36">
        <v>156122600</v>
      </c>
      <c r="CS29" s="85">
        <v>156122600</v>
      </c>
      <c r="CT29" s="35"/>
      <c r="CU29" s="35">
        <v>11774226.800000001</v>
      </c>
      <c r="CV29" s="35">
        <v>11421000</v>
      </c>
      <c r="CW29" s="35">
        <v>353226.8</v>
      </c>
      <c r="CX29" s="35">
        <v>11421000</v>
      </c>
      <c r="CY29" s="35"/>
      <c r="CZ29" s="36"/>
      <c r="DA29" s="35">
        <v>11774226.800000001</v>
      </c>
      <c r="DB29" s="35">
        <v>11421000</v>
      </c>
      <c r="DC29" s="35"/>
      <c r="DD29" s="35">
        <v>353226.8</v>
      </c>
      <c r="DE29" s="35">
        <v>3</v>
      </c>
      <c r="DF29" s="35"/>
      <c r="DG29" s="35"/>
      <c r="DH29" s="35">
        <v>11421000</v>
      </c>
      <c r="DI29" s="36"/>
      <c r="DJ29" s="36">
        <v>11421000</v>
      </c>
      <c r="DK29" s="85">
        <v>11421000</v>
      </c>
      <c r="DL29" s="35"/>
      <c r="DM29" s="35">
        <v>763768872</v>
      </c>
      <c r="DN29" s="35">
        <v>707193400</v>
      </c>
      <c r="DO29" s="35">
        <v>56575472</v>
      </c>
      <c r="DP29" s="35">
        <v>707193301.75999999</v>
      </c>
      <c r="DQ29" s="35"/>
      <c r="DR29" s="36"/>
      <c r="DS29" s="35">
        <v>763768765.89999998</v>
      </c>
      <c r="DT29" s="35">
        <v>707193301.75999999</v>
      </c>
      <c r="DU29" s="35"/>
      <c r="DV29" s="35">
        <v>56575464.140000001</v>
      </c>
      <c r="DW29" s="35">
        <v>7.4074099999999996</v>
      </c>
      <c r="DX29" s="35"/>
      <c r="DY29" s="35"/>
      <c r="DZ29" s="35">
        <v>707193301.75999999</v>
      </c>
      <c r="EA29" s="36"/>
      <c r="EB29" s="36">
        <v>707193400</v>
      </c>
      <c r="EC29" s="85">
        <v>707193400</v>
      </c>
      <c r="ED29" s="35"/>
      <c r="EE29" s="35">
        <v>15882577.32</v>
      </c>
      <c r="EF29" s="35">
        <v>15406100</v>
      </c>
      <c r="EG29" s="35">
        <v>476477.32</v>
      </c>
      <c r="EH29" s="35">
        <v>15406100</v>
      </c>
      <c r="EI29" s="35"/>
      <c r="EJ29" s="36"/>
      <c r="EK29" s="35">
        <v>15882577.32</v>
      </c>
      <c r="EL29" s="35">
        <v>15406100</v>
      </c>
      <c r="EM29" s="35"/>
      <c r="EN29" s="35">
        <v>476477.32</v>
      </c>
      <c r="EO29" s="35">
        <v>3</v>
      </c>
      <c r="EP29" s="35"/>
      <c r="EQ29" s="35"/>
      <c r="ER29" s="35">
        <v>15406100</v>
      </c>
      <c r="ES29" s="36"/>
      <c r="ET29" s="36">
        <v>15406100</v>
      </c>
      <c r="EU29" s="85">
        <v>15406100</v>
      </c>
      <c r="EV29" s="35"/>
      <c r="EW29" s="35">
        <v>69500410.599999994</v>
      </c>
      <c r="EX29" s="35">
        <v>24685200</v>
      </c>
      <c r="EY29" s="35">
        <v>44815210.600000001</v>
      </c>
      <c r="EZ29" s="35">
        <v>24685200</v>
      </c>
      <c r="FA29" s="35">
        <v>70740.240000000005</v>
      </c>
      <c r="FB29" s="36"/>
      <c r="FC29" s="35">
        <v>69500410.599999994</v>
      </c>
      <c r="FD29" s="35">
        <v>24685200</v>
      </c>
      <c r="FE29" s="35"/>
      <c r="FF29" s="35">
        <v>44815210.600000001</v>
      </c>
      <c r="FG29" s="35">
        <v>64.481939999999994</v>
      </c>
      <c r="FH29" s="35">
        <v>70740.240000000005</v>
      </c>
      <c r="FI29" s="35"/>
      <c r="FJ29" s="35">
        <v>24685200</v>
      </c>
      <c r="FK29" s="36"/>
      <c r="FL29" s="36">
        <v>24685200</v>
      </c>
      <c r="FM29" s="85">
        <v>24685200</v>
      </c>
      <c r="FN29" s="35"/>
      <c r="FO29" s="35"/>
      <c r="FP29" s="35"/>
      <c r="FQ29" s="35"/>
      <c r="FR29" s="35"/>
      <c r="FS29" s="35"/>
      <c r="FT29" s="36"/>
      <c r="FU29" s="35"/>
      <c r="FV29" s="35"/>
      <c r="FW29" s="35"/>
      <c r="FX29" s="35"/>
      <c r="FY29" s="35"/>
      <c r="FZ29" s="35"/>
      <c r="GA29" s="35"/>
      <c r="GB29" s="35"/>
      <c r="GC29" s="36"/>
      <c r="GD29" s="36"/>
      <c r="GE29" s="85"/>
      <c r="GF29" s="35"/>
      <c r="GG29" s="35">
        <v>71722100</v>
      </c>
      <c r="GH29" s="35">
        <v>27314100</v>
      </c>
      <c r="GI29" s="35">
        <v>44408000</v>
      </c>
      <c r="GJ29" s="35">
        <v>26958817.27</v>
      </c>
      <c r="GK29" s="35"/>
      <c r="GL29" s="36"/>
      <c r="GM29" s="35">
        <v>70787760.540000007</v>
      </c>
      <c r="GN29" s="35">
        <v>26958817.27</v>
      </c>
      <c r="GO29" s="35"/>
      <c r="GP29" s="35">
        <v>43828943.270000003</v>
      </c>
      <c r="GQ29" s="35">
        <v>61.915990000000001</v>
      </c>
      <c r="GR29" s="35"/>
      <c r="GS29" s="35"/>
      <c r="GT29" s="35">
        <v>26958817.27</v>
      </c>
      <c r="GU29" s="36"/>
      <c r="GV29" s="36">
        <v>27314100</v>
      </c>
      <c r="GW29" s="85">
        <v>27314100</v>
      </c>
      <c r="GX29" s="35"/>
      <c r="GY29" s="35"/>
      <c r="GZ29" s="35"/>
      <c r="HA29" s="35"/>
      <c r="HB29" s="35"/>
      <c r="HC29" s="35"/>
      <c r="HD29" s="36"/>
      <c r="HE29" s="35"/>
      <c r="HF29" s="35"/>
      <c r="HG29" s="35"/>
      <c r="HH29" s="35"/>
      <c r="HI29" s="35"/>
      <c r="HJ29" s="35"/>
      <c r="HK29" s="35"/>
      <c r="HL29" s="35"/>
      <c r="HM29" s="36"/>
      <c r="HN29" s="36"/>
      <c r="HO29" s="85"/>
      <c r="HP29" s="35"/>
      <c r="HQ29" s="35"/>
      <c r="HR29" s="35"/>
      <c r="HS29" s="35"/>
      <c r="HT29" s="35"/>
      <c r="HU29" s="35"/>
      <c r="HV29" s="36"/>
      <c r="HW29" s="35"/>
      <c r="HX29" s="35"/>
      <c r="HY29" s="35"/>
      <c r="HZ29" s="35"/>
      <c r="IA29" s="35"/>
      <c r="IB29" s="35"/>
      <c r="IC29" s="35"/>
      <c r="ID29" s="35"/>
      <c r="IE29" s="36"/>
      <c r="IF29" s="36"/>
      <c r="IG29" s="85"/>
      <c r="IH29" s="35"/>
      <c r="II29" s="35"/>
      <c r="IJ29" s="35"/>
      <c r="IK29" s="35"/>
      <c r="IL29" s="35"/>
      <c r="IM29" s="35"/>
      <c r="IN29" s="36"/>
      <c r="IO29" s="35"/>
      <c r="IP29" s="35"/>
      <c r="IQ29" s="35"/>
      <c r="IR29" s="35"/>
      <c r="IS29" s="35"/>
      <c r="IT29" s="35"/>
      <c r="IU29" s="35"/>
      <c r="IV29" s="35"/>
      <c r="IW29" s="36"/>
      <c r="IX29" s="36"/>
      <c r="IY29" s="85"/>
      <c r="IZ29" s="35"/>
      <c r="JA29" s="35">
        <v>7433330</v>
      </c>
      <c r="JB29" s="35">
        <v>2294000</v>
      </c>
      <c r="JC29" s="35">
        <v>5139330</v>
      </c>
      <c r="JD29" s="35">
        <v>2132960.0099999998</v>
      </c>
      <c r="JE29" s="35"/>
      <c r="JF29" s="36"/>
      <c r="JG29" s="35">
        <v>6911506.4199999999</v>
      </c>
      <c r="JH29" s="35">
        <v>2132960.0099999998</v>
      </c>
      <c r="JI29" s="35"/>
      <c r="JJ29" s="35">
        <v>4778546.41</v>
      </c>
      <c r="JK29" s="35">
        <v>69.138999999999996</v>
      </c>
      <c r="JL29" s="35"/>
      <c r="JM29" s="35"/>
      <c r="JN29" s="35">
        <v>2132960.0099999998</v>
      </c>
      <c r="JO29" s="36"/>
      <c r="JP29" s="36">
        <v>2294000</v>
      </c>
      <c r="JQ29" s="85">
        <v>2294000</v>
      </c>
      <c r="JR29" s="35"/>
      <c r="JS29" s="35"/>
      <c r="JT29" s="35"/>
      <c r="JU29" s="35"/>
      <c r="JV29" s="35"/>
      <c r="JW29" s="35"/>
      <c r="JX29" s="36"/>
      <c r="JY29" s="35"/>
      <c r="JZ29" s="35"/>
      <c r="KA29" s="35"/>
      <c r="KB29" s="35"/>
      <c r="KC29" s="35"/>
      <c r="KD29" s="35"/>
      <c r="KE29" s="35"/>
      <c r="KF29" s="35"/>
      <c r="KG29" s="36"/>
      <c r="KH29" s="36"/>
      <c r="KI29" s="85"/>
      <c r="KJ29" s="35"/>
      <c r="KK29" s="35">
        <v>3658000</v>
      </c>
      <c r="KL29" s="35">
        <v>2148000</v>
      </c>
      <c r="KM29" s="35">
        <v>1510000</v>
      </c>
      <c r="KN29" s="35">
        <v>2148000</v>
      </c>
      <c r="KO29" s="35"/>
      <c r="KP29" s="36"/>
      <c r="KQ29" s="35">
        <v>3658000</v>
      </c>
      <c r="KR29" s="35">
        <v>2148000</v>
      </c>
      <c r="KS29" s="35"/>
      <c r="KT29" s="35">
        <v>1510000</v>
      </c>
      <c r="KU29" s="35">
        <v>41.279389999999999</v>
      </c>
      <c r="KV29" s="35"/>
      <c r="KW29" s="35"/>
      <c r="KX29" s="35">
        <v>2148000</v>
      </c>
      <c r="KY29" s="36"/>
      <c r="KZ29" s="36">
        <v>2148000</v>
      </c>
      <c r="LA29" s="85">
        <v>2148000</v>
      </c>
      <c r="LB29" s="35"/>
      <c r="LC29" s="35"/>
      <c r="LD29" s="35"/>
      <c r="LE29" s="35"/>
      <c r="LF29" s="35"/>
      <c r="LG29" s="35"/>
      <c r="LH29" s="36"/>
      <c r="LI29" s="35"/>
      <c r="LJ29" s="35"/>
      <c r="LK29" s="35"/>
      <c r="LL29" s="35"/>
      <c r="LM29" s="35"/>
      <c r="LN29" s="35"/>
      <c r="LO29" s="35"/>
      <c r="LP29" s="35"/>
      <c r="LQ29" s="36"/>
      <c r="LR29" s="36"/>
      <c r="LS29" s="85"/>
      <c r="LT29" s="35"/>
      <c r="LU29" s="35">
        <v>92572000</v>
      </c>
      <c r="LV29" s="35">
        <v>42572000</v>
      </c>
      <c r="LW29" s="35">
        <v>50000000</v>
      </c>
      <c r="LX29" s="35">
        <v>41120881.640000001</v>
      </c>
      <c r="LY29" s="35"/>
      <c r="LZ29" s="36"/>
      <c r="MA29" s="35">
        <v>89416570.829999998</v>
      </c>
      <c r="MB29" s="35">
        <v>41120881.640000001</v>
      </c>
      <c r="MC29" s="35"/>
      <c r="MD29" s="35">
        <v>48295689.189999998</v>
      </c>
      <c r="ME29" s="35">
        <v>54.012009999999997</v>
      </c>
      <c r="MF29" s="35"/>
      <c r="MG29" s="35"/>
      <c r="MH29" s="35">
        <v>41120881.640000001</v>
      </c>
      <c r="MI29" s="36"/>
      <c r="MJ29" s="36">
        <v>42572000</v>
      </c>
      <c r="MK29" s="85">
        <v>42572000</v>
      </c>
      <c r="ML29" s="35"/>
      <c r="MM29" s="35"/>
      <c r="MN29" s="35"/>
      <c r="MO29" s="35"/>
      <c r="MP29" s="35"/>
      <c r="MQ29" s="35"/>
      <c r="MR29" s="36"/>
      <c r="MS29" s="35"/>
      <c r="MT29" s="35"/>
      <c r="MU29" s="35"/>
      <c r="MV29" s="35"/>
      <c r="MW29" s="35"/>
      <c r="MX29" s="35"/>
      <c r="MY29" s="35"/>
      <c r="MZ29" s="35"/>
      <c r="NA29" s="36"/>
      <c r="NB29" s="36"/>
      <c r="NC29" s="85"/>
      <c r="ND29" s="35"/>
      <c r="NE29" s="35">
        <v>3003700</v>
      </c>
      <c r="NF29" s="35">
        <v>703700</v>
      </c>
      <c r="NG29" s="35">
        <v>2300000</v>
      </c>
      <c r="NH29" s="35">
        <v>652071.15</v>
      </c>
      <c r="NI29" s="35"/>
      <c r="NJ29" s="36"/>
      <c r="NK29" s="35">
        <v>2783325.42</v>
      </c>
      <c r="NL29" s="35">
        <v>652071.15</v>
      </c>
      <c r="NM29" s="35"/>
      <c r="NN29" s="35">
        <v>2131254.27</v>
      </c>
      <c r="NO29" s="35">
        <v>76.572230000000005</v>
      </c>
      <c r="NP29" s="35"/>
      <c r="NQ29" s="35"/>
      <c r="NR29" s="35">
        <v>652071.15</v>
      </c>
      <c r="NS29" s="36"/>
      <c r="NT29" s="36">
        <v>703700</v>
      </c>
      <c r="NU29" s="85">
        <v>703700</v>
      </c>
      <c r="NV29" s="35"/>
      <c r="NW29" s="35"/>
      <c r="NX29" s="35"/>
      <c r="NY29" s="35"/>
      <c r="NZ29" s="35"/>
      <c r="OA29" s="35"/>
      <c r="OB29" s="36"/>
      <c r="OC29" s="35"/>
      <c r="OD29" s="35"/>
      <c r="OE29" s="35"/>
      <c r="OF29" s="35"/>
      <c r="OG29" s="35"/>
      <c r="OH29" s="35"/>
      <c r="OI29" s="35"/>
      <c r="OJ29" s="35"/>
      <c r="OK29" s="36"/>
      <c r="OL29" s="36"/>
      <c r="OM29" s="85"/>
      <c r="ON29" s="35"/>
      <c r="OO29" s="35"/>
      <c r="OP29" s="35"/>
      <c r="OQ29" s="35"/>
      <c r="OR29" s="35"/>
      <c r="OS29" s="35">
        <v>138407.62</v>
      </c>
      <c r="OT29" s="36"/>
      <c r="OU29" s="35"/>
      <c r="OV29" s="35"/>
      <c r="OW29" s="35"/>
      <c r="OX29" s="35"/>
      <c r="OY29" s="35"/>
      <c r="OZ29" s="35">
        <v>138407.62</v>
      </c>
      <c r="PA29" s="35"/>
      <c r="PB29" s="35"/>
      <c r="PC29" s="36"/>
      <c r="PD29" s="36"/>
      <c r="PE29" s="85"/>
      <c r="PF29" s="35"/>
      <c r="PG29" s="35"/>
      <c r="PH29" s="35"/>
      <c r="PI29" s="35"/>
      <c r="PJ29" s="35"/>
      <c r="PK29" s="35"/>
      <c r="PL29" s="36"/>
      <c r="PM29" s="35"/>
      <c r="PN29" s="35"/>
      <c r="PO29" s="35"/>
      <c r="PP29" s="35"/>
      <c r="PQ29" s="35"/>
      <c r="PR29" s="35"/>
      <c r="PS29" s="35"/>
      <c r="PT29" s="35"/>
      <c r="PU29" s="36"/>
      <c r="PV29" s="36"/>
      <c r="PW29" s="85"/>
      <c r="PX29" s="35"/>
      <c r="PY29" s="35"/>
      <c r="PZ29" s="35"/>
      <c r="QA29" s="35"/>
      <c r="QB29" s="35"/>
      <c r="QC29" s="35"/>
      <c r="QD29" s="36"/>
      <c r="QE29" s="35"/>
      <c r="QF29" s="35"/>
      <c r="QG29" s="35"/>
      <c r="QH29" s="35"/>
      <c r="QI29" s="35"/>
      <c r="QJ29" s="35"/>
      <c r="QK29" s="35"/>
      <c r="QL29" s="35"/>
      <c r="QM29" s="36"/>
      <c r="QN29" s="36"/>
      <c r="QO29" s="85"/>
      <c r="QP29" s="35"/>
      <c r="QQ29" s="35"/>
      <c r="QR29" s="35"/>
      <c r="QS29" s="35"/>
      <c r="QT29" s="35"/>
      <c r="QU29" s="35"/>
      <c r="QV29" s="36"/>
      <c r="QW29" s="35"/>
      <c r="QX29" s="35"/>
      <c r="QY29" s="35"/>
      <c r="QZ29" s="35"/>
      <c r="RA29" s="35"/>
      <c r="RB29" s="35"/>
      <c r="RC29" s="35"/>
      <c r="RD29" s="35"/>
      <c r="RE29" s="36"/>
      <c r="RF29" s="36"/>
      <c r="RG29" s="85"/>
      <c r="RH29" s="35"/>
      <c r="RI29" s="35"/>
      <c r="RJ29" s="35"/>
      <c r="RK29" s="35"/>
      <c r="RL29" s="35"/>
      <c r="RM29" s="35">
        <v>1777351.42</v>
      </c>
      <c r="RN29" s="36"/>
      <c r="RO29" s="35"/>
      <c r="RP29" s="35"/>
      <c r="RQ29" s="35"/>
      <c r="RR29" s="35"/>
      <c r="RS29" s="35"/>
      <c r="RT29" s="35">
        <v>1777351.42</v>
      </c>
      <c r="RU29" s="35"/>
      <c r="RV29" s="35"/>
      <c r="RW29" s="36"/>
      <c r="RX29" s="36"/>
      <c r="RY29" s="85"/>
      <c r="RZ29" s="35"/>
      <c r="SA29" s="35"/>
      <c r="SB29" s="35"/>
      <c r="SC29" s="35"/>
      <c r="SD29" s="35"/>
      <c r="SE29" s="35"/>
      <c r="SF29" s="36"/>
      <c r="SG29" s="35"/>
      <c r="SH29" s="35"/>
      <c r="SI29" s="35"/>
      <c r="SJ29" s="35"/>
      <c r="SK29" s="35"/>
      <c r="SL29" s="35"/>
      <c r="SM29" s="35"/>
      <c r="SN29" s="35"/>
      <c r="SO29" s="36"/>
      <c r="SP29" s="36"/>
      <c r="SQ29" s="85"/>
      <c r="SR29" s="35"/>
      <c r="SS29" s="35"/>
      <c r="ST29" s="35"/>
      <c r="SU29" s="35"/>
      <c r="SV29" s="35"/>
      <c r="SW29" s="35"/>
      <c r="SX29" s="36"/>
      <c r="SY29" s="35"/>
      <c r="SZ29" s="35"/>
      <c r="TA29" s="35"/>
      <c r="TB29" s="35"/>
      <c r="TC29" s="35"/>
      <c r="TD29" s="35"/>
      <c r="TE29" s="35"/>
      <c r="TF29" s="35"/>
      <c r="TG29" s="36"/>
      <c r="TH29" s="36"/>
      <c r="TI29" s="85"/>
      <c r="TJ29" s="35"/>
      <c r="TK29" s="35"/>
      <c r="TL29" s="35"/>
      <c r="TM29" s="35"/>
      <c r="TN29" s="35"/>
      <c r="TO29" s="35"/>
      <c r="TP29" s="36"/>
      <c r="TQ29" s="35"/>
      <c r="TR29" s="35"/>
      <c r="TS29" s="35"/>
      <c r="TT29" s="35"/>
      <c r="TU29" s="35"/>
      <c r="TV29" s="35"/>
      <c r="TW29" s="35"/>
      <c r="TX29" s="35"/>
      <c r="TY29" s="36"/>
      <c r="TZ29" s="36"/>
      <c r="UA29" s="85"/>
      <c r="UB29" s="35"/>
      <c r="UC29" s="35"/>
      <c r="UD29" s="35"/>
      <c r="UE29" s="35"/>
      <c r="UF29" s="35"/>
      <c r="UG29" s="35"/>
      <c r="UH29" s="36"/>
      <c r="UI29" s="35"/>
      <c r="UJ29" s="35"/>
      <c r="UK29" s="35"/>
      <c r="UL29" s="35"/>
      <c r="UM29" s="35"/>
      <c r="UN29" s="35"/>
      <c r="UO29" s="35"/>
      <c r="UP29" s="35"/>
      <c r="UQ29" s="36"/>
      <c r="UR29" s="36"/>
      <c r="US29" s="85"/>
    </row>
    <row r="30" spans="1:565" x14ac:dyDescent="0.3">
      <c r="A30" s="8" t="s">
        <v>46</v>
      </c>
      <c r="B30" s="169" t="s">
        <v>47</v>
      </c>
      <c r="C30" s="13" t="s">
        <v>48</v>
      </c>
      <c r="F30" s="36">
        <v>602039800</v>
      </c>
      <c r="G30" s="35"/>
      <c r="H30" s="35"/>
      <c r="I30" s="35">
        <v>141819600</v>
      </c>
      <c r="J30" s="35">
        <v>123383000</v>
      </c>
      <c r="K30" s="35">
        <v>18436600</v>
      </c>
      <c r="L30" s="35">
        <v>123383000</v>
      </c>
      <c r="M30" s="35">
        <v>3149391.47</v>
      </c>
      <c r="N30" s="36"/>
      <c r="O30" s="35">
        <v>141819600</v>
      </c>
      <c r="P30" s="35">
        <v>123383000</v>
      </c>
      <c r="Q30" s="35"/>
      <c r="R30" s="35">
        <v>18436600</v>
      </c>
      <c r="S30" s="35">
        <v>13.00004</v>
      </c>
      <c r="T30" s="35">
        <v>3149391.47</v>
      </c>
      <c r="U30" s="35"/>
      <c r="V30" s="35">
        <v>123383000</v>
      </c>
      <c r="W30" s="36"/>
      <c r="X30" s="36">
        <v>123383000</v>
      </c>
      <c r="Y30" s="85">
        <v>123383000</v>
      </c>
      <c r="Z30" s="35"/>
      <c r="AA30" s="35">
        <v>74225000</v>
      </c>
      <c r="AB30" s="35">
        <v>64575700</v>
      </c>
      <c r="AC30" s="35">
        <v>9649300</v>
      </c>
      <c r="AD30" s="35">
        <v>64575700</v>
      </c>
      <c r="AE30" s="35">
        <v>3600282.89</v>
      </c>
      <c r="AF30" s="36"/>
      <c r="AG30" s="35">
        <v>74225000</v>
      </c>
      <c r="AH30" s="35">
        <v>64575700</v>
      </c>
      <c r="AI30" s="35"/>
      <c r="AJ30" s="35">
        <v>9649300</v>
      </c>
      <c r="AK30" s="35">
        <v>13.000069999999999</v>
      </c>
      <c r="AL30" s="35">
        <v>3600282.89</v>
      </c>
      <c r="AM30" s="35"/>
      <c r="AN30" s="35">
        <v>64575700</v>
      </c>
      <c r="AO30" s="36"/>
      <c r="AP30" s="36">
        <v>64575700</v>
      </c>
      <c r="AQ30" s="85">
        <v>64575700</v>
      </c>
      <c r="AR30" s="35"/>
      <c r="AS30" s="35">
        <v>150092200</v>
      </c>
      <c r="AT30" s="35">
        <v>130580200</v>
      </c>
      <c r="AU30" s="35">
        <v>19512000</v>
      </c>
      <c r="AV30" s="35">
        <v>115223688.45</v>
      </c>
      <c r="AW30" s="35">
        <v>1838849.28</v>
      </c>
      <c r="AX30" s="36"/>
      <c r="AY30" s="35">
        <v>132441035.40000001</v>
      </c>
      <c r="AZ30" s="35">
        <v>115223688.45</v>
      </c>
      <c r="BA30" s="35"/>
      <c r="BB30" s="35">
        <v>17217346.949999999</v>
      </c>
      <c r="BC30" s="35">
        <v>13.00001</v>
      </c>
      <c r="BD30" s="35">
        <v>1838849.28</v>
      </c>
      <c r="BE30" s="35"/>
      <c r="BF30" s="35">
        <v>115223688.45</v>
      </c>
      <c r="BG30" s="36"/>
      <c r="BH30" s="36">
        <v>130580200</v>
      </c>
      <c r="BI30" s="85">
        <v>130580200</v>
      </c>
      <c r="BJ30" s="35"/>
      <c r="BK30" s="35">
        <v>47500000</v>
      </c>
      <c r="BL30" s="35">
        <v>34000000</v>
      </c>
      <c r="BM30" s="35">
        <v>13500000</v>
      </c>
      <c r="BN30" s="35">
        <v>34000000</v>
      </c>
      <c r="BO30" s="35"/>
      <c r="BP30" s="36"/>
      <c r="BQ30" s="35">
        <v>47500000</v>
      </c>
      <c r="BR30" s="35">
        <v>34000000</v>
      </c>
      <c r="BS30" s="35"/>
      <c r="BT30" s="35">
        <v>13500000</v>
      </c>
      <c r="BU30" s="35">
        <v>28.421050000000001</v>
      </c>
      <c r="BV30" s="35"/>
      <c r="BW30" s="35"/>
      <c r="BX30" s="35">
        <v>34000000</v>
      </c>
      <c r="BY30" s="36"/>
      <c r="BZ30" s="36">
        <v>34000000</v>
      </c>
      <c r="CA30" s="85">
        <v>34000000</v>
      </c>
      <c r="CB30" s="35"/>
      <c r="CC30" s="35">
        <v>120931500</v>
      </c>
      <c r="CD30" s="35">
        <v>105210400</v>
      </c>
      <c r="CE30" s="35">
        <v>15721100</v>
      </c>
      <c r="CF30" s="35">
        <v>105210400</v>
      </c>
      <c r="CG30" s="35">
        <v>35641.22</v>
      </c>
      <c r="CH30" s="36"/>
      <c r="CI30" s="35">
        <v>120931500</v>
      </c>
      <c r="CJ30" s="35">
        <v>105210400</v>
      </c>
      <c r="CK30" s="35"/>
      <c r="CL30" s="35">
        <v>15721100</v>
      </c>
      <c r="CM30" s="35">
        <v>13</v>
      </c>
      <c r="CN30" s="35">
        <v>35641.22</v>
      </c>
      <c r="CO30" s="35"/>
      <c r="CP30" s="35">
        <v>105210400</v>
      </c>
      <c r="CQ30" s="36"/>
      <c r="CR30" s="36">
        <v>105210400</v>
      </c>
      <c r="CS30" s="85">
        <v>105210400</v>
      </c>
      <c r="CT30" s="35"/>
      <c r="CU30" s="35"/>
      <c r="CV30" s="35"/>
      <c r="CW30" s="35"/>
      <c r="CX30" s="35"/>
      <c r="CY30" s="35"/>
      <c r="CZ30" s="36"/>
      <c r="DA30" s="35"/>
      <c r="DB30" s="35"/>
      <c r="DC30" s="35"/>
      <c r="DD30" s="35"/>
      <c r="DE30" s="35"/>
      <c r="DF30" s="35"/>
      <c r="DG30" s="35"/>
      <c r="DH30" s="35"/>
      <c r="DI30" s="36"/>
      <c r="DJ30" s="36"/>
      <c r="DK30" s="85"/>
      <c r="DL30" s="35"/>
      <c r="DM30" s="35">
        <v>16360287.039999999</v>
      </c>
      <c r="DN30" s="35">
        <v>11360300</v>
      </c>
      <c r="DO30" s="35">
        <v>4999987.04</v>
      </c>
      <c r="DP30" s="35">
        <v>11360300</v>
      </c>
      <c r="DQ30" s="35"/>
      <c r="DR30" s="36"/>
      <c r="DS30" s="35">
        <v>16360287.039999999</v>
      </c>
      <c r="DT30" s="35">
        <v>11360300</v>
      </c>
      <c r="DU30" s="35"/>
      <c r="DV30" s="35">
        <v>4999987.04</v>
      </c>
      <c r="DW30" s="35">
        <v>30.561730000000001</v>
      </c>
      <c r="DX30" s="35"/>
      <c r="DY30" s="35"/>
      <c r="DZ30" s="35">
        <v>11360300</v>
      </c>
      <c r="EA30" s="36"/>
      <c r="EB30" s="36">
        <v>11360300</v>
      </c>
      <c r="EC30" s="85">
        <v>11360300</v>
      </c>
      <c r="ED30" s="35"/>
      <c r="EE30" s="35">
        <v>35820300</v>
      </c>
      <c r="EF30" s="35">
        <v>34745600</v>
      </c>
      <c r="EG30" s="35">
        <v>1074700</v>
      </c>
      <c r="EH30" s="35">
        <v>34745600</v>
      </c>
      <c r="EI30" s="35"/>
      <c r="EJ30" s="36"/>
      <c r="EK30" s="35">
        <v>35820300</v>
      </c>
      <c r="EL30" s="35">
        <v>34745600</v>
      </c>
      <c r="EM30" s="35"/>
      <c r="EN30" s="35">
        <v>1074700</v>
      </c>
      <c r="EO30" s="35">
        <v>3.0002499999999999</v>
      </c>
      <c r="EP30" s="35"/>
      <c r="EQ30" s="35"/>
      <c r="ER30" s="35">
        <v>34745600</v>
      </c>
      <c r="ES30" s="36"/>
      <c r="ET30" s="36">
        <v>34745600</v>
      </c>
      <c r="EU30" s="85">
        <v>34745600</v>
      </c>
      <c r="EV30" s="35"/>
      <c r="EW30" s="35">
        <v>37041609.200000003</v>
      </c>
      <c r="EX30" s="35">
        <v>32226200</v>
      </c>
      <c r="EY30" s="35">
        <v>4815409.2</v>
      </c>
      <c r="EZ30" s="35">
        <v>32200318.129999999</v>
      </c>
      <c r="FA30" s="35">
        <v>158588.59</v>
      </c>
      <c r="FB30" s="36"/>
      <c r="FC30" s="35">
        <v>37011859.899999999</v>
      </c>
      <c r="FD30" s="35">
        <v>32200318.129999999</v>
      </c>
      <c r="FE30" s="35"/>
      <c r="FF30" s="35">
        <v>4811541.7699999996</v>
      </c>
      <c r="FG30" s="35">
        <v>13</v>
      </c>
      <c r="FH30" s="35">
        <v>158588.59</v>
      </c>
      <c r="FI30" s="35"/>
      <c r="FJ30" s="35">
        <v>32200318.129999999</v>
      </c>
      <c r="FK30" s="36"/>
      <c r="FL30" s="36">
        <v>32226200</v>
      </c>
      <c r="FM30" s="85">
        <v>32226200</v>
      </c>
      <c r="FN30" s="35"/>
      <c r="FO30" s="35"/>
      <c r="FP30" s="35"/>
      <c r="FQ30" s="35"/>
      <c r="FR30" s="35"/>
      <c r="FS30" s="35"/>
      <c r="FT30" s="36"/>
      <c r="FU30" s="35"/>
      <c r="FV30" s="35"/>
      <c r="FW30" s="35"/>
      <c r="FX30" s="35"/>
      <c r="FY30" s="35"/>
      <c r="FZ30" s="35"/>
      <c r="GA30" s="35"/>
      <c r="GB30" s="35"/>
      <c r="GC30" s="36"/>
      <c r="GD30" s="36"/>
      <c r="GE30" s="85"/>
      <c r="GF30" s="35"/>
      <c r="GG30" s="35">
        <v>59684253</v>
      </c>
      <c r="GH30" s="35">
        <v>51925300</v>
      </c>
      <c r="GI30" s="35">
        <v>7758953</v>
      </c>
      <c r="GJ30" s="35">
        <v>51803506.82</v>
      </c>
      <c r="GK30" s="35"/>
      <c r="GL30" s="36"/>
      <c r="GM30" s="35">
        <v>59544260.840000004</v>
      </c>
      <c r="GN30" s="35">
        <v>51803506.82</v>
      </c>
      <c r="GO30" s="35"/>
      <c r="GP30" s="35">
        <v>7740754.0199999996</v>
      </c>
      <c r="GQ30" s="35">
        <v>13</v>
      </c>
      <c r="GR30" s="35"/>
      <c r="GS30" s="35"/>
      <c r="GT30" s="35">
        <v>51803506.82</v>
      </c>
      <c r="GU30" s="36"/>
      <c r="GV30" s="36">
        <v>51925300</v>
      </c>
      <c r="GW30" s="85">
        <v>51925300</v>
      </c>
      <c r="GX30" s="35"/>
      <c r="GY30" s="35"/>
      <c r="GZ30" s="35"/>
      <c r="HA30" s="35"/>
      <c r="HB30" s="35"/>
      <c r="HC30" s="35">
        <v>2033.01</v>
      </c>
      <c r="HD30" s="36"/>
      <c r="HE30" s="35"/>
      <c r="HF30" s="35"/>
      <c r="HG30" s="35"/>
      <c r="HH30" s="35"/>
      <c r="HI30" s="35"/>
      <c r="HJ30" s="35">
        <v>2033.01</v>
      </c>
      <c r="HK30" s="35"/>
      <c r="HL30" s="35"/>
      <c r="HM30" s="36"/>
      <c r="HN30" s="36"/>
      <c r="HO30" s="85"/>
      <c r="HP30" s="35"/>
      <c r="HQ30" s="35"/>
      <c r="HR30" s="35"/>
      <c r="HS30" s="35"/>
      <c r="HT30" s="35"/>
      <c r="HU30" s="35"/>
      <c r="HV30" s="36"/>
      <c r="HW30" s="35"/>
      <c r="HX30" s="35"/>
      <c r="HY30" s="35"/>
      <c r="HZ30" s="35"/>
      <c r="IA30" s="35"/>
      <c r="IB30" s="35"/>
      <c r="IC30" s="35"/>
      <c r="ID30" s="35"/>
      <c r="IE30" s="36"/>
      <c r="IF30" s="36"/>
      <c r="IG30" s="85"/>
      <c r="IH30" s="35"/>
      <c r="II30" s="35"/>
      <c r="IJ30" s="35"/>
      <c r="IK30" s="35"/>
      <c r="IL30" s="35"/>
      <c r="IM30" s="35"/>
      <c r="IN30" s="36"/>
      <c r="IO30" s="35"/>
      <c r="IP30" s="35"/>
      <c r="IQ30" s="35"/>
      <c r="IR30" s="35"/>
      <c r="IS30" s="35"/>
      <c r="IT30" s="35"/>
      <c r="IU30" s="35"/>
      <c r="IV30" s="35"/>
      <c r="IW30" s="36"/>
      <c r="IX30" s="36"/>
      <c r="IY30" s="85"/>
      <c r="IZ30" s="35"/>
      <c r="JA30" s="35"/>
      <c r="JB30" s="35"/>
      <c r="JC30" s="35"/>
      <c r="JD30" s="35"/>
      <c r="JE30" s="35"/>
      <c r="JF30" s="36"/>
      <c r="JG30" s="35"/>
      <c r="JH30" s="35"/>
      <c r="JI30" s="35"/>
      <c r="JJ30" s="35"/>
      <c r="JK30" s="35"/>
      <c r="JL30" s="35"/>
      <c r="JM30" s="35"/>
      <c r="JN30" s="35"/>
      <c r="JO30" s="36"/>
      <c r="JP30" s="36"/>
      <c r="JQ30" s="85"/>
      <c r="JR30" s="35"/>
      <c r="JS30" s="35"/>
      <c r="JT30" s="35"/>
      <c r="JU30" s="35"/>
      <c r="JV30" s="35"/>
      <c r="JW30" s="35"/>
      <c r="JX30" s="36"/>
      <c r="JY30" s="35"/>
      <c r="JZ30" s="35"/>
      <c r="KA30" s="35"/>
      <c r="KB30" s="35"/>
      <c r="KC30" s="35"/>
      <c r="KD30" s="35"/>
      <c r="KE30" s="35"/>
      <c r="KF30" s="35"/>
      <c r="KG30" s="36"/>
      <c r="KH30" s="36"/>
      <c r="KI30" s="85"/>
      <c r="KJ30" s="35"/>
      <c r="KK30" s="35">
        <v>2295517.2400000002</v>
      </c>
      <c r="KL30" s="35">
        <v>1997100</v>
      </c>
      <c r="KM30" s="35">
        <v>298417.24</v>
      </c>
      <c r="KN30" s="35">
        <v>1881693.54</v>
      </c>
      <c r="KO30" s="35"/>
      <c r="KP30" s="36"/>
      <c r="KQ30" s="35">
        <v>2162866.14</v>
      </c>
      <c r="KR30" s="35">
        <v>1881693.54</v>
      </c>
      <c r="KS30" s="35"/>
      <c r="KT30" s="35">
        <v>281172.59999999998</v>
      </c>
      <c r="KU30" s="35">
        <v>13</v>
      </c>
      <c r="KV30" s="35"/>
      <c r="KW30" s="35"/>
      <c r="KX30" s="35">
        <v>1881693.54</v>
      </c>
      <c r="KY30" s="36"/>
      <c r="KZ30" s="36">
        <v>1997100</v>
      </c>
      <c r="LA30" s="85">
        <v>1997100</v>
      </c>
      <c r="LB30" s="35"/>
      <c r="LC30" s="35"/>
      <c r="LD30" s="35"/>
      <c r="LE30" s="35"/>
      <c r="LF30" s="35"/>
      <c r="LG30" s="35"/>
      <c r="LH30" s="36"/>
      <c r="LI30" s="35"/>
      <c r="LJ30" s="35"/>
      <c r="LK30" s="35"/>
      <c r="LL30" s="35"/>
      <c r="LM30" s="35"/>
      <c r="LN30" s="35"/>
      <c r="LO30" s="35"/>
      <c r="LP30" s="35"/>
      <c r="LQ30" s="36"/>
      <c r="LR30" s="36"/>
      <c r="LS30" s="85"/>
      <c r="LT30" s="35"/>
      <c r="LU30" s="35">
        <v>12142600</v>
      </c>
      <c r="LV30" s="35">
        <v>10564000</v>
      </c>
      <c r="LW30" s="35">
        <v>1578600</v>
      </c>
      <c r="LX30" s="35">
        <v>10558025.359999999</v>
      </c>
      <c r="LY30" s="35"/>
      <c r="LZ30" s="36"/>
      <c r="MA30" s="35">
        <v>12135732.550000001</v>
      </c>
      <c r="MB30" s="35">
        <v>10558025.359999999</v>
      </c>
      <c r="MC30" s="35"/>
      <c r="MD30" s="35">
        <v>1577707.19</v>
      </c>
      <c r="ME30" s="35">
        <v>13.00051</v>
      </c>
      <c r="MF30" s="35"/>
      <c r="MG30" s="35"/>
      <c r="MH30" s="35">
        <v>10558025.359999999</v>
      </c>
      <c r="MI30" s="36"/>
      <c r="MJ30" s="36">
        <v>10564000</v>
      </c>
      <c r="MK30" s="85">
        <v>10564000</v>
      </c>
      <c r="ML30" s="35"/>
      <c r="MM30" s="35"/>
      <c r="MN30" s="35"/>
      <c r="MO30" s="35"/>
      <c r="MP30" s="35"/>
      <c r="MQ30" s="35"/>
      <c r="MR30" s="36"/>
      <c r="MS30" s="35"/>
      <c r="MT30" s="35"/>
      <c r="MU30" s="35"/>
      <c r="MV30" s="35"/>
      <c r="MW30" s="35"/>
      <c r="MX30" s="35"/>
      <c r="MY30" s="35"/>
      <c r="MZ30" s="35"/>
      <c r="NA30" s="36"/>
      <c r="NB30" s="36"/>
      <c r="NC30" s="85"/>
      <c r="ND30" s="35"/>
      <c r="NE30" s="35">
        <v>1692000</v>
      </c>
      <c r="NF30" s="35">
        <v>1472000</v>
      </c>
      <c r="NG30" s="35">
        <v>220000</v>
      </c>
      <c r="NH30" s="35">
        <v>1472000</v>
      </c>
      <c r="NI30" s="35"/>
      <c r="NJ30" s="36"/>
      <c r="NK30" s="35">
        <v>1692000</v>
      </c>
      <c r="NL30" s="35">
        <v>1472000</v>
      </c>
      <c r="NM30" s="35"/>
      <c r="NN30" s="35">
        <v>220000</v>
      </c>
      <c r="NO30" s="35">
        <v>13.002359999999999</v>
      </c>
      <c r="NP30" s="35"/>
      <c r="NQ30" s="35"/>
      <c r="NR30" s="35">
        <v>1472000</v>
      </c>
      <c r="NS30" s="36"/>
      <c r="NT30" s="36">
        <v>1472000</v>
      </c>
      <c r="NU30" s="85">
        <v>1472000</v>
      </c>
      <c r="NV30" s="35"/>
      <c r="NW30" s="35"/>
      <c r="NX30" s="35"/>
      <c r="NY30" s="35"/>
      <c r="NZ30" s="35"/>
      <c r="OA30" s="35"/>
      <c r="OB30" s="36"/>
      <c r="OC30" s="35"/>
      <c r="OD30" s="35"/>
      <c r="OE30" s="35"/>
      <c r="OF30" s="35"/>
      <c r="OG30" s="35"/>
      <c r="OH30" s="35"/>
      <c r="OI30" s="35"/>
      <c r="OJ30" s="35"/>
      <c r="OK30" s="36"/>
      <c r="OL30" s="36"/>
      <c r="OM30" s="85"/>
      <c r="ON30" s="35"/>
      <c r="OO30" s="35"/>
      <c r="OP30" s="35"/>
      <c r="OQ30" s="35"/>
      <c r="OR30" s="35"/>
      <c r="OS30" s="35">
        <v>8562262.6799999997</v>
      </c>
      <c r="OT30" s="36"/>
      <c r="OU30" s="35"/>
      <c r="OV30" s="35"/>
      <c r="OW30" s="35"/>
      <c r="OX30" s="35"/>
      <c r="OY30" s="35"/>
      <c r="OZ30" s="35">
        <v>8562262.6799999997</v>
      </c>
      <c r="PA30" s="35"/>
      <c r="PB30" s="35"/>
      <c r="PC30" s="36"/>
      <c r="PD30" s="36"/>
      <c r="PE30" s="85"/>
      <c r="PF30" s="35"/>
      <c r="PG30" s="35"/>
      <c r="PH30" s="35"/>
      <c r="PI30" s="35"/>
      <c r="PJ30" s="35"/>
      <c r="PK30" s="35"/>
      <c r="PL30" s="36"/>
      <c r="PM30" s="35"/>
      <c r="PN30" s="35"/>
      <c r="PO30" s="35"/>
      <c r="PP30" s="35"/>
      <c r="PQ30" s="35"/>
      <c r="PR30" s="35"/>
      <c r="PS30" s="35"/>
      <c r="PT30" s="35"/>
      <c r="PU30" s="36"/>
      <c r="PV30" s="36"/>
      <c r="PW30" s="85"/>
      <c r="PX30" s="35"/>
      <c r="PY30" s="35"/>
      <c r="PZ30" s="35"/>
      <c r="QA30" s="35"/>
      <c r="QB30" s="35"/>
      <c r="QC30" s="35"/>
      <c r="QD30" s="36"/>
      <c r="QE30" s="35"/>
      <c r="QF30" s="35"/>
      <c r="QG30" s="35"/>
      <c r="QH30" s="35"/>
      <c r="QI30" s="35"/>
      <c r="QJ30" s="35"/>
      <c r="QK30" s="35"/>
      <c r="QL30" s="35"/>
      <c r="QM30" s="36"/>
      <c r="QN30" s="36"/>
      <c r="QO30" s="85"/>
      <c r="QP30" s="35"/>
      <c r="QQ30" s="35"/>
      <c r="QR30" s="35"/>
      <c r="QS30" s="35"/>
      <c r="QT30" s="35"/>
      <c r="QU30" s="35"/>
      <c r="QV30" s="36"/>
      <c r="QW30" s="35"/>
      <c r="QX30" s="35"/>
      <c r="QY30" s="35"/>
      <c r="QZ30" s="35"/>
      <c r="RA30" s="35"/>
      <c r="RB30" s="35"/>
      <c r="RC30" s="35"/>
      <c r="RD30" s="35"/>
      <c r="RE30" s="36"/>
      <c r="RF30" s="36"/>
      <c r="RG30" s="85"/>
      <c r="RH30" s="35"/>
      <c r="RI30" s="35"/>
      <c r="RJ30" s="35"/>
      <c r="RK30" s="35"/>
      <c r="RL30" s="35"/>
      <c r="RM30" s="35"/>
      <c r="RN30" s="36"/>
      <c r="RO30" s="35"/>
      <c r="RP30" s="35"/>
      <c r="RQ30" s="35"/>
      <c r="RR30" s="35"/>
      <c r="RS30" s="35"/>
      <c r="RT30" s="35"/>
      <c r="RU30" s="35"/>
      <c r="RV30" s="35"/>
      <c r="RW30" s="36"/>
      <c r="RX30" s="36"/>
      <c r="RY30" s="85"/>
      <c r="RZ30" s="35"/>
      <c r="SA30" s="35"/>
      <c r="SB30" s="35"/>
      <c r="SC30" s="35"/>
      <c r="SD30" s="35"/>
      <c r="SE30" s="35"/>
      <c r="SF30" s="36"/>
      <c r="SG30" s="35"/>
      <c r="SH30" s="35"/>
      <c r="SI30" s="35"/>
      <c r="SJ30" s="35"/>
      <c r="SK30" s="35"/>
      <c r="SL30" s="35"/>
      <c r="SM30" s="35"/>
      <c r="SN30" s="35"/>
      <c r="SO30" s="36"/>
      <c r="SP30" s="36"/>
      <c r="SQ30" s="85"/>
      <c r="SR30" s="35"/>
      <c r="SS30" s="35"/>
      <c r="ST30" s="35"/>
      <c r="SU30" s="35"/>
      <c r="SV30" s="35"/>
      <c r="SW30" s="35"/>
      <c r="SX30" s="36"/>
      <c r="SY30" s="35"/>
      <c r="SZ30" s="35"/>
      <c r="TA30" s="35"/>
      <c r="TB30" s="35"/>
      <c r="TC30" s="35"/>
      <c r="TD30" s="35"/>
      <c r="TE30" s="35"/>
      <c r="TF30" s="35"/>
      <c r="TG30" s="36"/>
      <c r="TH30" s="36"/>
      <c r="TI30" s="85"/>
      <c r="TJ30" s="35"/>
      <c r="TK30" s="35"/>
      <c r="TL30" s="35"/>
      <c r="TM30" s="35"/>
      <c r="TN30" s="35"/>
      <c r="TO30" s="35"/>
      <c r="TP30" s="36"/>
      <c r="TQ30" s="35"/>
      <c r="TR30" s="35"/>
      <c r="TS30" s="35"/>
      <c r="TT30" s="35"/>
      <c r="TU30" s="35"/>
      <c r="TV30" s="35"/>
      <c r="TW30" s="35"/>
      <c r="TX30" s="35"/>
      <c r="TY30" s="36"/>
      <c r="TZ30" s="36"/>
      <c r="UA30" s="85"/>
      <c r="UB30" s="35"/>
      <c r="UC30" s="35"/>
      <c r="UD30" s="35"/>
      <c r="UE30" s="35"/>
      <c r="UF30" s="35"/>
      <c r="UG30" s="35"/>
      <c r="UH30" s="36"/>
      <c r="UI30" s="35"/>
      <c r="UJ30" s="35"/>
      <c r="UK30" s="35"/>
      <c r="UL30" s="35"/>
      <c r="UM30" s="35"/>
      <c r="UN30" s="35"/>
      <c r="UO30" s="35"/>
      <c r="UP30" s="35"/>
      <c r="UQ30" s="36"/>
      <c r="UR30" s="36"/>
      <c r="US30" s="85"/>
    </row>
    <row r="31" spans="1:565" x14ac:dyDescent="0.3">
      <c r="A31" s="8" t="s">
        <v>49</v>
      </c>
      <c r="B31" s="168" t="s">
        <v>50</v>
      </c>
      <c r="C31" s="13" t="s">
        <v>51</v>
      </c>
      <c r="F31" s="36">
        <v>2770918100</v>
      </c>
      <c r="G31" s="35"/>
      <c r="H31" s="35"/>
      <c r="I31" s="35">
        <v>104841758.23999999</v>
      </c>
      <c r="J31" s="35">
        <v>95406000</v>
      </c>
      <c r="K31" s="35">
        <v>9435758.2400000002</v>
      </c>
      <c r="L31" s="35">
        <v>95406000</v>
      </c>
      <c r="M31" s="35">
        <v>33681.129999999997</v>
      </c>
      <c r="N31" s="36"/>
      <c r="O31" s="35">
        <v>104841758.23999999</v>
      </c>
      <c r="P31" s="35">
        <v>95406000</v>
      </c>
      <c r="Q31" s="35"/>
      <c r="R31" s="35">
        <v>9435758.2400000002</v>
      </c>
      <c r="S31" s="35">
        <v>9</v>
      </c>
      <c r="T31" s="35">
        <v>33681.129999999997</v>
      </c>
      <c r="U31" s="35"/>
      <c r="V31" s="35">
        <v>95406000</v>
      </c>
      <c r="W31" s="36"/>
      <c r="X31" s="36">
        <v>95406000</v>
      </c>
      <c r="Y31" s="85">
        <v>95406000</v>
      </c>
      <c r="Z31" s="35"/>
      <c r="AA31" s="35">
        <v>47988901.100000001</v>
      </c>
      <c r="AB31" s="35">
        <v>43669900</v>
      </c>
      <c r="AC31" s="35">
        <v>4319001.0999999996</v>
      </c>
      <c r="AD31" s="35">
        <v>43669900</v>
      </c>
      <c r="AE31" s="35"/>
      <c r="AF31" s="36"/>
      <c r="AG31" s="35">
        <v>47988901.100000001</v>
      </c>
      <c r="AH31" s="35">
        <v>43669900</v>
      </c>
      <c r="AI31" s="35"/>
      <c r="AJ31" s="35">
        <v>4319001.0999999996</v>
      </c>
      <c r="AK31" s="35">
        <v>9</v>
      </c>
      <c r="AL31" s="35"/>
      <c r="AM31" s="35"/>
      <c r="AN31" s="35">
        <v>43669900</v>
      </c>
      <c r="AO31" s="36"/>
      <c r="AP31" s="36">
        <v>43669900</v>
      </c>
      <c r="AQ31" s="85">
        <v>43669900</v>
      </c>
      <c r="AR31" s="35"/>
      <c r="AS31" s="35">
        <v>762795714.28999996</v>
      </c>
      <c r="AT31" s="35">
        <v>694144100</v>
      </c>
      <c r="AU31" s="35">
        <v>68651614.290000007</v>
      </c>
      <c r="AV31" s="35">
        <v>694144100</v>
      </c>
      <c r="AW31" s="35">
        <v>4195427.91</v>
      </c>
      <c r="AX31" s="36"/>
      <c r="AY31" s="35">
        <v>762795714.28999996</v>
      </c>
      <c r="AZ31" s="35">
        <v>694144100</v>
      </c>
      <c r="BA31" s="35"/>
      <c r="BB31" s="35">
        <v>68651614.290000007</v>
      </c>
      <c r="BC31" s="35">
        <v>9</v>
      </c>
      <c r="BD31" s="35">
        <v>4195427.91</v>
      </c>
      <c r="BE31" s="35"/>
      <c r="BF31" s="35">
        <v>694144100</v>
      </c>
      <c r="BG31" s="36"/>
      <c r="BH31" s="36">
        <v>694144100</v>
      </c>
      <c r="BI31" s="85">
        <v>694144100</v>
      </c>
      <c r="BJ31" s="35"/>
      <c r="BK31" s="35">
        <v>1623820015.4200001</v>
      </c>
      <c r="BL31" s="35">
        <v>1263981500</v>
      </c>
      <c r="BM31" s="35">
        <v>359838515.42000002</v>
      </c>
      <c r="BN31" s="35">
        <v>1263981500</v>
      </c>
      <c r="BO31" s="35"/>
      <c r="BP31" s="36"/>
      <c r="BQ31" s="35">
        <v>1623820015.4200001</v>
      </c>
      <c r="BR31" s="35">
        <v>1263981500</v>
      </c>
      <c r="BS31" s="35"/>
      <c r="BT31" s="35">
        <v>359838515.42000002</v>
      </c>
      <c r="BU31" s="35">
        <v>22.16</v>
      </c>
      <c r="BV31" s="35"/>
      <c r="BW31" s="35"/>
      <c r="BX31" s="35">
        <v>1263981500</v>
      </c>
      <c r="BY31" s="36"/>
      <c r="BZ31" s="36">
        <v>1263981500</v>
      </c>
      <c r="CA31" s="85">
        <v>1263981500</v>
      </c>
      <c r="CB31" s="35"/>
      <c r="CC31" s="35">
        <v>39275934.07</v>
      </c>
      <c r="CD31" s="35">
        <v>35741100</v>
      </c>
      <c r="CE31" s="35">
        <v>3534834.07</v>
      </c>
      <c r="CF31" s="35">
        <v>35741100</v>
      </c>
      <c r="CG31" s="35"/>
      <c r="CH31" s="36"/>
      <c r="CI31" s="35">
        <v>39275934.07</v>
      </c>
      <c r="CJ31" s="35">
        <v>35741100</v>
      </c>
      <c r="CK31" s="35"/>
      <c r="CL31" s="35">
        <v>3534834.07</v>
      </c>
      <c r="CM31" s="35">
        <v>9</v>
      </c>
      <c r="CN31" s="35"/>
      <c r="CO31" s="35"/>
      <c r="CP31" s="35">
        <v>35741100</v>
      </c>
      <c r="CQ31" s="36"/>
      <c r="CR31" s="36">
        <v>35741100</v>
      </c>
      <c r="CS31" s="85">
        <v>35741100</v>
      </c>
      <c r="CT31" s="35"/>
      <c r="CU31" s="35"/>
      <c r="CV31" s="35"/>
      <c r="CW31" s="35"/>
      <c r="CX31" s="35"/>
      <c r="CY31" s="35"/>
      <c r="CZ31" s="36"/>
      <c r="DA31" s="35"/>
      <c r="DB31" s="35"/>
      <c r="DC31" s="35"/>
      <c r="DD31" s="35"/>
      <c r="DE31" s="35"/>
      <c r="DF31" s="35"/>
      <c r="DG31" s="35"/>
      <c r="DH31" s="35"/>
      <c r="DI31" s="36"/>
      <c r="DJ31" s="36"/>
      <c r="DK31" s="85"/>
      <c r="DL31" s="35"/>
      <c r="DM31" s="35">
        <v>29783991</v>
      </c>
      <c r="DN31" s="35">
        <v>29489100</v>
      </c>
      <c r="DO31" s="35">
        <v>294891</v>
      </c>
      <c r="DP31" s="35">
        <v>29489004.920000002</v>
      </c>
      <c r="DQ31" s="35"/>
      <c r="DR31" s="36"/>
      <c r="DS31" s="35">
        <v>29783894.969999999</v>
      </c>
      <c r="DT31" s="35">
        <v>29489004.920000002</v>
      </c>
      <c r="DU31" s="35"/>
      <c r="DV31" s="35">
        <v>294890.05</v>
      </c>
      <c r="DW31" s="35">
        <v>0.99009999999999998</v>
      </c>
      <c r="DX31" s="35"/>
      <c r="DY31" s="35"/>
      <c r="DZ31" s="35">
        <v>29489004.920000002</v>
      </c>
      <c r="EA31" s="36"/>
      <c r="EB31" s="36">
        <v>29489100</v>
      </c>
      <c r="EC31" s="85">
        <v>29489100</v>
      </c>
      <c r="ED31" s="35"/>
      <c r="EE31" s="35">
        <v>80808367.349999994</v>
      </c>
      <c r="EF31" s="35">
        <v>79192200</v>
      </c>
      <c r="EG31" s="35">
        <v>1616167.35</v>
      </c>
      <c r="EH31" s="35">
        <v>79192200</v>
      </c>
      <c r="EI31" s="35"/>
      <c r="EJ31" s="36"/>
      <c r="EK31" s="35">
        <v>80808367.349999994</v>
      </c>
      <c r="EL31" s="35">
        <v>79192200</v>
      </c>
      <c r="EM31" s="35"/>
      <c r="EN31" s="35">
        <v>1616167.35</v>
      </c>
      <c r="EO31" s="35">
        <v>2</v>
      </c>
      <c r="EP31" s="35"/>
      <c r="EQ31" s="35"/>
      <c r="ER31" s="35">
        <v>79192200</v>
      </c>
      <c r="ES31" s="36"/>
      <c r="ET31" s="36">
        <v>79192200</v>
      </c>
      <c r="EU31" s="85">
        <v>79192200</v>
      </c>
      <c r="EV31" s="35"/>
      <c r="EW31" s="35">
        <v>502381208.79000002</v>
      </c>
      <c r="EX31" s="35">
        <v>457166900</v>
      </c>
      <c r="EY31" s="35">
        <v>45214308.789999999</v>
      </c>
      <c r="EZ31" s="35">
        <v>457166900</v>
      </c>
      <c r="FA31" s="35">
        <v>1541968.77</v>
      </c>
      <c r="FB31" s="36"/>
      <c r="FC31" s="35">
        <v>502381208.79000002</v>
      </c>
      <c r="FD31" s="35">
        <v>457166900</v>
      </c>
      <c r="FE31" s="35"/>
      <c r="FF31" s="35">
        <v>45214308.789999999</v>
      </c>
      <c r="FG31" s="35">
        <v>9</v>
      </c>
      <c r="FH31" s="35">
        <v>1541968.77</v>
      </c>
      <c r="FI31" s="35"/>
      <c r="FJ31" s="35">
        <v>457166900</v>
      </c>
      <c r="FK31" s="36"/>
      <c r="FL31" s="36">
        <v>457166900</v>
      </c>
      <c r="FM31" s="85">
        <v>457166900</v>
      </c>
      <c r="FN31" s="35"/>
      <c r="FO31" s="35"/>
      <c r="FP31" s="35"/>
      <c r="FQ31" s="35"/>
      <c r="FR31" s="35"/>
      <c r="FS31" s="35">
        <v>1606965.25</v>
      </c>
      <c r="FT31" s="36"/>
      <c r="FU31" s="35"/>
      <c r="FV31" s="35"/>
      <c r="FW31" s="35"/>
      <c r="FX31" s="35"/>
      <c r="FY31" s="35"/>
      <c r="FZ31" s="35">
        <v>1605965.25</v>
      </c>
      <c r="GA31" s="35">
        <v>1000</v>
      </c>
      <c r="GB31" s="35"/>
      <c r="GC31" s="36"/>
      <c r="GD31" s="36"/>
      <c r="GE31" s="85"/>
      <c r="GF31" s="35"/>
      <c r="GG31" s="35">
        <v>34546703.299999997</v>
      </c>
      <c r="GH31" s="35">
        <v>31437500</v>
      </c>
      <c r="GI31" s="35">
        <v>3109203.3</v>
      </c>
      <c r="GJ31" s="35">
        <v>31437500</v>
      </c>
      <c r="GK31" s="35"/>
      <c r="GL31" s="36"/>
      <c r="GM31" s="35">
        <v>34546703.299999997</v>
      </c>
      <c r="GN31" s="35">
        <v>31437500</v>
      </c>
      <c r="GO31" s="35"/>
      <c r="GP31" s="35">
        <v>3109203.3</v>
      </c>
      <c r="GQ31" s="35">
        <v>9</v>
      </c>
      <c r="GR31" s="35"/>
      <c r="GS31" s="35"/>
      <c r="GT31" s="35">
        <v>31437500</v>
      </c>
      <c r="GU31" s="36"/>
      <c r="GV31" s="36">
        <v>31437500</v>
      </c>
      <c r="GW31" s="85">
        <v>31437500</v>
      </c>
      <c r="GX31" s="35"/>
      <c r="GY31" s="35"/>
      <c r="GZ31" s="35"/>
      <c r="HA31" s="35"/>
      <c r="HB31" s="35"/>
      <c r="HC31" s="35"/>
      <c r="HD31" s="36"/>
      <c r="HE31" s="35"/>
      <c r="HF31" s="35"/>
      <c r="HG31" s="35"/>
      <c r="HH31" s="35"/>
      <c r="HI31" s="35"/>
      <c r="HJ31" s="35"/>
      <c r="HK31" s="35"/>
      <c r="HL31" s="35"/>
      <c r="HM31" s="36"/>
      <c r="HN31" s="36"/>
      <c r="HO31" s="85"/>
      <c r="HP31" s="35"/>
      <c r="HQ31" s="35"/>
      <c r="HR31" s="35"/>
      <c r="HS31" s="35"/>
      <c r="HT31" s="35"/>
      <c r="HU31" s="35"/>
      <c r="HV31" s="36"/>
      <c r="HW31" s="35"/>
      <c r="HX31" s="35"/>
      <c r="HY31" s="35"/>
      <c r="HZ31" s="35"/>
      <c r="IA31" s="35"/>
      <c r="IB31" s="35"/>
      <c r="IC31" s="35"/>
      <c r="ID31" s="35"/>
      <c r="IE31" s="36"/>
      <c r="IF31" s="36"/>
      <c r="IG31" s="85"/>
      <c r="IH31" s="35"/>
      <c r="II31" s="35"/>
      <c r="IJ31" s="35"/>
      <c r="IK31" s="35"/>
      <c r="IL31" s="35"/>
      <c r="IM31" s="35"/>
      <c r="IN31" s="36"/>
      <c r="IO31" s="35"/>
      <c r="IP31" s="35"/>
      <c r="IQ31" s="35"/>
      <c r="IR31" s="35"/>
      <c r="IS31" s="35"/>
      <c r="IT31" s="35"/>
      <c r="IU31" s="35"/>
      <c r="IV31" s="35"/>
      <c r="IW31" s="36"/>
      <c r="IX31" s="36"/>
      <c r="IY31" s="85"/>
      <c r="IZ31" s="35"/>
      <c r="JA31" s="35">
        <v>3401648.35</v>
      </c>
      <c r="JB31" s="35">
        <v>3095500</v>
      </c>
      <c r="JC31" s="35">
        <v>306148.34999999998</v>
      </c>
      <c r="JD31" s="35">
        <v>3095500</v>
      </c>
      <c r="JE31" s="35"/>
      <c r="JF31" s="36"/>
      <c r="JG31" s="35">
        <v>3401648.35</v>
      </c>
      <c r="JH31" s="35">
        <v>3095500</v>
      </c>
      <c r="JI31" s="35"/>
      <c r="JJ31" s="35">
        <v>306148.34999999998</v>
      </c>
      <c r="JK31" s="35">
        <v>9</v>
      </c>
      <c r="JL31" s="35"/>
      <c r="JM31" s="35"/>
      <c r="JN31" s="35">
        <v>3095500</v>
      </c>
      <c r="JO31" s="36"/>
      <c r="JP31" s="36">
        <v>3095500</v>
      </c>
      <c r="JQ31" s="85">
        <v>3095500</v>
      </c>
      <c r="JR31" s="35"/>
      <c r="JS31" s="35"/>
      <c r="JT31" s="35"/>
      <c r="JU31" s="35"/>
      <c r="JV31" s="35"/>
      <c r="JW31" s="35"/>
      <c r="JX31" s="36"/>
      <c r="JY31" s="35"/>
      <c r="JZ31" s="35"/>
      <c r="KA31" s="35"/>
      <c r="KB31" s="35"/>
      <c r="KC31" s="35"/>
      <c r="KD31" s="35"/>
      <c r="KE31" s="35"/>
      <c r="KF31" s="35"/>
      <c r="KG31" s="36"/>
      <c r="KH31" s="36"/>
      <c r="KI31" s="85"/>
      <c r="KJ31" s="35"/>
      <c r="KK31" s="35">
        <v>1577362.64</v>
      </c>
      <c r="KL31" s="35">
        <v>1435400</v>
      </c>
      <c r="KM31" s="35">
        <v>141962.64000000001</v>
      </c>
      <c r="KN31" s="35">
        <v>1435400</v>
      </c>
      <c r="KO31" s="35"/>
      <c r="KP31" s="36"/>
      <c r="KQ31" s="35">
        <v>1577362.64</v>
      </c>
      <c r="KR31" s="35">
        <v>1435400</v>
      </c>
      <c r="KS31" s="35"/>
      <c r="KT31" s="35">
        <v>141962.64000000001</v>
      </c>
      <c r="KU31" s="35">
        <v>9</v>
      </c>
      <c r="KV31" s="35"/>
      <c r="KW31" s="35"/>
      <c r="KX31" s="35">
        <v>1435400</v>
      </c>
      <c r="KY31" s="36"/>
      <c r="KZ31" s="36">
        <v>1435400</v>
      </c>
      <c r="LA31" s="85">
        <v>1435400</v>
      </c>
      <c r="LB31" s="35"/>
      <c r="LC31" s="35"/>
      <c r="LD31" s="35"/>
      <c r="LE31" s="35"/>
      <c r="LF31" s="35"/>
      <c r="LG31" s="35"/>
      <c r="LH31" s="36"/>
      <c r="LI31" s="35"/>
      <c r="LJ31" s="35"/>
      <c r="LK31" s="35"/>
      <c r="LL31" s="35"/>
      <c r="LM31" s="35"/>
      <c r="LN31" s="35"/>
      <c r="LO31" s="35"/>
      <c r="LP31" s="35"/>
      <c r="LQ31" s="36"/>
      <c r="LR31" s="36"/>
      <c r="LS31" s="85"/>
      <c r="LT31" s="35"/>
      <c r="LU31" s="35">
        <v>36435054.950000003</v>
      </c>
      <c r="LV31" s="35">
        <v>33155900</v>
      </c>
      <c r="LW31" s="35">
        <v>3279154.95</v>
      </c>
      <c r="LX31" s="35">
        <v>33155900</v>
      </c>
      <c r="LY31" s="35"/>
      <c r="LZ31" s="36"/>
      <c r="MA31" s="35">
        <v>36435054.950000003</v>
      </c>
      <c r="MB31" s="35">
        <v>33155900</v>
      </c>
      <c r="MC31" s="35"/>
      <c r="MD31" s="35">
        <v>3279154.95</v>
      </c>
      <c r="ME31" s="35">
        <v>9</v>
      </c>
      <c r="MF31" s="35"/>
      <c r="MG31" s="35"/>
      <c r="MH31" s="35">
        <v>33155900</v>
      </c>
      <c r="MI31" s="36"/>
      <c r="MJ31" s="36">
        <v>33155900</v>
      </c>
      <c r="MK31" s="85">
        <v>33155900</v>
      </c>
      <c r="ML31" s="35"/>
      <c r="MM31" s="35"/>
      <c r="MN31" s="35"/>
      <c r="MO31" s="35"/>
      <c r="MP31" s="35"/>
      <c r="MQ31" s="35"/>
      <c r="MR31" s="36"/>
      <c r="MS31" s="35"/>
      <c r="MT31" s="35"/>
      <c r="MU31" s="35"/>
      <c r="MV31" s="35"/>
      <c r="MW31" s="35"/>
      <c r="MX31" s="35"/>
      <c r="MY31" s="35"/>
      <c r="MZ31" s="35"/>
      <c r="NA31" s="36"/>
      <c r="NB31" s="36"/>
      <c r="NC31" s="85"/>
      <c r="ND31" s="35"/>
      <c r="NE31" s="35">
        <v>3300000</v>
      </c>
      <c r="NF31" s="35">
        <v>3003000</v>
      </c>
      <c r="NG31" s="35">
        <v>297000</v>
      </c>
      <c r="NH31" s="35">
        <v>3003000</v>
      </c>
      <c r="NI31" s="35"/>
      <c r="NJ31" s="36"/>
      <c r="NK31" s="35">
        <v>3300000</v>
      </c>
      <c r="NL31" s="35">
        <v>3003000</v>
      </c>
      <c r="NM31" s="35"/>
      <c r="NN31" s="35">
        <v>297000</v>
      </c>
      <c r="NO31" s="35">
        <v>9</v>
      </c>
      <c r="NP31" s="35"/>
      <c r="NQ31" s="35"/>
      <c r="NR31" s="35">
        <v>3003000</v>
      </c>
      <c r="NS31" s="36"/>
      <c r="NT31" s="36">
        <v>3003000</v>
      </c>
      <c r="NU31" s="85">
        <v>3003000</v>
      </c>
      <c r="NV31" s="35"/>
      <c r="NW31" s="35"/>
      <c r="NX31" s="35"/>
      <c r="NY31" s="35"/>
      <c r="NZ31" s="35"/>
      <c r="OA31" s="35"/>
      <c r="OB31" s="36"/>
      <c r="OC31" s="35"/>
      <c r="OD31" s="35"/>
      <c r="OE31" s="35"/>
      <c r="OF31" s="35"/>
      <c r="OG31" s="35"/>
      <c r="OH31" s="35"/>
      <c r="OI31" s="35"/>
      <c r="OJ31" s="35"/>
      <c r="OK31" s="36"/>
      <c r="OL31" s="36"/>
      <c r="OM31" s="85"/>
      <c r="ON31" s="35"/>
      <c r="OO31" s="35"/>
      <c r="OP31" s="35"/>
      <c r="OQ31" s="35"/>
      <c r="OR31" s="35"/>
      <c r="OS31" s="35">
        <v>1623699.52</v>
      </c>
      <c r="OT31" s="36"/>
      <c r="OU31" s="35"/>
      <c r="OV31" s="35"/>
      <c r="OW31" s="35"/>
      <c r="OX31" s="35"/>
      <c r="OY31" s="35"/>
      <c r="OZ31" s="35">
        <v>1623699.52</v>
      </c>
      <c r="PA31" s="35"/>
      <c r="PB31" s="35"/>
      <c r="PC31" s="36"/>
      <c r="PD31" s="36"/>
      <c r="PE31" s="85"/>
      <c r="PF31" s="35"/>
      <c r="PG31" s="35"/>
      <c r="PH31" s="35"/>
      <c r="PI31" s="35"/>
      <c r="PJ31" s="35"/>
      <c r="PK31" s="35"/>
      <c r="PL31" s="36"/>
      <c r="PM31" s="35"/>
      <c r="PN31" s="35"/>
      <c r="PO31" s="35"/>
      <c r="PP31" s="35"/>
      <c r="PQ31" s="35"/>
      <c r="PR31" s="35"/>
      <c r="PS31" s="35"/>
      <c r="PT31" s="35"/>
      <c r="PU31" s="36"/>
      <c r="PV31" s="36"/>
      <c r="PW31" s="85"/>
      <c r="PX31" s="35"/>
      <c r="PY31" s="35"/>
      <c r="PZ31" s="35"/>
      <c r="QA31" s="35"/>
      <c r="QB31" s="35"/>
      <c r="QC31" s="35"/>
      <c r="QD31" s="36"/>
      <c r="QE31" s="35"/>
      <c r="QF31" s="35"/>
      <c r="QG31" s="35"/>
      <c r="QH31" s="35"/>
      <c r="QI31" s="35"/>
      <c r="QJ31" s="35"/>
      <c r="QK31" s="35"/>
      <c r="QL31" s="35"/>
      <c r="QM31" s="36"/>
      <c r="QN31" s="36"/>
      <c r="QO31" s="85"/>
      <c r="QP31" s="35"/>
      <c r="QQ31" s="35"/>
      <c r="QR31" s="35"/>
      <c r="QS31" s="35"/>
      <c r="QT31" s="35"/>
      <c r="QU31" s="35"/>
      <c r="QV31" s="36"/>
      <c r="QW31" s="35"/>
      <c r="QX31" s="35"/>
      <c r="QY31" s="35"/>
      <c r="QZ31" s="35"/>
      <c r="RA31" s="35"/>
      <c r="RB31" s="35"/>
      <c r="RC31" s="35"/>
      <c r="RD31" s="35"/>
      <c r="RE31" s="36"/>
      <c r="RF31" s="36"/>
      <c r="RG31" s="85"/>
      <c r="RH31" s="35"/>
      <c r="RI31" s="35"/>
      <c r="RJ31" s="35"/>
      <c r="RK31" s="35"/>
      <c r="RL31" s="35"/>
      <c r="RM31" s="35">
        <v>145685245.80000001</v>
      </c>
      <c r="RN31" s="36"/>
      <c r="RO31" s="35"/>
      <c r="RP31" s="35"/>
      <c r="RQ31" s="35"/>
      <c r="RR31" s="35"/>
      <c r="RS31" s="35"/>
      <c r="RT31" s="35">
        <v>145685245.80000001</v>
      </c>
      <c r="RU31" s="35"/>
      <c r="RV31" s="35"/>
      <c r="RW31" s="36"/>
      <c r="RX31" s="36"/>
      <c r="RY31" s="85"/>
      <c r="RZ31" s="35"/>
      <c r="SA31" s="35"/>
      <c r="SB31" s="35"/>
      <c r="SC31" s="35"/>
      <c r="SD31" s="35"/>
      <c r="SE31" s="35"/>
      <c r="SF31" s="36"/>
      <c r="SG31" s="35"/>
      <c r="SH31" s="35"/>
      <c r="SI31" s="35"/>
      <c r="SJ31" s="35"/>
      <c r="SK31" s="35"/>
      <c r="SL31" s="35"/>
      <c r="SM31" s="35"/>
      <c r="SN31" s="35"/>
      <c r="SO31" s="36"/>
      <c r="SP31" s="36"/>
      <c r="SQ31" s="85"/>
      <c r="SR31" s="35"/>
      <c r="SS31" s="35"/>
      <c r="ST31" s="35"/>
      <c r="SU31" s="35"/>
      <c r="SV31" s="35"/>
      <c r="SW31" s="35"/>
      <c r="SX31" s="36"/>
      <c r="SY31" s="35"/>
      <c r="SZ31" s="35"/>
      <c r="TA31" s="35"/>
      <c r="TB31" s="35"/>
      <c r="TC31" s="35"/>
      <c r="TD31" s="35"/>
      <c r="TE31" s="35"/>
      <c r="TF31" s="35"/>
      <c r="TG31" s="36"/>
      <c r="TH31" s="36"/>
      <c r="TI31" s="85"/>
      <c r="TJ31" s="35"/>
      <c r="TK31" s="35"/>
      <c r="TL31" s="35"/>
      <c r="TM31" s="35"/>
      <c r="TN31" s="35"/>
      <c r="TO31" s="35"/>
      <c r="TP31" s="36"/>
      <c r="TQ31" s="35"/>
      <c r="TR31" s="35"/>
      <c r="TS31" s="35"/>
      <c r="TT31" s="35"/>
      <c r="TU31" s="35"/>
      <c r="TV31" s="35"/>
      <c r="TW31" s="35"/>
      <c r="TX31" s="35"/>
      <c r="TY31" s="36"/>
      <c r="TZ31" s="36"/>
      <c r="UA31" s="85"/>
      <c r="UB31" s="35"/>
      <c r="UC31" s="35"/>
      <c r="UD31" s="35"/>
      <c r="UE31" s="35"/>
      <c r="UF31" s="35"/>
      <c r="UG31" s="35"/>
      <c r="UH31" s="36"/>
      <c r="UI31" s="35"/>
      <c r="UJ31" s="35"/>
      <c r="UK31" s="35"/>
      <c r="UL31" s="35"/>
      <c r="UM31" s="35"/>
      <c r="UN31" s="35"/>
      <c r="UO31" s="35"/>
      <c r="UP31" s="35"/>
      <c r="UQ31" s="36"/>
      <c r="UR31" s="36"/>
      <c r="US31" s="85"/>
    </row>
    <row r="32" spans="1:565" x14ac:dyDescent="0.3">
      <c r="A32" s="8" t="s">
        <v>52</v>
      </c>
      <c r="B32" s="169" t="s">
        <v>53</v>
      </c>
      <c r="C32" s="13" t="s">
        <v>54</v>
      </c>
      <c r="F32" s="36">
        <v>1365772900</v>
      </c>
      <c r="G32" s="35"/>
      <c r="H32" s="35"/>
      <c r="I32" s="35">
        <v>161550200</v>
      </c>
      <c r="J32" s="35">
        <v>135702100</v>
      </c>
      <c r="K32" s="35">
        <v>25848100</v>
      </c>
      <c r="L32" s="35">
        <v>135292284.40000001</v>
      </c>
      <c r="M32" s="35"/>
      <c r="N32" s="36"/>
      <c r="O32" s="35">
        <v>161062292.30000001</v>
      </c>
      <c r="P32" s="35">
        <v>135292257.72</v>
      </c>
      <c r="Q32" s="35"/>
      <c r="R32" s="35">
        <v>25770034.579999998</v>
      </c>
      <c r="S32" s="35">
        <v>16.000039999999998</v>
      </c>
      <c r="T32" s="35"/>
      <c r="U32" s="35">
        <v>26.68</v>
      </c>
      <c r="V32" s="35">
        <v>135292284.40000001</v>
      </c>
      <c r="W32" s="36"/>
      <c r="X32" s="36">
        <v>135702100</v>
      </c>
      <c r="Y32" s="85">
        <v>135702100</v>
      </c>
      <c r="Z32" s="35"/>
      <c r="AA32" s="35">
        <v>88592100</v>
      </c>
      <c r="AB32" s="35">
        <v>74417300</v>
      </c>
      <c r="AC32" s="35">
        <v>14174800</v>
      </c>
      <c r="AD32" s="35">
        <v>74417300</v>
      </c>
      <c r="AE32" s="35"/>
      <c r="AF32" s="36"/>
      <c r="AG32" s="35">
        <v>88592100</v>
      </c>
      <c r="AH32" s="35">
        <v>74417300</v>
      </c>
      <c r="AI32" s="35"/>
      <c r="AJ32" s="35">
        <v>14174800</v>
      </c>
      <c r="AK32" s="35">
        <v>16.000070000000001</v>
      </c>
      <c r="AL32" s="35"/>
      <c r="AM32" s="35"/>
      <c r="AN32" s="35">
        <v>74417300</v>
      </c>
      <c r="AO32" s="36"/>
      <c r="AP32" s="36">
        <v>74417300</v>
      </c>
      <c r="AQ32" s="85">
        <v>74417300</v>
      </c>
      <c r="AR32" s="35"/>
      <c r="AS32" s="35">
        <v>237245700</v>
      </c>
      <c r="AT32" s="35">
        <v>199286300</v>
      </c>
      <c r="AU32" s="35">
        <v>37959400</v>
      </c>
      <c r="AV32" s="35">
        <v>186379694.28</v>
      </c>
      <c r="AW32" s="35">
        <v>8729.8799999999992</v>
      </c>
      <c r="AX32" s="36"/>
      <c r="AY32" s="35">
        <v>221652713.78</v>
      </c>
      <c r="AZ32" s="35">
        <v>186188164.62</v>
      </c>
      <c r="BA32" s="35"/>
      <c r="BB32" s="35">
        <v>35464549.159999996</v>
      </c>
      <c r="BC32" s="35">
        <v>16.000050000000002</v>
      </c>
      <c r="BD32" s="35">
        <v>8729.8799999999992</v>
      </c>
      <c r="BE32" s="35">
        <v>191529.66</v>
      </c>
      <c r="BF32" s="35">
        <v>186379694.28</v>
      </c>
      <c r="BG32" s="36"/>
      <c r="BH32" s="36">
        <v>199286300</v>
      </c>
      <c r="BI32" s="85">
        <v>199286300</v>
      </c>
      <c r="BJ32" s="35"/>
      <c r="BK32" s="35">
        <v>817440300</v>
      </c>
      <c r="BL32" s="35">
        <v>776568300</v>
      </c>
      <c r="BM32" s="35">
        <v>40872000</v>
      </c>
      <c r="BN32" s="35">
        <v>704169968.86000001</v>
      </c>
      <c r="BO32" s="35"/>
      <c r="BP32" s="36"/>
      <c r="BQ32" s="35">
        <v>741123544.50999999</v>
      </c>
      <c r="BR32" s="35">
        <v>704067380.86000001</v>
      </c>
      <c r="BS32" s="35"/>
      <c r="BT32" s="35">
        <v>37056163.649999999</v>
      </c>
      <c r="BU32" s="35">
        <v>5</v>
      </c>
      <c r="BV32" s="35"/>
      <c r="BW32" s="35">
        <v>102588</v>
      </c>
      <c r="BX32" s="35">
        <v>704169968.86000001</v>
      </c>
      <c r="BY32" s="36"/>
      <c r="BZ32" s="36">
        <v>776568300</v>
      </c>
      <c r="CA32" s="85">
        <v>776568300</v>
      </c>
      <c r="CB32" s="35"/>
      <c r="CC32" s="35">
        <v>43841700</v>
      </c>
      <c r="CD32" s="35">
        <v>36827000</v>
      </c>
      <c r="CE32" s="35">
        <v>7014700</v>
      </c>
      <c r="CF32" s="35">
        <v>36773333.539999999</v>
      </c>
      <c r="CG32" s="35"/>
      <c r="CH32" s="36"/>
      <c r="CI32" s="35">
        <v>43777811.299999997</v>
      </c>
      <c r="CJ32" s="35">
        <v>36773333.539999999</v>
      </c>
      <c r="CK32" s="35"/>
      <c r="CL32" s="35">
        <v>7004477.7599999998</v>
      </c>
      <c r="CM32" s="35">
        <v>16.000060000000001</v>
      </c>
      <c r="CN32" s="35"/>
      <c r="CO32" s="35"/>
      <c r="CP32" s="35">
        <v>36773333.539999999</v>
      </c>
      <c r="CQ32" s="36"/>
      <c r="CR32" s="36">
        <v>36827000</v>
      </c>
      <c r="CS32" s="85">
        <v>36827000</v>
      </c>
      <c r="CT32" s="35"/>
      <c r="CU32" s="35"/>
      <c r="CV32" s="35"/>
      <c r="CW32" s="35"/>
      <c r="CX32" s="35"/>
      <c r="CY32" s="35"/>
      <c r="CZ32" s="36"/>
      <c r="DA32" s="35"/>
      <c r="DB32" s="35"/>
      <c r="DC32" s="35"/>
      <c r="DD32" s="35"/>
      <c r="DE32" s="35"/>
      <c r="DF32" s="35"/>
      <c r="DG32" s="35"/>
      <c r="DH32" s="35"/>
      <c r="DI32" s="36"/>
      <c r="DJ32" s="36"/>
      <c r="DK32" s="85"/>
      <c r="DL32" s="35"/>
      <c r="DM32" s="35"/>
      <c r="DN32" s="35"/>
      <c r="DO32" s="35"/>
      <c r="DP32" s="35"/>
      <c r="DQ32" s="35"/>
      <c r="DR32" s="36"/>
      <c r="DS32" s="35"/>
      <c r="DT32" s="35"/>
      <c r="DU32" s="35"/>
      <c r="DV32" s="35"/>
      <c r="DW32" s="35"/>
      <c r="DX32" s="35"/>
      <c r="DY32" s="35"/>
      <c r="DZ32" s="35"/>
      <c r="EA32" s="36"/>
      <c r="EB32" s="36"/>
      <c r="EC32" s="85"/>
      <c r="ED32" s="35"/>
      <c r="EE32" s="35">
        <v>66111400</v>
      </c>
      <c r="EF32" s="35">
        <v>64128000</v>
      </c>
      <c r="EG32" s="35">
        <v>1983400</v>
      </c>
      <c r="EH32" s="35">
        <v>63475879.280000001</v>
      </c>
      <c r="EI32" s="35"/>
      <c r="EJ32" s="36"/>
      <c r="EK32" s="35">
        <v>65439110</v>
      </c>
      <c r="EL32" s="35">
        <v>63475879.280000001</v>
      </c>
      <c r="EM32" s="35"/>
      <c r="EN32" s="35">
        <v>1963230.72</v>
      </c>
      <c r="EO32" s="35">
        <v>3.0000900000000001</v>
      </c>
      <c r="EP32" s="35"/>
      <c r="EQ32" s="35"/>
      <c r="ER32" s="35">
        <v>63475879.280000001</v>
      </c>
      <c r="ES32" s="36"/>
      <c r="ET32" s="36">
        <v>64128000</v>
      </c>
      <c r="EU32" s="85">
        <v>64128000</v>
      </c>
      <c r="EV32" s="35"/>
      <c r="EW32" s="35">
        <v>45299100</v>
      </c>
      <c r="EX32" s="35">
        <v>35914500</v>
      </c>
      <c r="EY32" s="35">
        <v>9384600</v>
      </c>
      <c r="EZ32" s="35">
        <v>35914500</v>
      </c>
      <c r="FA32" s="35">
        <v>15.35</v>
      </c>
      <c r="FB32" s="36"/>
      <c r="FC32" s="35">
        <v>45299100</v>
      </c>
      <c r="FD32" s="35">
        <v>35914500</v>
      </c>
      <c r="FE32" s="35"/>
      <c r="FF32" s="35">
        <v>9384600</v>
      </c>
      <c r="FG32" s="35">
        <v>20.71697</v>
      </c>
      <c r="FH32" s="35">
        <v>15.35</v>
      </c>
      <c r="FI32" s="35"/>
      <c r="FJ32" s="35">
        <v>35914500</v>
      </c>
      <c r="FK32" s="36"/>
      <c r="FL32" s="36">
        <v>35914500</v>
      </c>
      <c r="FM32" s="85">
        <v>35914500</v>
      </c>
      <c r="FN32" s="35"/>
      <c r="FO32" s="35"/>
      <c r="FP32" s="35"/>
      <c r="FQ32" s="35"/>
      <c r="FR32" s="35"/>
      <c r="FS32" s="35">
        <v>73322.69</v>
      </c>
      <c r="FT32" s="36"/>
      <c r="FU32" s="35"/>
      <c r="FV32" s="35"/>
      <c r="FW32" s="35"/>
      <c r="FX32" s="35"/>
      <c r="FY32" s="35"/>
      <c r="FZ32" s="35">
        <v>73322.69</v>
      </c>
      <c r="GA32" s="35"/>
      <c r="GB32" s="35"/>
      <c r="GC32" s="36"/>
      <c r="GD32" s="36"/>
      <c r="GE32" s="85"/>
      <c r="GF32" s="35"/>
      <c r="GG32" s="35">
        <v>53469600</v>
      </c>
      <c r="GH32" s="35">
        <v>42344900</v>
      </c>
      <c r="GI32" s="35">
        <v>11124700</v>
      </c>
      <c r="GJ32" s="35">
        <v>40855658.409999996</v>
      </c>
      <c r="GK32" s="35"/>
      <c r="GL32" s="36"/>
      <c r="GM32" s="35">
        <v>51652324.43</v>
      </c>
      <c r="GN32" s="35">
        <v>40855658.409999996</v>
      </c>
      <c r="GO32" s="35"/>
      <c r="GP32" s="35">
        <v>10796666.02</v>
      </c>
      <c r="GQ32" s="35">
        <v>20.90258</v>
      </c>
      <c r="GR32" s="35"/>
      <c r="GS32" s="35"/>
      <c r="GT32" s="35">
        <v>40855658.409999996</v>
      </c>
      <c r="GU32" s="36"/>
      <c r="GV32" s="36">
        <v>42344900</v>
      </c>
      <c r="GW32" s="85">
        <v>42344900</v>
      </c>
      <c r="GX32" s="35"/>
      <c r="GY32" s="35"/>
      <c r="GZ32" s="35"/>
      <c r="HA32" s="35"/>
      <c r="HB32" s="35"/>
      <c r="HC32" s="35"/>
      <c r="HD32" s="36"/>
      <c r="HE32" s="35"/>
      <c r="HF32" s="35"/>
      <c r="HG32" s="35"/>
      <c r="HH32" s="35"/>
      <c r="HI32" s="35"/>
      <c r="HJ32" s="35"/>
      <c r="HK32" s="35"/>
      <c r="HL32" s="35"/>
      <c r="HM32" s="36"/>
      <c r="HN32" s="36"/>
      <c r="HO32" s="85"/>
      <c r="HP32" s="35"/>
      <c r="HQ32" s="35"/>
      <c r="HR32" s="35"/>
      <c r="HS32" s="35"/>
      <c r="HT32" s="35"/>
      <c r="HU32" s="35"/>
      <c r="HV32" s="36"/>
      <c r="HW32" s="35"/>
      <c r="HX32" s="35"/>
      <c r="HY32" s="35"/>
      <c r="HZ32" s="35"/>
      <c r="IA32" s="35"/>
      <c r="IB32" s="35"/>
      <c r="IC32" s="35"/>
      <c r="ID32" s="35"/>
      <c r="IE32" s="36"/>
      <c r="IF32" s="36"/>
      <c r="IG32" s="85"/>
      <c r="IH32" s="35"/>
      <c r="II32" s="35"/>
      <c r="IJ32" s="35"/>
      <c r="IK32" s="35"/>
      <c r="IL32" s="35"/>
      <c r="IM32" s="35"/>
      <c r="IN32" s="36"/>
      <c r="IO32" s="35"/>
      <c r="IP32" s="35"/>
      <c r="IQ32" s="35"/>
      <c r="IR32" s="35"/>
      <c r="IS32" s="35"/>
      <c r="IT32" s="35"/>
      <c r="IU32" s="35"/>
      <c r="IV32" s="35"/>
      <c r="IW32" s="36"/>
      <c r="IX32" s="36"/>
      <c r="IY32" s="85"/>
      <c r="IZ32" s="35"/>
      <c r="JA32" s="35"/>
      <c r="JB32" s="35"/>
      <c r="JC32" s="35"/>
      <c r="JD32" s="35"/>
      <c r="JE32" s="35"/>
      <c r="JF32" s="36"/>
      <c r="JG32" s="35"/>
      <c r="JH32" s="35"/>
      <c r="JI32" s="35"/>
      <c r="JJ32" s="35"/>
      <c r="JK32" s="35"/>
      <c r="JL32" s="35"/>
      <c r="JM32" s="35"/>
      <c r="JN32" s="35"/>
      <c r="JO32" s="36"/>
      <c r="JP32" s="36"/>
      <c r="JQ32" s="85"/>
      <c r="JR32" s="35"/>
      <c r="JS32" s="35"/>
      <c r="JT32" s="35"/>
      <c r="JU32" s="35"/>
      <c r="JV32" s="35"/>
      <c r="JW32" s="35"/>
      <c r="JX32" s="36"/>
      <c r="JY32" s="35"/>
      <c r="JZ32" s="35"/>
      <c r="KA32" s="35"/>
      <c r="KB32" s="35"/>
      <c r="KC32" s="35"/>
      <c r="KD32" s="35"/>
      <c r="KE32" s="35"/>
      <c r="KF32" s="35"/>
      <c r="KG32" s="36"/>
      <c r="KH32" s="36"/>
      <c r="KI32" s="85"/>
      <c r="KJ32" s="35"/>
      <c r="KK32" s="35"/>
      <c r="KL32" s="35"/>
      <c r="KM32" s="35"/>
      <c r="KN32" s="35"/>
      <c r="KO32" s="35"/>
      <c r="KP32" s="36"/>
      <c r="KQ32" s="35"/>
      <c r="KR32" s="35"/>
      <c r="KS32" s="35"/>
      <c r="KT32" s="35"/>
      <c r="KU32" s="35"/>
      <c r="KV32" s="35"/>
      <c r="KW32" s="35"/>
      <c r="KX32" s="35"/>
      <c r="KY32" s="36"/>
      <c r="KZ32" s="36"/>
      <c r="LA32" s="85"/>
      <c r="LB32" s="35"/>
      <c r="LC32" s="35"/>
      <c r="LD32" s="35"/>
      <c r="LE32" s="35"/>
      <c r="LF32" s="35"/>
      <c r="LG32" s="35"/>
      <c r="LH32" s="36"/>
      <c r="LI32" s="35"/>
      <c r="LJ32" s="35"/>
      <c r="LK32" s="35"/>
      <c r="LL32" s="35"/>
      <c r="LM32" s="35"/>
      <c r="LN32" s="35"/>
      <c r="LO32" s="35"/>
      <c r="LP32" s="35"/>
      <c r="LQ32" s="36"/>
      <c r="LR32" s="36"/>
      <c r="LS32" s="85"/>
      <c r="LT32" s="35"/>
      <c r="LU32" s="35"/>
      <c r="LV32" s="35"/>
      <c r="LW32" s="35"/>
      <c r="LX32" s="35"/>
      <c r="LY32" s="35"/>
      <c r="LZ32" s="36"/>
      <c r="MA32" s="35"/>
      <c r="MB32" s="35"/>
      <c r="MC32" s="35"/>
      <c r="MD32" s="35"/>
      <c r="ME32" s="35"/>
      <c r="MF32" s="35"/>
      <c r="MG32" s="35"/>
      <c r="MH32" s="35"/>
      <c r="MI32" s="36"/>
      <c r="MJ32" s="36"/>
      <c r="MK32" s="85"/>
      <c r="ML32" s="35"/>
      <c r="MM32" s="35"/>
      <c r="MN32" s="35"/>
      <c r="MO32" s="35"/>
      <c r="MP32" s="35"/>
      <c r="MQ32" s="35"/>
      <c r="MR32" s="36"/>
      <c r="MS32" s="35"/>
      <c r="MT32" s="35"/>
      <c r="MU32" s="35"/>
      <c r="MV32" s="35"/>
      <c r="MW32" s="35"/>
      <c r="MX32" s="35"/>
      <c r="MY32" s="35"/>
      <c r="MZ32" s="35"/>
      <c r="NA32" s="36"/>
      <c r="NB32" s="36"/>
      <c r="NC32" s="85"/>
      <c r="ND32" s="35"/>
      <c r="NE32" s="35">
        <v>695800</v>
      </c>
      <c r="NF32" s="35">
        <v>584500</v>
      </c>
      <c r="NG32" s="35">
        <v>111300</v>
      </c>
      <c r="NH32" s="35">
        <v>473898.37</v>
      </c>
      <c r="NI32" s="35"/>
      <c r="NJ32" s="36"/>
      <c r="NK32" s="35">
        <v>564137.69999999995</v>
      </c>
      <c r="NL32" s="35">
        <v>473898.37</v>
      </c>
      <c r="NM32" s="35"/>
      <c r="NN32" s="35">
        <v>90239.33</v>
      </c>
      <c r="NO32" s="35">
        <v>15.995979999999999</v>
      </c>
      <c r="NP32" s="35"/>
      <c r="NQ32" s="35"/>
      <c r="NR32" s="35">
        <v>473898.37</v>
      </c>
      <c r="NS32" s="36"/>
      <c r="NT32" s="36">
        <v>584500</v>
      </c>
      <c r="NU32" s="85">
        <v>584500</v>
      </c>
      <c r="NV32" s="35"/>
      <c r="NW32" s="35"/>
      <c r="NX32" s="35"/>
      <c r="NY32" s="35"/>
      <c r="NZ32" s="35"/>
      <c r="OA32" s="35"/>
      <c r="OB32" s="36"/>
      <c r="OC32" s="35"/>
      <c r="OD32" s="35"/>
      <c r="OE32" s="35"/>
      <c r="OF32" s="35"/>
      <c r="OG32" s="35"/>
      <c r="OH32" s="35"/>
      <c r="OI32" s="35"/>
      <c r="OJ32" s="35"/>
      <c r="OK32" s="36"/>
      <c r="OL32" s="36"/>
      <c r="OM32" s="85"/>
      <c r="ON32" s="35"/>
      <c r="OO32" s="35"/>
      <c r="OP32" s="35"/>
      <c r="OQ32" s="35"/>
      <c r="OR32" s="35"/>
      <c r="OS32" s="35">
        <v>186709.43</v>
      </c>
      <c r="OT32" s="36"/>
      <c r="OU32" s="35"/>
      <c r="OV32" s="35"/>
      <c r="OW32" s="35"/>
      <c r="OX32" s="35"/>
      <c r="OY32" s="35"/>
      <c r="OZ32" s="35">
        <v>186709.43</v>
      </c>
      <c r="PA32" s="35"/>
      <c r="PB32" s="35"/>
      <c r="PC32" s="36"/>
      <c r="PD32" s="36"/>
      <c r="PE32" s="85"/>
      <c r="PF32" s="35"/>
      <c r="PG32" s="35"/>
      <c r="PH32" s="35"/>
      <c r="PI32" s="35"/>
      <c r="PJ32" s="35"/>
      <c r="PK32" s="35"/>
      <c r="PL32" s="36"/>
      <c r="PM32" s="35"/>
      <c r="PN32" s="35"/>
      <c r="PO32" s="35"/>
      <c r="PP32" s="35"/>
      <c r="PQ32" s="35"/>
      <c r="PR32" s="35"/>
      <c r="PS32" s="35"/>
      <c r="PT32" s="35"/>
      <c r="PU32" s="36"/>
      <c r="PV32" s="36"/>
      <c r="PW32" s="85"/>
      <c r="PX32" s="35"/>
      <c r="PY32" s="35"/>
      <c r="PZ32" s="35"/>
      <c r="QA32" s="35"/>
      <c r="QB32" s="35"/>
      <c r="QC32" s="35"/>
      <c r="QD32" s="36"/>
      <c r="QE32" s="35"/>
      <c r="QF32" s="35"/>
      <c r="QG32" s="35"/>
      <c r="QH32" s="35"/>
      <c r="QI32" s="35"/>
      <c r="QJ32" s="35"/>
      <c r="QK32" s="35"/>
      <c r="QL32" s="35"/>
      <c r="QM32" s="36"/>
      <c r="QN32" s="36"/>
      <c r="QO32" s="85"/>
      <c r="QP32" s="35"/>
      <c r="QQ32" s="35"/>
      <c r="QR32" s="35"/>
      <c r="QS32" s="35"/>
      <c r="QT32" s="35"/>
      <c r="QU32" s="35"/>
      <c r="QV32" s="36"/>
      <c r="QW32" s="35"/>
      <c r="QX32" s="35"/>
      <c r="QY32" s="35"/>
      <c r="QZ32" s="35"/>
      <c r="RA32" s="35"/>
      <c r="RB32" s="35"/>
      <c r="RC32" s="35"/>
      <c r="RD32" s="35"/>
      <c r="RE32" s="36"/>
      <c r="RF32" s="36"/>
      <c r="RG32" s="85"/>
      <c r="RH32" s="35"/>
      <c r="RI32" s="35"/>
      <c r="RJ32" s="35"/>
      <c r="RK32" s="35"/>
      <c r="RL32" s="35"/>
      <c r="RM32" s="35"/>
      <c r="RN32" s="36"/>
      <c r="RO32" s="35"/>
      <c r="RP32" s="35"/>
      <c r="RQ32" s="35"/>
      <c r="RR32" s="35"/>
      <c r="RS32" s="35"/>
      <c r="RT32" s="35"/>
      <c r="RU32" s="35"/>
      <c r="RV32" s="35"/>
      <c r="RW32" s="36"/>
      <c r="RX32" s="36"/>
      <c r="RY32" s="85"/>
      <c r="RZ32" s="35"/>
      <c r="SA32" s="35"/>
      <c r="SB32" s="35"/>
      <c r="SC32" s="35"/>
      <c r="SD32" s="35"/>
      <c r="SE32" s="35"/>
      <c r="SF32" s="36"/>
      <c r="SG32" s="35"/>
      <c r="SH32" s="35"/>
      <c r="SI32" s="35"/>
      <c r="SJ32" s="35"/>
      <c r="SK32" s="35"/>
      <c r="SL32" s="35"/>
      <c r="SM32" s="35"/>
      <c r="SN32" s="35"/>
      <c r="SO32" s="36"/>
      <c r="SP32" s="36"/>
      <c r="SQ32" s="85"/>
      <c r="SR32" s="35"/>
      <c r="SS32" s="35"/>
      <c r="ST32" s="35"/>
      <c r="SU32" s="35"/>
      <c r="SV32" s="35"/>
      <c r="SW32" s="35"/>
      <c r="SX32" s="36"/>
      <c r="SY32" s="35"/>
      <c r="SZ32" s="35"/>
      <c r="TA32" s="35"/>
      <c r="TB32" s="35"/>
      <c r="TC32" s="35"/>
      <c r="TD32" s="35"/>
      <c r="TE32" s="35"/>
      <c r="TF32" s="35"/>
      <c r="TG32" s="36"/>
      <c r="TH32" s="36"/>
      <c r="TI32" s="85"/>
      <c r="TJ32" s="35"/>
      <c r="TK32" s="35"/>
      <c r="TL32" s="35"/>
      <c r="TM32" s="35"/>
      <c r="TN32" s="35"/>
      <c r="TO32" s="35"/>
      <c r="TP32" s="36"/>
      <c r="TQ32" s="35"/>
      <c r="TR32" s="35"/>
      <c r="TS32" s="35"/>
      <c r="TT32" s="35"/>
      <c r="TU32" s="35"/>
      <c r="TV32" s="35"/>
      <c r="TW32" s="35"/>
      <c r="TX32" s="35"/>
      <c r="TY32" s="36"/>
      <c r="TZ32" s="36"/>
      <c r="UA32" s="85"/>
      <c r="UB32" s="35"/>
      <c r="UC32" s="35"/>
      <c r="UD32" s="35"/>
      <c r="UE32" s="35"/>
      <c r="UF32" s="35"/>
      <c r="UG32" s="35"/>
      <c r="UH32" s="36"/>
      <c r="UI32" s="35"/>
      <c r="UJ32" s="35"/>
      <c r="UK32" s="35"/>
      <c r="UL32" s="35"/>
      <c r="UM32" s="35"/>
      <c r="UN32" s="35"/>
      <c r="UO32" s="35"/>
      <c r="UP32" s="35"/>
      <c r="UQ32" s="36"/>
      <c r="UR32" s="36"/>
      <c r="US32" s="85"/>
    </row>
    <row r="33" spans="1:565" x14ac:dyDescent="0.3">
      <c r="A33" s="8" t="s">
        <v>55</v>
      </c>
      <c r="B33" s="168" t="s">
        <v>56</v>
      </c>
      <c r="C33" s="13" t="s">
        <v>57</v>
      </c>
      <c r="F33" s="36">
        <v>1088460000</v>
      </c>
      <c r="G33" s="35"/>
      <c r="H33" s="35"/>
      <c r="I33" s="35">
        <v>231589000</v>
      </c>
      <c r="J33" s="35">
        <v>169059900</v>
      </c>
      <c r="K33" s="35">
        <v>62529100</v>
      </c>
      <c r="L33" s="35">
        <v>169059900</v>
      </c>
      <c r="M33" s="35">
        <v>4068307.8</v>
      </c>
      <c r="N33" s="36"/>
      <c r="O33" s="35">
        <v>231589000</v>
      </c>
      <c r="P33" s="35">
        <v>169059900</v>
      </c>
      <c r="Q33" s="35"/>
      <c r="R33" s="35">
        <v>62529100</v>
      </c>
      <c r="S33" s="35">
        <v>27.000029999999999</v>
      </c>
      <c r="T33" s="35">
        <v>4068307.8</v>
      </c>
      <c r="U33" s="35"/>
      <c r="V33" s="35">
        <v>169059900</v>
      </c>
      <c r="W33" s="36"/>
      <c r="X33" s="36">
        <v>169059900</v>
      </c>
      <c r="Y33" s="85">
        <v>169059900</v>
      </c>
      <c r="Z33" s="35"/>
      <c r="AA33" s="35">
        <v>91619200</v>
      </c>
      <c r="AB33" s="35">
        <v>66882000</v>
      </c>
      <c r="AC33" s="35">
        <v>24737200</v>
      </c>
      <c r="AD33" s="35">
        <v>66882000</v>
      </c>
      <c r="AE33" s="35">
        <v>63661.54</v>
      </c>
      <c r="AF33" s="36"/>
      <c r="AG33" s="35">
        <v>91619200</v>
      </c>
      <c r="AH33" s="35">
        <v>66882000</v>
      </c>
      <c r="AI33" s="35"/>
      <c r="AJ33" s="35">
        <v>24737200</v>
      </c>
      <c r="AK33" s="35">
        <v>27.000019999999999</v>
      </c>
      <c r="AL33" s="35">
        <v>63661.54</v>
      </c>
      <c r="AM33" s="35"/>
      <c r="AN33" s="35">
        <v>66882000</v>
      </c>
      <c r="AO33" s="36"/>
      <c r="AP33" s="36">
        <v>66882000</v>
      </c>
      <c r="AQ33" s="85">
        <v>66882000</v>
      </c>
      <c r="AR33" s="35"/>
      <c r="AS33" s="35">
        <v>517559900</v>
      </c>
      <c r="AT33" s="35">
        <v>377818700</v>
      </c>
      <c r="AU33" s="35">
        <v>139741200</v>
      </c>
      <c r="AV33" s="35">
        <v>372517067.11000001</v>
      </c>
      <c r="AW33" s="35">
        <v>2384983.7999999998</v>
      </c>
      <c r="AX33" s="36"/>
      <c r="AY33" s="35">
        <v>510297388.62</v>
      </c>
      <c r="AZ33" s="35">
        <v>372517067.11000001</v>
      </c>
      <c r="BA33" s="35"/>
      <c r="BB33" s="35">
        <v>137780321.50999999</v>
      </c>
      <c r="BC33" s="35">
        <v>27.00001</v>
      </c>
      <c r="BD33" s="35">
        <v>2384983.7999999998</v>
      </c>
      <c r="BE33" s="35"/>
      <c r="BF33" s="35">
        <v>372517067.11000001</v>
      </c>
      <c r="BG33" s="36"/>
      <c r="BH33" s="36">
        <v>377818700</v>
      </c>
      <c r="BI33" s="85">
        <v>377818700</v>
      </c>
      <c r="BJ33" s="35"/>
      <c r="BK33" s="35">
        <v>316134526</v>
      </c>
      <c r="BL33" s="35">
        <v>300327800</v>
      </c>
      <c r="BM33" s="35">
        <v>15806726</v>
      </c>
      <c r="BN33" s="35">
        <v>298144290.55000001</v>
      </c>
      <c r="BO33" s="35"/>
      <c r="BP33" s="36"/>
      <c r="BQ33" s="35">
        <v>313836095</v>
      </c>
      <c r="BR33" s="35">
        <v>298144290.55000001</v>
      </c>
      <c r="BS33" s="35"/>
      <c r="BT33" s="35">
        <v>15691804.449999999</v>
      </c>
      <c r="BU33" s="35">
        <v>5</v>
      </c>
      <c r="BV33" s="35"/>
      <c r="BW33" s="35"/>
      <c r="BX33" s="35">
        <v>298144290.55000001</v>
      </c>
      <c r="BY33" s="36"/>
      <c r="BZ33" s="36">
        <v>300327800</v>
      </c>
      <c r="CA33" s="85">
        <v>300327800</v>
      </c>
      <c r="CB33" s="35"/>
      <c r="CC33" s="35">
        <v>143261000</v>
      </c>
      <c r="CD33" s="35">
        <v>104580500</v>
      </c>
      <c r="CE33" s="35">
        <v>38680500</v>
      </c>
      <c r="CF33" s="35">
        <v>99631435.299999997</v>
      </c>
      <c r="CG33" s="35"/>
      <c r="CH33" s="36"/>
      <c r="CI33" s="35">
        <v>136481457.34999999</v>
      </c>
      <c r="CJ33" s="35">
        <v>99631435.299999997</v>
      </c>
      <c r="CK33" s="35"/>
      <c r="CL33" s="35">
        <v>36850022.049999997</v>
      </c>
      <c r="CM33" s="35">
        <v>27.000019999999999</v>
      </c>
      <c r="CN33" s="35"/>
      <c r="CO33" s="35"/>
      <c r="CP33" s="35">
        <v>99631435.299999997</v>
      </c>
      <c r="CQ33" s="36"/>
      <c r="CR33" s="36">
        <v>104580500</v>
      </c>
      <c r="CS33" s="85">
        <v>104580500</v>
      </c>
      <c r="CT33" s="35"/>
      <c r="CU33" s="35"/>
      <c r="CV33" s="35"/>
      <c r="CW33" s="35"/>
      <c r="CX33" s="35"/>
      <c r="CY33" s="35"/>
      <c r="CZ33" s="36"/>
      <c r="DA33" s="35"/>
      <c r="DB33" s="35"/>
      <c r="DC33" s="35"/>
      <c r="DD33" s="35"/>
      <c r="DE33" s="35"/>
      <c r="DF33" s="35"/>
      <c r="DG33" s="35"/>
      <c r="DH33" s="35"/>
      <c r="DI33" s="36"/>
      <c r="DJ33" s="36"/>
      <c r="DK33" s="85"/>
      <c r="DL33" s="35"/>
      <c r="DM33" s="35">
        <v>18454996</v>
      </c>
      <c r="DN33" s="35">
        <v>13470800</v>
      </c>
      <c r="DO33" s="35">
        <v>4984196</v>
      </c>
      <c r="DP33" s="35">
        <v>13429885.93</v>
      </c>
      <c r="DQ33" s="35"/>
      <c r="DR33" s="36"/>
      <c r="DS33" s="35">
        <v>18398943.719999999</v>
      </c>
      <c r="DT33" s="35">
        <v>13429885.93</v>
      </c>
      <c r="DU33" s="35"/>
      <c r="DV33" s="35">
        <v>4969057.79</v>
      </c>
      <c r="DW33" s="35">
        <v>27.007300000000001</v>
      </c>
      <c r="DX33" s="35"/>
      <c r="DY33" s="35"/>
      <c r="DZ33" s="35">
        <v>13429885.93</v>
      </c>
      <c r="EA33" s="36"/>
      <c r="EB33" s="36">
        <v>13470800</v>
      </c>
      <c r="EC33" s="85">
        <v>13470800</v>
      </c>
      <c r="ED33" s="35"/>
      <c r="EE33" s="35">
        <v>30362900</v>
      </c>
      <c r="EF33" s="35">
        <v>29148300</v>
      </c>
      <c r="EG33" s="35">
        <v>1214600</v>
      </c>
      <c r="EH33" s="35">
        <v>29148300</v>
      </c>
      <c r="EI33" s="35"/>
      <c r="EJ33" s="36"/>
      <c r="EK33" s="35">
        <v>30362900</v>
      </c>
      <c r="EL33" s="35">
        <v>29148300</v>
      </c>
      <c r="EM33" s="35"/>
      <c r="EN33" s="35">
        <v>1214600</v>
      </c>
      <c r="EO33" s="35">
        <v>4.0002800000000001</v>
      </c>
      <c r="EP33" s="35"/>
      <c r="EQ33" s="35"/>
      <c r="ER33" s="35">
        <v>29148300</v>
      </c>
      <c r="ES33" s="36"/>
      <c r="ET33" s="36">
        <v>29148300</v>
      </c>
      <c r="EU33" s="85">
        <v>29148300</v>
      </c>
      <c r="EV33" s="35"/>
      <c r="EW33" s="35">
        <v>5511643.8399999999</v>
      </c>
      <c r="EX33" s="35">
        <v>4023500</v>
      </c>
      <c r="EY33" s="35">
        <v>1488143.84</v>
      </c>
      <c r="EZ33" s="35">
        <v>3861869.36</v>
      </c>
      <c r="FA33" s="35"/>
      <c r="FB33" s="36"/>
      <c r="FC33" s="35">
        <v>5290232</v>
      </c>
      <c r="FD33" s="35">
        <v>3861869.36</v>
      </c>
      <c r="FE33" s="35"/>
      <c r="FF33" s="35">
        <v>1428362.64</v>
      </c>
      <c r="FG33" s="35">
        <v>27</v>
      </c>
      <c r="FH33" s="35"/>
      <c r="FI33" s="35"/>
      <c r="FJ33" s="35">
        <v>3861869.36</v>
      </c>
      <c r="FK33" s="36"/>
      <c r="FL33" s="36">
        <v>4023500</v>
      </c>
      <c r="FM33" s="85">
        <v>4023500</v>
      </c>
      <c r="FN33" s="35"/>
      <c r="FO33" s="35"/>
      <c r="FP33" s="35"/>
      <c r="FQ33" s="35"/>
      <c r="FR33" s="35"/>
      <c r="FS33" s="35">
        <v>296739.59999999998</v>
      </c>
      <c r="FT33" s="36"/>
      <c r="FU33" s="35"/>
      <c r="FV33" s="35"/>
      <c r="FW33" s="35"/>
      <c r="FX33" s="35"/>
      <c r="FY33" s="35"/>
      <c r="FZ33" s="35">
        <v>296739.59999999998</v>
      </c>
      <c r="GA33" s="35"/>
      <c r="GB33" s="35"/>
      <c r="GC33" s="36"/>
      <c r="GD33" s="36"/>
      <c r="GE33" s="85"/>
      <c r="GF33" s="35"/>
      <c r="GG33" s="35">
        <v>31832292</v>
      </c>
      <c r="GH33" s="35">
        <v>22773000</v>
      </c>
      <c r="GI33" s="35">
        <v>9059292</v>
      </c>
      <c r="GJ33" s="35">
        <v>21789472.109999999</v>
      </c>
      <c r="GK33" s="35"/>
      <c r="GL33" s="36"/>
      <c r="GM33" s="35">
        <v>30457508.399999999</v>
      </c>
      <c r="GN33" s="35">
        <v>21789472.109999999</v>
      </c>
      <c r="GO33" s="35"/>
      <c r="GP33" s="35">
        <v>8668036.2899999991</v>
      </c>
      <c r="GQ33" s="35">
        <v>28.459440000000001</v>
      </c>
      <c r="GR33" s="35"/>
      <c r="GS33" s="35"/>
      <c r="GT33" s="35">
        <v>21789472.109999999</v>
      </c>
      <c r="GU33" s="36"/>
      <c r="GV33" s="36">
        <v>22773000</v>
      </c>
      <c r="GW33" s="85">
        <v>22773000</v>
      </c>
      <c r="GX33" s="35"/>
      <c r="GY33" s="35"/>
      <c r="GZ33" s="35"/>
      <c r="HA33" s="35"/>
      <c r="HB33" s="35"/>
      <c r="HC33" s="35"/>
      <c r="HD33" s="36"/>
      <c r="HE33" s="35"/>
      <c r="HF33" s="35"/>
      <c r="HG33" s="35"/>
      <c r="HH33" s="35"/>
      <c r="HI33" s="35"/>
      <c r="HJ33" s="35"/>
      <c r="HK33" s="35"/>
      <c r="HL33" s="35"/>
      <c r="HM33" s="36"/>
      <c r="HN33" s="36"/>
      <c r="HO33" s="85"/>
      <c r="HP33" s="35"/>
      <c r="HQ33" s="35"/>
      <c r="HR33" s="35"/>
      <c r="HS33" s="35"/>
      <c r="HT33" s="35"/>
      <c r="HU33" s="35"/>
      <c r="HV33" s="36"/>
      <c r="HW33" s="35"/>
      <c r="HX33" s="35"/>
      <c r="HY33" s="35"/>
      <c r="HZ33" s="35"/>
      <c r="IA33" s="35"/>
      <c r="IB33" s="35"/>
      <c r="IC33" s="35"/>
      <c r="ID33" s="35"/>
      <c r="IE33" s="36"/>
      <c r="IF33" s="36"/>
      <c r="IG33" s="85"/>
      <c r="IH33" s="35"/>
      <c r="II33" s="35"/>
      <c r="IJ33" s="35"/>
      <c r="IK33" s="35"/>
      <c r="IL33" s="35"/>
      <c r="IM33" s="35"/>
      <c r="IN33" s="36"/>
      <c r="IO33" s="35"/>
      <c r="IP33" s="35"/>
      <c r="IQ33" s="35"/>
      <c r="IR33" s="35"/>
      <c r="IS33" s="35"/>
      <c r="IT33" s="35"/>
      <c r="IU33" s="35"/>
      <c r="IV33" s="35"/>
      <c r="IW33" s="36"/>
      <c r="IX33" s="36"/>
      <c r="IY33" s="85"/>
      <c r="IZ33" s="35"/>
      <c r="JA33" s="35"/>
      <c r="JB33" s="35"/>
      <c r="JC33" s="35"/>
      <c r="JD33" s="35"/>
      <c r="JE33" s="35"/>
      <c r="JF33" s="36"/>
      <c r="JG33" s="35"/>
      <c r="JH33" s="35"/>
      <c r="JI33" s="35"/>
      <c r="JJ33" s="35"/>
      <c r="JK33" s="35"/>
      <c r="JL33" s="35"/>
      <c r="JM33" s="35"/>
      <c r="JN33" s="35"/>
      <c r="JO33" s="36"/>
      <c r="JP33" s="36"/>
      <c r="JQ33" s="85"/>
      <c r="JR33" s="35"/>
      <c r="JS33" s="35"/>
      <c r="JT33" s="35"/>
      <c r="JU33" s="35"/>
      <c r="JV33" s="35"/>
      <c r="JW33" s="35"/>
      <c r="JX33" s="36"/>
      <c r="JY33" s="35"/>
      <c r="JZ33" s="35"/>
      <c r="KA33" s="35"/>
      <c r="KB33" s="35"/>
      <c r="KC33" s="35"/>
      <c r="KD33" s="35"/>
      <c r="KE33" s="35"/>
      <c r="KF33" s="35"/>
      <c r="KG33" s="36"/>
      <c r="KH33" s="36"/>
      <c r="KI33" s="85"/>
      <c r="KJ33" s="35"/>
      <c r="KK33" s="35"/>
      <c r="KL33" s="35"/>
      <c r="KM33" s="35"/>
      <c r="KN33" s="35"/>
      <c r="KO33" s="35"/>
      <c r="KP33" s="36"/>
      <c r="KQ33" s="35"/>
      <c r="KR33" s="35"/>
      <c r="KS33" s="35"/>
      <c r="KT33" s="35"/>
      <c r="KU33" s="35"/>
      <c r="KV33" s="35"/>
      <c r="KW33" s="35"/>
      <c r="KX33" s="35"/>
      <c r="KY33" s="36"/>
      <c r="KZ33" s="36"/>
      <c r="LA33" s="85"/>
      <c r="LB33" s="35"/>
      <c r="LC33" s="35"/>
      <c r="LD33" s="35"/>
      <c r="LE33" s="35"/>
      <c r="LF33" s="35"/>
      <c r="LG33" s="35"/>
      <c r="LH33" s="36"/>
      <c r="LI33" s="35"/>
      <c r="LJ33" s="35"/>
      <c r="LK33" s="35"/>
      <c r="LL33" s="35"/>
      <c r="LM33" s="35"/>
      <c r="LN33" s="35"/>
      <c r="LO33" s="35"/>
      <c r="LP33" s="35"/>
      <c r="LQ33" s="36"/>
      <c r="LR33" s="36"/>
      <c r="LS33" s="85"/>
      <c r="LT33" s="35"/>
      <c r="LU33" s="35"/>
      <c r="LV33" s="35"/>
      <c r="LW33" s="35"/>
      <c r="LX33" s="35"/>
      <c r="LY33" s="35"/>
      <c r="LZ33" s="36"/>
      <c r="MA33" s="35"/>
      <c r="MB33" s="35"/>
      <c r="MC33" s="35"/>
      <c r="MD33" s="35"/>
      <c r="ME33" s="35"/>
      <c r="MF33" s="35"/>
      <c r="MG33" s="35"/>
      <c r="MH33" s="35"/>
      <c r="MI33" s="36"/>
      <c r="MJ33" s="36"/>
      <c r="MK33" s="85"/>
      <c r="ML33" s="35"/>
      <c r="MM33" s="35"/>
      <c r="MN33" s="35"/>
      <c r="MO33" s="35"/>
      <c r="MP33" s="35"/>
      <c r="MQ33" s="35"/>
      <c r="MR33" s="36"/>
      <c r="MS33" s="35"/>
      <c r="MT33" s="35"/>
      <c r="MU33" s="35"/>
      <c r="MV33" s="35"/>
      <c r="MW33" s="35"/>
      <c r="MX33" s="35"/>
      <c r="MY33" s="35"/>
      <c r="MZ33" s="35"/>
      <c r="NA33" s="36"/>
      <c r="NB33" s="36"/>
      <c r="NC33" s="85"/>
      <c r="ND33" s="35"/>
      <c r="NE33" s="35">
        <v>919350</v>
      </c>
      <c r="NF33" s="35">
        <v>375500</v>
      </c>
      <c r="NG33" s="35">
        <v>543850</v>
      </c>
      <c r="NH33" s="35">
        <v>363618.71</v>
      </c>
      <c r="NI33" s="35"/>
      <c r="NJ33" s="36"/>
      <c r="NK33" s="35">
        <v>890260.63</v>
      </c>
      <c r="NL33" s="35">
        <v>363618.71</v>
      </c>
      <c r="NM33" s="35"/>
      <c r="NN33" s="35">
        <v>526641.92000000004</v>
      </c>
      <c r="NO33" s="35">
        <v>59.155929999999998</v>
      </c>
      <c r="NP33" s="35"/>
      <c r="NQ33" s="35"/>
      <c r="NR33" s="35">
        <v>363618.71</v>
      </c>
      <c r="NS33" s="36"/>
      <c r="NT33" s="36">
        <v>375500</v>
      </c>
      <c r="NU33" s="85">
        <v>375500</v>
      </c>
      <c r="NV33" s="35"/>
      <c r="NW33" s="35"/>
      <c r="NX33" s="35"/>
      <c r="NY33" s="35"/>
      <c r="NZ33" s="35"/>
      <c r="OA33" s="35"/>
      <c r="OB33" s="36"/>
      <c r="OC33" s="35"/>
      <c r="OD33" s="35"/>
      <c r="OE33" s="35"/>
      <c r="OF33" s="35"/>
      <c r="OG33" s="35"/>
      <c r="OH33" s="35"/>
      <c r="OI33" s="35"/>
      <c r="OJ33" s="35"/>
      <c r="OK33" s="36"/>
      <c r="OL33" s="36"/>
      <c r="OM33" s="85"/>
      <c r="ON33" s="35"/>
      <c r="OO33" s="35"/>
      <c r="OP33" s="35"/>
      <c r="OQ33" s="35"/>
      <c r="OR33" s="35"/>
      <c r="OS33" s="35">
        <v>753000</v>
      </c>
      <c r="OT33" s="36"/>
      <c r="OU33" s="35"/>
      <c r="OV33" s="35"/>
      <c r="OW33" s="35"/>
      <c r="OX33" s="35"/>
      <c r="OY33" s="35"/>
      <c r="OZ33" s="35">
        <v>753000</v>
      </c>
      <c r="PA33" s="35"/>
      <c r="PB33" s="35"/>
      <c r="PC33" s="36"/>
      <c r="PD33" s="36"/>
      <c r="PE33" s="85"/>
      <c r="PF33" s="35"/>
      <c r="PG33" s="35"/>
      <c r="PH33" s="35"/>
      <c r="PI33" s="35"/>
      <c r="PJ33" s="35"/>
      <c r="PK33" s="35"/>
      <c r="PL33" s="36"/>
      <c r="PM33" s="35"/>
      <c r="PN33" s="35"/>
      <c r="PO33" s="35"/>
      <c r="PP33" s="35"/>
      <c r="PQ33" s="35"/>
      <c r="PR33" s="35"/>
      <c r="PS33" s="35"/>
      <c r="PT33" s="35"/>
      <c r="PU33" s="36"/>
      <c r="PV33" s="36"/>
      <c r="PW33" s="85"/>
      <c r="PX33" s="35"/>
      <c r="PY33" s="35"/>
      <c r="PZ33" s="35"/>
      <c r="QA33" s="35"/>
      <c r="QB33" s="35"/>
      <c r="QC33" s="35"/>
      <c r="QD33" s="36"/>
      <c r="QE33" s="35"/>
      <c r="QF33" s="35"/>
      <c r="QG33" s="35"/>
      <c r="QH33" s="35"/>
      <c r="QI33" s="35"/>
      <c r="QJ33" s="35"/>
      <c r="QK33" s="35"/>
      <c r="QL33" s="35"/>
      <c r="QM33" s="36"/>
      <c r="QN33" s="36"/>
      <c r="QO33" s="85"/>
      <c r="QP33" s="35"/>
      <c r="QQ33" s="35"/>
      <c r="QR33" s="35"/>
      <c r="QS33" s="35"/>
      <c r="QT33" s="35"/>
      <c r="QU33" s="35"/>
      <c r="QV33" s="36"/>
      <c r="QW33" s="35"/>
      <c r="QX33" s="35"/>
      <c r="QY33" s="35"/>
      <c r="QZ33" s="35"/>
      <c r="RA33" s="35"/>
      <c r="RB33" s="35"/>
      <c r="RC33" s="35"/>
      <c r="RD33" s="35"/>
      <c r="RE33" s="36"/>
      <c r="RF33" s="36"/>
      <c r="RG33" s="85"/>
      <c r="RH33" s="35"/>
      <c r="RI33" s="35"/>
      <c r="RJ33" s="35"/>
      <c r="RK33" s="35"/>
      <c r="RL33" s="35"/>
      <c r="RM33" s="35"/>
      <c r="RN33" s="36"/>
      <c r="RO33" s="35"/>
      <c r="RP33" s="35"/>
      <c r="RQ33" s="35"/>
      <c r="RR33" s="35"/>
      <c r="RS33" s="35"/>
      <c r="RT33" s="35"/>
      <c r="RU33" s="35"/>
      <c r="RV33" s="35"/>
      <c r="RW33" s="36"/>
      <c r="RX33" s="36"/>
      <c r="RY33" s="85"/>
      <c r="RZ33" s="35"/>
      <c r="SA33" s="35"/>
      <c r="SB33" s="35"/>
      <c r="SC33" s="35"/>
      <c r="SD33" s="35"/>
      <c r="SE33" s="35"/>
      <c r="SF33" s="36"/>
      <c r="SG33" s="35"/>
      <c r="SH33" s="35"/>
      <c r="SI33" s="35"/>
      <c r="SJ33" s="35"/>
      <c r="SK33" s="35"/>
      <c r="SL33" s="35"/>
      <c r="SM33" s="35"/>
      <c r="SN33" s="35"/>
      <c r="SO33" s="36"/>
      <c r="SP33" s="36"/>
      <c r="SQ33" s="85"/>
      <c r="SR33" s="35"/>
      <c r="SS33" s="35"/>
      <c r="ST33" s="35"/>
      <c r="SU33" s="35"/>
      <c r="SV33" s="35"/>
      <c r="SW33" s="35"/>
      <c r="SX33" s="36"/>
      <c r="SY33" s="35"/>
      <c r="SZ33" s="35"/>
      <c r="TA33" s="35"/>
      <c r="TB33" s="35"/>
      <c r="TC33" s="35"/>
      <c r="TD33" s="35"/>
      <c r="TE33" s="35"/>
      <c r="TF33" s="35"/>
      <c r="TG33" s="36"/>
      <c r="TH33" s="36"/>
      <c r="TI33" s="85"/>
      <c r="TJ33" s="35"/>
      <c r="TK33" s="35"/>
      <c r="TL33" s="35"/>
      <c r="TM33" s="35"/>
      <c r="TN33" s="35"/>
      <c r="TO33" s="35"/>
      <c r="TP33" s="36"/>
      <c r="TQ33" s="35"/>
      <c r="TR33" s="35"/>
      <c r="TS33" s="35"/>
      <c r="TT33" s="35"/>
      <c r="TU33" s="35"/>
      <c r="TV33" s="35"/>
      <c r="TW33" s="35"/>
      <c r="TX33" s="35"/>
      <c r="TY33" s="36"/>
      <c r="TZ33" s="36"/>
      <c r="UA33" s="85"/>
      <c r="UB33" s="35"/>
      <c r="UC33" s="35"/>
      <c r="UD33" s="35"/>
      <c r="UE33" s="35"/>
      <c r="UF33" s="35"/>
      <c r="UG33" s="35"/>
      <c r="UH33" s="36"/>
      <c r="UI33" s="35"/>
      <c r="UJ33" s="35"/>
      <c r="UK33" s="35"/>
      <c r="UL33" s="35"/>
      <c r="UM33" s="35"/>
      <c r="UN33" s="35"/>
      <c r="UO33" s="35"/>
      <c r="UP33" s="35"/>
      <c r="UQ33" s="36"/>
      <c r="UR33" s="36"/>
      <c r="US33" s="85"/>
    </row>
    <row r="34" spans="1:565" ht="15" thickBot="1" x14ac:dyDescent="0.35">
      <c r="A34" s="8" t="s">
        <v>58</v>
      </c>
      <c r="B34" s="169" t="s">
        <v>59</v>
      </c>
      <c r="C34" s="13" t="s">
        <v>60</v>
      </c>
      <c r="F34" s="36">
        <v>534908800</v>
      </c>
      <c r="G34" s="35"/>
      <c r="H34" s="35"/>
      <c r="I34" s="35">
        <v>110496479</v>
      </c>
      <c r="J34" s="35">
        <v>78452500</v>
      </c>
      <c r="K34" s="35">
        <v>32043979</v>
      </c>
      <c r="L34" s="35">
        <v>78452500</v>
      </c>
      <c r="M34" s="35"/>
      <c r="N34" s="36"/>
      <c r="O34" s="35">
        <v>110496478.93000001</v>
      </c>
      <c r="P34" s="35">
        <v>78452500</v>
      </c>
      <c r="Q34" s="35"/>
      <c r="R34" s="35">
        <v>32043978.93</v>
      </c>
      <c r="S34" s="35">
        <v>29</v>
      </c>
      <c r="T34" s="35"/>
      <c r="U34" s="35"/>
      <c r="V34" s="35">
        <v>78452500</v>
      </c>
      <c r="W34" s="36"/>
      <c r="X34" s="36">
        <v>78452500</v>
      </c>
      <c r="Y34" s="85">
        <v>78452500</v>
      </c>
      <c r="Z34" s="35"/>
      <c r="AA34" s="35">
        <v>208537747</v>
      </c>
      <c r="AB34" s="35">
        <v>148061800</v>
      </c>
      <c r="AC34" s="35">
        <v>60475947</v>
      </c>
      <c r="AD34" s="35">
        <v>148061799.94999999</v>
      </c>
      <c r="AE34" s="35"/>
      <c r="AF34" s="36"/>
      <c r="AG34" s="35">
        <v>208537746.91999999</v>
      </c>
      <c r="AH34" s="35">
        <v>148061799.94999999</v>
      </c>
      <c r="AI34" s="35"/>
      <c r="AJ34" s="35">
        <v>60475946.969999999</v>
      </c>
      <c r="AK34" s="35">
        <v>29</v>
      </c>
      <c r="AL34" s="35"/>
      <c r="AM34" s="35"/>
      <c r="AN34" s="35">
        <v>148061799.94999999</v>
      </c>
      <c r="AO34" s="36"/>
      <c r="AP34" s="36">
        <v>148061800</v>
      </c>
      <c r="AQ34" s="85">
        <v>148061800</v>
      </c>
      <c r="AR34" s="35"/>
      <c r="AS34" s="35">
        <v>188675634</v>
      </c>
      <c r="AT34" s="35">
        <v>133959700</v>
      </c>
      <c r="AU34" s="35">
        <v>54715934</v>
      </c>
      <c r="AV34" s="35">
        <v>133959687.36</v>
      </c>
      <c r="AW34" s="35">
        <v>836846.69</v>
      </c>
      <c r="AX34" s="36"/>
      <c r="AY34" s="35">
        <v>188658616.13</v>
      </c>
      <c r="AZ34" s="35">
        <v>133947617.36</v>
      </c>
      <c r="BA34" s="35"/>
      <c r="BB34" s="35">
        <v>54710998.770000003</v>
      </c>
      <c r="BC34" s="35">
        <v>29</v>
      </c>
      <c r="BD34" s="35">
        <v>836846.69</v>
      </c>
      <c r="BE34" s="35">
        <v>12070</v>
      </c>
      <c r="BF34" s="35">
        <v>133959687.36</v>
      </c>
      <c r="BG34" s="36"/>
      <c r="BH34" s="36">
        <v>133959700</v>
      </c>
      <c r="BI34" s="85">
        <v>133959700</v>
      </c>
      <c r="BJ34" s="35"/>
      <c r="BK34" s="35">
        <v>119474049</v>
      </c>
      <c r="BL34" s="35">
        <v>84393000</v>
      </c>
      <c r="BM34" s="35">
        <v>35081049</v>
      </c>
      <c r="BN34" s="35">
        <v>84392999.900000006</v>
      </c>
      <c r="BO34" s="35"/>
      <c r="BP34" s="36"/>
      <c r="BQ34" s="35">
        <v>119474048.88</v>
      </c>
      <c r="BR34" s="35">
        <v>84392999.900000006</v>
      </c>
      <c r="BS34" s="35"/>
      <c r="BT34" s="35">
        <v>35081048.979999997</v>
      </c>
      <c r="BU34" s="35">
        <v>29.3629</v>
      </c>
      <c r="BV34" s="35"/>
      <c r="BW34" s="35"/>
      <c r="BX34" s="35">
        <v>84392999.900000006</v>
      </c>
      <c r="BY34" s="36"/>
      <c r="BZ34" s="36">
        <v>84393000</v>
      </c>
      <c r="CA34" s="85">
        <v>84393000</v>
      </c>
      <c r="CB34" s="35"/>
      <c r="CC34" s="35">
        <v>62538029</v>
      </c>
      <c r="CD34" s="35">
        <v>44402000</v>
      </c>
      <c r="CE34" s="35">
        <v>18136029</v>
      </c>
      <c r="CF34" s="35">
        <v>44402000</v>
      </c>
      <c r="CG34" s="35"/>
      <c r="CH34" s="36"/>
      <c r="CI34" s="35">
        <v>62538029</v>
      </c>
      <c r="CJ34" s="35">
        <v>44402000</v>
      </c>
      <c r="CK34" s="35"/>
      <c r="CL34" s="35">
        <v>18136029</v>
      </c>
      <c r="CM34" s="35">
        <v>29</v>
      </c>
      <c r="CN34" s="35"/>
      <c r="CO34" s="35"/>
      <c r="CP34" s="35">
        <v>44402000</v>
      </c>
      <c r="CQ34" s="36"/>
      <c r="CR34" s="36">
        <v>44402000</v>
      </c>
      <c r="CS34" s="85">
        <v>44402000</v>
      </c>
      <c r="CT34" s="35"/>
      <c r="CU34" s="35"/>
      <c r="CV34" s="35"/>
      <c r="CW34" s="35"/>
      <c r="CX34" s="35"/>
      <c r="CY34" s="35"/>
      <c r="CZ34" s="36"/>
      <c r="DA34" s="35"/>
      <c r="DB34" s="35"/>
      <c r="DC34" s="35"/>
      <c r="DD34" s="35"/>
      <c r="DE34" s="35"/>
      <c r="DF34" s="35"/>
      <c r="DG34" s="35"/>
      <c r="DH34" s="35"/>
      <c r="DI34" s="36"/>
      <c r="DJ34" s="36"/>
      <c r="DK34" s="85"/>
      <c r="DL34" s="35"/>
      <c r="DM34" s="35">
        <v>9473685</v>
      </c>
      <c r="DN34" s="35">
        <v>9000000</v>
      </c>
      <c r="DO34" s="35">
        <v>473685</v>
      </c>
      <c r="DP34" s="35">
        <v>9000000</v>
      </c>
      <c r="DQ34" s="35"/>
      <c r="DR34" s="36"/>
      <c r="DS34" s="35">
        <v>9473685</v>
      </c>
      <c r="DT34" s="35">
        <v>9000000</v>
      </c>
      <c r="DU34" s="35"/>
      <c r="DV34" s="35">
        <v>473685</v>
      </c>
      <c r="DW34" s="35">
        <v>5.0000099999999996</v>
      </c>
      <c r="DX34" s="35"/>
      <c r="DY34" s="35"/>
      <c r="DZ34" s="35">
        <v>9000000</v>
      </c>
      <c r="EA34" s="36"/>
      <c r="EB34" s="36">
        <v>9000000</v>
      </c>
      <c r="EC34" s="85">
        <v>9000000</v>
      </c>
      <c r="ED34" s="35"/>
      <c r="EE34" s="35">
        <v>15150313</v>
      </c>
      <c r="EF34" s="35">
        <v>14544300</v>
      </c>
      <c r="EG34" s="35">
        <v>606013</v>
      </c>
      <c r="EH34" s="35">
        <v>14206646.98</v>
      </c>
      <c r="EI34" s="35"/>
      <c r="EJ34" s="36"/>
      <c r="EK34" s="35">
        <v>14798591</v>
      </c>
      <c r="EL34" s="35">
        <v>14206646.98</v>
      </c>
      <c r="EM34" s="35"/>
      <c r="EN34" s="35">
        <v>591944.02</v>
      </c>
      <c r="EO34" s="35">
        <v>4</v>
      </c>
      <c r="EP34" s="35"/>
      <c r="EQ34" s="35"/>
      <c r="ER34" s="35">
        <v>14206646.98</v>
      </c>
      <c r="ES34" s="36"/>
      <c r="ET34" s="36">
        <v>14544300</v>
      </c>
      <c r="EU34" s="85">
        <v>14544300</v>
      </c>
      <c r="EV34" s="35"/>
      <c r="EW34" s="35">
        <v>9373521</v>
      </c>
      <c r="EX34" s="35">
        <v>6655200</v>
      </c>
      <c r="EY34" s="35">
        <v>2718321</v>
      </c>
      <c r="EZ34" s="35">
        <v>6655200</v>
      </c>
      <c r="FA34" s="35"/>
      <c r="FB34" s="36"/>
      <c r="FC34" s="35">
        <v>9373521</v>
      </c>
      <c r="FD34" s="35">
        <v>6655200</v>
      </c>
      <c r="FE34" s="35"/>
      <c r="FF34" s="35">
        <v>2718321</v>
      </c>
      <c r="FG34" s="35">
        <v>29</v>
      </c>
      <c r="FH34" s="35"/>
      <c r="FI34" s="35"/>
      <c r="FJ34" s="35">
        <v>6655200</v>
      </c>
      <c r="FK34" s="36"/>
      <c r="FL34" s="36">
        <v>6655200</v>
      </c>
      <c r="FM34" s="85">
        <v>6655200</v>
      </c>
      <c r="FN34" s="35"/>
      <c r="FO34" s="35"/>
      <c r="FP34" s="35"/>
      <c r="FQ34" s="35"/>
      <c r="FR34" s="35"/>
      <c r="FS34" s="35">
        <v>74402.289999999994</v>
      </c>
      <c r="FT34" s="36"/>
      <c r="FU34" s="35"/>
      <c r="FV34" s="35"/>
      <c r="FW34" s="35"/>
      <c r="FX34" s="35"/>
      <c r="FY34" s="35"/>
      <c r="FZ34" s="35">
        <v>74402.289999999994</v>
      </c>
      <c r="GA34" s="35"/>
      <c r="GB34" s="35"/>
      <c r="GC34" s="36"/>
      <c r="GD34" s="36"/>
      <c r="GE34" s="85"/>
      <c r="GF34" s="35"/>
      <c r="GG34" s="35">
        <v>20921408</v>
      </c>
      <c r="GH34" s="35">
        <v>14854200</v>
      </c>
      <c r="GI34" s="35">
        <v>6067208</v>
      </c>
      <c r="GJ34" s="35">
        <v>13763443.779999999</v>
      </c>
      <c r="GK34" s="35"/>
      <c r="GL34" s="36"/>
      <c r="GM34" s="35">
        <v>19385131.66</v>
      </c>
      <c r="GN34" s="35">
        <v>13763443.77</v>
      </c>
      <c r="GO34" s="35"/>
      <c r="GP34" s="35">
        <v>5621687.8899999997</v>
      </c>
      <c r="GQ34" s="35">
        <v>29</v>
      </c>
      <c r="GR34" s="35"/>
      <c r="GS34" s="35">
        <v>0.01</v>
      </c>
      <c r="GT34" s="35">
        <v>13763443.779999999</v>
      </c>
      <c r="GU34" s="36"/>
      <c r="GV34" s="36">
        <v>14854200</v>
      </c>
      <c r="GW34" s="85">
        <v>14854200</v>
      </c>
      <c r="GX34" s="35"/>
      <c r="GY34" s="35"/>
      <c r="GZ34" s="35"/>
      <c r="HA34" s="35"/>
      <c r="HB34" s="35"/>
      <c r="HC34" s="35"/>
      <c r="HD34" s="36"/>
      <c r="HE34" s="35"/>
      <c r="HF34" s="35"/>
      <c r="HG34" s="35"/>
      <c r="HH34" s="35"/>
      <c r="HI34" s="35"/>
      <c r="HJ34" s="35"/>
      <c r="HK34" s="35"/>
      <c r="HL34" s="35"/>
      <c r="HM34" s="36"/>
      <c r="HN34" s="36"/>
      <c r="HO34" s="85"/>
      <c r="HP34" s="35"/>
      <c r="HQ34" s="35"/>
      <c r="HR34" s="35"/>
      <c r="HS34" s="35"/>
      <c r="HT34" s="35"/>
      <c r="HU34" s="35"/>
      <c r="HV34" s="36"/>
      <c r="HW34" s="35"/>
      <c r="HX34" s="35"/>
      <c r="HY34" s="35"/>
      <c r="HZ34" s="35"/>
      <c r="IA34" s="35"/>
      <c r="IB34" s="35"/>
      <c r="IC34" s="35"/>
      <c r="ID34" s="35"/>
      <c r="IE34" s="36"/>
      <c r="IF34" s="36"/>
      <c r="IG34" s="85"/>
      <c r="IH34" s="35"/>
      <c r="II34" s="35"/>
      <c r="IJ34" s="35"/>
      <c r="IK34" s="35"/>
      <c r="IL34" s="35"/>
      <c r="IM34" s="35"/>
      <c r="IN34" s="36"/>
      <c r="IO34" s="35"/>
      <c r="IP34" s="35"/>
      <c r="IQ34" s="35"/>
      <c r="IR34" s="35"/>
      <c r="IS34" s="35"/>
      <c r="IT34" s="35"/>
      <c r="IU34" s="35"/>
      <c r="IV34" s="35"/>
      <c r="IW34" s="36"/>
      <c r="IX34" s="36"/>
      <c r="IY34" s="85"/>
      <c r="IZ34" s="35"/>
      <c r="JA34" s="35"/>
      <c r="JB34" s="35"/>
      <c r="JC34" s="35"/>
      <c r="JD34" s="35"/>
      <c r="JE34" s="35"/>
      <c r="JF34" s="36"/>
      <c r="JG34" s="35"/>
      <c r="JH34" s="35"/>
      <c r="JI34" s="35"/>
      <c r="JJ34" s="35"/>
      <c r="JK34" s="35"/>
      <c r="JL34" s="35"/>
      <c r="JM34" s="35"/>
      <c r="JN34" s="35"/>
      <c r="JO34" s="36"/>
      <c r="JP34" s="36"/>
      <c r="JQ34" s="85"/>
      <c r="JR34" s="35"/>
      <c r="JS34" s="35"/>
      <c r="JT34" s="35"/>
      <c r="JU34" s="35"/>
      <c r="JV34" s="35"/>
      <c r="JW34" s="35"/>
      <c r="JX34" s="36"/>
      <c r="JY34" s="35"/>
      <c r="JZ34" s="35"/>
      <c r="KA34" s="35"/>
      <c r="KB34" s="35"/>
      <c r="KC34" s="35"/>
      <c r="KD34" s="35"/>
      <c r="KE34" s="35"/>
      <c r="KF34" s="35"/>
      <c r="KG34" s="36"/>
      <c r="KH34" s="36"/>
      <c r="KI34" s="85"/>
      <c r="KJ34" s="35"/>
      <c r="KK34" s="35"/>
      <c r="KL34" s="35"/>
      <c r="KM34" s="35"/>
      <c r="KN34" s="35"/>
      <c r="KO34" s="35"/>
      <c r="KP34" s="36"/>
      <c r="KQ34" s="35"/>
      <c r="KR34" s="35"/>
      <c r="KS34" s="35"/>
      <c r="KT34" s="35"/>
      <c r="KU34" s="35"/>
      <c r="KV34" s="35"/>
      <c r="KW34" s="35"/>
      <c r="KX34" s="35"/>
      <c r="KY34" s="36"/>
      <c r="KZ34" s="36"/>
      <c r="LA34" s="85"/>
      <c r="LB34" s="35"/>
      <c r="LC34" s="35"/>
      <c r="LD34" s="35"/>
      <c r="LE34" s="35"/>
      <c r="LF34" s="35"/>
      <c r="LG34" s="35"/>
      <c r="LH34" s="36"/>
      <c r="LI34" s="35"/>
      <c r="LJ34" s="35"/>
      <c r="LK34" s="35"/>
      <c r="LL34" s="35"/>
      <c r="LM34" s="35"/>
      <c r="LN34" s="35"/>
      <c r="LO34" s="35"/>
      <c r="LP34" s="35"/>
      <c r="LQ34" s="36"/>
      <c r="LR34" s="36"/>
      <c r="LS34" s="85"/>
      <c r="LT34" s="35"/>
      <c r="LU34" s="35"/>
      <c r="LV34" s="35"/>
      <c r="LW34" s="35"/>
      <c r="LX34" s="35"/>
      <c r="LY34" s="35"/>
      <c r="LZ34" s="36"/>
      <c r="MA34" s="35"/>
      <c r="MB34" s="35"/>
      <c r="MC34" s="35"/>
      <c r="MD34" s="35"/>
      <c r="ME34" s="35"/>
      <c r="MF34" s="35"/>
      <c r="MG34" s="35"/>
      <c r="MH34" s="35"/>
      <c r="MI34" s="36"/>
      <c r="MJ34" s="36"/>
      <c r="MK34" s="85"/>
      <c r="ML34" s="35"/>
      <c r="MM34" s="35"/>
      <c r="MN34" s="35"/>
      <c r="MO34" s="35"/>
      <c r="MP34" s="35"/>
      <c r="MQ34" s="35"/>
      <c r="MR34" s="36"/>
      <c r="MS34" s="35"/>
      <c r="MT34" s="35"/>
      <c r="MU34" s="35"/>
      <c r="MV34" s="35"/>
      <c r="MW34" s="35"/>
      <c r="MX34" s="35"/>
      <c r="MY34" s="35"/>
      <c r="MZ34" s="35"/>
      <c r="NA34" s="36"/>
      <c r="NB34" s="36"/>
      <c r="NC34" s="85"/>
      <c r="ND34" s="35"/>
      <c r="NE34" s="35">
        <v>825493</v>
      </c>
      <c r="NF34" s="35">
        <v>586100</v>
      </c>
      <c r="NG34" s="35">
        <v>239393</v>
      </c>
      <c r="NH34" s="35">
        <v>586099.68000000005</v>
      </c>
      <c r="NI34" s="35"/>
      <c r="NJ34" s="36"/>
      <c r="NK34" s="35">
        <v>825492.55</v>
      </c>
      <c r="NL34" s="35">
        <v>586099.68000000005</v>
      </c>
      <c r="NM34" s="35"/>
      <c r="NN34" s="35">
        <v>239392.87</v>
      </c>
      <c r="NO34" s="35">
        <v>29</v>
      </c>
      <c r="NP34" s="35"/>
      <c r="NQ34" s="35"/>
      <c r="NR34" s="35">
        <v>586099.68000000005</v>
      </c>
      <c r="NS34" s="36"/>
      <c r="NT34" s="36">
        <v>586100</v>
      </c>
      <c r="NU34" s="85">
        <v>586100</v>
      </c>
      <c r="NV34" s="35"/>
      <c r="NW34" s="35"/>
      <c r="NX34" s="35"/>
      <c r="NY34" s="35"/>
      <c r="NZ34" s="35"/>
      <c r="OA34" s="35"/>
      <c r="OB34" s="36"/>
      <c r="OC34" s="35"/>
      <c r="OD34" s="35"/>
      <c r="OE34" s="35"/>
      <c r="OF34" s="35"/>
      <c r="OG34" s="35"/>
      <c r="OH34" s="35"/>
      <c r="OI34" s="35"/>
      <c r="OJ34" s="35"/>
      <c r="OK34" s="36"/>
      <c r="OL34" s="36"/>
      <c r="OM34" s="85"/>
      <c r="ON34" s="35"/>
      <c r="OO34" s="35"/>
      <c r="OP34" s="35"/>
      <c r="OQ34" s="35"/>
      <c r="OR34" s="35"/>
      <c r="OS34" s="35">
        <v>144167.85</v>
      </c>
      <c r="OT34" s="36"/>
      <c r="OU34" s="35"/>
      <c r="OV34" s="35"/>
      <c r="OW34" s="35"/>
      <c r="OX34" s="35"/>
      <c r="OY34" s="35"/>
      <c r="OZ34" s="35">
        <v>144167.85</v>
      </c>
      <c r="PA34" s="35"/>
      <c r="PB34" s="35"/>
      <c r="PC34" s="36"/>
      <c r="PD34" s="36"/>
      <c r="PE34" s="85"/>
      <c r="PF34" s="35"/>
      <c r="PG34" s="35"/>
      <c r="PH34" s="35"/>
      <c r="PI34" s="35"/>
      <c r="PJ34" s="35"/>
      <c r="PK34" s="35">
        <v>390994</v>
      </c>
      <c r="PL34" s="36"/>
      <c r="PM34" s="35"/>
      <c r="PN34" s="35"/>
      <c r="PO34" s="35"/>
      <c r="PP34" s="35"/>
      <c r="PQ34" s="35"/>
      <c r="PR34" s="35">
        <v>390994</v>
      </c>
      <c r="PS34" s="35"/>
      <c r="PT34" s="35"/>
      <c r="PU34" s="36"/>
      <c r="PV34" s="36"/>
      <c r="PW34" s="85"/>
      <c r="PX34" s="35"/>
      <c r="PY34" s="35"/>
      <c r="PZ34" s="35"/>
      <c r="QA34" s="35"/>
      <c r="QB34" s="35"/>
      <c r="QC34" s="35"/>
      <c r="QD34" s="36"/>
      <c r="QE34" s="35"/>
      <c r="QF34" s="35"/>
      <c r="QG34" s="35"/>
      <c r="QH34" s="35"/>
      <c r="QI34" s="35"/>
      <c r="QJ34" s="35"/>
      <c r="QK34" s="35"/>
      <c r="QL34" s="35"/>
      <c r="QM34" s="36"/>
      <c r="QN34" s="36"/>
      <c r="QO34" s="85"/>
      <c r="QP34" s="35"/>
      <c r="QQ34" s="35"/>
      <c r="QR34" s="35"/>
      <c r="QS34" s="35"/>
      <c r="QT34" s="35"/>
      <c r="QU34" s="35"/>
      <c r="QV34" s="36"/>
      <c r="QW34" s="35"/>
      <c r="QX34" s="35"/>
      <c r="QY34" s="35"/>
      <c r="QZ34" s="35"/>
      <c r="RA34" s="35"/>
      <c r="RB34" s="35"/>
      <c r="RC34" s="35"/>
      <c r="RD34" s="35"/>
      <c r="RE34" s="36"/>
      <c r="RF34" s="36"/>
      <c r="RG34" s="85"/>
      <c r="RH34" s="35"/>
      <c r="RI34" s="35"/>
      <c r="RJ34" s="35"/>
      <c r="RK34" s="35"/>
      <c r="RL34" s="35"/>
      <c r="RM34" s="35"/>
      <c r="RN34" s="36"/>
      <c r="RO34" s="35"/>
      <c r="RP34" s="35"/>
      <c r="RQ34" s="35"/>
      <c r="RR34" s="35"/>
      <c r="RS34" s="35"/>
      <c r="RT34" s="35"/>
      <c r="RU34" s="35"/>
      <c r="RV34" s="35"/>
      <c r="RW34" s="36"/>
      <c r="RX34" s="36"/>
      <c r="RY34" s="85"/>
      <c r="RZ34" s="35"/>
      <c r="SA34" s="35"/>
      <c r="SB34" s="35"/>
      <c r="SC34" s="35"/>
      <c r="SD34" s="35"/>
      <c r="SE34" s="35"/>
      <c r="SF34" s="36"/>
      <c r="SG34" s="35"/>
      <c r="SH34" s="35"/>
      <c r="SI34" s="35"/>
      <c r="SJ34" s="35"/>
      <c r="SK34" s="35"/>
      <c r="SL34" s="35"/>
      <c r="SM34" s="35"/>
      <c r="SN34" s="35"/>
      <c r="SO34" s="36"/>
      <c r="SP34" s="36"/>
      <c r="SQ34" s="85"/>
      <c r="SR34" s="35"/>
      <c r="SS34" s="35"/>
      <c r="ST34" s="35"/>
      <c r="SU34" s="35"/>
      <c r="SV34" s="35"/>
      <c r="SW34" s="35"/>
      <c r="SX34" s="36"/>
      <c r="SY34" s="35"/>
      <c r="SZ34" s="35"/>
      <c r="TA34" s="35"/>
      <c r="TB34" s="35"/>
      <c r="TC34" s="35"/>
      <c r="TD34" s="35"/>
      <c r="TE34" s="35"/>
      <c r="TF34" s="35"/>
      <c r="TG34" s="36"/>
      <c r="TH34" s="36"/>
      <c r="TI34" s="85"/>
      <c r="TJ34" s="35"/>
      <c r="TK34" s="35"/>
      <c r="TL34" s="35"/>
      <c r="TM34" s="35"/>
      <c r="TN34" s="35"/>
      <c r="TO34" s="35"/>
      <c r="TP34" s="36"/>
      <c r="TQ34" s="35"/>
      <c r="TR34" s="35"/>
      <c r="TS34" s="35"/>
      <c r="TT34" s="35"/>
      <c r="TU34" s="35"/>
      <c r="TV34" s="35"/>
      <c r="TW34" s="35"/>
      <c r="TX34" s="35"/>
      <c r="TY34" s="36"/>
      <c r="TZ34" s="36"/>
      <c r="UA34" s="85"/>
      <c r="UB34" s="35"/>
      <c r="UC34" s="35"/>
      <c r="UD34" s="35"/>
      <c r="UE34" s="35"/>
      <c r="UF34" s="35"/>
      <c r="UG34" s="35"/>
      <c r="UH34" s="36"/>
      <c r="UI34" s="35"/>
      <c r="UJ34" s="35"/>
      <c r="UK34" s="35"/>
      <c r="UL34" s="35"/>
      <c r="UM34" s="35"/>
      <c r="UN34" s="35"/>
      <c r="UO34" s="35"/>
      <c r="UP34" s="35"/>
      <c r="UQ34" s="36"/>
      <c r="UR34" s="36"/>
      <c r="US34" s="85"/>
    </row>
    <row r="35" spans="1:565" x14ac:dyDescent="0.3">
      <c r="A35" s="8" t="s">
        <v>61</v>
      </c>
      <c r="B35" s="168" t="s">
        <v>62</v>
      </c>
      <c r="C35" s="12" t="s">
        <v>63</v>
      </c>
      <c r="F35" s="32"/>
      <c r="G35" s="33"/>
      <c r="H35" s="32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86"/>
      <c r="Z35" s="32"/>
      <c r="AA35" s="33"/>
      <c r="AB35" s="33"/>
      <c r="AC35" s="33"/>
      <c r="AD35" s="33"/>
      <c r="AE35" s="33"/>
      <c r="AF35" s="33"/>
      <c r="AG35" s="33"/>
      <c r="AH35" s="33"/>
      <c r="AI35" s="33"/>
      <c r="AJ35" s="33"/>
      <c r="AK35" s="33"/>
      <c r="AL35" s="33"/>
      <c r="AM35" s="33"/>
      <c r="AN35" s="33"/>
      <c r="AO35" s="33"/>
      <c r="AP35" s="33"/>
      <c r="AQ35" s="86"/>
      <c r="AR35" s="32"/>
      <c r="AS35" s="33"/>
      <c r="AT35" s="33"/>
      <c r="AU35" s="33"/>
      <c r="AV35" s="33"/>
      <c r="AW35" s="33"/>
      <c r="AX35" s="33"/>
      <c r="AY35" s="33"/>
      <c r="AZ35" s="33"/>
      <c r="BA35" s="33"/>
      <c r="BB35" s="33"/>
      <c r="BC35" s="33"/>
      <c r="BD35" s="33"/>
      <c r="BE35" s="33"/>
      <c r="BF35" s="33"/>
      <c r="BG35" s="33"/>
      <c r="BH35" s="33"/>
      <c r="BI35" s="86"/>
      <c r="BJ35" s="148"/>
      <c r="BK35" s="33"/>
      <c r="BL35" s="33"/>
      <c r="BM35" s="33"/>
      <c r="BN35" s="33"/>
      <c r="BO35" s="33"/>
      <c r="BP35" s="33"/>
      <c r="BQ35" s="33"/>
      <c r="BR35" s="33"/>
      <c r="BS35" s="33"/>
      <c r="BT35" s="33"/>
      <c r="BU35" s="33"/>
      <c r="BV35" s="33"/>
      <c r="BW35" s="33"/>
      <c r="BX35" s="33"/>
      <c r="BY35" s="33"/>
      <c r="BZ35" s="33"/>
      <c r="CA35" s="86"/>
      <c r="CB35" s="32"/>
      <c r="CC35" s="33"/>
      <c r="CD35" s="33"/>
      <c r="CE35" s="33"/>
      <c r="CF35" s="33"/>
      <c r="CG35" s="33"/>
      <c r="CH35" s="33"/>
      <c r="CI35" s="33"/>
      <c r="CJ35" s="33"/>
      <c r="CK35" s="33"/>
      <c r="CL35" s="33"/>
      <c r="CM35" s="33"/>
      <c r="CN35" s="33"/>
      <c r="CO35" s="33"/>
      <c r="CP35" s="33"/>
      <c r="CQ35" s="33"/>
      <c r="CR35" s="33"/>
      <c r="CS35" s="86"/>
      <c r="CT35" s="148"/>
      <c r="CU35" s="33"/>
      <c r="CV35" s="33"/>
      <c r="CW35" s="33"/>
      <c r="CX35" s="33"/>
      <c r="CY35" s="33"/>
      <c r="CZ35" s="33"/>
      <c r="DA35" s="33"/>
      <c r="DB35" s="33"/>
      <c r="DC35" s="33"/>
      <c r="DD35" s="33"/>
      <c r="DE35" s="33"/>
      <c r="DF35" s="33"/>
      <c r="DG35" s="33"/>
      <c r="DH35" s="33"/>
      <c r="DI35" s="33"/>
      <c r="DJ35" s="33"/>
      <c r="DK35" s="86"/>
      <c r="DL35" s="148"/>
      <c r="DM35" s="33"/>
      <c r="DN35" s="33"/>
      <c r="DO35" s="33"/>
      <c r="DP35" s="33"/>
      <c r="DQ35" s="33"/>
      <c r="DR35" s="33"/>
      <c r="DS35" s="33"/>
      <c r="DT35" s="33"/>
      <c r="DU35" s="33"/>
      <c r="DV35" s="33"/>
      <c r="DW35" s="33"/>
      <c r="DX35" s="33"/>
      <c r="DY35" s="33"/>
      <c r="DZ35" s="33"/>
      <c r="EA35" s="33"/>
      <c r="EB35" s="33"/>
      <c r="EC35" s="86"/>
      <c r="ED35" s="148"/>
      <c r="EE35" s="33"/>
      <c r="EF35" s="33"/>
      <c r="EG35" s="33"/>
      <c r="EH35" s="33"/>
      <c r="EI35" s="33"/>
      <c r="EJ35" s="33"/>
      <c r="EK35" s="33"/>
      <c r="EL35" s="33"/>
      <c r="EM35" s="33"/>
      <c r="EN35" s="33"/>
      <c r="EO35" s="33"/>
      <c r="EP35" s="33"/>
      <c r="EQ35" s="33"/>
      <c r="ER35" s="33"/>
      <c r="ES35" s="33"/>
      <c r="ET35" s="33"/>
      <c r="EU35" s="86"/>
      <c r="EV35" s="32"/>
      <c r="EW35" s="33"/>
      <c r="EX35" s="33"/>
      <c r="EY35" s="33"/>
      <c r="EZ35" s="33"/>
      <c r="FA35" s="33"/>
      <c r="FB35" s="33"/>
      <c r="FC35" s="33"/>
      <c r="FD35" s="33"/>
      <c r="FE35" s="33"/>
      <c r="FF35" s="33"/>
      <c r="FG35" s="33"/>
      <c r="FH35" s="33"/>
      <c r="FI35" s="33"/>
      <c r="FJ35" s="33"/>
      <c r="FK35" s="33"/>
      <c r="FL35" s="33"/>
      <c r="FM35" s="86"/>
      <c r="FN35" s="148"/>
      <c r="FO35" s="33"/>
      <c r="FP35" s="33"/>
      <c r="FQ35" s="33"/>
      <c r="FR35" s="33"/>
      <c r="FS35" s="33"/>
      <c r="FT35" s="33"/>
      <c r="FU35" s="33"/>
      <c r="FV35" s="33"/>
      <c r="FW35" s="33"/>
      <c r="FX35" s="33"/>
      <c r="FY35" s="33"/>
      <c r="FZ35" s="33"/>
      <c r="GA35" s="33"/>
      <c r="GB35" s="33"/>
      <c r="GC35" s="33"/>
      <c r="GD35" s="33"/>
      <c r="GE35" s="86"/>
      <c r="GF35" s="32"/>
      <c r="GG35" s="33"/>
      <c r="GH35" s="33"/>
      <c r="GI35" s="33"/>
      <c r="GJ35" s="33"/>
      <c r="GK35" s="33"/>
      <c r="GL35" s="33"/>
      <c r="GM35" s="33"/>
      <c r="GN35" s="33"/>
      <c r="GO35" s="33"/>
      <c r="GP35" s="33"/>
      <c r="GQ35" s="33"/>
      <c r="GR35" s="33"/>
      <c r="GS35" s="33"/>
      <c r="GT35" s="33"/>
      <c r="GU35" s="33"/>
      <c r="GV35" s="33"/>
      <c r="GW35" s="86"/>
      <c r="GX35" s="148"/>
      <c r="GY35" s="33"/>
      <c r="GZ35" s="33"/>
      <c r="HA35" s="33"/>
      <c r="HB35" s="33"/>
      <c r="HC35" s="33"/>
      <c r="HD35" s="33"/>
      <c r="HE35" s="33"/>
      <c r="HF35" s="33"/>
      <c r="HG35" s="33"/>
      <c r="HH35" s="33"/>
      <c r="HI35" s="33"/>
      <c r="HJ35" s="33"/>
      <c r="HK35" s="33"/>
      <c r="HL35" s="33"/>
      <c r="HM35" s="33"/>
      <c r="HN35" s="33"/>
      <c r="HO35" s="86"/>
      <c r="HP35" s="148"/>
      <c r="HQ35" s="33"/>
      <c r="HR35" s="33"/>
      <c r="HS35" s="33"/>
      <c r="HT35" s="33"/>
      <c r="HU35" s="33"/>
      <c r="HV35" s="33"/>
      <c r="HW35" s="33"/>
      <c r="HX35" s="33"/>
      <c r="HY35" s="33"/>
      <c r="HZ35" s="33"/>
      <c r="IA35" s="33"/>
      <c r="IB35" s="33"/>
      <c r="IC35" s="33"/>
      <c r="ID35" s="33"/>
      <c r="IE35" s="33"/>
      <c r="IF35" s="33"/>
      <c r="IG35" s="86"/>
      <c r="IH35" s="148"/>
      <c r="II35" s="33"/>
      <c r="IJ35" s="33"/>
      <c r="IK35" s="33"/>
      <c r="IL35" s="33"/>
      <c r="IM35" s="33"/>
      <c r="IN35" s="33"/>
      <c r="IO35" s="33"/>
      <c r="IP35" s="33"/>
      <c r="IQ35" s="33"/>
      <c r="IR35" s="33"/>
      <c r="IS35" s="33"/>
      <c r="IT35" s="33"/>
      <c r="IU35" s="33"/>
      <c r="IV35" s="33"/>
      <c r="IW35" s="33"/>
      <c r="IX35" s="33"/>
      <c r="IY35" s="86"/>
      <c r="IZ35" s="148"/>
      <c r="JA35" s="33"/>
      <c r="JB35" s="33"/>
      <c r="JC35" s="33"/>
      <c r="JD35" s="33"/>
      <c r="JE35" s="33"/>
      <c r="JF35" s="33"/>
      <c r="JG35" s="33"/>
      <c r="JH35" s="33"/>
      <c r="JI35" s="33"/>
      <c r="JJ35" s="33"/>
      <c r="JK35" s="33"/>
      <c r="JL35" s="33"/>
      <c r="JM35" s="33"/>
      <c r="JN35" s="33"/>
      <c r="JO35" s="33"/>
      <c r="JP35" s="33"/>
      <c r="JQ35" s="86"/>
      <c r="JR35" s="148"/>
      <c r="JS35" s="33"/>
      <c r="JT35" s="33"/>
      <c r="JU35" s="33"/>
      <c r="JV35" s="33"/>
      <c r="JW35" s="33"/>
      <c r="JX35" s="33"/>
      <c r="JY35" s="33"/>
      <c r="JZ35" s="33"/>
      <c r="KA35" s="33"/>
      <c r="KB35" s="33"/>
      <c r="KC35" s="33"/>
      <c r="KD35" s="33"/>
      <c r="KE35" s="33"/>
      <c r="KF35" s="33"/>
      <c r="KG35" s="33"/>
      <c r="KH35" s="33"/>
      <c r="KI35" s="86"/>
      <c r="KJ35" s="148"/>
      <c r="KK35" s="33"/>
      <c r="KL35" s="33"/>
      <c r="KM35" s="33"/>
      <c r="KN35" s="33"/>
      <c r="KO35" s="33"/>
      <c r="KP35" s="33"/>
      <c r="KQ35" s="33"/>
      <c r="KR35" s="33"/>
      <c r="KS35" s="33"/>
      <c r="KT35" s="33"/>
      <c r="KU35" s="33"/>
      <c r="KV35" s="33"/>
      <c r="KW35" s="33"/>
      <c r="KX35" s="33"/>
      <c r="KY35" s="33"/>
      <c r="KZ35" s="33"/>
      <c r="LA35" s="86"/>
      <c r="LB35" s="148"/>
      <c r="LC35" s="33"/>
      <c r="LD35" s="33"/>
      <c r="LE35" s="33"/>
      <c r="LF35" s="33"/>
      <c r="LG35" s="33"/>
      <c r="LH35" s="33"/>
      <c r="LI35" s="33"/>
      <c r="LJ35" s="33"/>
      <c r="LK35" s="33"/>
      <c r="LL35" s="33"/>
      <c r="LM35" s="33"/>
      <c r="LN35" s="33"/>
      <c r="LO35" s="33"/>
      <c r="LP35" s="33"/>
      <c r="LQ35" s="33"/>
      <c r="LR35" s="33"/>
      <c r="LS35" s="86"/>
      <c r="LT35" s="148"/>
      <c r="LU35" s="33"/>
      <c r="LV35" s="33"/>
      <c r="LW35" s="33"/>
      <c r="LX35" s="33"/>
      <c r="LY35" s="33"/>
      <c r="LZ35" s="33"/>
      <c r="MA35" s="33"/>
      <c r="MB35" s="31"/>
      <c r="MC35" s="33"/>
      <c r="MD35" s="33"/>
      <c r="ME35" s="33"/>
      <c r="MF35" s="33"/>
      <c r="MG35" s="33"/>
      <c r="MH35" s="33"/>
      <c r="MI35" s="33"/>
      <c r="MJ35" s="33"/>
      <c r="MK35" s="86"/>
      <c r="ML35" s="148"/>
      <c r="MM35" s="33"/>
      <c r="MN35" s="33"/>
      <c r="MO35" s="33"/>
      <c r="MP35" s="33"/>
      <c r="MQ35" s="33"/>
      <c r="MR35" s="33"/>
      <c r="MS35" s="33"/>
      <c r="MT35" s="33"/>
      <c r="MU35" s="33"/>
      <c r="MV35" s="33"/>
      <c r="MW35" s="33"/>
      <c r="MX35" s="33"/>
      <c r="MY35" s="33"/>
      <c r="MZ35" s="33"/>
      <c r="NA35" s="33"/>
      <c r="NB35" s="33"/>
      <c r="NC35" s="86"/>
      <c r="ND35" s="32"/>
      <c r="NE35" s="33"/>
      <c r="NF35" s="33"/>
      <c r="NG35" s="33"/>
      <c r="NH35" s="33"/>
      <c r="NI35" s="33"/>
      <c r="NJ35" s="33"/>
      <c r="NK35" s="33"/>
      <c r="NL35" s="33"/>
      <c r="NM35" s="33"/>
      <c r="NN35" s="33"/>
      <c r="NO35" s="33"/>
      <c r="NP35" s="33"/>
      <c r="NQ35" s="33"/>
      <c r="NR35" s="33"/>
      <c r="NS35" s="33"/>
      <c r="NT35" s="33"/>
      <c r="NU35" s="86"/>
      <c r="NV35" s="148"/>
      <c r="NW35" s="33"/>
      <c r="NX35" s="33"/>
      <c r="NY35" s="33"/>
      <c r="NZ35" s="33"/>
      <c r="OA35" s="33"/>
      <c r="OB35" s="33"/>
      <c r="OC35" s="33"/>
      <c r="OD35" s="33"/>
      <c r="OE35" s="33"/>
      <c r="OF35" s="33"/>
      <c r="OG35" s="33"/>
      <c r="OH35" s="33"/>
      <c r="OI35" s="33"/>
      <c r="OJ35" s="33"/>
      <c r="OK35" s="33"/>
      <c r="OL35" s="33"/>
      <c r="OM35" s="86"/>
      <c r="ON35" s="32"/>
      <c r="OO35" s="33"/>
      <c r="OP35" s="33"/>
      <c r="OQ35" s="33"/>
      <c r="OR35" s="33"/>
      <c r="OS35" s="33"/>
      <c r="OT35" s="33"/>
      <c r="OU35" s="33"/>
      <c r="OV35" s="33"/>
      <c r="OW35" s="33"/>
      <c r="OX35" s="33"/>
      <c r="OY35" s="33"/>
      <c r="OZ35" s="33"/>
      <c r="PA35" s="33"/>
      <c r="PB35" s="33"/>
      <c r="PC35" s="33"/>
      <c r="PD35" s="33"/>
      <c r="PE35" s="86"/>
      <c r="PF35" s="148"/>
      <c r="PG35" s="33"/>
      <c r="PH35" s="33"/>
      <c r="PI35" s="33"/>
      <c r="PJ35" s="33"/>
      <c r="PK35" s="33"/>
      <c r="PL35" s="33"/>
      <c r="PM35" s="33"/>
      <c r="PN35" s="31"/>
      <c r="PO35" s="33"/>
      <c r="PP35" s="33"/>
      <c r="PQ35" s="33"/>
      <c r="PR35" s="33"/>
      <c r="PS35" s="33"/>
      <c r="PT35" s="33"/>
      <c r="PU35" s="33"/>
      <c r="PV35" s="33"/>
      <c r="PW35" s="86"/>
      <c r="PX35" s="148"/>
      <c r="PY35" s="33"/>
      <c r="PZ35" s="33"/>
      <c r="QA35" s="33"/>
      <c r="QB35" s="33"/>
      <c r="QC35" s="33"/>
      <c r="QD35" s="33"/>
      <c r="QE35" s="33"/>
      <c r="QF35" s="31"/>
      <c r="QG35" s="33"/>
      <c r="QH35" s="33"/>
      <c r="QI35" s="33"/>
      <c r="QJ35" s="33"/>
      <c r="QK35" s="33"/>
      <c r="QL35" s="33"/>
      <c r="QM35" s="33"/>
      <c r="QN35" s="33"/>
      <c r="QO35" s="86"/>
      <c r="QP35" s="148"/>
      <c r="QQ35" s="33"/>
      <c r="QR35" s="33"/>
      <c r="QS35" s="33"/>
      <c r="QT35" s="33"/>
      <c r="QU35" s="33"/>
      <c r="QV35" s="33"/>
      <c r="QW35" s="33"/>
      <c r="QX35" s="31"/>
      <c r="QY35" s="33"/>
      <c r="QZ35" s="33"/>
      <c r="RA35" s="33"/>
      <c r="RB35" s="33"/>
      <c r="RC35" s="33"/>
      <c r="RD35" s="33"/>
      <c r="RE35" s="33"/>
      <c r="RF35" s="33"/>
      <c r="RG35" s="86"/>
      <c r="RH35" s="148"/>
      <c r="RI35" s="33"/>
      <c r="RJ35" s="33"/>
      <c r="RK35" s="33"/>
      <c r="RL35" s="33"/>
      <c r="RM35" s="33"/>
      <c r="RN35" s="33"/>
      <c r="RO35" s="33"/>
      <c r="RP35" s="31"/>
      <c r="RQ35" s="33"/>
      <c r="RR35" s="33"/>
      <c r="RS35" s="33"/>
      <c r="RT35" s="33"/>
      <c r="RU35" s="33"/>
      <c r="RV35" s="33"/>
      <c r="RW35" s="33"/>
      <c r="RX35" s="33"/>
      <c r="RY35" s="86"/>
      <c r="RZ35" s="148"/>
      <c r="SA35" s="33"/>
      <c r="SB35" s="33"/>
      <c r="SC35" s="33"/>
      <c r="SD35" s="33"/>
      <c r="SE35" s="33"/>
      <c r="SF35" s="33"/>
      <c r="SG35" s="33"/>
      <c r="SH35" s="31"/>
      <c r="SI35" s="33"/>
      <c r="SJ35" s="33"/>
      <c r="SK35" s="33"/>
      <c r="SL35" s="33"/>
      <c r="SM35" s="33"/>
      <c r="SN35" s="33"/>
      <c r="SO35" s="33"/>
      <c r="SP35" s="33"/>
      <c r="SQ35" s="86"/>
      <c r="SR35" s="148"/>
      <c r="SS35" s="33"/>
      <c r="ST35" s="33"/>
      <c r="SU35" s="33"/>
      <c r="SV35" s="33"/>
      <c r="SW35" s="33"/>
      <c r="SX35" s="33"/>
      <c r="SY35" s="33"/>
      <c r="SZ35" s="31"/>
      <c r="TA35" s="33"/>
      <c r="TB35" s="33"/>
      <c r="TC35" s="33"/>
      <c r="TD35" s="33"/>
      <c r="TE35" s="33"/>
      <c r="TF35" s="33"/>
      <c r="TG35" s="33"/>
      <c r="TH35" s="33"/>
      <c r="TI35" s="86"/>
      <c r="TJ35" s="148"/>
      <c r="TK35" s="33"/>
      <c r="TL35" s="33"/>
      <c r="TM35" s="33"/>
      <c r="TN35" s="33"/>
      <c r="TO35" s="33"/>
      <c r="TP35" s="33"/>
      <c r="TQ35" s="33"/>
      <c r="TR35" s="31"/>
      <c r="TS35" s="33"/>
      <c r="TT35" s="33"/>
      <c r="TU35" s="33"/>
      <c r="TV35" s="33"/>
      <c r="TW35" s="33"/>
      <c r="TX35" s="33"/>
      <c r="TY35" s="33"/>
      <c r="TZ35" s="33"/>
      <c r="UA35" s="86"/>
      <c r="UB35" s="148"/>
      <c r="UC35" s="33"/>
      <c r="UD35" s="33"/>
      <c r="UE35" s="33"/>
      <c r="UF35" s="33"/>
      <c r="UG35" s="33"/>
      <c r="UH35" s="33"/>
      <c r="UI35" s="33"/>
      <c r="UJ35" s="31"/>
      <c r="UK35" s="33"/>
      <c r="UL35" s="33"/>
      <c r="UM35" s="33"/>
      <c r="UN35" s="33"/>
      <c r="UO35" s="33"/>
      <c r="UP35" s="33"/>
      <c r="UQ35" s="33"/>
      <c r="UR35" s="33"/>
      <c r="US35" s="86"/>
    </row>
    <row r="36" spans="1:565" x14ac:dyDescent="0.3">
      <c r="A36" s="8" t="s">
        <v>64</v>
      </c>
      <c r="B36" s="169" t="s">
        <v>65</v>
      </c>
      <c r="C36" s="13" t="s">
        <v>66</v>
      </c>
      <c r="F36" s="36">
        <v>279223700</v>
      </c>
      <c r="G36" s="85"/>
      <c r="H36" s="35"/>
      <c r="I36" s="35">
        <v>7115531.9100000001</v>
      </c>
      <c r="J36" s="35">
        <v>6688600</v>
      </c>
      <c r="K36" s="35">
        <v>426931.91</v>
      </c>
      <c r="L36" s="35">
        <v>6688600</v>
      </c>
      <c r="M36" s="35">
        <v>171542.46</v>
      </c>
      <c r="N36" s="36"/>
      <c r="O36" s="35">
        <v>7115531.8899999997</v>
      </c>
      <c r="P36" s="35">
        <v>6688600</v>
      </c>
      <c r="Q36" s="35"/>
      <c r="R36" s="35">
        <v>426931.89</v>
      </c>
      <c r="S36" s="35">
        <v>6</v>
      </c>
      <c r="T36" s="35">
        <v>171542.46</v>
      </c>
      <c r="U36" s="35"/>
      <c r="V36" s="85">
        <v>6688600</v>
      </c>
      <c r="W36" s="27"/>
      <c r="X36" s="36">
        <v>6688600</v>
      </c>
      <c r="Y36" s="85">
        <v>6688600</v>
      </c>
      <c r="Z36" s="35"/>
      <c r="AA36" s="35">
        <v>38637234.039999999</v>
      </c>
      <c r="AB36" s="35">
        <v>36319000</v>
      </c>
      <c r="AC36" s="35">
        <v>2318234.04</v>
      </c>
      <c r="AD36" s="35">
        <v>36318924</v>
      </c>
      <c r="AE36" s="35">
        <v>23926.48</v>
      </c>
      <c r="AF36" s="36"/>
      <c r="AG36" s="35">
        <v>38637153.210000001</v>
      </c>
      <c r="AH36" s="35">
        <v>36318924</v>
      </c>
      <c r="AI36" s="35"/>
      <c r="AJ36" s="35">
        <v>2318229.21</v>
      </c>
      <c r="AK36" s="35">
        <v>6</v>
      </c>
      <c r="AL36" s="35">
        <v>23926.48</v>
      </c>
      <c r="AM36" s="35"/>
      <c r="AN36" s="85">
        <v>36318924</v>
      </c>
      <c r="AO36" s="27"/>
      <c r="AP36" s="36">
        <v>36319000</v>
      </c>
      <c r="AQ36" s="85">
        <v>36319000</v>
      </c>
      <c r="AR36" s="35"/>
      <c r="AS36" s="35">
        <v>65720106.380000003</v>
      </c>
      <c r="AT36" s="35">
        <v>61776900</v>
      </c>
      <c r="AU36" s="35">
        <v>3943206.38</v>
      </c>
      <c r="AV36" s="35">
        <v>61776837.990000002</v>
      </c>
      <c r="AW36" s="35">
        <v>555880.95999999996</v>
      </c>
      <c r="AX36" s="36"/>
      <c r="AY36" s="35">
        <v>65720040.399999999</v>
      </c>
      <c r="AZ36" s="35">
        <v>61776837.990000002</v>
      </c>
      <c r="BA36" s="35"/>
      <c r="BB36" s="35">
        <v>3943202.41</v>
      </c>
      <c r="BC36" s="35">
        <v>6</v>
      </c>
      <c r="BD36" s="35">
        <v>555880.95999999996</v>
      </c>
      <c r="BE36" s="35"/>
      <c r="BF36" s="85">
        <v>61776837.990000002</v>
      </c>
      <c r="BG36" s="27"/>
      <c r="BH36" s="36">
        <v>61776900</v>
      </c>
      <c r="BI36" s="85">
        <v>61776900</v>
      </c>
      <c r="BJ36" s="35"/>
      <c r="BK36" s="35">
        <v>31211125</v>
      </c>
      <c r="BL36" s="35">
        <v>24968900</v>
      </c>
      <c r="BM36" s="35">
        <v>6242225</v>
      </c>
      <c r="BN36" s="35">
        <v>24893853.550000001</v>
      </c>
      <c r="BO36" s="35">
        <v>0</v>
      </c>
      <c r="BP36" s="36"/>
      <c r="BQ36" s="35">
        <v>31117316.940000001</v>
      </c>
      <c r="BR36" s="35">
        <v>24893853.550000001</v>
      </c>
      <c r="BS36" s="35"/>
      <c r="BT36" s="35">
        <v>6223463.3899999997</v>
      </c>
      <c r="BU36" s="35">
        <v>20</v>
      </c>
      <c r="BV36" s="35">
        <v>0</v>
      </c>
      <c r="BW36" s="35"/>
      <c r="BX36" s="85">
        <v>24893853.550000001</v>
      </c>
      <c r="BY36" s="27"/>
      <c r="BZ36" s="36">
        <v>24968900</v>
      </c>
      <c r="CA36" s="85">
        <v>24968900</v>
      </c>
      <c r="CB36" s="35"/>
      <c r="CC36" s="35">
        <v>28936700</v>
      </c>
      <c r="CD36" s="35">
        <v>11636700</v>
      </c>
      <c r="CE36" s="35">
        <v>17300000</v>
      </c>
      <c r="CF36" s="35">
        <v>10331447</v>
      </c>
      <c r="CG36" s="35">
        <v>15053.76</v>
      </c>
      <c r="CH36" s="36"/>
      <c r="CI36" s="35">
        <v>25690958.960000001</v>
      </c>
      <c r="CJ36" s="35">
        <v>10331447</v>
      </c>
      <c r="CK36" s="35"/>
      <c r="CL36" s="35">
        <v>15359511.960000001</v>
      </c>
      <c r="CM36" s="35">
        <v>59.785670000000003</v>
      </c>
      <c r="CN36" s="35">
        <v>15053.76</v>
      </c>
      <c r="CO36" s="35"/>
      <c r="CP36" s="85">
        <v>10331447</v>
      </c>
      <c r="CQ36" s="27"/>
      <c r="CR36" s="36">
        <v>11636700</v>
      </c>
      <c r="CS36" s="85">
        <v>11636700</v>
      </c>
      <c r="CT36" s="35"/>
      <c r="CU36" s="35"/>
      <c r="CV36" s="35"/>
      <c r="CW36" s="35"/>
      <c r="CX36" s="35"/>
      <c r="CY36" s="35"/>
      <c r="CZ36" s="36"/>
      <c r="DA36" s="35"/>
      <c r="DB36" s="35"/>
      <c r="DC36" s="35"/>
      <c r="DD36" s="35"/>
      <c r="DE36" s="35"/>
      <c r="DF36" s="35"/>
      <c r="DG36" s="35"/>
      <c r="DH36" s="85"/>
      <c r="DI36" s="27"/>
      <c r="DJ36" s="36"/>
      <c r="DK36" s="85"/>
      <c r="DL36" s="35"/>
      <c r="DM36" s="35"/>
      <c r="DN36" s="35"/>
      <c r="DO36" s="35"/>
      <c r="DP36" s="35"/>
      <c r="DQ36" s="35"/>
      <c r="DR36" s="36"/>
      <c r="DS36" s="35"/>
      <c r="DT36" s="35"/>
      <c r="DU36" s="35"/>
      <c r="DV36" s="35"/>
      <c r="DW36" s="35"/>
      <c r="DX36" s="35"/>
      <c r="DY36" s="35"/>
      <c r="DZ36" s="85"/>
      <c r="EA36" s="27"/>
      <c r="EB36" s="36"/>
      <c r="EC36" s="85"/>
      <c r="ED36" s="35"/>
      <c r="EE36" s="35">
        <v>124789090.91</v>
      </c>
      <c r="EF36" s="35">
        <v>123541200</v>
      </c>
      <c r="EG36" s="35">
        <v>1247890.9099999999</v>
      </c>
      <c r="EH36" s="35">
        <v>123541200</v>
      </c>
      <c r="EI36" s="35"/>
      <c r="EJ36" s="36"/>
      <c r="EK36" s="35">
        <v>124789090.91</v>
      </c>
      <c r="EL36" s="35">
        <v>123541200</v>
      </c>
      <c r="EM36" s="35"/>
      <c r="EN36" s="35">
        <v>1247890.9099999999</v>
      </c>
      <c r="EO36" s="35">
        <v>1</v>
      </c>
      <c r="EP36" s="35"/>
      <c r="EQ36" s="35"/>
      <c r="ER36" s="85">
        <v>123541200</v>
      </c>
      <c r="ES36" s="27"/>
      <c r="ET36" s="36">
        <v>123541200</v>
      </c>
      <c r="EU36" s="85">
        <v>123541200</v>
      </c>
      <c r="EV36" s="35"/>
      <c r="EW36" s="35">
        <v>23578400</v>
      </c>
      <c r="EX36" s="35">
        <v>13578400</v>
      </c>
      <c r="EY36" s="35">
        <v>10000000</v>
      </c>
      <c r="EZ36" s="35">
        <v>13578400</v>
      </c>
      <c r="FA36" s="35">
        <v>199584.63</v>
      </c>
      <c r="FB36" s="36"/>
      <c r="FC36" s="35">
        <v>23522236.260000002</v>
      </c>
      <c r="FD36" s="35">
        <v>13546056.26</v>
      </c>
      <c r="FE36" s="35"/>
      <c r="FF36" s="35">
        <v>9976180</v>
      </c>
      <c r="FG36" s="35">
        <v>42.411700000000003</v>
      </c>
      <c r="FH36" s="35">
        <v>138247.84</v>
      </c>
      <c r="FI36" s="35">
        <v>93680.53</v>
      </c>
      <c r="FJ36" s="85">
        <v>13578400</v>
      </c>
      <c r="FK36" s="27"/>
      <c r="FL36" s="36">
        <v>13578400</v>
      </c>
      <c r="FM36" s="85">
        <v>13578400</v>
      </c>
      <c r="FN36" s="35"/>
      <c r="FO36" s="35"/>
      <c r="FP36" s="35"/>
      <c r="FQ36" s="35"/>
      <c r="FR36" s="35"/>
      <c r="FS36" s="35">
        <v>107314.25</v>
      </c>
      <c r="FT36" s="36"/>
      <c r="FU36" s="35"/>
      <c r="FV36" s="35"/>
      <c r="FW36" s="35"/>
      <c r="FX36" s="35"/>
      <c r="FY36" s="35"/>
      <c r="FZ36" s="35">
        <v>107314.25</v>
      </c>
      <c r="GA36" s="35"/>
      <c r="GB36" s="85"/>
      <c r="GC36" s="27"/>
      <c r="GD36" s="36"/>
      <c r="GE36" s="85"/>
      <c r="GF36" s="35"/>
      <c r="GG36" s="35"/>
      <c r="GH36" s="35"/>
      <c r="GI36" s="35"/>
      <c r="GJ36" s="35"/>
      <c r="GK36" s="35"/>
      <c r="GL36" s="36"/>
      <c r="GM36" s="35"/>
      <c r="GN36" s="35"/>
      <c r="GO36" s="35"/>
      <c r="GP36" s="35"/>
      <c r="GQ36" s="35"/>
      <c r="GR36" s="35"/>
      <c r="GS36" s="35"/>
      <c r="GT36" s="85"/>
      <c r="GU36" s="27"/>
      <c r="GV36" s="36"/>
      <c r="GW36" s="85"/>
      <c r="GX36" s="35"/>
      <c r="GY36" s="35"/>
      <c r="GZ36" s="35"/>
      <c r="HA36" s="35"/>
      <c r="HB36" s="35"/>
      <c r="HC36" s="35"/>
      <c r="HD36" s="36"/>
      <c r="HE36" s="35"/>
      <c r="HF36" s="35"/>
      <c r="HG36" s="35"/>
      <c r="HH36" s="35"/>
      <c r="HI36" s="35"/>
      <c r="HJ36" s="35"/>
      <c r="HK36" s="35"/>
      <c r="HL36" s="85"/>
      <c r="HM36" s="27"/>
      <c r="HN36" s="36"/>
      <c r="HO36" s="85"/>
      <c r="HP36" s="35"/>
      <c r="HQ36" s="35"/>
      <c r="HR36" s="35"/>
      <c r="HS36" s="35"/>
      <c r="HT36" s="35"/>
      <c r="HU36" s="35"/>
      <c r="HV36" s="36"/>
      <c r="HW36" s="35"/>
      <c r="HX36" s="35"/>
      <c r="HY36" s="35"/>
      <c r="HZ36" s="35"/>
      <c r="IA36" s="35"/>
      <c r="IB36" s="35"/>
      <c r="IC36" s="35"/>
      <c r="ID36" s="85"/>
      <c r="IE36" s="27"/>
      <c r="IF36" s="36"/>
      <c r="IG36" s="85"/>
      <c r="IH36" s="35"/>
      <c r="II36" s="35"/>
      <c r="IJ36" s="35"/>
      <c r="IK36" s="35"/>
      <c r="IL36" s="35"/>
      <c r="IM36" s="35"/>
      <c r="IN36" s="36"/>
      <c r="IO36" s="35"/>
      <c r="IP36" s="35"/>
      <c r="IQ36" s="35"/>
      <c r="IR36" s="35"/>
      <c r="IS36" s="35"/>
      <c r="IT36" s="35"/>
      <c r="IU36" s="35"/>
      <c r="IV36" s="85"/>
      <c r="IW36" s="27"/>
      <c r="IX36" s="36"/>
      <c r="IY36" s="85"/>
      <c r="IZ36" s="35"/>
      <c r="JA36" s="35"/>
      <c r="JB36" s="35"/>
      <c r="JC36" s="35"/>
      <c r="JD36" s="35"/>
      <c r="JE36" s="35"/>
      <c r="JF36" s="36"/>
      <c r="JG36" s="35"/>
      <c r="JH36" s="35"/>
      <c r="JI36" s="35"/>
      <c r="JJ36" s="35"/>
      <c r="JK36" s="35"/>
      <c r="JL36" s="35"/>
      <c r="JM36" s="35"/>
      <c r="JN36" s="85"/>
      <c r="JO36" s="27"/>
      <c r="JP36" s="36"/>
      <c r="JQ36" s="85"/>
      <c r="JR36" s="35"/>
      <c r="JS36" s="35"/>
      <c r="JT36" s="35"/>
      <c r="JU36" s="35"/>
      <c r="JV36" s="35"/>
      <c r="JW36" s="35"/>
      <c r="JX36" s="36"/>
      <c r="JY36" s="35"/>
      <c r="JZ36" s="35"/>
      <c r="KA36" s="35"/>
      <c r="KB36" s="35"/>
      <c r="KC36" s="35"/>
      <c r="KD36" s="35"/>
      <c r="KE36" s="35"/>
      <c r="KF36" s="85"/>
      <c r="KG36" s="27"/>
      <c r="KH36" s="36"/>
      <c r="KI36" s="85"/>
      <c r="KJ36" s="35"/>
      <c r="KK36" s="35"/>
      <c r="KL36" s="35"/>
      <c r="KM36" s="35"/>
      <c r="KN36" s="35"/>
      <c r="KO36" s="35"/>
      <c r="KP36" s="36"/>
      <c r="KQ36" s="35"/>
      <c r="KR36" s="35"/>
      <c r="KS36" s="35"/>
      <c r="KT36" s="35"/>
      <c r="KU36" s="35"/>
      <c r="KV36" s="35"/>
      <c r="KW36" s="35"/>
      <c r="KX36" s="85"/>
      <c r="KY36" s="27"/>
      <c r="KZ36" s="36"/>
      <c r="LA36" s="85"/>
      <c r="LB36" s="35"/>
      <c r="LC36" s="35"/>
      <c r="LD36" s="35"/>
      <c r="LE36" s="35"/>
      <c r="LF36" s="35"/>
      <c r="LG36" s="35"/>
      <c r="LH36" s="36"/>
      <c r="LI36" s="35"/>
      <c r="LJ36" s="35"/>
      <c r="LK36" s="35"/>
      <c r="LL36" s="35"/>
      <c r="LM36" s="35"/>
      <c r="LN36" s="35"/>
      <c r="LO36" s="35"/>
      <c r="LP36" s="85"/>
      <c r="LQ36" s="27"/>
      <c r="LR36" s="36"/>
      <c r="LS36" s="85"/>
      <c r="LT36" s="35"/>
      <c r="LU36" s="35"/>
      <c r="LV36" s="35"/>
      <c r="LW36" s="35"/>
      <c r="LX36" s="35"/>
      <c r="LY36" s="35"/>
      <c r="LZ36" s="36"/>
      <c r="MA36" s="35"/>
      <c r="MB36" s="35"/>
      <c r="MC36" s="35"/>
      <c r="MD36" s="35"/>
      <c r="ME36" s="35"/>
      <c r="MF36" s="35"/>
      <c r="MG36" s="35"/>
      <c r="MH36" s="85"/>
      <c r="MI36" s="27"/>
      <c r="MJ36" s="36"/>
      <c r="MK36" s="85"/>
      <c r="ML36" s="35"/>
      <c r="MM36" s="35"/>
      <c r="MN36" s="35"/>
      <c r="MO36" s="35"/>
      <c r="MP36" s="35"/>
      <c r="MQ36" s="35"/>
      <c r="MR36" s="36"/>
      <c r="MS36" s="35"/>
      <c r="MT36" s="35"/>
      <c r="MU36" s="35"/>
      <c r="MV36" s="35"/>
      <c r="MW36" s="35"/>
      <c r="MX36" s="35"/>
      <c r="MY36" s="35"/>
      <c r="MZ36" s="85"/>
      <c r="NA36" s="27"/>
      <c r="NB36" s="36"/>
      <c r="NC36" s="85"/>
      <c r="ND36" s="35"/>
      <c r="NE36" s="35">
        <v>759574.47</v>
      </c>
      <c r="NF36" s="35">
        <v>714000</v>
      </c>
      <c r="NG36" s="35">
        <v>45574.47</v>
      </c>
      <c r="NH36" s="35">
        <v>714000</v>
      </c>
      <c r="NI36" s="35"/>
      <c r="NJ36" s="36"/>
      <c r="NK36" s="35">
        <v>759574.47</v>
      </c>
      <c r="NL36" s="35">
        <v>714000</v>
      </c>
      <c r="NM36" s="35"/>
      <c r="NN36" s="35">
        <v>45574.47</v>
      </c>
      <c r="NO36" s="35">
        <v>6</v>
      </c>
      <c r="NP36" s="35"/>
      <c r="NQ36" s="35"/>
      <c r="NR36" s="85">
        <v>714000</v>
      </c>
      <c r="NS36" s="27"/>
      <c r="NT36" s="36">
        <v>714000</v>
      </c>
      <c r="NU36" s="85">
        <v>714000</v>
      </c>
      <c r="NV36" s="35"/>
      <c r="NW36" s="35"/>
      <c r="NX36" s="35"/>
      <c r="NY36" s="35"/>
      <c r="NZ36" s="35"/>
      <c r="OA36" s="35"/>
      <c r="OB36" s="36"/>
      <c r="OC36" s="35"/>
      <c r="OD36" s="35"/>
      <c r="OE36" s="35"/>
      <c r="OF36" s="35"/>
      <c r="OG36" s="35"/>
      <c r="OH36" s="35"/>
      <c r="OI36" s="35"/>
      <c r="OJ36" s="85"/>
      <c r="OK36" s="27"/>
      <c r="OL36" s="36"/>
      <c r="OM36" s="85"/>
      <c r="ON36" s="35"/>
      <c r="OO36" s="35"/>
      <c r="OP36" s="35"/>
      <c r="OQ36" s="35"/>
      <c r="OR36" s="35"/>
      <c r="OS36" s="35">
        <v>62737</v>
      </c>
      <c r="OT36" s="36"/>
      <c r="OU36" s="35"/>
      <c r="OV36" s="35"/>
      <c r="OW36" s="35"/>
      <c r="OX36" s="35"/>
      <c r="OY36" s="35"/>
      <c r="OZ36" s="35">
        <v>62737</v>
      </c>
      <c r="PA36" s="35"/>
      <c r="PB36" s="85"/>
      <c r="PC36" s="27"/>
      <c r="PD36" s="36"/>
      <c r="PE36" s="85"/>
      <c r="PF36" s="35"/>
      <c r="PG36" s="35"/>
      <c r="PH36" s="35"/>
      <c r="PI36" s="35"/>
      <c r="PJ36" s="35"/>
      <c r="PK36" s="35">
        <v>4666.47</v>
      </c>
      <c r="PL36" s="36"/>
      <c r="PM36" s="35"/>
      <c r="PN36" s="35"/>
      <c r="PO36" s="35"/>
      <c r="PP36" s="35"/>
      <c r="PQ36" s="35"/>
      <c r="PR36" s="35">
        <v>4666.47</v>
      </c>
      <c r="PS36" s="35"/>
      <c r="PT36" s="85"/>
      <c r="PU36" s="27"/>
      <c r="PV36" s="36"/>
      <c r="PW36" s="85"/>
      <c r="PX36" s="35"/>
      <c r="PY36" s="35"/>
      <c r="PZ36" s="35"/>
      <c r="QA36" s="35"/>
      <c r="QB36" s="35"/>
      <c r="QC36" s="35"/>
      <c r="QD36" s="36"/>
      <c r="QE36" s="35"/>
      <c r="QF36" s="35"/>
      <c r="QG36" s="35"/>
      <c r="QH36" s="35"/>
      <c r="QI36" s="35"/>
      <c r="QJ36" s="35"/>
      <c r="QK36" s="35"/>
      <c r="QL36" s="85"/>
      <c r="QM36" s="27"/>
      <c r="QN36" s="36"/>
      <c r="QO36" s="85"/>
      <c r="QP36" s="35"/>
      <c r="QQ36" s="35"/>
      <c r="QR36" s="35"/>
      <c r="QS36" s="35"/>
      <c r="QT36" s="35"/>
      <c r="QU36" s="35"/>
      <c r="QV36" s="36"/>
      <c r="QW36" s="35"/>
      <c r="QX36" s="35"/>
      <c r="QY36" s="35"/>
      <c r="QZ36" s="35"/>
      <c r="RA36" s="35"/>
      <c r="RB36" s="35"/>
      <c r="RC36" s="35"/>
      <c r="RD36" s="85"/>
      <c r="RE36" s="27"/>
      <c r="RF36" s="36"/>
      <c r="RG36" s="85"/>
      <c r="RH36" s="35"/>
      <c r="RI36" s="35"/>
      <c r="RJ36" s="35"/>
      <c r="RK36" s="35"/>
      <c r="RL36" s="35"/>
      <c r="RM36" s="35">
        <v>119989.49</v>
      </c>
      <c r="RN36" s="36"/>
      <c r="RO36" s="35"/>
      <c r="RP36" s="35"/>
      <c r="RQ36" s="35"/>
      <c r="RR36" s="35"/>
      <c r="RS36" s="35"/>
      <c r="RT36" s="35">
        <v>119989.49</v>
      </c>
      <c r="RU36" s="35"/>
      <c r="RV36" s="85"/>
      <c r="RW36" s="27"/>
      <c r="RX36" s="36"/>
      <c r="RY36" s="85"/>
      <c r="RZ36" s="35"/>
      <c r="SA36" s="35"/>
      <c r="SB36" s="35"/>
      <c r="SC36" s="35"/>
      <c r="SD36" s="35"/>
      <c r="SE36" s="35"/>
      <c r="SF36" s="36"/>
      <c r="SG36" s="35"/>
      <c r="SH36" s="35"/>
      <c r="SI36" s="35"/>
      <c r="SJ36" s="35"/>
      <c r="SK36" s="35"/>
      <c r="SL36" s="35"/>
      <c r="SM36" s="35"/>
      <c r="SN36" s="85"/>
      <c r="SO36" s="27"/>
      <c r="SP36" s="36"/>
      <c r="SQ36" s="85"/>
      <c r="SR36" s="35"/>
      <c r="SS36" s="35"/>
      <c r="ST36" s="35"/>
      <c r="SU36" s="35"/>
      <c r="SV36" s="35"/>
      <c r="SW36" s="35"/>
      <c r="SX36" s="36"/>
      <c r="SY36" s="35"/>
      <c r="SZ36" s="35"/>
      <c r="TA36" s="35"/>
      <c r="TB36" s="35"/>
      <c r="TC36" s="35"/>
      <c r="TD36" s="35"/>
      <c r="TE36" s="35"/>
      <c r="TF36" s="85"/>
      <c r="TG36" s="27"/>
      <c r="TH36" s="36"/>
      <c r="TI36" s="85"/>
      <c r="TJ36" s="35"/>
      <c r="TK36" s="35"/>
      <c r="TL36" s="35"/>
      <c r="TM36" s="35"/>
      <c r="TN36" s="35"/>
      <c r="TO36" s="35"/>
      <c r="TP36" s="36"/>
      <c r="TQ36" s="35"/>
      <c r="TR36" s="35"/>
      <c r="TS36" s="35"/>
      <c r="TT36" s="35"/>
      <c r="TU36" s="35"/>
      <c r="TV36" s="35"/>
      <c r="TW36" s="35"/>
      <c r="TX36" s="85"/>
      <c r="TY36" s="27"/>
      <c r="TZ36" s="36"/>
      <c r="UA36" s="85"/>
      <c r="UB36" s="35"/>
      <c r="UC36" s="35"/>
      <c r="UD36" s="35"/>
      <c r="UE36" s="35"/>
      <c r="UF36" s="35"/>
      <c r="UG36" s="35"/>
      <c r="UH36" s="36"/>
      <c r="UI36" s="35"/>
      <c r="UJ36" s="35"/>
      <c r="UK36" s="35"/>
      <c r="UL36" s="35"/>
      <c r="UM36" s="35"/>
      <c r="UN36" s="35"/>
      <c r="UO36" s="35"/>
      <c r="UP36" s="85"/>
      <c r="UQ36" s="27"/>
      <c r="UR36" s="36"/>
      <c r="US36" s="85"/>
    </row>
    <row r="37" spans="1:565" x14ac:dyDescent="0.3">
      <c r="A37" s="8" t="s">
        <v>67</v>
      </c>
      <c r="B37" s="168" t="s">
        <v>68</v>
      </c>
      <c r="C37" s="13" t="s">
        <v>69</v>
      </c>
      <c r="F37" s="36">
        <v>183819200</v>
      </c>
      <c r="G37" s="85"/>
      <c r="H37" s="35"/>
      <c r="I37" s="35">
        <v>9271571.4299999997</v>
      </c>
      <c r="J37" s="35">
        <v>6490100</v>
      </c>
      <c r="K37" s="35">
        <v>2781471.43</v>
      </c>
      <c r="L37" s="35">
        <v>6490100</v>
      </c>
      <c r="M37" s="35"/>
      <c r="N37" s="36"/>
      <c r="O37" s="35">
        <v>9271571.4299999997</v>
      </c>
      <c r="P37" s="35">
        <v>6490100</v>
      </c>
      <c r="Q37" s="35"/>
      <c r="R37" s="35">
        <v>2781471.43</v>
      </c>
      <c r="S37" s="35">
        <v>30</v>
      </c>
      <c r="T37" s="35"/>
      <c r="U37" s="35"/>
      <c r="V37" s="85">
        <v>6490100</v>
      </c>
      <c r="W37" s="27"/>
      <c r="X37" s="36">
        <v>6490100</v>
      </c>
      <c r="Y37" s="85">
        <v>6490100</v>
      </c>
      <c r="Z37" s="35"/>
      <c r="AA37" s="35">
        <v>20190000</v>
      </c>
      <c r="AB37" s="35">
        <v>14133000</v>
      </c>
      <c r="AC37" s="35">
        <v>6057000</v>
      </c>
      <c r="AD37" s="35">
        <v>14133000</v>
      </c>
      <c r="AE37" s="35"/>
      <c r="AF37" s="36"/>
      <c r="AG37" s="35">
        <v>20190000</v>
      </c>
      <c r="AH37" s="35">
        <v>14133000</v>
      </c>
      <c r="AI37" s="35"/>
      <c r="AJ37" s="35">
        <v>6057000</v>
      </c>
      <c r="AK37" s="35">
        <v>30</v>
      </c>
      <c r="AL37" s="35"/>
      <c r="AM37" s="35"/>
      <c r="AN37" s="85">
        <v>14133000</v>
      </c>
      <c r="AO37" s="27"/>
      <c r="AP37" s="36">
        <v>14133000</v>
      </c>
      <c r="AQ37" s="85">
        <v>14133000</v>
      </c>
      <c r="AR37" s="35"/>
      <c r="AS37" s="35">
        <v>100688142.86</v>
      </c>
      <c r="AT37" s="35">
        <v>70481700</v>
      </c>
      <c r="AU37" s="35">
        <v>30206442.859999999</v>
      </c>
      <c r="AV37" s="35">
        <v>70013539.760000005</v>
      </c>
      <c r="AW37" s="35">
        <v>245922.77</v>
      </c>
      <c r="AX37" s="36"/>
      <c r="AY37" s="35">
        <v>100019342.5</v>
      </c>
      <c r="AZ37" s="35">
        <v>70013539.760000005</v>
      </c>
      <c r="BA37" s="35"/>
      <c r="BB37" s="35">
        <v>30005802.739999998</v>
      </c>
      <c r="BC37" s="35">
        <v>30</v>
      </c>
      <c r="BD37" s="35">
        <v>245922.77</v>
      </c>
      <c r="BE37" s="35"/>
      <c r="BF37" s="85">
        <v>70013539.760000005</v>
      </c>
      <c r="BG37" s="27"/>
      <c r="BH37" s="36">
        <v>70481700</v>
      </c>
      <c r="BI37" s="85">
        <v>70481700</v>
      </c>
      <c r="BJ37" s="35"/>
      <c r="BK37" s="35">
        <v>6199962.8499999996</v>
      </c>
      <c r="BL37" s="35">
        <v>4587400</v>
      </c>
      <c r="BM37" s="35">
        <v>1612562.85</v>
      </c>
      <c r="BN37" s="35">
        <v>4587399.99</v>
      </c>
      <c r="BO37" s="35"/>
      <c r="BP37" s="36"/>
      <c r="BQ37" s="35">
        <v>6199962.8300000001</v>
      </c>
      <c r="BR37" s="35">
        <v>4587399.99</v>
      </c>
      <c r="BS37" s="35"/>
      <c r="BT37" s="35">
        <v>1612562.84</v>
      </c>
      <c r="BU37" s="35">
        <v>26.009229999999999</v>
      </c>
      <c r="BV37" s="35"/>
      <c r="BW37" s="35"/>
      <c r="BX37" s="85">
        <v>4587399.99</v>
      </c>
      <c r="BY37" s="27"/>
      <c r="BZ37" s="36">
        <v>4587400</v>
      </c>
      <c r="CA37" s="85">
        <v>4587400</v>
      </c>
      <c r="CB37" s="35"/>
      <c r="CC37" s="35">
        <v>4968571.43</v>
      </c>
      <c r="CD37" s="35">
        <v>3478000</v>
      </c>
      <c r="CE37" s="35">
        <v>1490571.43</v>
      </c>
      <c r="CF37" s="35">
        <v>2552406.7400000002</v>
      </c>
      <c r="CG37" s="35"/>
      <c r="CH37" s="36"/>
      <c r="CI37" s="35">
        <v>3646295.35</v>
      </c>
      <c r="CJ37" s="35">
        <v>2552406.7400000002</v>
      </c>
      <c r="CK37" s="35"/>
      <c r="CL37" s="35">
        <v>1093888.6100000001</v>
      </c>
      <c r="CM37" s="35">
        <v>30</v>
      </c>
      <c r="CN37" s="35"/>
      <c r="CO37" s="35"/>
      <c r="CP37" s="85">
        <v>2552406.7400000002</v>
      </c>
      <c r="CQ37" s="27"/>
      <c r="CR37" s="36">
        <v>3478000</v>
      </c>
      <c r="CS37" s="85">
        <v>3478000</v>
      </c>
      <c r="CT37" s="35"/>
      <c r="CU37" s="35"/>
      <c r="CV37" s="35"/>
      <c r="CW37" s="35"/>
      <c r="CX37" s="35"/>
      <c r="CY37" s="35"/>
      <c r="CZ37" s="36"/>
      <c r="DA37" s="35"/>
      <c r="DB37" s="35"/>
      <c r="DC37" s="35"/>
      <c r="DD37" s="35"/>
      <c r="DE37" s="35"/>
      <c r="DF37" s="35"/>
      <c r="DG37" s="35"/>
      <c r="DH37" s="85"/>
      <c r="DI37" s="27"/>
      <c r="DJ37" s="36"/>
      <c r="DK37" s="85"/>
      <c r="DL37" s="35"/>
      <c r="DM37" s="35"/>
      <c r="DN37" s="35"/>
      <c r="DO37" s="35"/>
      <c r="DP37" s="35"/>
      <c r="DQ37" s="35"/>
      <c r="DR37" s="36"/>
      <c r="DS37" s="35"/>
      <c r="DT37" s="35"/>
      <c r="DU37" s="35"/>
      <c r="DV37" s="35"/>
      <c r="DW37" s="35"/>
      <c r="DX37" s="35"/>
      <c r="DY37" s="35"/>
      <c r="DZ37" s="85"/>
      <c r="EA37" s="27"/>
      <c r="EB37" s="36"/>
      <c r="EC37" s="85"/>
      <c r="ED37" s="35"/>
      <c r="EE37" s="35">
        <v>10814315.800000001</v>
      </c>
      <c r="EF37" s="35">
        <v>10273600</v>
      </c>
      <c r="EG37" s="35">
        <v>540715.80000000005</v>
      </c>
      <c r="EH37" s="35">
        <v>10273600</v>
      </c>
      <c r="EI37" s="35"/>
      <c r="EJ37" s="36"/>
      <c r="EK37" s="35">
        <v>10814315.800000001</v>
      </c>
      <c r="EL37" s="35">
        <v>10273600</v>
      </c>
      <c r="EM37" s="35"/>
      <c r="EN37" s="35">
        <v>540715.80000000005</v>
      </c>
      <c r="EO37" s="35">
        <v>5</v>
      </c>
      <c r="EP37" s="35"/>
      <c r="EQ37" s="35"/>
      <c r="ER37" s="85">
        <v>10273600</v>
      </c>
      <c r="ES37" s="27"/>
      <c r="ET37" s="36">
        <v>10273600</v>
      </c>
      <c r="EU37" s="85">
        <v>10273600</v>
      </c>
      <c r="EV37" s="35"/>
      <c r="EW37" s="35">
        <v>84064800</v>
      </c>
      <c r="EX37" s="35">
        <v>58845300</v>
      </c>
      <c r="EY37" s="35">
        <v>25219500</v>
      </c>
      <c r="EZ37" s="35">
        <v>58845300</v>
      </c>
      <c r="FA37" s="35"/>
      <c r="FB37" s="36"/>
      <c r="FC37" s="35">
        <v>84064800</v>
      </c>
      <c r="FD37" s="35">
        <v>58845300</v>
      </c>
      <c r="FE37" s="35"/>
      <c r="FF37" s="35">
        <v>25219500</v>
      </c>
      <c r="FG37" s="35">
        <v>30.000070000000001</v>
      </c>
      <c r="FH37" s="35"/>
      <c r="FI37" s="35"/>
      <c r="FJ37" s="85">
        <v>58845300</v>
      </c>
      <c r="FK37" s="27"/>
      <c r="FL37" s="36">
        <v>58845300</v>
      </c>
      <c r="FM37" s="85">
        <v>58845300</v>
      </c>
      <c r="FN37" s="35"/>
      <c r="FO37" s="35"/>
      <c r="FP37" s="35"/>
      <c r="FQ37" s="35"/>
      <c r="FR37" s="35"/>
      <c r="FS37" s="35">
        <v>866201.04</v>
      </c>
      <c r="FT37" s="36"/>
      <c r="FU37" s="35"/>
      <c r="FV37" s="35"/>
      <c r="FW37" s="35"/>
      <c r="FX37" s="35"/>
      <c r="FY37" s="35"/>
      <c r="FZ37" s="35">
        <v>866201.04</v>
      </c>
      <c r="GA37" s="35"/>
      <c r="GB37" s="85"/>
      <c r="GC37" s="27"/>
      <c r="GD37" s="36"/>
      <c r="GE37" s="85"/>
      <c r="GF37" s="35"/>
      <c r="GG37" s="35"/>
      <c r="GH37" s="35"/>
      <c r="GI37" s="35"/>
      <c r="GJ37" s="35"/>
      <c r="GK37" s="35"/>
      <c r="GL37" s="36"/>
      <c r="GM37" s="35"/>
      <c r="GN37" s="35"/>
      <c r="GO37" s="35"/>
      <c r="GP37" s="35"/>
      <c r="GQ37" s="35"/>
      <c r="GR37" s="35"/>
      <c r="GS37" s="35"/>
      <c r="GT37" s="85"/>
      <c r="GU37" s="27"/>
      <c r="GV37" s="36"/>
      <c r="GW37" s="85"/>
      <c r="GX37" s="35"/>
      <c r="GY37" s="35"/>
      <c r="GZ37" s="35"/>
      <c r="HA37" s="35"/>
      <c r="HB37" s="35"/>
      <c r="HC37" s="35"/>
      <c r="HD37" s="36"/>
      <c r="HE37" s="35"/>
      <c r="HF37" s="35"/>
      <c r="HG37" s="35"/>
      <c r="HH37" s="35"/>
      <c r="HI37" s="35"/>
      <c r="HJ37" s="35"/>
      <c r="HK37" s="35"/>
      <c r="HL37" s="85"/>
      <c r="HM37" s="27"/>
      <c r="HN37" s="36"/>
      <c r="HO37" s="85"/>
      <c r="HP37" s="35"/>
      <c r="HQ37" s="35"/>
      <c r="HR37" s="35"/>
      <c r="HS37" s="35"/>
      <c r="HT37" s="35"/>
      <c r="HU37" s="35"/>
      <c r="HV37" s="36"/>
      <c r="HW37" s="35"/>
      <c r="HX37" s="35"/>
      <c r="HY37" s="35"/>
      <c r="HZ37" s="35"/>
      <c r="IA37" s="35"/>
      <c r="IB37" s="35"/>
      <c r="IC37" s="35"/>
      <c r="ID37" s="85"/>
      <c r="IE37" s="27"/>
      <c r="IF37" s="36"/>
      <c r="IG37" s="85"/>
      <c r="IH37" s="35"/>
      <c r="II37" s="35"/>
      <c r="IJ37" s="35"/>
      <c r="IK37" s="35"/>
      <c r="IL37" s="35"/>
      <c r="IM37" s="35"/>
      <c r="IN37" s="36"/>
      <c r="IO37" s="35"/>
      <c r="IP37" s="35"/>
      <c r="IQ37" s="35"/>
      <c r="IR37" s="35"/>
      <c r="IS37" s="35"/>
      <c r="IT37" s="35"/>
      <c r="IU37" s="35"/>
      <c r="IV37" s="85"/>
      <c r="IW37" s="27"/>
      <c r="IX37" s="36"/>
      <c r="IY37" s="85"/>
      <c r="IZ37" s="35"/>
      <c r="JA37" s="35"/>
      <c r="JB37" s="35"/>
      <c r="JC37" s="35"/>
      <c r="JD37" s="35"/>
      <c r="JE37" s="35"/>
      <c r="JF37" s="36"/>
      <c r="JG37" s="35"/>
      <c r="JH37" s="35"/>
      <c r="JI37" s="35"/>
      <c r="JJ37" s="35"/>
      <c r="JK37" s="35"/>
      <c r="JL37" s="35"/>
      <c r="JM37" s="35"/>
      <c r="JN37" s="85"/>
      <c r="JO37" s="27"/>
      <c r="JP37" s="36"/>
      <c r="JQ37" s="85"/>
      <c r="JR37" s="35"/>
      <c r="JS37" s="35"/>
      <c r="JT37" s="35"/>
      <c r="JU37" s="35"/>
      <c r="JV37" s="35"/>
      <c r="JW37" s="35"/>
      <c r="JX37" s="36"/>
      <c r="JY37" s="35"/>
      <c r="JZ37" s="35"/>
      <c r="KA37" s="35"/>
      <c r="KB37" s="35"/>
      <c r="KC37" s="35"/>
      <c r="KD37" s="35"/>
      <c r="KE37" s="35"/>
      <c r="KF37" s="85"/>
      <c r="KG37" s="27"/>
      <c r="KH37" s="36"/>
      <c r="KI37" s="85"/>
      <c r="KJ37" s="35"/>
      <c r="KK37" s="35">
        <v>2565800</v>
      </c>
      <c r="KL37" s="35">
        <v>1796000</v>
      </c>
      <c r="KM37" s="35">
        <v>769800</v>
      </c>
      <c r="KN37" s="35">
        <v>1796000</v>
      </c>
      <c r="KO37" s="35"/>
      <c r="KP37" s="36"/>
      <c r="KQ37" s="35">
        <v>2565800</v>
      </c>
      <c r="KR37" s="35">
        <v>1796000</v>
      </c>
      <c r="KS37" s="35"/>
      <c r="KT37" s="35">
        <v>769800</v>
      </c>
      <c r="KU37" s="35">
        <v>30.00234</v>
      </c>
      <c r="KV37" s="35"/>
      <c r="KW37" s="35"/>
      <c r="KX37" s="85">
        <v>1796000</v>
      </c>
      <c r="KY37" s="27"/>
      <c r="KZ37" s="36">
        <v>1796000</v>
      </c>
      <c r="LA37" s="85">
        <v>1796000</v>
      </c>
      <c r="LB37" s="35"/>
      <c r="LC37" s="35"/>
      <c r="LD37" s="35"/>
      <c r="LE37" s="35"/>
      <c r="LF37" s="35"/>
      <c r="LG37" s="35"/>
      <c r="LH37" s="36"/>
      <c r="LI37" s="35"/>
      <c r="LJ37" s="35"/>
      <c r="LK37" s="35"/>
      <c r="LL37" s="35"/>
      <c r="LM37" s="35"/>
      <c r="LN37" s="35"/>
      <c r="LO37" s="35"/>
      <c r="LP37" s="85"/>
      <c r="LQ37" s="27"/>
      <c r="LR37" s="36"/>
      <c r="LS37" s="85"/>
      <c r="LT37" s="35"/>
      <c r="LU37" s="35">
        <v>18570300</v>
      </c>
      <c r="LV37" s="35">
        <v>12999200</v>
      </c>
      <c r="LW37" s="35">
        <v>5571100</v>
      </c>
      <c r="LX37" s="35">
        <v>12999200</v>
      </c>
      <c r="LY37" s="35">
        <v>1783980</v>
      </c>
      <c r="LZ37" s="36"/>
      <c r="MA37" s="35">
        <v>18570300</v>
      </c>
      <c r="MB37" s="35">
        <v>12999200</v>
      </c>
      <c r="MC37" s="35"/>
      <c r="MD37" s="35">
        <v>5571100</v>
      </c>
      <c r="ME37" s="35">
        <v>30.000050000000002</v>
      </c>
      <c r="MF37" s="35">
        <v>1783980</v>
      </c>
      <c r="MG37" s="35"/>
      <c r="MH37" s="85">
        <v>12999200</v>
      </c>
      <c r="MI37" s="27"/>
      <c r="MJ37" s="36">
        <v>12999200</v>
      </c>
      <c r="MK37" s="85">
        <v>12999200</v>
      </c>
      <c r="ML37" s="35"/>
      <c r="MM37" s="35"/>
      <c r="MN37" s="35"/>
      <c r="MO37" s="35"/>
      <c r="MP37" s="35"/>
      <c r="MQ37" s="35"/>
      <c r="MR37" s="36"/>
      <c r="MS37" s="35"/>
      <c r="MT37" s="35"/>
      <c r="MU37" s="35"/>
      <c r="MV37" s="35"/>
      <c r="MW37" s="35"/>
      <c r="MX37" s="35"/>
      <c r="MY37" s="35"/>
      <c r="MZ37" s="85"/>
      <c r="NA37" s="27"/>
      <c r="NB37" s="36"/>
      <c r="NC37" s="85"/>
      <c r="ND37" s="35"/>
      <c r="NE37" s="35">
        <v>1049900</v>
      </c>
      <c r="NF37" s="35">
        <v>734900</v>
      </c>
      <c r="NG37" s="35">
        <v>315000</v>
      </c>
      <c r="NH37" s="35">
        <v>734900</v>
      </c>
      <c r="NI37" s="35"/>
      <c r="NJ37" s="36"/>
      <c r="NK37" s="35">
        <v>1049900</v>
      </c>
      <c r="NL37" s="35">
        <v>734900</v>
      </c>
      <c r="NM37" s="35"/>
      <c r="NN37" s="35">
        <v>315000</v>
      </c>
      <c r="NO37" s="35">
        <v>30.002859999999998</v>
      </c>
      <c r="NP37" s="35"/>
      <c r="NQ37" s="35"/>
      <c r="NR37" s="85">
        <v>734900</v>
      </c>
      <c r="NS37" s="27"/>
      <c r="NT37" s="36">
        <v>734900</v>
      </c>
      <c r="NU37" s="85">
        <v>734900</v>
      </c>
      <c r="NV37" s="35"/>
      <c r="NW37" s="35"/>
      <c r="NX37" s="35"/>
      <c r="NY37" s="35"/>
      <c r="NZ37" s="35"/>
      <c r="OA37" s="35"/>
      <c r="OB37" s="36"/>
      <c r="OC37" s="35"/>
      <c r="OD37" s="35"/>
      <c r="OE37" s="35"/>
      <c r="OF37" s="35"/>
      <c r="OG37" s="35"/>
      <c r="OH37" s="35"/>
      <c r="OI37" s="35"/>
      <c r="OJ37" s="85"/>
      <c r="OK37" s="27"/>
      <c r="OL37" s="36"/>
      <c r="OM37" s="85"/>
      <c r="ON37" s="35"/>
      <c r="OO37" s="35"/>
      <c r="OP37" s="35"/>
      <c r="OQ37" s="35"/>
      <c r="OR37" s="35"/>
      <c r="OS37" s="35">
        <v>21908.13</v>
      </c>
      <c r="OT37" s="36"/>
      <c r="OU37" s="35"/>
      <c r="OV37" s="35"/>
      <c r="OW37" s="35"/>
      <c r="OX37" s="35"/>
      <c r="OY37" s="35"/>
      <c r="OZ37" s="35">
        <v>21908.13</v>
      </c>
      <c r="PA37" s="35"/>
      <c r="PB37" s="85"/>
      <c r="PC37" s="27"/>
      <c r="PD37" s="36"/>
      <c r="PE37" s="85"/>
      <c r="PF37" s="35"/>
      <c r="PG37" s="35"/>
      <c r="PH37" s="35"/>
      <c r="PI37" s="35"/>
      <c r="PJ37" s="35"/>
      <c r="PK37" s="35"/>
      <c r="PL37" s="36"/>
      <c r="PM37" s="35"/>
      <c r="PN37" s="35"/>
      <c r="PO37" s="35"/>
      <c r="PP37" s="35"/>
      <c r="PQ37" s="35"/>
      <c r="PR37" s="35"/>
      <c r="PS37" s="35"/>
      <c r="PT37" s="85"/>
      <c r="PU37" s="27"/>
      <c r="PV37" s="36"/>
      <c r="PW37" s="85"/>
      <c r="PX37" s="35"/>
      <c r="PY37" s="35"/>
      <c r="PZ37" s="35"/>
      <c r="QA37" s="35"/>
      <c r="QB37" s="35"/>
      <c r="QC37" s="35"/>
      <c r="QD37" s="36"/>
      <c r="QE37" s="35"/>
      <c r="QF37" s="35"/>
      <c r="QG37" s="35"/>
      <c r="QH37" s="35"/>
      <c r="QI37" s="35"/>
      <c r="QJ37" s="35"/>
      <c r="QK37" s="35"/>
      <c r="QL37" s="85"/>
      <c r="QM37" s="27"/>
      <c r="QN37" s="36"/>
      <c r="QO37" s="85"/>
      <c r="QP37" s="35"/>
      <c r="QQ37" s="35"/>
      <c r="QR37" s="35"/>
      <c r="QS37" s="35"/>
      <c r="QT37" s="35"/>
      <c r="QU37" s="35"/>
      <c r="QV37" s="36"/>
      <c r="QW37" s="35"/>
      <c r="QX37" s="35"/>
      <c r="QY37" s="35"/>
      <c r="QZ37" s="35"/>
      <c r="RA37" s="35"/>
      <c r="RB37" s="35"/>
      <c r="RC37" s="35"/>
      <c r="RD37" s="85"/>
      <c r="RE37" s="27"/>
      <c r="RF37" s="36"/>
      <c r="RG37" s="85"/>
      <c r="RH37" s="35"/>
      <c r="RI37" s="35"/>
      <c r="RJ37" s="35"/>
      <c r="RK37" s="35"/>
      <c r="RL37" s="35"/>
      <c r="RM37" s="35"/>
      <c r="RN37" s="36"/>
      <c r="RO37" s="35"/>
      <c r="RP37" s="35"/>
      <c r="RQ37" s="35"/>
      <c r="RR37" s="35"/>
      <c r="RS37" s="35"/>
      <c r="RT37" s="35"/>
      <c r="RU37" s="35"/>
      <c r="RV37" s="85"/>
      <c r="RW37" s="27"/>
      <c r="RX37" s="36"/>
      <c r="RY37" s="85"/>
      <c r="RZ37" s="35"/>
      <c r="SA37" s="35"/>
      <c r="SB37" s="35"/>
      <c r="SC37" s="35"/>
      <c r="SD37" s="35"/>
      <c r="SE37" s="35"/>
      <c r="SF37" s="36"/>
      <c r="SG37" s="35"/>
      <c r="SH37" s="35"/>
      <c r="SI37" s="35"/>
      <c r="SJ37" s="35"/>
      <c r="SK37" s="35"/>
      <c r="SL37" s="35"/>
      <c r="SM37" s="35"/>
      <c r="SN37" s="85"/>
      <c r="SO37" s="27"/>
      <c r="SP37" s="36"/>
      <c r="SQ37" s="85"/>
      <c r="SR37" s="35"/>
      <c r="SS37" s="35"/>
      <c r="ST37" s="35"/>
      <c r="SU37" s="35"/>
      <c r="SV37" s="35"/>
      <c r="SW37" s="35"/>
      <c r="SX37" s="36"/>
      <c r="SY37" s="35"/>
      <c r="SZ37" s="35"/>
      <c r="TA37" s="35"/>
      <c r="TB37" s="35"/>
      <c r="TC37" s="35"/>
      <c r="TD37" s="35"/>
      <c r="TE37" s="35"/>
      <c r="TF37" s="85"/>
      <c r="TG37" s="27"/>
      <c r="TH37" s="36"/>
      <c r="TI37" s="85"/>
      <c r="TJ37" s="35"/>
      <c r="TK37" s="35"/>
      <c r="TL37" s="35"/>
      <c r="TM37" s="35"/>
      <c r="TN37" s="35"/>
      <c r="TO37" s="35"/>
      <c r="TP37" s="36"/>
      <c r="TQ37" s="35"/>
      <c r="TR37" s="35"/>
      <c r="TS37" s="35"/>
      <c r="TT37" s="35"/>
      <c r="TU37" s="35"/>
      <c r="TV37" s="35"/>
      <c r="TW37" s="35"/>
      <c r="TX37" s="85"/>
      <c r="TY37" s="27"/>
      <c r="TZ37" s="36"/>
      <c r="UA37" s="85"/>
      <c r="UB37" s="35"/>
      <c r="UC37" s="35"/>
      <c r="UD37" s="35"/>
      <c r="UE37" s="35"/>
      <c r="UF37" s="35"/>
      <c r="UG37" s="35"/>
      <c r="UH37" s="36"/>
      <c r="UI37" s="35"/>
      <c r="UJ37" s="35"/>
      <c r="UK37" s="35"/>
      <c r="UL37" s="35"/>
      <c r="UM37" s="35"/>
      <c r="UN37" s="35"/>
      <c r="UO37" s="35"/>
      <c r="UP37" s="85"/>
      <c r="UQ37" s="27"/>
      <c r="UR37" s="36"/>
      <c r="US37" s="85"/>
    </row>
    <row r="38" spans="1:565" x14ac:dyDescent="0.3">
      <c r="A38" s="8" t="s">
        <v>70</v>
      </c>
      <c r="B38" s="169" t="s">
        <v>71</v>
      </c>
      <c r="C38" s="13" t="s">
        <v>72</v>
      </c>
      <c r="F38" s="36">
        <v>402610100</v>
      </c>
      <c r="G38" s="85"/>
      <c r="H38" s="35"/>
      <c r="I38" s="35">
        <v>19685555.559999999</v>
      </c>
      <c r="J38" s="35">
        <v>17717000</v>
      </c>
      <c r="K38" s="35">
        <v>1968555.56</v>
      </c>
      <c r="L38" s="35">
        <v>17717000</v>
      </c>
      <c r="M38" s="35"/>
      <c r="N38" s="36"/>
      <c r="O38" s="35">
        <v>19685555.559999999</v>
      </c>
      <c r="P38" s="35">
        <v>17717000</v>
      </c>
      <c r="Q38" s="35"/>
      <c r="R38" s="35">
        <v>1968555.56</v>
      </c>
      <c r="S38" s="35">
        <v>10</v>
      </c>
      <c r="T38" s="35"/>
      <c r="U38" s="35"/>
      <c r="V38" s="85">
        <v>17717000</v>
      </c>
      <c r="W38" s="27"/>
      <c r="X38" s="36">
        <v>17717000</v>
      </c>
      <c r="Y38" s="85">
        <v>17717000</v>
      </c>
      <c r="Z38" s="35"/>
      <c r="AA38" s="35">
        <v>80375888.890000001</v>
      </c>
      <c r="AB38" s="35">
        <v>72338300</v>
      </c>
      <c r="AC38" s="35">
        <v>8037588.8899999997</v>
      </c>
      <c r="AD38" s="35">
        <v>72338300</v>
      </c>
      <c r="AE38" s="35"/>
      <c r="AF38" s="36"/>
      <c r="AG38" s="35">
        <v>80375888.890000001</v>
      </c>
      <c r="AH38" s="35">
        <v>72338300</v>
      </c>
      <c r="AI38" s="35"/>
      <c r="AJ38" s="35">
        <v>8037588.8899999997</v>
      </c>
      <c r="AK38" s="35">
        <v>10</v>
      </c>
      <c r="AL38" s="35"/>
      <c r="AM38" s="35"/>
      <c r="AN38" s="85">
        <v>72338300</v>
      </c>
      <c r="AO38" s="27"/>
      <c r="AP38" s="36">
        <v>72338300</v>
      </c>
      <c r="AQ38" s="85">
        <v>72338300</v>
      </c>
      <c r="AR38" s="35"/>
      <c r="AS38" s="35">
        <v>131505555.55</v>
      </c>
      <c r="AT38" s="35">
        <v>118355000</v>
      </c>
      <c r="AU38" s="35">
        <v>13150555.550000001</v>
      </c>
      <c r="AV38" s="35">
        <v>118308588.98</v>
      </c>
      <c r="AW38" s="35">
        <v>1503785.87</v>
      </c>
      <c r="AX38" s="36"/>
      <c r="AY38" s="35">
        <v>128505555.53</v>
      </c>
      <c r="AZ38" s="35">
        <v>115654999.98</v>
      </c>
      <c r="BA38" s="35"/>
      <c r="BB38" s="35">
        <v>12850555.550000001</v>
      </c>
      <c r="BC38" s="35">
        <v>10</v>
      </c>
      <c r="BD38" s="35">
        <v>1503785.87</v>
      </c>
      <c r="BE38" s="35">
        <v>2653589</v>
      </c>
      <c r="BF38" s="85">
        <v>118308588.98</v>
      </c>
      <c r="BG38" s="27"/>
      <c r="BH38" s="36">
        <v>118355000</v>
      </c>
      <c r="BI38" s="85">
        <v>118355000</v>
      </c>
      <c r="BJ38" s="35"/>
      <c r="BK38" s="35">
        <v>14644111.109999999</v>
      </c>
      <c r="BL38" s="35">
        <v>13179700</v>
      </c>
      <c r="BM38" s="35">
        <v>1464411.11</v>
      </c>
      <c r="BN38" s="35">
        <v>13179700</v>
      </c>
      <c r="BO38" s="35"/>
      <c r="BP38" s="36"/>
      <c r="BQ38" s="35">
        <v>14644111.109999999</v>
      </c>
      <c r="BR38" s="35">
        <v>13179700</v>
      </c>
      <c r="BS38" s="35"/>
      <c r="BT38" s="35">
        <v>1464411.11</v>
      </c>
      <c r="BU38" s="35">
        <v>10</v>
      </c>
      <c r="BV38" s="35"/>
      <c r="BW38" s="35"/>
      <c r="BX38" s="85">
        <v>13179700</v>
      </c>
      <c r="BY38" s="27"/>
      <c r="BZ38" s="36">
        <v>13179700</v>
      </c>
      <c r="CA38" s="85">
        <v>13179700</v>
      </c>
      <c r="CB38" s="35"/>
      <c r="CC38" s="35">
        <v>69705582.219999999</v>
      </c>
      <c r="CD38" s="35">
        <v>62735200</v>
      </c>
      <c r="CE38" s="35">
        <v>6970382.2199999997</v>
      </c>
      <c r="CF38" s="35">
        <v>60057475.700000003</v>
      </c>
      <c r="CG38" s="35"/>
      <c r="CH38" s="36"/>
      <c r="CI38" s="35">
        <v>66730532.810000002</v>
      </c>
      <c r="CJ38" s="35">
        <v>60057475.700000003</v>
      </c>
      <c r="CK38" s="35"/>
      <c r="CL38" s="35">
        <v>6673057.1100000003</v>
      </c>
      <c r="CM38" s="35">
        <v>10.00001</v>
      </c>
      <c r="CN38" s="35"/>
      <c r="CO38" s="35"/>
      <c r="CP38" s="85">
        <v>60057475.700000003</v>
      </c>
      <c r="CQ38" s="27"/>
      <c r="CR38" s="36">
        <v>62735200</v>
      </c>
      <c r="CS38" s="85">
        <v>62735200</v>
      </c>
      <c r="CT38" s="35"/>
      <c r="CU38" s="35"/>
      <c r="CV38" s="35"/>
      <c r="CW38" s="35"/>
      <c r="CX38" s="35"/>
      <c r="CY38" s="35"/>
      <c r="CZ38" s="36"/>
      <c r="DA38" s="35"/>
      <c r="DB38" s="35"/>
      <c r="DC38" s="35"/>
      <c r="DD38" s="35"/>
      <c r="DE38" s="35"/>
      <c r="DF38" s="35"/>
      <c r="DG38" s="35"/>
      <c r="DH38" s="85"/>
      <c r="DI38" s="27"/>
      <c r="DJ38" s="36"/>
      <c r="DK38" s="85"/>
      <c r="DL38" s="35"/>
      <c r="DM38" s="35">
        <v>7535777.7800000003</v>
      </c>
      <c r="DN38" s="35">
        <v>6782200</v>
      </c>
      <c r="DO38" s="35">
        <v>753577.78</v>
      </c>
      <c r="DP38" s="35">
        <v>6782200</v>
      </c>
      <c r="DQ38" s="35">
        <v>341256.74</v>
      </c>
      <c r="DR38" s="36"/>
      <c r="DS38" s="35">
        <v>7535777.7800000003</v>
      </c>
      <c r="DT38" s="35">
        <v>6782200</v>
      </c>
      <c r="DU38" s="35"/>
      <c r="DV38" s="35">
        <v>753577.78</v>
      </c>
      <c r="DW38" s="35">
        <v>10</v>
      </c>
      <c r="DX38" s="35">
        <v>341256.74</v>
      </c>
      <c r="DY38" s="35"/>
      <c r="DZ38" s="85">
        <v>6782200</v>
      </c>
      <c r="EA38" s="27"/>
      <c r="EB38" s="36">
        <v>6782200</v>
      </c>
      <c r="EC38" s="85">
        <v>6782200</v>
      </c>
      <c r="ED38" s="35"/>
      <c r="EE38" s="35">
        <v>8809693.8800000008</v>
      </c>
      <c r="EF38" s="35">
        <v>8633500</v>
      </c>
      <c r="EG38" s="35">
        <v>176193.88</v>
      </c>
      <c r="EH38" s="35">
        <v>5473803</v>
      </c>
      <c r="EI38" s="35"/>
      <c r="EJ38" s="36"/>
      <c r="EK38" s="35">
        <v>5585513.2699999996</v>
      </c>
      <c r="EL38" s="35">
        <v>5473803</v>
      </c>
      <c r="EM38" s="35"/>
      <c r="EN38" s="35">
        <v>111710.27</v>
      </c>
      <c r="EO38" s="35">
        <v>2</v>
      </c>
      <c r="EP38" s="35"/>
      <c r="EQ38" s="35"/>
      <c r="ER38" s="85">
        <v>5473803</v>
      </c>
      <c r="ES38" s="27"/>
      <c r="ET38" s="36">
        <v>8633500</v>
      </c>
      <c r="EU38" s="85">
        <v>8633500</v>
      </c>
      <c r="EV38" s="35"/>
      <c r="EW38" s="35">
        <v>77894000</v>
      </c>
      <c r="EX38" s="35">
        <v>70104600</v>
      </c>
      <c r="EY38" s="35">
        <v>7789400</v>
      </c>
      <c r="EZ38" s="35">
        <v>69812621.879999995</v>
      </c>
      <c r="FA38" s="35"/>
      <c r="FB38" s="36"/>
      <c r="FC38" s="35">
        <v>77569579.829999998</v>
      </c>
      <c r="FD38" s="35">
        <v>69812621.879999995</v>
      </c>
      <c r="FE38" s="35"/>
      <c r="FF38" s="35">
        <v>7756957.9500000002</v>
      </c>
      <c r="FG38" s="35">
        <v>10</v>
      </c>
      <c r="FH38" s="35"/>
      <c r="FI38" s="35"/>
      <c r="FJ38" s="85">
        <v>69812621.879999995</v>
      </c>
      <c r="FK38" s="27"/>
      <c r="FL38" s="36">
        <v>70104600</v>
      </c>
      <c r="FM38" s="85">
        <v>70104600</v>
      </c>
      <c r="FN38" s="35"/>
      <c r="FO38" s="35"/>
      <c r="FP38" s="35"/>
      <c r="FQ38" s="35"/>
      <c r="FR38" s="35"/>
      <c r="FS38" s="35"/>
      <c r="FT38" s="36"/>
      <c r="FU38" s="35"/>
      <c r="FV38" s="35"/>
      <c r="FW38" s="35"/>
      <c r="FX38" s="35"/>
      <c r="FY38" s="35"/>
      <c r="FZ38" s="35"/>
      <c r="GA38" s="35"/>
      <c r="GB38" s="85"/>
      <c r="GC38" s="27"/>
      <c r="GD38" s="36"/>
      <c r="GE38" s="85"/>
      <c r="GF38" s="35"/>
      <c r="GG38" s="35">
        <v>30180200</v>
      </c>
      <c r="GH38" s="35">
        <v>27162200</v>
      </c>
      <c r="GI38" s="35">
        <v>3018000</v>
      </c>
      <c r="GJ38" s="35">
        <v>25342910.16</v>
      </c>
      <c r="GK38" s="35"/>
      <c r="GL38" s="36"/>
      <c r="GM38" s="35">
        <v>28158768.34</v>
      </c>
      <c r="GN38" s="35">
        <v>25342910.16</v>
      </c>
      <c r="GO38" s="35"/>
      <c r="GP38" s="35">
        <v>2815858.18</v>
      </c>
      <c r="GQ38" s="35">
        <v>9.9999300000000009</v>
      </c>
      <c r="GR38" s="35"/>
      <c r="GS38" s="35"/>
      <c r="GT38" s="85">
        <v>25342910.16</v>
      </c>
      <c r="GU38" s="27"/>
      <c r="GV38" s="36">
        <v>27162200</v>
      </c>
      <c r="GW38" s="85">
        <v>27162200</v>
      </c>
      <c r="GX38" s="35"/>
      <c r="GY38" s="35"/>
      <c r="GZ38" s="35"/>
      <c r="HA38" s="35"/>
      <c r="HB38" s="35"/>
      <c r="HC38" s="35"/>
      <c r="HD38" s="36"/>
      <c r="HE38" s="35"/>
      <c r="HF38" s="35"/>
      <c r="HG38" s="35"/>
      <c r="HH38" s="35"/>
      <c r="HI38" s="35"/>
      <c r="HJ38" s="35"/>
      <c r="HK38" s="35"/>
      <c r="HL38" s="85"/>
      <c r="HM38" s="27"/>
      <c r="HN38" s="36"/>
      <c r="HO38" s="85"/>
      <c r="HP38" s="35"/>
      <c r="HQ38" s="35"/>
      <c r="HR38" s="35"/>
      <c r="HS38" s="35"/>
      <c r="HT38" s="35"/>
      <c r="HU38" s="35"/>
      <c r="HV38" s="36"/>
      <c r="HW38" s="35"/>
      <c r="HX38" s="35"/>
      <c r="HY38" s="35"/>
      <c r="HZ38" s="35"/>
      <c r="IA38" s="35"/>
      <c r="IB38" s="35"/>
      <c r="IC38" s="35"/>
      <c r="ID38" s="85"/>
      <c r="IE38" s="27"/>
      <c r="IF38" s="36"/>
      <c r="IG38" s="85"/>
      <c r="IH38" s="35"/>
      <c r="II38" s="35"/>
      <c r="IJ38" s="35"/>
      <c r="IK38" s="35"/>
      <c r="IL38" s="35"/>
      <c r="IM38" s="35"/>
      <c r="IN38" s="36"/>
      <c r="IO38" s="35"/>
      <c r="IP38" s="35"/>
      <c r="IQ38" s="35"/>
      <c r="IR38" s="35"/>
      <c r="IS38" s="35"/>
      <c r="IT38" s="35"/>
      <c r="IU38" s="35"/>
      <c r="IV38" s="85"/>
      <c r="IW38" s="27"/>
      <c r="IX38" s="36"/>
      <c r="IY38" s="85"/>
      <c r="IZ38" s="35"/>
      <c r="JA38" s="35">
        <v>2183333.2999999998</v>
      </c>
      <c r="JB38" s="35">
        <v>1965000</v>
      </c>
      <c r="JC38" s="35">
        <v>218333.3</v>
      </c>
      <c r="JD38" s="35">
        <v>1965000</v>
      </c>
      <c r="JE38" s="35"/>
      <c r="JF38" s="36"/>
      <c r="JG38" s="35">
        <v>2183333</v>
      </c>
      <c r="JH38" s="35">
        <v>1965000</v>
      </c>
      <c r="JI38" s="35"/>
      <c r="JJ38" s="35">
        <v>218333</v>
      </c>
      <c r="JK38" s="35">
        <v>9.9999900000000004</v>
      </c>
      <c r="JL38" s="35"/>
      <c r="JM38" s="35"/>
      <c r="JN38" s="85">
        <v>1965000</v>
      </c>
      <c r="JO38" s="27"/>
      <c r="JP38" s="36">
        <v>1965000</v>
      </c>
      <c r="JQ38" s="85">
        <v>1965000</v>
      </c>
      <c r="JR38" s="35"/>
      <c r="JS38" s="35"/>
      <c r="JT38" s="35"/>
      <c r="JU38" s="35"/>
      <c r="JV38" s="35"/>
      <c r="JW38" s="35"/>
      <c r="JX38" s="36"/>
      <c r="JY38" s="35"/>
      <c r="JZ38" s="35"/>
      <c r="KA38" s="35"/>
      <c r="KB38" s="35"/>
      <c r="KC38" s="35"/>
      <c r="KD38" s="35"/>
      <c r="KE38" s="35"/>
      <c r="KF38" s="85"/>
      <c r="KG38" s="27"/>
      <c r="KH38" s="36"/>
      <c r="KI38" s="85"/>
      <c r="KJ38" s="35"/>
      <c r="KK38" s="35">
        <v>2566666.6</v>
      </c>
      <c r="KL38" s="35">
        <v>2310000</v>
      </c>
      <c r="KM38" s="35">
        <v>256666.6</v>
      </c>
      <c r="KN38" s="35">
        <v>2310000</v>
      </c>
      <c r="KO38" s="35"/>
      <c r="KP38" s="36"/>
      <c r="KQ38" s="35">
        <v>2566666.6</v>
      </c>
      <c r="KR38" s="35">
        <v>2310000</v>
      </c>
      <c r="KS38" s="35"/>
      <c r="KT38" s="35">
        <v>256666.6</v>
      </c>
      <c r="KU38" s="35">
        <v>10</v>
      </c>
      <c r="KV38" s="35"/>
      <c r="KW38" s="35"/>
      <c r="KX38" s="85">
        <v>2310000</v>
      </c>
      <c r="KY38" s="27"/>
      <c r="KZ38" s="36">
        <v>2310000</v>
      </c>
      <c r="LA38" s="85">
        <v>2310000</v>
      </c>
      <c r="LB38" s="35"/>
      <c r="LC38" s="35"/>
      <c r="LD38" s="35"/>
      <c r="LE38" s="35"/>
      <c r="LF38" s="35"/>
      <c r="LG38" s="35"/>
      <c r="LH38" s="36"/>
      <c r="LI38" s="35"/>
      <c r="LJ38" s="35"/>
      <c r="LK38" s="35"/>
      <c r="LL38" s="35"/>
      <c r="LM38" s="35"/>
      <c r="LN38" s="35"/>
      <c r="LO38" s="35"/>
      <c r="LP38" s="85"/>
      <c r="LQ38" s="27"/>
      <c r="LR38" s="36"/>
      <c r="LS38" s="85"/>
      <c r="LT38" s="35"/>
      <c r="LU38" s="35"/>
      <c r="LV38" s="35"/>
      <c r="LW38" s="35"/>
      <c r="LX38" s="35"/>
      <c r="LY38" s="35"/>
      <c r="LZ38" s="36"/>
      <c r="MA38" s="35"/>
      <c r="MB38" s="35"/>
      <c r="MC38" s="35"/>
      <c r="MD38" s="35"/>
      <c r="ME38" s="35"/>
      <c r="MF38" s="35"/>
      <c r="MG38" s="35"/>
      <c r="MH38" s="85"/>
      <c r="MI38" s="27"/>
      <c r="MJ38" s="36"/>
      <c r="MK38" s="85"/>
      <c r="ML38" s="35"/>
      <c r="MM38" s="35"/>
      <c r="MN38" s="35"/>
      <c r="MO38" s="35"/>
      <c r="MP38" s="35"/>
      <c r="MQ38" s="35"/>
      <c r="MR38" s="36"/>
      <c r="MS38" s="35"/>
      <c r="MT38" s="35"/>
      <c r="MU38" s="35"/>
      <c r="MV38" s="35"/>
      <c r="MW38" s="35"/>
      <c r="MX38" s="35"/>
      <c r="MY38" s="35"/>
      <c r="MZ38" s="85"/>
      <c r="NA38" s="27"/>
      <c r="NB38" s="36"/>
      <c r="NC38" s="85"/>
      <c r="ND38" s="35"/>
      <c r="NE38" s="35">
        <v>1474899</v>
      </c>
      <c r="NF38" s="35">
        <v>1327400</v>
      </c>
      <c r="NG38" s="35">
        <v>147499</v>
      </c>
      <c r="NH38" s="35">
        <v>1327400</v>
      </c>
      <c r="NI38" s="35"/>
      <c r="NJ38" s="36"/>
      <c r="NK38" s="35">
        <v>1474899</v>
      </c>
      <c r="NL38" s="35">
        <v>1327400</v>
      </c>
      <c r="NM38" s="35"/>
      <c r="NN38" s="35">
        <v>147499</v>
      </c>
      <c r="NO38" s="35">
        <v>10.00062</v>
      </c>
      <c r="NP38" s="35"/>
      <c r="NQ38" s="35"/>
      <c r="NR38" s="85">
        <v>1327400</v>
      </c>
      <c r="NS38" s="27"/>
      <c r="NT38" s="36">
        <v>1327400</v>
      </c>
      <c r="NU38" s="85">
        <v>1327400</v>
      </c>
      <c r="NV38" s="35"/>
      <c r="NW38" s="35"/>
      <c r="NX38" s="35"/>
      <c r="NY38" s="35"/>
      <c r="NZ38" s="35"/>
      <c r="OA38" s="35"/>
      <c r="OB38" s="36"/>
      <c r="OC38" s="35"/>
      <c r="OD38" s="35"/>
      <c r="OE38" s="35"/>
      <c r="OF38" s="35"/>
      <c r="OG38" s="35"/>
      <c r="OH38" s="35"/>
      <c r="OI38" s="35"/>
      <c r="OJ38" s="85"/>
      <c r="OK38" s="27"/>
      <c r="OL38" s="36"/>
      <c r="OM38" s="85"/>
      <c r="ON38" s="35"/>
      <c r="OO38" s="35"/>
      <c r="OP38" s="35"/>
      <c r="OQ38" s="35"/>
      <c r="OR38" s="35"/>
      <c r="OS38" s="35">
        <v>915496.68</v>
      </c>
      <c r="OT38" s="36"/>
      <c r="OU38" s="35"/>
      <c r="OV38" s="35"/>
      <c r="OW38" s="35"/>
      <c r="OX38" s="35"/>
      <c r="OY38" s="35"/>
      <c r="OZ38" s="35">
        <v>915496.68</v>
      </c>
      <c r="PA38" s="35"/>
      <c r="PB38" s="85"/>
      <c r="PC38" s="27"/>
      <c r="PD38" s="36"/>
      <c r="PE38" s="85"/>
      <c r="PF38" s="35"/>
      <c r="PG38" s="35"/>
      <c r="PH38" s="35"/>
      <c r="PI38" s="35"/>
      <c r="PJ38" s="35"/>
      <c r="PK38" s="35"/>
      <c r="PL38" s="36"/>
      <c r="PM38" s="35"/>
      <c r="PN38" s="35"/>
      <c r="PO38" s="35"/>
      <c r="PP38" s="35"/>
      <c r="PQ38" s="35"/>
      <c r="PR38" s="35"/>
      <c r="PS38" s="35"/>
      <c r="PT38" s="85"/>
      <c r="PU38" s="27"/>
      <c r="PV38" s="36"/>
      <c r="PW38" s="85"/>
      <c r="PX38" s="35"/>
      <c r="PY38" s="35"/>
      <c r="PZ38" s="35"/>
      <c r="QA38" s="35"/>
      <c r="QB38" s="35"/>
      <c r="QC38" s="35"/>
      <c r="QD38" s="36"/>
      <c r="QE38" s="35"/>
      <c r="QF38" s="35"/>
      <c r="QG38" s="35"/>
      <c r="QH38" s="35"/>
      <c r="QI38" s="35"/>
      <c r="QJ38" s="35"/>
      <c r="QK38" s="35"/>
      <c r="QL38" s="85"/>
      <c r="QM38" s="27"/>
      <c r="QN38" s="36"/>
      <c r="QO38" s="85"/>
      <c r="QP38" s="35"/>
      <c r="QQ38" s="35"/>
      <c r="QR38" s="35"/>
      <c r="QS38" s="35"/>
      <c r="QT38" s="35"/>
      <c r="QU38" s="35"/>
      <c r="QV38" s="36"/>
      <c r="QW38" s="35"/>
      <c r="QX38" s="35"/>
      <c r="QY38" s="35"/>
      <c r="QZ38" s="35"/>
      <c r="RA38" s="35"/>
      <c r="RB38" s="35"/>
      <c r="RC38" s="35"/>
      <c r="RD38" s="85"/>
      <c r="RE38" s="27"/>
      <c r="RF38" s="36"/>
      <c r="RG38" s="85"/>
      <c r="RH38" s="35"/>
      <c r="RI38" s="35"/>
      <c r="RJ38" s="35"/>
      <c r="RK38" s="35"/>
      <c r="RL38" s="35"/>
      <c r="RM38" s="35">
        <v>100477.22</v>
      </c>
      <c r="RN38" s="36"/>
      <c r="RO38" s="35"/>
      <c r="RP38" s="35"/>
      <c r="RQ38" s="35"/>
      <c r="RR38" s="35"/>
      <c r="RS38" s="35"/>
      <c r="RT38" s="35">
        <v>100477.22</v>
      </c>
      <c r="RU38" s="35"/>
      <c r="RV38" s="85"/>
      <c r="RW38" s="27"/>
      <c r="RX38" s="36"/>
      <c r="RY38" s="85"/>
      <c r="RZ38" s="35"/>
      <c r="SA38" s="35"/>
      <c r="SB38" s="35"/>
      <c r="SC38" s="35"/>
      <c r="SD38" s="35"/>
      <c r="SE38" s="35"/>
      <c r="SF38" s="36"/>
      <c r="SG38" s="35"/>
      <c r="SH38" s="35"/>
      <c r="SI38" s="35"/>
      <c r="SJ38" s="35"/>
      <c r="SK38" s="35"/>
      <c r="SL38" s="35"/>
      <c r="SM38" s="35"/>
      <c r="SN38" s="85"/>
      <c r="SO38" s="27"/>
      <c r="SP38" s="36"/>
      <c r="SQ38" s="85"/>
      <c r="SR38" s="35"/>
      <c r="SS38" s="35"/>
      <c r="ST38" s="35"/>
      <c r="SU38" s="35"/>
      <c r="SV38" s="35"/>
      <c r="SW38" s="35"/>
      <c r="SX38" s="36"/>
      <c r="SY38" s="35"/>
      <c r="SZ38" s="35"/>
      <c r="TA38" s="35"/>
      <c r="TB38" s="35"/>
      <c r="TC38" s="35"/>
      <c r="TD38" s="35"/>
      <c r="TE38" s="35"/>
      <c r="TF38" s="85"/>
      <c r="TG38" s="27"/>
      <c r="TH38" s="36"/>
      <c r="TI38" s="85"/>
      <c r="TJ38" s="35"/>
      <c r="TK38" s="35"/>
      <c r="TL38" s="35"/>
      <c r="TM38" s="35"/>
      <c r="TN38" s="35"/>
      <c r="TO38" s="35"/>
      <c r="TP38" s="36"/>
      <c r="TQ38" s="35"/>
      <c r="TR38" s="35"/>
      <c r="TS38" s="35"/>
      <c r="TT38" s="35"/>
      <c r="TU38" s="35"/>
      <c r="TV38" s="35"/>
      <c r="TW38" s="35"/>
      <c r="TX38" s="85"/>
      <c r="TY38" s="27"/>
      <c r="TZ38" s="36"/>
      <c r="UA38" s="85"/>
      <c r="UB38" s="35"/>
      <c r="UC38" s="35"/>
      <c r="UD38" s="35"/>
      <c r="UE38" s="35"/>
      <c r="UF38" s="35"/>
      <c r="UG38" s="35"/>
      <c r="UH38" s="36"/>
      <c r="UI38" s="35"/>
      <c r="UJ38" s="35"/>
      <c r="UK38" s="35"/>
      <c r="UL38" s="35"/>
      <c r="UM38" s="35"/>
      <c r="UN38" s="35"/>
      <c r="UO38" s="35"/>
      <c r="UP38" s="85"/>
      <c r="UQ38" s="27"/>
      <c r="UR38" s="36"/>
      <c r="US38" s="85"/>
    </row>
    <row r="39" spans="1:565" x14ac:dyDescent="0.3">
      <c r="A39" s="8" t="s">
        <v>73</v>
      </c>
      <c r="B39" s="168" t="s">
        <v>74</v>
      </c>
      <c r="C39" s="13" t="s">
        <v>274</v>
      </c>
      <c r="F39" s="36">
        <v>47988500</v>
      </c>
      <c r="G39" s="85"/>
      <c r="H39" s="35"/>
      <c r="I39" s="35"/>
      <c r="J39" s="35"/>
      <c r="K39" s="35"/>
      <c r="L39" s="35"/>
      <c r="M39" s="35"/>
      <c r="N39" s="36"/>
      <c r="O39" s="35"/>
      <c r="P39" s="35"/>
      <c r="Q39" s="35"/>
      <c r="R39" s="35"/>
      <c r="S39" s="35"/>
      <c r="T39" s="35"/>
      <c r="U39" s="35"/>
      <c r="V39" s="85"/>
      <c r="W39" s="27"/>
      <c r="X39" s="36"/>
      <c r="Y39" s="85"/>
      <c r="Z39" s="35"/>
      <c r="AA39" s="35">
        <v>1973100</v>
      </c>
      <c r="AB39" s="35">
        <v>1223300</v>
      </c>
      <c r="AC39" s="35">
        <v>749800</v>
      </c>
      <c r="AD39" s="35">
        <v>1220632.82</v>
      </c>
      <c r="AE39" s="35"/>
      <c r="AF39" s="36"/>
      <c r="AG39" s="35">
        <v>1968798.05</v>
      </c>
      <c r="AH39" s="35">
        <v>1220632.82</v>
      </c>
      <c r="AI39" s="35"/>
      <c r="AJ39" s="35">
        <v>748165.23</v>
      </c>
      <c r="AK39" s="35">
        <v>38.00112</v>
      </c>
      <c r="AL39" s="35"/>
      <c r="AM39" s="35"/>
      <c r="AN39" s="85">
        <v>1220632.82</v>
      </c>
      <c r="AO39" s="27"/>
      <c r="AP39" s="36">
        <v>1223300</v>
      </c>
      <c r="AQ39" s="85">
        <v>1223300</v>
      </c>
      <c r="AR39" s="35"/>
      <c r="AS39" s="35">
        <v>62730000</v>
      </c>
      <c r="AT39" s="35">
        <v>38892600</v>
      </c>
      <c r="AU39" s="35">
        <v>23837400</v>
      </c>
      <c r="AV39" s="35">
        <v>38892477.880000003</v>
      </c>
      <c r="AW39" s="35">
        <v>998454.38</v>
      </c>
      <c r="AX39" s="36"/>
      <c r="AY39" s="35">
        <v>62729803.020000003</v>
      </c>
      <c r="AZ39" s="35">
        <v>38892477.880000003</v>
      </c>
      <c r="BA39" s="35"/>
      <c r="BB39" s="35">
        <v>23837325.140000001</v>
      </c>
      <c r="BC39" s="35">
        <v>38</v>
      </c>
      <c r="BD39" s="35">
        <v>998454.38</v>
      </c>
      <c r="BE39" s="35"/>
      <c r="BF39" s="85">
        <v>38892477.880000003</v>
      </c>
      <c r="BG39" s="27"/>
      <c r="BH39" s="36">
        <v>38892600</v>
      </c>
      <c r="BI39" s="85">
        <v>38892600</v>
      </c>
      <c r="BJ39" s="35"/>
      <c r="BK39" s="35"/>
      <c r="BL39" s="35"/>
      <c r="BM39" s="35"/>
      <c r="BN39" s="35"/>
      <c r="BO39" s="35"/>
      <c r="BP39" s="36"/>
      <c r="BQ39" s="35"/>
      <c r="BR39" s="35"/>
      <c r="BS39" s="35"/>
      <c r="BT39" s="35"/>
      <c r="BU39" s="35"/>
      <c r="BV39" s="35"/>
      <c r="BW39" s="35"/>
      <c r="BX39" s="85"/>
      <c r="BY39" s="27"/>
      <c r="BZ39" s="36"/>
      <c r="CA39" s="85"/>
      <c r="CB39" s="35"/>
      <c r="CC39" s="35"/>
      <c r="CD39" s="35"/>
      <c r="CE39" s="35"/>
      <c r="CF39" s="35"/>
      <c r="CG39" s="35"/>
      <c r="CH39" s="36"/>
      <c r="CI39" s="35"/>
      <c r="CJ39" s="35"/>
      <c r="CK39" s="35"/>
      <c r="CL39" s="35"/>
      <c r="CM39" s="35"/>
      <c r="CN39" s="35"/>
      <c r="CO39" s="35"/>
      <c r="CP39" s="85"/>
      <c r="CQ39" s="27"/>
      <c r="CR39" s="36"/>
      <c r="CS39" s="85"/>
      <c r="CT39" s="35"/>
      <c r="CU39" s="35"/>
      <c r="CV39" s="35"/>
      <c r="CW39" s="35"/>
      <c r="CX39" s="35"/>
      <c r="CY39" s="35"/>
      <c r="CZ39" s="36"/>
      <c r="DA39" s="35"/>
      <c r="DB39" s="35"/>
      <c r="DC39" s="35"/>
      <c r="DD39" s="35"/>
      <c r="DE39" s="35"/>
      <c r="DF39" s="35"/>
      <c r="DG39" s="35"/>
      <c r="DH39" s="85"/>
      <c r="DI39" s="27"/>
      <c r="DJ39" s="36"/>
      <c r="DK39" s="85"/>
      <c r="DL39" s="35"/>
      <c r="DM39" s="35"/>
      <c r="DN39" s="35"/>
      <c r="DO39" s="35"/>
      <c r="DP39" s="35"/>
      <c r="DQ39" s="35"/>
      <c r="DR39" s="36"/>
      <c r="DS39" s="35"/>
      <c r="DT39" s="35"/>
      <c r="DU39" s="35"/>
      <c r="DV39" s="35"/>
      <c r="DW39" s="35"/>
      <c r="DX39" s="35"/>
      <c r="DY39" s="35"/>
      <c r="DZ39" s="85"/>
      <c r="EA39" s="27"/>
      <c r="EB39" s="36"/>
      <c r="EC39" s="85"/>
      <c r="ED39" s="35"/>
      <c r="EE39" s="35">
        <v>8747400</v>
      </c>
      <c r="EF39" s="35">
        <v>7872600</v>
      </c>
      <c r="EG39" s="35">
        <v>874800</v>
      </c>
      <c r="EH39" s="35">
        <v>7872600</v>
      </c>
      <c r="EI39" s="35"/>
      <c r="EJ39" s="36"/>
      <c r="EK39" s="35">
        <v>8747400</v>
      </c>
      <c r="EL39" s="35">
        <v>7872600</v>
      </c>
      <c r="EM39" s="35"/>
      <c r="EN39" s="35">
        <v>874800</v>
      </c>
      <c r="EO39" s="35">
        <v>10.000690000000001</v>
      </c>
      <c r="EP39" s="35"/>
      <c r="EQ39" s="35"/>
      <c r="ER39" s="85">
        <v>7872600</v>
      </c>
      <c r="ES39" s="27"/>
      <c r="ET39" s="36">
        <v>7872600</v>
      </c>
      <c r="EU39" s="85">
        <v>7872600</v>
      </c>
      <c r="EV39" s="35"/>
      <c r="EW39" s="35"/>
      <c r="EX39" s="35"/>
      <c r="EY39" s="35"/>
      <c r="EZ39" s="35"/>
      <c r="FA39" s="35"/>
      <c r="FB39" s="36"/>
      <c r="FC39" s="35"/>
      <c r="FD39" s="35"/>
      <c r="FE39" s="35"/>
      <c r="FF39" s="35"/>
      <c r="FG39" s="35"/>
      <c r="FH39" s="35"/>
      <c r="FI39" s="35"/>
      <c r="FJ39" s="85"/>
      <c r="FK39" s="27"/>
      <c r="FL39" s="36"/>
      <c r="FM39" s="85"/>
      <c r="FN39" s="35"/>
      <c r="FO39" s="35"/>
      <c r="FP39" s="35"/>
      <c r="FQ39" s="35"/>
      <c r="FR39" s="35"/>
      <c r="FS39" s="35"/>
      <c r="FT39" s="36"/>
      <c r="FU39" s="35"/>
      <c r="FV39" s="35"/>
      <c r="FW39" s="35"/>
      <c r="FX39" s="35"/>
      <c r="FY39" s="35"/>
      <c r="FZ39" s="35"/>
      <c r="GA39" s="35"/>
      <c r="GB39" s="85"/>
      <c r="GC39" s="27"/>
      <c r="GD39" s="36"/>
      <c r="GE39" s="85"/>
      <c r="GF39" s="35"/>
      <c r="GG39" s="35"/>
      <c r="GH39" s="35"/>
      <c r="GI39" s="35"/>
      <c r="GJ39" s="35"/>
      <c r="GK39" s="35"/>
      <c r="GL39" s="36"/>
      <c r="GM39" s="35"/>
      <c r="GN39" s="35"/>
      <c r="GO39" s="35"/>
      <c r="GP39" s="35"/>
      <c r="GQ39" s="35"/>
      <c r="GR39" s="35"/>
      <c r="GS39" s="35"/>
      <c r="GT39" s="85"/>
      <c r="GU39" s="27"/>
      <c r="GV39" s="36"/>
      <c r="GW39" s="85"/>
      <c r="GX39" s="35"/>
      <c r="GY39" s="35"/>
      <c r="GZ39" s="35"/>
      <c r="HA39" s="35"/>
      <c r="HB39" s="35"/>
      <c r="HC39" s="35"/>
      <c r="HD39" s="36"/>
      <c r="HE39" s="35"/>
      <c r="HF39" s="35"/>
      <c r="HG39" s="35"/>
      <c r="HH39" s="35"/>
      <c r="HI39" s="35"/>
      <c r="HJ39" s="35"/>
      <c r="HK39" s="35"/>
      <c r="HL39" s="85"/>
      <c r="HM39" s="27"/>
      <c r="HN39" s="36"/>
      <c r="HO39" s="85"/>
      <c r="HP39" s="35"/>
      <c r="HQ39" s="35"/>
      <c r="HR39" s="35"/>
      <c r="HS39" s="35"/>
      <c r="HT39" s="35"/>
      <c r="HU39" s="35"/>
      <c r="HV39" s="36"/>
      <c r="HW39" s="35"/>
      <c r="HX39" s="35"/>
      <c r="HY39" s="35"/>
      <c r="HZ39" s="35"/>
      <c r="IA39" s="35"/>
      <c r="IB39" s="35"/>
      <c r="IC39" s="35"/>
      <c r="ID39" s="85"/>
      <c r="IE39" s="27"/>
      <c r="IF39" s="36"/>
      <c r="IG39" s="85"/>
      <c r="IH39" s="35"/>
      <c r="II39" s="35"/>
      <c r="IJ39" s="35"/>
      <c r="IK39" s="35"/>
      <c r="IL39" s="35"/>
      <c r="IM39" s="35"/>
      <c r="IN39" s="36"/>
      <c r="IO39" s="35"/>
      <c r="IP39" s="35"/>
      <c r="IQ39" s="35"/>
      <c r="IR39" s="35"/>
      <c r="IS39" s="35"/>
      <c r="IT39" s="35"/>
      <c r="IU39" s="35"/>
      <c r="IV39" s="85"/>
      <c r="IW39" s="27"/>
      <c r="IX39" s="36"/>
      <c r="IY39" s="85"/>
      <c r="IZ39" s="35"/>
      <c r="JA39" s="35"/>
      <c r="JB39" s="35"/>
      <c r="JC39" s="35"/>
      <c r="JD39" s="35"/>
      <c r="JE39" s="35"/>
      <c r="JF39" s="36"/>
      <c r="JG39" s="35"/>
      <c r="JH39" s="35"/>
      <c r="JI39" s="35"/>
      <c r="JJ39" s="35"/>
      <c r="JK39" s="35"/>
      <c r="JL39" s="35"/>
      <c r="JM39" s="35"/>
      <c r="JN39" s="85"/>
      <c r="JO39" s="27"/>
      <c r="JP39" s="36"/>
      <c r="JQ39" s="85"/>
      <c r="JR39" s="35"/>
      <c r="JS39" s="35"/>
      <c r="JT39" s="35"/>
      <c r="JU39" s="35"/>
      <c r="JV39" s="35"/>
      <c r="JW39" s="35"/>
      <c r="JX39" s="36"/>
      <c r="JY39" s="35"/>
      <c r="JZ39" s="35"/>
      <c r="KA39" s="35"/>
      <c r="KB39" s="35"/>
      <c r="KC39" s="35"/>
      <c r="KD39" s="35"/>
      <c r="KE39" s="35"/>
      <c r="KF39" s="85"/>
      <c r="KG39" s="27"/>
      <c r="KH39" s="36"/>
      <c r="KI39" s="85"/>
      <c r="KJ39" s="35"/>
      <c r="KK39" s="35"/>
      <c r="KL39" s="35"/>
      <c r="KM39" s="35"/>
      <c r="KN39" s="35"/>
      <c r="KO39" s="35"/>
      <c r="KP39" s="36"/>
      <c r="KQ39" s="35"/>
      <c r="KR39" s="35"/>
      <c r="KS39" s="35"/>
      <c r="KT39" s="35"/>
      <c r="KU39" s="35"/>
      <c r="KV39" s="35"/>
      <c r="KW39" s="35"/>
      <c r="KX39" s="85"/>
      <c r="KY39" s="27"/>
      <c r="KZ39" s="36"/>
      <c r="LA39" s="85"/>
      <c r="LB39" s="35"/>
      <c r="LC39" s="35"/>
      <c r="LD39" s="35"/>
      <c r="LE39" s="35"/>
      <c r="LF39" s="35"/>
      <c r="LG39" s="35"/>
      <c r="LH39" s="36"/>
      <c r="LI39" s="35"/>
      <c r="LJ39" s="35"/>
      <c r="LK39" s="35"/>
      <c r="LL39" s="35"/>
      <c r="LM39" s="35"/>
      <c r="LN39" s="35"/>
      <c r="LO39" s="35"/>
      <c r="LP39" s="85"/>
      <c r="LQ39" s="27"/>
      <c r="LR39" s="36"/>
      <c r="LS39" s="85"/>
      <c r="LT39" s="35"/>
      <c r="LU39" s="35"/>
      <c r="LV39" s="35"/>
      <c r="LW39" s="35"/>
      <c r="LX39" s="35"/>
      <c r="LY39" s="35"/>
      <c r="LZ39" s="36"/>
      <c r="MA39" s="35"/>
      <c r="MB39" s="35"/>
      <c r="MC39" s="35"/>
      <c r="MD39" s="35"/>
      <c r="ME39" s="35"/>
      <c r="MF39" s="35"/>
      <c r="MG39" s="35"/>
      <c r="MH39" s="85"/>
      <c r="MI39" s="27"/>
      <c r="MJ39" s="36"/>
      <c r="MK39" s="85"/>
      <c r="ML39" s="35"/>
      <c r="MM39" s="35"/>
      <c r="MN39" s="35"/>
      <c r="MO39" s="35"/>
      <c r="MP39" s="35"/>
      <c r="MQ39" s="35"/>
      <c r="MR39" s="36"/>
      <c r="MS39" s="35"/>
      <c r="MT39" s="35"/>
      <c r="MU39" s="35"/>
      <c r="MV39" s="35"/>
      <c r="MW39" s="35"/>
      <c r="MX39" s="35"/>
      <c r="MY39" s="35"/>
      <c r="MZ39" s="85"/>
      <c r="NA39" s="27"/>
      <c r="NB39" s="36"/>
      <c r="NC39" s="85"/>
      <c r="ND39" s="35"/>
      <c r="NE39" s="35"/>
      <c r="NF39" s="35"/>
      <c r="NG39" s="35"/>
      <c r="NH39" s="35"/>
      <c r="NI39" s="35"/>
      <c r="NJ39" s="36"/>
      <c r="NK39" s="35"/>
      <c r="NL39" s="35"/>
      <c r="NM39" s="35"/>
      <c r="NN39" s="35"/>
      <c r="NO39" s="35"/>
      <c r="NP39" s="35"/>
      <c r="NQ39" s="35"/>
      <c r="NR39" s="85"/>
      <c r="NS39" s="27"/>
      <c r="NT39" s="36"/>
      <c r="NU39" s="85"/>
      <c r="NV39" s="35"/>
      <c r="NW39" s="35"/>
      <c r="NX39" s="35"/>
      <c r="NY39" s="35"/>
      <c r="NZ39" s="35"/>
      <c r="OA39" s="35"/>
      <c r="OB39" s="36"/>
      <c r="OC39" s="35"/>
      <c r="OD39" s="35"/>
      <c r="OE39" s="35"/>
      <c r="OF39" s="35"/>
      <c r="OG39" s="35"/>
      <c r="OH39" s="35"/>
      <c r="OI39" s="35"/>
      <c r="OJ39" s="85"/>
      <c r="OK39" s="27"/>
      <c r="OL39" s="36"/>
      <c r="OM39" s="85"/>
      <c r="ON39" s="35"/>
      <c r="OO39" s="35"/>
      <c r="OP39" s="35"/>
      <c r="OQ39" s="35"/>
      <c r="OR39" s="35"/>
      <c r="OS39" s="35"/>
      <c r="OT39" s="36"/>
      <c r="OU39" s="35"/>
      <c r="OV39" s="35"/>
      <c r="OW39" s="35"/>
      <c r="OX39" s="35"/>
      <c r="OY39" s="35"/>
      <c r="OZ39" s="35"/>
      <c r="PA39" s="35"/>
      <c r="PB39" s="85"/>
      <c r="PC39" s="27"/>
      <c r="PD39" s="36"/>
      <c r="PE39" s="85"/>
      <c r="PF39" s="35"/>
      <c r="PG39" s="35"/>
      <c r="PH39" s="35"/>
      <c r="PI39" s="35"/>
      <c r="PJ39" s="35"/>
      <c r="PK39" s="35"/>
      <c r="PL39" s="36"/>
      <c r="PM39" s="35"/>
      <c r="PN39" s="35"/>
      <c r="PO39" s="35"/>
      <c r="PP39" s="35"/>
      <c r="PQ39" s="35"/>
      <c r="PR39" s="35"/>
      <c r="PS39" s="35"/>
      <c r="PT39" s="85"/>
      <c r="PU39" s="27"/>
      <c r="PV39" s="36"/>
      <c r="PW39" s="85"/>
      <c r="PX39" s="35"/>
      <c r="PY39" s="35"/>
      <c r="PZ39" s="35"/>
      <c r="QA39" s="35"/>
      <c r="QB39" s="35"/>
      <c r="QC39" s="35"/>
      <c r="QD39" s="36"/>
      <c r="QE39" s="35"/>
      <c r="QF39" s="35"/>
      <c r="QG39" s="35"/>
      <c r="QH39" s="35"/>
      <c r="QI39" s="35"/>
      <c r="QJ39" s="35"/>
      <c r="QK39" s="35"/>
      <c r="QL39" s="85"/>
      <c r="QM39" s="27"/>
      <c r="QN39" s="36"/>
      <c r="QO39" s="85"/>
      <c r="QP39" s="35"/>
      <c r="QQ39" s="35"/>
      <c r="QR39" s="35"/>
      <c r="QS39" s="35"/>
      <c r="QT39" s="35"/>
      <c r="QU39" s="35"/>
      <c r="QV39" s="36"/>
      <c r="QW39" s="35"/>
      <c r="QX39" s="35"/>
      <c r="QY39" s="35"/>
      <c r="QZ39" s="35"/>
      <c r="RA39" s="35"/>
      <c r="RB39" s="35"/>
      <c r="RC39" s="35"/>
      <c r="RD39" s="85"/>
      <c r="RE39" s="27"/>
      <c r="RF39" s="36"/>
      <c r="RG39" s="85"/>
      <c r="RH39" s="35"/>
      <c r="RI39" s="35"/>
      <c r="RJ39" s="35"/>
      <c r="RK39" s="35"/>
      <c r="RL39" s="35"/>
      <c r="RM39" s="35"/>
      <c r="RN39" s="36"/>
      <c r="RO39" s="35"/>
      <c r="RP39" s="35"/>
      <c r="RQ39" s="35"/>
      <c r="RR39" s="35"/>
      <c r="RS39" s="35"/>
      <c r="RT39" s="35"/>
      <c r="RU39" s="35"/>
      <c r="RV39" s="85"/>
      <c r="RW39" s="27"/>
      <c r="RX39" s="36"/>
      <c r="RY39" s="85"/>
      <c r="RZ39" s="35"/>
      <c r="SA39" s="35"/>
      <c r="SB39" s="35"/>
      <c r="SC39" s="35"/>
      <c r="SD39" s="35"/>
      <c r="SE39" s="35"/>
      <c r="SF39" s="36"/>
      <c r="SG39" s="35"/>
      <c r="SH39" s="35"/>
      <c r="SI39" s="35"/>
      <c r="SJ39" s="35"/>
      <c r="SK39" s="35"/>
      <c r="SL39" s="35"/>
      <c r="SM39" s="35"/>
      <c r="SN39" s="85"/>
      <c r="SO39" s="27"/>
      <c r="SP39" s="36"/>
      <c r="SQ39" s="85"/>
      <c r="SR39" s="35"/>
      <c r="SS39" s="35"/>
      <c r="ST39" s="35"/>
      <c r="SU39" s="35"/>
      <c r="SV39" s="35"/>
      <c r="SW39" s="35"/>
      <c r="SX39" s="36"/>
      <c r="SY39" s="35"/>
      <c r="SZ39" s="35"/>
      <c r="TA39" s="35"/>
      <c r="TB39" s="35"/>
      <c r="TC39" s="35"/>
      <c r="TD39" s="35"/>
      <c r="TE39" s="35"/>
      <c r="TF39" s="85"/>
      <c r="TG39" s="27"/>
      <c r="TH39" s="36"/>
      <c r="TI39" s="85"/>
      <c r="TJ39" s="35"/>
      <c r="TK39" s="35"/>
      <c r="TL39" s="35"/>
      <c r="TM39" s="35"/>
      <c r="TN39" s="35"/>
      <c r="TO39" s="35"/>
      <c r="TP39" s="36"/>
      <c r="TQ39" s="35"/>
      <c r="TR39" s="35"/>
      <c r="TS39" s="35"/>
      <c r="TT39" s="35"/>
      <c r="TU39" s="35"/>
      <c r="TV39" s="35"/>
      <c r="TW39" s="35"/>
      <c r="TX39" s="85"/>
      <c r="TY39" s="27"/>
      <c r="TZ39" s="36"/>
      <c r="UA39" s="85"/>
      <c r="UB39" s="35"/>
      <c r="UC39" s="35"/>
      <c r="UD39" s="35"/>
      <c r="UE39" s="35"/>
      <c r="UF39" s="35"/>
      <c r="UG39" s="35"/>
      <c r="UH39" s="36"/>
      <c r="UI39" s="35"/>
      <c r="UJ39" s="35"/>
      <c r="UK39" s="35"/>
      <c r="UL39" s="35"/>
      <c r="UM39" s="35"/>
      <c r="UN39" s="35"/>
      <c r="UO39" s="35"/>
      <c r="UP39" s="85"/>
      <c r="UQ39" s="27"/>
      <c r="UR39" s="36"/>
      <c r="US39" s="85"/>
    </row>
    <row r="40" spans="1:565" x14ac:dyDescent="0.3">
      <c r="A40" s="8" t="s">
        <v>75</v>
      </c>
      <c r="B40" s="169" t="s">
        <v>76</v>
      </c>
      <c r="C40" s="13" t="s">
        <v>77</v>
      </c>
      <c r="F40" s="36">
        <v>773974900</v>
      </c>
      <c r="G40" s="85"/>
      <c r="H40" s="35"/>
      <c r="I40" s="35">
        <v>167710129.87</v>
      </c>
      <c r="J40" s="35">
        <v>129136800</v>
      </c>
      <c r="K40" s="35">
        <v>38573329.869999997</v>
      </c>
      <c r="L40" s="35">
        <v>129136800</v>
      </c>
      <c r="M40" s="35">
        <v>199579.66</v>
      </c>
      <c r="N40" s="36"/>
      <c r="O40" s="35">
        <v>165836646.72</v>
      </c>
      <c r="P40" s="35">
        <v>127694217.97</v>
      </c>
      <c r="Q40" s="35"/>
      <c r="R40" s="35">
        <v>38142428.75</v>
      </c>
      <c r="S40" s="35">
        <v>23</v>
      </c>
      <c r="T40" s="35">
        <v>199579.66</v>
      </c>
      <c r="U40" s="35">
        <v>1442582.03</v>
      </c>
      <c r="V40" s="85">
        <v>129136800</v>
      </c>
      <c r="W40" s="27"/>
      <c r="X40" s="36">
        <v>129136800</v>
      </c>
      <c r="Y40" s="85">
        <v>129136800</v>
      </c>
      <c r="Z40" s="35"/>
      <c r="AA40" s="35">
        <v>346477272.73000002</v>
      </c>
      <c r="AB40" s="35">
        <v>266787500</v>
      </c>
      <c r="AC40" s="35">
        <v>79689772.730000004</v>
      </c>
      <c r="AD40" s="35">
        <v>266787500</v>
      </c>
      <c r="AE40" s="35"/>
      <c r="AF40" s="36"/>
      <c r="AG40" s="35">
        <v>346477272.73000002</v>
      </c>
      <c r="AH40" s="35">
        <v>266787500</v>
      </c>
      <c r="AI40" s="35"/>
      <c r="AJ40" s="35">
        <v>79689772.730000004</v>
      </c>
      <c r="AK40" s="35">
        <v>23</v>
      </c>
      <c r="AL40" s="35"/>
      <c r="AM40" s="35"/>
      <c r="AN40" s="85">
        <v>266787500</v>
      </c>
      <c r="AO40" s="27"/>
      <c r="AP40" s="36">
        <v>266787500</v>
      </c>
      <c r="AQ40" s="85">
        <v>266787500</v>
      </c>
      <c r="AR40" s="35"/>
      <c r="AS40" s="35">
        <v>285012727.26999998</v>
      </c>
      <c r="AT40" s="35">
        <v>219459800</v>
      </c>
      <c r="AU40" s="35">
        <v>65552927.270000003</v>
      </c>
      <c r="AV40" s="35">
        <v>219459800</v>
      </c>
      <c r="AW40" s="35">
        <v>3897490.25</v>
      </c>
      <c r="AX40" s="36"/>
      <c r="AY40" s="35">
        <v>285012727.25999999</v>
      </c>
      <c r="AZ40" s="35">
        <v>219459800</v>
      </c>
      <c r="BA40" s="35"/>
      <c r="BB40" s="35">
        <v>65552927.259999998</v>
      </c>
      <c r="BC40" s="35">
        <v>23</v>
      </c>
      <c r="BD40" s="35">
        <v>3897490.25</v>
      </c>
      <c r="BE40" s="35"/>
      <c r="BF40" s="85">
        <v>219459800</v>
      </c>
      <c r="BG40" s="27"/>
      <c r="BH40" s="36">
        <v>219459800</v>
      </c>
      <c r="BI40" s="85">
        <v>219459800</v>
      </c>
      <c r="BJ40" s="35"/>
      <c r="BK40" s="35">
        <v>25752105.260000002</v>
      </c>
      <c r="BL40" s="35">
        <v>24464500</v>
      </c>
      <c r="BM40" s="35">
        <v>1287605.26</v>
      </c>
      <c r="BN40" s="35">
        <v>24464500</v>
      </c>
      <c r="BO40" s="35"/>
      <c r="BP40" s="36"/>
      <c r="BQ40" s="35">
        <v>25752105.260000002</v>
      </c>
      <c r="BR40" s="35">
        <v>24464500</v>
      </c>
      <c r="BS40" s="35"/>
      <c r="BT40" s="35">
        <v>1287605.26</v>
      </c>
      <c r="BU40" s="35">
        <v>5</v>
      </c>
      <c r="BV40" s="35"/>
      <c r="BW40" s="35"/>
      <c r="BX40" s="85">
        <v>24464500</v>
      </c>
      <c r="BY40" s="27"/>
      <c r="BZ40" s="36">
        <v>24464500</v>
      </c>
      <c r="CA40" s="85">
        <v>24464500</v>
      </c>
      <c r="CB40" s="35"/>
      <c r="CC40" s="35">
        <v>3488200</v>
      </c>
      <c r="CD40" s="35">
        <v>2685900</v>
      </c>
      <c r="CE40" s="35">
        <v>802300</v>
      </c>
      <c r="CF40" s="35">
        <v>2685900</v>
      </c>
      <c r="CG40" s="35"/>
      <c r="CH40" s="36"/>
      <c r="CI40" s="35">
        <v>3488200</v>
      </c>
      <c r="CJ40" s="35">
        <v>2685900</v>
      </c>
      <c r="CK40" s="35"/>
      <c r="CL40" s="35">
        <v>802300</v>
      </c>
      <c r="CM40" s="35">
        <v>23.000399999999999</v>
      </c>
      <c r="CN40" s="35"/>
      <c r="CO40" s="35"/>
      <c r="CP40" s="85">
        <v>2685900</v>
      </c>
      <c r="CQ40" s="27"/>
      <c r="CR40" s="36">
        <v>2685900</v>
      </c>
      <c r="CS40" s="85">
        <v>2685900</v>
      </c>
      <c r="CT40" s="35"/>
      <c r="CU40" s="35"/>
      <c r="CV40" s="35"/>
      <c r="CW40" s="35"/>
      <c r="CX40" s="35"/>
      <c r="CY40" s="35"/>
      <c r="CZ40" s="36"/>
      <c r="DA40" s="35"/>
      <c r="DB40" s="35"/>
      <c r="DC40" s="35"/>
      <c r="DD40" s="35"/>
      <c r="DE40" s="35"/>
      <c r="DF40" s="35"/>
      <c r="DG40" s="35"/>
      <c r="DH40" s="85"/>
      <c r="DI40" s="27"/>
      <c r="DJ40" s="36"/>
      <c r="DK40" s="85"/>
      <c r="DL40" s="35"/>
      <c r="DM40" s="35">
        <v>34624560</v>
      </c>
      <c r="DN40" s="35">
        <v>28853800</v>
      </c>
      <c r="DO40" s="35">
        <v>5770760</v>
      </c>
      <c r="DP40" s="35">
        <v>28853767.949999999</v>
      </c>
      <c r="DQ40" s="35"/>
      <c r="DR40" s="36"/>
      <c r="DS40" s="35">
        <v>34624521.539999999</v>
      </c>
      <c r="DT40" s="35">
        <v>28853767.949999999</v>
      </c>
      <c r="DU40" s="35"/>
      <c r="DV40" s="35">
        <v>5770753.5899999999</v>
      </c>
      <c r="DW40" s="35">
        <v>16.66667</v>
      </c>
      <c r="DX40" s="35"/>
      <c r="DY40" s="35"/>
      <c r="DZ40" s="85">
        <v>28853767.949999999</v>
      </c>
      <c r="EA40" s="27"/>
      <c r="EB40" s="36">
        <v>28853800</v>
      </c>
      <c r="EC40" s="85">
        <v>28853800</v>
      </c>
      <c r="ED40" s="35"/>
      <c r="EE40" s="35">
        <v>9882708.3300000001</v>
      </c>
      <c r="EF40" s="35">
        <v>9487400</v>
      </c>
      <c r="EG40" s="35">
        <v>395308.33</v>
      </c>
      <c r="EH40" s="35">
        <v>9487400</v>
      </c>
      <c r="EI40" s="35"/>
      <c r="EJ40" s="36"/>
      <c r="EK40" s="35">
        <v>9882708.3300000001</v>
      </c>
      <c r="EL40" s="35">
        <v>9487400</v>
      </c>
      <c r="EM40" s="35"/>
      <c r="EN40" s="35">
        <v>395308.33</v>
      </c>
      <c r="EO40" s="35">
        <v>4</v>
      </c>
      <c r="EP40" s="35"/>
      <c r="EQ40" s="35"/>
      <c r="ER40" s="85">
        <v>9487400</v>
      </c>
      <c r="ES40" s="27"/>
      <c r="ET40" s="36">
        <v>9487400</v>
      </c>
      <c r="EU40" s="85">
        <v>9487400</v>
      </c>
      <c r="EV40" s="35"/>
      <c r="EW40" s="35">
        <v>124968595.47</v>
      </c>
      <c r="EX40" s="35">
        <v>38289100</v>
      </c>
      <c r="EY40" s="35">
        <v>86679495.469999999</v>
      </c>
      <c r="EZ40" s="35">
        <v>38225476.530000001</v>
      </c>
      <c r="FA40" s="35">
        <v>980544.22</v>
      </c>
      <c r="FB40" s="36"/>
      <c r="FC40" s="35">
        <v>124364002.86</v>
      </c>
      <c r="FD40" s="35">
        <v>38103858.990000002</v>
      </c>
      <c r="FE40" s="35"/>
      <c r="FF40" s="35">
        <v>86260143.870000005</v>
      </c>
      <c r="FG40" s="35">
        <v>69.361019999999996</v>
      </c>
      <c r="FH40" s="35">
        <v>980544.22</v>
      </c>
      <c r="FI40" s="35">
        <v>121617.54</v>
      </c>
      <c r="FJ40" s="85">
        <v>38225476.530000001</v>
      </c>
      <c r="FK40" s="27"/>
      <c r="FL40" s="36">
        <v>38289100</v>
      </c>
      <c r="FM40" s="85">
        <v>38289100</v>
      </c>
      <c r="FN40" s="35"/>
      <c r="FO40" s="35"/>
      <c r="FP40" s="35"/>
      <c r="FQ40" s="35"/>
      <c r="FR40" s="35"/>
      <c r="FS40" s="35">
        <v>101177.02</v>
      </c>
      <c r="FT40" s="36"/>
      <c r="FU40" s="35"/>
      <c r="FV40" s="35"/>
      <c r="FW40" s="35"/>
      <c r="FX40" s="35"/>
      <c r="FY40" s="35"/>
      <c r="FZ40" s="35">
        <v>101177.02</v>
      </c>
      <c r="GA40" s="35"/>
      <c r="GB40" s="85"/>
      <c r="GC40" s="27"/>
      <c r="GD40" s="36"/>
      <c r="GE40" s="85"/>
      <c r="GF40" s="35"/>
      <c r="GG40" s="35">
        <v>91424377.170000002</v>
      </c>
      <c r="GH40" s="35">
        <v>51254000</v>
      </c>
      <c r="GI40" s="35">
        <v>40170377.170000002</v>
      </c>
      <c r="GJ40" s="35">
        <v>49452501.07</v>
      </c>
      <c r="GK40" s="35">
        <v>1710666.6</v>
      </c>
      <c r="GL40" s="36"/>
      <c r="GM40" s="35">
        <v>88252701.129999995</v>
      </c>
      <c r="GN40" s="35">
        <v>49448785.82</v>
      </c>
      <c r="GO40" s="35"/>
      <c r="GP40" s="35">
        <v>38803915.310000002</v>
      </c>
      <c r="GQ40" s="35">
        <v>43.969099999999997</v>
      </c>
      <c r="GR40" s="35">
        <v>1710666.6</v>
      </c>
      <c r="GS40" s="35">
        <v>3715.25</v>
      </c>
      <c r="GT40" s="85">
        <v>49452501.07</v>
      </c>
      <c r="GU40" s="27"/>
      <c r="GV40" s="36">
        <v>51254000</v>
      </c>
      <c r="GW40" s="85">
        <v>51254000</v>
      </c>
      <c r="GX40" s="35"/>
      <c r="GY40" s="35"/>
      <c r="GZ40" s="35"/>
      <c r="HA40" s="35"/>
      <c r="HB40" s="35"/>
      <c r="HC40" s="35"/>
      <c r="HD40" s="36"/>
      <c r="HE40" s="35"/>
      <c r="HF40" s="35"/>
      <c r="HG40" s="35"/>
      <c r="HH40" s="35"/>
      <c r="HI40" s="35"/>
      <c r="HJ40" s="35"/>
      <c r="HK40" s="35"/>
      <c r="HL40" s="85"/>
      <c r="HM40" s="27"/>
      <c r="HN40" s="36"/>
      <c r="HO40" s="85"/>
      <c r="HP40" s="35"/>
      <c r="HQ40" s="35"/>
      <c r="HR40" s="35"/>
      <c r="HS40" s="35"/>
      <c r="HT40" s="35"/>
      <c r="HU40" s="35"/>
      <c r="HV40" s="36"/>
      <c r="HW40" s="35"/>
      <c r="HX40" s="35"/>
      <c r="HY40" s="35"/>
      <c r="HZ40" s="35"/>
      <c r="IA40" s="35"/>
      <c r="IB40" s="35"/>
      <c r="IC40" s="35"/>
      <c r="ID40" s="85"/>
      <c r="IE40" s="27"/>
      <c r="IF40" s="36"/>
      <c r="IG40" s="85"/>
      <c r="IH40" s="35"/>
      <c r="II40" s="35"/>
      <c r="IJ40" s="35"/>
      <c r="IK40" s="35"/>
      <c r="IL40" s="35"/>
      <c r="IM40" s="35"/>
      <c r="IN40" s="36"/>
      <c r="IO40" s="35"/>
      <c r="IP40" s="35"/>
      <c r="IQ40" s="35"/>
      <c r="IR40" s="35"/>
      <c r="IS40" s="35"/>
      <c r="IT40" s="35"/>
      <c r="IU40" s="35"/>
      <c r="IV40" s="85"/>
      <c r="IW40" s="27"/>
      <c r="IX40" s="36"/>
      <c r="IY40" s="85"/>
      <c r="IZ40" s="35"/>
      <c r="JA40" s="35"/>
      <c r="JB40" s="35"/>
      <c r="JC40" s="35"/>
      <c r="JD40" s="35"/>
      <c r="JE40" s="35"/>
      <c r="JF40" s="36"/>
      <c r="JG40" s="35"/>
      <c r="JH40" s="35"/>
      <c r="JI40" s="35"/>
      <c r="JJ40" s="35"/>
      <c r="JK40" s="35"/>
      <c r="JL40" s="35"/>
      <c r="JM40" s="35"/>
      <c r="JN40" s="85"/>
      <c r="JO40" s="27"/>
      <c r="JP40" s="36"/>
      <c r="JQ40" s="85"/>
      <c r="JR40" s="35"/>
      <c r="JS40" s="35"/>
      <c r="JT40" s="35"/>
      <c r="JU40" s="35"/>
      <c r="JV40" s="35"/>
      <c r="JW40" s="35"/>
      <c r="JX40" s="36"/>
      <c r="JY40" s="35"/>
      <c r="JZ40" s="35"/>
      <c r="KA40" s="35"/>
      <c r="KB40" s="35"/>
      <c r="KC40" s="35"/>
      <c r="KD40" s="35"/>
      <c r="KE40" s="35"/>
      <c r="KF40" s="85"/>
      <c r="KG40" s="27"/>
      <c r="KH40" s="36"/>
      <c r="KI40" s="85"/>
      <c r="KJ40" s="35"/>
      <c r="KK40" s="35">
        <v>10963326.67</v>
      </c>
      <c r="KL40" s="35">
        <v>2351700</v>
      </c>
      <c r="KM40" s="35">
        <v>8611626.6699999999</v>
      </c>
      <c r="KN40" s="35">
        <v>2351700</v>
      </c>
      <c r="KO40" s="35"/>
      <c r="KP40" s="36"/>
      <c r="KQ40" s="35">
        <v>10963326.67</v>
      </c>
      <c r="KR40" s="35">
        <v>2351700</v>
      </c>
      <c r="KS40" s="35"/>
      <c r="KT40" s="35">
        <v>8611626.6699999999</v>
      </c>
      <c r="KU40" s="35">
        <v>78.549390000000002</v>
      </c>
      <c r="KV40" s="35"/>
      <c r="KW40" s="35"/>
      <c r="KX40" s="85">
        <v>2351700</v>
      </c>
      <c r="KY40" s="27"/>
      <c r="KZ40" s="36">
        <v>2351700</v>
      </c>
      <c r="LA40" s="85">
        <v>2351700</v>
      </c>
      <c r="LB40" s="35"/>
      <c r="LC40" s="35"/>
      <c r="LD40" s="35"/>
      <c r="LE40" s="35"/>
      <c r="LF40" s="35"/>
      <c r="LG40" s="35"/>
      <c r="LH40" s="36"/>
      <c r="LI40" s="35"/>
      <c r="LJ40" s="35"/>
      <c r="LK40" s="35"/>
      <c r="LL40" s="35"/>
      <c r="LM40" s="35"/>
      <c r="LN40" s="35"/>
      <c r="LO40" s="35"/>
      <c r="LP40" s="85"/>
      <c r="LQ40" s="27"/>
      <c r="LR40" s="36"/>
      <c r="LS40" s="85"/>
      <c r="LT40" s="35"/>
      <c r="LU40" s="35"/>
      <c r="LV40" s="35"/>
      <c r="LW40" s="35"/>
      <c r="LX40" s="35"/>
      <c r="LY40" s="35"/>
      <c r="LZ40" s="36"/>
      <c r="MA40" s="35"/>
      <c r="MB40" s="35"/>
      <c r="MC40" s="35"/>
      <c r="MD40" s="35"/>
      <c r="ME40" s="35"/>
      <c r="MF40" s="35"/>
      <c r="MG40" s="35"/>
      <c r="MH40" s="85"/>
      <c r="MI40" s="27"/>
      <c r="MJ40" s="36"/>
      <c r="MK40" s="85"/>
      <c r="ML40" s="35"/>
      <c r="MM40" s="35"/>
      <c r="MN40" s="35"/>
      <c r="MO40" s="35"/>
      <c r="MP40" s="35"/>
      <c r="MQ40" s="35"/>
      <c r="MR40" s="36"/>
      <c r="MS40" s="35"/>
      <c r="MT40" s="35"/>
      <c r="MU40" s="35"/>
      <c r="MV40" s="35"/>
      <c r="MW40" s="35"/>
      <c r="MX40" s="35"/>
      <c r="MY40" s="35"/>
      <c r="MZ40" s="85"/>
      <c r="NA40" s="27"/>
      <c r="NB40" s="36"/>
      <c r="NC40" s="85"/>
      <c r="ND40" s="35"/>
      <c r="NE40" s="35">
        <v>2280000</v>
      </c>
      <c r="NF40" s="35">
        <v>1204400</v>
      </c>
      <c r="NG40" s="35">
        <v>1075600</v>
      </c>
      <c r="NH40" s="35">
        <v>1204400</v>
      </c>
      <c r="NI40" s="35"/>
      <c r="NJ40" s="36"/>
      <c r="NK40" s="35">
        <v>2280000</v>
      </c>
      <c r="NL40" s="35">
        <v>1204400</v>
      </c>
      <c r="NM40" s="35"/>
      <c r="NN40" s="35">
        <v>1075600</v>
      </c>
      <c r="NO40" s="35">
        <v>47.175440000000002</v>
      </c>
      <c r="NP40" s="35"/>
      <c r="NQ40" s="35"/>
      <c r="NR40" s="85">
        <v>1204400</v>
      </c>
      <c r="NS40" s="27"/>
      <c r="NT40" s="36">
        <v>1204400</v>
      </c>
      <c r="NU40" s="85">
        <v>1204400</v>
      </c>
      <c r="NV40" s="35"/>
      <c r="NW40" s="35"/>
      <c r="NX40" s="35"/>
      <c r="NY40" s="35"/>
      <c r="NZ40" s="35"/>
      <c r="OA40" s="35"/>
      <c r="OB40" s="36"/>
      <c r="OC40" s="35"/>
      <c r="OD40" s="35"/>
      <c r="OE40" s="35"/>
      <c r="OF40" s="35"/>
      <c r="OG40" s="35"/>
      <c r="OH40" s="35"/>
      <c r="OI40" s="35"/>
      <c r="OJ40" s="85"/>
      <c r="OK40" s="27"/>
      <c r="OL40" s="36"/>
      <c r="OM40" s="85"/>
      <c r="ON40" s="35"/>
      <c r="OO40" s="35"/>
      <c r="OP40" s="35"/>
      <c r="OQ40" s="35"/>
      <c r="OR40" s="35"/>
      <c r="OS40" s="35">
        <v>240266.62</v>
      </c>
      <c r="OT40" s="36"/>
      <c r="OU40" s="35"/>
      <c r="OV40" s="35"/>
      <c r="OW40" s="35"/>
      <c r="OX40" s="35"/>
      <c r="OY40" s="35"/>
      <c r="OZ40" s="35">
        <v>240266.62</v>
      </c>
      <c r="PA40" s="35"/>
      <c r="PB40" s="85"/>
      <c r="PC40" s="27"/>
      <c r="PD40" s="36"/>
      <c r="PE40" s="85"/>
      <c r="PF40" s="35"/>
      <c r="PG40" s="35"/>
      <c r="PH40" s="35"/>
      <c r="PI40" s="35"/>
      <c r="PJ40" s="35"/>
      <c r="PK40" s="35"/>
      <c r="PL40" s="36"/>
      <c r="PM40" s="35"/>
      <c r="PN40" s="35"/>
      <c r="PO40" s="35"/>
      <c r="PP40" s="35"/>
      <c r="PQ40" s="35"/>
      <c r="PR40" s="35"/>
      <c r="PS40" s="35"/>
      <c r="PT40" s="85"/>
      <c r="PU40" s="27"/>
      <c r="PV40" s="36"/>
      <c r="PW40" s="85"/>
      <c r="PX40" s="35"/>
      <c r="PY40" s="35"/>
      <c r="PZ40" s="35"/>
      <c r="QA40" s="35"/>
      <c r="QB40" s="35"/>
      <c r="QC40" s="35"/>
      <c r="QD40" s="36"/>
      <c r="QE40" s="35"/>
      <c r="QF40" s="35"/>
      <c r="QG40" s="35"/>
      <c r="QH40" s="35"/>
      <c r="QI40" s="35"/>
      <c r="QJ40" s="35"/>
      <c r="QK40" s="35"/>
      <c r="QL40" s="85"/>
      <c r="QM40" s="27"/>
      <c r="QN40" s="36"/>
      <c r="QO40" s="85"/>
      <c r="QP40" s="35"/>
      <c r="QQ40" s="35"/>
      <c r="QR40" s="35"/>
      <c r="QS40" s="35"/>
      <c r="QT40" s="35"/>
      <c r="QU40" s="35"/>
      <c r="QV40" s="36"/>
      <c r="QW40" s="35"/>
      <c r="QX40" s="35"/>
      <c r="QY40" s="35"/>
      <c r="QZ40" s="35"/>
      <c r="RA40" s="35"/>
      <c r="RB40" s="35"/>
      <c r="RC40" s="35"/>
      <c r="RD40" s="85"/>
      <c r="RE40" s="27"/>
      <c r="RF40" s="36"/>
      <c r="RG40" s="85"/>
      <c r="RH40" s="35"/>
      <c r="RI40" s="35"/>
      <c r="RJ40" s="35"/>
      <c r="RK40" s="35"/>
      <c r="RL40" s="35"/>
      <c r="RM40" s="35"/>
      <c r="RN40" s="36"/>
      <c r="RO40" s="35"/>
      <c r="RP40" s="35"/>
      <c r="RQ40" s="35"/>
      <c r="RR40" s="35"/>
      <c r="RS40" s="35"/>
      <c r="RT40" s="35"/>
      <c r="RU40" s="35"/>
      <c r="RV40" s="85"/>
      <c r="RW40" s="27"/>
      <c r="RX40" s="36"/>
      <c r="RY40" s="85"/>
      <c r="RZ40" s="35"/>
      <c r="SA40" s="35"/>
      <c r="SB40" s="35"/>
      <c r="SC40" s="35"/>
      <c r="SD40" s="35"/>
      <c r="SE40" s="35"/>
      <c r="SF40" s="36"/>
      <c r="SG40" s="35"/>
      <c r="SH40" s="35"/>
      <c r="SI40" s="35"/>
      <c r="SJ40" s="35"/>
      <c r="SK40" s="35"/>
      <c r="SL40" s="35"/>
      <c r="SM40" s="35"/>
      <c r="SN40" s="85"/>
      <c r="SO40" s="27"/>
      <c r="SP40" s="36"/>
      <c r="SQ40" s="85"/>
      <c r="SR40" s="35"/>
      <c r="SS40" s="35"/>
      <c r="ST40" s="35"/>
      <c r="SU40" s="35"/>
      <c r="SV40" s="35"/>
      <c r="SW40" s="35"/>
      <c r="SX40" s="36"/>
      <c r="SY40" s="35"/>
      <c r="SZ40" s="35"/>
      <c r="TA40" s="35"/>
      <c r="TB40" s="35"/>
      <c r="TC40" s="35"/>
      <c r="TD40" s="35"/>
      <c r="TE40" s="35"/>
      <c r="TF40" s="85"/>
      <c r="TG40" s="27"/>
      <c r="TH40" s="36"/>
      <c r="TI40" s="85"/>
      <c r="TJ40" s="35"/>
      <c r="TK40" s="35"/>
      <c r="TL40" s="35"/>
      <c r="TM40" s="35"/>
      <c r="TN40" s="35"/>
      <c r="TO40" s="35"/>
      <c r="TP40" s="36"/>
      <c r="TQ40" s="35"/>
      <c r="TR40" s="35"/>
      <c r="TS40" s="35"/>
      <c r="TT40" s="35"/>
      <c r="TU40" s="35"/>
      <c r="TV40" s="35"/>
      <c r="TW40" s="35"/>
      <c r="TX40" s="85"/>
      <c r="TY40" s="27"/>
      <c r="TZ40" s="36"/>
      <c r="UA40" s="85"/>
      <c r="UB40" s="35"/>
      <c r="UC40" s="35"/>
      <c r="UD40" s="35"/>
      <c r="UE40" s="35"/>
      <c r="UF40" s="35"/>
      <c r="UG40" s="35"/>
      <c r="UH40" s="36"/>
      <c r="UI40" s="35"/>
      <c r="UJ40" s="35"/>
      <c r="UK40" s="35"/>
      <c r="UL40" s="35"/>
      <c r="UM40" s="35"/>
      <c r="UN40" s="35"/>
      <c r="UO40" s="35"/>
      <c r="UP40" s="85"/>
      <c r="UQ40" s="27"/>
      <c r="UR40" s="36"/>
      <c r="US40" s="85"/>
    </row>
    <row r="41" spans="1:565" x14ac:dyDescent="0.3">
      <c r="A41" s="8" t="s">
        <v>78</v>
      </c>
      <c r="B41" s="168" t="s">
        <v>79</v>
      </c>
      <c r="C41" s="13" t="s">
        <v>80</v>
      </c>
      <c r="F41" s="36">
        <v>1564613800</v>
      </c>
      <c r="G41" s="85"/>
      <c r="H41" s="35"/>
      <c r="I41" s="35">
        <v>79529870</v>
      </c>
      <c r="J41" s="35">
        <v>61238000</v>
      </c>
      <c r="K41" s="35">
        <v>18291870</v>
      </c>
      <c r="L41" s="35">
        <v>61235459</v>
      </c>
      <c r="M41" s="35">
        <v>10348.719999999999</v>
      </c>
      <c r="N41" s="36"/>
      <c r="O41" s="35">
        <v>79526570</v>
      </c>
      <c r="P41" s="35">
        <v>61235459</v>
      </c>
      <c r="Q41" s="35"/>
      <c r="R41" s="35">
        <v>18291111</v>
      </c>
      <c r="S41" s="35">
        <v>23</v>
      </c>
      <c r="T41" s="35">
        <v>10348.719999999999</v>
      </c>
      <c r="U41" s="35"/>
      <c r="V41" s="85">
        <v>61235459</v>
      </c>
      <c r="W41" s="27"/>
      <c r="X41" s="36">
        <v>61238000</v>
      </c>
      <c r="Y41" s="85">
        <v>61238000</v>
      </c>
      <c r="Z41" s="35"/>
      <c r="AA41" s="35">
        <v>80102078</v>
      </c>
      <c r="AB41" s="35">
        <v>61678600</v>
      </c>
      <c r="AC41" s="35">
        <v>18423478</v>
      </c>
      <c r="AD41" s="35">
        <v>61678600</v>
      </c>
      <c r="AE41" s="35"/>
      <c r="AF41" s="36"/>
      <c r="AG41" s="35">
        <v>80102078</v>
      </c>
      <c r="AH41" s="35">
        <v>61678600</v>
      </c>
      <c r="AI41" s="35"/>
      <c r="AJ41" s="35">
        <v>18423478</v>
      </c>
      <c r="AK41" s="35">
        <v>23</v>
      </c>
      <c r="AL41" s="35"/>
      <c r="AM41" s="35"/>
      <c r="AN41" s="85">
        <v>61678600</v>
      </c>
      <c r="AO41" s="27"/>
      <c r="AP41" s="36">
        <v>61678600</v>
      </c>
      <c r="AQ41" s="85">
        <v>61678600</v>
      </c>
      <c r="AR41" s="35"/>
      <c r="AS41" s="35">
        <v>691093377</v>
      </c>
      <c r="AT41" s="35">
        <v>532141900</v>
      </c>
      <c r="AU41" s="35">
        <v>158951477</v>
      </c>
      <c r="AV41" s="35">
        <v>531477008.07999998</v>
      </c>
      <c r="AW41" s="35">
        <v>2213329</v>
      </c>
      <c r="AX41" s="36"/>
      <c r="AY41" s="35">
        <v>690229881</v>
      </c>
      <c r="AZ41" s="35">
        <v>531477008.07999998</v>
      </c>
      <c r="BA41" s="35"/>
      <c r="BB41" s="35">
        <v>158752872.91999999</v>
      </c>
      <c r="BC41" s="35">
        <v>23</v>
      </c>
      <c r="BD41" s="35">
        <v>2213329</v>
      </c>
      <c r="BE41" s="35"/>
      <c r="BF41" s="85">
        <v>531477008.07999998</v>
      </c>
      <c r="BG41" s="27"/>
      <c r="BH41" s="36">
        <v>532141900</v>
      </c>
      <c r="BI41" s="85">
        <v>532141900</v>
      </c>
      <c r="BJ41" s="35"/>
      <c r="BK41" s="35">
        <v>854643453</v>
      </c>
      <c r="BL41" s="35">
        <v>798920700</v>
      </c>
      <c r="BM41" s="35">
        <v>55722753</v>
      </c>
      <c r="BN41" s="35">
        <v>798885630.98000002</v>
      </c>
      <c r="BO41" s="35"/>
      <c r="BP41" s="36"/>
      <c r="BQ41" s="35">
        <v>854605938</v>
      </c>
      <c r="BR41" s="35">
        <v>798885630.98000002</v>
      </c>
      <c r="BS41" s="35"/>
      <c r="BT41" s="35">
        <v>55720307.020000003</v>
      </c>
      <c r="BU41" s="35">
        <v>6.52</v>
      </c>
      <c r="BV41" s="35"/>
      <c r="BW41" s="35"/>
      <c r="BX41" s="85">
        <v>798885630.98000002</v>
      </c>
      <c r="BY41" s="27"/>
      <c r="BZ41" s="36">
        <v>798920700</v>
      </c>
      <c r="CA41" s="85">
        <v>798920700</v>
      </c>
      <c r="CB41" s="35"/>
      <c r="CC41" s="35">
        <v>65111700</v>
      </c>
      <c r="CD41" s="35">
        <v>50136000</v>
      </c>
      <c r="CE41" s="35">
        <v>14975700</v>
      </c>
      <c r="CF41" s="35">
        <v>50136000</v>
      </c>
      <c r="CG41" s="35"/>
      <c r="CH41" s="36"/>
      <c r="CI41" s="35">
        <v>65111700</v>
      </c>
      <c r="CJ41" s="35">
        <v>50136000</v>
      </c>
      <c r="CK41" s="35"/>
      <c r="CL41" s="35">
        <v>14975700</v>
      </c>
      <c r="CM41" s="35">
        <v>23.00001</v>
      </c>
      <c r="CN41" s="35"/>
      <c r="CO41" s="35"/>
      <c r="CP41" s="85">
        <v>50136000</v>
      </c>
      <c r="CQ41" s="27"/>
      <c r="CR41" s="36">
        <v>50136000</v>
      </c>
      <c r="CS41" s="85">
        <v>50136000</v>
      </c>
      <c r="CT41" s="35"/>
      <c r="CU41" s="35"/>
      <c r="CV41" s="35"/>
      <c r="CW41" s="35"/>
      <c r="CX41" s="35"/>
      <c r="CY41" s="35"/>
      <c r="CZ41" s="36"/>
      <c r="DA41" s="35"/>
      <c r="DB41" s="35"/>
      <c r="DC41" s="35"/>
      <c r="DD41" s="35"/>
      <c r="DE41" s="35"/>
      <c r="DF41" s="35"/>
      <c r="DG41" s="35"/>
      <c r="DH41" s="85"/>
      <c r="DI41" s="27"/>
      <c r="DJ41" s="36"/>
      <c r="DK41" s="85"/>
      <c r="DL41" s="35"/>
      <c r="DM41" s="35"/>
      <c r="DN41" s="35"/>
      <c r="DO41" s="35"/>
      <c r="DP41" s="35"/>
      <c r="DQ41" s="35"/>
      <c r="DR41" s="36"/>
      <c r="DS41" s="35"/>
      <c r="DT41" s="35"/>
      <c r="DU41" s="35"/>
      <c r="DV41" s="35"/>
      <c r="DW41" s="35"/>
      <c r="DX41" s="35"/>
      <c r="DY41" s="35"/>
      <c r="DZ41" s="85"/>
      <c r="EA41" s="27"/>
      <c r="EB41" s="36"/>
      <c r="EC41" s="85"/>
      <c r="ED41" s="35"/>
      <c r="EE41" s="35">
        <v>50644227</v>
      </c>
      <c r="EF41" s="35">
        <v>49124900</v>
      </c>
      <c r="EG41" s="35">
        <v>1519327</v>
      </c>
      <c r="EH41" s="35">
        <v>49124900</v>
      </c>
      <c r="EI41" s="35"/>
      <c r="EJ41" s="36"/>
      <c r="EK41" s="35">
        <v>50644227</v>
      </c>
      <c r="EL41" s="35">
        <v>49124900</v>
      </c>
      <c r="EM41" s="35"/>
      <c r="EN41" s="35">
        <v>1519327</v>
      </c>
      <c r="EO41" s="35">
        <v>3</v>
      </c>
      <c r="EP41" s="35"/>
      <c r="EQ41" s="35"/>
      <c r="ER41" s="85">
        <v>49124900</v>
      </c>
      <c r="ES41" s="27"/>
      <c r="ET41" s="36">
        <v>49124900</v>
      </c>
      <c r="EU41" s="85">
        <v>49124900</v>
      </c>
      <c r="EV41" s="35"/>
      <c r="EW41" s="35">
        <v>38032400</v>
      </c>
      <c r="EX41" s="35">
        <v>11373700</v>
      </c>
      <c r="EY41" s="35">
        <v>26658700</v>
      </c>
      <c r="EZ41" s="35">
        <v>11373700</v>
      </c>
      <c r="FA41" s="35">
        <v>37966.019999999997</v>
      </c>
      <c r="FB41" s="36"/>
      <c r="FC41" s="35">
        <v>38032399.979999997</v>
      </c>
      <c r="FD41" s="35">
        <v>11373700</v>
      </c>
      <c r="FE41" s="35"/>
      <c r="FF41" s="35">
        <v>26658699.98</v>
      </c>
      <c r="FG41" s="35">
        <v>70.094710000000006</v>
      </c>
      <c r="FH41" s="35">
        <v>37966.019999999997</v>
      </c>
      <c r="FI41" s="35"/>
      <c r="FJ41" s="85">
        <v>11373700</v>
      </c>
      <c r="FK41" s="27"/>
      <c r="FL41" s="36">
        <v>11373700</v>
      </c>
      <c r="FM41" s="85">
        <v>11373700</v>
      </c>
      <c r="FN41" s="35"/>
      <c r="FO41" s="35"/>
      <c r="FP41" s="35"/>
      <c r="FQ41" s="35"/>
      <c r="FR41" s="35"/>
      <c r="FS41" s="35">
        <v>19768.93</v>
      </c>
      <c r="FT41" s="36"/>
      <c r="FU41" s="35"/>
      <c r="FV41" s="35"/>
      <c r="FW41" s="35"/>
      <c r="FX41" s="35"/>
      <c r="FY41" s="35"/>
      <c r="FZ41" s="35">
        <v>19768.93</v>
      </c>
      <c r="GA41" s="35"/>
      <c r="GB41" s="85"/>
      <c r="GC41" s="27"/>
      <c r="GD41" s="36"/>
      <c r="GE41" s="85"/>
      <c r="GF41" s="35"/>
      <c r="GG41" s="35"/>
      <c r="GH41" s="35"/>
      <c r="GI41" s="35"/>
      <c r="GJ41" s="35"/>
      <c r="GK41" s="35"/>
      <c r="GL41" s="36"/>
      <c r="GM41" s="35"/>
      <c r="GN41" s="35"/>
      <c r="GO41" s="35"/>
      <c r="GP41" s="35"/>
      <c r="GQ41" s="35"/>
      <c r="GR41" s="35"/>
      <c r="GS41" s="35"/>
      <c r="GT41" s="85"/>
      <c r="GU41" s="27"/>
      <c r="GV41" s="36"/>
      <c r="GW41" s="85"/>
      <c r="GX41" s="35"/>
      <c r="GY41" s="35"/>
      <c r="GZ41" s="35"/>
      <c r="HA41" s="35"/>
      <c r="HB41" s="35"/>
      <c r="HC41" s="35"/>
      <c r="HD41" s="36"/>
      <c r="HE41" s="35"/>
      <c r="HF41" s="35"/>
      <c r="HG41" s="35"/>
      <c r="HH41" s="35"/>
      <c r="HI41" s="35"/>
      <c r="HJ41" s="35"/>
      <c r="HK41" s="35"/>
      <c r="HL41" s="85"/>
      <c r="HM41" s="27"/>
      <c r="HN41" s="36"/>
      <c r="HO41" s="85"/>
      <c r="HP41" s="35"/>
      <c r="HQ41" s="35"/>
      <c r="HR41" s="35"/>
      <c r="HS41" s="35"/>
      <c r="HT41" s="35"/>
      <c r="HU41" s="35"/>
      <c r="HV41" s="36"/>
      <c r="HW41" s="35"/>
      <c r="HX41" s="35"/>
      <c r="HY41" s="35"/>
      <c r="HZ41" s="35"/>
      <c r="IA41" s="35"/>
      <c r="IB41" s="35"/>
      <c r="IC41" s="35"/>
      <c r="ID41" s="85"/>
      <c r="IE41" s="27"/>
      <c r="IF41" s="36"/>
      <c r="IG41" s="85"/>
      <c r="IH41" s="35"/>
      <c r="II41" s="35"/>
      <c r="IJ41" s="35"/>
      <c r="IK41" s="35"/>
      <c r="IL41" s="35"/>
      <c r="IM41" s="35"/>
      <c r="IN41" s="36"/>
      <c r="IO41" s="35"/>
      <c r="IP41" s="35"/>
      <c r="IQ41" s="35"/>
      <c r="IR41" s="35"/>
      <c r="IS41" s="35"/>
      <c r="IT41" s="35"/>
      <c r="IU41" s="35"/>
      <c r="IV41" s="85"/>
      <c r="IW41" s="27"/>
      <c r="IX41" s="36"/>
      <c r="IY41" s="85"/>
      <c r="IZ41" s="35"/>
      <c r="JA41" s="35"/>
      <c r="JB41" s="35"/>
      <c r="JC41" s="35"/>
      <c r="JD41" s="35"/>
      <c r="JE41" s="35"/>
      <c r="JF41" s="36"/>
      <c r="JG41" s="35"/>
      <c r="JH41" s="35"/>
      <c r="JI41" s="35"/>
      <c r="JJ41" s="35"/>
      <c r="JK41" s="35"/>
      <c r="JL41" s="35"/>
      <c r="JM41" s="35"/>
      <c r="JN41" s="85"/>
      <c r="JO41" s="27"/>
      <c r="JP41" s="36"/>
      <c r="JQ41" s="85"/>
      <c r="JR41" s="35"/>
      <c r="JS41" s="35"/>
      <c r="JT41" s="35"/>
      <c r="JU41" s="35"/>
      <c r="JV41" s="35"/>
      <c r="JW41" s="35"/>
      <c r="JX41" s="36"/>
      <c r="JY41" s="35"/>
      <c r="JZ41" s="35"/>
      <c r="KA41" s="35"/>
      <c r="KB41" s="35"/>
      <c r="KC41" s="35"/>
      <c r="KD41" s="35"/>
      <c r="KE41" s="35"/>
      <c r="KF41" s="85"/>
      <c r="KG41" s="27"/>
      <c r="KH41" s="36"/>
      <c r="KI41" s="85"/>
      <c r="KJ41" s="35"/>
      <c r="KK41" s="35"/>
      <c r="KL41" s="35"/>
      <c r="KM41" s="35"/>
      <c r="KN41" s="35"/>
      <c r="KO41" s="35"/>
      <c r="KP41" s="36"/>
      <c r="KQ41" s="35"/>
      <c r="KR41" s="35"/>
      <c r="KS41" s="35"/>
      <c r="KT41" s="35"/>
      <c r="KU41" s="35"/>
      <c r="KV41" s="35"/>
      <c r="KW41" s="35"/>
      <c r="KX41" s="85"/>
      <c r="KY41" s="27"/>
      <c r="KZ41" s="36"/>
      <c r="LA41" s="85"/>
      <c r="LB41" s="35"/>
      <c r="LC41" s="35"/>
      <c r="LD41" s="35"/>
      <c r="LE41" s="35"/>
      <c r="LF41" s="35"/>
      <c r="LG41" s="35"/>
      <c r="LH41" s="36"/>
      <c r="LI41" s="35"/>
      <c r="LJ41" s="35"/>
      <c r="LK41" s="35"/>
      <c r="LL41" s="35"/>
      <c r="LM41" s="35"/>
      <c r="LN41" s="35"/>
      <c r="LO41" s="35"/>
      <c r="LP41" s="85"/>
      <c r="LQ41" s="27"/>
      <c r="LR41" s="36"/>
      <c r="LS41" s="85"/>
      <c r="LT41" s="35"/>
      <c r="LU41" s="35"/>
      <c r="LV41" s="35"/>
      <c r="LW41" s="35"/>
      <c r="LX41" s="35"/>
      <c r="LY41" s="35"/>
      <c r="LZ41" s="36"/>
      <c r="MA41" s="35"/>
      <c r="MB41" s="35"/>
      <c r="MC41" s="35"/>
      <c r="MD41" s="35"/>
      <c r="ME41" s="35"/>
      <c r="MF41" s="35"/>
      <c r="MG41" s="35"/>
      <c r="MH41" s="85"/>
      <c r="MI41" s="27"/>
      <c r="MJ41" s="36"/>
      <c r="MK41" s="85"/>
      <c r="ML41" s="35"/>
      <c r="MM41" s="35"/>
      <c r="MN41" s="35"/>
      <c r="MO41" s="35"/>
      <c r="MP41" s="35"/>
      <c r="MQ41" s="35"/>
      <c r="MR41" s="36"/>
      <c r="MS41" s="35"/>
      <c r="MT41" s="35"/>
      <c r="MU41" s="35"/>
      <c r="MV41" s="35"/>
      <c r="MW41" s="35"/>
      <c r="MX41" s="35"/>
      <c r="MY41" s="35"/>
      <c r="MZ41" s="85"/>
      <c r="NA41" s="27"/>
      <c r="NB41" s="36"/>
      <c r="NC41" s="85"/>
      <c r="ND41" s="35"/>
      <c r="NE41" s="35"/>
      <c r="NF41" s="35"/>
      <c r="NG41" s="35"/>
      <c r="NH41" s="35"/>
      <c r="NI41" s="35"/>
      <c r="NJ41" s="36"/>
      <c r="NK41" s="35"/>
      <c r="NL41" s="35"/>
      <c r="NM41" s="35"/>
      <c r="NN41" s="35"/>
      <c r="NO41" s="35"/>
      <c r="NP41" s="35"/>
      <c r="NQ41" s="35"/>
      <c r="NR41" s="85"/>
      <c r="NS41" s="27"/>
      <c r="NT41" s="36"/>
      <c r="NU41" s="85"/>
      <c r="NV41" s="35"/>
      <c r="NW41" s="35"/>
      <c r="NX41" s="35"/>
      <c r="NY41" s="35"/>
      <c r="NZ41" s="35"/>
      <c r="OA41" s="35"/>
      <c r="OB41" s="36"/>
      <c r="OC41" s="35"/>
      <c r="OD41" s="35"/>
      <c r="OE41" s="35"/>
      <c r="OF41" s="35"/>
      <c r="OG41" s="35"/>
      <c r="OH41" s="35"/>
      <c r="OI41" s="35"/>
      <c r="OJ41" s="85"/>
      <c r="OK41" s="27"/>
      <c r="OL41" s="36"/>
      <c r="OM41" s="85"/>
      <c r="ON41" s="35"/>
      <c r="OO41" s="35"/>
      <c r="OP41" s="35"/>
      <c r="OQ41" s="35"/>
      <c r="OR41" s="35"/>
      <c r="OS41" s="35">
        <v>21920</v>
      </c>
      <c r="OT41" s="36"/>
      <c r="OU41" s="35"/>
      <c r="OV41" s="35"/>
      <c r="OW41" s="35"/>
      <c r="OX41" s="35"/>
      <c r="OY41" s="35"/>
      <c r="OZ41" s="35">
        <v>21920</v>
      </c>
      <c r="PA41" s="35"/>
      <c r="PB41" s="85"/>
      <c r="PC41" s="27"/>
      <c r="PD41" s="36"/>
      <c r="PE41" s="85"/>
      <c r="PF41" s="35"/>
      <c r="PG41" s="35"/>
      <c r="PH41" s="35"/>
      <c r="PI41" s="35"/>
      <c r="PJ41" s="35"/>
      <c r="PK41" s="35"/>
      <c r="PL41" s="36"/>
      <c r="PM41" s="35"/>
      <c r="PN41" s="35"/>
      <c r="PO41" s="35"/>
      <c r="PP41" s="35"/>
      <c r="PQ41" s="35"/>
      <c r="PR41" s="35"/>
      <c r="PS41" s="35"/>
      <c r="PT41" s="85"/>
      <c r="PU41" s="27"/>
      <c r="PV41" s="36"/>
      <c r="PW41" s="85"/>
      <c r="PX41" s="35"/>
      <c r="PY41" s="35"/>
      <c r="PZ41" s="35"/>
      <c r="QA41" s="35"/>
      <c r="QB41" s="35"/>
      <c r="QC41" s="35"/>
      <c r="QD41" s="36"/>
      <c r="QE41" s="35"/>
      <c r="QF41" s="35"/>
      <c r="QG41" s="35"/>
      <c r="QH41" s="35"/>
      <c r="QI41" s="35"/>
      <c r="QJ41" s="35"/>
      <c r="QK41" s="35"/>
      <c r="QL41" s="85"/>
      <c r="QM41" s="27"/>
      <c r="QN41" s="36"/>
      <c r="QO41" s="85"/>
      <c r="QP41" s="35"/>
      <c r="QQ41" s="35"/>
      <c r="QR41" s="35"/>
      <c r="QS41" s="35"/>
      <c r="QT41" s="35"/>
      <c r="QU41" s="35"/>
      <c r="QV41" s="36"/>
      <c r="QW41" s="35"/>
      <c r="QX41" s="35"/>
      <c r="QY41" s="35"/>
      <c r="QZ41" s="35"/>
      <c r="RA41" s="35"/>
      <c r="RB41" s="35"/>
      <c r="RC41" s="35"/>
      <c r="RD41" s="85"/>
      <c r="RE41" s="27"/>
      <c r="RF41" s="36"/>
      <c r="RG41" s="85"/>
      <c r="RH41" s="35"/>
      <c r="RI41" s="35"/>
      <c r="RJ41" s="35"/>
      <c r="RK41" s="35"/>
      <c r="RL41" s="35"/>
      <c r="RM41" s="35">
        <v>4325</v>
      </c>
      <c r="RN41" s="36"/>
      <c r="RO41" s="35"/>
      <c r="RP41" s="35"/>
      <c r="RQ41" s="35"/>
      <c r="RR41" s="35"/>
      <c r="RS41" s="35"/>
      <c r="RT41" s="35">
        <v>4325</v>
      </c>
      <c r="RU41" s="35"/>
      <c r="RV41" s="85"/>
      <c r="RW41" s="27"/>
      <c r="RX41" s="36"/>
      <c r="RY41" s="85"/>
      <c r="RZ41" s="35"/>
      <c r="SA41" s="35"/>
      <c r="SB41" s="35"/>
      <c r="SC41" s="35"/>
      <c r="SD41" s="35"/>
      <c r="SE41" s="35"/>
      <c r="SF41" s="36"/>
      <c r="SG41" s="35"/>
      <c r="SH41" s="35"/>
      <c r="SI41" s="35"/>
      <c r="SJ41" s="35"/>
      <c r="SK41" s="35"/>
      <c r="SL41" s="35"/>
      <c r="SM41" s="35"/>
      <c r="SN41" s="85"/>
      <c r="SO41" s="27"/>
      <c r="SP41" s="36"/>
      <c r="SQ41" s="85"/>
      <c r="SR41" s="35"/>
      <c r="SS41" s="35"/>
      <c r="ST41" s="35"/>
      <c r="SU41" s="35"/>
      <c r="SV41" s="35"/>
      <c r="SW41" s="35"/>
      <c r="SX41" s="36"/>
      <c r="SY41" s="35"/>
      <c r="SZ41" s="35"/>
      <c r="TA41" s="35"/>
      <c r="TB41" s="35"/>
      <c r="TC41" s="35"/>
      <c r="TD41" s="35"/>
      <c r="TE41" s="35"/>
      <c r="TF41" s="85"/>
      <c r="TG41" s="27"/>
      <c r="TH41" s="36"/>
      <c r="TI41" s="85"/>
      <c r="TJ41" s="35"/>
      <c r="TK41" s="35"/>
      <c r="TL41" s="35"/>
      <c r="TM41" s="35"/>
      <c r="TN41" s="35"/>
      <c r="TO41" s="35"/>
      <c r="TP41" s="36"/>
      <c r="TQ41" s="35"/>
      <c r="TR41" s="35"/>
      <c r="TS41" s="35"/>
      <c r="TT41" s="35"/>
      <c r="TU41" s="35"/>
      <c r="TV41" s="35"/>
      <c r="TW41" s="35"/>
      <c r="TX41" s="85"/>
      <c r="TY41" s="27"/>
      <c r="TZ41" s="36"/>
      <c r="UA41" s="85"/>
      <c r="UB41" s="35"/>
      <c r="UC41" s="35"/>
      <c r="UD41" s="35"/>
      <c r="UE41" s="35"/>
      <c r="UF41" s="35"/>
      <c r="UG41" s="35"/>
      <c r="UH41" s="36"/>
      <c r="UI41" s="35"/>
      <c r="UJ41" s="35"/>
      <c r="UK41" s="35"/>
      <c r="UL41" s="35"/>
      <c r="UM41" s="35"/>
      <c r="UN41" s="35"/>
      <c r="UO41" s="35"/>
      <c r="UP41" s="85"/>
      <c r="UQ41" s="27"/>
      <c r="UR41" s="36"/>
      <c r="US41" s="85"/>
    </row>
    <row r="42" spans="1:565" x14ac:dyDescent="0.3">
      <c r="A42" s="8" t="s">
        <v>81</v>
      </c>
      <c r="B42" s="169" t="s">
        <v>82</v>
      </c>
      <c r="C42" s="13" t="s">
        <v>83</v>
      </c>
      <c r="F42" s="36">
        <v>1129970200</v>
      </c>
      <c r="G42" s="85"/>
      <c r="H42" s="35"/>
      <c r="I42" s="35">
        <v>130036530.62</v>
      </c>
      <c r="J42" s="35">
        <v>63717900</v>
      </c>
      <c r="K42" s="35">
        <v>66318630.619999997</v>
      </c>
      <c r="L42" s="35">
        <v>63717900</v>
      </c>
      <c r="M42" s="35">
        <v>1362676.16</v>
      </c>
      <c r="N42" s="36"/>
      <c r="O42" s="35">
        <v>130036530.62</v>
      </c>
      <c r="P42" s="35">
        <v>63717900</v>
      </c>
      <c r="Q42" s="35"/>
      <c r="R42" s="35">
        <v>66318630.619999997</v>
      </c>
      <c r="S42" s="35">
        <v>51</v>
      </c>
      <c r="T42" s="35">
        <v>1362676.16</v>
      </c>
      <c r="U42" s="35"/>
      <c r="V42" s="85">
        <v>63717900</v>
      </c>
      <c r="W42" s="27"/>
      <c r="X42" s="36">
        <v>63717900</v>
      </c>
      <c r="Y42" s="85">
        <v>63717900</v>
      </c>
      <c r="Z42" s="35"/>
      <c r="AA42" s="35">
        <v>392938163.26999998</v>
      </c>
      <c r="AB42" s="35">
        <v>192539700</v>
      </c>
      <c r="AC42" s="35">
        <v>200398463.27000001</v>
      </c>
      <c r="AD42" s="35">
        <v>192539700</v>
      </c>
      <c r="AE42" s="35">
        <v>1248038.3500000001</v>
      </c>
      <c r="AF42" s="36"/>
      <c r="AG42" s="35">
        <v>392938163.26999998</v>
      </c>
      <c r="AH42" s="35">
        <v>192539700</v>
      </c>
      <c r="AI42" s="35"/>
      <c r="AJ42" s="35">
        <v>200398463.27000001</v>
      </c>
      <c r="AK42" s="35">
        <v>51</v>
      </c>
      <c r="AL42" s="35">
        <v>1248038.3500000001</v>
      </c>
      <c r="AM42" s="35"/>
      <c r="AN42" s="85">
        <v>192539700</v>
      </c>
      <c r="AO42" s="27"/>
      <c r="AP42" s="36">
        <v>192539700</v>
      </c>
      <c r="AQ42" s="85">
        <v>192539700</v>
      </c>
      <c r="AR42" s="35"/>
      <c r="AS42" s="35">
        <v>730114285.72000003</v>
      </c>
      <c r="AT42" s="35">
        <v>357756000</v>
      </c>
      <c r="AU42" s="35">
        <v>372358285.72000003</v>
      </c>
      <c r="AV42" s="35">
        <v>357755999.94999999</v>
      </c>
      <c r="AW42" s="35">
        <v>10139172.26</v>
      </c>
      <c r="AX42" s="36"/>
      <c r="AY42" s="35">
        <v>730114285.66999996</v>
      </c>
      <c r="AZ42" s="35">
        <v>357755999.94999999</v>
      </c>
      <c r="BA42" s="35"/>
      <c r="BB42" s="35">
        <v>372358285.72000003</v>
      </c>
      <c r="BC42" s="35">
        <v>51</v>
      </c>
      <c r="BD42" s="35">
        <v>10139172.26</v>
      </c>
      <c r="BE42" s="35"/>
      <c r="BF42" s="85">
        <v>357755999.94999999</v>
      </c>
      <c r="BG42" s="27"/>
      <c r="BH42" s="36">
        <v>357756000</v>
      </c>
      <c r="BI42" s="85">
        <v>357756000</v>
      </c>
      <c r="BJ42" s="35"/>
      <c r="BK42" s="35">
        <v>373695800.23000002</v>
      </c>
      <c r="BL42" s="35">
        <v>329226000</v>
      </c>
      <c r="BM42" s="35">
        <v>44469800.229999997</v>
      </c>
      <c r="BN42" s="35">
        <v>329225999.58999997</v>
      </c>
      <c r="BO42" s="35">
        <v>674902.91</v>
      </c>
      <c r="BP42" s="36"/>
      <c r="BQ42" s="35">
        <v>373695799.81999999</v>
      </c>
      <c r="BR42" s="35">
        <v>329225999.58999997</v>
      </c>
      <c r="BS42" s="35"/>
      <c r="BT42" s="35">
        <v>44469800.229999997</v>
      </c>
      <c r="BU42" s="35">
        <v>11.9</v>
      </c>
      <c r="BV42" s="35">
        <v>674902.91</v>
      </c>
      <c r="BW42" s="35"/>
      <c r="BX42" s="85">
        <v>329225999.58999997</v>
      </c>
      <c r="BY42" s="27"/>
      <c r="BZ42" s="36">
        <v>329226000</v>
      </c>
      <c r="CA42" s="85">
        <v>329226000</v>
      </c>
      <c r="CB42" s="35"/>
      <c r="CC42" s="35">
        <v>193015510.19999999</v>
      </c>
      <c r="CD42" s="35">
        <v>94577600</v>
      </c>
      <c r="CE42" s="35">
        <v>98437910.200000003</v>
      </c>
      <c r="CF42" s="35">
        <v>94577600</v>
      </c>
      <c r="CG42" s="35">
        <v>596816.56999999995</v>
      </c>
      <c r="CH42" s="36"/>
      <c r="CI42" s="35">
        <v>193015510.19999999</v>
      </c>
      <c r="CJ42" s="35">
        <v>94577600</v>
      </c>
      <c r="CK42" s="35"/>
      <c r="CL42" s="35">
        <v>98437910.200000003</v>
      </c>
      <c r="CM42" s="35">
        <v>51</v>
      </c>
      <c r="CN42" s="35">
        <v>596816.56999999995</v>
      </c>
      <c r="CO42" s="35"/>
      <c r="CP42" s="85">
        <v>94577600</v>
      </c>
      <c r="CQ42" s="27"/>
      <c r="CR42" s="36">
        <v>94577600</v>
      </c>
      <c r="CS42" s="85">
        <v>94577600</v>
      </c>
      <c r="CT42" s="35"/>
      <c r="CU42" s="35"/>
      <c r="CV42" s="35"/>
      <c r="CW42" s="35"/>
      <c r="CX42" s="35"/>
      <c r="CY42" s="35"/>
      <c r="CZ42" s="36"/>
      <c r="DA42" s="35"/>
      <c r="DB42" s="35"/>
      <c r="DC42" s="35"/>
      <c r="DD42" s="35"/>
      <c r="DE42" s="35"/>
      <c r="DF42" s="35"/>
      <c r="DG42" s="35"/>
      <c r="DH42" s="85"/>
      <c r="DI42" s="27"/>
      <c r="DJ42" s="36"/>
      <c r="DK42" s="85"/>
      <c r="DL42" s="35"/>
      <c r="DM42" s="35">
        <v>15255000</v>
      </c>
      <c r="DN42" s="35">
        <v>7627500</v>
      </c>
      <c r="DO42" s="35">
        <v>7627500</v>
      </c>
      <c r="DP42" s="35">
        <v>7627500</v>
      </c>
      <c r="DQ42" s="35"/>
      <c r="DR42" s="36"/>
      <c r="DS42" s="35">
        <v>15255000</v>
      </c>
      <c r="DT42" s="35">
        <v>7627500</v>
      </c>
      <c r="DU42" s="35"/>
      <c r="DV42" s="35">
        <v>7627500</v>
      </c>
      <c r="DW42" s="35">
        <v>50</v>
      </c>
      <c r="DX42" s="35"/>
      <c r="DY42" s="35"/>
      <c r="DZ42" s="85">
        <v>7627500</v>
      </c>
      <c r="EA42" s="27"/>
      <c r="EB42" s="36">
        <v>7627500</v>
      </c>
      <c r="EC42" s="85">
        <v>7627500</v>
      </c>
      <c r="ED42" s="35"/>
      <c r="EE42" s="35">
        <v>29579253.739999998</v>
      </c>
      <c r="EF42" s="35">
        <v>19818100</v>
      </c>
      <c r="EG42" s="35">
        <v>9761153.7400000002</v>
      </c>
      <c r="EH42" s="35">
        <v>19818099.41</v>
      </c>
      <c r="EI42" s="35"/>
      <c r="EJ42" s="36"/>
      <c r="EK42" s="35">
        <v>29579252.84</v>
      </c>
      <c r="EL42" s="35">
        <v>19818099.41</v>
      </c>
      <c r="EM42" s="35"/>
      <c r="EN42" s="35">
        <v>9761153.4299999997</v>
      </c>
      <c r="EO42" s="35">
        <v>33</v>
      </c>
      <c r="EP42" s="35"/>
      <c r="EQ42" s="35"/>
      <c r="ER42" s="85">
        <v>19818099.41</v>
      </c>
      <c r="ES42" s="27"/>
      <c r="ET42" s="36">
        <v>19818100</v>
      </c>
      <c r="EU42" s="85">
        <v>19818100</v>
      </c>
      <c r="EV42" s="35"/>
      <c r="EW42" s="35">
        <v>46645102.039999999</v>
      </c>
      <c r="EX42" s="35">
        <v>22856100</v>
      </c>
      <c r="EY42" s="35">
        <v>23789002.039999999</v>
      </c>
      <c r="EZ42" s="35">
        <v>22856100</v>
      </c>
      <c r="FA42" s="35">
        <v>2488283.2400000002</v>
      </c>
      <c r="FB42" s="36"/>
      <c r="FC42" s="35">
        <v>46645102.030000001</v>
      </c>
      <c r="FD42" s="35">
        <v>22856099.989999998</v>
      </c>
      <c r="FE42" s="35"/>
      <c r="FF42" s="35">
        <v>23789002.039999999</v>
      </c>
      <c r="FG42" s="35">
        <v>51</v>
      </c>
      <c r="FH42" s="35">
        <v>2488283.2400000002</v>
      </c>
      <c r="FI42" s="35">
        <v>0.01</v>
      </c>
      <c r="FJ42" s="85">
        <v>22856100</v>
      </c>
      <c r="FK42" s="27"/>
      <c r="FL42" s="36">
        <v>22856100</v>
      </c>
      <c r="FM42" s="85">
        <v>22856100</v>
      </c>
      <c r="FN42" s="35"/>
      <c r="FO42" s="35"/>
      <c r="FP42" s="35"/>
      <c r="FQ42" s="35"/>
      <c r="FR42" s="35"/>
      <c r="FS42" s="35">
        <v>372232.53</v>
      </c>
      <c r="FT42" s="36"/>
      <c r="FU42" s="35"/>
      <c r="FV42" s="35"/>
      <c r="FW42" s="35"/>
      <c r="FX42" s="35"/>
      <c r="FY42" s="35"/>
      <c r="FZ42" s="35">
        <v>372232.53</v>
      </c>
      <c r="GA42" s="35"/>
      <c r="GB42" s="85"/>
      <c r="GC42" s="27"/>
      <c r="GD42" s="36"/>
      <c r="GE42" s="85"/>
      <c r="GF42" s="35"/>
      <c r="GG42" s="35">
        <v>60936938.780000001</v>
      </c>
      <c r="GH42" s="35">
        <v>29859100</v>
      </c>
      <c r="GI42" s="35">
        <v>31077838.780000001</v>
      </c>
      <c r="GJ42" s="35">
        <v>28437524.620000001</v>
      </c>
      <c r="GK42" s="35"/>
      <c r="GL42" s="36"/>
      <c r="GM42" s="35">
        <v>58035764.520000003</v>
      </c>
      <c r="GN42" s="35">
        <v>28437524.620000001</v>
      </c>
      <c r="GO42" s="35"/>
      <c r="GP42" s="35">
        <v>29598239.899999999</v>
      </c>
      <c r="GQ42" s="35">
        <v>51</v>
      </c>
      <c r="GR42" s="35"/>
      <c r="GS42" s="35"/>
      <c r="GT42" s="85">
        <v>28437524.620000001</v>
      </c>
      <c r="GU42" s="27"/>
      <c r="GV42" s="36">
        <v>29859100</v>
      </c>
      <c r="GW42" s="85">
        <v>29859100</v>
      </c>
      <c r="GX42" s="35"/>
      <c r="GY42" s="35"/>
      <c r="GZ42" s="35"/>
      <c r="HA42" s="35"/>
      <c r="HB42" s="35"/>
      <c r="HC42" s="35"/>
      <c r="HD42" s="36"/>
      <c r="HE42" s="35"/>
      <c r="HF42" s="35"/>
      <c r="HG42" s="35"/>
      <c r="HH42" s="35"/>
      <c r="HI42" s="35"/>
      <c r="HJ42" s="35"/>
      <c r="HK42" s="35"/>
      <c r="HL42" s="85"/>
      <c r="HM42" s="27"/>
      <c r="HN42" s="36"/>
      <c r="HO42" s="85"/>
      <c r="HP42" s="35"/>
      <c r="HQ42" s="35"/>
      <c r="HR42" s="35"/>
      <c r="HS42" s="35"/>
      <c r="HT42" s="35"/>
      <c r="HU42" s="35"/>
      <c r="HV42" s="36"/>
      <c r="HW42" s="35"/>
      <c r="HX42" s="35"/>
      <c r="HY42" s="35"/>
      <c r="HZ42" s="35"/>
      <c r="IA42" s="35"/>
      <c r="IB42" s="35"/>
      <c r="IC42" s="35"/>
      <c r="ID42" s="85"/>
      <c r="IE42" s="27"/>
      <c r="IF42" s="36"/>
      <c r="IG42" s="85"/>
      <c r="IH42" s="35"/>
      <c r="II42" s="35"/>
      <c r="IJ42" s="35"/>
      <c r="IK42" s="35"/>
      <c r="IL42" s="35"/>
      <c r="IM42" s="35"/>
      <c r="IN42" s="36"/>
      <c r="IO42" s="35"/>
      <c r="IP42" s="35"/>
      <c r="IQ42" s="35"/>
      <c r="IR42" s="35"/>
      <c r="IS42" s="35"/>
      <c r="IT42" s="35"/>
      <c r="IU42" s="35"/>
      <c r="IV42" s="85"/>
      <c r="IW42" s="27"/>
      <c r="IX42" s="36"/>
      <c r="IY42" s="85"/>
      <c r="IZ42" s="35"/>
      <c r="JA42" s="35">
        <v>8790300</v>
      </c>
      <c r="JB42" s="35">
        <v>4307200</v>
      </c>
      <c r="JC42" s="35">
        <v>4483100</v>
      </c>
      <c r="JD42" s="35">
        <v>4307200</v>
      </c>
      <c r="JE42" s="35">
        <v>0</v>
      </c>
      <c r="JF42" s="36"/>
      <c r="JG42" s="35">
        <v>8790300</v>
      </c>
      <c r="JH42" s="35">
        <v>4307200</v>
      </c>
      <c r="JI42" s="35"/>
      <c r="JJ42" s="35">
        <v>4483100</v>
      </c>
      <c r="JK42" s="35">
        <v>51.000529999999998</v>
      </c>
      <c r="JL42" s="35">
        <v>0</v>
      </c>
      <c r="JM42" s="35"/>
      <c r="JN42" s="85">
        <v>4307200</v>
      </c>
      <c r="JO42" s="27"/>
      <c r="JP42" s="36">
        <v>4307200</v>
      </c>
      <c r="JQ42" s="85">
        <v>4307200</v>
      </c>
      <c r="JR42" s="35"/>
      <c r="JS42" s="35"/>
      <c r="JT42" s="35"/>
      <c r="JU42" s="35"/>
      <c r="JV42" s="35"/>
      <c r="JW42" s="35">
        <v>382160</v>
      </c>
      <c r="JX42" s="36"/>
      <c r="JY42" s="35"/>
      <c r="JZ42" s="35"/>
      <c r="KA42" s="35"/>
      <c r="KB42" s="35"/>
      <c r="KC42" s="35"/>
      <c r="KD42" s="35">
        <v>382160</v>
      </c>
      <c r="KE42" s="35"/>
      <c r="KF42" s="85"/>
      <c r="KG42" s="27"/>
      <c r="KH42" s="36"/>
      <c r="KI42" s="85"/>
      <c r="KJ42" s="35"/>
      <c r="KK42" s="35">
        <v>6207550</v>
      </c>
      <c r="KL42" s="35">
        <v>3041700</v>
      </c>
      <c r="KM42" s="35">
        <v>3165850</v>
      </c>
      <c r="KN42" s="35">
        <v>3041700</v>
      </c>
      <c r="KO42" s="35"/>
      <c r="KP42" s="36"/>
      <c r="KQ42" s="35">
        <v>6207550</v>
      </c>
      <c r="KR42" s="35">
        <v>3041700</v>
      </c>
      <c r="KS42" s="35"/>
      <c r="KT42" s="35">
        <v>3165850</v>
      </c>
      <c r="KU42" s="35">
        <v>50.999989999999997</v>
      </c>
      <c r="KV42" s="35"/>
      <c r="KW42" s="35"/>
      <c r="KX42" s="85">
        <v>3041700</v>
      </c>
      <c r="KY42" s="27"/>
      <c r="KZ42" s="36">
        <v>3041700</v>
      </c>
      <c r="LA42" s="85">
        <v>3041700</v>
      </c>
      <c r="LB42" s="35"/>
      <c r="LC42" s="35"/>
      <c r="LD42" s="35"/>
      <c r="LE42" s="35"/>
      <c r="LF42" s="35"/>
      <c r="LG42" s="35"/>
      <c r="LH42" s="36"/>
      <c r="LI42" s="35"/>
      <c r="LJ42" s="35"/>
      <c r="LK42" s="35"/>
      <c r="LL42" s="35"/>
      <c r="LM42" s="35"/>
      <c r="LN42" s="35"/>
      <c r="LO42" s="35"/>
      <c r="LP42" s="85"/>
      <c r="LQ42" s="27"/>
      <c r="LR42" s="36"/>
      <c r="LS42" s="85"/>
      <c r="LT42" s="35"/>
      <c r="LU42" s="35">
        <v>7358580</v>
      </c>
      <c r="LV42" s="35">
        <v>3605700</v>
      </c>
      <c r="LW42" s="35">
        <v>3752880</v>
      </c>
      <c r="LX42" s="35">
        <v>3605015.58</v>
      </c>
      <c r="LY42" s="35"/>
      <c r="LZ42" s="36"/>
      <c r="MA42" s="35">
        <v>7357183.2300000004</v>
      </c>
      <c r="MB42" s="35">
        <v>3605015.58</v>
      </c>
      <c r="MC42" s="35"/>
      <c r="MD42" s="35">
        <v>3752167.65</v>
      </c>
      <c r="ME42" s="35">
        <v>51.000059999999998</v>
      </c>
      <c r="MF42" s="35"/>
      <c r="MG42" s="35"/>
      <c r="MH42" s="85">
        <v>3605015.58</v>
      </c>
      <c r="MI42" s="27"/>
      <c r="MJ42" s="36">
        <v>3605700</v>
      </c>
      <c r="MK42" s="85">
        <v>3605700</v>
      </c>
      <c r="ML42" s="35"/>
      <c r="MM42" s="35"/>
      <c r="MN42" s="35"/>
      <c r="MO42" s="35"/>
      <c r="MP42" s="35"/>
      <c r="MQ42" s="35"/>
      <c r="MR42" s="36"/>
      <c r="MS42" s="35"/>
      <c r="MT42" s="35"/>
      <c r="MU42" s="35"/>
      <c r="MV42" s="35"/>
      <c r="MW42" s="35"/>
      <c r="MX42" s="35"/>
      <c r="MY42" s="35"/>
      <c r="MZ42" s="85"/>
      <c r="NA42" s="27"/>
      <c r="NB42" s="36"/>
      <c r="NC42" s="85"/>
      <c r="ND42" s="35"/>
      <c r="NE42" s="35">
        <v>2117551.02</v>
      </c>
      <c r="NF42" s="35">
        <v>1037600</v>
      </c>
      <c r="NG42" s="35">
        <v>1079951.02</v>
      </c>
      <c r="NH42" s="35">
        <v>1037600</v>
      </c>
      <c r="NI42" s="35"/>
      <c r="NJ42" s="36"/>
      <c r="NK42" s="35">
        <v>2117551.02</v>
      </c>
      <c r="NL42" s="35">
        <v>1037600</v>
      </c>
      <c r="NM42" s="35"/>
      <c r="NN42" s="35">
        <v>1079951.02</v>
      </c>
      <c r="NO42" s="35">
        <v>51</v>
      </c>
      <c r="NP42" s="35"/>
      <c r="NQ42" s="35"/>
      <c r="NR42" s="85">
        <v>1037600</v>
      </c>
      <c r="NS42" s="27"/>
      <c r="NT42" s="36">
        <v>1037600</v>
      </c>
      <c r="NU42" s="85">
        <v>1037600</v>
      </c>
      <c r="NV42" s="35"/>
      <c r="NW42" s="35"/>
      <c r="NX42" s="35"/>
      <c r="NY42" s="35"/>
      <c r="NZ42" s="35"/>
      <c r="OA42" s="35"/>
      <c r="OB42" s="36"/>
      <c r="OC42" s="35"/>
      <c r="OD42" s="35"/>
      <c r="OE42" s="35"/>
      <c r="OF42" s="35"/>
      <c r="OG42" s="35"/>
      <c r="OH42" s="35"/>
      <c r="OI42" s="35"/>
      <c r="OJ42" s="85"/>
      <c r="OK42" s="27"/>
      <c r="OL42" s="36"/>
      <c r="OM42" s="85"/>
      <c r="ON42" s="35"/>
      <c r="OO42" s="35"/>
      <c r="OP42" s="35"/>
      <c r="OQ42" s="35"/>
      <c r="OR42" s="35"/>
      <c r="OS42" s="35">
        <v>2770469.78</v>
      </c>
      <c r="OT42" s="36"/>
      <c r="OU42" s="35"/>
      <c r="OV42" s="35"/>
      <c r="OW42" s="35"/>
      <c r="OX42" s="35"/>
      <c r="OY42" s="35"/>
      <c r="OZ42" s="35">
        <v>2770469.78</v>
      </c>
      <c r="PA42" s="35"/>
      <c r="PB42" s="85"/>
      <c r="PC42" s="27"/>
      <c r="PD42" s="36"/>
      <c r="PE42" s="85"/>
      <c r="PF42" s="35"/>
      <c r="PG42" s="35"/>
      <c r="PH42" s="35"/>
      <c r="PI42" s="35"/>
      <c r="PJ42" s="35"/>
      <c r="PK42" s="35"/>
      <c r="PL42" s="36"/>
      <c r="PM42" s="35"/>
      <c r="PN42" s="35"/>
      <c r="PO42" s="35"/>
      <c r="PP42" s="35"/>
      <c r="PQ42" s="35"/>
      <c r="PR42" s="35"/>
      <c r="PS42" s="35"/>
      <c r="PT42" s="85"/>
      <c r="PU42" s="27"/>
      <c r="PV42" s="36"/>
      <c r="PW42" s="85"/>
      <c r="PX42" s="35"/>
      <c r="PY42" s="35"/>
      <c r="PZ42" s="35"/>
      <c r="QA42" s="35"/>
      <c r="QB42" s="35"/>
      <c r="QC42" s="35"/>
      <c r="QD42" s="36"/>
      <c r="QE42" s="35"/>
      <c r="QF42" s="35"/>
      <c r="QG42" s="35"/>
      <c r="QH42" s="35"/>
      <c r="QI42" s="35"/>
      <c r="QJ42" s="35"/>
      <c r="QK42" s="35"/>
      <c r="QL42" s="85"/>
      <c r="QM42" s="27"/>
      <c r="QN42" s="36"/>
      <c r="QO42" s="85"/>
      <c r="QP42" s="35"/>
      <c r="QQ42" s="35"/>
      <c r="QR42" s="35"/>
      <c r="QS42" s="35"/>
      <c r="QT42" s="35"/>
      <c r="QU42" s="35"/>
      <c r="QV42" s="36"/>
      <c r="QW42" s="35"/>
      <c r="QX42" s="35"/>
      <c r="QY42" s="35"/>
      <c r="QZ42" s="35"/>
      <c r="RA42" s="35"/>
      <c r="RB42" s="35"/>
      <c r="RC42" s="35"/>
      <c r="RD42" s="85"/>
      <c r="RE42" s="27"/>
      <c r="RF42" s="36"/>
      <c r="RG42" s="85"/>
      <c r="RH42" s="35"/>
      <c r="RI42" s="35"/>
      <c r="RJ42" s="35"/>
      <c r="RK42" s="35"/>
      <c r="RL42" s="35"/>
      <c r="RM42" s="35">
        <v>78098.67</v>
      </c>
      <c r="RN42" s="36"/>
      <c r="RO42" s="35"/>
      <c r="RP42" s="35"/>
      <c r="RQ42" s="35"/>
      <c r="RR42" s="35"/>
      <c r="RS42" s="35"/>
      <c r="RT42" s="35">
        <v>78098.67</v>
      </c>
      <c r="RU42" s="35"/>
      <c r="RV42" s="85"/>
      <c r="RW42" s="27"/>
      <c r="RX42" s="36"/>
      <c r="RY42" s="85"/>
      <c r="RZ42" s="35"/>
      <c r="SA42" s="35"/>
      <c r="SB42" s="35"/>
      <c r="SC42" s="35"/>
      <c r="SD42" s="35"/>
      <c r="SE42" s="35"/>
      <c r="SF42" s="36"/>
      <c r="SG42" s="35"/>
      <c r="SH42" s="35"/>
      <c r="SI42" s="35"/>
      <c r="SJ42" s="35"/>
      <c r="SK42" s="35"/>
      <c r="SL42" s="35"/>
      <c r="SM42" s="35"/>
      <c r="SN42" s="85"/>
      <c r="SO42" s="27"/>
      <c r="SP42" s="36"/>
      <c r="SQ42" s="85"/>
      <c r="SR42" s="35"/>
      <c r="SS42" s="35"/>
      <c r="ST42" s="35"/>
      <c r="SU42" s="35"/>
      <c r="SV42" s="35"/>
      <c r="SW42" s="35"/>
      <c r="SX42" s="36"/>
      <c r="SY42" s="35"/>
      <c r="SZ42" s="35"/>
      <c r="TA42" s="35"/>
      <c r="TB42" s="35"/>
      <c r="TC42" s="35"/>
      <c r="TD42" s="35"/>
      <c r="TE42" s="35"/>
      <c r="TF42" s="85"/>
      <c r="TG42" s="27"/>
      <c r="TH42" s="36"/>
      <c r="TI42" s="85"/>
      <c r="TJ42" s="35"/>
      <c r="TK42" s="35"/>
      <c r="TL42" s="35"/>
      <c r="TM42" s="35"/>
      <c r="TN42" s="35"/>
      <c r="TO42" s="35"/>
      <c r="TP42" s="36"/>
      <c r="TQ42" s="35"/>
      <c r="TR42" s="35"/>
      <c r="TS42" s="35"/>
      <c r="TT42" s="35"/>
      <c r="TU42" s="35"/>
      <c r="TV42" s="35"/>
      <c r="TW42" s="35"/>
      <c r="TX42" s="85"/>
      <c r="TY42" s="27"/>
      <c r="TZ42" s="36"/>
      <c r="UA42" s="85"/>
      <c r="UB42" s="35"/>
      <c r="UC42" s="35"/>
      <c r="UD42" s="35"/>
      <c r="UE42" s="35"/>
      <c r="UF42" s="35"/>
      <c r="UG42" s="35"/>
      <c r="UH42" s="36"/>
      <c r="UI42" s="35"/>
      <c r="UJ42" s="35"/>
      <c r="UK42" s="35"/>
      <c r="UL42" s="35"/>
      <c r="UM42" s="35"/>
      <c r="UN42" s="35"/>
      <c r="UO42" s="35"/>
      <c r="UP42" s="85"/>
      <c r="UQ42" s="27"/>
      <c r="UR42" s="36"/>
      <c r="US42" s="85"/>
    </row>
    <row r="43" spans="1:565" x14ac:dyDescent="0.3">
      <c r="A43" s="8" t="s">
        <v>84</v>
      </c>
      <c r="B43" s="168" t="s">
        <v>85</v>
      </c>
      <c r="C43" s="13" t="s">
        <v>275</v>
      </c>
      <c r="F43" s="36">
        <v>19427300</v>
      </c>
      <c r="G43" s="85"/>
      <c r="H43" s="35"/>
      <c r="I43" s="35"/>
      <c r="J43" s="35"/>
      <c r="K43" s="35"/>
      <c r="L43" s="35"/>
      <c r="M43" s="35"/>
      <c r="N43" s="36"/>
      <c r="O43" s="35"/>
      <c r="P43" s="35"/>
      <c r="Q43" s="35"/>
      <c r="R43" s="35"/>
      <c r="S43" s="35"/>
      <c r="T43" s="35"/>
      <c r="U43" s="35"/>
      <c r="V43" s="85"/>
      <c r="W43" s="27"/>
      <c r="X43" s="36"/>
      <c r="Y43" s="85"/>
      <c r="Z43" s="35"/>
      <c r="AA43" s="35">
        <v>8576000</v>
      </c>
      <c r="AB43" s="35">
        <v>3173100</v>
      </c>
      <c r="AC43" s="35">
        <v>5402900</v>
      </c>
      <c r="AD43" s="35">
        <v>3173100</v>
      </c>
      <c r="AE43" s="35"/>
      <c r="AF43" s="36"/>
      <c r="AG43" s="35">
        <v>8576000</v>
      </c>
      <c r="AH43" s="35">
        <v>3173100</v>
      </c>
      <c r="AI43" s="35"/>
      <c r="AJ43" s="35">
        <v>5402900</v>
      </c>
      <c r="AK43" s="35">
        <v>63.000230000000002</v>
      </c>
      <c r="AL43" s="35"/>
      <c r="AM43" s="35"/>
      <c r="AN43" s="85">
        <v>3173100</v>
      </c>
      <c r="AO43" s="27"/>
      <c r="AP43" s="36">
        <v>3173100</v>
      </c>
      <c r="AQ43" s="85">
        <v>3173100</v>
      </c>
      <c r="AR43" s="35"/>
      <c r="AS43" s="35">
        <v>43930300</v>
      </c>
      <c r="AT43" s="35">
        <v>16254200</v>
      </c>
      <c r="AU43" s="35">
        <v>27676100</v>
      </c>
      <c r="AV43" s="35">
        <v>16254200</v>
      </c>
      <c r="AW43" s="35"/>
      <c r="AX43" s="36"/>
      <c r="AY43" s="35">
        <v>43930300</v>
      </c>
      <c r="AZ43" s="35">
        <v>16254200</v>
      </c>
      <c r="BA43" s="35"/>
      <c r="BB43" s="35">
        <v>27676100</v>
      </c>
      <c r="BC43" s="35">
        <v>63.000030000000002</v>
      </c>
      <c r="BD43" s="35"/>
      <c r="BE43" s="35"/>
      <c r="BF43" s="85">
        <v>16254200</v>
      </c>
      <c r="BG43" s="27"/>
      <c r="BH43" s="36">
        <v>16254200</v>
      </c>
      <c r="BI43" s="85">
        <v>16254200</v>
      </c>
      <c r="BJ43" s="35"/>
      <c r="BK43" s="35"/>
      <c r="BL43" s="35"/>
      <c r="BM43" s="35"/>
      <c r="BN43" s="35"/>
      <c r="BO43" s="35"/>
      <c r="BP43" s="36"/>
      <c r="BQ43" s="35"/>
      <c r="BR43" s="35"/>
      <c r="BS43" s="35"/>
      <c r="BT43" s="35"/>
      <c r="BU43" s="35"/>
      <c r="BV43" s="35"/>
      <c r="BW43" s="35"/>
      <c r="BX43" s="85"/>
      <c r="BY43" s="27"/>
      <c r="BZ43" s="36"/>
      <c r="CA43" s="85"/>
      <c r="CB43" s="35"/>
      <c r="CC43" s="35"/>
      <c r="CD43" s="35"/>
      <c r="CE43" s="35"/>
      <c r="CF43" s="35"/>
      <c r="CG43" s="35"/>
      <c r="CH43" s="36"/>
      <c r="CI43" s="35"/>
      <c r="CJ43" s="35"/>
      <c r="CK43" s="35"/>
      <c r="CL43" s="35"/>
      <c r="CM43" s="35"/>
      <c r="CN43" s="35"/>
      <c r="CO43" s="35"/>
      <c r="CP43" s="85"/>
      <c r="CQ43" s="27"/>
      <c r="CR43" s="36"/>
      <c r="CS43" s="85"/>
      <c r="CT43" s="35"/>
      <c r="CU43" s="35"/>
      <c r="CV43" s="35"/>
      <c r="CW43" s="35"/>
      <c r="CX43" s="35"/>
      <c r="CY43" s="35"/>
      <c r="CZ43" s="36"/>
      <c r="DA43" s="35"/>
      <c r="DB43" s="35"/>
      <c r="DC43" s="35"/>
      <c r="DD43" s="35"/>
      <c r="DE43" s="35"/>
      <c r="DF43" s="35"/>
      <c r="DG43" s="35"/>
      <c r="DH43" s="85"/>
      <c r="DI43" s="27"/>
      <c r="DJ43" s="36"/>
      <c r="DK43" s="85"/>
      <c r="DL43" s="35"/>
      <c r="DM43" s="35"/>
      <c r="DN43" s="35"/>
      <c r="DO43" s="35"/>
      <c r="DP43" s="35"/>
      <c r="DQ43" s="35"/>
      <c r="DR43" s="36"/>
      <c r="DS43" s="35"/>
      <c r="DT43" s="35"/>
      <c r="DU43" s="35"/>
      <c r="DV43" s="35"/>
      <c r="DW43" s="35"/>
      <c r="DX43" s="35"/>
      <c r="DY43" s="35"/>
      <c r="DZ43" s="85"/>
      <c r="EA43" s="27"/>
      <c r="EB43" s="36"/>
      <c r="EC43" s="85"/>
      <c r="ED43" s="35"/>
      <c r="EE43" s="35"/>
      <c r="EF43" s="35"/>
      <c r="EG43" s="35"/>
      <c r="EH43" s="35"/>
      <c r="EI43" s="35"/>
      <c r="EJ43" s="36"/>
      <c r="EK43" s="35"/>
      <c r="EL43" s="35"/>
      <c r="EM43" s="35"/>
      <c r="EN43" s="35"/>
      <c r="EO43" s="35"/>
      <c r="EP43" s="35"/>
      <c r="EQ43" s="35"/>
      <c r="ER43" s="85"/>
      <c r="ES43" s="27"/>
      <c r="ET43" s="36"/>
      <c r="EU43" s="85"/>
      <c r="EV43" s="35"/>
      <c r="EW43" s="35"/>
      <c r="EX43" s="35"/>
      <c r="EY43" s="35"/>
      <c r="EZ43" s="35"/>
      <c r="FA43" s="35"/>
      <c r="FB43" s="36"/>
      <c r="FC43" s="35"/>
      <c r="FD43" s="35"/>
      <c r="FE43" s="35"/>
      <c r="FF43" s="35"/>
      <c r="FG43" s="35"/>
      <c r="FH43" s="35"/>
      <c r="FI43" s="35"/>
      <c r="FJ43" s="85"/>
      <c r="FK43" s="27"/>
      <c r="FL43" s="36"/>
      <c r="FM43" s="85"/>
      <c r="FN43" s="35"/>
      <c r="FO43" s="35"/>
      <c r="FP43" s="35"/>
      <c r="FQ43" s="35"/>
      <c r="FR43" s="35"/>
      <c r="FS43" s="35"/>
      <c r="FT43" s="36"/>
      <c r="FU43" s="35"/>
      <c r="FV43" s="35"/>
      <c r="FW43" s="35"/>
      <c r="FX43" s="35"/>
      <c r="FY43" s="35"/>
      <c r="FZ43" s="35"/>
      <c r="GA43" s="35"/>
      <c r="GB43" s="85"/>
      <c r="GC43" s="27"/>
      <c r="GD43" s="36"/>
      <c r="GE43" s="85"/>
      <c r="GF43" s="35"/>
      <c r="GG43" s="35"/>
      <c r="GH43" s="35"/>
      <c r="GI43" s="35"/>
      <c r="GJ43" s="35"/>
      <c r="GK43" s="35"/>
      <c r="GL43" s="36"/>
      <c r="GM43" s="35"/>
      <c r="GN43" s="35"/>
      <c r="GO43" s="35"/>
      <c r="GP43" s="35"/>
      <c r="GQ43" s="35"/>
      <c r="GR43" s="35"/>
      <c r="GS43" s="35"/>
      <c r="GT43" s="85"/>
      <c r="GU43" s="27"/>
      <c r="GV43" s="36"/>
      <c r="GW43" s="85"/>
      <c r="GX43" s="35"/>
      <c r="GY43" s="35"/>
      <c r="GZ43" s="35"/>
      <c r="HA43" s="35"/>
      <c r="HB43" s="35"/>
      <c r="HC43" s="35"/>
      <c r="HD43" s="36"/>
      <c r="HE43" s="35"/>
      <c r="HF43" s="35"/>
      <c r="HG43" s="35"/>
      <c r="HH43" s="35"/>
      <c r="HI43" s="35"/>
      <c r="HJ43" s="35"/>
      <c r="HK43" s="35"/>
      <c r="HL43" s="85"/>
      <c r="HM43" s="27"/>
      <c r="HN43" s="36"/>
      <c r="HO43" s="85"/>
      <c r="HP43" s="35"/>
      <c r="HQ43" s="35"/>
      <c r="HR43" s="35"/>
      <c r="HS43" s="35"/>
      <c r="HT43" s="35"/>
      <c r="HU43" s="35"/>
      <c r="HV43" s="36"/>
      <c r="HW43" s="35"/>
      <c r="HX43" s="35"/>
      <c r="HY43" s="35"/>
      <c r="HZ43" s="35"/>
      <c r="IA43" s="35"/>
      <c r="IB43" s="35"/>
      <c r="IC43" s="35"/>
      <c r="ID43" s="85"/>
      <c r="IE43" s="27"/>
      <c r="IF43" s="36"/>
      <c r="IG43" s="85"/>
      <c r="IH43" s="35"/>
      <c r="II43" s="35"/>
      <c r="IJ43" s="35"/>
      <c r="IK43" s="35"/>
      <c r="IL43" s="35"/>
      <c r="IM43" s="35"/>
      <c r="IN43" s="36"/>
      <c r="IO43" s="35"/>
      <c r="IP43" s="35"/>
      <c r="IQ43" s="35"/>
      <c r="IR43" s="35"/>
      <c r="IS43" s="35"/>
      <c r="IT43" s="35"/>
      <c r="IU43" s="35"/>
      <c r="IV43" s="85"/>
      <c r="IW43" s="27"/>
      <c r="IX43" s="36"/>
      <c r="IY43" s="85"/>
      <c r="IZ43" s="35"/>
      <c r="JA43" s="35"/>
      <c r="JB43" s="35"/>
      <c r="JC43" s="35"/>
      <c r="JD43" s="35"/>
      <c r="JE43" s="35"/>
      <c r="JF43" s="36"/>
      <c r="JG43" s="35"/>
      <c r="JH43" s="35"/>
      <c r="JI43" s="35"/>
      <c r="JJ43" s="35"/>
      <c r="JK43" s="35"/>
      <c r="JL43" s="35"/>
      <c r="JM43" s="35"/>
      <c r="JN43" s="85"/>
      <c r="JO43" s="27"/>
      <c r="JP43" s="36"/>
      <c r="JQ43" s="85"/>
      <c r="JR43" s="35"/>
      <c r="JS43" s="35"/>
      <c r="JT43" s="35"/>
      <c r="JU43" s="35"/>
      <c r="JV43" s="35"/>
      <c r="JW43" s="35"/>
      <c r="JX43" s="36"/>
      <c r="JY43" s="35"/>
      <c r="JZ43" s="35"/>
      <c r="KA43" s="35"/>
      <c r="KB43" s="35"/>
      <c r="KC43" s="35"/>
      <c r="KD43" s="35"/>
      <c r="KE43" s="35"/>
      <c r="KF43" s="85"/>
      <c r="KG43" s="27"/>
      <c r="KH43" s="36"/>
      <c r="KI43" s="85"/>
      <c r="KJ43" s="35"/>
      <c r="KK43" s="35"/>
      <c r="KL43" s="35"/>
      <c r="KM43" s="35"/>
      <c r="KN43" s="35"/>
      <c r="KO43" s="35"/>
      <c r="KP43" s="36"/>
      <c r="KQ43" s="35"/>
      <c r="KR43" s="35"/>
      <c r="KS43" s="35"/>
      <c r="KT43" s="35"/>
      <c r="KU43" s="35"/>
      <c r="KV43" s="35"/>
      <c r="KW43" s="35"/>
      <c r="KX43" s="85"/>
      <c r="KY43" s="27"/>
      <c r="KZ43" s="36"/>
      <c r="LA43" s="85"/>
      <c r="LB43" s="35"/>
      <c r="LC43" s="35"/>
      <c r="LD43" s="35"/>
      <c r="LE43" s="35"/>
      <c r="LF43" s="35"/>
      <c r="LG43" s="35"/>
      <c r="LH43" s="36"/>
      <c r="LI43" s="35"/>
      <c r="LJ43" s="35"/>
      <c r="LK43" s="35"/>
      <c r="LL43" s="35"/>
      <c r="LM43" s="35"/>
      <c r="LN43" s="35"/>
      <c r="LO43" s="35"/>
      <c r="LP43" s="85"/>
      <c r="LQ43" s="27"/>
      <c r="LR43" s="36"/>
      <c r="LS43" s="85"/>
      <c r="LT43" s="35"/>
      <c r="LU43" s="35"/>
      <c r="LV43" s="35"/>
      <c r="LW43" s="35"/>
      <c r="LX43" s="35"/>
      <c r="LY43" s="35"/>
      <c r="LZ43" s="36"/>
      <c r="MA43" s="35"/>
      <c r="MB43" s="35"/>
      <c r="MC43" s="35"/>
      <c r="MD43" s="35"/>
      <c r="ME43" s="35"/>
      <c r="MF43" s="35"/>
      <c r="MG43" s="35"/>
      <c r="MH43" s="85"/>
      <c r="MI43" s="27"/>
      <c r="MJ43" s="36"/>
      <c r="MK43" s="85"/>
      <c r="ML43" s="35"/>
      <c r="MM43" s="35"/>
      <c r="MN43" s="35"/>
      <c r="MO43" s="35"/>
      <c r="MP43" s="35"/>
      <c r="MQ43" s="35"/>
      <c r="MR43" s="36"/>
      <c r="MS43" s="35"/>
      <c r="MT43" s="35"/>
      <c r="MU43" s="35"/>
      <c r="MV43" s="35"/>
      <c r="MW43" s="35"/>
      <c r="MX43" s="35"/>
      <c r="MY43" s="35"/>
      <c r="MZ43" s="85"/>
      <c r="NA43" s="27"/>
      <c r="NB43" s="36"/>
      <c r="NC43" s="85"/>
      <c r="ND43" s="35"/>
      <c r="NE43" s="35"/>
      <c r="NF43" s="35"/>
      <c r="NG43" s="35"/>
      <c r="NH43" s="35"/>
      <c r="NI43" s="35"/>
      <c r="NJ43" s="36"/>
      <c r="NK43" s="35"/>
      <c r="NL43" s="35"/>
      <c r="NM43" s="35"/>
      <c r="NN43" s="35"/>
      <c r="NO43" s="35"/>
      <c r="NP43" s="35"/>
      <c r="NQ43" s="35"/>
      <c r="NR43" s="85"/>
      <c r="NS43" s="27"/>
      <c r="NT43" s="36"/>
      <c r="NU43" s="85"/>
      <c r="NV43" s="35"/>
      <c r="NW43" s="35"/>
      <c r="NX43" s="35"/>
      <c r="NY43" s="35"/>
      <c r="NZ43" s="35"/>
      <c r="OA43" s="35"/>
      <c r="OB43" s="36"/>
      <c r="OC43" s="35"/>
      <c r="OD43" s="35"/>
      <c r="OE43" s="35"/>
      <c r="OF43" s="35"/>
      <c r="OG43" s="35"/>
      <c r="OH43" s="35"/>
      <c r="OI43" s="35"/>
      <c r="OJ43" s="85"/>
      <c r="OK43" s="27"/>
      <c r="OL43" s="36"/>
      <c r="OM43" s="85"/>
      <c r="ON43" s="35"/>
      <c r="OO43" s="35"/>
      <c r="OP43" s="35"/>
      <c r="OQ43" s="35"/>
      <c r="OR43" s="35"/>
      <c r="OS43" s="35"/>
      <c r="OT43" s="36"/>
      <c r="OU43" s="35"/>
      <c r="OV43" s="35"/>
      <c r="OW43" s="35"/>
      <c r="OX43" s="35"/>
      <c r="OY43" s="35"/>
      <c r="OZ43" s="35"/>
      <c r="PA43" s="35"/>
      <c r="PB43" s="85"/>
      <c r="PC43" s="27"/>
      <c r="PD43" s="36"/>
      <c r="PE43" s="85"/>
      <c r="PF43" s="35"/>
      <c r="PG43" s="35"/>
      <c r="PH43" s="35"/>
      <c r="PI43" s="35"/>
      <c r="PJ43" s="35"/>
      <c r="PK43" s="35"/>
      <c r="PL43" s="36"/>
      <c r="PM43" s="35"/>
      <c r="PN43" s="35"/>
      <c r="PO43" s="35"/>
      <c r="PP43" s="35"/>
      <c r="PQ43" s="35"/>
      <c r="PR43" s="35"/>
      <c r="PS43" s="35"/>
      <c r="PT43" s="85"/>
      <c r="PU43" s="27"/>
      <c r="PV43" s="36"/>
      <c r="PW43" s="85"/>
      <c r="PX43" s="35"/>
      <c r="PY43" s="35"/>
      <c r="PZ43" s="35"/>
      <c r="QA43" s="35"/>
      <c r="QB43" s="35"/>
      <c r="QC43" s="35"/>
      <c r="QD43" s="36"/>
      <c r="QE43" s="35"/>
      <c r="QF43" s="35"/>
      <c r="QG43" s="35"/>
      <c r="QH43" s="35"/>
      <c r="QI43" s="35"/>
      <c r="QJ43" s="35"/>
      <c r="QK43" s="35"/>
      <c r="QL43" s="85"/>
      <c r="QM43" s="27"/>
      <c r="QN43" s="36"/>
      <c r="QO43" s="85"/>
      <c r="QP43" s="35"/>
      <c r="QQ43" s="35"/>
      <c r="QR43" s="35"/>
      <c r="QS43" s="35"/>
      <c r="QT43" s="35"/>
      <c r="QU43" s="35"/>
      <c r="QV43" s="36"/>
      <c r="QW43" s="35"/>
      <c r="QX43" s="35"/>
      <c r="QY43" s="35"/>
      <c r="QZ43" s="35"/>
      <c r="RA43" s="35"/>
      <c r="RB43" s="35"/>
      <c r="RC43" s="35"/>
      <c r="RD43" s="85"/>
      <c r="RE43" s="27"/>
      <c r="RF43" s="36"/>
      <c r="RG43" s="85"/>
      <c r="RH43" s="35"/>
      <c r="RI43" s="35"/>
      <c r="RJ43" s="35"/>
      <c r="RK43" s="35"/>
      <c r="RL43" s="35"/>
      <c r="RM43" s="35"/>
      <c r="RN43" s="36"/>
      <c r="RO43" s="35"/>
      <c r="RP43" s="35"/>
      <c r="RQ43" s="35"/>
      <c r="RR43" s="35"/>
      <c r="RS43" s="35"/>
      <c r="RT43" s="35"/>
      <c r="RU43" s="35"/>
      <c r="RV43" s="85"/>
      <c r="RW43" s="27"/>
      <c r="RX43" s="36"/>
      <c r="RY43" s="85"/>
      <c r="RZ43" s="35"/>
      <c r="SA43" s="35"/>
      <c r="SB43" s="35"/>
      <c r="SC43" s="35"/>
      <c r="SD43" s="35"/>
      <c r="SE43" s="35"/>
      <c r="SF43" s="36"/>
      <c r="SG43" s="35"/>
      <c r="SH43" s="35"/>
      <c r="SI43" s="35"/>
      <c r="SJ43" s="35"/>
      <c r="SK43" s="35"/>
      <c r="SL43" s="35"/>
      <c r="SM43" s="35"/>
      <c r="SN43" s="85"/>
      <c r="SO43" s="27"/>
      <c r="SP43" s="36"/>
      <c r="SQ43" s="85"/>
      <c r="SR43" s="35"/>
      <c r="SS43" s="35"/>
      <c r="ST43" s="35"/>
      <c r="SU43" s="35"/>
      <c r="SV43" s="35"/>
      <c r="SW43" s="35"/>
      <c r="SX43" s="36"/>
      <c r="SY43" s="35"/>
      <c r="SZ43" s="35"/>
      <c r="TA43" s="35"/>
      <c r="TB43" s="35"/>
      <c r="TC43" s="35"/>
      <c r="TD43" s="35"/>
      <c r="TE43" s="35"/>
      <c r="TF43" s="85"/>
      <c r="TG43" s="27"/>
      <c r="TH43" s="36"/>
      <c r="TI43" s="85"/>
      <c r="TJ43" s="35"/>
      <c r="TK43" s="35"/>
      <c r="TL43" s="35"/>
      <c r="TM43" s="35"/>
      <c r="TN43" s="35"/>
      <c r="TO43" s="35"/>
      <c r="TP43" s="36"/>
      <c r="TQ43" s="35"/>
      <c r="TR43" s="35"/>
      <c r="TS43" s="35"/>
      <c r="TT43" s="35"/>
      <c r="TU43" s="35"/>
      <c r="TV43" s="35"/>
      <c r="TW43" s="35"/>
      <c r="TX43" s="85"/>
      <c r="TY43" s="27"/>
      <c r="TZ43" s="36"/>
      <c r="UA43" s="85"/>
      <c r="UB43" s="35"/>
      <c r="UC43" s="35"/>
      <c r="UD43" s="35"/>
      <c r="UE43" s="35"/>
      <c r="UF43" s="35"/>
      <c r="UG43" s="35"/>
      <c r="UH43" s="36"/>
      <c r="UI43" s="35"/>
      <c r="UJ43" s="35"/>
      <c r="UK43" s="35"/>
      <c r="UL43" s="35"/>
      <c r="UM43" s="35"/>
      <c r="UN43" s="35"/>
      <c r="UO43" s="35"/>
      <c r="UP43" s="85"/>
      <c r="UQ43" s="27"/>
      <c r="UR43" s="36"/>
      <c r="US43" s="85"/>
    </row>
    <row r="44" spans="1:565" x14ac:dyDescent="0.3">
      <c r="A44" s="8" t="s">
        <v>86</v>
      </c>
      <c r="B44" s="169" t="s">
        <v>87</v>
      </c>
      <c r="C44" s="13" t="s">
        <v>88</v>
      </c>
      <c r="F44" s="36">
        <v>51040200</v>
      </c>
      <c r="G44" s="85"/>
      <c r="H44" s="35"/>
      <c r="I44" s="35">
        <v>1278591.55</v>
      </c>
      <c r="J44" s="35">
        <v>907800</v>
      </c>
      <c r="K44" s="35">
        <v>370791.55</v>
      </c>
      <c r="L44" s="35">
        <v>907800</v>
      </c>
      <c r="M44" s="35"/>
      <c r="N44" s="36"/>
      <c r="O44" s="35">
        <v>1278591.55</v>
      </c>
      <c r="P44" s="35">
        <v>907800</v>
      </c>
      <c r="Q44" s="35"/>
      <c r="R44" s="35">
        <v>370791.55</v>
      </c>
      <c r="S44" s="35">
        <v>29</v>
      </c>
      <c r="T44" s="35"/>
      <c r="U44" s="35"/>
      <c r="V44" s="85">
        <v>907800</v>
      </c>
      <c r="W44" s="27"/>
      <c r="X44" s="36">
        <v>907800</v>
      </c>
      <c r="Y44" s="85">
        <v>907800</v>
      </c>
      <c r="Z44" s="35"/>
      <c r="AA44" s="35">
        <v>8771126.7599999998</v>
      </c>
      <c r="AB44" s="35">
        <v>6227500</v>
      </c>
      <c r="AC44" s="35">
        <v>2543626.7599999998</v>
      </c>
      <c r="AD44" s="35">
        <v>4848854.87</v>
      </c>
      <c r="AE44" s="35"/>
      <c r="AF44" s="36"/>
      <c r="AG44" s="35">
        <v>6829373.0199999996</v>
      </c>
      <c r="AH44" s="35">
        <v>4848854.84</v>
      </c>
      <c r="AI44" s="35"/>
      <c r="AJ44" s="35">
        <v>1980518.18</v>
      </c>
      <c r="AK44" s="35">
        <v>29</v>
      </c>
      <c r="AL44" s="35"/>
      <c r="AM44" s="35">
        <v>0.03</v>
      </c>
      <c r="AN44" s="85">
        <v>4848854.87</v>
      </c>
      <c r="AO44" s="27"/>
      <c r="AP44" s="36">
        <v>6227500</v>
      </c>
      <c r="AQ44" s="85">
        <v>6227500</v>
      </c>
      <c r="AR44" s="35"/>
      <c r="AS44" s="35">
        <v>47748309.859999999</v>
      </c>
      <c r="AT44" s="35">
        <v>33901300</v>
      </c>
      <c r="AU44" s="35">
        <v>13847009.859999999</v>
      </c>
      <c r="AV44" s="35">
        <v>32836300</v>
      </c>
      <c r="AW44" s="35">
        <v>16649.37</v>
      </c>
      <c r="AX44" s="36"/>
      <c r="AY44" s="35">
        <v>46248309.859999999</v>
      </c>
      <c r="AZ44" s="35">
        <v>32836300</v>
      </c>
      <c r="BA44" s="35"/>
      <c r="BB44" s="35">
        <v>13412009.859999999</v>
      </c>
      <c r="BC44" s="35">
        <v>29</v>
      </c>
      <c r="BD44" s="35">
        <v>16649.37</v>
      </c>
      <c r="BE44" s="35"/>
      <c r="BF44" s="85">
        <v>32836300</v>
      </c>
      <c r="BG44" s="27"/>
      <c r="BH44" s="36">
        <v>33901300</v>
      </c>
      <c r="BI44" s="85">
        <v>33901300</v>
      </c>
      <c r="BJ44" s="35"/>
      <c r="BK44" s="35"/>
      <c r="BL44" s="35"/>
      <c r="BM44" s="35"/>
      <c r="BN44" s="35"/>
      <c r="BO44" s="35"/>
      <c r="BP44" s="36"/>
      <c r="BQ44" s="35"/>
      <c r="BR44" s="35"/>
      <c r="BS44" s="35"/>
      <c r="BT44" s="35"/>
      <c r="BU44" s="35"/>
      <c r="BV44" s="35"/>
      <c r="BW44" s="35"/>
      <c r="BX44" s="85"/>
      <c r="BY44" s="27"/>
      <c r="BZ44" s="36"/>
      <c r="CA44" s="85"/>
      <c r="CB44" s="35"/>
      <c r="CC44" s="35"/>
      <c r="CD44" s="35"/>
      <c r="CE44" s="35"/>
      <c r="CF44" s="35"/>
      <c r="CG44" s="35"/>
      <c r="CH44" s="36"/>
      <c r="CI44" s="35"/>
      <c r="CJ44" s="35"/>
      <c r="CK44" s="35"/>
      <c r="CL44" s="35"/>
      <c r="CM44" s="35"/>
      <c r="CN44" s="35"/>
      <c r="CO44" s="35"/>
      <c r="CP44" s="85"/>
      <c r="CQ44" s="27"/>
      <c r="CR44" s="36"/>
      <c r="CS44" s="85"/>
      <c r="CT44" s="35"/>
      <c r="CU44" s="35"/>
      <c r="CV44" s="35"/>
      <c r="CW44" s="35"/>
      <c r="CX44" s="35"/>
      <c r="CY44" s="35"/>
      <c r="CZ44" s="36"/>
      <c r="DA44" s="35"/>
      <c r="DB44" s="35"/>
      <c r="DC44" s="35"/>
      <c r="DD44" s="35"/>
      <c r="DE44" s="35"/>
      <c r="DF44" s="35"/>
      <c r="DG44" s="35"/>
      <c r="DH44" s="85"/>
      <c r="DI44" s="27"/>
      <c r="DJ44" s="36"/>
      <c r="DK44" s="85"/>
      <c r="DL44" s="35"/>
      <c r="DM44" s="35"/>
      <c r="DN44" s="35"/>
      <c r="DO44" s="35"/>
      <c r="DP44" s="35"/>
      <c r="DQ44" s="35"/>
      <c r="DR44" s="36"/>
      <c r="DS44" s="35"/>
      <c r="DT44" s="35"/>
      <c r="DU44" s="35"/>
      <c r="DV44" s="35"/>
      <c r="DW44" s="35"/>
      <c r="DX44" s="35"/>
      <c r="DY44" s="35"/>
      <c r="DZ44" s="85"/>
      <c r="EA44" s="27"/>
      <c r="EB44" s="36"/>
      <c r="EC44" s="85"/>
      <c r="ED44" s="35"/>
      <c r="EE44" s="35">
        <v>8375106.3799999999</v>
      </c>
      <c r="EF44" s="35">
        <v>7872600</v>
      </c>
      <c r="EG44" s="35">
        <v>502506.38</v>
      </c>
      <c r="EH44" s="35">
        <v>7872600</v>
      </c>
      <c r="EI44" s="35"/>
      <c r="EJ44" s="36"/>
      <c r="EK44" s="35">
        <v>8375106.3799999999</v>
      </c>
      <c r="EL44" s="35">
        <v>7872600</v>
      </c>
      <c r="EM44" s="35"/>
      <c r="EN44" s="35">
        <v>502506.38</v>
      </c>
      <c r="EO44" s="35">
        <v>6</v>
      </c>
      <c r="EP44" s="35"/>
      <c r="EQ44" s="35"/>
      <c r="ER44" s="85">
        <v>7872600</v>
      </c>
      <c r="ES44" s="27"/>
      <c r="ET44" s="36">
        <v>7872600</v>
      </c>
      <c r="EU44" s="85">
        <v>7872600</v>
      </c>
      <c r="EV44" s="35"/>
      <c r="EW44" s="35">
        <v>3001408.45</v>
      </c>
      <c r="EX44" s="35">
        <v>2131000</v>
      </c>
      <c r="EY44" s="35">
        <v>870408.45</v>
      </c>
      <c r="EZ44" s="35">
        <v>2131000</v>
      </c>
      <c r="FA44" s="35"/>
      <c r="FB44" s="36"/>
      <c r="FC44" s="35">
        <v>3001408.45</v>
      </c>
      <c r="FD44" s="35">
        <v>2131000</v>
      </c>
      <c r="FE44" s="35"/>
      <c r="FF44" s="35">
        <v>870408.45</v>
      </c>
      <c r="FG44" s="35">
        <v>29</v>
      </c>
      <c r="FH44" s="35"/>
      <c r="FI44" s="35"/>
      <c r="FJ44" s="85">
        <v>2131000</v>
      </c>
      <c r="FK44" s="27"/>
      <c r="FL44" s="36">
        <v>2131000</v>
      </c>
      <c r="FM44" s="85">
        <v>2131000</v>
      </c>
      <c r="FN44" s="35"/>
      <c r="FO44" s="35"/>
      <c r="FP44" s="35"/>
      <c r="FQ44" s="35"/>
      <c r="FR44" s="35"/>
      <c r="FS44" s="35"/>
      <c r="FT44" s="36"/>
      <c r="FU44" s="35"/>
      <c r="FV44" s="35"/>
      <c r="FW44" s="35"/>
      <c r="FX44" s="35"/>
      <c r="FY44" s="35"/>
      <c r="FZ44" s="35"/>
      <c r="GA44" s="35"/>
      <c r="GB44" s="85"/>
      <c r="GC44" s="27"/>
      <c r="GD44" s="36"/>
      <c r="GE44" s="85"/>
      <c r="GF44" s="35"/>
      <c r="GG44" s="35"/>
      <c r="GH44" s="35"/>
      <c r="GI44" s="35"/>
      <c r="GJ44" s="35"/>
      <c r="GK44" s="35"/>
      <c r="GL44" s="36"/>
      <c r="GM44" s="35"/>
      <c r="GN44" s="35"/>
      <c r="GO44" s="35"/>
      <c r="GP44" s="35"/>
      <c r="GQ44" s="35"/>
      <c r="GR44" s="35"/>
      <c r="GS44" s="35"/>
      <c r="GT44" s="85"/>
      <c r="GU44" s="27"/>
      <c r="GV44" s="36"/>
      <c r="GW44" s="85"/>
      <c r="GX44" s="35"/>
      <c r="GY44" s="35"/>
      <c r="GZ44" s="35"/>
      <c r="HA44" s="35"/>
      <c r="HB44" s="35"/>
      <c r="HC44" s="35"/>
      <c r="HD44" s="36"/>
      <c r="HE44" s="35"/>
      <c r="HF44" s="35"/>
      <c r="HG44" s="35"/>
      <c r="HH44" s="35"/>
      <c r="HI44" s="35"/>
      <c r="HJ44" s="35"/>
      <c r="HK44" s="35"/>
      <c r="HL44" s="85"/>
      <c r="HM44" s="27"/>
      <c r="HN44" s="36"/>
      <c r="HO44" s="85"/>
      <c r="HP44" s="35"/>
      <c r="HQ44" s="35"/>
      <c r="HR44" s="35"/>
      <c r="HS44" s="35"/>
      <c r="HT44" s="35"/>
      <c r="HU44" s="35"/>
      <c r="HV44" s="36"/>
      <c r="HW44" s="35"/>
      <c r="HX44" s="35"/>
      <c r="HY44" s="35"/>
      <c r="HZ44" s="35"/>
      <c r="IA44" s="35"/>
      <c r="IB44" s="35"/>
      <c r="IC44" s="35"/>
      <c r="ID44" s="85"/>
      <c r="IE44" s="27"/>
      <c r="IF44" s="36"/>
      <c r="IG44" s="85"/>
      <c r="IH44" s="35"/>
      <c r="II44" s="35"/>
      <c r="IJ44" s="35"/>
      <c r="IK44" s="35"/>
      <c r="IL44" s="35"/>
      <c r="IM44" s="35"/>
      <c r="IN44" s="36"/>
      <c r="IO44" s="35"/>
      <c r="IP44" s="35"/>
      <c r="IQ44" s="35"/>
      <c r="IR44" s="35"/>
      <c r="IS44" s="35"/>
      <c r="IT44" s="35"/>
      <c r="IU44" s="35"/>
      <c r="IV44" s="85"/>
      <c r="IW44" s="27"/>
      <c r="IX44" s="36"/>
      <c r="IY44" s="85"/>
      <c r="IZ44" s="35"/>
      <c r="JA44" s="35"/>
      <c r="JB44" s="35"/>
      <c r="JC44" s="35"/>
      <c r="JD44" s="35"/>
      <c r="JE44" s="35"/>
      <c r="JF44" s="36"/>
      <c r="JG44" s="35"/>
      <c r="JH44" s="35"/>
      <c r="JI44" s="35"/>
      <c r="JJ44" s="35"/>
      <c r="JK44" s="35"/>
      <c r="JL44" s="35"/>
      <c r="JM44" s="35"/>
      <c r="JN44" s="85"/>
      <c r="JO44" s="27"/>
      <c r="JP44" s="36"/>
      <c r="JQ44" s="85"/>
      <c r="JR44" s="35"/>
      <c r="JS44" s="35"/>
      <c r="JT44" s="35"/>
      <c r="JU44" s="35"/>
      <c r="JV44" s="35"/>
      <c r="JW44" s="35"/>
      <c r="JX44" s="36"/>
      <c r="JY44" s="35"/>
      <c r="JZ44" s="35"/>
      <c r="KA44" s="35"/>
      <c r="KB44" s="35"/>
      <c r="KC44" s="35"/>
      <c r="KD44" s="35"/>
      <c r="KE44" s="35"/>
      <c r="KF44" s="85"/>
      <c r="KG44" s="27"/>
      <c r="KH44" s="36"/>
      <c r="KI44" s="85"/>
      <c r="KJ44" s="35"/>
      <c r="KK44" s="35"/>
      <c r="KL44" s="35"/>
      <c r="KM44" s="35"/>
      <c r="KN44" s="35"/>
      <c r="KO44" s="35"/>
      <c r="KP44" s="36"/>
      <c r="KQ44" s="35"/>
      <c r="KR44" s="35"/>
      <c r="KS44" s="35"/>
      <c r="KT44" s="35"/>
      <c r="KU44" s="35"/>
      <c r="KV44" s="35"/>
      <c r="KW44" s="35"/>
      <c r="KX44" s="85"/>
      <c r="KY44" s="27"/>
      <c r="KZ44" s="36"/>
      <c r="LA44" s="85"/>
      <c r="LB44" s="35"/>
      <c r="LC44" s="35"/>
      <c r="LD44" s="35"/>
      <c r="LE44" s="35"/>
      <c r="LF44" s="35"/>
      <c r="LG44" s="35"/>
      <c r="LH44" s="36"/>
      <c r="LI44" s="35"/>
      <c r="LJ44" s="35"/>
      <c r="LK44" s="35"/>
      <c r="LL44" s="35"/>
      <c r="LM44" s="35"/>
      <c r="LN44" s="35"/>
      <c r="LO44" s="35"/>
      <c r="LP44" s="85"/>
      <c r="LQ44" s="27"/>
      <c r="LR44" s="36"/>
      <c r="LS44" s="85"/>
      <c r="LT44" s="35"/>
      <c r="LU44" s="35"/>
      <c r="LV44" s="35"/>
      <c r="LW44" s="35"/>
      <c r="LX44" s="35"/>
      <c r="LY44" s="35"/>
      <c r="LZ44" s="36"/>
      <c r="MA44" s="35"/>
      <c r="MB44" s="35"/>
      <c r="MC44" s="35"/>
      <c r="MD44" s="35"/>
      <c r="ME44" s="35"/>
      <c r="MF44" s="35"/>
      <c r="MG44" s="35"/>
      <c r="MH44" s="85"/>
      <c r="MI44" s="27"/>
      <c r="MJ44" s="36"/>
      <c r="MK44" s="85"/>
      <c r="ML44" s="35"/>
      <c r="MM44" s="35"/>
      <c r="MN44" s="35"/>
      <c r="MO44" s="35"/>
      <c r="MP44" s="35"/>
      <c r="MQ44" s="35"/>
      <c r="MR44" s="36"/>
      <c r="MS44" s="35"/>
      <c r="MT44" s="35"/>
      <c r="MU44" s="35"/>
      <c r="MV44" s="35"/>
      <c r="MW44" s="35"/>
      <c r="MX44" s="35"/>
      <c r="MY44" s="35"/>
      <c r="MZ44" s="85"/>
      <c r="NA44" s="27"/>
      <c r="NB44" s="36"/>
      <c r="NC44" s="85"/>
      <c r="ND44" s="35"/>
      <c r="NE44" s="35"/>
      <c r="NF44" s="35"/>
      <c r="NG44" s="35"/>
      <c r="NH44" s="35"/>
      <c r="NI44" s="35"/>
      <c r="NJ44" s="36"/>
      <c r="NK44" s="35"/>
      <c r="NL44" s="35"/>
      <c r="NM44" s="35"/>
      <c r="NN44" s="35"/>
      <c r="NO44" s="35"/>
      <c r="NP44" s="35"/>
      <c r="NQ44" s="35"/>
      <c r="NR44" s="85"/>
      <c r="NS44" s="27"/>
      <c r="NT44" s="36"/>
      <c r="NU44" s="85"/>
      <c r="NV44" s="35"/>
      <c r="NW44" s="35"/>
      <c r="NX44" s="35"/>
      <c r="NY44" s="35"/>
      <c r="NZ44" s="35"/>
      <c r="OA44" s="35"/>
      <c r="OB44" s="36"/>
      <c r="OC44" s="35"/>
      <c r="OD44" s="35"/>
      <c r="OE44" s="35"/>
      <c r="OF44" s="35"/>
      <c r="OG44" s="35"/>
      <c r="OH44" s="35"/>
      <c r="OI44" s="35"/>
      <c r="OJ44" s="85"/>
      <c r="OK44" s="27"/>
      <c r="OL44" s="36"/>
      <c r="OM44" s="85"/>
      <c r="ON44" s="35"/>
      <c r="OO44" s="35"/>
      <c r="OP44" s="35"/>
      <c r="OQ44" s="35"/>
      <c r="OR44" s="35"/>
      <c r="OS44" s="35"/>
      <c r="OT44" s="36"/>
      <c r="OU44" s="35"/>
      <c r="OV44" s="35"/>
      <c r="OW44" s="35"/>
      <c r="OX44" s="35"/>
      <c r="OY44" s="35"/>
      <c r="OZ44" s="35"/>
      <c r="PA44" s="35"/>
      <c r="PB44" s="85"/>
      <c r="PC44" s="27"/>
      <c r="PD44" s="36"/>
      <c r="PE44" s="85"/>
      <c r="PF44" s="35"/>
      <c r="PG44" s="35"/>
      <c r="PH44" s="35"/>
      <c r="PI44" s="35"/>
      <c r="PJ44" s="35"/>
      <c r="PK44" s="35"/>
      <c r="PL44" s="36"/>
      <c r="PM44" s="35"/>
      <c r="PN44" s="35"/>
      <c r="PO44" s="35"/>
      <c r="PP44" s="35"/>
      <c r="PQ44" s="35"/>
      <c r="PR44" s="35"/>
      <c r="PS44" s="35"/>
      <c r="PT44" s="85"/>
      <c r="PU44" s="27"/>
      <c r="PV44" s="36"/>
      <c r="PW44" s="85"/>
      <c r="PX44" s="35"/>
      <c r="PY44" s="35"/>
      <c r="PZ44" s="35"/>
      <c r="QA44" s="35"/>
      <c r="QB44" s="35"/>
      <c r="QC44" s="35"/>
      <c r="QD44" s="36"/>
      <c r="QE44" s="35"/>
      <c r="QF44" s="35"/>
      <c r="QG44" s="35"/>
      <c r="QH44" s="35"/>
      <c r="QI44" s="35"/>
      <c r="QJ44" s="35"/>
      <c r="QK44" s="35"/>
      <c r="QL44" s="85"/>
      <c r="QM44" s="27"/>
      <c r="QN44" s="36"/>
      <c r="QO44" s="85"/>
      <c r="QP44" s="35"/>
      <c r="QQ44" s="35"/>
      <c r="QR44" s="35"/>
      <c r="QS44" s="35"/>
      <c r="QT44" s="35"/>
      <c r="QU44" s="35"/>
      <c r="QV44" s="36"/>
      <c r="QW44" s="35"/>
      <c r="QX44" s="35"/>
      <c r="QY44" s="35"/>
      <c r="QZ44" s="35"/>
      <c r="RA44" s="35"/>
      <c r="RB44" s="35"/>
      <c r="RC44" s="35"/>
      <c r="RD44" s="85"/>
      <c r="RE44" s="27"/>
      <c r="RF44" s="36"/>
      <c r="RG44" s="85"/>
      <c r="RH44" s="35"/>
      <c r="RI44" s="35"/>
      <c r="RJ44" s="35"/>
      <c r="RK44" s="35"/>
      <c r="RL44" s="35"/>
      <c r="RM44" s="35"/>
      <c r="RN44" s="36"/>
      <c r="RO44" s="35"/>
      <c r="RP44" s="35"/>
      <c r="RQ44" s="35"/>
      <c r="RR44" s="35"/>
      <c r="RS44" s="35"/>
      <c r="RT44" s="35"/>
      <c r="RU44" s="35"/>
      <c r="RV44" s="85"/>
      <c r="RW44" s="27"/>
      <c r="RX44" s="36"/>
      <c r="RY44" s="85"/>
      <c r="RZ44" s="35"/>
      <c r="SA44" s="35"/>
      <c r="SB44" s="35"/>
      <c r="SC44" s="35"/>
      <c r="SD44" s="35"/>
      <c r="SE44" s="35"/>
      <c r="SF44" s="36"/>
      <c r="SG44" s="35"/>
      <c r="SH44" s="35"/>
      <c r="SI44" s="35"/>
      <c r="SJ44" s="35"/>
      <c r="SK44" s="35"/>
      <c r="SL44" s="35"/>
      <c r="SM44" s="35"/>
      <c r="SN44" s="85"/>
      <c r="SO44" s="27"/>
      <c r="SP44" s="36"/>
      <c r="SQ44" s="85"/>
      <c r="SR44" s="35"/>
      <c r="SS44" s="35"/>
      <c r="ST44" s="35"/>
      <c r="SU44" s="35"/>
      <c r="SV44" s="35"/>
      <c r="SW44" s="35"/>
      <c r="SX44" s="36"/>
      <c r="SY44" s="35"/>
      <c r="SZ44" s="35"/>
      <c r="TA44" s="35"/>
      <c r="TB44" s="35"/>
      <c r="TC44" s="35"/>
      <c r="TD44" s="35"/>
      <c r="TE44" s="35"/>
      <c r="TF44" s="85"/>
      <c r="TG44" s="27"/>
      <c r="TH44" s="36"/>
      <c r="TI44" s="85"/>
      <c r="TJ44" s="35"/>
      <c r="TK44" s="35"/>
      <c r="TL44" s="35"/>
      <c r="TM44" s="35"/>
      <c r="TN44" s="35"/>
      <c r="TO44" s="35"/>
      <c r="TP44" s="36"/>
      <c r="TQ44" s="35"/>
      <c r="TR44" s="35"/>
      <c r="TS44" s="35"/>
      <c r="TT44" s="35"/>
      <c r="TU44" s="35"/>
      <c r="TV44" s="35"/>
      <c r="TW44" s="35"/>
      <c r="TX44" s="85"/>
      <c r="TY44" s="27"/>
      <c r="TZ44" s="36"/>
      <c r="UA44" s="85"/>
      <c r="UB44" s="35"/>
      <c r="UC44" s="35"/>
      <c r="UD44" s="35"/>
      <c r="UE44" s="35"/>
      <c r="UF44" s="35"/>
      <c r="UG44" s="35"/>
      <c r="UH44" s="36"/>
      <c r="UI44" s="35"/>
      <c r="UJ44" s="35"/>
      <c r="UK44" s="35"/>
      <c r="UL44" s="35"/>
      <c r="UM44" s="35"/>
      <c r="UN44" s="35"/>
      <c r="UO44" s="35"/>
      <c r="UP44" s="85"/>
      <c r="UQ44" s="27"/>
      <c r="UR44" s="36"/>
      <c r="US44" s="85"/>
    </row>
    <row r="45" spans="1:565" x14ac:dyDescent="0.3">
      <c r="A45" s="8" t="s">
        <v>89</v>
      </c>
      <c r="B45" s="168" t="s">
        <v>90</v>
      </c>
      <c r="C45" s="13" t="s">
        <v>91</v>
      </c>
      <c r="F45" s="36">
        <v>419635100</v>
      </c>
      <c r="G45" s="85"/>
      <c r="H45" s="35"/>
      <c r="I45" s="35">
        <v>68480700</v>
      </c>
      <c r="J45" s="35">
        <v>52730100</v>
      </c>
      <c r="K45" s="35">
        <v>15750600</v>
      </c>
      <c r="L45" s="35">
        <v>52730100</v>
      </c>
      <c r="M45" s="35">
        <v>70151.490000000005</v>
      </c>
      <c r="N45" s="36"/>
      <c r="O45" s="35">
        <v>68480700</v>
      </c>
      <c r="P45" s="35">
        <v>52730100</v>
      </c>
      <c r="Q45" s="35"/>
      <c r="R45" s="35">
        <v>15750600</v>
      </c>
      <c r="S45" s="35">
        <v>23.000060000000001</v>
      </c>
      <c r="T45" s="35">
        <v>70151.490000000005</v>
      </c>
      <c r="U45" s="35"/>
      <c r="V45" s="85">
        <v>52730100</v>
      </c>
      <c r="W45" s="27"/>
      <c r="X45" s="36">
        <v>52730100</v>
      </c>
      <c r="Y45" s="85">
        <v>52730100</v>
      </c>
      <c r="Z45" s="35"/>
      <c r="AA45" s="35">
        <v>26640400</v>
      </c>
      <c r="AB45" s="35">
        <v>20513100</v>
      </c>
      <c r="AC45" s="35">
        <v>6127300</v>
      </c>
      <c r="AD45" s="35">
        <v>20513100</v>
      </c>
      <c r="AE45" s="35">
        <v>352562.99</v>
      </c>
      <c r="AF45" s="36"/>
      <c r="AG45" s="35">
        <v>26640400</v>
      </c>
      <c r="AH45" s="35">
        <v>20513100</v>
      </c>
      <c r="AI45" s="35"/>
      <c r="AJ45" s="35">
        <v>6127300</v>
      </c>
      <c r="AK45" s="35">
        <v>23.000029999999999</v>
      </c>
      <c r="AL45" s="35">
        <v>352562.99</v>
      </c>
      <c r="AM45" s="35"/>
      <c r="AN45" s="85">
        <v>20513100</v>
      </c>
      <c r="AO45" s="27"/>
      <c r="AP45" s="36">
        <v>20513100</v>
      </c>
      <c r="AQ45" s="85">
        <v>20513100</v>
      </c>
      <c r="AR45" s="35"/>
      <c r="AS45" s="35">
        <v>148682000</v>
      </c>
      <c r="AT45" s="35">
        <v>114485100</v>
      </c>
      <c r="AU45" s="35">
        <v>34196900</v>
      </c>
      <c r="AV45" s="35">
        <v>114485100</v>
      </c>
      <c r="AW45" s="35">
        <v>0</v>
      </c>
      <c r="AX45" s="36"/>
      <c r="AY45" s="35">
        <v>148682000</v>
      </c>
      <c r="AZ45" s="35">
        <v>114485100</v>
      </c>
      <c r="BA45" s="35"/>
      <c r="BB45" s="35">
        <v>34196900</v>
      </c>
      <c r="BC45" s="35">
        <v>23.000029999999999</v>
      </c>
      <c r="BD45" s="35">
        <v>0</v>
      </c>
      <c r="BE45" s="35"/>
      <c r="BF45" s="85">
        <v>114485100</v>
      </c>
      <c r="BG45" s="27"/>
      <c r="BH45" s="36">
        <v>114485100</v>
      </c>
      <c r="BI45" s="85">
        <v>114485100</v>
      </c>
      <c r="BJ45" s="35"/>
      <c r="BK45" s="35">
        <v>81336125</v>
      </c>
      <c r="BL45" s="35">
        <v>65068900</v>
      </c>
      <c r="BM45" s="35">
        <v>16267225</v>
      </c>
      <c r="BN45" s="35">
        <v>65068900</v>
      </c>
      <c r="BO45" s="35"/>
      <c r="BP45" s="36"/>
      <c r="BQ45" s="35">
        <v>81336125</v>
      </c>
      <c r="BR45" s="35">
        <v>65068900</v>
      </c>
      <c r="BS45" s="35"/>
      <c r="BT45" s="35">
        <v>16267225</v>
      </c>
      <c r="BU45" s="35">
        <v>20</v>
      </c>
      <c r="BV45" s="35"/>
      <c r="BW45" s="35"/>
      <c r="BX45" s="85">
        <v>65068900</v>
      </c>
      <c r="BY45" s="27"/>
      <c r="BZ45" s="36">
        <v>65068900</v>
      </c>
      <c r="CA45" s="85">
        <v>65068900</v>
      </c>
      <c r="CB45" s="35"/>
      <c r="CC45" s="35">
        <v>94367600</v>
      </c>
      <c r="CD45" s="35">
        <v>72663000</v>
      </c>
      <c r="CE45" s="35">
        <v>21704600</v>
      </c>
      <c r="CF45" s="35">
        <v>72663000</v>
      </c>
      <c r="CG45" s="35"/>
      <c r="CH45" s="36"/>
      <c r="CI45" s="35">
        <v>94367600</v>
      </c>
      <c r="CJ45" s="35">
        <v>72663000</v>
      </c>
      <c r="CK45" s="35"/>
      <c r="CL45" s="35">
        <v>21704600</v>
      </c>
      <c r="CM45" s="35">
        <v>23.000060000000001</v>
      </c>
      <c r="CN45" s="35"/>
      <c r="CO45" s="35"/>
      <c r="CP45" s="85">
        <v>72663000</v>
      </c>
      <c r="CQ45" s="27"/>
      <c r="CR45" s="36">
        <v>72663000</v>
      </c>
      <c r="CS45" s="85">
        <v>72663000</v>
      </c>
      <c r="CT45" s="35"/>
      <c r="CU45" s="35">
        <v>15948450</v>
      </c>
      <c r="CV45" s="35">
        <v>15470000</v>
      </c>
      <c r="CW45" s="35">
        <v>478450</v>
      </c>
      <c r="CX45" s="35">
        <v>15470000</v>
      </c>
      <c r="CY45" s="35"/>
      <c r="CZ45" s="36"/>
      <c r="DA45" s="35">
        <v>15948450</v>
      </c>
      <c r="DB45" s="35">
        <v>15470000</v>
      </c>
      <c r="DC45" s="35"/>
      <c r="DD45" s="35">
        <v>478450</v>
      </c>
      <c r="DE45" s="35">
        <v>2.9999799999999999</v>
      </c>
      <c r="DF45" s="35"/>
      <c r="DG45" s="35"/>
      <c r="DH45" s="85">
        <v>15470000</v>
      </c>
      <c r="DI45" s="27"/>
      <c r="DJ45" s="36">
        <v>15470000</v>
      </c>
      <c r="DK45" s="85">
        <v>15470000</v>
      </c>
      <c r="DL45" s="35"/>
      <c r="DM45" s="35"/>
      <c r="DN45" s="35"/>
      <c r="DO45" s="35"/>
      <c r="DP45" s="35"/>
      <c r="DQ45" s="35"/>
      <c r="DR45" s="36"/>
      <c r="DS45" s="35"/>
      <c r="DT45" s="35"/>
      <c r="DU45" s="35"/>
      <c r="DV45" s="35"/>
      <c r="DW45" s="35"/>
      <c r="DX45" s="35"/>
      <c r="DY45" s="35"/>
      <c r="DZ45" s="85"/>
      <c r="EA45" s="27"/>
      <c r="EB45" s="36"/>
      <c r="EC45" s="85"/>
      <c r="ED45" s="35"/>
      <c r="EE45" s="35">
        <v>41388660</v>
      </c>
      <c r="EF45" s="35">
        <v>40147000</v>
      </c>
      <c r="EG45" s="35">
        <v>1241660</v>
      </c>
      <c r="EH45" s="35">
        <v>40147000</v>
      </c>
      <c r="EI45" s="35"/>
      <c r="EJ45" s="36"/>
      <c r="EK45" s="35">
        <v>41388660</v>
      </c>
      <c r="EL45" s="35">
        <v>40147000</v>
      </c>
      <c r="EM45" s="35"/>
      <c r="EN45" s="35">
        <v>1241660</v>
      </c>
      <c r="EO45" s="35">
        <v>3</v>
      </c>
      <c r="EP45" s="35"/>
      <c r="EQ45" s="35"/>
      <c r="ER45" s="85">
        <v>40147000</v>
      </c>
      <c r="ES45" s="27"/>
      <c r="ET45" s="36">
        <v>40147000</v>
      </c>
      <c r="EU45" s="85">
        <v>40147000</v>
      </c>
      <c r="EV45" s="35"/>
      <c r="EW45" s="35">
        <v>60888900</v>
      </c>
      <c r="EX45" s="35">
        <v>26758900</v>
      </c>
      <c r="EY45" s="35">
        <v>34130000</v>
      </c>
      <c r="EZ45" s="35">
        <v>26758900</v>
      </c>
      <c r="FA45" s="35">
        <v>10367.24</v>
      </c>
      <c r="FB45" s="36"/>
      <c r="FC45" s="35">
        <v>60888900</v>
      </c>
      <c r="FD45" s="35">
        <v>26758900</v>
      </c>
      <c r="FE45" s="35"/>
      <c r="FF45" s="35">
        <v>34130000</v>
      </c>
      <c r="FG45" s="35">
        <v>56.052909999999997</v>
      </c>
      <c r="FH45" s="35">
        <v>10367.24</v>
      </c>
      <c r="FI45" s="35"/>
      <c r="FJ45" s="85">
        <v>26758900</v>
      </c>
      <c r="FK45" s="27"/>
      <c r="FL45" s="36">
        <v>26758900</v>
      </c>
      <c r="FM45" s="85">
        <v>26758900</v>
      </c>
      <c r="FN45" s="35"/>
      <c r="FO45" s="35"/>
      <c r="FP45" s="35"/>
      <c r="FQ45" s="35"/>
      <c r="FR45" s="35"/>
      <c r="FS45" s="35">
        <v>28034.400000000001</v>
      </c>
      <c r="FT45" s="36"/>
      <c r="FU45" s="35"/>
      <c r="FV45" s="35"/>
      <c r="FW45" s="35"/>
      <c r="FX45" s="35"/>
      <c r="FY45" s="35"/>
      <c r="FZ45" s="35">
        <v>28034.400000000001</v>
      </c>
      <c r="GA45" s="35"/>
      <c r="GB45" s="85"/>
      <c r="GC45" s="27"/>
      <c r="GD45" s="36"/>
      <c r="GE45" s="85"/>
      <c r="GF45" s="35"/>
      <c r="GG45" s="35">
        <v>13543000</v>
      </c>
      <c r="GH45" s="35">
        <v>10428000</v>
      </c>
      <c r="GI45" s="35">
        <v>3115000</v>
      </c>
      <c r="GJ45" s="35">
        <v>10428000</v>
      </c>
      <c r="GK45" s="35"/>
      <c r="GL45" s="36"/>
      <c r="GM45" s="35">
        <v>13543000</v>
      </c>
      <c r="GN45" s="35">
        <v>10428000</v>
      </c>
      <c r="GO45" s="35"/>
      <c r="GP45" s="35">
        <v>3115000</v>
      </c>
      <c r="GQ45" s="35">
        <v>23.000810000000001</v>
      </c>
      <c r="GR45" s="35"/>
      <c r="GS45" s="35"/>
      <c r="GT45" s="85">
        <v>10428000</v>
      </c>
      <c r="GU45" s="27"/>
      <c r="GV45" s="36">
        <v>10428000</v>
      </c>
      <c r="GW45" s="85">
        <v>10428000</v>
      </c>
      <c r="GX45" s="35"/>
      <c r="GY45" s="35"/>
      <c r="GZ45" s="35"/>
      <c r="HA45" s="35"/>
      <c r="HB45" s="35"/>
      <c r="HC45" s="35"/>
      <c r="HD45" s="36"/>
      <c r="HE45" s="35"/>
      <c r="HF45" s="35"/>
      <c r="HG45" s="35"/>
      <c r="HH45" s="35"/>
      <c r="HI45" s="35"/>
      <c r="HJ45" s="35"/>
      <c r="HK45" s="35"/>
      <c r="HL45" s="85"/>
      <c r="HM45" s="27"/>
      <c r="HN45" s="36"/>
      <c r="HO45" s="85"/>
      <c r="HP45" s="35"/>
      <c r="HQ45" s="35"/>
      <c r="HR45" s="35"/>
      <c r="HS45" s="35"/>
      <c r="HT45" s="35"/>
      <c r="HU45" s="35"/>
      <c r="HV45" s="36"/>
      <c r="HW45" s="35"/>
      <c r="HX45" s="35"/>
      <c r="HY45" s="35"/>
      <c r="HZ45" s="35"/>
      <c r="IA45" s="35"/>
      <c r="IB45" s="35"/>
      <c r="IC45" s="35"/>
      <c r="ID45" s="85"/>
      <c r="IE45" s="27"/>
      <c r="IF45" s="36"/>
      <c r="IG45" s="85"/>
      <c r="IH45" s="35"/>
      <c r="II45" s="35"/>
      <c r="IJ45" s="35"/>
      <c r="IK45" s="35"/>
      <c r="IL45" s="35"/>
      <c r="IM45" s="35"/>
      <c r="IN45" s="36"/>
      <c r="IO45" s="35"/>
      <c r="IP45" s="35"/>
      <c r="IQ45" s="35"/>
      <c r="IR45" s="35"/>
      <c r="IS45" s="35"/>
      <c r="IT45" s="35"/>
      <c r="IU45" s="35"/>
      <c r="IV45" s="85"/>
      <c r="IW45" s="27"/>
      <c r="IX45" s="36"/>
      <c r="IY45" s="85"/>
      <c r="IZ45" s="35"/>
      <c r="JA45" s="35"/>
      <c r="JB45" s="35"/>
      <c r="JC45" s="35"/>
      <c r="JD45" s="35"/>
      <c r="JE45" s="35"/>
      <c r="JF45" s="36"/>
      <c r="JG45" s="35"/>
      <c r="JH45" s="35"/>
      <c r="JI45" s="35"/>
      <c r="JJ45" s="35"/>
      <c r="JK45" s="35"/>
      <c r="JL45" s="35"/>
      <c r="JM45" s="35"/>
      <c r="JN45" s="85"/>
      <c r="JO45" s="27"/>
      <c r="JP45" s="36"/>
      <c r="JQ45" s="85"/>
      <c r="JR45" s="35"/>
      <c r="JS45" s="35"/>
      <c r="JT45" s="35"/>
      <c r="JU45" s="35"/>
      <c r="JV45" s="35"/>
      <c r="JW45" s="35"/>
      <c r="JX45" s="36"/>
      <c r="JY45" s="35"/>
      <c r="JZ45" s="35"/>
      <c r="KA45" s="35"/>
      <c r="KB45" s="35"/>
      <c r="KC45" s="35"/>
      <c r="KD45" s="35"/>
      <c r="KE45" s="35"/>
      <c r="KF45" s="85"/>
      <c r="KG45" s="27"/>
      <c r="KH45" s="36"/>
      <c r="KI45" s="85"/>
      <c r="KJ45" s="35"/>
      <c r="KK45" s="35"/>
      <c r="KL45" s="35"/>
      <c r="KM45" s="35"/>
      <c r="KN45" s="35"/>
      <c r="KO45" s="35"/>
      <c r="KP45" s="36"/>
      <c r="KQ45" s="35"/>
      <c r="KR45" s="35"/>
      <c r="KS45" s="35"/>
      <c r="KT45" s="35"/>
      <c r="KU45" s="35"/>
      <c r="KV45" s="35"/>
      <c r="KW45" s="35"/>
      <c r="KX45" s="85"/>
      <c r="KY45" s="27"/>
      <c r="KZ45" s="36"/>
      <c r="LA45" s="85"/>
      <c r="LB45" s="35"/>
      <c r="LC45" s="35"/>
      <c r="LD45" s="35"/>
      <c r="LE45" s="35"/>
      <c r="LF45" s="35"/>
      <c r="LG45" s="35"/>
      <c r="LH45" s="36"/>
      <c r="LI45" s="35"/>
      <c r="LJ45" s="35"/>
      <c r="LK45" s="35"/>
      <c r="LL45" s="35"/>
      <c r="LM45" s="35"/>
      <c r="LN45" s="35"/>
      <c r="LO45" s="35"/>
      <c r="LP45" s="85"/>
      <c r="LQ45" s="27"/>
      <c r="LR45" s="36"/>
      <c r="LS45" s="85"/>
      <c r="LT45" s="35"/>
      <c r="LU45" s="35"/>
      <c r="LV45" s="35"/>
      <c r="LW45" s="35"/>
      <c r="LX45" s="35"/>
      <c r="LY45" s="35"/>
      <c r="LZ45" s="36"/>
      <c r="MA45" s="35"/>
      <c r="MB45" s="35"/>
      <c r="MC45" s="35"/>
      <c r="MD45" s="35"/>
      <c r="ME45" s="35"/>
      <c r="MF45" s="35"/>
      <c r="MG45" s="35"/>
      <c r="MH45" s="85"/>
      <c r="MI45" s="27"/>
      <c r="MJ45" s="36"/>
      <c r="MK45" s="85"/>
      <c r="ML45" s="35"/>
      <c r="MM45" s="35"/>
      <c r="MN45" s="35"/>
      <c r="MO45" s="35"/>
      <c r="MP45" s="35"/>
      <c r="MQ45" s="35"/>
      <c r="MR45" s="36"/>
      <c r="MS45" s="35"/>
      <c r="MT45" s="35"/>
      <c r="MU45" s="35"/>
      <c r="MV45" s="35"/>
      <c r="MW45" s="35"/>
      <c r="MX45" s="35"/>
      <c r="MY45" s="35"/>
      <c r="MZ45" s="85"/>
      <c r="NA45" s="27"/>
      <c r="NB45" s="36"/>
      <c r="NC45" s="85"/>
      <c r="ND45" s="35"/>
      <c r="NE45" s="35">
        <v>4407000</v>
      </c>
      <c r="NF45" s="35">
        <v>1371000</v>
      </c>
      <c r="NG45" s="35">
        <v>3036000</v>
      </c>
      <c r="NH45" s="35">
        <v>1371000</v>
      </c>
      <c r="NI45" s="35"/>
      <c r="NJ45" s="36"/>
      <c r="NK45" s="35">
        <v>4407000</v>
      </c>
      <c r="NL45" s="35">
        <v>1371000</v>
      </c>
      <c r="NM45" s="35"/>
      <c r="NN45" s="35">
        <v>3036000</v>
      </c>
      <c r="NO45" s="35">
        <v>68.8904</v>
      </c>
      <c r="NP45" s="35"/>
      <c r="NQ45" s="35"/>
      <c r="NR45" s="85">
        <v>1371000</v>
      </c>
      <c r="NS45" s="27"/>
      <c r="NT45" s="36">
        <v>1371000</v>
      </c>
      <c r="NU45" s="85">
        <v>1371000</v>
      </c>
      <c r="NV45" s="35"/>
      <c r="NW45" s="35"/>
      <c r="NX45" s="35"/>
      <c r="NY45" s="35"/>
      <c r="NZ45" s="35"/>
      <c r="OA45" s="35"/>
      <c r="OB45" s="36"/>
      <c r="OC45" s="35"/>
      <c r="OD45" s="35"/>
      <c r="OE45" s="35"/>
      <c r="OF45" s="35"/>
      <c r="OG45" s="35"/>
      <c r="OH45" s="35"/>
      <c r="OI45" s="35"/>
      <c r="OJ45" s="85"/>
      <c r="OK45" s="27"/>
      <c r="OL45" s="36"/>
      <c r="OM45" s="85"/>
      <c r="ON45" s="35"/>
      <c r="OO45" s="35"/>
      <c r="OP45" s="35"/>
      <c r="OQ45" s="35"/>
      <c r="OR45" s="35"/>
      <c r="OS45" s="35">
        <v>1474.55</v>
      </c>
      <c r="OT45" s="36"/>
      <c r="OU45" s="35"/>
      <c r="OV45" s="35"/>
      <c r="OW45" s="35"/>
      <c r="OX45" s="35"/>
      <c r="OY45" s="35"/>
      <c r="OZ45" s="35">
        <v>1474.55</v>
      </c>
      <c r="PA45" s="35"/>
      <c r="PB45" s="85"/>
      <c r="PC45" s="27"/>
      <c r="PD45" s="36"/>
      <c r="PE45" s="85"/>
      <c r="PF45" s="35"/>
      <c r="PG45" s="35"/>
      <c r="PH45" s="35"/>
      <c r="PI45" s="35"/>
      <c r="PJ45" s="35"/>
      <c r="PK45" s="35"/>
      <c r="PL45" s="36"/>
      <c r="PM45" s="35"/>
      <c r="PN45" s="35"/>
      <c r="PO45" s="35"/>
      <c r="PP45" s="35"/>
      <c r="PQ45" s="35"/>
      <c r="PR45" s="35"/>
      <c r="PS45" s="35"/>
      <c r="PT45" s="85"/>
      <c r="PU45" s="27"/>
      <c r="PV45" s="36"/>
      <c r="PW45" s="85"/>
      <c r="PX45" s="35"/>
      <c r="PY45" s="35"/>
      <c r="PZ45" s="35"/>
      <c r="QA45" s="35"/>
      <c r="QB45" s="35"/>
      <c r="QC45" s="35"/>
      <c r="QD45" s="36"/>
      <c r="QE45" s="35"/>
      <c r="QF45" s="35"/>
      <c r="QG45" s="35"/>
      <c r="QH45" s="35"/>
      <c r="QI45" s="35"/>
      <c r="QJ45" s="35"/>
      <c r="QK45" s="35"/>
      <c r="QL45" s="85"/>
      <c r="QM45" s="27"/>
      <c r="QN45" s="36"/>
      <c r="QO45" s="85"/>
      <c r="QP45" s="35"/>
      <c r="QQ45" s="35"/>
      <c r="QR45" s="35"/>
      <c r="QS45" s="35"/>
      <c r="QT45" s="35"/>
      <c r="QU45" s="35"/>
      <c r="QV45" s="36"/>
      <c r="QW45" s="35"/>
      <c r="QX45" s="35"/>
      <c r="QY45" s="35"/>
      <c r="QZ45" s="35"/>
      <c r="RA45" s="35"/>
      <c r="RB45" s="35"/>
      <c r="RC45" s="35"/>
      <c r="RD45" s="85"/>
      <c r="RE45" s="27"/>
      <c r="RF45" s="36"/>
      <c r="RG45" s="85"/>
      <c r="RH45" s="35"/>
      <c r="RI45" s="35"/>
      <c r="RJ45" s="35"/>
      <c r="RK45" s="35"/>
      <c r="RL45" s="35"/>
      <c r="RM45" s="35">
        <v>0</v>
      </c>
      <c r="RN45" s="36"/>
      <c r="RO45" s="35"/>
      <c r="RP45" s="35"/>
      <c r="RQ45" s="35"/>
      <c r="RR45" s="35"/>
      <c r="RS45" s="35"/>
      <c r="RT45" s="35">
        <v>0</v>
      </c>
      <c r="RU45" s="35"/>
      <c r="RV45" s="85"/>
      <c r="RW45" s="27"/>
      <c r="RX45" s="36"/>
      <c r="RY45" s="85"/>
      <c r="RZ45" s="35"/>
      <c r="SA45" s="35"/>
      <c r="SB45" s="35"/>
      <c r="SC45" s="35"/>
      <c r="SD45" s="35"/>
      <c r="SE45" s="35"/>
      <c r="SF45" s="36"/>
      <c r="SG45" s="35"/>
      <c r="SH45" s="35"/>
      <c r="SI45" s="35"/>
      <c r="SJ45" s="35"/>
      <c r="SK45" s="35"/>
      <c r="SL45" s="35"/>
      <c r="SM45" s="35"/>
      <c r="SN45" s="85"/>
      <c r="SO45" s="27"/>
      <c r="SP45" s="36"/>
      <c r="SQ45" s="85"/>
      <c r="SR45" s="35"/>
      <c r="SS45" s="35"/>
      <c r="ST45" s="35"/>
      <c r="SU45" s="35"/>
      <c r="SV45" s="35"/>
      <c r="SW45" s="35"/>
      <c r="SX45" s="36"/>
      <c r="SY45" s="35"/>
      <c r="SZ45" s="35"/>
      <c r="TA45" s="35"/>
      <c r="TB45" s="35"/>
      <c r="TC45" s="35"/>
      <c r="TD45" s="35"/>
      <c r="TE45" s="35"/>
      <c r="TF45" s="85"/>
      <c r="TG45" s="27"/>
      <c r="TH45" s="36"/>
      <c r="TI45" s="85"/>
      <c r="TJ45" s="35"/>
      <c r="TK45" s="35"/>
      <c r="TL45" s="35"/>
      <c r="TM45" s="35"/>
      <c r="TN45" s="35"/>
      <c r="TO45" s="35"/>
      <c r="TP45" s="36"/>
      <c r="TQ45" s="35"/>
      <c r="TR45" s="35"/>
      <c r="TS45" s="35"/>
      <c r="TT45" s="35"/>
      <c r="TU45" s="35"/>
      <c r="TV45" s="35"/>
      <c r="TW45" s="35"/>
      <c r="TX45" s="85"/>
      <c r="TY45" s="27"/>
      <c r="TZ45" s="36"/>
      <c r="UA45" s="85"/>
      <c r="UB45" s="35"/>
      <c r="UC45" s="35"/>
      <c r="UD45" s="35"/>
      <c r="UE45" s="35"/>
      <c r="UF45" s="35"/>
      <c r="UG45" s="35"/>
      <c r="UH45" s="36"/>
      <c r="UI45" s="35"/>
      <c r="UJ45" s="35"/>
      <c r="UK45" s="35"/>
      <c r="UL45" s="35"/>
      <c r="UM45" s="35"/>
      <c r="UN45" s="35"/>
      <c r="UO45" s="35"/>
      <c r="UP45" s="85"/>
      <c r="UQ45" s="27"/>
      <c r="UR45" s="36"/>
      <c r="US45" s="85"/>
    </row>
    <row r="46" spans="1:565" ht="15" thickBot="1" x14ac:dyDescent="0.35">
      <c r="A46" s="8" t="s">
        <v>92</v>
      </c>
      <c r="B46" s="170">
        <v>32</v>
      </c>
      <c r="C46" s="13" t="s">
        <v>93</v>
      </c>
      <c r="F46" s="36">
        <v>985056700</v>
      </c>
      <c r="G46" s="85"/>
      <c r="H46" s="35"/>
      <c r="I46" s="35">
        <v>48564838.710000001</v>
      </c>
      <c r="J46" s="35">
        <v>45165300</v>
      </c>
      <c r="K46" s="35">
        <v>3399538.71</v>
      </c>
      <c r="L46" s="35">
        <v>45165300</v>
      </c>
      <c r="M46" s="35"/>
      <c r="N46" s="36"/>
      <c r="O46" s="35">
        <v>48564838.710000001</v>
      </c>
      <c r="P46" s="35">
        <v>45165300</v>
      </c>
      <c r="Q46" s="35"/>
      <c r="R46" s="35">
        <v>3399538.71</v>
      </c>
      <c r="S46" s="35">
        <v>7</v>
      </c>
      <c r="T46" s="35"/>
      <c r="U46" s="35"/>
      <c r="V46" s="85">
        <v>45165300</v>
      </c>
      <c r="W46" s="27"/>
      <c r="X46" s="36">
        <v>45165300</v>
      </c>
      <c r="Y46" s="85">
        <v>45165300</v>
      </c>
      <c r="Z46" s="35"/>
      <c r="AA46" s="35">
        <v>108761720.43000001</v>
      </c>
      <c r="AB46" s="35">
        <v>101148400</v>
      </c>
      <c r="AC46" s="35">
        <v>7613320.4299999997</v>
      </c>
      <c r="AD46" s="35">
        <v>101148400</v>
      </c>
      <c r="AE46" s="35">
        <v>322989</v>
      </c>
      <c r="AF46" s="36"/>
      <c r="AG46" s="35">
        <v>108761720.43000001</v>
      </c>
      <c r="AH46" s="35">
        <v>101148400</v>
      </c>
      <c r="AI46" s="35"/>
      <c r="AJ46" s="35">
        <v>7613320.4299999997</v>
      </c>
      <c r="AK46" s="35">
        <v>7</v>
      </c>
      <c r="AL46" s="35">
        <v>322989</v>
      </c>
      <c r="AM46" s="35"/>
      <c r="AN46" s="85">
        <v>101148400</v>
      </c>
      <c r="AO46" s="27"/>
      <c r="AP46" s="36">
        <v>101148400</v>
      </c>
      <c r="AQ46" s="85">
        <v>101148400</v>
      </c>
      <c r="AR46" s="35"/>
      <c r="AS46" s="35">
        <v>183907097</v>
      </c>
      <c r="AT46" s="35">
        <v>171033600</v>
      </c>
      <c r="AU46" s="35">
        <v>12873497</v>
      </c>
      <c r="AV46" s="35">
        <v>171033600</v>
      </c>
      <c r="AW46" s="35">
        <v>2491735.2400000002</v>
      </c>
      <c r="AX46" s="36"/>
      <c r="AY46" s="35">
        <v>183907097</v>
      </c>
      <c r="AZ46" s="35">
        <v>171033600</v>
      </c>
      <c r="BA46" s="35"/>
      <c r="BB46" s="35">
        <v>12873497</v>
      </c>
      <c r="BC46" s="35">
        <v>7</v>
      </c>
      <c r="BD46" s="35">
        <v>2491735.2400000002</v>
      </c>
      <c r="BE46" s="35"/>
      <c r="BF46" s="85">
        <v>171033600</v>
      </c>
      <c r="BG46" s="27"/>
      <c r="BH46" s="36">
        <v>171033600</v>
      </c>
      <c r="BI46" s="85">
        <v>171033600</v>
      </c>
      <c r="BJ46" s="35"/>
      <c r="BK46" s="35">
        <v>518218624</v>
      </c>
      <c r="BL46" s="35">
        <v>512000000</v>
      </c>
      <c r="BM46" s="35">
        <v>6218624</v>
      </c>
      <c r="BN46" s="35">
        <v>512000000</v>
      </c>
      <c r="BO46" s="35"/>
      <c r="BP46" s="36"/>
      <c r="BQ46" s="35">
        <v>518218624</v>
      </c>
      <c r="BR46" s="35">
        <v>512000000</v>
      </c>
      <c r="BS46" s="35"/>
      <c r="BT46" s="35">
        <v>6218624</v>
      </c>
      <c r="BU46" s="35">
        <v>1.2</v>
      </c>
      <c r="BV46" s="35"/>
      <c r="BW46" s="35"/>
      <c r="BX46" s="85">
        <v>512000000</v>
      </c>
      <c r="BY46" s="27"/>
      <c r="BZ46" s="36">
        <v>512000000</v>
      </c>
      <c r="CA46" s="85">
        <v>512000000</v>
      </c>
      <c r="CB46" s="35"/>
      <c r="CC46" s="35">
        <v>147912903.22999999</v>
      </c>
      <c r="CD46" s="35">
        <v>137559000</v>
      </c>
      <c r="CE46" s="35">
        <v>10353903.23</v>
      </c>
      <c r="CF46" s="35">
        <v>137559000</v>
      </c>
      <c r="CG46" s="35"/>
      <c r="CH46" s="36"/>
      <c r="CI46" s="35">
        <v>147912903.22999999</v>
      </c>
      <c r="CJ46" s="35">
        <v>137559000</v>
      </c>
      <c r="CK46" s="35"/>
      <c r="CL46" s="35">
        <v>10353903.23</v>
      </c>
      <c r="CM46" s="35">
        <v>7</v>
      </c>
      <c r="CN46" s="35"/>
      <c r="CO46" s="35"/>
      <c r="CP46" s="85">
        <v>137559000</v>
      </c>
      <c r="CQ46" s="27"/>
      <c r="CR46" s="36">
        <v>137559000</v>
      </c>
      <c r="CS46" s="85">
        <v>137559000</v>
      </c>
      <c r="CT46" s="35"/>
      <c r="CU46" s="35"/>
      <c r="CV46" s="35"/>
      <c r="CW46" s="35"/>
      <c r="CX46" s="35"/>
      <c r="CY46" s="35"/>
      <c r="CZ46" s="36"/>
      <c r="DA46" s="35"/>
      <c r="DB46" s="35"/>
      <c r="DC46" s="35"/>
      <c r="DD46" s="35"/>
      <c r="DE46" s="35"/>
      <c r="DF46" s="35"/>
      <c r="DG46" s="35"/>
      <c r="DH46" s="85"/>
      <c r="DI46" s="27"/>
      <c r="DJ46" s="36"/>
      <c r="DK46" s="85"/>
      <c r="DL46" s="35"/>
      <c r="DM46" s="35"/>
      <c r="DN46" s="35"/>
      <c r="DO46" s="35"/>
      <c r="DP46" s="35"/>
      <c r="DQ46" s="35"/>
      <c r="DR46" s="36"/>
      <c r="DS46" s="35"/>
      <c r="DT46" s="35"/>
      <c r="DU46" s="35"/>
      <c r="DV46" s="35"/>
      <c r="DW46" s="35"/>
      <c r="DX46" s="35"/>
      <c r="DY46" s="35"/>
      <c r="DZ46" s="85"/>
      <c r="EA46" s="27"/>
      <c r="EB46" s="36"/>
      <c r="EC46" s="85"/>
      <c r="ED46" s="35"/>
      <c r="EE46" s="35">
        <v>12534950</v>
      </c>
      <c r="EF46" s="35">
        <v>12409600</v>
      </c>
      <c r="EG46" s="35">
        <v>125350</v>
      </c>
      <c r="EH46" s="35">
        <v>12409600</v>
      </c>
      <c r="EI46" s="35"/>
      <c r="EJ46" s="36"/>
      <c r="EK46" s="35">
        <v>12534950</v>
      </c>
      <c r="EL46" s="35">
        <v>12409600</v>
      </c>
      <c r="EM46" s="35"/>
      <c r="EN46" s="35">
        <v>125350</v>
      </c>
      <c r="EO46" s="35">
        <v>1</v>
      </c>
      <c r="EP46" s="35"/>
      <c r="EQ46" s="35"/>
      <c r="ER46" s="85">
        <v>12409600</v>
      </c>
      <c r="ES46" s="27"/>
      <c r="ET46" s="36">
        <v>12409600</v>
      </c>
      <c r="EU46" s="85">
        <v>12409600</v>
      </c>
      <c r="EV46" s="35"/>
      <c r="EW46" s="35">
        <v>6172904</v>
      </c>
      <c r="EX46" s="35">
        <v>5740800</v>
      </c>
      <c r="EY46" s="35">
        <v>432104</v>
      </c>
      <c r="EZ46" s="35">
        <v>5740800</v>
      </c>
      <c r="FA46" s="35">
        <v>32111.64</v>
      </c>
      <c r="FB46" s="36"/>
      <c r="FC46" s="35">
        <v>6172904</v>
      </c>
      <c r="FD46" s="35">
        <v>5740800</v>
      </c>
      <c r="FE46" s="35"/>
      <c r="FF46" s="35">
        <v>432104</v>
      </c>
      <c r="FG46" s="35">
        <v>7.0000099999999996</v>
      </c>
      <c r="FH46" s="35">
        <v>32111.64</v>
      </c>
      <c r="FI46" s="35"/>
      <c r="FJ46" s="85">
        <v>5740800</v>
      </c>
      <c r="FK46" s="27"/>
      <c r="FL46" s="36">
        <v>5740800</v>
      </c>
      <c r="FM46" s="85">
        <v>5740800</v>
      </c>
      <c r="FN46" s="35"/>
      <c r="FO46" s="35"/>
      <c r="FP46" s="35"/>
      <c r="FQ46" s="35"/>
      <c r="FR46" s="35"/>
      <c r="FS46" s="35"/>
      <c r="FT46" s="36"/>
      <c r="FU46" s="35"/>
      <c r="FV46" s="35"/>
      <c r="FW46" s="35"/>
      <c r="FX46" s="35"/>
      <c r="FY46" s="35"/>
      <c r="FZ46" s="35"/>
      <c r="GA46" s="35"/>
      <c r="GB46" s="85"/>
      <c r="GC46" s="27"/>
      <c r="GD46" s="36"/>
      <c r="GE46" s="85"/>
      <c r="GF46" s="35"/>
      <c r="GG46" s="35"/>
      <c r="GH46" s="35"/>
      <c r="GI46" s="35"/>
      <c r="GJ46" s="35"/>
      <c r="GK46" s="35"/>
      <c r="GL46" s="36"/>
      <c r="GM46" s="35"/>
      <c r="GN46" s="35"/>
      <c r="GO46" s="35"/>
      <c r="GP46" s="35"/>
      <c r="GQ46" s="35"/>
      <c r="GR46" s="35"/>
      <c r="GS46" s="35"/>
      <c r="GT46" s="85"/>
      <c r="GU46" s="27"/>
      <c r="GV46" s="36"/>
      <c r="GW46" s="85"/>
      <c r="GX46" s="35"/>
      <c r="GY46" s="35"/>
      <c r="GZ46" s="35"/>
      <c r="HA46" s="35"/>
      <c r="HB46" s="35"/>
      <c r="HC46" s="35"/>
      <c r="HD46" s="36"/>
      <c r="HE46" s="35"/>
      <c r="HF46" s="35"/>
      <c r="HG46" s="35"/>
      <c r="HH46" s="35"/>
      <c r="HI46" s="35"/>
      <c r="HJ46" s="35"/>
      <c r="HK46" s="35"/>
      <c r="HL46" s="85"/>
      <c r="HM46" s="27"/>
      <c r="HN46" s="36"/>
      <c r="HO46" s="85"/>
      <c r="HP46" s="35"/>
      <c r="HQ46" s="35"/>
      <c r="HR46" s="35"/>
      <c r="HS46" s="35"/>
      <c r="HT46" s="35"/>
      <c r="HU46" s="35"/>
      <c r="HV46" s="36"/>
      <c r="HW46" s="35"/>
      <c r="HX46" s="35"/>
      <c r="HY46" s="35"/>
      <c r="HZ46" s="35"/>
      <c r="IA46" s="35"/>
      <c r="IB46" s="35"/>
      <c r="IC46" s="35"/>
      <c r="ID46" s="85"/>
      <c r="IE46" s="27"/>
      <c r="IF46" s="36"/>
      <c r="IG46" s="85"/>
      <c r="IH46" s="35"/>
      <c r="II46" s="35"/>
      <c r="IJ46" s="35"/>
      <c r="IK46" s="35"/>
      <c r="IL46" s="35"/>
      <c r="IM46" s="35"/>
      <c r="IN46" s="36"/>
      <c r="IO46" s="35"/>
      <c r="IP46" s="35"/>
      <c r="IQ46" s="35"/>
      <c r="IR46" s="35"/>
      <c r="IS46" s="35"/>
      <c r="IT46" s="35"/>
      <c r="IU46" s="35"/>
      <c r="IV46" s="85"/>
      <c r="IW46" s="27"/>
      <c r="IX46" s="36"/>
      <c r="IY46" s="85"/>
      <c r="IZ46" s="35"/>
      <c r="JA46" s="35"/>
      <c r="JB46" s="35"/>
      <c r="JC46" s="35"/>
      <c r="JD46" s="35"/>
      <c r="JE46" s="35"/>
      <c r="JF46" s="36"/>
      <c r="JG46" s="35"/>
      <c r="JH46" s="35"/>
      <c r="JI46" s="35"/>
      <c r="JJ46" s="35"/>
      <c r="JK46" s="35"/>
      <c r="JL46" s="35"/>
      <c r="JM46" s="35"/>
      <c r="JN46" s="85"/>
      <c r="JO46" s="27"/>
      <c r="JP46" s="36"/>
      <c r="JQ46" s="85"/>
      <c r="JR46" s="35"/>
      <c r="JS46" s="35"/>
      <c r="JT46" s="35"/>
      <c r="JU46" s="35"/>
      <c r="JV46" s="35"/>
      <c r="JW46" s="35"/>
      <c r="JX46" s="36"/>
      <c r="JY46" s="35"/>
      <c r="JZ46" s="35"/>
      <c r="KA46" s="35"/>
      <c r="KB46" s="35"/>
      <c r="KC46" s="35"/>
      <c r="KD46" s="35"/>
      <c r="KE46" s="35"/>
      <c r="KF46" s="85"/>
      <c r="KG46" s="27"/>
      <c r="KH46" s="36"/>
      <c r="KI46" s="85"/>
      <c r="KJ46" s="35"/>
      <c r="KK46" s="35"/>
      <c r="KL46" s="35"/>
      <c r="KM46" s="35"/>
      <c r="KN46" s="35"/>
      <c r="KO46" s="35"/>
      <c r="KP46" s="36"/>
      <c r="KQ46" s="35"/>
      <c r="KR46" s="35"/>
      <c r="KS46" s="35"/>
      <c r="KT46" s="35"/>
      <c r="KU46" s="35"/>
      <c r="KV46" s="35"/>
      <c r="KW46" s="35"/>
      <c r="KX46" s="85"/>
      <c r="KY46" s="27"/>
      <c r="KZ46" s="36"/>
      <c r="LA46" s="85"/>
      <c r="LB46" s="35"/>
      <c r="LC46" s="35"/>
      <c r="LD46" s="35"/>
      <c r="LE46" s="35"/>
      <c r="LF46" s="35"/>
      <c r="LG46" s="35"/>
      <c r="LH46" s="36"/>
      <c r="LI46" s="35"/>
      <c r="LJ46" s="35"/>
      <c r="LK46" s="35"/>
      <c r="LL46" s="35"/>
      <c r="LM46" s="35"/>
      <c r="LN46" s="35"/>
      <c r="LO46" s="35"/>
      <c r="LP46" s="85"/>
      <c r="LQ46" s="27"/>
      <c r="LR46" s="36"/>
      <c r="LS46" s="85"/>
      <c r="LT46" s="35"/>
      <c r="LU46" s="35"/>
      <c r="LV46" s="35"/>
      <c r="LW46" s="35"/>
      <c r="LX46" s="35"/>
      <c r="LY46" s="35"/>
      <c r="LZ46" s="36"/>
      <c r="MA46" s="35"/>
      <c r="MB46" s="35"/>
      <c r="MC46" s="35"/>
      <c r="MD46" s="35"/>
      <c r="ME46" s="35"/>
      <c r="MF46" s="35"/>
      <c r="MG46" s="35"/>
      <c r="MH46" s="85"/>
      <c r="MI46" s="27"/>
      <c r="MJ46" s="36"/>
      <c r="MK46" s="85"/>
      <c r="ML46" s="35"/>
      <c r="MM46" s="35"/>
      <c r="MN46" s="35"/>
      <c r="MO46" s="35"/>
      <c r="MP46" s="35"/>
      <c r="MQ46" s="35"/>
      <c r="MR46" s="36"/>
      <c r="MS46" s="35"/>
      <c r="MT46" s="35"/>
      <c r="MU46" s="35"/>
      <c r="MV46" s="35"/>
      <c r="MW46" s="35"/>
      <c r="MX46" s="35"/>
      <c r="MY46" s="35"/>
      <c r="MZ46" s="85"/>
      <c r="NA46" s="27"/>
      <c r="NB46" s="36"/>
      <c r="NC46" s="85"/>
      <c r="ND46" s="35"/>
      <c r="NE46" s="35"/>
      <c r="NF46" s="35"/>
      <c r="NG46" s="35"/>
      <c r="NH46" s="35"/>
      <c r="NI46" s="35"/>
      <c r="NJ46" s="36"/>
      <c r="NK46" s="35"/>
      <c r="NL46" s="35"/>
      <c r="NM46" s="35"/>
      <c r="NN46" s="35"/>
      <c r="NO46" s="35"/>
      <c r="NP46" s="35"/>
      <c r="NQ46" s="35"/>
      <c r="NR46" s="85"/>
      <c r="NS46" s="27"/>
      <c r="NT46" s="36"/>
      <c r="NU46" s="85"/>
      <c r="NV46" s="35"/>
      <c r="NW46" s="35"/>
      <c r="NX46" s="35"/>
      <c r="NY46" s="35"/>
      <c r="NZ46" s="35"/>
      <c r="OA46" s="35"/>
      <c r="OB46" s="36"/>
      <c r="OC46" s="35"/>
      <c r="OD46" s="35"/>
      <c r="OE46" s="35"/>
      <c r="OF46" s="35"/>
      <c r="OG46" s="35"/>
      <c r="OH46" s="35"/>
      <c r="OI46" s="35"/>
      <c r="OJ46" s="85"/>
      <c r="OK46" s="27"/>
      <c r="OL46" s="36"/>
      <c r="OM46" s="85"/>
      <c r="ON46" s="35"/>
      <c r="OO46" s="35"/>
      <c r="OP46" s="35"/>
      <c r="OQ46" s="35"/>
      <c r="OR46" s="35"/>
      <c r="OS46" s="35">
        <v>130233.09</v>
      </c>
      <c r="OT46" s="36"/>
      <c r="OU46" s="35"/>
      <c r="OV46" s="35"/>
      <c r="OW46" s="35"/>
      <c r="OX46" s="35"/>
      <c r="OY46" s="35"/>
      <c r="OZ46" s="35">
        <v>130233.09</v>
      </c>
      <c r="PA46" s="35">
        <v>0</v>
      </c>
      <c r="PB46" s="85"/>
      <c r="PC46" s="27"/>
      <c r="PD46" s="36"/>
      <c r="PE46" s="85"/>
      <c r="PF46" s="35"/>
      <c r="PG46" s="35"/>
      <c r="PH46" s="35"/>
      <c r="PI46" s="35"/>
      <c r="PJ46" s="35"/>
      <c r="PK46" s="35"/>
      <c r="PL46" s="36"/>
      <c r="PM46" s="35"/>
      <c r="PN46" s="35"/>
      <c r="PO46" s="35"/>
      <c r="PP46" s="35"/>
      <c r="PQ46" s="35"/>
      <c r="PR46" s="35"/>
      <c r="PS46" s="35"/>
      <c r="PT46" s="85"/>
      <c r="PU46" s="27"/>
      <c r="PV46" s="36"/>
      <c r="PW46" s="85"/>
      <c r="PX46" s="35"/>
      <c r="PY46" s="35"/>
      <c r="PZ46" s="35"/>
      <c r="QA46" s="35"/>
      <c r="QB46" s="35"/>
      <c r="QC46" s="35"/>
      <c r="QD46" s="36"/>
      <c r="QE46" s="35"/>
      <c r="QF46" s="35"/>
      <c r="QG46" s="35"/>
      <c r="QH46" s="35"/>
      <c r="QI46" s="35"/>
      <c r="QJ46" s="35"/>
      <c r="QK46" s="35"/>
      <c r="QL46" s="85"/>
      <c r="QM46" s="27"/>
      <c r="QN46" s="36"/>
      <c r="QO46" s="85"/>
      <c r="QP46" s="35"/>
      <c r="QQ46" s="35"/>
      <c r="QR46" s="35"/>
      <c r="QS46" s="35"/>
      <c r="QT46" s="35"/>
      <c r="QU46" s="35"/>
      <c r="QV46" s="36"/>
      <c r="QW46" s="35"/>
      <c r="QX46" s="35"/>
      <c r="QY46" s="35"/>
      <c r="QZ46" s="35"/>
      <c r="RA46" s="35"/>
      <c r="RB46" s="35"/>
      <c r="RC46" s="35"/>
      <c r="RD46" s="85"/>
      <c r="RE46" s="27"/>
      <c r="RF46" s="36"/>
      <c r="RG46" s="85"/>
      <c r="RH46" s="35"/>
      <c r="RI46" s="35"/>
      <c r="RJ46" s="35"/>
      <c r="RK46" s="35"/>
      <c r="RL46" s="35"/>
      <c r="RM46" s="35">
        <v>202656.53</v>
      </c>
      <c r="RN46" s="36"/>
      <c r="RO46" s="35"/>
      <c r="RP46" s="35"/>
      <c r="RQ46" s="35"/>
      <c r="RR46" s="35"/>
      <c r="RS46" s="35"/>
      <c r="RT46" s="35">
        <v>202656.53</v>
      </c>
      <c r="RU46" s="35"/>
      <c r="RV46" s="85"/>
      <c r="RW46" s="27"/>
      <c r="RX46" s="36"/>
      <c r="RY46" s="85"/>
      <c r="RZ46" s="35"/>
      <c r="SA46" s="35"/>
      <c r="SB46" s="35"/>
      <c r="SC46" s="35"/>
      <c r="SD46" s="35"/>
      <c r="SE46" s="35"/>
      <c r="SF46" s="36"/>
      <c r="SG46" s="35"/>
      <c r="SH46" s="35"/>
      <c r="SI46" s="35"/>
      <c r="SJ46" s="35"/>
      <c r="SK46" s="35"/>
      <c r="SL46" s="35"/>
      <c r="SM46" s="35"/>
      <c r="SN46" s="85"/>
      <c r="SO46" s="27"/>
      <c r="SP46" s="36"/>
      <c r="SQ46" s="85"/>
      <c r="SR46" s="35"/>
      <c r="SS46" s="35"/>
      <c r="ST46" s="35"/>
      <c r="SU46" s="35"/>
      <c r="SV46" s="35"/>
      <c r="SW46" s="35"/>
      <c r="SX46" s="36"/>
      <c r="SY46" s="35"/>
      <c r="SZ46" s="35"/>
      <c r="TA46" s="35"/>
      <c r="TB46" s="35"/>
      <c r="TC46" s="35"/>
      <c r="TD46" s="35"/>
      <c r="TE46" s="35"/>
      <c r="TF46" s="85"/>
      <c r="TG46" s="27"/>
      <c r="TH46" s="36"/>
      <c r="TI46" s="85"/>
      <c r="TJ46" s="35"/>
      <c r="TK46" s="35"/>
      <c r="TL46" s="35"/>
      <c r="TM46" s="35"/>
      <c r="TN46" s="35"/>
      <c r="TO46" s="35"/>
      <c r="TP46" s="36"/>
      <c r="TQ46" s="35"/>
      <c r="TR46" s="35"/>
      <c r="TS46" s="35"/>
      <c r="TT46" s="35"/>
      <c r="TU46" s="35"/>
      <c r="TV46" s="35"/>
      <c r="TW46" s="35"/>
      <c r="TX46" s="85"/>
      <c r="TY46" s="27"/>
      <c r="TZ46" s="36"/>
      <c r="UA46" s="85"/>
      <c r="UB46" s="35"/>
      <c r="UC46" s="35"/>
      <c r="UD46" s="35"/>
      <c r="UE46" s="35"/>
      <c r="UF46" s="35"/>
      <c r="UG46" s="35"/>
      <c r="UH46" s="36"/>
      <c r="UI46" s="35"/>
      <c r="UJ46" s="35"/>
      <c r="UK46" s="35"/>
      <c r="UL46" s="35"/>
      <c r="UM46" s="35"/>
      <c r="UN46" s="35"/>
      <c r="UO46" s="35"/>
      <c r="UP46" s="85"/>
      <c r="UQ46" s="27"/>
      <c r="UR46" s="36"/>
      <c r="US46" s="85"/>
    </row>
    <row r="47" spans="1:565" x14ac:dyDescent="0.3">
      <c r="A47" s="14" t="s">
        <v>94</v>
      </c>
      <c r="B47" s="170">
        <v>33</v>
      </c>
      <c r="C47" s="15" t="s">
        <v>95</v>
      </c>
      <c r="F47" s="32"/>
      <c r="G47" s="33"/>
      <c r="H47" s="32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86"/>
      <c r="Z47" s="32"/>
      <c r="AA47" s="33"/>
      <c r="AB47" s="33"/>
      <c r="AC47" s="33"/>
      <c r="AD47" s="33"/>
      <c r="AE47" s="33"/>
      <c r="AF47" s="33"/>
      <c r="AG47" s="33"/>
      <c r="AH47" s="33"/>
      <c r="AI47" s="33"/>
      <c r="AJ47" s="33"/>
      <c r="AK47" s="33"/>
      <c r="AL47" s="33"/>
      <c r="AM47" s="33"/>
      <c r="AN47" s="33"/>
      <c r="AO47" s="33"/>
      <c r="AP47" s="33"/>
      <c r="AQ47" s="86"/>
      <c r="AR47" s="32"/>
      <c r="AS47" s="33"/>
      <c r="AT47" s="33"/>
      <c r="AU47" s="33"/>
      <c r="AV47" s="33"/>
      <c r="AW47" s="33"/>
      <c r="AX47" s="33"/>
      <c r="AY47" s="33"/>
      <c r="AZ47" s="33"/>
      <c r="BA47" s="33"/>
      <c r="BB47" s="33"/>
      <c r="BC47" s="33"/>
      <c r="BD47" s="33"/>
      <c r="BE47" s="33"/>
      <c r="BF47" s="33"/>
      <c r="BG47" s="33"/>
      <c r="BH47" s="33"/>
      <c r="BI47" s="86"/>
      <c r="BJ47" s="148"/>
      <c r="BK47" s="33"/>
      <c r="BL47" s="33"/>
      <c r="BM47" s="33"/>
      <c r="BN47" s="33"/>
      <c r="BO47" s="33"/>
      <c r="BP47" s="33"/>
      <c r="BQ47" s="33"/>
      <c r="BR47" s="33"/>
      <c r="BS47" s="33"/>
      <c r="BT47" s="33"/>
      <c r="BU47" s="33"/>
      <c r="BV47" s="33"/>
      <c r="BW47" s="33"/>
      <c r="BX47" s="33"/>
      <c r="BY47" s="33"/>
      <c r="BZ47" s="33"/>
      <c r="CA47" s="86"/>
      <c r="CB47" s="32"/>
      <c r="CC47" s="33"/>
      <c r="CD47" s="33"/>
      <c r="CE47" s="33"/>
      <c r="CF47" s="33"/>
      <c r="CG47" s="33"/>
      <c r="CH47" s="33"/>
      <c r="CI47" s="33"/>
      <c r="CJ47" s="33"/>
      <c r="CK47" s="33"/>
      <c r="CL47" s="33"/>
      <c r="CM47" s="33"/>
      <c r="CN47" s="33"/>
      <c r="CO47" s="33"/>
      <c r="CP47" s="33"/>
      <c r="CQ47" s="33"/>
      <c r="CR47" s="33"/>
      <c r="CS47" s="86"/>
      <c r="CT47" s="148"/>
      <c r="CU47" s="33"/>
      <c r="CV47" s="33"/>
      <c r="CW47" s="33"/>
      <c r="CX47" s="33"/>
      <c r="CY47" s="33"/>
      <c r="CZ47" s="33"/>
      <c r="DA47" s="33"/>
      <c r="DB47" s="33"/>
      <c r="DC47" s="33"/>
      <c r="DD47" s="33"/>
      <c r="DE47" s="33"/>
      <c r="DF47" s="33"/>
      <c r="DG47" s="33"/>
      <c r="DH47" s="33"/>
      <c r="DI47" s="33"/>
      <c r="DJ47" s="33"/>
      <c r="DK47" s="86"/>
      <c r="DL47" s="148"/>
      <c r="DM47" s="33"/>
      <c r="DN47" s="33"/>
      <c r="DO47" s="33"/>
      <c r="DP47" s="33"/>
      <c r="DQ47" s="33"/>
      <c r="DR47" s="33"/>
      <c r="DS47" s="33"/>
      <c r="DT47" s="33"/>
      <c r="DU47" s="33"/>
      <c r="DV47" s="33"/>
      <c r="DW47" s="33"/>
      <c r="DX47" s="33"/>
      <c r="DY47" s="33"/>
      <c r="DZ47" s="33"/>
      <c r="EA47" s="33"/>
      <c r="EB47" s="33"/>
      <c r="EC47" s="86"/>
      <c r="ED47" s="148"/>
      <c r="EE47" s="33"/>
      <c r="EF47" s="33"/>
      <c r="EG47" s="33"/>
      <c r="EH47" s="33"/>
      <c r="EI47" s="33"/>
      <c r="EJ47" s="33"/>
      <c r="EK47" s="33"/>
      <c r="EL47" s="33"/>
      <c r="EM47" s="33"/>
      <c r="EN47" s="33"/>
      <c r="EO47" s="33"/>
      <c r="EP47" s="33"/>
      <c r="EQ47" s="33"/>
      <c r="ER47" s="33"/>
      <c r="ES47" s="33"/>
      <c r="ET47" s="33"/>
      <c r="EU47" s="86"/>
      <c r="EV47" s="32"/>
      <c r="EW47" s="33"/>
      <c r="EX47" s="33"/>
      <c r="EY47" s="33"/>
      <c r="EZ47" s="33"/>
      <c r="FA47" s="33"/>
      <c r="FB47" s="33"/>
      <c r="FC47" s="33"/>
      <c r="FD47" s="33"/>
      <c r="FE47" s="33"/>
      <c r="FF47" s="33"/>
      <c r="FG47" s="33"/>
      <c r="FH47" s="33"/>
      <c r="FI47" s="33"/>
      <c r="FJ47" s="33"/>
      <c r="FK47" s="33"/>
      <c r="FL47" s="33"/>
      <c r="FM47" s="86"/>
      <c r="FN47" s="148"/>
      <c r="FO47" s="33"/>
      <c r="FP47" s="33"/>
      <c r="FQ47" s="33"/>
      <c r="FR47" s="33"/>
      <c r="FS47" s="33"/>
      <c r="FT47" s="33"/>
      <c r="FU47" s="33"/>
      <c r="FV47" s="33"/>
      <c r="FW47" s="33"/>
      <c r="FX47" s="33"/>
      <c r="FY47" s="33"/>
      <c r="FZ47" s="33"/>
      <c r="GA47" s="33"/>
      <c r="GB47" s="33"/>
      <c r="GC47" s="33"/>
      <c r="GD47" s="33"/>
      <c r="GE47" s="86"/>
      <c r="GF47" s="32"/>
      <c r="GG47" s="33"/>
      <c r="GH47" s="33"/>
      <c r="GI47" s="33"/>
      <c r="GJ47" s="33"/>
      <c r="GK47" s="33"/>
      <c r="GL47" s="33"/>
      <c r="GM47" s="33"/>
      <c r="GN47" s="33"/>
      <c r="GO47" s="33"/>
      <c r="GP47" s="33"/>
      <c r="GQ47" s="33"/>
      <c r="GR47" s="33"/>
      <c r="GS47" s="33"/>
      <c r="GT47" s="33"/>
      <c r="GU47" s="33"/>
      <c r="GV47" s="33"/>
      <c r="GW47" s="86"/>
      <c r="GX47" s="148"/>
      <c r="GY47" s="33"/>
      <c r="GZ47" s="33"/>
      <c r="HA47" s="33"/>
      <c r="HB47" s="33"/>
      <c r="HC47" s="33"/>
      <c r="HD47" s="33"/>
      <c r="HE47" s="33"/>
      <c r="HF47" s="33"/>
      <c r="HG47" s="33"/>
      <c r="HH47" s="33"/>
      <c r="HI47" s="33"/>
      <c r="HJ47" s="33"/>
      <c r="HK47" s="33"/>
      <c r="HL47" s="33"/>
      <c r="HM47" s="33"/>
      <c r="HN47" s="33"/>
      <c r="HO47" s="86"/>
      <c r="HP47" s="148"/>
      <c r="HQ47" s="33"/>
      <c r="HR47" s="33"/>
      <c r="HS47" s="33"/>
      <c r="HT47" s="33"/>
      <c r="HU47" s="33"/>
      <c r="HV47" s="33"/>
      <c r="HW47" s="33"/>
      <c r="HX47" s="33"/>
      <c r="HY47" s="33"/>
      <c r="HZ47" s="33"/>
      <c r="IA47" s="33"/>
      <c r="IB47" s="33"/>
      <c r="IC47" s="33"/>
      <c r="ID47" s="33"/>
      <c r="IE47" s="33"/>
      <c r="IF47" s="33"/>
      <c r="IG47" s="86"/>
      <c r="IH47" s="148"/>
      <c r="II47" s="33"/>
      <c r="IJ47" s="33"/>
      <c r="IK47" s="33"/>
      <c r="IL47" s="33"/>
      <c r="IM47" s="33"/>
      <c r="IN47" s="33"/>
      <c r="IO47" s="33"/>
      <c r="IP47" s="33"/>
      <c r="IQ47" s="33"/>
      <c r="IR47" s="33"/>
      <c r="IS47" s="33"/>
      <c r="IT47" s="33"/>
      <c r="IU47" s="33"/>
      <c r="IV47" s="33"/>
      <c r="IW47" s="33"/>
      <c r="IX47" s="33"/>
      <c r="IY47" s="86"/>
      <c r="IZ47" s="148"/>
      <c r="JA47" s="33"/>
      <c r="JB47" s="33"/>
      <c r="JC47" s="33"/>
      <c r="JD47" s="33"/>
      <c r="JE47" s="33"/>
      <c r="JF47" s="33"/>
      <c r="JG47" s="33"/>
      <c r="JH47" s="33"/>
      <c r="JI47" s="33"/>
      <c r="JJ47" s="33"/>
      <c r="JK47" s="33"/>
      <c r="JL47" s="33"/>
      <c r="JM47" s="33"/>
      <c r="JN47" s="33"/>
      <c r="JO47" s="33"/>
      <c r="JP47" s="33"/>
      <c r="JQ47" s="86"/>
      <c r="JR47" s="148"/>
      <c r="JS47" s="33"/>
      <c r="JT47" s="33"/>
      <c r="JU47" s="33"/>
      <c r="JV47" s="33"/>
      <c r="JW47" s="33"/>
      <c r="JX47" s="33"/>
      <c r="JY47" s="33"/>
      <c r="JZ47" s="33"/>
      <c r="KA47" s="33"/>
      <c r="KB47" s="33"/>
      <c r="KC47" s="33"/>
      <c r="KD47" s="33"/>
      <c r="KE47" s="33"/>
      <c r="KF47" s="33"/>
      <c r="KG47" s="33"/>
      <c r="KH47" s="33"/>
      <c r="KI47" s="86"/>
      <c r="KJ47" s="148"/>
      <c r="KK47" s="33"/>
      <c r="KL47" s="33"/>
      <c r="KM47" s="33"/>
      <c r="KN47" s="33"/>
      <c r="KO47" s="33"/>
      <c r="KP47" s="33"/>
      <c r="KQ47" s="33"/>
      <c r="KR47" s="33"/>
      <c r="KS47" s="33"/>
      <c r="KT47" s="33"/>
      <c r="KU47" s="33"/>
      <c r="KV47" s="33"/>
      <c r="KW47" s="33"/>
      <c r="KX47" s="33"/>
      <c r="KY47" s="33"/>
      <c r="KZ47" s="33"/>
      <c r="LA47" s="86"/>
      <c r="LB47" s="148"/>
      <c r="LC47" s="33"/>
      <c r="LD47" s="33"/>
      <c r="LE47" s="33"/>
      <c r="LF47" s="33"/>
      <c r="LG47" s="33"/>
      <c r="LH47" s="33"/>
      <c r="LI47" s="33"/>
      <c r="LJ47" s="33"/>
      <c r="LK47" s="33"/>
      <c r="LL47" s="33"/>
      <c r="LM47" s="33"/>
      <c r="LN47" s="33"/>
      <c r="LO47" s="33"/>
      <c r="LP47" s="33"/>
      <c r="LQ47" s="33"/>
      <c r="LR47" s="33"/>
      <c r="LS47" s="86"/>
      <c r="LT47" s="148"/>
      <c r="LU47" s="33"/>
      <c r="LV47" s="33"/>
      <c r="LW47" s="33"/>
      <c r="LX47" s="33"/>
      <c r="LY47" s="33"/>
      <c r="LZ47" s="33"/>
      <c r="MA47" s="33"/>
      <c r="MB47" s="31"/>
      <c r="MC47" s="33"/>
      <c r="MD47" s="33"/>
      <c r="ME47" s="33"/>
      <c r="MF47" s="33"/>
      <c r="MG47" s="33"/>
      <c r="MH47" s="33"/>
      <c r="MI47" s="33"/>
      <c r="MJ47" s="33"/>
      <c r="MK47" s="86"/>
      <c r="ML47" s="148"/>
      <c r="MM47" s="33"/>
      <c r="MN47" s="33"/>
      <c r="MO47" s="33"/>
      <c r="MP47" s="33"/>
      <c r="MQ47" s="33"/>
      <c r="MR47" s="33"/>
      <c r="MS47" s="33"/>
      <c r="MT47" s="33"/>
      <c r="MU47" s="33"/>
      <c r="MV47" s="33"/>
      <c r="MW47" s="33"/>
      <c r="MX47" s="33"/>
      <c r="MY47" s="33"/>
      <c r="MZ47" s="33"/>
      <c r="NA47" s="33"/>
      <c r="NB47" s="33"/>
      <c r="NC47" s="86"/>
      <c r="ND47" s="32"/>
      <c r="NE47" s="33"/>
      <c r="NF47" s="33"/>
      <c r="NG47" s="33"/>
      <c r="NH47" s="33"/>
      <c r="NI47" s="33"/>
      <c r="NJ47" s="33"/>
      <c r="NK47" s="33"/>
      <c r="NL47" s="33"/>
      <c r="NM47" s="33"/>
      <c r="NN47" s="33"/>
      <c r="NO47" s="33"/>
      <c r="NP47" s="33"/>
      <c r="NQ47" s="33"/>
      <c r="NR47" s="33"/>
      <c r="NS47" s="33"/>
      <c r="NT47" s="33"/>
      <c r="NU47" s="86"/>
      <c r="NV47" s="148"/>
      <c r="NW47" s="33"/>
      <c r="NX47" s="33"/>
      <c r="NY47" s="33"/>
      <c r="NZ47" s="33"/>
      <c r="OA47" s="33"/>
      <c r="OB47" s="33"/>
      <c r="OC47" s="33"/>
      <c r="OD47" s="33"/>
      <c r="OE47" s="33"/>
      <c r="OF47" s="33"/>
      <c r="OG47" s="33"/>
      <c r="OH47" s="33"/>
      <c r="OI47" s="33"/>
      <c r="OJ47" s="33"/>
      <c r="OK47" s="33"/>
      <c r="OL47" s="33"/>
      <c r="OM47" s="86"/>
      <c r="ON47" s="32"/>
      <c r="OO47" s="33"/>
      <c r="OP47" s="33"/>
      <c r="OQ47" s="33"/>
      <c r="OR47" s="33"/>
      <c r="OS47" s="33"/>
      <c r="OT47" s="33"/>
      <c r="OU47" s="33"/>
      <c r="OV47" s="33"/>
      <c r="OW47" s="33"/>
      <c r="OX47" s="33"/>
      <c r="OY47" s="33"/>
      <c r="OZ47" s="33"/>
      <c r="PA47" s="33"/>
      <c r="PB47" s="33"/>
      <c r="PC47" s="33"/>
      <c r="PD47" s="33"/>
      <c r="PE47" s="86"/>
      <c r="PF47" s="148"/>
      <c r="PG47" s="33"/>
      <c r="PH47" s="33"/>
      <c r="PI47" s="33"/>
      <c r="PJ47" s="33"/>
      <c r="PK47" s="33"/>
      <c r="PL47" s="33"/>
      <c r="PM47" s="33"/>
      <c r="PN47" s="31"/>
      <c r="PO47" s="33"/>
      <c r="PP47" s="33"/>
      <c r="PQ47" s="33"/>
      <c r="PR47" s="33"/>
      <c r="PS47" s="33"/>
      <c r="PT47" s="33"/>
      <c r="PU47" s="33"/>
      <c r="PV47" s="33"/>
      <c r="PW47" s="86"/>
      <c r="PX47" s="148"/>
      <c r="PY47" s="33"/>
      <c r="PZ47" s="33"/>
      <c r="QA47" s="33"/>
      <c r="QB47" s="33"/>
      <c r="QC47" s="33"/>
      <c r="QD47" s="33"/>
      <c r="QE47" s="33"/>
      <c r="QF47" s="31"/>
      <c r="QG47" s="33"/>
      <c r="QH47" s="33"/>
      <c r="QI47" s="33"/>
      <c r="QJ47" s="33"/>
      <c r="QK47" s="33"/>
      <c r="QL47" s="33"/>
      <c r="QM47" s="33"/>
      <c r="QN47" s="33"/>
      <c r="QO47" s="86"/>
      <c r="QP47" s="148"/>
      <c r="QQ47" s="33"/>
      <c r="QR47" s="33"/>
      <c r="QS47" s="33"/>
      <c r="QT47" s="33"/>
      <c r="QU47" s="33"/>
      <c r="QV47" s="33"/>
      <c r="QW47" s="33"/>
      <c r="QX47" s="31"/>
      <c r="QY47" s="33"/>
      <c r="QZ47" s="33"/>
      <c r="RA47" s="33"/>
      <c r="RB47" s="33"/>
      <c r="RC47" s="33"/>
      <c r="RD47" s="33"/>
      <c r="RE47" s="33"/>
      <c r="RF47" s="33"/>
      <c r="RG47" s="86"/>
      <c r="RH47" s="148"/>
      <c r="RI47" s="33"/>
      <c r="RJ47" s="33"/>
      <c r="RK47" s="33"/>
      <c r="RL47" s="33"/>
      <c r="RM47" s="33"/>
      <c r="RN47" s="33"/>
      <c r="RO47" s="33"/>
      <c r="RP47" s="31"/>
      <c r="RQ47" s="33"/>
      <c r="RR47" s="33"/>
      <c r="RS47" s="33"/>
      <c r="RT47" s="33"/>
      <c r="RU47" s="33"/>
      <c r="RV47" s="33"/>
      <c r="RW47" s="33"/>
      <c r="RX47" s="33"/>
      <c r="RY47" s="86"/>
      <c r="RZ47" s="148"/>
      <c r="SA47" s="33"/>
      <c r="SB47" s="33"/>
      <c r="SC47" s="33"/>
      <c r="SD47" s="33"/>
      <c r="SE47" s="33"/>
      <c r="SF47" s="33"/>
      <c r="SG47" s="33"/>
      <c r="SH47" s="31"/>
      <c r="SI47" s="33"/>
      <c r="SJ47" s="33"/>
      <c r="SK47" s="33"/>
      <c r="SL47" s="33"/>
      <c r="SM47" s="33"/>
      <c r="SN47" s="33"/>
      <c r="SO47" s="33"/>
      <c r="SP47" s="33"/>
      <c r="SQ47" s="86"/>
      <c r="SR47" s="148"/>
      <c r="SS47" s="33"/>
      <c r="ST47" s="33"/>
      <c r="SU47" s="33"/>
      <c r="SV47" s="33"/>
      <c r="SW47" s="33"/>
      <c r="SX47" s="33"/>
      <c r="SY47" s="33"/>
      <c r="SZ47" s="31"/>
      <c r="TA47" s="33"/>
      <c r="TB47" s="33"/>
      <c r="TC47" s="33"/>
      <c r="TD47" s="33"/>
      <c r="TE47" s="33"/>
      <c r="TF47" s="33"/>
      <c r="TG47" s="33"/>
      <c r="TH47" s="33"/>
      <c r="TI47" s="86"/>
      <c r="TJ47" s="148"/>
      <c r="TK47" s="33"/>
      <c r="TL47" s="33"/>
      <c r="TM47" s="33"/>
      <c r="TN47" s="33"/>
      <c r="TO47" s="33"/>
      <c r="TP47" s="33"/>
      <c r="TQ47" s="33"/>
      <c r="TR47" s="31"/>
      <c r="TS47" s="33"/>
      <c r="TT47" s="33"/>
      <c r="TU47" s="33"/>
      <c r="TV47" s="33"/>
      <c r="TW47" s="33"/>
      <c r="TX47" s="33"/>
      <c r="TY47" s="33"/>
      <c r="TZ47" s="33"/>
      <c r="UA47" s="86"/>
      <c r="UB47" s="148"/>
      <c r="UC47" s="33"/>
      <c r="UD47" s="33"/>
      <c r="UE47" s="33"/>
      <c r="UF47" s="33"/>
      <c r="UG47" s="33"/>
      <c r="UH47" s="33"/>
      <c r="UI47" s="33"/>
      <c r="UJ47" s="31"/>
      <c r="UK47" s="33"/>
      <c r="UL47" s="33"/>
      <c r="UM47" s="33"/>
      <c r="UN47" s="33"/>
      <c r="UO47" s="33"/>
      <c r="UP47" s="33"/>
      <c r="UQ47" s="33"/>
      <c r="UR47" s="33"/>
      <c r="US47" s="86"/>
    </row>
    <row r="48" spans="1:565" x14ac:dyDescent="0.3">
      <c r="A48" s="14" t="s">
        <v>96</v>
      </c>
      <c r="B48" s="170">
        <v>34</v>
      </c>
      <c r="C48" s="16" t="s">
        <v>97</v>
      </c>
      <c r="F48" s="36">
        <v>344826500</v>
      </c>
      <c r="G48" s="85"/>
      <c r="H48" s="35"/>
      <c r="I48" s="35">
        <v>32067000</v>
      </c>
      <c r="J48" s="35">
        <v>28860300</v>
      </c>
      <c r="K48" s="35">
        <v>3206700</v>
      </c>
      <c r="L48" s="35">
        <v>28860300</v>
      </c>
      <c r="M48" s="35"/>
      <c r="N48" s="36"/>
      <c r="O48" s="35">
        <v>32067000</v>
      </c>
      <c r="P48" s="35">
        <v>28860300</v>
      </c>
      <c r="Q48" s="35"/>
      <c r="R48" s="35">
        <v>3206700</v>
      </c>
      <c r="S48" s="35">
        <v>10</v>
      </c>
      <c r="T48" s="35"/>
      <c r="U48" s="35"/>
      <c r="V48" s="85">
        <v>28860300</v>
      </c>
      <c r="W48" s="27"/>
      <c r="X48" s="36">
        <v>28860300</v>
      </c>
      <c r="Y48" s="85">
        <v>28860300</v>
      </c>
      <c r="Z48" s="35"/>
      <c r="AA48" s="35">
        <v>6924111.1100000003</v>
      </c>
      <c r="AB48" s="35">
        <v>6231700</v>
      </c>
      <c r="AC48" s="35">
        <v>692411.11</v>
      </c>
      <c r="AD48" s="35">
        <v>6231700</v>
      </c>
      <c r="AE48" s="35"/>
      <c r="AF48" s="36"/>
      <c r="AG48" s="35">
        <v>6924111.1100000003</v>
      </c>
      <c r="AH48" s="35">
        <v>6231700</v>
      </c>
      <c r="AI48" s="35"/>
      <c r="AJ48" s="35">
        <v>692411.11</v>
      </c>
      <c r="AK48" s="35">
        <v>10</v>
      </c>
      <c r="AL48" s="35"/>
      <c r="AM48" s="35"/>
      <c r="AN48" s="85">
        <v>6231700</v>
      </c>
      <c r="AO48" s="27"/>
      <c r="AP48" s="36">
        <v>6231700</v>
      </c>
      <c r="AQ48" s="85">
        <v>6231700</v>
      </c>
      <c r="AR48" s="35"/>
      <c r="AS48" s="35">
        <v>209617111.11000001</v>
      </c>
      <c r="AT48" s="35">
        <v>188655400</v>
      </c>
      <c r="AU48" s="35">
        <v>20961711.109999999</v>
      </c>
      <c r="AV48" s="35">
        <v>188655400</v>
      </c>
      <c r="AW48" s="35">
        <v>7277772.5999999996</v>
      </c>
      <c r="AX48" s="36"/>
      <c r="AY48" s="35">
        <v>209617111.11000001</v>
      </c>
      <c r="AZ48" s="35">
        <v>188655400</v>
      </c>
      <c r="BA48" s="35"/>
      <c r="BB48" s="35">
        <v>20961711.109999999</v>
      </c>
      <c r="BC48" s="35">
        <v>10</v>
      </c>
      <c r="BD48" s="35">
        <v>7277772.5999999996</v>
      </c>
      <c r="BE48" s="35"/>
      <c r="BF48" s="85">
        <v>188655400</v>
      </c>
      <c r="BG48" s="27"/>
      <c r="BH48" s="36">
        <v>188655400</v>
      </c>
      <c r="BI48" s="85">
        <v>188655400</v>
      </c>
      <c r="BJ48" s="35"/>
      <c r="BK48" s="35">
        <v>777777.78</v>
      </c>
      <c r="BL48" s="35">
        <v>700000</v>
      </c>
      <c r="BM48" s="35">
        <v>77777.78</v>
      </c>
      <c r="BN48" s="35">
        <v>700000</v>
      </c>
      <c r="BO48" s="35"/>
      <c r="BP48" s="36"/>
      <c r="BQ48" s="35">
        <v>777777.78</v>
      </c>
      <c r="BR48" s="35">
        <v>700000</v>
      </c>
      <c r="BS48" s="35"/>
      <c r="BT48" s="35">
        <v>77777.78</v>
      </c>
      <c r="BU48" s="35">
        <v>10</v>
      </c>
      <c r="BV48" s="35"/>
      <c r="BW48" s="35"/>
      <c r="BX48" s="85">
        <v>700000</v>
      </c>
      <c r="BY48" s="27"/>
      <c r="BZ48" s="36">
        <v>700000</v>
      </c>
      <c r="CA48" s="85">
        <v>700000</v>
      </c>
      <c r="CB48" s="35"/>
      <c r="CC48" s="35">
        <v>19999111.109999999</v>
      </c>
      <c r="CD48" s="35">
        <v>17999200</v>
      </c>
      <c r="CE48" s="35">
        <v>1999911.11</v>
      </c>
      <c r="CF48" s="35">
        <v>17999200</v>
      </c>
      <c r="CG48" s="35"/>
      <c r="CH48" s="36"/>
      <c r="CI48" s="35">
        <v>19999111.109999999</v>
      </c>
      <c r="CJ48" s="35">
        <v>17999200</v>
      </c>
      <c r="CK48" s="35"/>
      <c r="CL48" s="35">
        <v>1999911.11</v>
      </c>
      <c r="CM48" s="35">
        <v>10</v>
      </c>
      <c r="CN48" s="35"/>
      <c r="CO48" s="35"/>
      <c r="CP48" s="85">
        <v>17999200</v>
      </c>
      <c r="CQ48" s="27"/>
      <c r="CR48" s="36">
        <v>17999200</v>
      </c>
      <c r="CS48" s="85">
        <v>17999200</v>
      </c>
      <c r="CT48" s="35"/>
      <c r="CU48" s="35">
        <v>9075757.5800000001</v>
      </c>
      <c r="CV48" s="35">
        <v>8985000</v>
      </c>
      <c r="CW48" s="35">
        <v>90757.58</v>
      </c>
      <c r="CX48" s="35">
        <v>8985000</v>
      </c>
      <c r="CY48" s="35"/>
      <c r="CZ48" s="36"/>
      <c r="DA48" s="35">
        <v>9075757.5800000001</v>
      </c>
      <c r="DB48" s="35">
        <v>8985000</v>
      </c>
      <c r="DC48" s="35"/>
      <c r="DD48" s="35">
        <v>90757.58</v>
      </c>
      <c r="DE48" s="35">
        <v>1</v>
      </c>
      <c r="DF48" s="35"/>
      <c r="DG48" s="35"/>
      <c r="DH48" s="85">
        <v>8985000</v>
      </c>
      <c r="DI48" s="27"/>
      <c r="DJ48" s="36">
        <v>8985000</v>
      </c>
      <c r="DK48" s="85">
        <v>8985000</v>
      </c>
      <c r="DL48" s="35"/>
      <c r="DM48" s="35"/>
      <c r="DN48" s="35"/>
      <c r="DO48" s="35"/>
      <c r="DP48" s="35"/>
      <c r="DQ48" s="35"/>
      <c r="DR48" s="36"/>
      <c r="DS48" s="35"/>
      <c r="DT48" s="35"/>
      <c r="DU48" s="35"/>
      <c r="DV48" s="35"/>
      <c r="DW48" s="35"/>
      <c r="DX48" s="35"/>
      <c r="DY48" s="35"/>
      <c r="DZ48" s="85"/>
      <c r="EA48" s="27"/>
      <c r="EB48" s="36"/>
      <c r="EC48" s="85"/>
      <c r="ED48" s="35"/>
      <c r="EE48" s="35">
        <v>33416161.620000001</v>
      </c>
      <c r="EF48" s="35">
        <v>33082000</v>
      </c>
      <c r="EG48" s="35">
        <v>334161.62</v>
      </c>
      <c r="EH48" s="35">
        <v>33082000</v>
      </c>
      <c r="EI48" s="35"/>
      <c r="EJ48" s="36"/>
      <c r="EK48" s="35">
        <v>33416161.620000001</v>
      </c>
      <c r="EL48" s="35">
        <v>33082000</v>
      </c>
      <c r="EM48" s="35"/>
      <c r="EN48" s="35">
        <v>334161.62</v>
      </c>
      <c r="EO48" s="35">
        <v>1</v>
      </c>
      <c r="EP48" s="35"/>
      <c r="EQ48" s="35"/>
      <c r="ER48" s="85">
        <v>33082000</v>
      </c>
      <c r="ES48" s="27"/>
      <c r="ET48" s="36">
        <v>33082000</v>
      </c>
      <c r="EU48" s="85">
        <v>33082000</v>
      </c>
      <c r="EV48" s="35"/>
      <c r="EW48" s="35">
        <v>24687666.66</v>
      </c>
      <c r="EX48" s="35">
        <v>22218900</v>
      </c>
      <c r="EY48" s="35">
        <v>2468766.66</v>
      </c>
      <c r="EZ48" s="35">
        <v>21752714.280000001</v>
      </c>
      <c r="FA48" s="35">
        <v>170560.89</v>
      </c>
      <c r="FB48" s="36"/>
      <c r="FC48" s="35">
        <v>24169682.530000001</v>
      </c>
      <c r="FD48" s="35">
        <v>21752714.280000001</v>
      </c>
      <c r="FE48" s="35"/>
      <c r="FF48" s="35">
        <v>2416968.25</v>
      </c>
      <c r="FG48" s="35">
        <v>10</v>
      </c>
      <c r="FH48" s="35">
        <v>170560.89</v>
      </c>
      <c r="FI48" s="35"/>
      <c r="FJ48" s="85">
        <v>21752714.280000001</v>
      </c>
      <c r="FK48" s="27"/>
      <c r="FL48" s="36">
        <v>22218900</v>
      </c>
      <c r="FM48" s="85">
        <v>22218900</v>
      </c>
      <c r="FN48" s="35"/>
      <c r="FO48" s="35"/>
      <c r="FP48" s="35"/>
      <c r="FQ48" s="35"/>
      <c r="FR48" s="35"/>
      <c r="FS48" s="35"/>
      <c r="FT48" s="36"/>
      <c r="FU48" s="35"/>
      <c r="FV48" s="35"/>
      <c r="FW48" s="35"/>
      <c r="FX48" s="35"/>
      <c r="FY48" s="35"/>
      <c r="FZ48" s="35"/>
      <c r="GA48" s="35"/>
      <c r="GB48" s="85"/>
      <c r="GC48" s="27"/>
      <c r="GD48" s="36"/>
      <c r="GE48" s="85"/>
      <c r="GF48" s="35"/>
      <c r="GG48" s="35">
        <v>35610777.780000001</v>
      </c>
      <c r="GH48" s="35">
        <v>32049700</v>
      </c>
      <c r="GI48" s="35">
        <v>3561077.78</v>
      </c>
      <c r="GJ48" s="35">
        <v>32049700</v>
      </c>
      <c r="GK48" s="35">
        <v>0</v>
      </c>
      <c r="GL48" s="36"/>
      <c r="GM48" s="35">
        <v>35610777.780000001</v>
      </c>
      <c r="GN48" s="35">
        <v>32049700</v>
      </c>
      <c r="GO48" s="35"/>
      <c r="GP48" s="35">
        <v>3561077.78</v>
      </c>
      <c r="GQ48" s="35">
        <v>10</v>
      </c>
      <c r="GR48" s="35">
        <v>0</v>
      </c>
      <c r="GS48" s="35"/>
      <c r="GT48" s="85">
        <v>32049700</v>
      </c>
      <c r="GU48" s="27"/>
      <c r="GV48" s="36">
        <v>32049700</v>
      </c>
      <c r="GW48" s="85">
        <v>32049700</v>
      </c>
      <c r="GX48" s="35"/>
      <c r="GY48" s="35"/>
      <c r="GZ48" s="35"/>
      <c r="HA48" s="35"/>
      <c r="HB48" s="35"/>
      <c r="HC48" s="35"/>
      <c r="HD48" s="36"/>
      <c r="HE48" s="35"/>
      <c r="HF48" s="35"/>
      <c r="HG48" s="35"/>
      <c r="HH48" s="35"/>
      <c r="HI48" s="35"/>
      <c r="HJ48" s="35"/>
      <c r="HK48" s="35"/>
      <c r="HL48" s="85"/>
      <c r="HM48" s="27"/>
      <c r="HN48" s="36"/>
      <c r="HO48" s="85"/>
      <c r="HP48" s="35"/>
      <c r="HQ48" s="35"/>
      <c r="HR48" s="35"/>
      <c r="HS48" s="35"/>
      <c r="HT48" s="35"/>
      <c r="HU48" s="35"/>
      <c r="HV48" s="36"/>
      <c r="HW48" s="35"/>
      <c r="HX48" s="35"/>
      <c r="HY48" s="35"/>
      <c r="HZ48" s="35"/>
      <c r="IA48" s="35"/>
      <c r="IB48" s="35"/>
      <c r="IC48" s="35"/>
      <c r="ID48" s="85"/>
      <c r="IE48" s="27"/>
      <c r="IF48" s="36"/>
      <c r="IG48" s="85"/>
      <c r="IH48" s="35"/>
      <c r="II48" s="35"/>
      <c r="IJ48" s="35"/>
      <c r="IK48" s="35"/>
      <c r="IL48" s="35"/>
      <c r="IM48" s="35"/>
      <c r="IN48" s="36"/>
      <c r="IO48" s="35"/>
      <c r="IP48" s="35"/>
      <c r="IQ48" s="35"/>
      <c r="IR48" s="35"/>
      <c r="IS48" s="35"/>
      <c r="IT48" s="35"/>
      <c r="IU48" s="35"/>
      <c r="IV48" s="85"/>
      <c r="IW48" s="27"/>
      <c r="IX48" s="36"/>
      <c r="IY48" s="85"/>
      <c r="IZ48" s="35"/>
      <c r="JA48" s="35">
        <v>4905300</v>
      </c>
      <c r="JB48" s="35">
        <v>3343200</v>
      </c>
      <c r="JC48" s="35">
        <v>1562100</v>
      </c>
      <c r="JD48" s="35">
        <v>3343200</v>
      </c>
      <c r="JE48" s="35"/>
      <c r="JF48" s="36"/>
      <c r="JG48" s="35">
        <v>4905300</v>
      </c>
      <c r="JH48" s="35">
        <v>3343200</v>
      </c>
      <c r="JI48" s="35"/>
      <c r="JJ48" s="35">
        <v>1562100</v>
      </c>
      <c r="JK48" s="35">
        <v>31.84515</v>
      </c>
      <c r="JL48" s="35"/>
      <c r="JM48" s="35"/>
      <c r="JN48" s="85">
        <v>3343200</v>
      </c>
      <c r="JO48" s="27"/>
      <c r="JP48" s="36">
        <v>3343200</v>
      </c>
      <c r="JQ48" s="85">
        <v>3343200</v>
      </c>
      <c r="JR48" s="35"/>
      <c r="JS48" s="35"/>
      <c r="JT48" s="35"/>
      <c r="JU48" s="35"/>
      <c r="JV48" s="35"/>
      <c r="JW48" s="35">
        <v>61678.42</v>
      </c>
      <c r="JX48" s="36"/>
      <c r="JY48" s="35"/>
      <c r="JZ48" s="35"/>
      <c r="KA48" s="35"/>
      <c r="KB48" s="35"/>
      <c r="KC48" s="35"/>
      <c r="KD48" s="35">
        <v>61678.42</v>
      </c>
      <c r="KE48" s="35"/>
      <c r="KF48" s="85"/>
      <c r="KG48" s="27"/>
      <c r="KH48" s="36"/>
      <c r="KI48" s="85"/>
      <c r="KJ48" s="35"/>
      <c r="KK48" s="35">
        <v>2432111.11</v>
      </c>
      <c r="KL48" s="35">
        <v>2188900</v>
      </c>
      <c r="KM48" s="35">
        <v>243211.11</v>
      </c>
      <c r="KN48" s="35">
        <v>2188900</v>
      </c>
      <c r="KO48" s="35"/>
      <c r="KP48" s="36"/>
      <c r="KQ48" s="35">
        <v>2432111.11</v>
      </c>
      <c r="KR48" s="35">
        <v>2188900</v>
      </c>
      <c r="KS48" s="35"/>
      <c r="KT48" s="35">
        <v>243211.11</v>
      </c>
      <c r="KU48" s="35">
        <v>10</v>
      </c>
      <c r="KV48" s="35"/>
      <c r="KW48" s="35"/>
      <c r="KX48" s="85">
        <v>2188900</v>
      </c>
      <c r="KY48" s="27"/>
      <c r="KZ48" s="36">
        <v>2188900</v>
      </c>
      <c r="LA48" s="85">
        <v>2188900</v>
      </c>
      <c r="LB48" s="35"/>
      <c r="LC48" s="35"/>
      <c r="LD48" s="35"/>
      <c r="LE48" s="35"/>
      <c r="LF48" s="35"/>
      <c r="LG48" s="35"/>
      <c r="LH48" s="36"/>
      <c r="LI48" s="35"/>
      <c r="LJ48" s="35"/>
      <c r="LK48" s="35"/>
      <c r="LL48" s="35"/>
      <c r="LM48" s="35"/>
      <c r="LN48" s="35"/>
      <c r="LO48" s="35"/>
      <c r="LP48" s="85"/>
      <c r="LQ48" s="27"/>
      <c r="LR48" s="36"/>
      <c r="LS48" s="85"/>
      <c r="LT48" s="35"/>
      <c r="LU48" s="35"/>
      <c r="LV48" s="35"/>
      <c r="LW48" s="35"/>
      <c r="LX48" s="35"/>
      <c r="LY48" s="35"/>
      <c r="LZ48" s="36"/>
      <c r="MA48" s="35"/>
      <c r="MB48" s="35"/>
      <c r="MC48" s="35"/>
      <c r="MD48" s="35"/>
      <c r="ME48" s="35"/>
      <c r="MF48" s="35"/>
      <c r="MG48" s="35"/>
      <c r="MH48" s="85"/>
      <c r="MI48" s="27"/>
      <c r="MJ48" s="36"/>
      <c r="MK48" s="85"/>
      <c r="ML48" s="35"/>
      <c r="MM48" s="35"/>
      <c r="MN48" s="35"/>
      <c r="MO48" s="35"/>
      <c r="MP48" s="35"/>
      <c r="MQ48" s="35"/>
      <c r="MR48" s="36"/>
      <c r="MS48" s="35"/>
      <c r="MT48" s="35"/>
      <c r="MU48" s="35"/>
      <c r="MV48" s="35"/>
      <c r="MW48" s="35"/>
      <c r="MX48" s="35"/>
      <c r="MY48" s="35"/>
      <c r="MZ48" s="85"/>
      <c r="NA48" s="27"/>
      <c r="NB48" s="36"/>
      <c r="NC48" s="85"/>
      <c r="ND48" s="35"/>
      <c r="NE48" s="35">
        <v>569111.11</v>
      </c>
      <c r="NF48" s="35">
        <v>512200</v>
      </c>
      <c r="NG48" s="35">
        <v>56911.11</v>
      </c>
      <c r="NH48" s="35">
        <v>512200</v>
      </c>
      <c r="NI48" s="35"/>
      <c r="NJ48" s="36"/>
      <c r="NK48" s="35">
        <v>569111.11</v>
      </c>
      <c r="NL48" s="35">
        <v>512200</v>
      </c>
      <c r="NM48" s="35"/>
      <c r="NN48" s="35">
        <v>56911.11</v>
      </c>
      <c r="NO48" s="35">
        <v>10</v>
      </c>
      <c r="NP48" s="35"/>
      <c r="NQ48" s="35"/>
      <c r="NR48" s="85">
        <v>512200</v>
      </c>
      <c r="NS48" s="27"/>
      <c r="NT48" s="36">
        <v>512200</v>
      </c>
      <c r="NU48" s="85">
        <v>512200</v>
      </c>
      <c r="NV48" s="35"/>
      <c r="NW48" s="35"/>
      <c r="NX48" s="35"/>
      <c r="NY48" s="35"/>
      <c r="NZ48" s="35"/>
      <c r="OA48" s="35"/>
      <c r="OB48" s="36"/>
      <c r="OC48" s="35"/>
      <c r="OD48" s="35"/>
      <c r="OE48" s="35"/>
      <c r="OF48" s="35"/>
      <c r="OG48" s="35"/>
      <c r="OH48" s="35"/>
      <c r="OI48" s="35"/>
      <c r="OJ48" s="85"/>
      <c r="OK48" s="27"/>
      <c r="OL48" s="36"/>
      <c r="OM48" s="85"/>
      <c r="ON48" s="35"/>
      <c r="OO48" s="35"/>
      <c r="OP48" s="35"/>
      <c r="OQ48" s="35"/>
      <c r="OR48" s="35"/>
      <c r="OS48" s="35">
        <v>8252197.21</v>
      </c>
      <c r="OT48" s="36"/>
      <c r="OU48" s="35"/>
      <c r="OV48" s="35"/>
      <c r="OW48" s="35"/>
      <c r="OX48" s="35"/>
      <c r="OY48" s="35"/>
      <c r="OZ48" s="35">
        <v>8252197.21</v>
      </c>
      <c r="PA48" s="35"/>
      <c r="PB48" s="85"/>
      <c r="PC48" s="27"/>
      <c r="PD48" s="36"/>
      <c r="PE48" s="85"/>
      <c r="PF48" s="35"/>
      <c r="PG48" s="35"/>
      <c r="PH48" s="35"/>
      <c r="PI48" s="35"/>
      <c r="PJ48" s="35"/>
      <c r="PK48" s="35"/>
      <c r="PL48" s="36"/>
      <c r="PM48" s="35"/>
      <c r="PN48" s="35"/>
      <c r="PO48" s="35"/>
      <c r="PP48" s="35"/>
      <c r="PQ48" s="35"/>
      <c r="PR48" s="35"/>
      <c r="PS48" s="35"/>
      <c r="PT48" s="85"/>
      <c r="PU48" s="27"/>
      <c r="PV48" s="36"/>
      <c r="PW48" s="85"/>
      <c r="PX48" s="35"/>
      <c r="PY48" s="35"/>
      <c r="PZ48" s="35"/>
      <c r="QA48" s="35"/>
      <c r="QB48" s="35"/>
      <c r="QC48" s="35"/>
      <c r="QD48" s="36"/>
      <c r="QE48" s="35"/>
      <c r="QF48" s="35"/>
      <c r="QG48" s="35"/>
      <c r="QH48" s="35"/>
      <c r="QI48" s="35"/>
      <c r="QJ48" s="35"/>
      <c r="QK48" s="35"/>
      <c r="QL48" s="85"/>
      <c r="QM48" s="27"/>
      <c r="QN48" s="36"/>
      <c r="QO48" s="85"/>
      <c r="QP48" s="35"/>
      <c r="QQ48" s="35"/>
      <c r="QR48" s="35"/>
      <c r="QS48" s="35"/>
      <c r="QT48" s="35"/>
      <c r="QU48" s="35"/>
      <c r="QV48" s="36"/>
      <c r="QW48" s="35"/>
      <c r="QX48" s="35"/>
      <c r="QY48" s="35"/>
      <c r="QZ48" s="35"/>
      <c r="RA48" s="35"/>
      <c r="RB48" s="35"/>
      <c r="RC48" s="35"/>
      <c r="RD48" s="85"/>
      <c r="RE48" s="27"/>
      <c r="RF48" s="36"/>
      <c r="RG48" s="85"/>
      <c r="RH48" s="35"/>
      <c r="RI48" s="35"/>
      <c r="RJ48" s="35"/>
      <c r="RK48" s="35"/>
      <c r="RL48" s="35"/>
      <c r="RM48" s="35"/>
      <c r="RN48" s="36"/>
      <c r="RO48" s="35"/>
      <c r="RP48" s="35"/>
      <c r="RQ48" s="35"/>
      <c r="RR48" s="35"/>
      <c r="RS48" s="35"/>
      <c r="RT48" s="35"/>
      <c r="RU48" s="35"/>
      <c r="RV48" s="85"/>
      <c r="RW48" s="27"/>
      <c r="RX48" s="36"/>
      <c r="RY48" s="85"/>
      <c r="RZ48" s="35"/>
      <c r="SA48" s="35"/>
      <c r="SB48" s="35"/>
      <c r="SC48" s="35"/>
      <c r="SD48" s="35"/>
      <c r="SE48" s="35"/>
      <c r="SF48" s="36"/>
      <c r="SG48" s="35"/>
      <c r="SH48" s="35"/>
      <c r="SI48" s="35"/>
      <c r="SJ48" s="35"/>
      <c r="SK48" s="35"/>
      <c r="SL48" s="35"/>
      <c r="SM48" s="35"/>
      <c r="SN48" s="85"/>
      <c r="SO48" s="27"/>
      <c r="SP48" s="36"/>
      <c r="SQ48" s="85"/>
      <c r="SR48" s="35"/>
      <c r="SS48" s="35"/>
      <c r="ST48" s="35"/>
      <c r="SU48" s="35"/>
      <c r="SV48" s="35"/>
      <c r="SW48" s="35"/>
      <c r="SX48" s="36"/>
      <c r="SY48" s="35"/>
      <c r="SZ48" s="35"/>
      <c r="TA48" s="35"/>
      <c r="TB48" s="35"/>
      <c r="TC48" s="35"/>
      <c r="TD48" s="35"/>
      <c r="TE48" s="35"/>
      <c r="TF48" s="85"/>
      <c r="TG48" s="27"/>
      <c r="TH48" s="36"/>
      <c r="TI48" s="85"/>
      <c r="TJ48" s="35"/>
      <c r="TK48" s="35"/>
      <c r="TL48" s="35"/>
      <c r="TM48" s="35"/>
      <c r="TN48" s="35"/>
      <c r="TO48" s="35"/>
      <c r="TP48" s="36"/>
      <c r="TQ48" s="35"/>
      <c r="TR48" s="35"/>
      <c r="TS48" s="35"/>
      <c r="TT48" s="35"/>
      <c r="TU48" s="35"/>
      <c r="TV48" s="35"/>
      <c r="TW48" s="35"/>
      <c r="TX48" s="85"/>
      <c r="TY48" s="27"/>
      <c r="TZ48" s="36"/>
      <c r="UA48" s="85"/>
      <c r="UB48" s="35"/>
      <c r="UC48" s="35"/>
      <c r="UD48" s="35"/>
      <c r="UE48" s="35"/>
      <c r="UF48" s="35"/>
      <c r="UG48" s="35"/>
      <c r="UH48" s="36"/>
      <c r="UI48" s="35"/>
      <c r="UJ48" s="35"/>
      <c r="UK48" s="35"/>
      <c r="UL48" s="35"/>
      <c r="UM48" s="35"/>
      <c r="UN48" s="35"/>
      <c r="UO48" s="35"/>
      <c r="UP48" s="85"/>
      <c r="UQ48" s="27"/>
      <c r="UR48" s="36"/>
      <c r="US48" s="85"/>
    </row>
    <row r="49" spans="1:565" x14ac:dyDescent="0.3">
      <c r="A49" s="14" t="s">
        <v>98</v>
      </c>
      <c r="B49" s="171">
        <v>35</v>
      </c>
      <c r="C49" s="16" t="s">
        <v>99</v>
      </c>
      <c r="F49" s="36">
        <v>935787800</v>
      </c>
      <c r="G49" s="85"/>
      <c r="H49" s="35"/>
      <c r="I49" s="35">
        <v>72757659.569999993</v>
      </c>
      <c r="J49" s="35">
        <v>68392200</v>
      </c>
      <c r="K49" s="35">
        <v>4365459.57</v>
      </c>
      <c r="L49" s="35">
        <v>68392200</v>
      </c>
      <c r="M49" s="35">
        <v>87391.62</v>
      </c>
      <c r="N49" s="36"/>
      <c r="O49" s="35">
        <v>72757659.569999993</v>
      </c>
      <c r="P49" s="35">
        <v>68392200</v>
      </c>
      <c r="Q49" s="35"/>
      <c r="R49" s="35">
        <v>4365459.57</v>
      </c>
      <c r="S49" s="35">
        <v>6</v>
      </c>
      <c r="T49" s="35">
        <v>87391.62</v>
      </c>
      <c r="U49" s="35"/>
      <c r="V49" s="85">
        <v>68392200</v>
      </c>
      <c r="W49" s="27"/>
      <c r="X49" s="36">
        <v>68392200</v>
      </c>
      <c r="Y49" s="85">
        <v>68392200</v>
      </c>
      <c r="Z49" s="35"/>
      <c r="AA49" s="35"/>
      <c r="AB49" s="35"/>
      <c r="AC49" s="35"/>
      <c r="AD49" s="35"/>
      <c r="AE49" s="35"/>
      <c r="AF49" s="36"/>
      <c r="AG49" s="35"/>
      <c r="AH49" s="35"/>
      <c r="AI49" s="35"/>
      <c r="AJ49" s="35"/>
      <c r="AK49" s="35"/>
      <c r="AL49" s="35"/>
      <c r="AM49" s="35"/>
      <c r="AN49" s="85"/>
      <c r="AO49" s="27"/>
      <c r="AP49" s="36"/>
      <c r="AQ49" s="85"/>
      <c r="AR49" s="35"/>
      <c r="AS49" s="35">
        <v>524336808.52999997</v>
      </c>
      <c r="AT49" s="35">
        <v>492876600</v>
      </c>
      <c r="AU49" s="35">
        <v>31460208.530000001</v>
      </c>
      <c r="AV49" s="35">
        <v>492876600</v>
      </c>
      <c r="AW49" s="35">
        <v>159861.5</v>
      </c>
      <c r="AX49" s="36"/>
      <c r="AY49" s="35">
        <v>524336808.52999997</v>
      </c>
      <c r="AZ49" s="35">
        <v>492876600</v>
      </c>
      <c r="BA49" s="35"/>
      <c r="BB49" s="35">
        <v>31460208.530000001</v>
      </c>
      <c r="BC49" s="35">
        <v>6</v>
      </c>
      <c r="BD49" s="35">
        <v>159861.5</v>
      </c>
      <c r="BE49" s="35"/>
      <c r="BF49" s="85">
        <v>492876600</v>
      </c>
      <c r="BG49" s="27"/>
      <c r="BH49" s="36">
        <v>492876600</v>
      </c>
      <c r="BI49" s="85">
        <v>492876600</v>
      </c>
      <c r="BJ49" s="35"/>
      <c r="BK49" s="35">
        <v>590947.88</v>
      </c>
      <c r="BL49" s="35">
        <v>533800</v>
      </c>
      <c r="BM49" s="35">
        <v>57147.88</v>
      </c>
      <c r="BN49" s="35">
        <v>533692.68000000005</v>
      </c>
      <c r="BO49" s="35"/>
      <c r="BP49" s="36"/>
      <c r="BQ49" s="35">
        <v>590837.34</v>
      </c>
      <c r="BR49" s="35">
        <v>533692.68000000005</v>
      </c>
      <c r="BS49" s="35"/>
      <c r="BT49" s="35">
        <v>57144.66</v>
      </c>
      <c r="BU49" s="35">
        <v>9.6718100000000007</v>
      </c>
      <c r="BV49" s="35"/>
      <c r="BW49" s="35">
        <v>0</v>
      </c>
      <c r="BX49" s="85">
        <v>533692.68000000005</v>
      </c>
      <c r="BY49" s="27"/>
      <c r="BZ49" s="36">
        <v>533800</v>
      </c>
      <c r="CA49" s="85">
        <v>533800</v>
      </c>
      <c r="CB49" s="35"/>
      <c r="CC49" s="35">
        <v>173668404.25</v>
      </c>
      <c r="CD49" s="35">
        <v>163248300</v>
      </c>
      <c r="CE49" s="35">
        <v>10420104.25</v>
      </c>
      <c r="CF49" s="35">
        <v>163248300</v>
      </c>
      <c r="CG49" s="35"/>
      <c r="CH49" s="36"/>
      <c r="CI49" s="35">
        <v>173668404.25</v>
      </c>
      <c r="CJ49" s="35">
        <v>163248300</v>
      </c>
      <c r="CK49" s="35"/>
      <c r="CL49" s="35">
        <v>10420104.25</v>
      </c>
      <c r="CM49" s="35">
        <v>6</v>
      </c>
      <c r="CN49" s="35"/>
      <c r="CO49" s="35"/>
      <c r="CP49" s="85">
        <v>163248300</v>
      </c>
      <c r="CQ49" s="27"/>
      <c r="CR49" s="36">
        <v>163248300</v>
      </c>
      <c r="CS49" s="85">
        <v>163248300</v>
      </c>
      <c r="CT49" s="35"/>
      <c r="CU49" s="35">
        <v>68877551.019999996</v>
      </c>
      <c r="CV49" s="35">
        <v>67500000</v>
      </c>
      <c r="CW49" s="35">
        <v>1377551.02</v>
      </c>
      <c r="CX49" s="35">
        <v>67500000</v>
      </c>
      <c r="CY49" s="35"/>
      <c r="CZ49" s="36"/>
      <c r="DA49" s="35">
        <v>68877551.019999996</v>
      </c>
      <c r="DB49" s="35">
        <v>67500000</v>
      </c>
      <c r="DC49" s="35"/>
      <c r="DD49" s="35">
        <v>1377551.02</v>
      </c>
      <c r="DE49" s="35">
        <v>2</v>
      </c>
      <c r="DF49" s="35"/>
      <c r="DG49" s="35"/>
      <c r="DH49" s="85">
        <v>67500000</v>
      </c>
      <c r="DI49" s="27"/>
      <c r="DJ49" s="36">
        <v>67500000</v>
      </c>
      <c r="DK49" s="85">
        <v>67500000</v>
      </c>
      <c r="DL49" s="35"/>
      <c r="DM49" s="35"/>
      <c r="DN49" s="35"/>
      <c r="DO49" s="35"/>
      <c r="DP49" s="35"/>
      <c r="DQ49" s="35"/>
      <c r="DR49" s="36"/>
      <c r="DS49" s="35"/>
      <c r="DT49" s="35"/>
      <c r="DU49" s="35"/>
      <c r="DV49" s="35"/>
      <c r="DW49" s="35"/>
      <c r="DX49" s="35"/>
      <c r="DY49" s="35"/>
      <c r="DZ49" s="85"/>
      <c r="EA49" s="27"/>
      <c r="EB49" s="36"/>
      <c r="EC49" s="85"/>
      <c r="ED49" s="35"/>
      <c r="EE49" s="35">
        <v>91595226.909999996</v>
      </c>
      <c r="EF49" s="35">
        <v>89763300</v>
      </c>
      <c r="EG49" s="35">
        <v>1831926.91</v>
      </c>
      <c r="EH49" s="35">
        <v>89763300</v>
      </c>
      <c r="EI49" s="35"/>
      <c r="EJ49" s="36"/>
      <c r="EK49" s="35">
        <v>91595226.909999996</v>
      </c>
      <c r="EL49" s="35">
        <v>89763300</v>
      </c>
      <c r="EM49" s="35"/>
      <c r="EN49" s="35">
        <v>1831926.91</v>
      </c>
      <c r="EO49" s="35">
        <v>2.0000200000000001</v>
      </c>
      <c r="EP49" s="35"/>
      <c r="EQ49" s="35"/>
      <c r="ER49" s="85">
        <v>89763300</v>
      </c>
      <c r="ES49" s="27"/>
      <c r="ET49" s="36">
        <v>89763300</v>
      </c>
      <c r="EU49" s="85">
        <v>89763300</v>
      </c>
      <c r="EV49" s="35"/>
      <c r="EW49" s="35">
        <v>28364680.870000001</v>
      </c>
      <c r="EX49" s="35">
        <v>26662800</v>
      </c>
      <c r="EY49" s="35">
        <v>1701880.87</v>
      </c>
      <c r="EZ49" s="35">
        <v>26662800</v>
      </c>
      <c r="FA49" s="35"/>
      <c r="FB49" s="36"/>
      <c r="FC49" s="35">
        <v>28364680.870000001</v>
      </c>
      <c r="FD49" s="35">
        <v>26662800</v>
      </c>
      <c r="FE49" s="35"/>
      <c r="FF49" s="35">
        <v>1701880.87</v>
      </c>
      <c r="FG49" s="35">
        <v>6</v>
      </c>
      <c r="FH49" s="35"/>
      <c r="FI49" s="35"/>
      <c r="FJ49" s="85">
        <v>26662800</v>
      </c>
      <c r="FK49" s="27"/>
      <c r="FL49" s="36">
        <v>26662800</v>
      </c>
      <c r="FM49" s="85">
        <v>26662800</v>
      </c>
      <c r="FN49" s="35"/>
      <c r="FO49" s="35"/>
      <c r="FP49" s="35"/>
      <c r="FQ49" s="35"/>
      <c r="FR49" s="35"/>
      <c r="FS49" s="35">
        <v>232831.84</v>
      </c>
      <c r="FT49" s="36"/>
      <c r="FU49" s="35"/>
      <c r="FV49" s="35"/>
      <c r="FW49" s="35"/>
      <c r="FX49" s="35"/>
      <c r="FY49" s="35"/>
      <c r="FZ49" s="35">
        <v>232831.84</v>
      </c>
      <c r="GA49" s="35"/>
      <c r="GB49" s="85"/>
      <c r="GC49" s="27"/>
      <c r="GD49" s="36"/>
      <c r="GE49" s="85"/>
      <c r="GF49" s="35"/>
      <c r="GG49" s="35">
        <v>25950106.359999999</v>
      </c>
      <c r="GH49" s="35">
        <v>24393100</v>
      </c>
      <c r="GI49" s="35">
        <v>1557006.36</v>
      </c>
      <c r="GJ49" s="35">
        <v>23059374.030000001</v>
      </c>
      <c r="GK49" s="35"/>
      <c r="GL49" s="36"/>
      <c r="GM49" s="35">
        <v>24531248.949999999</v>
      </c>
      <c r="GN49" s="35">
        <v>23059374.030000001</v>
      </c>
      <c r="GO49" s="35"/>
      <c r="GP49" s="35">
        <v>1471874.92</v>
      </c>
      <c r="GQ49" s="35">
        <v>6</v>
      </c>
      <c r="GR49" s="35"/>
      <c r="GS49" s="35"/>
      <c r="GT49" s="85">
        <v>23059374.030000001</v>
      </c>
      <c r="GU49" s="27"/>
      <c r="GV49" s="36">
        <v>24393100</v>
      </c>
      <c r="GW49" s="85">
        <v>24393100</v>
      </c>
      <c r="GX49" s="35"/>
      <c r="GY49" s="35"/>
      <c r="GZ49" s="35"/>
      <c r="HA49" s="35"/>
      <c r="HB49" s="35"/>
      <c r="HC49" s="35">
        <v>11063489.27</v>
      </c>
      <c r="HD49" s="36"/>
      <c r="HE49" s="35"/>
      <c r="HF49" s="35"/>
      <c r="HG49" s="35"/>
      <c r="HH49" s="35"/>
      <c r="HI49" s="35"/>
      <c r="HJ49" s="35">
        <v>11063489.27</v>
      </c>
      <c r="HK49" s="35"/>
      <c r="HL49" s="85"/>
      <c r="HM49" s="27"/>
      <c r="HN49" s="36"/>
      <c r="HO49" s="85"/>
      <c r="HP49" s="35"/>
      <c r="HQ49" s="35"/>
      <c r="HR49" s="35"/>
      <c r="HS49" s="35"/>
      <c r="HT49" s="35"/>
      <c r="HU49" s="35"/>
      <c r="HV49" s="36"/>
      <c r="HW49" s="35"/>
      <c r="HX49" s="35"/>
      <c r="HY49" s="35"/>
      <c r="HZ49" s="35"/>
      <c r="IA49" s="35"/>
      <c r="IB49" s="35"/>
      <c r="IC49" s="35"/>
      <c r="ID49" s="85"/>
      <c r="IE49" s="27"/>
      <c r="IF49" s="36"/>
      <c r="IG49" s="85"/>
      <c r="IH49" s="35"/>
      <c r="II49" s="35"/>
      <c r="IJ49" s="35"/>
      <c r="IK49" s="35"/>
      <c r="IL49" s="35"/>
      <c r="IM49" s="35"/>
      <c r="IN49" s="36"/>
      <c r="IO49" s="35"/>
      <c r="IP49" s="35"/>
      <c r="IQ49" s="35"/>
      <c r="IR49" s="35"/>
      <c r="IS49" s="35"/>
      <c r="IT49" s="35"/>
      <c r="IU49" s="35"/>
      <c r="IV49" s="85"/>
      <c r="IW49" s="27"/>
      <c r="IX49" s="36"/>
      <c r="IY49" s="85"/>
      <c r="IZ49" s="35"/>
      <c r="JA49" s="35"/>
      <c r="JB49" s="35"/>
      <c r="JC49" s="35"/>
      <c r="JD49" s="35"/>
      <c r="JE49" s="35"/>
      <c r="JF49" s="36"/>
      <c r="JG49" s="35"/>
      <c r="JH49" s="35"/>
      <c r="JI49" s="35"/>
      <c r="JJ49" s="35"/>
      <c r="JK49" s="35"/>
      <c r="JL49" s="35"/>
      <c r="JM49" s="35"/>
      <c r="JN49" s="85"/>
      <c r="JO49" s="27"/>
      <c r="JP49" s="36"/>
      <c r="JQ49" s="85"/>
      <c r="JR49" s="35"/>
      <c r="JS49" s="35"/>
      <c r="JT49" s="35"/>
      <c r="JU49" s="35"/>
      <c r="JV49" s="35"/>
      <c r="JW49" s="35"/>
      <c r="JX49" s="36"/>
      <c r="JY49" s="35"/>
      <c r="JZ49" s="35"/>
      <c r="KA49" s="35"/>
      <c r="KB49" s="35"/>
      <c r="KC49" s="35"/>
      <c r="KD49" s="35"/>
      <c r="KE49" s="35"/>
      <c r="KF49" s="85"/>
      <c r="KG49" s="27"/>
      <c r="KH49" s="36"/>
      <c r="KI49" s="85"/>
      <c r="KJ49" s="35"/>
      <c r="KK49" s="35">
        <v>2063723.4</v>
      </c>
      <c r="KL49" s="35">
        <v>1939900</v>
      </c>
      <c r="KM49" s="35">
        <v>123823.4</v>
      </c>
      <c r="KN49" s="35">
        <v>1939900</v>
      </c>
      <c r="KO49" s="35"/>
      <c r="KP49" s="36"/>
      <c r="KQ49" s="35">
        <v>2063723.4</v>
      </c>
      <c r="KR49" s="35">
        <v>1939900</v>
      </c>
      <c r="KS49" s="35"/>
      <c r="KT49" s="35">
        <v>123823.4</v>
      </c>
      <c r="KU49" s="35">
        <v>6</v>
      </c>
      <c r="KV49" s="35"/>
      <c r="KW49" s="35"/>
      <c r="KX49" s="85">
        <v>1939900</v>
      </c>
      <c r="KY49" s="27"/>
      <c r="KZ49" s="36">
        <v>1939900</v>
      </c>
      <c r="LA49" s="85">
        <v>1939900</v>
      </c>
      <c r="LB49" s="35"/>
      <c r="LC49" s="35"/>
      <c r="LD49" s="35"/>
      <c r="LE49" s="35"/>
      <c r="LF49" s="35"/>
      <c r="LG49" s="35"/>
      <c r="LH49" s="36"/>
      <c r="LI49" s="35"/>
      <c r="LJ49" s="35"/>
      <c r="LK49" s="35"/>
      <c r="LL49" s="35"/>
      <c r="LM49" s="35"/>
      <c r="LN49" s="35"/>
      <c r="LO49" s="35"/>
      <c r="LP49" s="85"/>
      <c r="LQ49" s="27"/>
      <c r="LR49" s="36"/>
      <c r="LS49" s="85"/>
      <c r="LT49" s="35"/>
      <c r="LU49" s="35"/>
      <c r="LV49" s="35"/>
      <c r="LW49" s="35"/>
      <c r="LX49" s="35"/>
      <c r="LY49" s="35"/>
      <c r="LZ49" s="36"/>
      <c r="MA49" s="35"/>
      <c r="MB49" s="35"/>
      <c r="MC49" s="35"/>
      <c r="MD49" s="35"/>
      <c r="ME49" s="35"/>
      <c r="MF49" s="35"/>
      <c r="MG49" s="35"/>
      <c r="MH49" s="85"/>
      <c r="MI49" s="27"/>
      <c r="MJ49" s="36"/>
      <c r="MK49" s="85"/>
      <c r="ML49" s="35"/>
      <c r="MM49" s="35"/>
      <c r="MN49" s="35"/>
      <c r="MO49" s="35"/>
      <c r="MP49" s="35"/>
      <c r="MQ49" s="35">
        <v>8730459.6799999997</v>
      </c>
      <c r="MR49" s="36"/>
      <c r="MS49" s="35"/>
      <c r="MT49" s="35"/>
      <c r="MU49" s="35"/>
      <c r="MV49" s="35"/>
      <c r="MW49" s="35"/>
      <c r="MX49" s="35">
        <v>8730459.6799999997</v>
      </c>
      <c r="MY49" s="35"/>
      <c r="MZ49" s="85"/>
      <c r="NA49" s="27"/>
      <c r="NB49" s="36"/>
      <c r="NC49" s="85"/>
      <c r="ND49" s="35"/>
      <c r="NE49" s="35">
        <v>508297.87</v>
      </c>
      <c r="NF49" s="35">
        <v>477800</v>
      </c>
      <c r="NG49" s="35">
        <v>30497.87</v>
      </c>
      <c r="NH49" s="35">
        <v>477800</v>
      </c>
      <c r="NI49" s="35"/>
      <c r="NJ49" s="36"/>
      <c r="NK49" s="35">
        <v>508297.87</v>
      </c>
      <c r="NL49" s="35">
        <v>477800</v>
      </c>
      <c r="NM49" s="35"/>
      <c r="NN49" s="35">
        <v>30497.87</v>
      </c>
      <c r="NO49" s="35">
        <v>6</v>
      </c>
      <c r="NP49" s="35"/>
      <c r="NQ49" s="35"/>
      <c r="NR49" s="85">
        <v>477800</v>
      </c>
      <c r="NS49" s="27"/>
      <c r="NT49" s="36">
        <v>477800</v>
      </c>
      <c r="NU49" s="85">
        <v>477800</v>
      </c>
      <c r="NV49" s="35"/>
      <c r="NW49" s="35"/>
      <c r="NX49" s="35"/>
      <c r="NY49" s="35"/>
      <c r="NZ49" s="35"/>
      <c r="OA49" s="35"/>
      <c r="OB49" s="36"/>
      <c r="OC49" s="35"/>
      <c r="OD49" s="35"/>
      <c r="OE49" s="35"/>
      <c r="OF49" s="35"/>
      <c r="OG49" s="35"/>
      <c r="OH49" s="35"/>
      <c r="OI49" s="35"/>
      <c r="OJ49" s="85"/>
      <c r="OK49" s="27"/>
      <c r="OL49" s="36"/>
      <c r="OM49" s="85"/>
      <c r="ON49" s="35"/>
      <c r="OO49" s="35"/>
      <c r="OP49" s="35"/>
      <c r="OQ49" s="35"/>
      <c r="OR49" s="35"/>
      <c r="OS49" s="35">
        <v>78530001.010000005</v>
      </c>
      <c r="OT49" s="36"/>
      <c r="OU49" s="35"/>
      <c r="OV49" s="35"/>
      <c r="OW49" s="35"/>
      <c r="OX49" s="35"/>
      <c r="OY49" s="35"/>
      <c r="OZ49" s="35">
        <v>78530001.010000005</v>
      </c>
      <c r="PA49" s="35"/>
      <c r="PB49" s="85"/>
      <c r="PC49" s="27"/>
      <c r="PD49" s="36"/>
      <c r="PE49" s="85"/>
      <c r="PF49" s="35"/>
      <c r="PG49" s="35"/>
      <c r="PH49" s="35"/>
      <c r="PI49" s="35"/>
      <c r="PJ49" s="35"/>
      <c r="PK49" s="35">
        <v>560000</v>
      </c>
      <c r="PL49" s="36"/>
      <c r="PM49" s="35"/>
      <c r="PN49" s="35"/>
      <c r="PO49" s="35"/>
      <c r="PP49" s="35"/>
      <c r="PQ49" s="35"/>
      <c r="PR49" s="35">
        <v>560000</v>
      </c>
      <c r="PS49" s="35"/>
      <c r="PT49" s="85"/>
      <c r="PU49" s="27"/>
      <c r="PV49" s="36"/>
      <c r="PW49" s="85"/>
      <c r="PX49" s="35"/>
      <c r="PY49" s="35"/>
      <c r="PZ49" s="35"/>
      <c r="QA49" s="35"/>
      <c r="QB49" s="35"/>
      <c r="QC49" s="35"/>
      <c r="QD49" s="36"/>
      <c r="QE49" s="35"/>
      <c r="QF49" s="35"/>
      <c r="QG49" s="35"/>
      <c r="QH49" s="35"/>
      <c r="QI49" s="35"/>
      <c r="QJ49" s="35"/>
      <c r="QK49" s="35"/>
      <c r="QL49" s="85"/>
      <c r="QM49" s="27"/>
      <c r="QN49" s="36"/>
      <c r="QO49" s="85"/>
      <c r="QP49" s="35"/>
      <c r="QQ49" s="35"/>
      <c r="QR49" s="35"/>
      <c r="QS49" s="35"/>
      <c r="QT49" s="35"/>
      <c r="QU49" s="35"/>
      <c r="QV49" s="36"/>
      <c r="QW49" s="35"/>
      <c r="QX49" s="35"/>
      <c r="QY49" s="35"/>
      <c r="QZ49" s="35"/>
      <c r="RA49" s="35"/>
      <c r="RB49" s="35"/>
      <c r="RC49" s="35"/>
      <c r="RD49" s="85"/>
      <c r="RE49" s="27"/>
      <c r="RF49" s="36"/>
      <c r="RG49" s="85"/>
      <c r="RH49" s="35"/>
      <c r="RI49" s="35"/>
      <c r="RJ49" s="35"/>
      <c r="RK49" s="35"/>
      <c r="RL49" s="35"/>
      <c r="RM49" s="35">
        <v>3591606</v>
      </c>
      <c r="RN49" s="36"/>
      <c r="RO49" s="35"/>
      <c r="RP49" s="35"/>
      <c r="RQ49" s="35"/>
      <c r="RR49" s="35"/>
      <c r="RS49" s="35"/>
      <c r="RT49" s="35">
        <v>3591606</v>
      </c>
      <c r="RU49" s="35"/>
      <c r="RV49" s="85"/>
      <c r="RW49" s="27"/>
      <c r="RX49" s="36"/>
      <c r="RY49" s="85"/>
      <c r="RZ49" s="35"/>
      <c r="SA49" s="35"/>
      <c r="SB49" s="35"/>
      <c r="SC49" s="35"/>
      <c r="SD49" s="35"/>
      <c r="SE49" s="35"/>
      <c r="SF49" s="36"/>
      <c r="SG49" s="35"/>
      <c r="SH49" s="35"/>
      <c r="SI49" s="35"/>
      <c r="SJ49" s="35"/>
      <c r="SK49" s="35"/>
      <c r="SL49" s="35"/>
      <c r="SM49" s="35"/>
      <c r="SN49" s="85"/>
      <c r="SO49" s="27"/>
      <c r="SP49" s="36"/>
      <c r="SQ49" s="85"/>
      <c r="SR49" s="35"/>
      <c r="SS49" s="35"/>
      <c r="ST49" s="35"/>
      <c r="SU49" s="35"/>
      <c r="SV49" s="35"/>
      <c r="SW49" s="35"/>
      <c r="SX49" s="36"/>
      <c r="SY49" s="35"/>
      <c r="SZ49" s="35"/>
      <c r="TA49" s="35"/>
      <c r="TB49" s="35"/>
      <c r="TC49" s="35"/>
      <c r="TD49" s="35"/>
      <c r="TE49" s="35"/>
      <c r="TF49" s="85"/>
      <c r="TG49" s="27"/>
      <c r="TH49" s="36"/>
      <c r="TI49" s="85"/>
      <c r="TJ49" s="35"/>
      <c r="TK49" s="35"/>
      <c r="TL49" s="35"/>
      <c r="TM49" s="35"/>
      <c r="TN49" s="35"/>
      <c r="TO49" s="35"/>
      <c r="TP49" s="36"/>
      <c r="TQ49" s="35"/>
      <c r="TR49" s="35"/>
      <c r="TS49" s="35"/>
      <c r="TT49" s="35"/>
      <c r="TU49" s="35"/>
      <c r="TV49" s="35"/>
      <c r="TW49" s="35"/>
      <c r="TX49" s="85"/>
      <c r="TY49" s="27"/>
      <c r="TZ49" s="36"/>
      <c r="UA49" s="85"/>
      <c r="UB49" s="35"/>
      <c r="UC49" s="35"/>
      <c r="UD49" s="35"/>
      <c r="UE49" s="35"/>
      <c r="UF49" s="35"/>
      <c r="UG49" s="35"/>
      <c r="UH49" s="36"/>
      <c r="UI49" s="35"/>
      <c r="UJ49" s="35"/>
      <c r="UK49" s="35"/>
      <c r="UL49" s="35"/>
      <c r="UM49" s="35"/>
      <c r="UN49" s="35"/>
      <c r="UO49" s="35"/>
      <c r="UP49" s="85"/>
      <c r="UQ49" s="27"/>
      <c r="UR49" s="36"/>
      <c r="US49" s="85"/>
    </row>
    <row r="50" spans="1:565" x14ac:dyDescent="0.3">
      <c r="A50" s="8">
        <v>35000000000</v>
      </c>
      <c r="B50" s="169">
        <v>36</v>
      </c>
      <c r="C50" s="63" t="s">
        <v>318</v>
      </c>
      <c r="F50" s="36">
        <v>2334028900</v>
      </c>
      <c r="G50" s="85"/>
      <c r="H50" s="35"/>
      <c r="I50" s="35">
        <v>129120211</v>
      </c>
      <c r="J50" s="35">
        <v>122664200</v>
      </c>
      <c r="K50" s="35">
        <v>6456011</v>
      </c>
      <c r="L50" s="35">
        <v>122664199.98999999</v>
      </c>
      <c r="M50" s="35">
        <v>2318463.1800000002</v>
      </c>
      <c r="N50" s="36"/>
      <c r="O50" s="35">
        <v>129120210.98</v>
      </c>
      <c r="P50" s="35">
        <v>122664199.98999999</v>
      </c>
      <c r="Q50" s="35"/>
      <c r="R50" s="35">
        <v>6456010.9900000002</v>
      </c>
      <c r="S50" s="35">
        <v>5</v>
      </c>
      <c r="T50" s="35">
        <v>2318463.1800000002</v>
      </c>
      <c r="U50" s="35"/>
      <c r="V50" s="85">
        <v>122664199.98999999</v>
      </c>
      <c r="W50" s="27"/>
      <c r="X50" s="36">
        <v>122664200</v>
      </c>
      <c r="Y50" s="85">
        <v>122664200</v>
      </c>
      <c r="Z50" s="35"/>
      <c r="AA50" s="35">
        <v>35898632</v>
      </c>
      <c r="AB50" s="35">
        <v>34103700</v>
      </c>
      <c r="AC50" s="35">
        <v>1794932</v>
      </c>
      <c r="AD50" s="35">
        <v>34103700</v>
      </c>
      <c r="AE50" s="35">
        <v>178244.23</v>
      </c>
      <c r="AF50" s="36"/>
      <c r="AG50" s="35">
        <v>35898632</v>
      </c>
      <c r="AH50" s="35">
        <v>34103700</v>
      </c>
      <c r="AI50" s="35"/>
      <c r="AJ50" s="35">
        <v>1794932</v>
      </c>
      <c r="AK50" s="35">
        <v>5</v>
      </c>
      <c r="AL50" s="35">
        <v>178244.23</v>
      </c>
      <c r="AM50" s="35"/>
      <c r="AN50" s="85">
        <v>34103700</v>
      </c>
      <c r="AO50" s="27"/>
      <c r="AP50" s="36">
        <v>34103700</v>
      </c>
      <c r="AQ50" s="85">
        <v>34103700</v>
      </c>
      <c r="AR50" s="35"/>
      <c r="AS50" s="35">
        <v>1850706211</v>
      </c>
      <c r="AT50" s="35">
        <v>1758170900</v>
      </c>
      <c r="AU50" s="35">
        <v>92535311</v>
      </c>
      <c r="AV50" s="35">
        <v>1758170899.99</v>
      </c>
      <c r="AW50" s="35">
        <v>20142829.809999999</v>
      </c>
      <c r="AX50" s="36"/>
      <c r="AY50" s="35">
        <v>1850706210.99</v>
      </c>
      <c r="AZ50" s="35">
        <v>1758170899.99</v>
      </c>
      <c r="BA50" s="35"/>
      <c r="BB50" s="35">
        <v>92535311</v>
      </c>
      <c r="BC50" s="35">
        <v>5</v>
      </c>
      <c r="BD50" s="35">
        <v>19418042.129999999</v>
      </c>
      <c r="BE50" s="35">
        <v>724787.68</v>
      </c>
      <c r="BF50" s="85">
        <v>1758170899.99</v>
      </c>
      <c r="BG50" s="27"/>
      <c r="BH50" s="36">
        <v>1758170900</v>
      </c>
      <c r="BI50" s="85">
        <v>1758170900</v>
      </c>
      <c r="BJ50" s="35"/>
      <c r="BK50" s="35"/>
      <c r="BL50" s="35"/>
      <c r="BM50" s="35"/>
      <c r="BN50" s="35"/>
      <c r="BO50" s="35"/>
      <c r="BP50" s="36"/>
      <c r="BQ50" s="35"/>
      <c r="BR50" s="35"/>
      <c r="BS50" s="35"/>
      <c r="BT50" s="35"/>
      <c r="BU50" s="35"/>
      <c r="BV50" s="35"/>
      <c r="BW50" s="35"/>
      <c r="BX50" s="85"/>
      <c r="BY50" s="27"/>
      <c r="BZ50" s="36"/>
      <c r="CA50" s="85"/>
      <c r="CB50" s="35"/>
      <c r="CC50" s="35">
        <v>359560000</v>
      </c>
      <c r="CD50" s="35">
        <v>341582000</v>
      </c>
      <c r="CE50" s="35">
        <v>17978000</v>
      </c>
      <c r="CF50" s="35">
        <v>341582000</v>
      </c>
      <c r="CG50" s="35">
        <v>1659982.23</v>
      </c>
      <c r="CH50" s="36"/>
      <c r="CI50" s="35">
        <v>359560000</v>
      </c>
      <c r="CJ50" s="35">
        <v>341582000</v>
      </c>
      <c r="CK50" s="35"/>
      <c r="CL50" s="35">
        <v>17978000</v>
      </c>
      <c r="CM50" s="35">
        <v>5</v>
      </c>
      <c r="CN50" s="35">
        <v>1659982.23</v>
      </c>
      <c r="CO50" s="35"/>
      <c r="CP50" s="85">
        <v>341582000</v>
      </c>
      <c r="CQ50" s="27"/>
      <c r="CR50" s="36">
        <v>341582000</v>
      </c>
      <c r="CS50" s="85">
        <v>341582000</v>
      </c>
      <c r="CT50" s="35"/>
      <c r="CU50" s="35"/>
      <c r="CV50" s="35"/>
      <c r="CW50" s="35"/>
      <c r="CX50" s="35"/>
      <c r="CY50" s="35"/>
      <c r="CZ50" s="36"/>
      <c r="DA50" s="35"/>
      <c r="DB50" s="35"/>
      <c r="DC50" s="35"/>
      <c r="DD50" s="35"/>
      <c r="DE50" s="35"/>
      <c r="DF50" s="35"/>
      <c r="DG50" s="35"/>
      <c r="DH50" s="85"/>
      <c r="DI50" s="27"/>
      <c r="DJ50" s="36"/>
      <c r="DK50" s="85"/>
      <c r="DL50" s="35"/>
      <c r="DM50" s="35">
        <v>11490000</v>
      </c>
      <c r="DN50" s="35">
        <v>10915500</v>
      </c>
      <c r="DO50" s="35">
        <v>574500</v>
      </c>
      <c r="DP50" s="35">
        <v>10915500</v>
      </c>
      <c r="DQ50" s="35"/>
      <c r="DR50" s="36"/>
      <c r="DS50" s="35">
        <v>11490000</v>
      </c>
      <c r="DT50" s="35">
        <v>10915500</v>
      </c>
      <c r="DU50" s="35"/>
      <c r="DV50" s="35">
        <v>574500</v>
      </c>
      <c r="DW50" s="35">
        <v>5</v>
      </c>
      <c r="DX50" s="35"/>
      <c r="DY50" s="35"/>
      <c r="DZ50" s="85">
        <v>10915500</v>
      </c>
      <c r="EA50" s="27"/>
      <c r="EB50" s="36">
        <v>10915500</v>
      </c>
      <c r="EC50" s="85">
        <v>10915500</v>
      </c>
      <c r="ED50" s="35"/>
      <c r="EE50" s="35">
        <v>47850910</v>
      </c>
      <c r="EF50" s="35">
        <v>47372400</v>
      </c>
      <c r="EG50" s="35">
        <v>478510</v>
      </c>
      <c r="EH50" s="35">
        <v>47372400</v>
      </c>
      <c r="EI50" s="35"/>
      <c r="EJ50" s="36"/>
      <c r="EK50" s="35">
        <v>47850910</v>
      </c>
      <c r="EL50" s="35">
        <v>47372400</v>
      </c>
      <c r="EM50" s="35"/>
      <c r="EN50" s="35">
        <v>478510</v>
      </c>
      <c r="EO50" s="35">
        <v>1</v>
      </c>
      <c r="EP50" s="35"/>
      <c r="EQ50" s="35"/>
      <c r="ER50" s="85">
        <v>47372400</v>
      </c>
      <c r="ES50" s="27"/>
      <c r="ET50" s="36">
        <v>47372400</v>
      </c>
      <c r="EU50" s="85">
        <v>47372400</v>
      </c>
      <c r="EV50" s="35"/>
      <c r="EW50" s="35">
        <v>14752527</v>
      </c>
      <c r="EX50" s="35">
        <v>14014900</v>
      </c>
      <c r="EY50" s="35">
        <v>737627</v>
      </c>
      <c r="EZ50" s="35">
        <v>14014900</v>
      </c>
      <c r="FA50" s="35"/>
      <c r="FB50" s="36"/>
      <c r="FC50" s="35">
        <v>14752527</v>
      </c>
      <c r="FD50" s="35">
        <v>14014900</v>
      </c>
      <c r="FE50" s="35"/>
      <c r="FF50" s="35">
        <v>737627</v>
      </c>
      <c r="FG50" s="35">
        <v>5</v>
      </c>
      <c r="FH50" s="35"/>
      <c r="FI50" s="35"/>
      <c r="FJ50" s="85">
        <v>14014900</v>
      </c>
      <c r="FK50" s="27"/>
      <c r="FL50" s="36">
        <v>14014900</v>
      </c>
      <c r="FM50" s="85">
        <v>14014900</v>
      </c>
      <c r="FN50" s="35"/>
      <c r="FO50" s="35"/>
      <c r="FP50" s="35"/>
      <c r="FQ50" s="35"/>
      <c r="FR50" s="35"/>
      <c r="FS50" s="35"/>
      <c r="FT50" s="36"/>
      <c r="FU50" s="35"/>
      <c r="FV50" s="35"/>
      <c r="FW50" s="35"/>
      <c r="FX50" s="35"/>
      <c r="FY50" s="35"/>
      <c r="FZ50" s="35"/>
      <c r="GA50" s="35"/>
      <c r="GB50" s="85"/>
      <c r="GC50" s="27"/>
      <c r="GD50" s="36"/>
      <c r="GE50" s="85"/>
      <c r="GF50" s="35"/>
      <c r="GG50" s="35">
        <v>2158527</v>
      </c>
      <c r="GH50" s="35">
        <v>2050600</v>
      </c>
      <c r="GI50" s="35">
        <v>107927</v>
      </c>
      <c r="GJ50" s="35">
        <v>1733997.71</v>
      </c>
      <c r="GK50" s="35"/>
      <c r="GL50" s="36"/>
      <c r="GM50" s="35">
        <v>1825261.33</v>
      </c>
      <c r="GN50" s="35">
        <v>1733997.71</v>
      </c>
      <c r="GO50" s="35"/>
      <c r="GP50" s="35">
        <v>91263.62</v>
      </c>
      <c r="GQ50" s="35">
        <v>5.0000299999999998</v>
      </c>
      <c r="GR50" s="35"/>
      <c r="GS50" s="35"/>
      <c r="GT50" s="85">
        <v>1733997.71</v>
      </c>
      <c r="GU50" s="27"/>
      <c r="GV50" s="36">
        <v>2050600</v>
      </c>
      <c r="GW50" s="85">
        <v>2050600</v>
      </c>
      <c r="GX50" s="35"/>
      <c r="GY50" s="35"/>
      <c r="GZ50" s="35"/>
      <c r="HA50" s="35"/>
      <c r="HB50" s="35"/>
      <c r="HC50" s="35"/>
      <c r="HD50" s="36"/>
      <c r="HE50" s="35"/>
      <c r="HF50" s="35"/>
      <c r="HG50" s="35"/>
      <c r="HH50" s="35"/>
      <c r="HI50" s="35"/>
      <c r="HJ50" s="35"/>
      <c r="HK50" s="35"/>
      <c r="HL50" s="85"/>
      <c r="HM50" s="27"/>
      <c r="HN50" s="36"/>
      <c r="HO50" s="85"/>
      <c r="HP50" s="35"/>
      <c r="HQ50" s="35"/>
      <c r="HR50" s="35"/>
      <c r="HS50" s="35"/>
      <c r="HT50" s="35"/>
      <c r="HU50" s="35"/>
      <c r="HV50" s="36"/>
      <c r="HW50" s="35"/>
      <c r="HX50" s="35"/>
      <c r="HY50" s="35"/>
      <c r="HZ50" s="35"/>
      <c r="IA50" s="35"/>
      <c r="IB50" s="35"/>
      <c r="IC50" s="35"/>
      <c r="ID50" s="85"/>
      <c r="IE50" s="27"/>
      <c r="IF50" s="36"/>
      <c r="IG50" s="85"/>
      <c r="IH50" s="35"/>
      <c r="II50" s="35"/>
      <c r="IJ50" s="35"/>
      <c r="IK50" s="35"/>
      <c r="IL50" s="35"/>
      <c r="IM50" s="35"/>
      <c r="IN50" s="36"/>
      <c r="IO50" s="35"/>
      <c r="IP50" s="35"/>
      <c r="IQ50" s="35"/>
      <c r="IR50" s="35"/>
      <c r="IS50" s="35"/>
      <c r="IT50" s="35"/>
      <c r="IU50" s="35"/>
      <c r="IV50" s="85"/>
      <c r="IW50" s="27"/>
      <c r="IX50" s="36"/>
      <c r="IY50" s="85"/>
      <c r="IZ50" s="35"/>
      <c r="JA50" s="35"/>
      <c r="JB50" s="35"/>
      <c r="JC50" s="35"/>
      <c r="JD50" s="35"/>
      <c r="JE50" s="35"/>
      <c r="JF50" s="36"/>
      <c r="JG50" s="35"/>
      <c r="JH50" s="35"/>
      <c r="JI50" s="35"/>
      <c r="JJ50" s="35"/>
      <c r="JK50" s="35"/>
      <c r="JL50" s="35"/>
      <c r="JM50" s="35"/>
      <c r="JN50" s="85"/>
      <c r="JO50" s="27"/>
      <c r="JP50" s="36"/>
      <c r="JQ50" s="85"/>
      <c r="JR50" s="35"/>
      <c r="JS50" s="35"/>
      <c r="JT50" s="35"/>
      <c r="JU50" s="35"/>
      <c r="JV50" s="35"/>
      <c r="JW50" s="35"/>
      <c r="JX50" s="36"/>
      <c r="JY50" s="35"/>
      <c r="JZ50" s="35"/>
      <c r="KA50" s="35"/>
      <c r="KB50" s="35"/>
      <c r="KC50" s="35"/>
      <c r="KD50" s="35"/>
      <c r="KE50" s="35"/>
      <c r="KF50" s="85"/>
      <c r="KG50" s="27"/>
      <c r="KH50" s="36"/>
      <c r="KI50" s="85"/>
      <c r="KJ50" s="35"/>
      <c r="KK50" s="35"/>
      <c r="KL50" s="35"/>
      <c r="KM50" s="35"/>
      <c r="KN50" s="35"/>
      <c r="KO50" s="35"/>
      <c r="KP50" s="36"/>
      <c r="KQ50" s="35"/>
      <c r="KR50" s="35"/>
      <c r="KS50" s="35"/>
      <c r="KT50" s="35"/>
      <c r="KU50" s="35"/>
      <c r="KV50" s="35"/>
      <c r="KW50" s="35"/>
      <c r="KX50" s="85"/>
      <c r="KY50" s="27"/>
      <c r="KZ50" s="36"/>
      <c r="LA50" s="85"/>
      <c r="LB50" s="35"/>
      <c r="LC50" s="35"/>
      <c r="LD50" s="35"/>
      <c r="LE50" s="35"/>
      <c r="LF50" s="35"/>
      <c r="LG50" s="35"/>
      <c r="LH50" s="36"/>
      <c r="LI50" s="35"/>
      <c r="LJ50" s="35"/>
      <c r="LK50" s="35"/>
      <c r="LL50" s="35"/>
      <c r="LM50" s="35"/>
      <c r="LN50" s="35"/>
      <c r="LO50" s="35"/>
      <c r="LP50" s="85"/>
      <c r="LQ50" s="27"/>
      <c r="LR50" s="36"/>
      <c r="LS50" s="85"/>
      <c r="LT50" s="35"/>
      <c r="LU50" s="35"/>
      <c r="LV50" s="35"/>
      <c r="LW50" s="35"/>
      <c r="LX50" s="35"/>
      <c r="LY50" s="35"/>
      <c r="LZ50" s="36"/>
      <c r="MA50" s="35"/>
      <c r="MB50" s="35"/>
      <c r="MC50" s="35"/>
      <c r="MD50" s="35"/>
      <c r="ME50" s="35"/>
      <c r="MF50" s="35"/>
      <c r="MG50" s="35"/>
      <c r="MH50" s="85"/>
      <c r="MI50" s="27"/>
      <c r="MJ50" s="36"/>
      <c r="MK50" s="85"/>
      <c r="ML50" s="35"/>
      <c r="MM50" s="35"/>
      <c r="MN50" s="35"/>
      <c r="MO50" s="35"/>
      <c r="MP50" s="35"/>
      <c r="MQ50" s="35"/>
      <c r="MR50" s="36"/>
      <c r="MS50" s="35"/>
      <c r="MT50" s="35"/>
      <c r="MU50" s="35"/>
      <c r="MV50" s="35"/>
      <c r="MW50" s="35"/>
      <c r="MX50" s="35"/>
      <c r="MY50" s="35"/>
      <c r="MZ50" s="85"/>
      <c r="NA50" s="27"/>
      <c r="NB50" s="36"/>
      <c r="NC50" s="85"/>
      <c r="ND50" s="35"/>
      <c r="NE50" s="35">
        <v>3320737</v>
      </c>
      <c r="NF50" s="35">
        <v>3154700</v>
      </c>
      <c r="NG50" s="35">
        <v>166037</v>
      </c>
      <c r="NH50" s="35">
        <v>3154697.17</v>
      </c>
      <c r="NI50" s="35"/>
      <c r="NJ50" s="36"/>
      <c r="NK50" s="35">
        <v>3320734.02</v>
      </c>
      <c r="NL50" s="35">
        <v>3154697.17</v>
      </c>
      <c r="NM50" s="35"/>
      <c r="NN50" s="35">
        <v>166036.85</v>
      </c>
      <c r="NO50" s="35">
        <v>5</v>
      </c>
      <c r="NP50" s="35"/>
      <c r="NQ50" s="35"/>
      <c r="NR50" s="85">
        <v>3154697.17</v>
      </c>
      <c r="NS50" s="27"/>
      <c r="NT50" s="36">
        <v>3154700</v>
      </c>
      <c r="NU50" s="85">
        <v>3154700</v>
      </c>
      <c r="NV50" s="35"/>
      <c r="NW50" s="35"/>
      <c r="NX50" s="35"/>
      <c r="NY50" s="35"/>
      <c r="NZ50" s="35"/>
      <c r="OA50" s="35"/>
      <c r="OB50" s="36"/>
      <c r="OC50" s="35"/>
      <c r="OD50" s="35"/>
      <c r="OE50" s="35"/>
      <c r="OF50" s="35"/>
      <c r="OG50" s="35"/>
      <c r="OH50" s="35"/>
      <c r="OI50" s="35"/>
      <c r="OJ50" s="85"/>
      <c r="OK50" s="27"/>
      <c r="OL50" s="36"/>
      <c r="OM50" s="85"/>
      <c r="ON50" s="35"/>
      <c r="OO50" s="35"/>
      <c r="OP50" s="35"/>
      <c r="OQ50" s="35"/>
      <c r="OR50" s="35"/>
      <c r="OS50" s="35">
        <v>198772.66</v>
      </c>
      <c r="OT50" s="36"/>
      <c r="OU50" s="35"/>
      <c r="OV50" s="35"/>
      <c r="OW50" s="35"/>
      <c r="OX50" s="35"/>
      <c r="OY50" s="35"/>
      <c r="OZ50" s="35">
        <v>198772.66</v>
      </c>
      <c r="PA50" s="35"/>
      <c r="PB50" s="85"/>
      <c r="PC50" s="27"/>
      <c r="PD50" s="36"/>
      <c r="PE50" s="85"/>
      <c r="PF50" s="35"/>
      <c r="PG50" s="35"/>
      <c r="PH50" s="35"/>
      <c r="PI50" s="35"/>
      <c r="PJ50" s="35"/>
      <c r="PK50" s="35"/>
      <c r="PL50" s="36"/>
      <c r="PM50" s="35"/>
      <c r="PN50" s="35"/>
      <c r="PO50" s="35"/>
      <c r="PP50" s="35"/>
      <c r="PQ50" s="35"/>
      <c r="PR50" s="35"/>
      <c r="PS50" s="35"/>
      <c r="PT50" s="85"/>
      <c r="PU50" s="27"/>
      <c r="PV50" s="36"/>
      <c r="PW50" s="85"/>
      <c r="PX50" s="35"/>
      <c r="PY50" s="35"/>
      <c r="PZ50" s="35"/>
      <c r="QA50" s="35"/>
      <c r="QB50" s="35"/>
      <c r="QC50" s="35"/>
      <c r="QD50" s="36"/>
      <c r="QE50" s="35"/>
      <c r="QF50" s="35"/>
      <c r="QG50" s="35"/>
      <c r="QH50" s="35"/>
      <c r="QI50" s="35"/>
      <c r="QJ50" s="35"/>
      <c r="QK50" s="35"/>
      <c r="QL50" s="85"/>
      <c r="QM50" s="27"/>
      <c r="QN50" s="36"/>
      <c r="QO50" s="85"/>
      <c r="QP50" s="35"/>
      <c r="QQ50" s="35"/>
      <c r="QR50" s="35"/>
      <c r="QS50" s="35"/>
      <c r="QT50" s="35"/>
      <c r="QU50" s="35"/>
      <c r="QV50" s="36"/>
      <c r="QW50" s="35"/>
      <c r="QX50" s="35"/>
      <c r="QY50" s="35"/>
      <c r="QZ50" s="35"/>
      <c r="RA50" s="35"/>
      <c r="RB50" s="35"/>
      <c r="RC50" s="35"/>
      <c r="RD50" s="85"/>
      <c r="RE50" s="27"/>
      <c r="RF50" s="36"/>
      <c r="RG50" s="85"/>
      <c r="RH50" s="35"/>
      <c r="RI50" s="35"/>
      <c r="RJ50" s="35"/>
      <c r="RK50" s="35"/>
      <c r="RL50" s="35"/>
      <c r="RM50" s="35">
        <v>629863.54</v>
      </c>
      <c r="RN50" s="36"/>
      <c r="RO50" s="35"/>
      <c r="RP50" s="35"/>
      <c r="RQ50" s="35"/>
      <c r="RR50" s="35"/>
      <c r="RS50" s="35"/>
      <c r="RT50" s="35">
        <v>629863.54</v>
      </c>
      <c r="RU50" s="35"/>
      <c r="RV50" s="85"/>
      <c r="RW50" s="27"/>
      <c r="RX50" s="36"/>
      <c r="RY50" s="85"/>
      <c r="RZ50" s="35"/>
      <c r="SA50" s="35"/>
      <c r="SB50" s="35"/>
      <c r="SC50" s="35"/>
      <c r="SD50" s="35"/>
      <c r="SE50" s="35"/>
      <c r="SF50" s="36"/>
      <c r="SG50" s="35"/>
      <c r="SH50" s="35"/>
      <c r="SI50" s="35"/>
      <c r="SJ50" s="35"/>
      <c r="SK50" s="35"/>
      <c r="SL50" s="35"/>
      <c r="SM50" s="35"/>
      <c r="SN50" s="85"/>
      <c r="SO50" s="27"/>
      <c r="SP50" s="36"/>
      <c r="SQ50" s="85"/>
      <c r="SR50" s="35"/>
      <c r="SS50" s="35"/>
      <c r="ST50" s="35"/>
      <c r="SU50" s="35"/>
      <c r="SV50" s="35"/>
      <c r="SW50" s="35"/>
      <c r="SX50" s="36"/>
      <c r="SY50" s="35"/>
      <c r="SZ50" s="35"/>
      <c r="TA50" s="35"/>
      <c r="TB50" s="35"/>
      <c r="TC50" s="35"/>
      <c r="TD50" s="35"/>
      <c r="TE50" s="35"/>
      <c r="TF50" s="85"/>
      <c r="TG50" s="27"/>
      <c r="TH50" s="36"/>
      <c r="TI50" s="85"/>
      <c r="TJ50" s="35"/>
      <c r="TK50" s="35"/>
      <c r="TL50" s="35"/>
      <c r="TM50" s="35"/>
      <c r="TN50" s="35"/>
      <c r="TO50" s="35"/>
      <c r="TP50" s="36"/>
      <c r="TQ50" s="35"/>
      <c r="TR50" s="35"/>
      <c r="TS50" s="35"/>
      <c r="TT50" s="35"/>
      <c r="TU50" s="35"/>
      <c r="TV50" s="35"/>
      <c r="TW50" s="35"/>
      <c r="TX50" s="85"/>
      <c r="TY50" s="27"/>
      <c r="TZ50" s="36"/>
      <c r="UA50" s="85"/>
      <c r="UB50" s="35"/>
      <c r="UC50" s="35"/>
      <c r="UD50" s="35"/>
      <c r="UE50" s="35"/>
      <c r="UF50" s="35"/>
      <c r="UG50" s="35"/>
      <c r="UH50" s="36"/>
      <c r="UI50" s="35"/>
      <c r="UJ50" s="35"/>
      <c r="UK50" s="35"/>
      <c r="UL50" s="35"/>
      <c r="UM50" s="35"/>
      <c r="UN50" s="35"/>
      <c r="UO50" s="35"/>
      <c r="UP50" s="85"/>
      <c r="UQ50" s="27"/>
      <c r="UR50" s="36"/>
      <c r="US50" s="85"/>
    </row>
    <row r="51" spans="1:565" x14ac:dyDescent="0.3">
      <c r="A51" s="14" t="s">
        <v>100</v>
      </c>
      <c r="B51" s="171">
        <v>37</v>
      </c>
      <c r="C51" s="16" t="s">
        <v>101</v>
      </c>
      <c r="F51" s="36">
        <v>4121945400</v>
      </c>
      <c r="G51" s="85"/>
      <c r="H51" s="35"/>
      <c r="I51" s="35">
        <v>370615700</v>
      </c>
      <c r="J51" s="35">
        <v>281667900</v>
      </c>
      <c r="K51" s="35">
        <v>88947800</v>
      </c>
      <c r="L51" s="35">
        <v>281667684.23000002</v>
      </c>
      <c r="M51" s="35">
        <v>27825579.690000001</v>
      </c>
      <c r="N51" s="36"/>
      <c r="O51" s="35">
        <v>370615415.89999998</v>
      </c>
      <c r="P51" s="35">
        <v>281667684.23000002</v>
      </c>
      <c r="Q51" s="35"/>
      <c r="R51" s="35">
        <v>88947731.670000002</v>
      </c>
      <c r="S51" s="35">
        <v>24.00001</v>
      </c>
      <c r="T51" s="35">
        <v>27825579.690000001</v>
      </c>
      <c r="U51" s="35"/>
      <c r="V51" s="85">
        <v>281667684.23000002</v>
      </c>
      <c r="W51" s="27"/>
      <c r="X51" s="36">
        <v>281667900</v>
      </c>
      <c r="Y51" s="85">
        <v>281667900</v>
      </c>
      <c r="Z51" s="35"/>
      <c r="AA51" s="35">
        <v>562552300</v>
      </c>
      <c r="AB51" s="35">
        <v>427539700</v>
      </c>
      <c r="AC51" s="35">
        <v>135012600</v>
      </c>
      <c r="AD51" s="35">
        <v>427539700</v>
      </c>
      <c r="AE51" s="35">
        <v>2573227.19</v>
      </c>
      <c r="AF51" s="36"/>
      <c r="AG51" s="35">
        <v>562552300</v>
      </c>
      <c r="AH51" s="35">
        <v>427539700</v>
      </c>
      <c r="AI51" s="35"/>
      <c r="AJ51" s="35">
        <v>135012600</v>
      </c>
      <c r="AK51" s="35">
        <v>24.00001</v>
      </c>
      <c r="AL51" s="35">
        <v>2573227.19</v>
      </c>
      <c r="AM51" s="35"/>
      <c r="AN51" s="85">
        <v>427539700</v>
      </c>
      <c r="AO51" s="27"/>
      <c r="AP51" s="36">
        <v>427539700</v>
      </c>
      <c r="AQ51" s="85">
        <v>427539700</v>
      </c>
      <c r="AR51" s="35"/>
      <c r="AS51" s="35">
        <v>2953273600</v>
      </c>
      <c r="AT51" s="35">
        <v>2244487900</v>
      </c>
      <c r="AU51" s="35">
        <v>708785700</v>
      </c>
      <c r="AV51" s="35">
        <v>2228953089.6500001</v>
      </c>
      <c r="AW51" s="35">
        <v>76613982.370000005</v>
      </c>
      <c r="AX51" s="36"/>
      <c r="AY51" s="35">
        <v>2932833059.79</v>
      </c>
      <c r="AZ51" s="35">
        <v>2228953089.6500001</v>
      </c>
      <c r="BA51" s="35"/>
      <c r="BB51" s="35">
        <v>703879970.13999999</v>
      </c>
      <c r="BC51" s="35">
        <v>24</v>
      </c>
      <c r="BD51" s="35">
        <v>76613982.370000005</v>
      </c>
      <c r="BE51" s="35"/>
      <c r="BF51" s="85">
        <v>2228953089.6500001</v>
      </c>
      <c r="BG51" s="27"/>
      <c r="BH51" s="36">
        <v>2244487900</v>
      </c>
      <c r="BI51" s="85">
        <v>2244487900</v>
      </c>
      <c r="BJ51" s="35"/>
      <c r="BK51" s="35">
        <v>394612800</v>
      </c>
      <c r="BL51" s="35">
        <v>324959200</v>
      </c>
      <c r="BM51" s="35">
        <v>69653600</v>
      </c>
      <c r="BN51" s="35">
        <v>324959200</v>
      </c>
      <c r="BO51" s="35"/>
      <c r="BP51" s="36"/>
      <c r="BQ51" s="35">
        <v>394612800</v>
      </c>
      <c r="BR51" s="35">
        <v>324959200</v>
      </c>
      <c r="BS51" s="35"/>
      <c r="BT51" s="35">
        <v>69653600</v>
      </c>
      <c r="BU51" s="35">
        <v>17.651129999999998</v>
      </c>
      <c r="BV51" s="35"/>
      <c r="BW51" s="35"/>
      <c r="BX51" s="85">
        <v>324959200</v>
      </c>
      <c r="BY51" s="27"/>
      <c r="BZ51" s="36">
        <v>324959200</v>
      </c>
      <c r="CA51" s="85">
        <v>324959200</v>
      </c>
      <c r="CB51" s="35"/>
      <c r="CC51" s="35">
        <v>178960800</v>
      </c>
      <c r="CD51" s="35">
        <v>136010200</v>
      </c>
      <c r="CE51" s="35">
        <v>42950600</v>
      </c>
      <c r="CF51" s="35">
        <v>135198114.59999999</v>
      </c>
      <c r="CG51" s="35"/>
      <c r="CH51" s="36"/>
      <c r="CI51" s="35">
        <v>177892266.52000001</v>
      </c>
      <c r="CJ51" s="35">
        <v>135198114.59999999</v>
      </c>
      <c r="CK51" s="35"/>
      <c r="CL51" s="35">
        <v>42694151.920000002</v>
      </c>
      <c r="CM51" s="35">
        <v>24</v>
      </c>
      <c r="CN51" s="35"/>
      <c r="CO51" s="35"/>
      <c r="CP51" s="85">
        <v>135198114.59999999</v>
      </c>
      <c r="CQ51" s="27"/>
      <c r="CR51" s="36">
        <v>136010200</v>
      </c>
      <c r="CS51" s="85">
        <v>136010200</v>
      </c>
      <c r="CT51" s="35"/>
      <c r="CU51" s="35">
        <v>340194800</v>
      </c>
      <c r="CV51" s="35">
        <v>326587000</v>
      </c>
      <c r="CW51" s="35">
        <v>13607800</v>
      </c>
      <c r="CX51" s="35">
        <v>325787365.70999998</v>
      </c>
      <c r="CY51" s="35"/>
      <c r="CZ51" s="36"/>
      <c r="DA51" s="35">
        <v>339361847.60000002</v>
      </c>
      <c r="DB51" s="35">
        <v>325787365.70999998</v>
      </c>
      <c r="DC51" s="35"/>
      <c r="DD51" s="35">
        <v>13574481.890000001</v>
      </c>
      <c r="DE51" s="35">
        <v>4</v>
      </c>
      <c r="DF51" s="35"/>
      <c r="DG51" s="35"/>
      <c r="DH51" s="85">
        <v>325787365.70999998</v>
      </c>
      <c r="DI51" s="27"/>
      <c r="DJ51" s="36">
        <v>326587000</v>
      </c>
      <c r="DK51" s="85">
        <v>326587000</v>
      </c>
      <c r="DL51" s="35"/>
      <c r="DM51" s="35">
        <v>141639032.46000001</v>
      </c>
      <c r="DN51" s="35">
        <v>141554100</v>
      </c>
      <c r="DO51" s="35">
        <v>84932.46</v>
      </c>
      <c r="DP51" s="35">
        <v>141554004.50999999</v>
      </c>
      <c r="DQ51" s="35"/>
      <c r="DR51" s="36"/>
      <c r="DS51" s="35">
        <v>141638936.91</v>
      </c>
      <c r="DT51" s="35">
        <v>141554004.50999999</v>
      </c>
      <c r="DU51" s="35"/>
      <c r="DV51" s="35">
        <v>84932.4</v>
      </c>
      <c r="DW51" s="35">
        <v>5.9959999999999999E-2</v>
      </c>
      <c r="DX51" s="35"/>
      <c r="DY51" s="35"/>
      <c r="DZ51" s="85">
        <v>141554004.50999999</v>
      </c>
      <c r="EA51" s="27"/>
      <c r="EB51" s="36">
        <v>141554100</v>
      </c>
      <c r="EC51" s="85">
        <v>141554100</v>
      </c>
      <c r="ED51" s="35"/>
      <c r="EE51" s="35">
        <v>118388400</v>
      </c>
      <c r="EF51" s="35">
        <v>113652800</v>
      </c>
      <c r="EG51" s="35">
        <v>4735600</v>
      </c>
      <c r="EH51" s="35">
        <v>100566362.97</v>
      </c>
      <c r="EI51" s="35"/>
      <c r="EJ51" s="36"/>
      <c r="EK51" s="35">
        <v>104756687.04000001</v>
      </c>
      <c r="EL51" s="35">
        <v>100566362.97</v>
      </c>
      <c r="EM51" s="35"/>
      <c r="EN51" s="35">
        <v>4190324.07</v>
      </c>
      <c r="EO51" s="35">
        <v>4.0000499999999999</v>
      </c>
      <c r="EP51" s="35"/>
      <c r="EQ51" s="35"/>
      <c r="ER51" s="85">
        <v>100566362.97</v>
      </c>
      <c r="ES51" s="27"/>
      <c r="ET51" s="36">
        <v>113652800</v>
      </c>
      <c r="EU51" s="85">
        <v>113652800</v>
      </c>
      <c r="EV51" s="35"/>
      <c r="EW51" s="35">
        <v>55478200</v>
      </c>
      <c r="EX51" s="35">
        <v>42163300</v>
      </c>
      <c r="EY51" s="35">
        <v>13314900</v>
      </c>
      <c r="EZ51" s="35">
        <v>42119331.850000001</v>
      </c>
      <c r="FA51" s="35"/>
      <c r="FB51" s="36"/>
      <c r="FC51" s="35">
        <v>55420347</v>
      </c>
      <c r="FD51" s="35">
        <v>42119331.850000001</v>
      </c>
      <c r="FE51" s="35"/>
      <c r="FF51" s="35">
        <v>13301015.15</v>
      </c>
      <c r="FG51" s="35">
        <v>24.000240000000002</v>
      </c>
      <c r="FH51" s="35"/>
      <c r="FI51" s="35"/>
      <c r="FJ51" s="85">
        <v>42119331.850000001</v>
      </c>
      <c r="FK51" s="27"/>
      <c r="FL51" s="36">
        <v>42163300</v>
      </c>
      <c r="FM51" s="85">
        <v>42163300</v>
      </c>
      <c r="FN51" s="35"/>
      <c r="FO51" s="35"/>
      <c r="FP51" s="35"/>
      <c r="FQ51" s="35"/>
      <c r="FR51" s="35"/>
      <c r="FS51" s="35">
        <v>261182.65</v>
      </c>
      <c r="FT51" s="36"/>
      <c r="FU51" s="35"/>
      <c r="FV51" s="35"/>
      <c r="FW51" s="35"/>
      <c r="FX51" s="35"/>
      <c r="FY51" s="35"/>
      <c r="FZ51" s="35">
        <v>172966.65</v>
      </c>
      <c r="GA51" s="35">
        <v>88216</v>
      </c>
      <c r="GB51" s="85"/>
      <c r="GC51" s="27"/>
      <c r="GD51" s="36"/>
      <c r="GE51" s="85"/>
      <c r="GF51" s="35"/>
      <c r="GG51" s="35">
        <v>32663500</v>
      </c>
      <c r="GH51" s="35">
        <v>24824200</v>
      </c>
      <c r="GI51" s="35">
        <v>7839300</v>
      </c>
      <c r="GJ51" s="35">
        <v>24824161.890000001</v>
      </c>
      <c r="GK51" s="35"/>
      <c r="GL51" s="36"/>
      <c r="GM51" s="35">
        <v>32663457.890000001</v>
      </c>
      <c r="GN51" s="35">
        <v>24824161.890000001</v>
      </c>
      <c r="GO51" s="35"/>
      <c r="GP51" s="35">
        <v>7839296</v>
      </c>
      <c r="GQ51" s="35">
        <v>24.0002</v>
      </c>
      <c r="GR51" s="35"/>
      <c r="GS51" s="35"/>
      <c r="GT51" s="85">
        <v>24824161.890000001</v>
      </c>
      <c r="GU51" s="27"/>
      <c r="GV51" s="36">
        <v>24824200</v>
      </c>
      <c r="GW51" s="85">
        <v>24824200</v>
      </c>
      <c r="GX51" s="35"/>
      <c r="GY51" s="35"/>
      <c r="GZ51" s="35"/>
      <c r="HA51" s="35"/>
      <c r="HB51" s="35"/>
      <c r="HC51" s="35"/>
      <c r="HD51" s="36"/>
      <c r="HE51" s="35"/>
      <c r="HF51" s="35"/>
      <c r="HG51" s="35"/>
      <c r="HH51" s="35"/>
      <c r="HI51" s="35"/>
      <c r="HJ51" s="35"/>
      <c r="HK51" s="35"/>
      <c r="HL51" s="85"/>
      <c r="HM51" s="27"/>
      <c r="HN51" s="36"/>
      <c r="HO51" s="85"/>
      <c r="HP51" s="35"/>
      <c r="HQ51" s="35"/>
      <c r="HR51" s="35"/>
      <c r="HS51" s="35"/>
      <c r="HT51" s="35"/>
      <c r="HU51" s="35"/>
      <c r="HV51" s="36"/>
      <c r="HW51" s="35"/>
      <c r="HX51" s="35"/>
      <c r="HY51" s="35"/>
      <c r="HZ51" s="35"/>
      <c r="IA51" s="35"/>
      <c r="IB51" s="35"/>
      <c r="IC51" s="35"/>
      <c r="ID51" s="85"/>
      <c r="IE51" s="27"/>
      <c r="IF51" s="36"/>
      <c r="IG51" s="85"/>
      <c r="IH51" s="35"/>
      <c r="II51" s="35"/>
      <c r="IJ51" s="35"/>
      <c r="IK51" s="35"/>
      <c r="IL51" s="35"/>
      <c r="IM51" s="35"/>
      <c r="IN51" s="36"/>
      <c r="IO51" s="35"/>
      <c r="IP51" s="35"/>
      <c r="IQ51" s="35"/>
      <c r="IR51" s="35"/>
      <c r="IS51" s="35"/>
      <c r="IT51" s="35"/>
      <c r="IU51" s="35"/>
      <c r="IV51" s="85"/>
      <c r="IW51" s="27"/>
      <c r="IX51" s="36"/>
      <c r="IY51" s="85"/>
      <c r="IZ51" s="35"/>
      <c r="JA51" s="35">
        <v>22104300</v>
      </c>
      <c r="JB51" s="35">
        <v>16799200</v>
      </c>
      <c r="JC51" s="35">
        <v>5305100</v>
      </c>
      <c r="JD51" s="35">
        <v>16743201.140000001</v>
      </c>
      <c r="JE51" s="35"/>
      <c r="JF51" s="36"/>
      <c r="JG51" s="35">
        <v>22030617</v>
      </c>
      <c r="JH51" s="35">
        <v>16743201.140000001</v>
      </c>
      <c r="JI51" s="35"/>
      <c r="JJ51" s="35">
        <v>5287415.8600000003</v>
      </c>
      <c r="JK51" s="35">
        <v>24.000309999999999</v>
      </c>
      <c r="JL51" s="35"/>
      <c r="JM51" s="35"/>
      <c r="JN51" s="85">
        <v>16743201.140000001</v>
      </c>
      <c r="JO51" s="27"/>
      <c r="JP51" s="36">
        <v>16799200</v>
      </c>
      <c r="JQ51" s="85">
        <v>16799200</v>
      </c>
      <c r="JR51" s="35"/>
      <c r="JS51" s="35"/>
      <c r="JT51" s="35"/>
      <c r="JU51" s="35"/>
      <c r="JV51" s="35"/>
      <c r="JW51" s="35"/>
      <c r="JX51" s="36"/>
      <c r="JY51" s="35"/>
      <c r="JZ51" s="35"/>
      <c r="KA51" s="35"/>
      <c r="KB51" s="35"/>
      <c r="KC51" s="35"/>
      <c r="KD51" s="35"/>
      <c r="KE51" s="35"/>
      <c r="KF51" s="85"/>
      <c r="KG51" s="27"/>
      <c r="KH51" s="36"/>
      <c r="KI51" s="85"/>
      <c r="KJ51" s="35"/>
      <c r="KK51" s="35">
        <v>14967100</v>
      </c>
      <c r="KL51" s="35">
        <v>10057500</v>
      </c>
      <c r="KM51" s="35">
        <v>4909600</v>
      </c>
      <c r="KN51" s="35">
        <v>10057500</v>
      </c>
      <c r="KO51" s="35"/>
      <c r="KP51" s="36"/>
      <c r="KQ51" s="35">
        <v>14967100</v>
      </c>
      <c r="KR51" s="35">
        <v>10057500</v>
      </c>
      <c r="KS51" s="35"/>
      <c r="KT51" s="35">
        <v>4909600</v>
      </c>
      <c r="KU51" s="35">
        <v>32.802610000000001</v>
      </c>
      <c r="KV51" s="35"/>
      <c r="KW51" s="35"/>
      <c r="KX51" s="85">
        <v>10057500</v>
      </c>
      <c r="KY51" s="27"/>
      <c r="KZ51" s="36">
        <v>10057500</v>
      </c>
      <c r="LA51" s="85">
        <v>10057500</v>
      </c>
      <c r="LB51" s="35"/>
      <c r="LC51" s="35"/>
      <c r="LD51" s="35"/>
      <c r="LE51" s="35"/>
      <c r="LF51" s="35"/>
      <c r="LG51" s="35"/>
      <c r="LH51" s="36"/>
      <c r="LI51" s="35"/>
      <c r="LJ51" s="35"/>
      <c r="LK51" s="35"/>
      <c r="LL51" s="35"/>
      <c r="LM51" s="35"/>
      <c r="LN51" s="35"/>
      <c r="LO51" s="35"/>
      <c r="LP51" s="85"/>
      <c r="LQ51" s="27"/>
      <c r="LR51" s="36"/>
      <c r="LS51" s="85"/>
      <c r="LT51" s="35"/>
      <c r="LU51" s="35">
        <v>39936400</v>
      </c>
      <c r="LV51" s="35">
        <v>30351600</v>
      </c>
      <c r="LW51" s="35">
        <v>9584800</v>
      </c>
      <c r="LX51" s="35">
        <v>30351600</v>
      </c>
      <c r="LY51" s="35"/>
      <c r="LZ51" s="36"/>
      <c r="MA51" s="35">
        <v>39936400</v>
      </c>
      <c r="MB51" s="35">
        <v>30351600</v>
      </c>
      <c r="MC51" s="35"/>
      <c r="MD51" s="35">
        <v>9584800</v>
      </c>
      <c r="ME51" s="35">
        <v>24.000160000000001</v>
      </c>
      <c r="MF51" s="35"/>
      <c r="MG51" s="35"/>
      <c r="MH51" s="85">
        <v>30351600</v>
      </c>
      <c r="MI51" s="27"/>
      <c r="MJ51" s="36">
        <v>30351600</v>
      </c>
      <c r="MK51" s="85">
        <v>30351600</v>
      </c>
      <c r="ML51" s="35"/>
      <c r="MM51" s="35"/>
      <c r="MN51" s="35"/>
      <c r="MO51" s="35"/>
      <c r="MP51" s="35"/>
      <c r="MQ51" s="35"/>
      <c r="MR51" s="36"/>
      <c r="MS51" s="35"/>
      <c r="MT51" s="35"/>
      <c r="MU51" s="35"/>
      <c r="MV51" s="35"/>
      <c r="MW51" s="35"/>
      <c r="MX51" s="35"/>
      <c r="MY51" s="35"/>
      <c r="MZ51" s="85"/>
      <c r="NA51" s="27"/>
      <c r="NB51" s="36"/>
      <c r="NC51" s="85"/>
      <c r="ND51" s="35"/>
      <c r="NE51" s="35">
        <v>1698500</v>
      </c>
      <c r="NF51" s="35">
        <v>1290800</v>
      </c>
      <c r="NG51" s="35">
        <v>407700</v>
      </c>
      <c r="NH51" s="35">
        <v>1290800</v>
      </c>
      <c r="NI51" s="35"/>
      <c r="NJ51" s="36"/>
      <c r="NK51" s="35">
        <v>1698500</v>
      </c>
      <c r="NL51" s="35">
        <v>1290800</v>
      </c>
      <c r="NM51" s="35"/>
      <c r="NN51" s="35">
        <v>407700</v>
      </c>
      <c r="NO51" s="35">
        <v>24.003530000000001</v>
      </c>
      <c r="NP51" s="35"/>
      <c r="NQ51" s="35"/>
      <c r="NR51" s="85">
        <v>1290800</v>
      </c>
      <c r="NS51" s="27"/>
      <c r="NT51" s="36">
        <v>1290800</v>
      </c>
      <c r="NU51" s="85">
        <v>1290800</v>
      </c>
      <c r="NV51" s="35"/>
      <c r="NW51" s="35"/>
      <c r="NX51" s="35"/>
      <c r="NY51" s="35"/>
      <c r="NZ51" s="35"/>
      <c r="OA51" s="35"/>
      <c r="OB51" s="36"/>
      <c r="OC51" s="35"/>
      <c r="OD51" s="35"/>
      <c r="OE51" s="35"/>
      <c r="OF51" s="35"/>
      <c r="OG51" s="35"/>
      <c r="OH51" s="35"/>
      <c r="OI51" s="35"/>
      <c r="OJ51" s="85"/>
      <c r="OK51" s="27"/>
      <c r="OL51" s="36"/>
      <c r="OM51" s="85"/>
      <c r="ON51" s="35"/>
      <c r="OO51" s="35"/>
      <c r="OP51" s="35"/>
      <c r="OQ51" s="35"/>
      <c r="OR51" s="35"/>
      <c r="OS51" s="35">
        <v>142446.81</v>
      </c>
      <c r="OT51" s="36"/>
      <c r="OU51" s="35"/>
      <c r="OV51" s="35"/>
      <c r="OW51" s="35"/>
      <c r="OX51" s="35"/>
      <c r="OY51" s="35"/>
      <c r="OZ51" s="35">
        <v>142446.81</v>
      </c>
      <c r="PA51" s="35"/>
      <c r="PB51" s="85"/>
      <c r="PC51" s="27"/>
      <c r="PD51" s="36"/>
      <c r="PE51" s="85"/>
      <c r="PF51" s="35"/>
      <c r="PG51" s="35"/>
      <c r="PH51" s="35"/>
      <c r="PI51" s="35"/>
      <c r="PJ51" s="35"/>
      <c r="PK51" s="35"/>
      <c r="PL51" s="36"/>
      <c r="PM51" s="35"/>
      <c r="PN51" s="35"/>
      <c r="PO51" s="35"/>
      <c r="PP51" s="35"/>
      <c r="PQ51" s="35"/>
      <c r="PR51" s="35"/>
      <c r="PS51" s="35"/>
      <c r="PT51" s="85"/>
      <c r="PU51" s="27"/>
      <c r="PV51" s="36"/>
      <c r="PW51" s="85"/>
      <c r="PX51" s="35"/>
      <c r="PY51" s="35"/>
      <c r="PZ51" s="35"/>
      <c r="QA51" s="35"/>
      <c r="QB51" s="35"/>
      <c r="QC51" s="35"/>
      <c r="QD51" s="36"/>
      <c r="QE51" s="35"/>
      <c r="QF51" s="35"/>
      <c r="QG51" s="35"/>
      <c r="QH51" s="35"/>
      <c r="QI51" s="35"/>
      <c r="QJ51" s="35"/>
      <c r="QK51" s="35"/>
      <c r="QL51" s="85"/>
      <c r="QM51" s="27"/>
      <c r="QN51" s="36"/>
      <c r="QO51" s="85"/>
      <c r="QP51" s="35"/>
      <c r="QQ51" s="35"/>
      <c r="QR51" s="35"/>
      <c r="QS51" s="35"/>
      <c r="QT51" s="35"/>
      <c r="QU51" s="35"/>
      <c r="QV51" s="36"/>
      <c r="QW51" s="35"/>
      <c r="QX51" s="35"/>
      <c r="QY51" s="35"/>
      <c r="QZ51" s="35"/>
      <c r="RA51" s="35"/>
      <c r="RB51" s="35"/>
      <c r="RC51" s="35"/>
      <c r="RD51" s="85"/>
      <c r="RE51" s="27"/>
      <c r="RF51" s="36"/>
      <c r="RG51" s="85"/>
      <c r="RH51" s="35"/>
      <c r="RI51" s="35"/>
      <c r="RJ51" s="35"/>
      <c r="RK51" s="35"/>
      <c r="RL51" s="35"/>
      <c r="RM51" s="35">
        <v>51811.63</v>
      </c>
      <c r="RN51" s="36"/>
      <c r="RO51" s="35"/>
      <c r="RP51" s="35"/>
      <c r="RQ51" s="35"/>
      <c r="RR51" s="35"/>
      <c r="RS51" s="35"/>
      <c r="RT51" s="35">
        <v>51811.63</v>
      </c>
      <c r="RU51" s="35"/>
      <c r="RV51" s="85"/>
      <c r="RW51" s="27"/>
      <c r="RX51" s="36"/>
      <c r="RY51" s="85"/>
      <c r="RZ51" s="35"/>
      <c r="SA51" s="35"/>
      <c r="SB51" s="35"/>
      <c r="SC51" s="35"/>
      <c r="SD51" s="35"/>
      <c r="SE51" s="35"/>
      <c r="SF51" s="36"/>
      <c r="SG51" s="35"/>
      <c r="SH51" s="35"/>
      <c r="SI51" s="35"/>
      <c r="SJ51" s="35"/>
      <c r="SK51" s="35"/>
      <c r="SL51" s="35"/>
      <c r="SM51" s="35"/>
      <c r="SN51" s="85"/>
      <c r="SO51" s="27"/>
      <c r="SP51" s="36"/>
      <c r="SQ51" s="85"/>
      <c r="SR51" s="35"/>
      <c r="SS51" s="35"/>
      <c r="ST51" s="35"/>
      <c r="SU51" s="35"/>
      <c r="SV51" s="35"/>
      <c r="SW51" s="35"/>
      <c r="SX51" s="36"/>
      <c r="SY51" s="35"/>
      <c r="SZ51" s="35"/>
      <c r="TA51" s="35"/>
      <c r="TB51" s="35"/>
      <c r="TC51" s="35"/>
      <c r="TD51" s="35"/>
      <c r="TE51" s="35"/>
      <c r="TF51" s="85"/>
      <c r="TG51" s="27"/>
      <c r="TH51" s="36"/>
      <c r="TI51" s="85"/>
      <c r="TJ51" s="35"/>
      <c r="TK51" s="35"/>
      <c r="TL51" s="35"/>
      <c r="TM51" s="35"/>
      <c r="TN51" s="35"/>
      <c r="TO51" s="35"/>
      <c r="TP51" s="36"/>
      <c r="TQ51" s="35"/>
      <c r="TR51" s="35"/>
      <c r="TS51" s="35"/>
      <c r="TT51" s="35"/>
      <c r="TU51" s="35"/>
      <c r="TV51" s="35"/>
      <c r="TW51" s="35"/>
      <c r="TX51" s="85"/>
      <c r="TY51" s="27"/>
      <c r="TZ51" s="36"/>
      <c r="UA51" s="85"/>
      <c r="UB51" s="35"/>
      <c r="UC51" s="35"/>
      <c r="UD51" s="35"/>
      <c r="UE51" s="35"/>
      <c r="UF51" s="35"/>
      <c r="UG51" s="35"/>
      <c r="UH51" s="36"/>
      <c r="UI51" s="35"/>
      <c r="UJ51" s="35"/>
      <c r="UK51" s="35"/>
      <c r="UL51" s="35"/>
      <c r="UM51" s="35"/>
      <c r="UN51" s="35"/>
      <c r="UO51" s="35"/>
      <c r="UP51" s="85"/>
      <c r="UQ51" s="27"/>
      <c r="UR51" s="36"/>
      <c r="US51" s="85"/>
    </row>
    <row r="52" spans="1:565" x14ac:dyDescent="0.3">
      <c r="A52" s="14" t="s">
        <v>102</v>
      </c>
      <c r="B52" s="171">
        <v>38</v>
      </c>
      <c r="C52" s="16" t="s">
        <v>103</v>
      </c>
      <c r="F52" s="36">
        <v>918836200</v>
      </c>
      <c r="G52" s="85"/>
      <c r="H52" s="35"/>
      <c r="I52" s="35">
        <v>166741219.50999999</v>
      </c>
      <c r="J52" s="35">
        <v>136727800</v>
      </c>
      <c r="K52" s="35">
        <v>30013419.510000002</v>
      </c>
      <c r="L52" s="35">
        <v>135542162</v>
      </c>
      <c r="M52" s="35"/>
      <c r="N52" s="36"/>
      <c r="O52" s="35">
        <v>165295319.50999999</v>
      </c>
      <c r="P52" s="35">
        <v>135542162</v>
      </c>
      <c r="Q52" s="35"/>
      <c r="R52" s="35">
        <v>29753157.510000002</v>
      </c>
      <c r="S52" s="35">
        <v>18</v>
      </c>
      <c r="T52" s="35"/>
      <c r="U52" s="35"/>
      <c r="V52" s="85">
        <v>135542162</v>
      </c>
      <c r="W52" s="27"/>
      <c r="X52" s="36">
        <v>136727800</v>
      </c>
      <c r="Y52" s="85">
        <v>136727800</v>
      </c>
      <c r="Z52" s="35"/>
      <c r="AA52" s="35">
        <v>2121952</v>
      </c>
      <c r="AB52" s="35">
        <v>1740000</v>
      </c>
      <c r="AC52" s="35">
        <v>381952</v>
      </c>
      <c r="AD52" s="35">
        <v>1740000</v>
      </c>
      <c r="AE52" s="35"/>
      <c r="AF52" s="36"/>
      <c r="AG52" s="35">
        <v>2121952</v>
      </c>
      <c r="AH52" s="35">
        <v>1740000</v>
      </c>
      <c r="AI52" s="35"/>
      <c r="AJ52" s="35">
        <v>381952</v>
      </c>
      <c r="AK52" s="35">
        <v>18.000029999999999</v>
      </c>
      <c r="AL52" s="35"/>
      <c r="AM52" s="35"/>
      <c r="AN52" s="85">
        <v>1740000</v>
      </c>
      <c r="AO52" s="27"/>
      <c r="AP52" s="36">
        <v>1740000</v>
      </c>
      <c r="AQ52" s="85">
        <v>1740000</v>
      </c>
      <c r="AR52" s="35"/>
      <c r="AS52" s="35">
        <v>412499268.29000002</v>
      </c>
      <c r="AT52" s="35">
        <v>338249400</v>
      </c>
      <c r="AU52" s="35">
        <v>74249868.290000007</v>
      </c>
      <c r="AV52" s="35">
        <v>313832268.79000002</v>
      </c>
      <c r="AW52" s="35">
        <v>4555284.03</v>
      </c>
      <c r="AX52" s="36"/>
      <c r="AY52" s="35">
        <v>382722279.00999999</v>
      </c>
      <c r="AZ52" s="35">
        <v>313832268.79000002</v>
      </c>
      <c r="BA52" s="35"/>
      <c r="BB52" s="35">
        <v>68890010.219999999</v>
      </c>
      <c r="BC52" s="35">
        <v>18</v>
      </c>
      <c r="BD52" s="35">
        <v>4554882.78</v>
      </c>
      <c r="BE52" s="35">
        <v>401.25</v>
      </c>
      <c r="BF52" s="85">
        <v>313832268.79000002</v>
      </c>
      <c r="BG52" s="27"/>
      <c r="BH52" s="36">
        <v>338249400</v>
      </c>
      <c r="BI52" s="85">
        <v>338249400</v>
      </c>
      <c r="BJ52" s="35"/>
      <c r="BK52" s="35">
        <v>4504107.04</v>
      </c>
      <c r="BL52" s="35">
        <v>3213800</v>
      </c>
      <c r="BM52" s="35">
        <v>1290307.04</v>
      </c>
      <c r="BN52" s="35">
        <v>3165711.11</v>
      </c>
      <c r="BO52" s="35">
        <v>0</v>
      </c>
      <c r="BP52" s="36"/>
      <c r="BQ52" s="35">
        <v>4431987.4000000004</v>
      </c>
      <c r="BR52" s="35">
        <v>3165711.11</v>
      </c>
      <c r="BS52" s="35"/>
      <c r="BT52" s="35">
        <v>1266276.29</v>
      </c>
      <c r="BU52" s="35">
        <v>28.571300000000001</v>
      </c>
      <c r="BV52" s="35">
        <v>0</v>
      </c>
      <c r="BW52" s="35"/>
      <c r="BX52" s="85">
        <v>3165711.11</v>
      </c>
      <c r="BY52" s="27"/>
      <c r="BZ52" s="36">
        <v>3213800</v>
      </c>
      <c r="CA52" s="85">
        <v>3213800</v>
      </c>
      <c r="CB52" s="35"/>
      <c r="CC52" s="35">
        <v>270776951.22000003</v>
      </c>
      <c r="CD52" s="35">
        <v>222037100</v>
      </c>
      <c r="CE52" s="35">
        <v>48739851.219999999</v>
      </c>
      <c r="CF52" s="35">
        <v>184897788.59</v>
      </c>
      <c r="CG52" s="35"/>
      <c r="CH52" s="36"/>
      <c r="CI52" s="35">
        <v>225485108.05000001</v>
      </c>
      <c r="CJ52" s="35">
        <v>184897788.59</v>
      </c>
      <c r="CK52" s="35"/>
      <c r="CL52" s="35">
        <v>40587319.460000001</v>
      </c>
      <c r="CM52" s="35">
        <v>18</v>
      </c>
      <c r="CN52" s="35"/>
      <c r="CO52" s="35"/>
      <c r="CP52" s="85">
        <v>184897788.59</v>
      </c>
      <c r="CQ52" s="27"/>
      <c r="CR52" s="36">
        <v>222037100</v>
      </c>
      <c r="CS52" s="85">
        <v>222037100</v>
      </c>
      <c r="CT52" s="35"/>
      <c r="CU52" s="35">
        <v>55324742.270000003</v>
      </c>
      <c r="CV52" s="35">
        <v>53665000</v>
      </c>
      <c r="CW52" s="35">
        <v>1659742.27</v>
      </c>
      <c r="CX52" s="35">
        <v>53665000</v>
      </c>
      <c r="CY52" s="35"/>
      <c r="CZ52" s="36"/>
      <c r="DA52" s="35">
        <v>55324742.270000003</v>
      </c>
      <c r="DB52" s="35">
        <v>53665000</v>
      </c>
      <c r="DC52" s="35"/>
      <c r="DD52" s="35">
        <v>1659742.27</v>
      </c>
      <c r="DE52" s="35">
        <v>3</v>
      </c>
      <c r="DF52" s="35"/>
      <c r="DG52" s="35"/>
      <c r="DH52" s="85">
        <v>53665000</v>
      </c>
      <c r="DI52" s="27"/>
      <c r="DJ52" s="36">
        <v>53665000</v>
      </c>
      <c r="DK52" s="85">
        <v>53665000</v>
      </c>
      <c r="DL52" s="35"/>
      <c r="DM52" s="35"/>
      <c r="DN52" s="35"/>
      <c r="DO52" s="35"/>
      <c r="DP52" s="35"/>
      <c r="DQ52" s="35"/>
      <c r="DR52" s="36"/>
      <c r="DS52" s="35"/>
      <c r="DT52" s="35"/>
      <c r="DU52" s="35"/>
      <c r="DV52" s="35"/>
      <c r="DW52" s="35"/>
      <c r="DX52" s="35"/>
      <c r="DY52" s="35"/>
      <c r="DZ52" s="85"/>
      <c r="EA52" s="27"/>
      <c r="EB52" s="36"/>
      <c r="EC52" s="85"/>
      <c r="ED52" s="35"/>
      <c r="EE52" s="35">
        <v>126780619</v>
      </c>
      <c r="EF52" s="35">
        <v>122977200</v>
      </c>
      <c r="EG52" s="35">
        <v>3803419</v>
      </c>
      <c r="EH52" s="35">
        <v>122888845.39</v>
      </c>
      <c r="EI52" s="35"/>
      <c r="EJ52" s="36"/>
      <c r="EK52" s="35">
        <v>126689531.83</v>
      </c>
      <c r="EL52" s="35">
        <v>122888845.39</v>
      </c>
      <c r="EM52" s="35"/>
      <c r="EN52" s="35">
        <v>3800686.44</v>
      </c>
      <c r="EO52" s="35">
        <v>3</v>
      </c>
      <c r="EP52" s="35"/>
      <c r="EQ52" s="35"/>
      <c r="ER52" s="85">
        <v>122888845.39</v>
      </c>
      <c r="ES52" s="27"/>
      <c r="ET52" s="36">
        <v>122977200</v>
      </c>
      <c r="EU52" s="85">
        <v>122977200</v>
      </c>
      <c r="EV52" s="35"/>
      <c r="EW52" s="35">
        <v>10470818.699999999</v>
      </c>
      <c r="EX52" s="35">
        <v>5441300</v>
      </c>
      <c r="EY52" s="35">
        <v>5029518.7</v>
      </c>
      <c r="EZ52" s="35">
        <v>5441300</v>
      </c>
      <c r="FA52" s="35"/>
      <c r="FB52" s="36"/>
      <c r="FC52" s="35">
        <v>10470818.699999999</v>
      </c>
      <c r="FD52" s="35">
        <v>5441300</v>
      </c>
      <c r="FE52" s="35"/>
      <c r="FF52" s="35">
        <v>5029518.7</v>
      </c>
      <c r="FG52" s="35">
        <v>48.033670000000001</v>
      </c>
      <c r="FH52" s="35"/>
      <c r="FI52" s="35"/>
      <c r="FJ52" s="85">
        <v>5441300</v>
      </c>
      <c r="FK52" s="27"/>
      <c r="FL52" s="36">
        <v>5441300</v>
      </c>
      <c r="FM52" s="85">
        <v>5441300</v>
      </c>
      <c r="FN52" s="35"/>
      <c r="FO52" s="35"/>
      <c r="FP52" s="35"/>
      <c r="FQ52" s="35"/>
      <c r="FR52" s="35"/>
      <c r="FS52" s="35"/>
      <c r="FT52" s="36"/>
      <c r="FU52" s="35"/>
      <c r="FV52" s="35"/>
      <c r="FW52" s="35"/>
      <c r="FX52" s="35"/>
      <c r="FY52" s="35"/>
      <c r="FZ52" s="35"/>
      <c r="GA52" s="35"/>
      <c r="GB52" s="85"/>
      <c r="GC52" s="27"/>
      <c r="GD52" s="36"/>
      <c r="GE52" s="85"/>
      <c r="GF52" s="35"/>
      <c r="GG52" s="35">
        <v>78827940</v>
      </c>
      <c r="GH52" s="35">
        <v>30067200</v>
      </c>
      <c r="GI52" s="35">
        <v>48760740</v>
      </c>
      <c r="GJ52" s="35">
        <v>29675502.09</v>
      </c>
      <c r="GK52" s="35">
        <v>630282.32999999996</v>
      </c>
      <c r="GL52" s="36"/>
      <c r="GM52" s="35">
        <v>77837009.540000007</v>
      </c>
      <c r="GN52" s="35">
        <v>29675502.09</v>
      </c>
      <c r="GO52" s="35"/>
      <c r="GP52" s="35">
        <v>48161507.450000003</v>
      </c>
      <c r="GQ52" s="35">
        <v>61.87482</v>
      </c>
      <c r="GR52" s="35">
        <v>630282.32999999996</v>
      </c>
      <c r="GS52" s="35"/>
      <c r="GT52" s="85">
        <v>29675502.09</v>
      </c>
      <c r="GU52" s="27"/>
      <c r="GV52" s="36">
        <v>30067200</v>
      </c>
      <c r="GW52" s="85">
        <v>30067200</v>
      </c>
      <c r="GX52" s="35"/>
      <c r="GY52" s="35"/>
      <c r="GZ52" s="35"/>
      <c r="HA52" s="35"/>
      <c r="HB52" s="35"/>
      <c r="HC52" s="35">
        <v>8196397.7800000003</v>
      </c>
      <c r="HD52" s="36"/>
      <c r="HE52" s="35"/>
      <c r="HF52" s="35"/>
      <c r="HG52" s="35"/>
      <c r="HH52" s="35"/>
      <c r="HI52" s="35"/>
      <c r="HJ52" s="35">
        <v>8196397.7800000003</v>
      </c>
      <c r="HK52" s="35"/>
      <c r="HL52" s="85"/>
      <c r="HM52" s="27"/>
      <c r="HN52" s="36"/>
      <c r="HO52" s="85"/>
      <c r="HP52" s="35"/>
      <c r="HQ52" s="35"/>
      <c r="HR52" s="35"/>
      <c r="HS52" s="35"/>
      <c r="HT52" s="35"/>
      <c r="HU52" s="35"/>
      <c r="HV52" s="36"/>
      <c r="HW52" s="35"/>
      <c r="HX52" s="35"/>
      <c r="HY52" s="35"/>
      <c r="HZ52" s="35"/>
      <c r="IA52" s="35"/>
      <c r="IB52" s="35"/>
      <c r="IC52" s="35"/>
      <c r="ID52" s="85"/>
      <c r="IE52" s="27"/>
      <c r="IF52" s="36"/>
      <c r="IG52" s="85"/>
      <c r="IH52" s="35"/>
      <c r="II52" s="35"/>
      <c r="IJ52" s="35"/>
      <c r="IK52" s="35"/>
      <c r="IL52" s="35"/>
      <c r="IM52" s="35"/>
      <c r="IN52" s="36"/>
      <c r="IO52" s="35"/>
      <c r="IP52" s="35"/>
      <c r="IQ52" s="35"/>
      <c r="IR52" s="35"/>
      <c r="IS52" s="35"/>
      <c r="IT52" s="35"/>
      <c r="IU52" s="35"/>
      <c r="IV52" s="85"/>
      <c r="IW52" s="27"/>
      <c r="IX52" s="36"/>
      <c r="IY52" s="85"/>
      <c r="IZ52" s="35"/>
      <c r="JA52" s="35">
        <v>5836000</v>
      </c>
      <c r="JB52" s="35">
        <v>3736000</v>
      </c>
      <c r="JC52" s="35">
        <v>2100000</v>
      </c>
      <c r="JD52" s="35">
        <v>2329423.4</v>
      </c>
      <c r="JE52" s="35"/>
      <c r="JF52" s="36"/>
      <c r="JG52" s="35">
        <v>3638788.8</v>
      </c>
      <c r="JH52" s="35">
        <v>2329423.4</v>
      </c>
      <c r="JI52" s="35"/>
      <c r="JJ52" s="35">
        <v>1309365.3999999999</v>
      </c>
      <c r="JK52" s="35">
        <v>35.983550000000001</v>
      </c>
      <c r="JL52" s="35"/>
      <c r="JM52" s="35"/>
      <c r="JN52" s="85">
        <v>2329423.4</v>
      </c>
      <c r="JO52" s="27"/>
      <c r="JP52" s="36">
        <v>3736000</v>
      </c>
      <c r="JQ52" s="85">
        <v>3736000</v>
      </c>
      <c r="JR52" s="35"/>
      <c r="JS52" s="35"/>
      <c r="JT52" s="35"/>
      <c r="JU52" s="35"/>
      <c r="JV52" s="35"/>
      <c r="JW52" s="35"/>
      <c r="JX52" s="36"/>
      <c r="JY52" s="35"/>
      <c r="JZ52" s="35"/>
      <c r="KA52" s="35"/>
      <c r="KB52" s="35"/>
      <c r="KC52" s="35"/>
      <c r="KD52" s="35"/>
      <c r="KE52" s="35"/>
      <c r="KF52" s="85"/>
      <c r="KG52" s="27"/>
      <c r="KH52" s="36"/>
      <c r="KI52" s="85"/>
      <c r="KJ52" s="35"/>
      <c r="KK52" s="35"/>
      <c r="KL52" s="35"/>
      <c r="KM52" s="35"/>
      <c r="KN52" s="35"/>
      <c r="KO52" s="35"/>
      <c r="KP52" s="36"/>
      <c r="KQ52" s="35"/>
      <c r="KR52" s="35"/>
      <c r="KS52" s="35"/>
      <c r="KT52" s="35"/>
      <c r="KU52" s="35"/>
      <c r="KV52" s="35"/>
      <c r="KW52" s="35"/>
      <c r="KX52" s="85"/>
      <c r="KY52" s="27"/>
      <c r="KZ52" s="36"/>
      <c r="LA52" s="85"/>
      <c r="LB52" s="35"/>
      <c r="LC52" s="35"/>
      <c r="LD52" s="35"/>
      <c r="LE52" s="35"/>
      <c r="LF52" s="35"/>
      <c r="LG52" s="35"/>
      <c r="LH52" s="36"/>
      <c r="LI52" s="35"/>
      <c r="LJ52" s="35"/>
      <c r="LK52" s="35"/>
      <c r="LL52" s="35"/>
      <c r="LM52" s="35"/>
      <c r="LN52" s="35"/>
      <c r="LO52" s="35"/>
      <c r="LP52" s="85"/>
      <c r="LQ52" s="27"/>
      <c r="LR52" s="36"/>
      <c r="LS52" s="85"/>
      <c r="LT52" s="35"/>
      <c r="LU52" s="35"/>
      <c r="LV52" s="35"/>
      <c r="LW52" s="35"/>
      <c r="LX52" s="35"/>
      <c r="LY52" s="35"/>
      <c r="LZ52" s="36"/>
      <c r="MA52" s="35"/>
      <c r="MB52" s="35"/>
      <c r="MC52" s="35"/>
      <c r="MD52" s="35"/>
      <c r="ME52" s="35"/>
      <c r="MF52" s="35"/>
      <c r="MG52" s="35"/>
      <c r="MH52" s="85"/>
      <c r="MI52" s="27"/>
      <c r="MJ52" s="36"/>
      <c r="MK52" s="85"/>
      <c r="ML52" s="35"/>
      <c r="MM52" s="35"/>
      <c r="MN52" s="35"/>
      <c r="MO52" s="35"/>
      <c r="MP52" s="35"/>
      <c r="MQ52" s="35"/>
      <c r="MR52" s="36"/>
      <c r="MS52" s="35"/>
      <c r="MT52" s="35"/>
      <c r="MU52" s="35"/>
      <c r="MV52" s="35"/>
      <c r="MW52" s="35"/>
      <c r="MX52" s="35"/>
      <c r="MY52" s="35"/>
      <c r="MZ52" s="85"/>
      <c r="NA52" s="27"/>
      <c r="NB52" s="36"/>
      <c r="NC52" s="85"/>
      <c r="ND52" s="35"/>
      <c r="NE52" s="35">
        <v>2303000</v>
      </c>
      <c r="NF52" s="35">
        <v>981400</v>
      </c>
      <c r="NG52" s="35">
        <v>1321600</v>
      </c>
      <c r="NH52" s="35">
        <v>242461.63</v>
      </c>
      <c r="NI52" s="35"/>
      <c r="NJ52" s="36"/>
      <c r="NK52" s="35">
        <v>517515.5</v>
      </c>
      <c r="NL52" s="35">
        <v>220533.96</v>
      </c>
      <c r="NM52" s="35"/>
      <c r="NN52" s="35">
        <v>296981.53999999998</v>
      </c>
      <c r="NO52" s="35">
        <v>57.386020000000002</v>
      </c>
      <c r="NP52" s="35"/>
      <c r="NQ52" s="35">
        <v>21927.67</v>
      </c>
      <c r="NR52" s="85">
        <v>242461.63</v>
      </c>
      <c r="NS52" s="27"/>
      <c r="NT52" s="36">
        <v>981400</v>
      </c>
      <c r="NU52" s="85">
        <v>981400</v>
      </c>
      <c r="NV52" s="35"/>
      <c r="NW52" s="35"/>
      <c r="NX52" s="35"/>
      <c r="NY52" s="35"/>
      <c r="NZ52" s="35"/>
      <c r="OA52" s="35"/>
      <c r="OB52" s="36"/>
      <c r="OC52" s="35"/>
      <c r="OD52" s="35"/>
      <c r="OE52" s="35"/>
      <c r="OF52" s="35"/>
      <c r="OG52" s="35"/>
      <c r="OH52" s="35"/>
      <c r="OI52" s="35"/>
      <c r="OJ52" s="85"/>
      <c r="OK52" s="27"/>
      <c r="OL52" s="36"/>
      <c r="OM52" s="85"/>
      <c r="ON52" s="35"/>
      <c r="OO52" s="35"/>
      <c r="OP52" s="35"/>
      <c r="OQ52" s="35"/>
      <c r="OR52" s="35"/>
      <c r="OS52" s="35">
        <v>4987831.97</v>
      </c>
      <c r="OT52" s="36"/>
      <c r="OU52" s="35"/>
      <c r="OV52" s="35"/>
      <c r="OW52" s="35"/>
      <c r="OX52" s="35"/>
      <c r="OY52" s="35"/>
      <c r="OZ52" s="35">
        <v>4987831.97</v>
      </c>
      <c r="PA52" s="35"/>
      <c r="PB52" s="85"/>
      <c r="PC52" s="27"/>
      <c r="PD52" s="36"/>
      <c r="PE52" s="85"/>
      <c r="PF52" s="35"/>
      <c r="PG52" s="35"/>
      <c r="PH52" s="35"/>
      <c r="PI52" s="35"/>
      <c r="PJ52" s="35"/>
      <c r="PK52" s="35"/>
      <c r="PL52" s="36"/>
      <c r="PM52" s="35"/>
      <c r="PN52" s="35"/>
      <c r="PO52" s="35"/>
      <c r="PP52" s="35"/>
      <c r="PQ52" s="35"/>
      <c r="PR52" s="35"/>
      <c r="PS52" s="35"/>
      <c r="PT52" s="85"/>
      <c r="PU52" s="27"/>
      <c r="PV52" s="36"/>
      <c r="PW52" s="85"/>
      <c r="PX52" s="35"/>
      <c r="PY52" s="35"/>
      <c r="PZ52" s="35"/>
      <c r="QA52" s="35"/>
      <c r="QB52" s="35"/>
      <c r="QC52" s="35"/>
      <c r="QD52" s="36"/>
      <c r="QE52" s="35"/>
      <c r="QF52" s="35"/>
      <c r="QG52" s="35"/>
      <c r="QH52" s="35"/>
      <c r="QI52" s="35"/>
      <c r="QJ52" s="35"/>
      <c r="QK52" s="35"/>
      <c r="QL52" s="85"/>
      <c r="QM52" s="27"/>
      <c r="QN52" s="36"/>
      <c r="QO52" s="85"/>
      <c r="QP52" s="35"/>
      <c r="QQ52" s="35"/>
      <c r="QR52" s="35"/>
      <c r="QS52" s="35"/>
      <c r="QT52" s="35"/>
      <c r="QU52" s="35"/>
      <c r="QV52" s="36"/>
      <c r="QW52" s="35"/>
      <c r="QX52" s="35"/>
      <c r="QY52" s="35"/>
      <c r="QZ52" s="35"/>
      <c r="RA52" s="35"/>
      <c r="RB52" s="35"/>
      <c r="RC52" s="35"/>
      <c r="RD52" s="85"/>
      <c r="RE52" s="27"/>
      <c r="RF52" s="36"/>
      <c r="RG52" s="85"/>
      <c r="RH52" s="35"/>
      <c r="RI52" s="35"/>
      <c r="RJ52" s="35"/>
      <c r="RK52" s="35"/>
      <c r="RL52" s="35"/>
      <c r="RM52" s="35"/>
      <c r="RN52" s="36"/>
      <c r="RO52" s="35"/>
      <c r="RP52" s="35"/>
      <c r="RQ52" s="35"/>
      <c r="RR52" s="35"/>
      <c r="RS52" s="35"/>
      <c r="RT52" s="35"/>
      <c r="RU52" s="35"/>
      <c r="RV52" s="85"/>
      <c r="RW52" s="27"/>
      <c r="RX52" s="36"/>
      <c r="RY52" s="85"/>
      <c r="RZ52" s="35"/>
      <c r="SA52" s="35"/>
      <c r="SB52" s="35"/>
      <c r="SC52" s="35"/>
      <c r="SD52" s="35"/>
      <c r="SE52" s="35"/>
      <c r="SF52" s="36"/>
      <c r="SG52" s="35"/>
      <c r="SH52" s="35"/>
      <c r="SI52" s="35"/>
      <c r="SJ52" s="35"/>
      <c r="SK52" s="35"/>
      <c r="SL52" s="35"/>
      <c r="SM52" s="35"/>
      <c r="SN52" s="85"/>
      <c r="SO52" s="27"/>
      <c r="SP52" s="36"/>
      <c r="SQ52" s="85"/>
      <c r="SR52" s="35"/>
      <c r="SS52" s="35"/>
      <c r="ST52" s="35"/>
      <c r="SU52" s="35"/>
      <c r="SV52" s="35"/>
      <c r="SW52" s="35"/>
      <c r="SX52" s="36"/>
      <c r="SY52" s="35"/>
      <c r="SZ52" s="35"/>
      <c r="TA52" s="35"/>
      <c r="TB52" s="35"/>
      <c r="TC52" s="35"/>
      <c r="TD52" s="35"/>
      <c r="TE52" s="35"/>
      <c r="TF52" s="85"/>
      <c r="TG52" s="27"/>
      <c r="TH52" s="36"/>
      <c r="TI52" s="85"/>
      <c r="TJ52" s="35"/>
      <c r="TK52" s="35"/>
      <c r="TL52" s="35"/>
      <c r="TM52" s="35"/>
      <c r="TN52" s="35"/>
      <c r="TO52" s="35"/>
      <c r="TP52" s="36"/>
      <c r="TQ52" s="35"/>
      <c r="TR52" s="35"/>
      <c r="TS52" s="35"/>
      <c r="TT52" s="35"/>
      <c r="TU52" s="35"/>
      <c r="TV52" s="35"/>
      <c r="TW52" s="35"/>
      <c r="TX52" s="85"/>
      <c r="TY52" s="27"/>
      <c r="TZ52" s="36"/>
      <c r="UA52" s="85"/>
      <c r="UB52" s="35"/>
      <c r="UC52" s="35"/>
      <c r="UD52" s="35"/>
      <c r="UE52" s="35"/>
      <c r="UF52" s="35"/>
      <c r="UG52" s="35"/>
      <c r="UH52" s="36"/>
      <c r="UI52" s="35"/>
      <c r="UJ52" s="35"/>
      <c r="UK52" s="35"/>
      <c r="UL52" s="35"/>
      <c r="UM52" s="35"/>
      <c r="UN52" s="35"/>
      <c r="UO52" s="35"/>
      <c r="UP52" s="85"/>
      <c r="UQ52" s="27"/>
      <c r="UR52" s="36"/>
      <c r="US52" s="85"/>
    </row>
    <row r="53" spans="1:565" x14ac:dyDescent="0.3">
      <c r="A53" s="14" t="s">
        <v>104</v>
      </c>
      <c r="B53" s="169">
        <v>39</v>
      </c>
      <c r="C53" s="16" t="s">
        <v>105</v>
      </c>
      <c r="F53" s="36">
        <v>2447456400</v>
      </c>
      <c r="G53" s="85"/>
      <c r="H53" s="35"/>
      <c r="I53" s="35">
        <v>747497100</v>
      </c>
      <c r="J53" s="35">
        <v>642847500</v>
      </c>
      <c r="K53" s="35">
        <v>104649600</v>
      </c>
      <c r="L53" s="35">
        <v>642847500</v>
      </c>
      <c r="M53" s="35"/>
      <c r="N53" s="36"/>
      <c r="O53" s="35">
        <v>747497100</v>
      </c>
      <c r="P53" s="35">
        <v>642847500</v>
      </c>
      <c r="Q53" s="35"/>
      <c r="R53" s="35">
        <v>104649600</v>
      </c>
      <c r="S53" s="35">
        <v>14</v>
      </c>
      <c r="T53" s="35"/>
      <c r="U53" s="35"/>
      <c r="V53" s="85">
        <v>642847500</v>
      </c>
      <c r="W53" s="27"/>
      <c r="X53" s="36">
        <v>642847500</v>
      </c>
      <c r="Y53" s="85">
        <v>642847500</v>
      </c>
      <c r="Z53" s="35"/>
      <c r="AA53" s="35">
        <v>24918610</v>
      </c>
      <c r="AB53" s="35">
        <v>21430000</v>
      </c>
      <c r="AC53" s="35">
        <v>3488610</v>
      </c>
      <c r="AD53" s="35">
        <v>21430000</v>
      </c>
      <c r="AE53" s="35"/>
      <c r="AF53" s="36"/>
      <c r="AG53" s="35">
        <v>24918610</v>
      </c>
      <c r="AH53" s="35">
        <v>21430000</v>
      </c>
      <c r="AI53" s="35"/>
      <c r="AJ53" s="35">
        <v>3488610</v>
      </c>
      <c r="AK53" s="35">
        <v>14.000019999999999</v>
      </c>
      <c r="AL53" s="35"/>
      <c r="AM53" s="35"/>
      <c r="AN53" s="85">
        <v>21430000</v>
      </c>
      <c r="AO53" s="27"/>
      <c r="AP53" s="36">
        <v>21430000</v>
      </c>
      <c r="AQ53" s="85">
        <v>21430000</v>
      </c>
      <c r="AR53" s="35"/>
      <c r="AS53" s="35">
        <v>894790700</v>
      </c>
      <c r="AT53" s="35">
        <v>769520000</v>
      </c>
      <c r="AU53" s="35">
        <v>125270700</v>
      </c>
      <c r="AV53" s="35">
        <v>769488099.50999999</v>
      </c>
      <c r="AW53" s="35"/>
      <c r="AX53" s="36"/>
      <c r="AY53" s="35">
        <v>894742663</v>
      </c>
      <c r="AZ53" s="35">
        <v>769478688.25999999</v>
      </c>
      <c r="BA53" s="35"/>
      <c r="BB53" s="35">
        <v>125263974.73999999</v>
      </c>
      <c r="BC53" s="35">
        <v>14</v>
      </c>
      <c r="BD53" s="35"/>
      <c r="BE53" s="35">
        <v>9411.25</v>
      </c>
      <c r="BF53" s="85">
        <v>769488099.50999999</v>
      </c>
      <c r="BG53" s="27"/>
      <c r="BH53" s="36">
        <v>769520000</v>
      </c>
      <c r="BI53" s="85">
        <v>769520000</v>
      </c>
      <c r="BJ53" s="35"/>
      <c r="BK53" s="35">
        <v>227926520</v>
      </c>
      <c r="BL53" s="35">
        <v>224576000</v>
      </c>
      <c r="BM53" s="35">
        <v>3350520</v>
      </c>
      <c r="BN53" s="35">
        <v>224576000</v>
      </c>
      <c r="BO53" s="35"/>
      <c r="BP53" s="36"/>
      <c r="BQ53" s="35">
        <v>227926520</v>
      </c>
      <c r="BR53" s="35">
        <v>224576000</v>
      </c>
      <c r="BS53" s="35"/>
      <c r="BT53" s="35">
        <v>3350520</v>
      </c>
      <c r="BU53" s="35">
        <v>1.47</v>
      </c>
      <c r="BV53" s="35"/>
      <c r="BW53" s="35"/>
      <c r="BX53" s="85">
        <v>224576000</v>
      </c>
      <c r="BY53" s="27"/>
      <c r="BZ53" s="36">
        <v>224576000</v>
      </c>
      <c r="CA53" s="85">
        <v>224576000</v>
      </c>
      <c r="CB53" s="35"/>
      <c r="CC53" s="35">
        <v>463966300</v>
      </c>
      <c r="CD53" s="35">
        <v>399011000</v>
      </c>
      <c r="CE53" s="35">
        <v>64955300</v>
      </c>
      <c r="CF53" s="35">
        <v>399011000</v>
      </c>
      <c r="CG53" s="35"/>
      <c r="CH53" s="36"/>
      <c r="CI53" s="35">
        <v>463966300</v>
      </c>
      <c r="CJ53" s="35">
        <v>399011000</v>
      </c>
      <c r="CK53" s="35"/>
      <c r="CL53" s="35">
        <v>64955300</v>
      </c>
      <c r="CM53" s="35">
        <v>14</v>
      </c>
      <c r="CN53" s="35"/>
      <c r="CO53" s="35"/>
      <c r="CP53" s="85">
        <v>399011000</v>
      </c>
      <c r="CQ53" s="27"/>
      <c r="CR53" s="36">
        <v>399011000</v>
      </c>
      <c r="CS53" s="85">
        <v>399011000</v>
      </c>
      <c r="CT53" s="35"/>
      <c r="CU53" s="35">
        <v>171182660</v>
      </c>
      <c r="CV53" s="35">
        <v>167759000</v>
      </c>
      <c r="CW53" s="35">
        <v>3423660</v>
      </c>
      <c r="CX53" s="35">
        <v>167759000</v>
      </c>
      <c r="CY53" s="35"/>
      <c r="CZ53" s="36"/>
      <c r="DA53" s="35">
        <v>171182660</v>
      </c>
      <c r="DB53" s="35">
        <v>167759000</v>
      </c>
      <c r="DC53" s="35"/>
      <c r="DD53" s="35">
        <v>3423660</v>
      </c>
      <c r="DE53" s="35">
        <v>2</v>
      </c>
      <c r="DF53" s="35"/>
      <c r="DG53" s="35"/>
      <c r="DH53" s="85">
        <v>167759000</v>
      </c>
      <c r="DI53" s="27"/>
      <c r="DJ53" s="36">
        <v>167759000</v>
      </c>
      <c r="DK53" s="85">
        <v>167759000</v>
      </c>
      <c r="DL53" s="35"/>
      <c r="DM53" s="35"/>
      <c r="DN53" s="35"/>
      <c r="DO53" s="35"/>
      <c r="DP53" s="35"/>
      <c r="DQ53" s="35"/>
      <c r="DR53" s="36"/>
      <c r="DS53" s="35"/>
      <c r="DT53" s="35"/>
      <c r="DU53" s="35"/>
      <c r="DV53" s="35"/>
      <c r="DW53" s="35"/>
      <c r="DX53" s="35"/>
      <c r="DY53" s="35"/>
      <c r="DZ53" s="85"/>
      <c r="EA53" s="27"/>
      <c r="EB53" s="36"/>
      <c r="EC53" s="85"/>
      <c r="ED53" s="35"/>
      <c r="EE53" s="35">
        <v>81901837</v>
      </c>
      <c r="EF53" s="35">
        <v>80263800</v>
      </c>
      <c r="EG53" s="35">
        <v>1638037</v>
      </c>
      <c r="EH53" s="35">
        <v>80263800</v>
      </c>
      <c r="EI53" s="35"/>
      <c r="EJ53" s="36"/>
      <c r="EK53" s="35">
        <v>81901837</v>
      </c>
      <c r="EL53" s="35">
        <v>80263800</v>
      </c>
      <c r="EM53" s="35"/>
      <c r="EN53" s="35">
        <v>1638037</v>
      </c>
      <c r="EO53" s="35">
        <v>2</v>
      </c>
      <c r="EP53" s="35"/>
      <c r="EQ53" s="35"/>
      <c r="ER53" s="85">
        <v>80263800</v>
      </c>
      <c r="ES53" s="27"/>
      <c r="ET53" s="36">
        <v>80263800</v>
      </c>
      <c r="EU53" s="85">
        <v>80263800</v>
      </c>
      <c r="EV53" s="35"/>
      <c r="EW53" s="35">
        <v>148445000</v>
      </c>
      <c r="EX53" s="35">
        <v>104367400</v>
      </c>
      <c r="EY53" s="35">
        <v>44077600</v>
      </c>
      <c r="EZ53" s="35">
        <v>104367400</v>
      </c>
      <c r="FA53" s="35">
        <v>8445545.3100000005</v>
      </c>
      <c r="FB53" s="36"/>
      <c r="FC53" s="35">
        <v>148445000</v>
      </c>
      <c r="FD53" s="35">
        <v>104367400</v>
      </c>
      <c r="FE53" s="35"/>
      <c r="FF53" s="35">
        <v>44077600</v>
      </c>
      <c r="FG53" s="35">
        <v>29.692879999999999</v>
      </c>
      <c r="FH53" s="35">
        <v>8445545.3100000005</v>
      </c>
      <c r="FI53" s="35"/>
      <c r="FJ53" s="85">
        <v>104367400</v>
      </c>
      <c r="FK53" s="27"/>
      <c r="FL53" s="36">
        <v>104367400</v>
      </c>
      <c r="FM53" s="85">
        <v>104367400</v>
      </c>
      <c r="FN53" s="35"/>
      <c r="FO53" s="35"/>
      <c r="FP53" s="35"/>
      <c r="FQ53" s="35"/>
      <c r="FR53" s="35"/>
      <c r="FS53" s="35">
        <v>1791837.64</v>
      </c>
      <c r="FT53" s="36"/>
      <c r="FU53" s="35"/>
      <c r="FV53" s="35"/>
      <c r="FW53" s="35"/>
      <c r="FX53" s="35"/>
      <c r="FY53" s="35"/>
      <c r="FZ53" s="35">
        <v>1791837.64</v>
      </c>
      <c r="GA53" s="35"/>
      <c r="GB53" s="85"/>
      <c r="GC53" s="27"/>
      <c r="GD53" s="36"/>
      <c r="GE53" s="85"/>
      <c r="GF53" s="35"/>
      <c r="GG53" s="35">
        <v>31277674</v>
      </c>
      <c r="GH53" s="35">
        <v>26898800</v>
      </c>
      <c r="GI53" s="35">
        <v>4378874</v>
      </c>
      <c r="GJ53" s="35">
        <v>26898800</v>
      </c>
      <c r="GK53" s="35"/>
      <c r="GL53" s="36"/>
      <c r="GM53" s="35">
        <v>31277674</v>
      </c>
      <c r="GN53" s="35">
        <v>26898800</v>
      </c>
      <c r="GO53" s="35"/>
      <c r="GP53" s="35">
        <v>4378874</v>
      </c>
      <c r="GQ53" s="35">
        <v>14</v>
      </c>
      <c r="GR53" s="35"/>
      <c r="GS53" s="35"/>
      <c r="GT53" s="85">
        <v>26898800</v>
      </c>
      <c r="GU53" s="27"/>
      <c r="GV53" s="36">
        <v>26898800</v>
      </c>
      <c r="GW53" s="85">
        <v>26898800</v>
      </c>
      <c r="GX53" s="35"/>
      <c r="GY53" s="35"/>
      <c r="GZ53" s="35"/>
      <c r="HA53" s="35"/>
      <c r="HB53" s="35"/>
      <c r="HC53" s="35"/>
      <c r="HD53" s="36"/>
      <c r="HE53" s="35"/>
      <c r="HF53" s="35"/>
      <c r="HG53" s="35"/>
      <c r="HH53" s="35"/>
      <c r="HI53" s="35"/>
      <c r="HJ53" s="35"/>
      <c r="HK53" s="35"/>
      <c r="HL53" s="85"/>
      <c r="HM53" s="27"/>
      <c r="HN53" s="36"/>
      <c r="HO53" s="85"/>
      <c r="HP53" s="35"/>
      <c r="HQ53" s="35"/>
      <c r="HR53" s="35"/>
      <c r="HS53" s="35"/>
      <c r="HT53" s="35"/>
      <c r="HU53" s="35"/>
      <c r="HV53" s="36"/>
      <c r="HW53" s="35"/>
      <c r="HX53" s="35"/>
      <c r="HY53" s="35"/>
      <c r="HZ53" s="35"/>
      <c r="IA53" s="35"/>
      <c r="IB53" s="35"/>
      <c r="IC53" s="35"/>
      <c r="ID53" s="85"/>
      <c r="IE53" s="27"/>
      <c r="IF53" s="36"/>
      <c r="IG53" s="85"/>
      <c r="IH53" s="35"/>
      <c r="II53" s="35"/>
      <c r="IJ53" s="35"/>
      <c r="IK53" s="35"/>
      <c r="IL53" s="35"/>
      <c r="IM53" s="35">
        <v>9750000</v>
      </c>
      <c r="IN53" s="36"/>
      <c r="IO53" s="35"/>
      <c r="IP53" s="35"/>
      <c r="IQ53" s="35"/>
      <c r="IR53" s="35"/>
      <c r="IS53" s="35"/>
      <c r="IT53" s="35">
        <v>9750000</v>
      </c>
      <c r="IU53" s="35"/>
      <c r="IV53" s="85"/>
      <c r="IW53" s="27"/>
      <c r="IX53" s="36"/>
      <c r="IY53" s="85"/>
      <c r="IZ53" s="35"/>
      <c r="JA53" s="35">
        <v>4553721</v>
      </c>
      <c r="JB53" s="35">
        <v>3916200</v>
      </c>
      <c r="JC53" s="35">
        <v>637521</v>
      </c>
      <c r="JD53" s="35">
        <v>3916200</v>
      </c>
      <c r="JE53" s="35"/>
      <c r="JF53" s="36"/>
      <c r="JG53" s="35">
        <v>4553721</v>
      </c>
      <c r="JH53" s="35">
        <v>3916200</v>
      </c>
      <c r="JI53" s="35"/>
      <c r="JJ53" s="35">
        <v>637521</v>
      </c>
      <c r="JK53" s="35">
        <v>14</v>
      </c>
      <c r="JL53" s="35"/>
      <c r="JM53" s="35"/>
      <c r="JN53" s="85">
        <v>3916200</v>
      </c>
      <c r="JO53" s="27"/>
      <c r="JP53" s="36">
        <v>3916200</v>
      </c>
      <c r="JQ53" s="85">
        <v>3916200</v>
      </c>
      <c r="JR53" s="35"/>
      <c r="JS53" s="35"/>
      <c r="JT53" s="35"/>
      <c r="JU53" s="35"/>
      <c r="JV53" s="35"/>
      <c r="JW53" s="35"/>
      <c r="JX53" s="36"/>
      <c r="JY53" s="35"/>
      <c r="JZ53" s="35"/>
      <c r="KA53" s="35"/>
      <c r="KB53" s="35"/>
      <c r="KC53" s="35"/>
      <c r="KD53" s="35"/>
      <c r="KE53" s="35"/>
      <c r="KF53" s="85"/>
      <c r="KG53" s="27"/>
      <c r="KH53" s="36"/>
      <c r="KI53" s="85"/>
      <c r="KJ53" s="35"/>
      <c r="KK53" s="35">
        <v>3617024</v>
      </c>
      <c r="KL53" s="35">
        <v>3110500</v>
      </c>
      <c r="KM53" s="35">
        <v>506524</v>
      </c>
      <c r="KN53" s="35">
        <v>3110500</v>
      </c>
      <c r="KO53" s="35"/>
      <c r="KP53" s="36"/>
      <c r="KQ53" s="35">
        <v>3617024</v>
      </c>
      <c r="KR53" s="35">
        <v>3110500</v>
      </c>
      <c r="KS53" s="35"/>
      <c r="KT53" s="35">
        <v>506524</v>
      </c>
      <c r="KU53" s="35">
        <v>14.00389</v>
      </c>
      <c r="KV53" s="35"/>
      <c r="KW53" s="35"/>
      <c r="KX53" s="85">
        <v>3110500</v>
      </c>
      <c r="KY53" s="27"/>
      <c r="KZ53" s="36">
        <v>3110500</v>
      </c>
      <c r="LA53" s="85">
        <v>3110500</v>
      </c>
      <c r="LB53" s="35"/>
      <c r="LC53" s="35"/>
      <c r="LD53" s="35"/>
      <c r="LE53" s="35"/>
      <c r="LF53" s="35"/>
      <c r="LG53" s="35"/>
      <c r="LH53" s="36"/>
      <c r="LI53" s="35"/>
      <c r="LJ53" s="35"/>
      <c r="LK53" s="35"/>
      <c r="LL53" s="35"/>
      <c r="LM53" s="35"/>
      <c r="LN53" s="35"/>
      <c r="LO53" s="35"/>
      <c r="LP53" s="85"/>
      <c r="LQ53" s="27"/>
      <c r="LR53" s="36"/>
      <c r="LS53" s="85"/>
      <c r="LT53" s="35"/>
      <c r="LU53" s="35"/>
      <c r="LV53" s="35"/>
      <c r="LW53" s="35"/>
      <c r="LX53" s="35"/>
      <c r="LY53" s="35"/>
      <c r="LZ53" s="36"/>
      <c r="MA53" s="35"/>
      <c r="MB53" s="35"/>
      <c r="MC53" s="35"/>
      <c r="MD53" s="35"/>
      <c r="ME53" s="35"/>
      <c r="MF53" s="35"/>
      <c r="MG53" s="35"/>
      <c r="MH53" s="85"/>
      <c r="MI53" s="27"/>
      <c r="MJ53" s="36"/>
      <c r="MK53" s="85"/>
      <c r="ML53" s="35"/>
      <c r="MM53" s="35"/>
      <c r="MN53" s="35"/>
      <c r="MO53" s="35"/>
      <c r="MP53" s="35"/>
      <c r="MQ53" s="35"/>
      <c r="MR53" s="36"/>
      <c r="MS53" s="35"/>
      <c r="MT53" s="35"/>
      <c r="MU53" s="35"/>
      <c r="MV53" s="35"/>
      <c r="MW53" s="35"/>
      <c r="MX53" s="35"/>
      <c r="MY53" s="35"/>
      <c r="MZ53" s="85"/>
      <c r="NA53" s="27"/>
      <c r="NB53" s="36"/>
      <c r="NC53" s="85"/>
      <c r="ND53" s="35"/>
      <c r="NE53" s="35">
        <v>4367675</v>
      </c>
      <c r="NF53" s="35">
        <v>3756200</v>
      </c>
      <c r="NG53" s="35">
        <v>611475</v>
      </c>
      <c r="NH53" s="35">
        <v>3756200</v>
      </c>
      <c r="NI53" s="35"/>
      <c r="NJ53" s="36"/>
      <c r="NK53" s="35">
        <v>4367675</v>
      </c>
      <c r="NL53" s="35">
        <v>3756200</v>
      </c>
      <c r="NM53" s="35"/>
      <c r="NN53" s="35">
        <v>611475</v>
      </c>
      <c r="NO53" s="35">
        <v>14.00001</v>
      </c>
      <c r="NP53" s="35"/>
      <c r="NQ53" s="35"/>
      <c r="NR53" s="85">
        <v>3756200</v>
      </c>
      <c r="NS53" s="27"/>
      <c r="NT53" s="36">
        <v>3756200</v>
      </c>
      <c r="NU53" s="85">
        <v>3756200</v>
      </c>
      <c r="NV53" s="35"/>
      <c r="NW53" s="35"/>
      <c r="NX53" s="35"/>
      <c r="NY53" s="35"/>
      <c r="NZ53" s="35"/>
      <c r="OA53" s="35"/>
      <c r="OB53" s="36"/>
      <c r="OC53" s="35"/>
      <c r="OD53" s="35"/>
      <c r="OE53" s="35"/>
      <c r="OF53" s="35"/>
      <c r="OG53" s="35"/>
      <c r="OH53" s="35"/>
      <c r="OI53" s="35"/>
      <c r="OJ53" s="85"/>
      <c r="OK53" s="27"/>
      <c r="OL53" s="36"/>
      <c r="OM53" s="85"/>
      <c r="ON53" s="35"/>
      <c r="OO53" s="35"/>
      <c r="OP53" s="35"/>
      <c r="OQ53" s="35"/>
      <c r="OR53" s="35"/>
      <c r="OS53" s="35">
        <v>1171367.6000000001</v>
      </c>
      <c r="OT53" s="36"/>
      <c r="OU53" s="35"/>
      <c r="OV53" s="35"/>
      <c r="OW53" s="35"/>
      <c r="OX53" s="35"/>
      <c r="OY53" s="35"/>
      <c r="OZ53" s="35">
        <v>1171367.6000000001</v>
      </c>
      <c r="PA53" s="35"/>
      <c r="PB53" s="85"/>
      <c r="PC53" s="27"/>
      <c r="PD53" s="36"/>
      <c r="PE53" s="85"/>
      <c r="PF53" s="35"/>
      <c r="PG53" s="35"/>
      <c r="PH53" s="35"/>
      <c r="PI53" s="35"/>
      <c r="PJ53" s="35"/>
      <c r="PK53" s="35"/>
      <c r="PL53" s="36"/>
      <c r="PM53" s="35"/>
      <c r="PN53" s="35"/>
      <c r="PO53" s="35"/>
      <c r="PP53" s="35"/>
      <c r="PQ53" s="35"/>
      <c r="PR53" s="35"/>
      <c r="PS53" s="35"/>
      <c r="PT53" s="85"/>
      <c r="PU53" s="27"/>
      <c r="PV53" s="36"/>
      <c r="PW53" s="85"/>
      <c r="PX53" s="35"/>
      <c r="PY53" s="35"/>
      <c r="PZ53" s="35"/>
      <c r="QA53" s="35"/>
      <c r="QB53" s="35"/>
      <c r="QC53" s="35"/>
      <c r="QD53" s="36"/>
      <c r="QE53" s="35"/>
      <c r="QF53" s="35"/>
      <c r="QG53" s="35"/>
      <c r="QH53" s="35"/>
      <c r="QI53" s="35"/>
      <c r="QJ53" s="35"/>
      <c r="QK53" s="35"/>
      <c r="QL53" s="85"/>
      <c r="QM53" s="27"/>
      <c r="QN53" s="36"/>
      <c r="QO53" s="85"/>
      <c r="QP53" s="35"/>
      <c r="QQ53" s="35"/>
      <c r="QR53" s="35"/>
      <c r="QS53" s="35"/>
      <c r="QT53" s="35"/>
      <c r="QU53" s="35"/>
      <c r="QV53" s="36"/>
      <c r="QW53" s="35"/>
      <c r="QX53" s="35"/>
      <c r="QY53" s="35"/>
      <c r="QZ53" s="35"/>
      <c r="RA53" s="35"/>
      <c r="RB53" s="35"/>
      <c r="RC53" s="35"/>
      <c r="RD53" s="85"/>
      <c r="RE53" s="27"/>
      <c r="RF53" s="36"/>
      <c r="RG53" s="85"/>
      <c r="RH53" s="35"/>
      <c r="RI53" s="35"/>
      <c r="RJ53" s="35"/>
      <c r="RK53" s="35"/>
      <c r="RL53" s="35"/>
      <c r="RM53" s="35"/>
      <c r="RN53" s="36"/>
      <c r="RO53" s="35"/>
      <c r="RP53" s="35"/>
      <c r="RQ53" s="35"/>
      <c r="RR53" s="35"/>
      <c r="RS53" s="35"/>
      <c r="RT53" s="35"/>
      <c r="RU53" s="35"/>
      <c r="RV53" s="85"/>
      <c r="RW53" s="27"/>
      <c r="RX53" s="36"/>
      <c r="RY53" s="85"/>
      <c r="RZ53" s="35"/>
      <c r="SA53" s="35"/>
      <c r="SB53" s="35"/>
      <c r="SC53" s="35"/>
      <c r="SD53" s="35"/>
      <c r="SE53" s="35"/>
      <c r="SF53" s="36"/>
      <c r="SG53" s="35"/>
      <c r="SH53" s="35"/>
      <c r="SI53" s="35"/>
      <c r="SJ53" s="35"/>
      <c r="SK53" s="35"/>
      <c r="SL53" s="35"/>
      <c r="SM53" s="35"/>
      <c r="SN53" s="85"/>
      <c r="SO53" s="27"/>
      <c r="SP53" s="36"/>
      <c r="SQ53" s="85"/>
      <c r="SR53" s="35"/>
      <c r="SS53" s="35"/>
      <c r="ST53" s="35"/>
      <c r="SU53" s="35"/>
      <c r="SV53" s="35"/>
      <c r="SW53" s="35"/>
      <c r="SX53" s="36"/>
      <c r="SY53" s="35"/>
      <c r="SZ53" s="35"/>
      <c r="TA53" s="35"/>
      <c r="TB53" s="35"/>
      <c r="TC53" s="35"/>
      <c r="TD53" s="35"/>
      <c r="TE53" s="35"/>
      <c r="TF53" s="85"/>
      <c r="TG53" s="27"/>
      <c r="TH53" s="36"/>
      <c r="TI53" s="85"/>
      <c r="TJ53" s="35"/>
      <c r="TK53" s="35"/>
      <c r="TL53" s="35"/>
      <c r="TM53" s="35"/>
      <c r="TN53" s="35"/>
      <c r="TO53" s="35"/>
      <c r="TP53" s="36"/>
      <c r="TQ53" s="35"/>
      <c r="TR53" s="35"/>
      <c r="TS53" s="35"/>
      <c r="TT53" s="35"/>
      <c r="TU53" s="35"/>
      <c r="TV53" s="35"/>
      <c r="TW53" s="35"/>
      <c r="TX53" s="85"/>
      <c r="TY53" s="27"/>
      <c r="TZ53" s="36"/>
      <c r="UA53" s="85"/>
      <c r="UB53" s="35"/>
      <c r="UC53" s="35"/>
      <c r="UD53" s="35"/>
      <c r="UE53" s="35"/>
      <c r="UF53" s="35"/>
      <c r="UG53" s="35"/>
      <c r="UH53" s="36"/>
      <c r="UI53" s="35"/>
      <c r="UJ53" s="35"/>
      <c r="UK53" s="35"/>
      <c r="UL53" s="35"/>
      <c r="UM53" s="35"/>
      <c r="UN53" s="35"/>
      <c r="UO53" s="35"/>
      <c r="UP53" s="85"/>
      <c r="UQ53" s="27"/>
      <c r="UR53" s="36"/>
      <c r="US53" s="85"/>
    </row>
    <row r="54" spans="1:565" x14ac:dyDescent="0.3">
      <c r="A54" s="14" t="s">
        <v>106</v>
      </c>
      <c r="B54" s="171">
        <v>40</v>
      </c>
      <c r="C54" s="16" t="s">
        <v>107</v>
      </c>
      <c r="F54" s="36">
        <v>2882225300</v>
      </c>
      <c r="G54" s="85"/>
      <c r="H54" s="35"/>
      <c r="I54" s="35">
        <v>148321300</v>
      </c>
      <c r="J54" s="35">
        <v>129039500</v>
      </c>
      <c r="K54" s="35">
        <v>19281800</v>
      </c>
      <c r="L54" s="35">
        <v>128801839.62</v>
      </c>
      <c r="M54" s="35"/>
      <c r="N54" s="36"/>
      <c r="O54" s="35">
        <v>148048127.06999999</v>
      </c>
      <c r="P54" s="35">
        <v>128801839.62</v>
      </c>
      <c r="Q54" s="35"/>
      <c r="R54" s="35">
        <v>19246287.449999999</v>
      </c>
      <c r="S54" s="35">
        <v>13.000019999999999</v>
      </c>
      <c r="T54" s="35"/>
      <c r="U54" s="35"/>
      <c r="V54" s="85">
        <v>128801839.62</v>
      </c>
      <c r="W54" s="27"/>
      <c r="X54" s="36">
        <v>129039500</v>
      </c>
      <c r="Y54" s="85">
        <v>129039500</v>
      </c>
      <c r="Z54" s="35"/>
      <c r="AA54" s="35">
        <v>105818700</v>
      </c>
      <c r="AB54" s="35">
        <v>92062200</v>
      </c>
      <c r="AC54" s="35">
        <v>13756500</v>
      </c>
      <c r="AD54" s="35">
        <v>92062200</v>
      </c>
      <c r="AE54" s="35"/>
      <c r="AF54" s="36"/>
      <c r="AG54" s="35">
        <v>105818699.98</v>
      </c>
      <c r="AH54" s="35">
        <v>92062199.980000004</v>
      </c>
      <c r="AI54" s="35"/>
      <c r="AJ54" s="35">
        <v>13756500</v>
      </c>
      <c r="AK54" s="35">
        <v>13.000069999999999</v>
      </c>
      <c r="AL54" s="35"/>
      <c r="AM54" s="35">
        <v>0.02</v>
      </c>
      <c r="AN54" s="85">
        <v>92062200</v>
      </c>
      <c r="AO54" s="27"/>
      <c r="AP54" s="36">
        <v>92062200</v>
      </c>
      <c r="AQ54" s="85">
        <v>92062200</v>
      </c>
      <c r="AR54" s="35"/>
      <c r="AS54" s="35">
        <v>1879837000</v>
      </c>
      <c r="AT54" s="35">
        <v>1635458100</v>
      </c>
      <c r="AU54" s="35">
        <v>244378900</v>
      </c>
      <c r="AV54" s="35">
        <v>1633058817.5100002</v>
      </c>
      <c r="AW54" s="35">
        <v>22584612.23</v>
      </c>
      <c r="AX54" s="36"/>
      <c r="AY54" s="35">
        <v>1877079203.3900001</v>
      </c>
      <c r="AZ54" s="35">
        <v>1633058817.5100002</v>
      </c>
      <c r="BA54" s="35"/>
      <c r="BB54" s="35">
        <v>244020385.88</v>
      </c>
      <c r="BC54" s="35">
        <v>13</v>
      </c>
      <c r="BD54" s="35">
        <v>22470496.350000001</v>
      </c>
      <c r="BE54" s="35">
        <v>114115.88</v>
      </c>
      <c r="BF54" s="85">
        <v>1633058817.5100002</v>
      </c>
      <c r="BG54" s="27"/>
      <c r="BH54" s="36">
        <v>1635458100</v>
      </c>
      <c r="BI54" s="85">
        <v>1635458100</v>
      </c>
      <c r="BJ54" s="35"/>
      <c r="BK54" s="35">
        <v>131250000</v>
      </c>
      <c r="BL54" s="35">
        <v>105000000</v>
      </c>
      <c r="BM54" s="35">
        <v>26250000</v>
      </c>
      <c r="BN54" s="35">
        <v>104999999.87</v>
      </c>
      <c r="BO54" s="35">
        <v>1818003.82</v>
      </c>
      <c r="BP54" s="36"/>
      <c r="BQ54" s="35">
        <v>131249999.87</v>
      </c>
      <c r="BR54" s="35">
        <v>104999999.87</v>
      </c>
      <c r="BS54" s="35"/>
      <c r="BT54" s="35">
        <v>26250000</v>
      </c>
      <c r="BU54" s="35">
        <v>20</v>
      </c>
      <c r="BV54" s="35">
        <v>1818003.82</v>
      </c>
      <c r="BW54" s="35"/>
      <c r="BX54" s="85">
        <v>104999999.87</v>
      </c>
      <c r="BY54" s="27"/>
      <c r="BZ54" s="36">
        <v>105000000</v>
      </c>
      <c r="CA54" s="85">
        <v>105000000</v>
      </c>
      <c r="CB54" s="35"/>
      <c r="CC54" s="35">
        <v>190597200</v>
      </c>
      <c r="CD54" s="35">
        <v>165819500</v>
      </c>
      <c r="CE54" s="35">
        <v>24777700</v>
      </c>
      <c r="CF54" s="35">
        <v>165819500</v>
      </c>
      <c r="CG54" s="35"/>
      <c r="CH54" s="36"/>
      <c r="CI54" s="35">
        <v>190597199.97</v>
      </c>
      <c r="CJ54" s="35">
        <v>165819500</v>
      </c>
      <c r="CK54" s="35"/>
      <c r="CL54" s="35">
        <v>24777699.969999999</v>
      </c>
      <c r="CM54" s="35">
        <v>13.000030000000001</v>
      </c>
      <c r="CN54" s="35"/>
      <c r="CO54" s="35"/>
      <c r="CP54" s="85">
        <v>165819500</v>
      </c>
      <c r="CQ54" s="27"/>
      <c r="CR54" s="36">
        <v>165819500</v>
      </c>
      <c r="CS54" s="85">
        <v>165819500</v>
      </c>
      <c r="CT54" s="35"/>
      <c r="CU54" s="35">
        <v>220600000</v>
      </c>
      <c r="CV54" s="35">
        <v>216188000</v>
      </c>
      <c r="CW54" s="35">
        <v>4412000</v>
      </c>
      <c r="CX54" s="35">
        <v>216188000</v>
      </c>
      <c r="CY54" s="35"/>
      <c r="CZ54" s="36"/>
      <c r="DA54" s="35">
        <v>220599999.99000001</v>
      </c>
      <c r="DB54" s="35">
        <v>216188000</v>
      </c>
      <c r="DC54" s="35"/>
      <c r="DD54" s="35">
        <v>4411999.99</v>
      </c>
      <c r="DE54" s="35">
        <v>2</v>
      </c>
      <c r="DF54" s="35"/>
      <c r="DG54" s="35"/>
      <c r="DH54" s="85">
        <v>216188000</v>
      </c>
      <c r="DI54" s="27"/>
      <c r="DJ54" s="36">
        <v>216188000</v>
      </c>
      <c r="DK54" s="85">
        <v>216188000</v>
      </c>
      <c r="DL54" s="35"/>
      <c r="DM54" s="35"/>
      <c r="DN54" s="35"/>
      <c r="DO54" s="35"/>
      <c r="DP54" s="35"/>
      <c r="DQ54" s="35"/>
      <c r="DR54" s="36"/>
      <c r="DS54" s="35"/>
      <c r="DT54" s="35"/>
      <c r="DU54" s="35"/>
      <c r="DV54" s="35"/>
      <c r="DW54" s="35"/>
      <c r="DX54" s="35"/>
      <c r="DY54" s="35"/>
      <c r="DZ54" s="85"/>
      <c r="EA54" s="27"/>
      <c r="EB54" s="36"/>
      <c r="EC54" s="85"/>
      <c r="ED54" s="35"/>
      <c r="EE54" s="35">
        <v>112272100</v>
      </c>
      <c r="EF54" s="35">
        <v>110026600</v>
      </c>
      <c r="EG54" s="35">
        <v>2245500</v>
      </c>
      <c r="EH54" s="35">
        <v>110026599.33</v>
      </c>
      <c r="EI54" s="35"/>
      <c r="EJ54" s="36"/>
      <c r="EK54" s="35">
        <v>112272099.31</v>
      </c>
      <c r="EL54" s="35">
        <v>110026599.33</v>
      </c>
      <c r="EM54" s="35"/>
      <c r="EN54" s="35">
        <v>2245499.98</v>
      </c>
      <c r="EO54" s="35">
        <v>2.0000499999999999</v>
      </c>
      <c r="EP54" s="35"/>
      <c r="EQ54" s="35"/>
      <c r="ER54" s="85">
        <v>110026599.33</v>
      </c>
      <c r="ES54" s="27"/>
      <c r="ET54" s="36">
        <v>110026600</v>
      </c>
      <c r="EU54" s="85">
        <v>110026600</v>
      </c>
      <c r="EV54" s="35"/>
      <c r="EW54" s="35">
        <v>440500900</v>
      </c>
      <c r="EX54" s="35">
        <v>383235700</v>
      </c>
      <c r="EY54" s="35">
        <v>57265200</v>
      </c>
      <c r="EZ54" s="35">
        <v>382808962.48000002</v>
      </c>
      <c r="FA54" s="35">
        <v>5767829.7599999998</v>
      </c>
      <c r="FB54" s="36"/>
      <c r="FC54" s="35">
        <v>440010397</v>
      </c>
      <c r="FD54" s="35">
        <v>382808962.48000002</v>
      </c>
      <c r="FE54" s="35"/>
      <c r="FF54" s="35">
        <v>57201434.520000003</v>
      </c>
      <c r="FG54" s="35">
        <v>13.000019999999999</v>
      </c>
      <c r="FH54" s="35">
        <v>5767829.7599999998</v>
      </c>
      <c r="FI54" s="35"/>
      <c r="FJ54" s="85">
        <v>382808962.48000002</v>
      </c>
      <c r="FK54" s="27"/>
      <c r="FL54" s="36">
        <v>383235700</v>
      </c>
      <c r="FM54" s="85">
        <v>383235700</v>
      </c>
      <c r="FN54" s="35"/>
      <c r="FO54" s="35"/>
      <c r="FP54" s="35"/>
      <c r="FQ54" s="35"/>
      <c r="FR54" s="35"/>
      <c r="FS54" s="35">
        <v>1112598</v>
      </c>
      <c r="FT54" s="36"/>
      <c r="FU54" s="35"/>
      <c r="FV54" s="35"/>
      <c r="FW54" s="35"/>
      <c r="FX54" s="35"/>
      <c r="FY54" s="35"/>
      <c r="FZ54" s="35">
        <v>1112598</v>
      </c>
      <c r="GA54" s="35"/>
      <c r="GB54" s="85"/>
      <c r="GC54" s="27"/>
      <c r="GD54" s="36"/>
      <c r="GE54" s="85"/>
      <c r="GF54" s="35"/>
      <c r="GG54" s="35">
        <v>95487400</v>
      </c>
      <c r="GH54" s="35">
        <v>32661600</v>
      </c>
      <c r="GI54" s="35">
        <v>62825800</v>
      </c>
      <c r="GJ54" s="35">
        <v>29544326.059999999</v>
      </c>
      <c r="GK54" s="35"/>
      <c r="GL54" s="36"/>
      <c r="GM54" s="35">
        <v>87527691.620000005</v>
      </c>
      <c r="GN54" s="35">
        <v>29544324.16</v>
      </c>
      <c r="GO54" s="35"/>
      <c r="GP54" s="35">
        <v>57983367.460000001</v>
      </c>
      <c r="GQ54" s="35">
        <v>66.245739999999998</v>
      </c>
      <c r="GR54" s="35"/>
      <c r="GS54" s="35">
        <v>1.9</v>
      </c>
      <c r="GT54" s="85">
        <v>29544326.059999999</v>
      </c>
      <c r="GU54" s="27"/>
      <c r="GV54" s="36">
        <v>32661600</v>
      </c>
      <c r="GW54" s="85">
        <v>32661600</v>
      </c>
      <c r="GX54" s="35"/>
      <c r="GY54" s="35"/>
      <c r="GZ54" s="35"/>
      <c r="HA54" s="35"/>
      <c r="HB54" s="35"/>
      <c r="HC54" s="35"/>
      <c r="HD54" s="36"/>
      <c r="HE54" s="35"/>
      <c r="HF54" s="35"/>
      <c r="HG54" s="35"/>
      <c r="HH54" s="35"/>
      <c r="HI54" s="35"/>
      <c r="HJ54" s="35"/>
      <c r="HK54" s="35"/>
      <c r="HL54" s="85"/>
      <c r="HM54" s="27"/>
      <c r="HN54" s="36"/>
      <c r="HO54" s="85"/>
      <c r="HP54" s="35"/>
      <c r="HQ54" s="35"/>
      <c r="HR54" s="35"/>
      <c r="HS54" s="35"/>
      <c r="HT54" s="35"/>
      <c r="HU54" s="35"/>
      <c r="HV54" s="36"/>
      <c r="HW54" s="35"/>
      <c r="HX54" s="35"/>
      <c r="HY54" s="35"/>
      <c r="HZ54" s="35"/>
      <c r="IA54" s="35"/>
      <c r="IB54" s="35"/>
      <c r="IC54" s="35"/>
      <c r="ID54" s="85"/>
      <c r="IE54" s="27"/>
      <c r="IF54" s="36"/>
      <c r="IG54" s="85"/>
      <c r="IH54" s="35"/>
      <c r="II54" s="35"/>
      <c r="IJ54" s="35"/>
      <c r="IK54" s="35"/>
      <c r="IL54" s="35"/>
      <c r="IM54" s="35"/>
      <c r="IN54" s="36"/>
      <c r="IO54" s="35"/>
      <c r="IP54" s="35"/>
      <c r="IQ54" s="35"/>
      <c r="IR54" s="35"/>
      <c r="IS54" s="35"/>
      <c r="IT54" s="35"/>
      <c r="IU54" s="35"/>
      <c r="IV54" s="85"/>
      <c r="IW54" s="27"/>
      <c r="IX54" s="36"/>
      <c r="IY54" s="85"/>
      <c r="IZ54" s="35"/>
      <c r="JA54" s="35"/>
      <c r="JB54" s="35"/>
      <c r="JC54" s="35"/>
      <c r="JD54" s="35"/>
      <c r="JE54" s="35"/>
      <c r="JF54" s="36"/>
      <c r="JG54" s="35"/>
      <c r="JH54" s="35"/>
      <c r="JI54" s="35"/>
      <c r="JJ54" s="35"/>
      <c r="JK54" s="35"/>
      <c r="JL54" s="35"/>
      <c r="JM54" s="35"/>
      <c r="JN54" s="85"/>
      <c r="JO54" s="27"/>
      <c r="JP54" s="36"/>
      <c r="JQ54" s="85"/>
      <c r="JR54" s="35"/>
      <c r="JS54" s="35"/>
      <c r="JT54" s="35"/>
      <c r="JU54" s="35"/>
      <c r="JV54" s="35"/>
      <c r="JW54" s="35"/>
      <c r="JX54" s="36"/>
      <c r="JY54" s="35"/>
      <c r="JZ54" s="35"/>
      <c r="KA54" s="35"/>
      <c r="KB54" s="35"/>
      <c r="KC54" s="35"/>
      <c r="KD54" s="35"/>
      <c r="KE54" s="35"/>
      <c r="KF54" s="85"/>
      <c r="KG54" s="27"/>
      <c r="KH54" s="36"/>
      <c r="KI54" s="85"/>
      <c r="KJ54" s="35"/>
      <c r="KK54" s="35"/>
      <c r="KL54" s="35"/>
      <c r="KM54" s="35"/>
      <c r="KN54" s="35"/>
      <c r="KO54" s="35"/>
      <c r="KP54" s="36"/>
      <c r="KQ54" s="35"/>
      <c r="KR54" s="35"/>
      <c r="KS54" s="35"/>
      <c r="KT54" s="35"/>
      <c r="KU54" s="35"/>
      <c r="KV54" s="35"/>
      <c r="KW54" s="35"/>
      <c r="KX54" s="85"/>
      <c r="KY54" s="27"/>
      <c r="KZ54" s="36"/>
      <c r="LA54" s="85"/>
      <c r="LB54" s="35"/>
      <c r="LC54" s="35"/>
      <c r="LD54" s="35"/>
      <c r="LE54" s="35"/>
      <c r="LF54" s="35"/>
      <c r="LG54" s="35"/>
      <c r="LH54" s="36"/>
      <c r="LI54" s="35"/>
      <c r="LJ54" s="35"/>
      <c r="LK54" s="35"/>
      <c r="LL54" s="35"/>
      <c r="LM54" s="35"/>
      <c r="LN54" s="35"/>
      <c r="LO54" s="35"/>
      <c r="LP54" s="85"/>
      <c r="LQ54" s="27"/>
      <c r="LR54" s="36"/>
      <c r="LS54" s="85"/>
      <c r="LT54" s="35"/>
      <c r="LU54" s="35">
        <v>17730500</v>
      </c>
      <c r="LV54" s="35">
        <v>11824100</v>
      </c>
      <c r="LW54" s="35">
        <v>5906400</v>
      </c>
      <c r="LX54" s="35">
        <v>11302904.23</v>
      </c>
      <c r="LY54" s="35"/>
      <c r="LZ54" s="36"/>
      <c r="MA54" s="35">
        <v>16948955.390000001</v>
      </c>
      <c r="MB54" s="35">
        <v>11302904.23</v>
      </c>
      <c r="MC54" s="35"/>
      <c r="MD54" s="35">
        <v>5646051.1600000001</v>
      </c>
      <c r="ME54" s="35">
        <v>33.312089999999998</v>
      </c>
      <c r="MF54" s="35"/>
      <c r="MG54" s="35"/>
      <c r="MH54" s="85">
        <v>11302904.23</v>
      </c>
      <c r="MI54" s="27"/>
      <c r="MJ54" s="36">
        <v>11824100</v>
      </c>
      <c r="MK54" s="85">
        <v>11824100</v>
      </c>
      <c r="ML54" s="35"/>
      <c r="MM54" s="35"/>
      <c r="MN54" s="35"/>
      <c r="MO54" s="35"/>
      <c r="MP54" s="35"/>
      <c r="MQ54" s="35"/>
      <c r="MR54" s="36"/>
      <c r="MS54" s="35"/>
      <c r="MT54" s="35"/>
      <c r="MU54" s="35"/>
      <c r="MV54" s="35"/>
      <c r="MW54" s="35"/>
      <c r="MX54" s="35"/>
      <c r="MY54" s="35"/>
      <c r="MZ54" s="85"/>
      <c r="NA54" s="27"/>
      <c r="NB54" s="36"/>
      <c r="NC54" s="85"/>
      <c r="ND54" s="35"/>
      <c r="NE54" s="35">
        <v>2000000</v>
      </c>
      <c r="NF54" s="35">
        <v>910000</v>
      </c>
      <c r="NG54" s="35">
        <v>1090000</v>
      </c>
      <c r="NH54" s="35">
        <v>805350</v>
      </c>
      <c r="NI54" s="35"/>
      <c r="NJ54" s="36"/>
      <c r="NK54" s="35">
        <v>1770000</v>
      </c>
      <c r="NL54" s="35">
        <v>805350</v>
      </c>
      <c r="NM54" s="35"/>
      <c r="NN54" s="35">
        <v>964650</v>
      </c>
      <c r="NO54" s="35">
        <v>54.5</v>
      </c>
      <c r="NP54" s="35"/>
      <c r="NQ54" s="35"/>
      <c r="NR54" s="85">
        <v>805350</v>
      </c>
      <c r="NS54" s="27"/>
      <c r="NT54" s="36">
        <v>910000</v>
      </c>
      <c r="NU54" s="85">
        <v>910000</v>
      </c>
      <c r="NV54" s="35"/>
      <c r="NW54" s="35"/>
      <c r="NX54" s="35"/>
      <c r="NY54" s="35"/>
      <c r="NZ54" s="35"/>
      <c r="OA54" s="35"/>
      <c r="OB54" s="36"/>
      <c r="OC54" s="35"/>
      <c r="OD54" s="35"/>
      <c r="OE54" s="35"/>
      <c r="OF54" s="35"/>
      <c r="OG54" s="35"/>
      <c r="OH54" s="35"/>
      <c r="OI54" s="35"/>
      <c r="OJ54" s="85"/>
      <c r="OK54" s="27"/>
      <c r="OL54" s="36"/>
      <c r="OM54" s="85"/>
      <c r="ON54" s="35"/>
      <c r="OO54" s="35"/>
      <c r="OP54" s="35"/>
      <c r="OQ54" s="35"/>
      <c r="OR54" s="35"/>
      <c r="OS54" s="35">
        <v>39175459.729999997</v>
      </c>
      <c r="OT54" s="36"/>
      <c r="OU54" s="35"/>
      <c r="OV54" s="35"/>
      <c r="OW54" s="35"/>
      <c r="OX54" s="35"/>
      <c r="OY54" s="35"/>
      <c r="OZ54" s="35">
        <v>39175459.729999997</v>
      </c>
      <c r="PA54" s="35"/>
      <c r="PB54" s="85"/>
      <c r="PC54" s="27"/>
      <c r="PD54" s="36"/>
      <c r="PE54" s="85"/>
      <c r="PF54" s="35"/>
      <c r="PG54" s="35"/>
      <c r="PH54" s="35"/>
      <c r="PI54" s="35"/>
      <c r="PJ54" s="35"/>
      <c r="PK54" s="35">
        <v>192389293.27000001</v>
      </c>
      <c r="PL54" s="36"/>
      <c r="PM54" s="35"/>
      <c r="PN54" s="35"/>
      <c r="PO54" s="35"/>
      <c r="PP54" s="35"/>
      <c r="PQ54" s="35"/>
      <c r="PR54" s="35">
        <v>192389293.27000001</v>
      </c>
      <c r="PS54" s="35"/>
      <c r="PT54" s="85"/>
      <c r="PU54" s="27"/>
      <c r="PV54" s="36"/>
      <c r="PW54" s="85"/>
      <c r="PX54" s="35"/>
      <c r="PY54" s="35"/>
      <c r="PZ54" s="35"/>
      <c r="QA54" s="35"/>
      <c r="QB54" s="35"/>
      <c r="QC54" s="35"/>
      <c r="QD54" s="36"/>
      <c r="QE54" s="35"/>
      <c r="QF54" s="35"/>
      <c r="QG54" s="35"/>
      <c r="QH54" s="35"/>
      <c r="QI54" s="35"/>
      <c r="QJ54" s="35"/>
      <c r="QK54" s="35"/>
      <c r="QL54" s="85"/>
      <c r="QM54" s="27"/>
      <c r="QN54" s="36"/>
      <c r="QO54" s="85"/>
      <c r="QP54" s="35"/>
      <c r="QQ54" s="35"/>
      <c r="QR54" s="35"/>
      <c r="QS54" s="35"/>
      <c r="QT54" s="35"/>
      <c r="QU54" s="35"/>
      <c r="QV54" s="36"/>
      <c r="QW54" s="35"/>
      <c r="QX54" s="35"/>
      <c r="QY54" s="35"/>
      <c r="QZ54" s="35"/>
      <c r="RA54" s="35"/>
      <c r="RB54" s="35"/>
      <c r="RC54" s="35"/>
      <c r="RD54" s="85"/>
      <c r="RE54" s="27"/>
      <c r="RF54" s="36"/>
      <c r="RG54" s="85"/>
      <c r="RH54" s="35"/>
      <c r="RI54" s="35"/>
      <c r="RJ54" s="35"/>
      <c r="RK54" s="35"/>
      <c r="RL54" s="35"/>
      <c r="RM54" s="35">
        <v>6367362.6799999997</v>
      </c>
      <c r="RN54" s="36"/>
      <c r="RO54" s="35"/>
      <c r="RP54" s="35"/>
      <c r="RQ54" s="35"/>
      <c r="RR54" s="35"/>
      <c r="RS54" s="35"/>
      <c r="RT54" s="35">
        <v>6367362.6799999997</v>
      </c>
      <c r="RU54" s="35"/>
      <c r="RV54" s="85"/>
      <c r="RW54" s="27"/>
      <c r="RX54" s="36"/>
      <c r="RY54" s="85"/>
      <c r="RZ54" s="35"/>
      <c r="SA54" s="35"/>
      <c r="SB54" s="35"/>
      <c r="SC54" s="35"/>
      <c r="SD54" s="35"/>
      <c r="SE54" s="35"/>
      <c r="SF54" s="36"/>
      <c r="SG54" s="35"/>
      <c r="SH54" s="35"/>
      <c r="SI54" s="35"/>
      <c r="SJ54" s="35"/>
      <c r="SK54" s="35"/>
      <c r="SL54" s="35"/>
      <c r="SM54" s="35"/>
      <c r="SN54" s="85"/>
      <c r="SO54" s="27"/>
      <c r="SP54" s="36"/>
      <c r="SQ54" s="85"/>
      <c r="SR54" s="35"/>
      <c r="SS54" s="35"/>
      <c r="ST54" s="35"/>
      <c r="SU54" s="35"/>
      <c r="SV54" s="35"/>
      <c r="SW54" s="35"/>
      <c r="SX54" s="36"/>
      <c r="SY54" s="35"/>
      <c r="SZ54" s="35"/>
      <c r="TA54" s="35"/>
      <c r="TB54" s="35"/>
      <c r="TC54" s="35"/>
      <c r="TD54" s="35"/>
      <c r="TE54" s="35"/>
      <c r="TF54" s="85"/>
      <c r="TG54" s="27"/>
      <c r="TH54" s="36"/>
      <c r="TI54" s="85"/>
      <c r="TJ54" s="35"/>
      <c r="TK54" s="35"/>
      <c r="TL54" s="35"/>
      <c r="TM54" s="35"/>
      <c r="TN54" s="35"/>
      <c r="TO54" s="35"/>
      <c r="TP54" s="36"/>
      <c r="TQ54" s="35"/>
      <c r="TR54" s="35"/>
      <c r="TS54" s="35"/>
      <c r="TT54" s="35"/>
      <c r="TU54" s="35"/>
      <c r="TV54" s="35"/>
      <c r="TW54" s="35"/>
      <c r="TX54" s="85"/>
      <c r="TY54" s="27"/>
      <c r="TZ54" s="36"/>
      <c r="UA54" s="85"/>
      <c r="UB54" s="35"/>
      <c r="UC54" s="35"/>
      <c r="UD54" s="35"/>
      <c r="UE54" s="35"/>
      <c r="UF54" s="35"/>
      <c r="UG54" s="35"/>
      <c r="UH54" s="36"/>
      <c r="UI54" s="35"/>
      <c r="UJ54" s="35"/>
      <c r="UK54" s="35"/>
      <c r="UL54" s="35"/>
      <c r="UM54" s="35"/>
      <c r="UN54" s="35"/>
      <c r="UO54" s="35"/>
      <c r="UP54" s="85"/>
      <c r="UQ54" s="27"/>
      <c r="UR54" s="36"/>
      <c r="US54" s="85"/>
    </row>
    <row r="55" spans="1:565" ht="15" thickBot="1" x14ac:dyDescent="0.35">
      <c r="A55" s="133">
        <v>67000000000</v>
      </c>
      <c r="B55" s="171">
        <v>41</v>
      </c>
      <c r="C55" s="63" t="s">
        <v>319</v>
      </c>
      <c r="F55" s="36">
        <v>361513900</v>
      </c>
      <c r="G55" s="85"/>
      <c r="H55" s="35"/>
      <c r="I55" s="35">
        <v>882316</v>
      </c>
      <c r="J55" s="35">
        <v>838200</v>
      </c>
      <c r="K55" s="35">
        <v>44116</v>
      </c>
      <c r="L55" s="35">
        <v>504190.06</v>
      </c>
      <c r="M55" s="35"/>
      <c r="N55" s="36"/>
      <c r="O55" s="35">
        <v>530726.51</v>
      </c>
      <c r="P55" s="35">
        <v>504190.06</v>
      </c>
      <c r="Q55" s="35"/>
      <c r="R55" s="35">
        <v>26536.45</v>
      </c>
      <c r="S55" s="35">
        <v>5.0000200000000001</v>
      </c>
      <c r="T55" s="35"/>
      <c r="U55" s="35"/>
      <c r="V55" s="85">
        <v>504190.06</v>
      </c>
      <c r="W55" s="27"/>
      <c r="X55" s="36">
        <v>838200</v>
      </c>
      <c r="Y55" s="85">
        <v>838200</v>
      </c>
      <c r="Z55" s="35"/>
      <c r="AA55" s="35"/>
      <c r="AB55" s="35"/>
      <c r="AC55" s="35"/>
      <c r="AD55" s="35"/>
      <c r="AE55" s="35"/>
      <c r="AF55" s="36"/>
      <c r="AG55" s="35"/>
      <c r="AH55" s="35"/>
      <c r="AI55" s="35"/>
      <c r="AJ55" s="35"/>
      <c r="AK55" s="35"/>
      <c r="AL55" s="35"/>
      <c r="AM55" s="35"/>
      <c r="AN55" s="85"/>
      <c r="AO55" s="27"/>
      <c r="AP55" s="36"/>
      <c r="AQ55" s="85"/>
      <c r="AR55" s="35"/>
      <c r="AS55" s="35">
        <v>361352000</v>
      </c>
      <c r="AT55" s="35">
        <v>343284400</v>
      </c>
      <c r="AU55" s="35">
        <v>18067600</v>
      </c>
      <c r="AV55" s="35">
        <v>305446376.06999999</v>
      </c>
      <c r="AW55" s="35">
        <v>5411449.5099999998</v>
      </c>
      <c r="AX55" s="36"/>
      <c r="AY55" s="35">
        <v>321522501.13</v>
      </c>
      <c r="AZ55" s="35">
        <v>305446376.06999999</v>
      </c>
      <c r="BA55" s="35"/>
      <c r="BB55" s="35">
        <v>16076125.060000001</v>
      </c>
      <c r="BC55" s="35">
        <v>5</v>
      </c>
      <c r="BD55" s="35">
        <v>5411449.5099999998</v>
      </c>
      <c r="BE55" s="35">
        <v>0</v>
      </c>
      <c r="BF55" s="85">
        <v>305446376.06999999</v>
      </c>
      <c r="BG55" s="27"/>
      <c r="BH55" s="36">
        <v>343284400</v>
      </c>
      <c r="BI55" s="85">
        <v>343284400</v>
      </c>
      <c r="BJ55" s="35"/>
      <c r="BK55" s="35"/>
      <c r="BL55" s="35"/>
      <c r="BM55" s="35"/>
      <c r="BN55" s="35"/>
      <c r="BO55" s="35"/>
      <c r="BP55" s="36"/>
      <c r="BQ55" s="35"/>
      <c r="BR55" s="35"/>
      <c r="BS55" s="35"/>
      <c r="BT55" s="35"/>
      <c r="BU55" s="35"/>
      <c r="BV55" s="35"/>
      <c r="BW55" s="35"/>
      <c r="BX55" s="85"/>
      <c r="BY55" s="27"/>
      <c r="BZ55" s="36"/>
      <c r="CA55" s="85"/>
      <c r="CB55" s="35"/>
      <c r="CC55" s="35">
        <v>6247368.4199999999</v>
      </c>
      <c r="CD55" s="35">
        <v>5935000</v>
      </c>
      <c r="CE55" s="35">
        <v>312368.42</v>
      </c>
      <c r="CF55" s="35">
        <v>5100726.83</v>
      </c>
      <c r="CG55" s="35">
        <v>229626.17</v>
      </c>
      <c r="CH55" s="36"/>
      <c r="CI55" s="35">
        <v>5369186.1399999997</v>
      </c>
      <c r="CJ55" s="35">
        <v>5100726.83</v>
      </c>
      <c r="CK55" s="35"/>
      <c r="CL55" s="35">
        <v>268459.31</v>
      </c>
      <c r="CM55" s="35">
        <v>5</v>
      </c>
      <c r="CN55" s="35">
        <v>229626.17</v>
      </c>
      <c r="CO55" s="35">
        <v>0</v>
      </c>
      <c r="CP55" s="85">
        <v>5100726.83</v>
      </c>
      <c r="CQ55" s="27"/>
      <c r="CR55" s="36">
        <v>5935000</v>
      </c>
      <c r="CS55" s="85">
        <v>5935000</v>
      </c>
      <c r="CT55" s="35"/>
      <c r="CU55" s="35"/>
      <c r="CV55" s="35"/>
      <c r="CW55" s="35"/>
      <c r="CX55" s="35"/>
      <c r="CY55" s="35"/>
      <c r="CZ55" s="36"/>
      <c r="DA55" s="35"/>
      <c r="DB55" s="35"/>
      <c r="DC55" s="35"/>
      <c r="DD55" s="35"/>
      <c r="DE55" s="35"/>
      <c r="DF55" s="35"/>
      <c r="DG55" s="35"/>
      <c r="DH55" s="85"/>
      <c r="DI55" s="27"/>
      <c r="DJ55" s="36"/>
      <c r="DK55" s="85"/>
      <c r="DL55" s="35"/>
      <c r="DM55" s="35"/>
      <c r="DN55" s="35"/>
      <c r="DO55" s="35"/>
      <c r="DP55" s="35"/>
      <c r="DQ55" s="35"/>
      <c r="DR55" s="36"/>
      <c r="DS55" s="35"/>
      <c r="DT55" s="35"/>
      <c r="DU55" s="35"/>
      <c r="DV55" s="35"/>
      <c r="DW55" s="35"/>
      <c r="DX55" s="35"/>
      <c r="DY55" s="35"/>
      <c r="DZ55" s="85"/>
      <c r="EA55" s="27"/>
      <c r="EB55" s="36"/>
      <c r="EC55" s="85"/>
      <c r="ED55" s="35"/>
      <c r="EE55" s="35">
        <v>8421818.1899999995</v>
      </c>
      <c r="EF55" s="35">
        <v>8337600</v>
      </c>
      <c r="EG55" s="35">
        <v>84218.19</v>
      </c>
      <c r="EH55" s="35">
        <v>7987806.7400000002</v>
      </c>
      <c r="EI55" s="35"/>
      <c r="EJ55" s="36"/>
      <c r="EK55" s="35">
        <v>8068491.6500000004</v>
      </c>
      <c r="EL55" s="35">
        <v>7987806.7400000002</v>
      </c>
      <c r="EM55" s="35"/>
      <c r="EN55" s="35">
        <v>80684.91</v>
      </c>
      <c r="EO55" s="35">
        <v>1</v>
      </c>
      <c r="EP55" s="35"/>
      <c r="EQ55" s="35"/>
      <c r="ER55" s="85">
        <v>7987806.7400000002</v>
      </c>
      <c r="ES55" s="27"/>
      <c r="ET55" s="36">
        <v>8337600</v>
      </c>
      <c r="EU55" s="85">
        <v>8337600</v>
      </c>
      <c r="EV55" s="35"/>
      <c r="EW55" s="35">
        <v>3282842.11</v>
      </c>
      <c r="EX55" s="35">
        <v>3118700</v>
      </c>
      <c r="EY55" s="35">
        <v>164142.10999999999</v>
      </c>
      <c r="EZ55" s="35">
        <v>3118700</v>
      </c>
      <c r="FA55" s="35"/>
      <c r="FB55" s="36"/>
      <c r="FC55" s="35">
        <v>3282842.11</v>
      </c>
      <c r="FD55" s="35">
        <v>3118700</v>
      </c>
      <c r="FE55" s="35"/>
      <c r="FF55" s="35">
        <v>164142.10999999999</v>
      </c>
      <c r="FG55" s="35">
        <v>5</v>
      </c>
      <c r="FH55" s="35"/>
      <c r="FI55" s="35"/>
      <c r="FJ55" s="85">
        <v>3118700</v>
      </c>
      <c r="FK55" s="27"/>
      <c r="FL55" s="36">
        <v>3118700</v>
      </c>
      <c r="FM55" s="85">
        <v>3118700</v>
      </c>
      <c r="FN55" s="35"/>
      <c r="FO55" s="35"/>
      <c r="FP55" s="35"/>
      <c r="FQ55" s="35"/>
      <c r="FR55" s="35"/>
      <c r="FS55" s="35"/>
      <c r="FT55" s="36"/>
      <c r="FU55" s="35"/>
      <c r="FV55" s="35"/>
      <c r="FW55" s="35"/>
      <c r="FX55" s="35"/>
      <c r="FY55" s="35"/>
      <c r="FZ55" s="35"/>
      <c r="GA55" s="35"/>
      <c r="GB55" s="85"/>
      <c r="GC55" s="27"/>
      <c r="GD55" s="36"/>
      <c r="GE55" s="85"/>
      <c r="GF55" s="35"/>
      <c r="GG55" s="35"/>
      <c r="GH55" s="35"/>
      <c r="GI55" s="35"/>
      <c r="GJ55" s="35"/>
      <c r="GK55" s="35"/>
      <c r="GL55" s="36"/>
      <c r="GM55" s="35"/>
      <c r="GN55" s="35"/>
      <c r="GO55" s="35"/>
      <c r="GP55" s="35"/>
      <c r="GQ55" s="35"/>
      <c r="GR55" s="35"/>
      <c r="GS55" s="35"/>
      <c r="GT55" s="85"/>
      <c r="GU55" s="27"/>
      <c r="GV55" s="36"/>
      <c r="GW55" s="85"/>
      <c r="GX55" s="35"/>
      <c r="GY55" s="35"/>
      <c r="GZ55" s="35"/>
      <c r="HA55" s="35"/>
      <c r="HB55" s="35"/>
      <c r="HC55" s="35"/>
      <c r="HD55" s="36"/>
      <c r="HE55" s="35"/>
      <c r="HF55" s="35"/>
      <c r="HG55" s="35"/>
      <c r="HH55" s="35"/>
      <c r="HI55" s="35"/>
      <c r="HJ55" s="35"/>
      <c r="HK55" s="35"/>
      <c r="HL55" s="85"/>
      <c r="HM55" s="27"/>
      <c r="HN55" s="36"/>
      <c r="HO55" s="85"/>
      <c r="HP55" s="35"/>
      <c r="HQ55" s="35"/>
      <c r="HR55" s="35"/>
      <c r="HS55" s="35"/>
      <c r="HT55" s="35"/>
      <c r="HU55" s="35"/>
      <c r="HV55" s="36"/>
      <c r="HW55" s="35"/>
      <c r="HX55" s="35"/>
      <c r="HY55" s="35"/>
      <c r="HZ55" s="35"/>
      <c r="IA55" s="35"/>
      <c r="IB55" s="35"/>
      <c r="IC55" s="35"/>
      <c r="ID55" s="85"/>
      <c r="IE55" s="27"/>
      <c r="IF55" s="36"/>
      <c r="IG55" s="85"/>
      <c r="IH55" s="35"/>
      <c r="II55" s="35"/>
      <c r="IJ55" s="35"/>
      <c r="IK55" s="35"/>
      <c r="IL55" s="35"/>
      <c r="IM55" s="35"/>
      <c r="IN55" s="36"/>
      <c r="IO55" s="35"/>
      <c r="IP55" s="35"/>
      <c r="IQ55" s="35"/>
      <c r="IR55" s="35"/>
      <c r="IS55" s="35"/>
      <c r="IT55" s="35"/>
      <c r="IU55" s="35"/>
      <c r="IV55" s="85"/>
      <c r="IW55" s="27"/>
      <c r="IX55" s="36"/>
      <c r="IY55" s="85"/>
      <c r="IZ55" s="35"/>
      <c r="JA55" s="35"/>
      <c r="JB55" s="35"/>
      <c r="JC55" s="35"/>
      <c r="JD55" s="35"/>
      <c r="JE55" s="35"/>
      <c r="JF55" s="36"/>
      <c r="JG55" s="35"/>
      <c r="JH55" s="35"/>
      <c r="JI55" s="35"/>
      <c r="JJ55" s="35"/>
      <c r="JK55" s="35"/>
      <c r="JL55" s="35"/>
      <c r="JM55" s="35"/>
      <c r="JN55" s="85"/>
      <c r="JO55" s="27"/>
      <c r="JP55" s="36"/>
      <c r="JQ55" s="85"/>
      <c r="JR55" s="35"/>
      <c r="JS55" s="35"/>
      <c r="JT55" s="35"/>
      <c r="JU55" s="35"/>
      <c r="JV55" s="35"/>
      <c r="JW55" s="35"/>
      <c r="JX55" s="36"/>
      <c r="JY55" s="35"/>
      <c r="JZ55" s="35"/>
      <c r="KA55" s="35"/>
      <c r="KB55" s="35"/>
      <c r="KC55" s="35"/>
      <c r="KD55" s="35"/>
      <c r="KE55" s="35"/>
      <c r="KF55" s="85"/>
      <c r="KG55" s="27"/>
      <c r="KH55" s="36"/>
      <c r="KI55" s="85"/>
      <c r="KJ55" s="35"/>
      <c r="KK55" s="35"/>
      <c r="KL55" s="35"/>
      <c r="KM55" s="35"/>
      <c r="KN55" s="35"/>
      <c r="KO55" s="35"/>
      <c r="KP55" s="36"/>
      <c r="KQ55" s="35"/>
      <c r="KR55" s="35"/>
      <c r="KS55" s="35"/>
      <c r="KT55" s="35"/>
      <c r="KU55" s="35"/>
      <c r="KV55" s="35"/>
      <c r="KW55" s="35"/>
      <c r="KX55" s="85"/>
      <c r="KY55" s="27"/>
      <c r="KZ55" s="36"/>
      <c r="LA55" s="85"/>
      <c r="LB55" s="35"/>
      <c r="LC55" s="35"/>
      <c r="LD55" s="35"/>
      <c r="LE55" s="35"/>
      <c r="LF55" s="35"/>
      <c r="LG55" s="35"/>
      <c r="LH55" s="36"/>
      <c r="LI55" s="35"/>
      <c r="LJ55" s="35"/>
      <c r="LK55" s="35"/>
      <c r="LL55" s="35"/>
      <c r="LM55" s="35"/>
      <c r="LN55" s="35"/>
      <c r="LO55" s="35"/>
      <c r="LP55" s="85"/>
      <c r="LQ55" s="27"/>
      <c r="LR55" s="36"/>
      <c r="LS55" s="85"/>
      <c r="LT55" s="35"/>
      <c r="LU55" s="35"/>
      <c r="LV55" s="35"/>
      <c r="LW55" s="35"/>
      <c r="LX55" s="35"/>
      <c r="LY55" s="35"/>
      <c r="LZ55" s="36"/>
      <c r="MA55" s="35"/>
      <c r="MB55" s="35"/>
      <c r="MC55" s="35"/>
      <c r="MD55" s="35"/>
      <c r="ME55" s="35"/>
      <c r="MF55" s="35"/>
      <c r="MG55" s="35"/>
      <c r="MH55" s="85"/>
      <c r="MI55" s="27"/>
      <c r="MJ55" s="36"/>
      <c r="MK55" s="85"/>
      <c r="ML55" s="35"/>
      <c r="MM55" s="35"/>
      <c r="MN55" s="35"/>
      <c r="MO55" s="35"/>
      <c r="MP55" s="35"/>
      <c r="MQ55" s="35"/>
      <c r="MR55" s="36"/>
      <c r="MS55" s="35"/>
      <c r="MT55" s="35"/>
      <c r="MU55" s="35"/>
      <c r="MV55" s="35"/>
      <c r="MW55" s="35"/>
      <c r="MX55" s="35"/>
      <c r="MY55" s="35"/>
      <c r="MZ55" s="85"/>
      <c r="NA55" s="27"/>
      <c r="NB55" s="36"/>
      <c r="NC55" s="85"/>
      <c r="ND55" s="35"/>
      <c r="NE55" s="35"/>
      <c r="NF55" s="35"/>
      <c r="NG55" s="35"/>
      <c r="NH55" s="35"/>
      <c r="NI55" s="35"/>
      <c r="NJ55" s="36"/>
      <c r="NK55" s="35"/>
      <c r="NL55" s="35"/>
      <c r="NM55" s="35"/>
      <c r="NN55" s="35"/>
      <c r="NO55" s="35"/>
      <c r="NP55" s="35"/>
      <c r="NQ55" s="35"/>
      <c r="NR55" s="85"/>
      <c r="NS55" s="27"/>
      <c r="NT55" s="36"/>
      <c r="NU55" s="85"/>
      <c r="NV55" s="35"/>
      <c r="NW55" s="35"/>
      <c r="NX55" s="35"/>
      <c r="NY55" s="35"/>
      <c r="NZ55" s="35"/>
      <c r="OA55" s="35"/>
      <c r="OB55" s="36"/>
      <c r="OC55" s="35"/>
      <c r="OD55" s="35"/>
      <c r="OE55" s="35"/>
      <c r="OF55" s="35"/>
      <c r="OG55" s="35"/>
      <c r="OH55" s="35"/>
      <c r="OI55" s="35"/>
      <c r="OJ55" s="85"/>
      <c r="OK55" s="27"/>
      <c r="OL55" s="36"/>
      <c r="OM55" s="85"/>
      <c r="ON55" s="35"/>
      <c r="OO55" s="35"/>
      <c r="OP55" s="35"/>
      <c r="OQ55" s="35"/>
      <c r="OR55" s="35"/>
      <c r="OS55" s="35">
        <v>109012.7</v>
      </c>
      <c r="OT55" s="36"/>
      <c r="OU55" s="35"/>
      <c r="OV55" s="35"/>
      <c r="OW55" s="35"/>
      <c r="OX55" s="35"/>
      <c r="OY55" s="35"/>
      <c r="OZ55" s="35">
        <v>109012.7</v>
      </c>
      <c r="PA55" s="35"/>
      <c r="PB55" s="85"/>
      <c r="PC55" s="27"/>
      <c r="PD55" s="36"/>
      <c r="PE55" s="85"/>
      <c r="PF55" s="35"/>
      <c r="PG55" s="35"/>
      <c r="PH55" s="35"/>
      <c r="PI55" s="35"/>
      <c r="PJ55" s="35"/>
      <c r="PK55" s="35"/>
      <c r="PL55" s="36"/>
      <c r="PM55" s="35"/>
      <c r="PN55" s="35"/>
      <c r="PO55" s="35"/>
      <c r="PP55" s="35"/>
      <c r="PQ55" s="35"/>
      <c r="PR55" s="35"/>
      <c r="PS55" s="35"/>
      <c r="PT55" s="85"/>
      <c r="PU55" s="27"/>
      <c r="PV55" s="36"/>
      <c r="PW55" s="85"/>
      <c r="PX55" s="35"/>
      <c r="PY55" s="35"/>
      <c r="PZ55" s="35"/>
      <c r="QA55" s="35"/>
      <c r="QB55" s="35"/>
      <c r="QC55" s="35"/>
      <c r="QD55" s="36"/>
      <c r="QE55" s="35"/>
      <c r="QF55" s="35"/>
      <c r="QG55" s="35"/>
      <c r="QH55" s="35"/>
      <c r="QI55" s="35"/>
      <c r="QJ55" s="35"/>
      <c r="QK55" s="35"/>
      <c r="QL55" s="85"/>
      <c r="QM55" s="27"/>
      <c r="QN55" s="36"/>
      <c r="QO55" s="85"/>
      <c r="QP55" s="35"/>
      <c r="QQ55" s="35"/>
      <c r="QR55" s="35"/>
      <c r="QS55" s="35"/>
      <c r="QT55" s="35"/>
      <c r="QU55" s="35"/>
      <c r="QV55" s="36"/>
      <c r="QW55" s="35"/>
      <c r="QX55" s="35"/>
      <c r="QY55" s="35"/>
      <c r="QZ55" s="35"/>
      <c r="RA55" s="35"/>
      <c r="RB55" s="35"/>
      <c r="RC55" s="35"/>
      <c r="RD55" s="85"/>
      <c r="RE55" s="27"/>
      <c r="RF55" s="36"/>
      <c r="RG55" s="85"/>
      <c r="RH55" s="35"/>
      <c r="RI55" s="35"/>
      <c r="RJ55" s="35"/>
      <c r="RK55" s="35"/>
      <c r="RL55" s="35"/>
      <c r="RM55" s="35"/>
      <c r="RN55" s="36"/>
      <c r="RO55" s="35"/>
      <c r="RP55" s="35"/>
      <c r="RQ55" s="35"/>
      <c r="RR55" s="35"/>
      <c r="RS55" s="35"/>
      <c r="RT55" s="35"/>
      <c r="RU55" s="35"/>
      <c r="RV55" s="85"/>
      <c r="RW55" s="27"/>
      <c r="RX55" s="36"/>
      <c r="RY55" s="85"/>
      <c r="RZ55" s="35"/>
      <c r="SA55" s="35"/>
      <c r="SB55" s="35"/>
      <c r="SC55" s="35"/>
      <c r="SD55" s="35"/>
      <c r="SE55" s="35"/>
      <c r="SF55" s="36"/>
      <c r="SG55" s="35"/>
      <c r="SH55" s="35"/>
      <c r="SI55" s="35"/>
      <c r="SJ55" s="35"/>
      <c r="SK55" s="35"/>
      <c r="SL55" s="35"/>
      <c r="SM55" s="35"/>
      <c r="SN55" s="85"/>
      <c r="SO55" s="27"/>
      <c r="SP55" s="36"/>
      <c r="SQ55" s="85"/>
      <c r="SR55" s="35"/>
      <c r="SS55" s="35"/>
      <c r="ST55" s="35"/>
      <c r="SU55" s="35"/>
      <c r="SV55" s="35"/>
      <c r="SW55" s="35"/>
      <c r="SX55" s="36"/>
      <c r="SY55" s="35"/>
      <c r="SZ55" s="35"/>
      <c r="TA55" s="35"/>
      <c r="TB55" s="35"/>
      <c r="TC55" s="35"/>
      <c r="TD55" s="35"/>
      <c r="TE55" s="35"/>
      <c r="TF55" s="85"/>
      <c r="TG55" s="27"/>
      <c r="TH55" s="36"/>
      <c r="TI55" s="85"/>
      <c r="TJ55" s="35"/>
      <c r="TK55" s="35"/>
      <c r="TL55" s="35"/>
      <c r="TM55" s="35"/>
      <c r="TN55" s="35"/>
      <c r="TO55" s="35"/>
      <c r="TP55" s="36"/>
      <c r="TQ55" s="35"/>
      <c r="TR55" s="35"/>
      <c r="TS55" s="35"/>
      <c r="TT55" s="35"/>
      <c r="TU55" s="35"/>
      <c r="TV55" s="35"/>
      <c r="TW55" s="35"/>
      <c r="TX55" s="85"/>
      <c r="TY55" s="27"/>
      <c r="TZ55" s="36"/>
      <c r="UA55" s="85"/>
      <c r="UB55" s="35"/>
      <c r="UC55" s="35"/>
      <c r="UD55" s="35"/>
      <c r="UE55" s="35"/>
      <c r="UF55" s="35"/>
      <c r="UG55" s="35"/>
      <c r="UH55" s="36"/>
      <c r="UI55" s="35"/>
      <c r="UJ55" s="35"/>
      <c r="UK55" s="35"/>
      <c r="UL55" s="35"/>
      <c r="UM55" s="35"/>
      <c r="UN55" s="35"/>
      <c r="UO55" s="35"/>
      <c r="UP55" s="85"/>
      <c r="UQ55" s="27"/>
      <c r="UR55" s="36"/>
      <c r="US55" s="85"/>
    </row>
    <row r="56" spans="1:565" x14ac:dyDescent="0.3">
      <c r="A56" s="14" t="s">
        <v>108</v>
      </c>
      <c r="B56" s="168">
        <v>42</v>
      </c>
      <c r="C56" s="17" t="s">
        <v>109</v>
      </c>
      <c r="F56" s="32"/>
      <c r="G56" s="33"/>
      <c r="H56" s="32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86"/>
      <c r="Z56" s="32"/>
      <c r="AA56" s="33"/>
      <c r="AB56" s="33"/>
      <c r="AC56" s="33"/>
      <c r="AD56" s="33"/>
      <c r="AE56" s="33"/>
      <c r="AF56" s="33"/>
      <c r="AG56" s="33"/>
      <c r="AH56" s="33"/>
      <c r="AI56" s="33"/>
      <c r="AJ56" s="33"/>
      <c r="AK56" s="33"/>
      <c r="AL56" s="33"/>
      <c r="AM56" s="33"/>
      <c r="AN56" s="33"/>
      <c r="AO56" s="33"/>
      <c r="AP56" s="33"/>
      <c r="AQ56" s="86"/>
      <c r="AR56" s="32"/>
      <c r="AS56" s="33"/>
      <c r="AT56" s="33"/>
      <c r="AU56" s="33"/>
      <c r="AV56" s="33"/>
      <c r="AW56" s="33"/>
      <c r="AX56" s="33"/>
      <c r="AY56" s="33"/>
      <c r="AZ56" s="33"/>
      <c r="BA56" s="33"/>
      <c r="BB56" s="33"/>
      <c r="BC56" s="33"/>
      <c r="BD56" s="33"/>
      <c r="BE56" s="33"/>
      <c r="BF56" s="33"/>
      <c r="BG56" s="33"/>
      <c r="BH56" s="33"/>
      <c r="BI56" s="86"/>
      <c r="BJ56" s="148"/>
      <c r="BK56" s="33"/>
      <c r="BL56" s="33"/>
      <c r="BM56" s="33"/>
      <c r="BN56" s="33"/>
      <c r="BO56" s="33"/>
      <c r="BP56" s="33"/>
      <c r="BQ56" s="33"/>
      <c r="BR56" s="33"/>
      <c r="BS56" s="33"/>
      <c r="BT56" s="33"/>
      <c r="BU56" s="33"/>
      <c r="BV56" s="33"/>
      <c r="BW56" s="33"/>
      <c r="BX56" s="33"/>
      <c r="BY56" s="33"/>
      <c r="BZ56" s="33"/>
      <c r="CA56" s="86"/>
      <c r="CB56" s="32"/>
      <c r="CC56" s="33"/>
      <c r="CD56" s="33"/>
      <c r="CE56" s="33"/>
      <c r="CF56" s="33"/>
      <c r="CG56" s="33"/>
      <c r="CH56" s="33"/>
      <c r="CI56" s="33"/>
      <c r="CJ56" s="33"/>
      <c r="CK56" s="33"/>
      <c r="CL56" s="33"/>
      <c r="CM56" s="33"/>
      <c r="CN56" s="33"/>
      <c r="CO56" s="33"/>
      <c r="CP56" s="33"/>
      <c r="CQ56" s="33"/>
      <c r="CR56" s="33"/>
      <c r="CS56" s="86"/>
      <c r="CT56" s="148"/>
      <c r="CU56" s="33"/>
      <c r="CV56" s="33"/>
      <c r="CW56" s="33"/>
      <c r="CX56" s="33"/>
      <c r="CY56" s="33"/>
      <c r="CZ56" s="33"/>
      <c r="DA56" s="33"/>
      <c r="DB56" s="33"/>
      <c r="DC56" s="33"/>
      <c r="DD56" s="33"/>
      <c r="DE56" s="33"/>
      <c r="DF56" s="33"/>
      <c r="DG56" s="33"/>
      <c r="DH56" s="33"/>
      <c r="DI56" s="33"/>
      <c r="DJ56" s="33"/>
      <c r="DK56" s="86"/>
      <c r="DL56" s="148"/>
      <c r="DM56" s="33"/>
      <c r="DN56" s="33"/>
      <c r="DO56" s="33"/>
      <c r="DP56" s="33"/>
      <c r="DQ56" s="33"/>
      <c r="DR56" s="33"/>
      <c r="DS56" s="33"/>
      <c r="DT56" s="33"/>
      <c r="DU56" s="33"/>
      <c r="DV56" s="33"/>
      <c r="DW56" s="33"/>
      <c r="DX56" s="33"/>
      <c r="DY56" s="33"/>
      <c r="DZ56" s="33"/>
      <c r="EA56" s="33"/>
      <c r="EB56" s="33"/>
      <c r="EC56" s="86"/>
      <c r="ED56" s="148"/>
      <c r="EE56" s="33"/>
      <c r="EF56" s="33"/>
      <c r="EG56" s="33"/>
      <c r="EH56" s="33"/>
      <c r="EI56" s="33"/>
      <c r="EJ56" s="33"/>
      <c r="EK56" s="33"/>
      <c r="EL56" s="33"/>
      <c r="EM56" s="33"/>
      <c r="EN56" s="33"/>
      <c r="EO56" s="33"/>
      <c r="EP56" s="33"/>
      <c r="EQ56" s="33"/>
      <c r="ER56" s="33"/>
      <c r="ES56" s="33"/>
      <c r="ET56" s="33"/>
      <c r="EU56" s="86"/>
      <c r="EV56" s="32"/>
      <c r="EW56" s="33"/>
      <c r="EX56" s="33"/>
      <c r="EY56" s="33"/>
      <c r="EZ56" s="33"/>
      <c r="FA56" s="33"/>
      <c r="FB56" s="33"/>
      <c r="FC56" s="33"/>
      <c r="FD56" s="33"/>
      <c r="FE56" s="33"/>
      <c r="FF56" s="33"/>
      <c r="FG56" s="33"/>
      <c r="FH56" s="33"/>
      <c r="FI56" s="33"/>
      <c r="FJ56" s="33"/>
      <c r="FK56" s="33"/>
      <c r="FL56" s="33"/>
      <c r="FM56" s="86"/>
      <c r="FN56" s="148"/>
      <c r="FO56" s="33"/>
      <c r="FP56" s="33"/>
      <c r="FQ56" s="33"/>
      <c r="FR56" s="33"/>
      <c r="FS56" s="33"/>
      <c r="FT56" s="33"/>
      <c r="FU56" s="33"/>
      <c r="FV56" s="33"/>
      <c r="FW56" s="33"/>
      <c r="FX56" s="33"/>
      <c r="FY56" s="33"/>
      <c r="FZ56" s="33"/>
      <c r="GA56" s="33"/>
      <c r="GB56" s="33"/>
      <c r="GC56" s="33"/>
      <c r="GD56" s="33"/>
      <c r="GE56" s="86"/>
      <c r="GF56" s="32"/>
      <c r="GG56" s="33"/>
      <c r="GH56" s="33"/>
      <c r="GI56" s="33"/>
      <c r="GJ56" s="33"/>
      <c r="GK56" s="33"/>
      <c r="GL56" s="33"/>
      <c r="GM56" s="33"/>
      <c r="GN56" s="33"/>
      <c r="GO56" s="33"/>
      <c r="GP56" s="33"/>
      <c r="GQ56" s="33"/>
      <c r="GR56" s="33"/>
      <c r="GS56" s="33"/>
      <c r="GT56" s="33"/>
      <c r="GU56" s="33"/>
      <c r="GV56" s="33"/>
      <c r="GW56" s="86"/>
      <c r="GX56" s="148"/>
      <c r="GY56" s="33"/>
      <c r="GZ56" s="33"/>
      <c r="HA56" s="33"/>
      <c r="HB56" s="33"/>
      <c r="HC56" s="33"/>
      <c r="HD56" s="33"/>
      <c r="HE56" s="33"/>
      <c r="HF56" s="33"/>
      <c r="HG56" s="33"/>
      <c r="HH56" s="33"/>
      <c r="HI56" s="33"/>
      <c r="HJ56" s="33"/>
      <c r="HK56" s="33"/>
      <c r="HL56" s="33"/>
      <c r="HM56" s="33"/>
      <c r="HN56" s="33"/>
      <c r="HO56" s="86"/>
      <c r="HP56" s="148"/>
      <c r="HQ56" s="33"/>
      <c r="HR56" s="33"/>
      <c r="HS56" s="33"/>
      <c r="HT56" s="33"/>
      <c r="HU56" s="33"/>
      <c r="HV56" s="33"/>
      <c r="HW56" s="33"/>
      <c r="HX56" s="33"/>
      <c r="HY56" s="33"/>
      <c r="HZ56" s="33"/>
      <c r="IA56" s="33"/>
      <c r="IB56" s="33"/>
      <c r="IC56" s="33"/>
      <c r="ID56" s="33"/>
      <c r="IE56" s="33"/>
      <c r="IF56" s="33"/>
      <c r="IG56" s="86"/>
      <c r="IH56" s="148"/>
      <c r="II56" s="33"/>
      <c r="IJ56" s="33"/>
      <c r="IK56" s="33"/>
      <c r="IL56" s="33"/>
      <c r="IM56" s="33"/>
      <c r="IN56" s="33"/>
      <c r="IO56" s="33"/>
      <c r="IP56" s="33"/>
      <c r="IQ56" s="33"/>
      <c r="IR56" s="33"/>
      <c r="IS56" s="33"/>
      <c r="IT56" s="33"/>
      <c r="IU56" s="33"/>
      <c r="IV56" s="33"/>
      <c r="IW56" s="33"/>
      <c r="IX56" s="33"/>
      <c r="IY56" s="86"/>
      <c r="IZ56" s="148"/>
      <c r="JA56" s="33"/>
      <c r="JB56" s="33"/>
      <c r="JC56" s="33"/>
      <c r="JD56" s="33"/>
      <c r="JE56" s="33"/>
      <c r="JF56" s="33"/>
      <c r="JG56" s="33"/>
      <c r="JH56" s="33"/>
      <c r="JI56" s="33"/>
      <c r="JJ56" s="33"/>
      <c r="JK56" s="33"/>
      <c r="JL56" s="33"/>
      <c r="JM56" s="33"/>
      <c r="JN56" s="33"/>
      <c r="JO56" s="33"/>
      <c r="JP56" s="33"/>
      <c r="JQ56" s="86"/>
      <c r="JR56" s="148"/>
      <c r="JS56" s="33"/>
      <c r="JT56" s="33"/>
      <c r="JU56" s="33"/>
      <c r="JV56" s="33"/>
      <c r="JW56" s="33"/>
      <c r="JX56" s="33"/>
      <c r="JY56" s="33"/>
      <c r="JZ56" s="33"/>
      <c r="KA56" s="33"/>
      <c r="KB56" s="33"/>
      <c r="KC56" s="33"/>
      <c r="KD56" s="33"/>
      <c r="KE56" s="33"/>
      <c r="KF56" s="33"/>
      <c r="KG56" s="33"/>
      <c r="KH56" s="33"/>
      <c r="KI56" s="86"/>
      <c r="KJ56" s="148"/>
      <c r="KK56" s="33"/>
      <c r="KL56" s="33"/>
      <c r="KM56" s="33"/>
      <c r="KN56" s="33"/>
      <c r="KO56" s="33"/>
      <c r="KP56" s="33"/>
      <c r="KQ56" s="33"/>
      <c r="KR56" s="33"/>
      <c r="KS56" s="33"/>
      <c r="KT56" s="33"/>
      <c r="KU56" s="33"/>
      <c r="KV56" s="33"/>
      <c r="KW56" s="33"/>
      <c r="KX56" s="33"/>
      <c r="KY56" s="33"/>
      <c r="KZ56" s="33"/>
      <c r="LA56" s="86"/>
      <c r="LB56" s="148"/>
      <c r="LC56" s="33"/>
      <c r="LD56" s="33"/>
      <c r="LE56" s="33"/>
      <c r="LF56" s="33"/>
      <c r="LG56" s="33"/>
      <c r="LH56" s="33"/>
      <c r="LI56" s="33"/>
      <c r="LJ56" s="33"/>
      <c r="LK56" s="33"/>
      <c r="LL56" s="33"/>
      <c r="LM56" s="33"/>
      <c r="LN56" s="33"/>
      <c r="LO56" s="33"/>
      <c r="LP56" s="33"/>
      <c r="LQ56" s="33"/>
      <c r="LR56" s="33"/>
      <c r="LS56" s="86"/>
      <c r="LT56" s="148"/>
      <c r="LU56" s="33"/>
      <c r="LV56" s="33"/>
      <c r="LW56" s="33"/>
      <c r="LX56" s="33"/>
      <c r="LY56" s="33"/>
      <c r="LZ56" s="33"/>
      <c r="MA56" s="33"/>
      <c r="MB56" s="31"/>
      <c r="MC56" s="33"/>
      <c r="MD56" s="33"/>
      <c r="ME56" s="33"/>
      <c r="MF56" s="33"/>
      <c r="MG56" s="33"/>
      <c r="MH56" s="33"/>
      <c r="MI56" s="33"/>
      <c r="MJ56" s="33"/>
      <c r="MK56" s="86"/>
      <c r="ML56" s="148"/>
      <c r="MM56" s="33"/>
      <c r="MN56" s="33"/>
      <c r="MO56" s="33"/>
      <c r="MP56" s="33"/>
      <c r="MQ56" s="33"/>
      <c r="MR56" s="33"/>
      <c r="MS56" s="33"/>
      <c r="MT56" s="33"/>
      <c r="MU56" s="33"/>
      <c r="MV56" s="33"/>
      <c r="MW56" s="33"/>
      <c r="MX56" s="33"/>
      <c r="MY56" s="33"/>
      <c r="MZ56" s="33"/>
      <c r="NA56" s="33"/>
      <c r="NB56" s="33"/>
      <c r="NC56" s="86"/>
      <c r="ND56" s="32"/>
      <c r="NE56" s="33"/>
      <c r="NF56" s="33"/>
      <c r="NG56" s="33"/>
      <c r="NH56" s="33"/>
      <c r="NI56" s="33"/>
      <c r="NJ56" s="33"/>
      <c r="NK56" s="33"/>
      <c r="NL56" s="33"/>
      <c r="NM56" s="33"/>
      <c r="NN56" s="33"/>
      <c r="NO56" s="33"/>
      <c r="NP56" s="33"/>
      <c r="NQ56" s="33"/>
      <c r="NR56" s="33"/>
      <c r="NS56" s="33"/>
      <c r="NT56" s="33"/>
      <c r="NU56" s="86"/>
      <c r="NV56" s="148"/>
      <c r="NW56" s="33"/>
      <c r="NX56" s="33"/>
      <c r="NY56" s="33"/>
      <c r="NZ56" s="33"/>
      <c r="OA56" s="33"/>
      <c r="OB56" s="33"/>
      <c r="OC56" s="33"/>
      <c r="OD56" s="33"/>
      <c r="OE56" s="33"/>
      <c r="OF56" s="33"/>
      <c r="OG56" s="33"/>
      <c r="OH56" s="33"/>
      <c r="OI56" s="33"/>
      <c r="OJ56" s="33"/>
      <c r="OK56" s="33"/>
      <c r="OL56" s="33"/>
      <c r="OM56" s="86"/>
      <c r="ON56" s="32"/>
      <c r="OO56" s="33"/>
      <c r="OP56" s="33"/>
      <c r="OQ56" s="33"/>
      <c r="OR56" s="33"/>
      <c r="OS56" s="33"/>
      <c r="OT56" s="33"/>
      <c r="OU56" s="33"/>
      <c r="OV56" s="33"/>
      <c r="OW56" s="33"/>
      <c r="OX56" s="33"/>
      <c r="OY56" s="33"/>
      <c r="OZ56" s="33"/>
      <c r="PA56" s="33"/>
      <c r="PB56" s="33"/>
      <c r="PC56" s="33"/>
      <c r="PD56" s="33"/>
      <c r="PE56" s="86"/>
      <c r="PF56" s="148"/>
      <c r="PG56" s="33"/>
      <c r="PH56" s="33"/>
      <c r="PI56" s="33"/>
      <c r="PJ56" s="33"/>
      <c r="PK56" s="33"/>
      <c r="PL56" s="33"/>
      <c r="PM56" s="33"/>
      <c r="PN56" s="31"/>
      <c r="PO56" s="33"/>
      <c r="PP56" s="33"/>
      <c r="PQ56" s="33"/>
      <c r="PR56" s="33"/>
      <c r="PS56" s="33"/>
      <c r="PT56" s="33"/>
      <c r="PU56" s="33"/>
      <c r="PV56" s="33"/>
      <c r="PW56" s="86"/>
      <c r="PX56" s="148"/>
      <c r="PY56" s="33"/>
      <c r="PZ56" s="33"/>
      <c r="QA56" s="33"/>
      <c r="QB56" s="33"/>
      <c r="QC56" s="33"/>
      <c r="QD56" s="33"/>
      <c r="QE56" s="33"/>
      <c r="QF56" s="31"/>
      <c r="QG56" s="33"/>
      <c r="QH56" s="33"/>
      <c r="QI56" s="33"/>
      <c r="QJ56" s="33"/>
      <c r="QK56" s="33"/>
      <c r="QL56" s="33"/>
      <c r="QM56" s="33"/>
      <c r="QN56" s="33"/>
      <c r="QO56" s="86"/>
      <c r="QP56" s="148"/>
      <c r="QQ56" s="33"/>
      <c r="QR56" s="33"/>
      <c r="QS56" s="33"/>
      <c r="QT56" s="33"/>
      <c r="QU56" s="33"/>
      <c r="QV56" s="33"/>
      <c r="QW56" s="33"/>
      <c r="QX56" s="31"/>
      <c r="QY56" s="33"/>
      <c r="QZ56" s="33"/>
      <c r="RA56" s="33"/>
      <c r="RB56" s="33"/>
      <c r="RC56" s="33"/>
      <c r="RD56" s="33"/>
      <c r="RE56" s="33"/>
      <c r="RF56" s="33"/>
      <c r="RG56" s="86"/>
      <c r="RH56" s="148"/>
      <c r="RI56" s="33"/>
      <c r="RJ56" s="33"/>
      <c r="RK56" s="33"/>
      <c r="RL56" s="33"/>
      <c r="RM56" s="33"/>
      <c r="RN56" s="33"/>
      <c r="RO56" s="33"/>
      <c r="RP56" s="31"/>
      <c r="RQ56" s="33"/>
      <c r="RR56" s="33"/>
      <c r="RS56" s="33"/>
      <c r="RT56" s="33"/>
      <c r="RU56" s="33"/>
      <c r="RV56" s="33"/>
      <c r="RW56" s="33"/>
      <c r="RX56" s="33"/>
      <c r="RY56" s="86"/>
      <c r="RZ56" s="148"/>
      <c r="SA56" s="33"/>
      <c r="SB56" s="33"/>
      <c r="SC56" s="33"/>
      <c r="SD56" s="33"/>
      <c r="SE56" s="33"/>
      <c r="SF56" s="33"/>
      <c r="SG56" s="33"/>
      <c r="SH56" s="31"/>
      <c r="SI56" s="33"/>
      <c r="SJ56" s="33"/>
      <c r="SK56" s="33"/>
      <c r="SL56" s="33"/>
      <c r="SM56" s="33"/>
      <c r="SN56" s="33"/>
      <c r="SO56" s="33"/>
      <c r="SP56" s="33"/>
      <c r="SQ56" s="86"/>
      <c r="SR56" s="148"/>
      <c r="SS56" s="33"/>
      <c r="ST56" s="33"/>
      <c r="SU56" s="33"/>
      <c r="SV56" s="33"/>
      <c r="SW56" s="33"/>
      <c r="SX56" s="33"/>
      <c r="SY56" s="33"/>
      <c r="SZ56" s="31"/>
      <c r="TA56" s="33"/>
      <c r="TB56" s="33"/>
      <c r="TC56" s="33"/>
      <c r="TD56" s="33"/>
      <c r="TE56" s="33"/>
      <c r="TF56" s="33"/>
      <c r="TG56" s="33"/>
      <c r="TH56" s="33"/>
      <c r="TI56" s="86"/>
      <c r="TJ56" s="148"/>
      <c r="TK56" s="33"/>
      <c r="TL56" s="33"/>
      <c r="TM56" s="33"/>
      <c r="TN56" s="33"/>
      <c r="TO56" s="33"/>
      <c r="TP56" s="33"/>
      <c r="TQ56" s="33"/>
      <c r="TR56" s="31"/>
      <c r="TS56" s="33"/>
      <c r="TT56" s="33"/>
      <c r="TU56" s="33"/>
      <c r="TV56" s="33"/>
      <c r="TW56" s="33"/>
      <c r="TX56" s="33"/>
      <c r="TY56" s="33"/>
      <c r="TZ56" s="33"/>
      <c r="UA56" s="86"/>
      <c r="UB56" s="148"/>
      <c r="UC56" s="33"/>
      <c r="UD56" s="33"/>
      <c r="UE56" s="33"/>
      <c r="UF56" s="33"/>
      <c r="UG56" s="33"/>
      <c r="UH56" s="33"/>
      <c r="UI56" s="33"/>
      <c r="UJ56" s="31"/>
      <c r="UK56" s="33"/>
      <c r="UL56" s="33"/>
      <c r="UM56" s="33"/>
      <c r="UN56" s="33"/>
      <c r="UO56" s="33"/>
      <c r="UP56" s="33"/>
      <c r="UQ56" s="33"/>
      <c r="UR56" s="33"/>
      <c r="US56" s="86"/>
    </row>
    <row r="57" spans="1:565" x14ac:dyDescent="0.3">
      <c r="A57" s="14" t="s">
        <v>110</v>
      </c>
      <c r="B57" s="170">
        <v>43</v>
      </c>
      <c r="C57" s="16" t="s">
        <v>111</v>
      </c>
      <c r="F57" s="36">
        <v>3031699200</v>
      </c>
      <c r="G57" s="85"/>
      <c r="H57" s="35"/>
      <c r="I57" s="35">
        <v>44448210.530000001</v>
      </c>
      <c r="J57" s="35">
        <v>42225800</v>
      </c>
      <c r="K57" s="35">
        <v>2222410.5299999998</v>
      </c>
      <c r="L57" s="35">
        <v>42225800</v>
      </c>
      <c r="M57" s="35"/>
      <c r="N57" s="36"/>
      <c r="O57" s="35">
        <v>44448210.530000001</v>
      </c>
      <c r="P57" s="35">
        <v>42225800</v>
      </c>
      <c r="Q57" s="35"/>
      <c r="R57" s="35">
        <v>2222410.5299999998</v>
      </c>
      <c r="S57" s="35">
        <v>5</v>
      </c>
      <c r="T57" s="35"/>
      <c r="U57" s="35"/>
      <c r="V57" s="85">
        <v>42225800</v>
      </c>
      <c r="W57" s="27"/>
      <c r="X57" s="36">
        <v>42225800</v>
      </c>
      <c r="Y57" s="85">
        <v>42225800</v>
      </c>
      <c r="Z57" s="35"/>
      <c r="AA57" s="35">
        <v>88031894.739999995</v>
      </c>
      <c r="AB57" s="35">
        <v>83630300</v>
      </c>
      <c r="AC57" s="35">
        <v>4401594.74</v>
      </c>
      <c r="AD57" s="35">
        <v>83630300</v>
      </c>
      <c r="AE57" s="35"/>
      <c r="AF57" s="36"/>
      <c r="AG57" s="35">
        <v>88031894.739999995</v>
      </c>
      <c r="AH57" s="35">
        <v>83630300</v>
      </c>
      <c r="AI57" s="35"/>
      <c r="AJ57" s="35">
        <v>4401594.74</v>
      </c>
      <c r="AK57" s="35">
        <v>5</v>
      </c>
      <c r="AL57" s="35"/>
      <c r="AM57" s="35"/>
      <c r="AN57" s="85">
        <v>83630300</v>
      </c>
      <c r="AO57" s="27"/>
      <c r="AP57" s="36">
        <v>83630300</v>
      </c>
      <c r="AQ57" s="85">
        <v>83630300</v>
      </c>
      <c r="AR57" s="35"/>
      <c r="AS57" s="35">
        <v>2187936947.3600001</v>
      </c>
      <c r="AT57" s="35">
        <v>2078540100</v>
      </c>
      <c r="AU57" s="35">
        <v>109396847.36</v>
      </c>
      <c r="AV57" s="35">
        <v>2078540100</v>
      </c>
      <c r="AW57" s="35">
        <v>1591226.75</v>
      </c>
      <c r="AX57" s="36"/>
      <c r="AY57" s="35">
        <v>2187936947.3600001</v>
      </c>
      <c r="AZ57" s="35">
        <v>2078540100</v>
      </c>
      <c r="BA57" s="35"/>
      <c r="BB57" s="35">
        <v>109396847.36</v>
      </c>
      <c r="BC57" s="35">
        <v>5</v>
      </c>
      <c r="BD57" s="35">
        <v>1591226.75</v>
      </c>
      <c r="BE57" s="35">
        <v>0</v>
      </c>
      <c r="BF57" s="85">
        <v>2078540100</v>
      </c>
      <c r="BG57" s="27"/>
      <c r="BH57" s="36">
        <v>2078540100</v>
      </c>
      <c r="BI57" s="85">
        <v>2078540100</v>
      </c>
      <c r="BJ57" s="35"/>
      <c r="BK57" s="35">
        <v>1069264</v>
      </c>
      <c r="BL57" s="35">
        <v>1015800</v>
      </c>
      <c r="BM57" s="35">
        <v>53464</v>
      </c>
      <c r="BN57" s="35">
        <v>1015800</v>
      </c>
      <c r="BO57" s="35"/>
      <c r="BP57" s="36"/>
      <c r="BQ57" s="35">
        <v>1069264</v>
      </c>
      <c r="BR57" s="35">
        <v>1015800</v>
      </c>
      <c r="BS57" s="35"/>
      <c r="BT57" s="35">
        <v>53464</v>
      </c>
      <c r="BU57" s="35">
        <v>5.00007</v>
      </c>
      <c r="BV57" s="35"/>
      <c r="BW57" s="35"/>
      <c r="BX57" s="85">
        <v>1015800</v>
      </c>
      <c r="BY57" s="27"/>
      <c r="BZ57" s="36">
        <v>1015800</v>
      </c>
      <c r="CA57" s="85">
        <v>1015800</v>
      </c>
      <c r="CB57" s="35"/>
      <c r="CC57" s="35">
        <v>240214631.59</v>
      </c>
      <c r="CD57" s="35">
        <v>228203900</v>
      </c>
      <c r="CE57" s="35">
        <v>12010731.59</v>
      </c>
      <c r="CF57" s="35">
        <v>228203900</v>
      </c>
      <c r="CG57" s="35"/>
      <c r="CH57" s="36"/>
      <c r="CI57" s="35">
        <v>240214631.59</v>
      </c>
      <c r="CJ57" s="35">
        <v>228203900</v>
      </c>
      <c r="CK57" s="35"/>
      <c r="CL57" s="35">
        <v>12010731.59</v>
      </c>
      <c r="CM57" s="35">
        <v>5</v>
      </c>
      <c r="CN57" s="35"/>
      <c r="CO57" s="35"/>
      <c r="CP57" s="85">
        <v>228203900</v>
      </c>
      <c r="CQ57" s="27"/>
      <c r="CR57" s="36">
        <v>228203900</v>
      </c>
      <c r="CS57" s="85">
        <v>228203900</v>
      </c>
      <c r="CT57" s="35"/>
      <c r="CU57" s="35">
        <v>45446464.640000001</v>
      </c>
      <c r="CV57" s="35">
        <v>44992000</v>
      </c>
      <c r="CW57" s="35">
        <v>454464.64</v>
      </c>
      <c r="CX57" s="35">
        <v>44992000</v>
      </c>
      <c r="CY57" s="35"/>
      <c r="CZ57" s="36"/>
      <c r="DA57" s="35">
        <v>45446464.640000001</v>
      </c>
      <c r="DB57" s="35">
        <v>44992000</v>
      </c>
      <c r="DC57" s="35"/>
      <c r="DD57" s="35">
        <v>454464.64</v>
      </c>
      <c r="DE57" s="35">
        <v>1</v>
      </c>
      <c r="DF57" s="35"/>
      <c r="DG57" s="35"/>
      <c r="DH57" s="85">
        <v>44992000</v>
      </c>
      <c r="DI57" s="27"/>
      <c r="DJ57" s="36">
        <v>44992000</v>
      </c>
      <c r="DK57" s="85">
        <v>44992000</v>
      </c>
      <c r="DL57" s="35"/>
      <c r="DM57" s="35"/>
      <c r="DN57" s="35"/>
      <c r="DO57" s="35"/>
      <c r="DP57" s="35"/>
      <c r="DQ57" s="35"/>
      <c r="DR57" s="36"/>
      <c r="DS57" s="35"/>
      <c r="DT57" s="35"/>
      <c r="DU57" s="35"/>
      <c r="DV57" s="35"/>
      <c r="DW57" s="35"/>
      <c r="DX57" s="35"/>
      <c r="DY57" s="35"/>
      <c r="DZ57" s="85"/>
      <c r="EA57" s="27"/>
      <c r="EB57" s="36"/>
      <c r="EC57" s="85"/>
      <c r="ED57" s="35"/>
      <c r="EE57" s="35">
        <v>161877171.72</v>
      </c>
      <c r="EF57" s="35">
        <v>160258400</v>
      </c>
      <c r="EG57" s="35">
        <v>1618771.72</v>
      </c>
      <c r="EH57" s="35">
        <v>160258400</v>
      </c>
      <c r="EI57" s="35"/>
      <c r="EJ57" s="36"/>
      <c r="EK57" s="35">
        <v>161877171.72</v>
      </c>
      <c r="EL57" s="35">
        <v>160258400</v>
      </c>
      <c r="EM57" s="35"/>
      <c r="EN57" s="35">
        <v>1618771.72</v>
      </c>
      <c r="EO57" s="35">
        <v>1</v>
      </c>
      <c r="EP57" s="35"/>
      <c r="EQ57" s="35"/>
      <c r="ER57" s="85">
        <v>160258400</v>
      </c>
      <c r="ES57" s="27"/>
      <c r="ET57" s="36">
        <v>160258400</v>
      </c>
      <c r="EU57" s="85">
        <v>160258400</v>
      </c>
      <c r="EV57" s="35"/>
      <c r="EW57" s="35">
        <v>135183789.47</v>
      </c>
      <c r="EX57" s="35">
        <v>128424600</v>
      </c>
      <c r="EY57" s="35">
        <v>6759189.4699999997</v>
      </c>
      <c r="EZ57" s="35">
        <v>128424600</v>
      </c>
      <c r="FA57" s="35"/>
      <c r="FB57" s="36"/>
      <c r="FC57" s="35">
        <v>135183789.47</v>
      </c>
      <c r="FD57" s="35">
        <v>128424600</v>
      </c>
      <c r="FE57" s="35"/>
      <c r="FF57" s="35">
        <v>6759189.4699999997</v>
      </c>
      <c r="FG57" s="35">
        <v>5</v>
      </c>
      <c r="FH57" s="35"/>
      <c r="FI57" s="35"/>
      <c r="FJ57" s="85">
        <v>128424600</v>
      </c>
      <c r="FK57" s="27"/>
      <c r="FL57" s="36">
        <v>128424600</v>
      </c>
      <c r="FM57" s="85">
        <v>128424600</v>
      </c>
      <c r="FN57" s="35"/>
      <c r="FO57" s="35"/>
      <c r="FP57" s="35"/>
      <c r="FQ57" s="35"/>
      <c r="FR57" s="35"/>
      <c r="FS57" s="35"/>
      <c r="FT57" s="36"/>
      <c r="FU57" s="35"/>
      <c r="FV57" s="35"/>
      <c r="FW57" s="35"/>
      <c r="FX57" s="35"/>
      <c r="FY57" s="35"/>
      <c r="FZ57" s="35"/>
      <c r="GA57" s="35"/>
      <c r="GB57" s="85"/>
      <c r="GC57" s="27"/>
      <c r="GD57" s="36"/>
      <c r="GE57" s="85"/>
      <c r="GF57" s="35"/>
      <c r="GG57" s="35">
        <v>40682105.270000003</v>
      </c>
      <c r="GH57" s="35">
        <v>38648000</v>
      </c>
      <c r="GI57" s="35">
        <v>2034105.27</v>
      </c>
      <c r="GJ57" s="35">
        <v>37281888.600000001</v>
      </c>
      <c r="GK57" s="35"/>
      <c r="GL57" s="36"/>
      <c r="GM57" s="35">
        <v>39244093.259999998</v>
      </c>
      <c r="GN57" s="35">
        <v>37281888.600000001</v>
      </c>
      <c r="GO57" s="35"/>
      <c r="GP57" s="35">
        <v>1962204.66</v>
      </c>
      <c r="GQ57" s="35">
        <v>5</v>
      </c>
      <c r="GR57" s="35"/>
      <c r="GS57" s="35">
        <v>0</v>
      </c>
      <c r="GT57" s="85">
        <v>37281888.600000001</v>
      </c>
      <c r="GU57" s="27"/>
      <c r="GV57" s="36">
        <v>38648000</v>
      </c>
      <c r="GW57" s="85">
        <v>38648000</v>
      </c>
      <c r="GX57" s="35"/>
      <c r="GY57" s="35"/>
      <c r="GZ57" s="35"/>
      <c r="HA57" s="35"/>
      <c r="HB57" s="35"/>
      <c r="HC57" s="35"/>
      <c r="HD57" s="36"/>
      <c r="HE57" s="35"/>
      <c r="HF57" s="35"/>
      <c r="HG57" s="35"/>
      <c r="HH57" s="35"/>
      <c r="HI57" s="35"/>
      <c r="HJ57" s="35"/>
      <c r="HK57" s="35"/>
      <c r="HL57" s="85"/>
      <c r="HM57" s="27"/>
      <c r="HN57" s="36"/>
      <c r="HO57" s="85"/>
      <c r="HP57" s="35"/>
      <c r="HQ57" s="35">
        <v>197444315.78999999</v>
      </c>
      <c r="HR57" s="35">
        <v>187572100</v>
      </c>
      <c r="HS57" s="35">
        <v>9872215.7899999991</v>
      </c>
      <c r="HT57" s="35">
        <v>187572100</v>
      </c>
      <c r="HU57" s="35"/>
      <c r="HV57" s="36"/>
      <c r="HW57" s="35">
        <v>197444315.78999999</v>
      </c>
      <c r="HX57" s="35">
        <v>187572100</v>
      </c>
      <c r="HY57" s="35"/>
      <c r="HZ57" s="35">
        <v>9872215.7899999991</v>
      </c>
      <c r="IA57" s="35">
        <v>5</v>
      </c>
      <c r="IB57" s="35"/>
      <c r="IC57" s="35"/>
      <c r="ID57" s="85">
        <v>187572100</v>
      </c>
      <c r="IE57" s="27"/>
      <c r="IF57" s="36">
        <v>187572100</v>
      </c>
      <c r="IG57" s="85">
        <v>187572100</v>
      </c>
      <c r="IH57" s="35"/>
      <c r="II57" s="35"/>
      <c r="IJ57" s="35"/>
      <c r="IK57" s="35"/>
      <c r="IL57" s="35"/>
      <c r="IM57" s="35"/>
      <c r="IN57" s="36"/>
      <c r="IO57" s="35"/>
      <c r="IP57" s="35"/>
      <c r="IQ57" s="35"/>
      <c r="IR57" s="35"/>
      <c r="IS57" s="35"/>
      <c r="IT57" s="35"/>
      <c r="IU57" s="35"/>
      <c r="IV57" s="85"/>
      <c r="IW57" s="27"/>
      <c r="IX57" s="36"/>
      <c r="IY57" s="85"/>
      <c r="IZ57" s="35"/>
      <c r="JA57" s="35">
        <v>13020000</v>
      </c>
      <c r="JB57" s="35">
        <v>12369000</v>
      </c>
      <c r="JC57" s="35">
        <v>651000</v>
      </c>
      <c r="JD57" s="35">
        <v>12369000</v>
      </c>
      <c r="JE57" s="35"/>
      <c r="JF57" s="36"/>
      <c r="JG57" s="35">
        <v>13020000</v>
      </c>
      <c r="JH57" s="35">
        <v>12369000</v>
      </c>
      <c r="JI57" s="35"/>
      <c r="JJ57" s="35">
        <v>651000</v>
      </c>
      <c r="JK57" s="35">
        <v>5</v>
      </c>
      <c r="JL57" s="35"/>
      <c r="JM57" s="35"/>
      <c r="JN57" s="85">
        <v>12369000</v>
      </c>
      <c r="JO57" s="27"/>
      <c r="JP57" s="36">
        <v>12369000</v>
      </c>
      <c r="JQ57" s="85">
        <v>12369000</v>
      </c>
      <c r="JR57" s="35"/>
      <c r="JS57" s="35"/>
      <c r="JT57" s="35"/>
      <c r="JU57" s="35"/>
      <c r="JV57" s="35"/>
      <c r="JW57" s="35"/>
      <c r="JX57" s="36"/>
      <c r="JY57" s="35"/>
      <c r="JZ57" s="35"/>
      <c r="KA57" s="35"/>
      <c r="KB57" s="35"/>
      <c r="KC57" s="35"/>
      <c r="KD57" s="35"/>
      <c r="KE57" s="35"/>
      <c r="KF57" s="85"/>
      <c r="KG57" s="27"/>
      <c r="KH57" s="36"/>
      <c r="KI57" s="85"/>
      <c r="KJ57" s="35"/>
      <c r="KK57" s="35">
        <v>9904631.5800000001</v>
      </c>
      <c r="KL57" s="35">
        <v>9409400</v>
      </c>
      <c r="KM57" s="35">
        <v>495231.58</v>
      </c>
      <c r="KN57" s="35">
        <v>8539841.25</v>
      </c>
      <c r="KO57" s="35"/>
      <c r="KP57" s="36"/>
      <c r="KQ57" s="35">
        <v>8989306.5800000001</v>
      </c>
      <c r="KR57" s="35">
        <v>8539841.25</v>
      </c>
      <c r="KS57" s="35"/>
      <c r="KT57" s="35">
        <v>449465.33</v>
      </c>
      <c r="KU57" s="35">
        <v>5</v>
      </c>
      <c r="KV57" s="35"/>
      <c r="KW57" s="35">
        <v>0</v>
      </c>
      <c r="KX57" s="85">
        <v>8539841.25</v>
      </c>
      <c r="KY57" s="27"/>
      <c r="KZ57" s="36">
        <v>9409400</v>
      </c>
      <c r="LA57" s="85">
        <v>9409400</v>
      </c>
      <c r="LB57" s="35"/>
      <c r="LC57" s="35"/>
      <c r="LD57" s="35"/>
      <c r="LE57" s="35"/>
      <c r="LF57" s="35"/>
      <c r="LG57" s="35"/>
      <c r="LH57" s="36"/>
      <c r="LI57" s="35"/>
      <c r="LJ57" s="35"/>
      <c r="LK57" s="35"/>
      <c r="LL57" s="35"/>
      <c r="LM57" s="35"/>
      <c r="LN57" s="35"/>
      <c r="LO57" s="35"/>
      <c r="LP57" s="85"/>
      <c r="LQ57" s="27"/>
      <c r="LR57" s="36"/>
      <c r="LS57" s="85"/>
      <c r="LT57" s="35"/>
      <c r="LU57" s="35">
        <v>16651263.16</v>
      </c>
      <c r="LV57" s="35">
        <v>15818700</v>
      </c>
      <c r="LW57" s="35">
        <v>832563.16</v>
      </c>
      <c r="LX57" s="35">
        <v>15818700</v>
      </c>
      <c r="LY57" s="35"/>
      <c r="LZ57" s="36"/>
      <c r="MA57" s="35">
        <v>16651263.16</v>
      </c>
      <c r="MB57" s="35">
        <v>15818700</v>
      </c>
      <c r="MC57" s="35"/>
      <c r="MD57" s="35">
        <v>832563.16</v>
      </c>
      <c r="ME57" s="35">
        <v>5</v>
      </c>
      <c r="MF57" s="35"/>
      <c r="MG57" s="35"/>
      <c r="MH57" s="85">
        <v>15818700</v>
      </c>
      <c r="MI57" s="27"/>
      <c r="MJ57" s="36">
        <v>15818700</v>
      </c>
      <c r="MK57" s="85">
        <v>15818700</v>
      </c>
      <c r="ML57" s="35"/>
      <c r="MM57" s="35"/>
      <c r="MN57" s="35"/>
      <c r="MO57" s="35"/>
      <c r="MP57" s="35"/>
      <c r="MQ57" s="35"/>
      <c r="MR57" s="36"/>
      <c r="MS57" s="35"/>
      <c r="MT57" s="35"/>
      <c r="MU57" s="35"/>
      <c r="MV57" s="35"/>
      <c r="MW57" s="35"/>
      <c r="MX57" s="35"/>
      <c r="MY57" s="35"/>
      <c r="MZ57" s="85"/>
      <c r="NA57" s="27"/>
      <c r="NB57" s="36"/>
      <c r="NC57" s="85"/>
      <c r="ND57" s="35"/>
      <c r="NE57" s="35">
        <v>622210.53</v>
      </c>
      <c r="NF57" s="35">
        <v>591100</v>
      </c>
      <c r="NG57" s="35">
        <v>31110.53</v>
      </c>
      <c r="NH57" s="35"/>
      <c r="NI57" s="35"/>
      <c r="NJ57" s="36"/>
      <c r="NK57" s="35"/>
      <c r="NL57" s="35"/>
      <c r="NM57" s="35"/>
      <c r="NN57" s="35"/>
      <c r="NO57" s="35"/>
      <c r="NP57" s="35"/>
      <c r="NQ57" s="35"/>
      <c r="NR57" s="85"/>
      <c r="NS57" s="27"/>
      <c r="NT57" s="36">
        <v>591100</v>
      </c>
      <c r="NU57" s="85">
        <v>591100</v>
      </c>
      <c r="NV57" s="35"/>
      <c r="NW57" s="35"/>
      <c r="NX57" s="35"/>
      <c r="NY57" s="35"/>
      <c r="NZ57" s="35"/>
      <c r="OA57" s="35"/>
      <c r="OB57" s="36"/>
      <c r="OC57" s="35"/>
      <c r="OD57" s="35"/>
      <c r="OE57" s="35"/>
      <c r="OF57" s="35"/>
      <c r="OG57" s="35"/>
      <c r="OH57" s="35"/>
      <c r="OI57" s="35"/>
      <c r="OJ57" s="85"/>
      <c r="OK57" s="27"/>
      <c r="OL57" s="36"/>
      <c r="OM57" s="85"/>
      <c r="ON57" s="35"/>
      <c r="OO57" s="35"/>
      <c r="OP57" s="35"/>
      <c r="OQ57" s="35"/>
      <c r="OR57" s="35"/>
      <c r="OS57" s="35"/>
      <c r="OT57" s="36"/>
      <c r="OU57" s="35"/>
      <c r="OV57" s="35"/>
      <c r="OW57" s="35"/>
      <c r="OX57" s="35"/>
      <c r="OY57" s="35"/>
      <c r="OZ57" s="35"/>
      <c r="PA57" s="35"/>
      <c r="PB57" s="85"/>
      <c r="PC57" s="27"/>
      <c r="PD57" s="36"/>
      <c r="PE57" s="85"/>
      <c r="PF57" s="35"/>
      <c r="PG57" s="35"/>
      <c r="PH57" s="35"/>
      <c r="PI57" s="35"/>
      <c r="PJ57" s="35"/>
      <c r="PK57" s="35"/>
      <c r="PL57" s="36"/>
      <c r="PM57" s="35"/>
      <c r="PN57" s="35"/>
      <c r="PO57" s="35"/>
      <c r="PP57" s="35"/>
      <c r="PQ57" s="35"/>
      <c r="PR57" s="35"/>
      <c r="PS57" s="35"/>
      <c r="PT57" s="85"/>
      <c r="PU57" s="27"/>
      <c r="PV57" s="36"/>
      <c r="PW57" s="85"/>
      <c r="PX57" s="35"/>
      <c r="PY57" s="35"/>
      <c r="PZ57" s="35"/>
      <c r="QA57" s="35"/>
      <c r="QB57" s="35"/>
      <c r="QC57" s="35"/>
      <c r="QD57" s="36"/>
      <c r="QE57" s="35"/>
      <c r="QF57" s="35"/>
      <c r="QG57" s="35"/>
      <c r="QH57" s="35"/>
      <c r="QI57" s="35"/>
      <c r="QJ57" s="35"/>
      <c r="QK57" s="35"/>
      <c r="QL57" s="85"/>
      <c r="QM57" s="27"/>
      <c r="QN57" s="36"/>
      <c r="QO57" s="85"/>
      <c r="QP57" s="35"/>
      <c r="QQ57" s="35"/>
      <c r="QR57" s="35"/>
      <c r="QS57" s="35"/>
      <c r="QT57" s="35"/>
      <c r="QU57" s="35"/>
      <c r="QV57" s="36"/>
      <c r="QW57" s="35"/>
      <c r="QX57" s="35"/>
      <c r="QY57" s="35"/>
      <c r="QZ57" s="35"/>
      <c r="RA57" s="35"/>
      <c r="RB57" s="35"/>
      <c r="RC57" s="35"/>
      <c r="RD57" s="85"/>
      <c r="RE57" s="27"/>
      <c r="RF57" s="36"/>
      <c r="RG57" s="85"/>
      <c r="RH57" s="35"/>
      <c r="RI57" s="35"/>
      <c r="RJ57" s="35"/>
      <c r="RK57" s="35"/>
      <c r="RL57" s="35"/>
      <c r="RM57" s="35"/>
      <c r="RN57" s="36"/>
      <c r="RO57" s="35"/>
      <c r="RP57" s="35"/>
      <c r="RQ57" s="35"/>
      <c r="RR57" s="35"/>
      <c r="RS57" s="35"/>
      <c r="RT57" s="35"/>
      <c r="RU57" s="35"/>
      <c r="RV57" s="85"/>
      <c r="RW57" s="27"/>
      <c r="RX57" s="36"/>
      <c r="RY57" s="85"/>
      <c r="RZ57" s="35"/>
      <c r="SA57" s="35"/>
      <c r="SB57" s="35"/>
      <c r="SC57" s="35"/>
      <c r="SD57" s="35"/>
      <c r="SE57" s="35"/>
      <c r="SF57" s="36"/>
      <c r="SG57" s="35"/>
      <c r="SH57" s="35"/>
      <c r="SI57" s="35"/>
      <c r="SJ57" s="35"/>
      <c r="SK57" s="35"/>
      <c r="SL57" s="35"/>
      <c r="SM57" s="35"/>
      <c r="SN57" s="85"/>
      <c r="SO57" s="27"/>
      <c r="SP57" s="36"/>
      <c r="SQ57" s="85"/>
      <c r="SR57" s="35"/>
      <c r="SS57" s="35"/>
      <c r="ST57" s="35"/>
      <c r="SU57" s="35"/>
      <c r="SV57" s="35"/>
      <c r="SW57" s="35"/>
      <c r="SX57" s="36"/>
      <c r="SY57" s="35"/>
      <c r="SZ57" s="35"/>
      <c r="TA57" s="35"/>
      <c r="TB57" s="35"/>
      <c r="TC57" s="35"/>
      <c r="TD57" s="35"/>
      <c r="TE57" s="35"/>
      <c r="TF57" s="85"/>
      <c r="TG57" s="27"/>
      <c r="TH57" s="36"/>
      <c r="TI57" s="85"/>
      <c r="TJ57" s="35"/>
      <c r="TK57" s="35"/>
      <c r="TL57" s="35"/>
      <c r="TM57" s="35"/>
      <c r="TN57" s="35"/>
      <c r="TO57" s="35"/>
      <c r="TP57" s="36"/>
      <c r="TQ57" s="35"/>
      <c r="TR57" s="35"/>
      <c r="TS57" s="35"/>
      <c r="TT57" s="35"/>
      <c r="TU57" s="35"/>
      <c r="TV57" s="35"/>
      <c r="TW57" s="35"/>
      <c r="TX57" s="85"/>
      <c r="TY57" s="27"/>
      <c r="TZ57" s="36"/>
      <c r="UA57" s="85"/>
      <c r="UB57" s="35"/>
      <c r="UC57" s="35"/>
      <c r="UD57" s="35"/>
      <c r="UE57" s="35"/>
      <c r="UF57" s="35"/>
      <c r="UG57" s="35"/>
      <c r="UH57" s="36"/>
      <c r="UI57" s="35"/>
      <c r="UJ57" s="35"/>
      <c r="UK57" s="35"/>
      <c r="UL57" s="35"/>
      <c r="UM57" s="35"/>
      <c r="UN57" s="35"/>
      <c r="UO57" s="35"/>
      <c r="UP57" s="85"/>
      <c r="UQ57" s="27"/>
      <c r="UR57" s="36"/>
      <c r="US57" s="85"/>
    </row>
    <row r="58" spans="1:565" x14ac:dyDescent="0.3">
      <c r="A58" s="14" t="s">
        <v>112</v>
      </c>
      <c r="B58" s="170">
        <v>44</v>
      </c>
      <c r="C58" s="16" t="s">
        <v>113</v>
      </c>
      <c r="F58" s="36">
        <v>693721500</v>
      </c>
      <c r="G58" s="85"/>
      <c r="H58" s="35"/>
      <c r="I58" s="35">
        <v>13341800</v>
      </c>
      <c r="J58" s="35">
        <v>12674700</v>
      </c>
      <c r="K58" s="35">
        <v>667100</v>
      </c>
      <c r="L58" s="35">
        <v>12674700</v>
      </c>
      <c r="M58" s="35"/>
      <c r="N58" s="36"/>
      <c r="O58" s="35">
        <v>13341800</v>
      </c>
      <c r="P58" s="35">
        <v>12674700</v>
      </c>
      <c r="Q58" s="35"/>
      <c r="R58" s="35">
        <v>667100</v>
      </c>
      <c r="S58" s="35">
        <v>5.00007</v>
      </c>
      <c r="T58" s="35"/>
      <c r="U58" s="35"/>
      <c r="V58" s="85">
        <v>12674700</v>
      </c>
      <c r="W58" s="27"/>
      <c r="X58" s="36">
        <v>12674700</v>
      </c>
      <c r="Y58" s="85">
        <v>12674700</v>
      </c>
      <c r="Z58" s="35"/>
      <c r="AA58" s="35">
        <v>23710632</v>
      </c>
      <c r="AB58" s="35">
        <v>22525100</v>
      </c>
      <c r="AC58" s="35">
        <v>1185532</v>
      </c>
      <c r="AD58" s="35">
        <v>22525068.969999999</v>
      </c>
      <c r="AE58" s="35"/>
      <c r="AF58" s="36"/>
      <c r="AG58" s="35">
        <v>22927281.300000001</v>
      </c>
      <c r="AH58" s="35">
        <v>21780916.879999999</v>
      </c>
      <c r="AI58" s="35"/>
      <c r="AJ58" s="35">
        <v>1146364.42</v>
      </c>
      <c r="AK58" s="35">
        <v>5</v>
      </c>
      <c r="AL58" s="35"/>
      <c r="AM58" s="35">
        <v>744152.09</v>
      </c>
      <c r="AN58" s="85">
        <v>22525068.969999999</v>
      </c>
      <c r="AO58" s="27"/>
      <c r="AP58" s="36">
        <v>22525100</v>
      </c>
      <c r="AQ58" s="85">
        <v>22525100</v>
      </c>
      <c r="AR58" s="35"/>
      <c r="AS58" s="35">
        <v>242040211</v>
      </c>
      <c r="AT58" s="35">
        <v>229938200</v>
      </c>
      <c r="AU58" s="35">
        <v>12102011</v>
      </c>
      <c r="AV58" s="35">
        <v>229872642.88999999</v>
      </c>
      <c r="AW58" s="35">
        <v>9356.32</v>
      </c>
      <c r="AX58" s="36"/>
      <c r="AY58" s="35">
        <v>241971203.59</v>
      </c>
      <c r="AZ58" s="35">
        <v>229872642.88999999</v>
      </c>
      <c r="BA58" s="35"/>
      <c r="BB58" s="35">
        <v>12098560.699999999</v>
      </c>
      <c r="BC58" s="35">
        <v>5</v>
      </c>
      <c r="BD58" s="35"/>
      <c r="BE58" s="35">
        <v>9356.32</v>
      </c>
      <c r="BF58" s="85">
        <v>229872642.88999999</v>
      </c>
      <c r="BG58" s="27"/>
      <c r="BH58" s="36">
        <v>229938200</v>
      </c>
      <c r="BI58" s="85">
        <v>229938200</v>
      </c>
      <c r="BJ58" s="35"/>
      <c r="BK58" s="35">
        <v>30316</v>
      </c>
      <c r="BL58" s="35">
        <v>28800</v>
      </c>
      <c r="BM58" s="35">
        <v>1516</v>
      </c>
      <c r="BN58" s="35">
        <v>27360.04</v>
      </c>
      <c r="BO58" s="35"/>
      <c r="BP58" s="36"/>
      <c r="BQ58" s="35">
        <v>24922.284199999998</v>
      </c>
      <c r="BR58" s="35">
        <v>23676.17</v>
      </c>
      <c r="BS58" s="35"/>
      <c r="BT58" s="35">
        <v>1246.1142</v>
      </c>
      <c r="BU58" s="35">
        <v>5</v>
      </c>
      <c r="BV58" s="35"/>
      <c r="BW58" s="35">
        <v>3683.87</v>
      </c>
      <c r="BX58" s="85">
        <v>27360.04</v>
      </c>
      <c r="BY58" s="27"/>
      <c r="BZ58" s="36">
        <v>28800</v>
      </c>
      <c r="CA58" s="85">
        <v>28800</v>
      </c>
      <c r="CB58" s="35"/>
      <c r="CC58" s="35">
        <v>78519800</v>
      </c>
      <c r="CD58" s="35">
        <v>74593800</v>
      </c>
      <c r="CE58" s="35">
        <v>3926000</v>
      </c>
      <c r="CF58" s="35">
        <v>74593781.5</v>
      </c>
      <c r="CG58" s="35"/>
      <c r="CH58" s="36"/>
      <c r="CI58" s="35">
        <v>78519780.530000001</v>
      </c>
      <c r="CJ58" s="35">
        <v>74593781.5</v>
      </c>
      <c r="CK58" s="35"/>
      <c r="CL58" s="35">
        <v>3925999.03</v>
      </c>
      <c r="CM58" s="35">
        <v>5.0000099999999996</v>
      </c>
      <c r="CN58" s="35"/>
      <c r="CO58" s="35"/>
      <c r="CP58" s="85">
        <v>74593781.5</v>
      </c>
      <c r="CQ58" s="27"/>
      <c r="CR58" s="36">
        <v>74593800</v>
      </c>
      <c r="CS58" s="85">
        <v>74593800</v>
      </c>
      <c r="CT58" s="35"/>
      <c r="CU58" s="35"/>
      <c r="CV58" s="35"/>
      <c r="CW58" s="35"/>
      <c r="CX58" s="35"/>
      <c r="CY58" s="35"/>
      <c r="CZ58" s="36"/>
      <c r="DA58" s="35"/>
      <c r="DB58" s="35"/>
      <c r="DC58" s="35"/>
      <c r="DD58" s="35"/>
      <c r="DE58" s="35"/>
      <c r="DF58" s="35"/>
      <c r="DG58" s="35"/>
      <c r="DH58" s="85"/>
      <c r="DI58" s="27"/>
      <c r="DJ58" s="36"/>
      <c r="DK58" s="85"/>
      <c r="DL58" s="35"/>
      <c r="DM58" s="35"/>
      <c r="DN58" s="35"/>
      <c r="DO58" s="35"/>
      <c r="DP58" s="35"/>
      <c r="DQ58" s="35"/>
      <c r="DR58" s="36"/>
      <c r="DS58" s="35"/>
      <c r="DT58" s="35"/>
      <c r="DU58" s="35"/>
      <c r="DV58" s="35"/>
      <c r="DW58" s="35"/>
      <c r="DX58" s="35"/>
      <c r="DY58" s="35"/>
      <c r="DZ58" s="85"/>
      <c r="EA58" s="27"/>
      <c r="EB58" s="36"/>
      <c r="EC58" s="85"/>
      <c r="ED58" s="35"/>
      <c r="EE58" s="35">
        <v>127455455</v>
      </c>
      <c r="EF58" s="35">
        <v>126180900</v>
      </c>
      <c r="EG58" s="35">
        <v>1274555</v>
      </c>
      <c r="EH58" s="35">
        <v>124835602.26000001</v>
      </c>
      <c r="EI58" s="35"/>
      <c r="EJ58" s="36"/>
      <c r="EK58" s="35">
        <v>126096567.93939</v>
      </c>
      <c r="EL58" s="35">
        <v>124835602.26000001</v>
      </c>
      <c r="EM58" s="35"/>
      <c r="EN58" s="35">
        <v>1260965.6793899999</v>
      </c>
      <c r="EO58" s="35">
        <v>1</v>
      </c>
      <c r="EP58" s="35"/>
      <c r="EQ58" s="35"/>
      <c r="ER58" s="85">
        <v>124835602.26000001</v>
      </c>
      <c r="ES58" s="27"/>
      <c r="ET58" s="36">
        <v>126180900</v>
      </c>
      <c r="EU58" s="85">
        <v>126180900</v>
      </c>
      <c r="EV58" s="35"/>
      <c r="EW58" s="35">
        <v>168636948</v>
      </c>
      <c r="EX58" s="35">
        <v>160205100</v>
      </c>
      <c r="EY58" s="35">
        <v>8431848</v>
      </c>
      <c r="EZ58" s="35">
        <v>160205100</v>
      </c>
      <c r="FA58" s="35"/>
      <c r="FB58" s="36"/>
      <c r="FC58" s="35">
        <v>168636948</v>
      </c>
      <c r="FD58" s="35">
        <v>160205100</v>
      </c>
      <c r="FE58" s="35"/>
      <c r="FF58" s="35">
        <v>8431848</v>
      </c>
      <c r="FG58" s="35">
        <v>5</v>
      </c>
      <c r="FH58" s="35"/>
      <c r="FI58" s="35"/>
      <c r="FJ58" s="85">
        <v>160205100</v>
      </c>
      <c r="FK58" s="27"/>
      <c r="FL58" s="36">
        <v>160205100</v>
      </c>
      <c r="FM58" s="85">
        <v>160205100</v>
      </c>
      <c r="FN58" s="35"/>
      <c r="FO58" s="35"/>
      <c r="FP58" s="35"/>
      <c r="FQ58" s="35"/>
      <c r="FR58" s="35"/>
      <c r="FS58" s="35"/>
      <c r="FT58" s="36"/>
      <c r="FU58" s="35"/>
      <c r="FV58" s="35"/>
      <c r="FW58" s="35"/>
      <c r="FX58" s="35"/>
      <c r="FY58" s="35"/>
      <c r="FZ58" s="35"/>
      <c r="GA58" s="35"/>
      <c r="GB58" s="85"/>
      <c r="GC58" s="27"/>
      <c r="GD58" s="36"/>
      <c r="GE58" s="85"/>
      <c r="GF58" s="35"/>
      <c r="GG58" s="35">
        <v>26627789.469999999</v>
      </c>
      <c r="GH58" s="35">
        <v>25296400</v>
      </c>
      <c r="GI58" s="35">
        <v>1331389.47</v>
      </c>
      <c r="GJ58" s="35">
        <v>25296400</v>
      </c>
      <c r="GK58" s="35"/>
      <c r="GL58" s="36"/>
      <c r="GM58" s="35">
        <v>26627789.469999999</v>
      </c>
      <c r="GN58" s="35">
        <v>25296400</v>
      </c>
      <c r="GO58" s="35"/>
      <c r="GP58" s="35">
        <v>1331389.47</v>
      </c>
      <c r="GQ58" s="35">
        <v>5</v>
      </c>
      <c r="GR58" s="35"/>
      <c r="GS58" s="35"/>
      <c r="GT58" s="85">
        <v>25296400</v>
      </c>
      <c r="GU58" s="27"/>
      <c r="GV58" s="36">
        <v>25296400</v>
      </c>
      <c r="GW58" s="85">
        <v>25296400</v>
      </c>
      <c r="GX58" s="35"/>
      <c r="GY58" s="35"/>
      <c r="GZ58" s="35"/>
      <c r="HA58" s="35"/>
      <c r="HB58" s="35"/>
      <c r="HC58" s="35">
        <v>25000</v>
      </c>
      <c r="HD58" s="36"/>
      <c r="HE58" s="35"/>
      <c r="HF58" s="35"/>
      <c r="HG58" s="35"/>
      <c r="HH58" s="35"/>
      <c r="HI58" s="35"/>
      <c r="HJ58" s="35">
        <v>25000</v>
      </c>
      <c r="HK58" s="35"/>
      <c r="HL58" s="85"/>
      <c r="HM58" s="27"/>
      <c r="HN58" s="36"/>
      <c r="HO58" s="85"/>
      <c r="HP58" s="35"/>
      <c r="HQ58" s="35"/>
      <c r="HR58" s="35"/>
      <c r="HS58" s="35"/>
      <c r="HT58" s="35"/>
      <c r="HU58" s="35"/>
      <c r="HV58" s="36"/>
      <c r="HW58" s="35"/>
      <c r="HX58" s="35"/>
      <c r="HY58" s="35"/>
      <c r="HZ58" s="35"/>
      <c r="IA58" s="35"/>
      <c r="IB58" s="35"/>
      <c r="IC58" s="35"/>
      <c r="ID58" s="85"/>
      <c r="IE58" s="27"/>
      <c r="IF58" s="36"/>
      <c r="IG58" s="85"/>
      <c r="IH58" s="35"/>
      <c r="II58" s="35"/>
      <c r="IJ58" s="35"/>
      <c r="IK58" s="35"/>
      <c r="IL58" s="35"/>
      <c r="IM58" s="35"/>
      <c r="IN58" s="36"/>
      <c r="IO58" s="35"/>
      <c r="IP58" s="35"/>
      <c r="IQ58" s="35"/>
      <c r="IR58" s="35"/>
      <c r="IS58" s="35"/>
      <c r="IT58" s="35"/>
      <c r="IU58" s="35"/>
      <c r="IV58" s="85"/>
      <c r="IW58" s="27"/>
      <c r="IX58" s="36"/>
      <c r="IY58" s="85"/>
      <c r="IZ58" s="35"/>
      <c r="JA58" s="35">
        <v>3870850</v>
      </c>
      <c r="JB58" s="35">
        <v>3677300</v>
      </c>
      <c r="JC58" s="35">
        <v>193550</v>
      </c>
      <c r="JD58" s="35">
        <v>3677300</v>
      </c>
      <c r="JE58" s="35"/>
      <c r="JF58" s="36"/>
      <c r="JG58" s="35">
        <v>3870850</v>
      </c>
      <c r="JH58" s="35">
        <v>3677300</v>
      </c>
      <c r="JI58" s="35"/>
      <c r="JJ58" s="35">
        <v>193550</v>
      </c>
      <c r="JK58" s="35">
        <v>5.0001899999999999</v>
      </c>
      <c r="JL58" s="35"/>
      <c r="JM58" s="35"/>
      <c r="JN58" s="85">
        <v>3677300</v>
      </c>
      <c r="JO58" s="27"/>
      <c r="JP58" s="36">
        <v>3677300</v>
      </c>
      <c r="JQ58" s="85">
        <v>3677300</v>
      </c>
      <c r="JR58" s="35"/>
      <c r="JS58" s="35"/>
      <c r="JT58" s="35"/>
      <c r="JU58" s="35"/>
      <c r="JV58" s="35"/>
      <c r="JW58" s="35"/>
      <c r="JX58" s="36"/>
      <c r="JY58" s="35"/>
      <c r="JZ58" s="35"/>
      <c r="KA58" s="35"/>
      <c r="KB58" s="35"/>
      <c r="KC58" s="35"/>
      <c r="KD58" s="35"/>
      <c r="KE58" s="35"/>
      <c r="KF58" s="85"/>
      <c r="KG58" s="27"/>
      <c r="KH58" s="36"/>
      <c r="KI58" s="85"/>
      <c r="KJ58" s="35"/>
      <c r="KK58" s="35">
        <v>2803157.89</v>
      </c>
      <c r="KL58" s="35">
        <v>2663000</v>
      </c>
      <c r="KM58" s="35">
        <v>140157.89000000001</v>
      </c>
      <c r="KN58" s="35">
        <v>2663000</v>
      </c>
      <c r="KO58" s="35"/>
      <c r="KP58" s="36"/>
      <c r="KQ58" s="35">
        <v>2803157.89</v>
      </c>
      <c r="KR58" s="35">
        <v>2663000</v>
      </c>
      <c r="KS58" s="35"/>
      <c r="KT58" s="35">
        <v>140157.89000000001</v>
      </c>
      <c r="KU58" s="35">
        <v>5</v>
      </c>
      <c r="KV58" s="35"/>
      <c r="KW58" s="35"/>
      <c r="KX58" s="85">
        <v>2663000</v>
      </c>
      <c r="KY58" s="27"/>
      <c r="KZ58" s="36">
        <v>2663000</v>
      </c>
      <c r="LA58" s="85">
        <v>2663000</v>
      </c>
      <c r="LB58" s="35"/>
      <c r="LC58" s="35"/>
      <c r="LD58" s="35"/>
      <c r="LE58" s="35"/>
      <c r="LF58" s="35"/>
      <c r="LG58" s="35"/>
      <c r="LH58" s="36"/>
      <c r="LI58" s="35"/>
      <c r="LJ58" s="35"/>
      <c r="LK58" s="35"/>
      <c r="LL58" s="35"/>
      <c r="LM58" s="35"/>
      <c r="LN58" s="35"/>
      <c r="LO58" s="35"/>
      <c r="LP58" s="85"/>
      <c r="LQ58" s="27"/>
      <c r="LR58" s="36"/>
      <c r="LS58" s="85"/>
      <c r="LT58" s="35"/>
      <c r="LU58" s="35">
        <v>22348842.109999999</v>
      </c>
      <c r="LV58" s="35">
        <v>21231400</v>
      </c>
      <c r="LW58" s="35">
        <v>1117442.1100000001</v>
      </c>
      <c r="LX58" s="35">
        <v>21231400</v>
      </c>
      <c r="LY58" s="35"/>
      <c r="LZ58" s="36"/>
      <c r="MA58" s="35">
        <v>22348842.109999999</v>
      </c>
      <c r="MB58" s="35">
        <v>21231400</v>
      </c>
      <c r="MC58" s="35"/>
      <c r="MD58" s="35">
        <v>1117442.1100000001</v>
      </c>
      <c r="ME58" s="35">
        <v>5</v>
      </c>
      <c r="MF58" s="35"/>
      <c r="MG58" s="35"/>
      <c r="MH58" s="85">
        <v>21231400</v>
      </c>
      <c r="MI58" s="27"/>
      <c r="MJ58" s="36">
        <v>21231400</v>
      </c>
      <c r="MK58" s="85">
        <v>21231400</v>
      </c>
      <c r="ML58" s="35"/>
      <c r="MM58" s="35"/>
      <c r="MN58" s="35"/>
      <c r="MO58" s="35"/>
      <c r="MP58" s="35"/>
      <c r="MQ58" s="35"/>
      <c r="MR58" s="36"/>
      <c r="MS58" s="35"/>
      <c r="MT58" s="35"/>
      <c r="MU58" s="35"/>
      <c r="MV58" s="35"/>
      <c r="MW58" s="35"/>
      <c r="MX58" s="35"/>
      <c r="MY58" s="35"/>
      <c r="MZ58" s="85"/>
      <c r="NA58" s="27"/>
      <c r="NB58" s="36"/>
      <c r="NC58" s="85"/>
      <c r="ND58" s="35"/>
      <c r="NE58" s="35">
        <v>1441579</v>
      </c>
      <c r="NF58" s="35">
        <v>1369500</v>
      </c>
      <c r="NG58" s="35">
        <v>72079</v>
      </c>
      <c r="NH58" s="35">
        <v>1369500</v>
      </c>
      <c r="NI58" s="35"/>
      <c r="NJ58" s="36"/>
      <c r="NK58" s="35">
        <v>1441579</v>
      </c>
      <c r="NL58" s="35">
        <v>1369500</v>
      </c>
      <c r="NM58" s="35"/>
      <c r="NN58" s="35">
        <v>72079</v>
      </c>
      <c r="NO58" s="35">
        <v>5</v>
      </c>
      <c r="NP58" s="35"/>
      <c r="NQ58" s="35"/>
      <c r="NR58" s="85">
        <v>1369500</v>
      </c>
      <c r="NS58" s="27"/>
      <c r="NT58" s="36">
        <v>1369500</v>
      </c>
      <c r="NU58" s="85">
        <v>1369500</v>
      </c>
      <c r="NV58" s="35"/>
      <c r="NW58" s="35"/>
      <c r="NX58" s="35"/>
      <c r="NY58" s="35"/>
      <c r="NZ58" s="35"/>
      <c r="OA58" s="35"/>
      <c r="OB58" s="36"/>
      <c r="OC58" s="35"/>
      <c r="OD58" s="35"/>
      <c r="OE58" s="35"/>
      <c r="OF58" s="35"/>
      <c r="OG58" s="35"/>
      <c r="OH58" s="35"/>
      <c r="OI58" s="35"/>
      <c r="OJ58" s="85"/>
      <c r="OK58" s="27"/>
      <c r="OL58" s="36"/>
      <c r="OM58" s="85"/>
      <c r="ON58" s="35"/>
      <c r="OO58" s="35"/>
      <c r="OP58" s="35"/>
      <c r="OQ58" s="35"/>
      <c r="OR58" s="35"/>
      <c r="OS58" s="35">
        <v>850794</v>
      </c>
      <c r="OT58" s="36"/>
      <c r="OU58" s="35"/>
      <c r="OV58" s="35"/>
      <c r="OW58" s="35"/>
      <c r="OX58" s="35"/>
      <c r="OY58" s="35"/>
      <c r="OZ58" s="35">
        <v>850794</v>
      </c>
      <c r="PA58" s="35"/>
      <c r="PB58" s="85"/>
      <c r="PC58" s="27"/>
      <c r="PD58" s="36"/>
      <c r="PE58" s="85"/>
      <c r="PF58" s="35"/>
      <c r="PG58" s="35"/>
      <c r="PH58" s="35"/>
      <c r="PI58" s="35"/>
      <c r="PJ58" s="35"/>
      <c r="PK58" s="35"/>
      <c r="PL58" s="36"/>
      <c r="PM58" s="35"/>
      <c r="PN58" s="35"/>
      <c r="PO58" s="35"/>
      <c r="PP58" s="35"/>
      <c r="PQ58" s="35"/>
      <c r="PR58" s="35"/>
      <c r="PS58" s="35"/>
      <c r="PT58" s="85"/>
      <c r="PU58" s="27"/>
      <c r="PV58" s="36"/>
      <c r="PW58" s="85"/>
      <c r="PX58" s="35"/>
      <c r="PY58" s="35"/>
      <c r="PZ58" s="35"/>
      <c r="QA58" s="35"/>
      <c r="QB58" s="35"/>
      <c r="QC58" s="35"/>
      <c r="QD58" s="36"/>
      <c r="QE58" s="35"/>
      <c r="QF58" s="35"/>
      <c r="QG58" s="35"/>
      <c r="QH58" s="35"/>
      <c r="QI58" s="35"/>
      <c r="QJ58" s="35"/>
      <c r="QK58" s="35"/>
      <c r="QL58" s="85"/>
      <c r="QM58" s="27"/>
      <c r="QN58" s="36"/>
      <c r="QO58" s="85"/>
      <c r="QP58" s="35"/>
      <c r="QQ58" s="35"/>
      <c r="QR58" s="35"/>
      <c r="QS58" s="35"/>
      <c r="QT58" s="35"/>
      <c r="QU58" s="35"/>
      <c r="QV58" s="36"/>
      <c r="QW58" s="35"/>
      <c r="QX58" s="35"/>
      <c r="QY58" s="35"/>
      <c r="QZ58" s="35"/>
      <c r="RA58" s="35"/>
      <c r="RB58" s="35"/>
      <c r="RC58" s="35"/>
      <c r="RD58" s="85"/>
      <c r="RE58" s="27"/>
      <c r="RF58" s="36"/>
      <c r="RG58" s="85"/>
      <c r="RH58" s="35"/>
      <c r="RI58" s="35"/>
      <c r="RJ58" s="35"/>
      <c r="RK58" s="35"/>
      <c r="RL58" s="35"/>
      <c r="RM58" s="35"/>
      <c r="RN58" s="36"/>
      <c r="RO58" s="35"/>
      <c r="RP58" s="35"/>
      <c r="RQ58" s="35"/>
      <c r="RR58" s="35"/>
      <c r="RS58" s="35"/>
      <c r="RT58" s="35"/>
      <c r="RU58" s="35"/>
      <c r="RV58" s="85"/>
      <c r="RW58" s="27"/>
      <c r="RX58" s="36"/>
      <c r="RY58" s="85"/>
      <c r="RZ58" s="35"/>
      <c r="SA58" s="35"/>
      <c r="SB58" s="35"/>
      <c r="SC58" s="35"/>
      <c r="SD58" s="35"/>
      <c r="SE58" s="35"/>
      <c r="SF58" s="36"/>
      <c r="SG58" s="35"/>
      <c r="SH58" s="35"/>
      <c r="SI58" s="35"/>
      <c r="SJ58" s="35"/>
      <c r="SK58" s="35"/>
      <c r="SL58" s="35"/>
      <c r="SM58" s="35"/>
      <c r="SN58" s="85"/>
      <c r="SO58" s="27"/>
      <c r="SP58" s="36"/>
      <c r="SQ58" s="85"/>
      <c r="SR58" s="35"/>
      <c r="SS58" s="35"/>
      <c r="ST58" s="35"/>
      <c r="SU58" s="35"/>
      <c r="SV58" s="35"/>
      <c r="SW58" s="35"/>
      <c r="SX58" s="36"/>
      <c r="SY58" s="35"/>
      <c r="SZ58" s="35"/>
      <c r="TA58" s="35"/>
      <c r="TB58" s="35"/>
      <c r="TC58" s="35"/>
      <c r="TD58" s="35"/>
      <c r="TE58" s="35"/>
      <c r="TF58" s="85"/>
      <c r="TG58" s="27"/>
      <c r="TH58" s="36"/>
      <c r="TI58" s="85"/>
      <c r="TJ58" s="35"/>
      <c r="TK58" s="35"/>
      <c r="TL58" s="35"/>
      <c r="TM58" s="35"/>
      <c r="TN58" s="35"/>
      <c r="TO58" s="35"/>
      <c r="TP58" s="36"/>
      <c r="TQ58" s="35"/>
      <c r="TR58" s="35"/>
      <c r="TS58" s="35"/>
      <c r="TT58" s="35"/>
      <c r="TU58" s="35"/>
      <c r="TV58" s="35"/>
      <c r="TW58" s="35"/>
      <c r="TX58" s="85"/>
      <c r="TY58" s="27"/>
      <c r="TZ58" s="36"/>
      <c r="UA58" s="85"/>
      <c r="UB58" s="35"/>
      <c r="UC58" s="35">
        <v>13337300</v>
      </c>
      <c r="UD58" s="35">
        <v>13337300</v>
      </c>
      <c r="UE58" s="35"/>
      <c r="UF58" s="35">
        <v>13337300</v>
      </c>
      <c r="UG58" s="35"/>
      <c r="UH58" s="36"/>
      <c r="UI58" s="35">
        <v>13337300</v>
      </c>
      <c r="UJ58" s="35">
        <v>13337300</v>
      </c>
      <c r="UK58" s="35"/>
      <c r="UL58" s="35"/>
      <c r="UM58" s="35"/>
      <c r="UN58" s="35"/>
      <c r="UO58" s="35"/>
      <c r="UP58" s="85">
        <v>13337300</v>
      </c>
      <c r="UQ58" s="27"/>
      <c r="UR58" s="36">
        <v>13337300</v>
      </c>
      <c r="US58" s="85">
        <v>13337300</v>
      </c>
    </row>
    <row r="59" spans="1:565" x14ac:dyDescent="0.3">
      <c r="A59" s="14" t="s">
        <v>114</v>
      </c>
      <c r="B59" s="168">
        <v>45</v>
      </c>
      <c r="C59" s="16" t="s">
        <v>115</v>
      </c>
      <c r="F59" s="36">
        <v>1768561500</v>
      </c>
      <c r="G59" s="85"/>
      <c r="H59" s="35"/>
      <c r="I59" s="35">
        <v>162217419.34999999</v>
      </c>
      <c r="J59" s="35">
        <v>150862200</v>
      </c>
      <c r="K59" s="35">
        <v>11355219.35</v>
      </c>
      <c r="L59" s="35">
        <v>150862200</v>
      </c>
      <c r="M59" s="35"/>
      <c r="N59" s="36"/>
      <c r="O59" s="35">
        <v>162217419.34999999</v>
      </c>
      <c r="P59" s="35">
        <v>150862200</v>
      </c>
      <c r="Q59" s="35"/>
      <c r="R59" s="35">
        <v>11355219.35</v>
      </c>
      <c r="S59" s="35">
        <v>7</v>
      </c>
      <c r="T59" s="35"/>
      <c r="U59" s="35"/>
      <c r="V59" s="85">
        <v>150862200</v>
      </c>
      <c r="W59" s="27"/>
      <c r="X59" s="36">
        <v>150862200</v>
      </c>
      <c r="Y59" s="85">
        <v>150862200</v>
      </c>
      <c r="Z59" s="35"/>
      <c r="AA59" s="35">
        <v>68551935.480000004</v>
      </c>
      <c r="AB59" s="35">
        <v>63753300</v>
      </c>
      <c r="AC59" s="35">
        <v>4798635.4800000004</v>
      </c>
      <c r="AD59" s="35">
        <v>63753300</v>
      </c>
      <c r="AE59" s="35">
        <v>160000</v>
      </c>
      <c r="AF59" s="36"/>
      <c r="AG59" s="35">
        <v>68551935.480000004</v>
      </c>
      <c r="AH59" s="35">
        <v>63753300</v>
      </c>
      <c r="AI59" s="35"/>
      <c r="AJ59" s="35">
        <v>4798635.4800000004</v>
      </c>
      <c r="AK59" s="35">
        <v>7</v>
      </c>
      <c r="AL59" s="35">
        <v>160000</v>
      </c>
      <c r="AM59" s="35"/>
      <c r="AN59" s="85">
        <v>63753300</v>
      </c>
      <c r="AO59" s="27"/>
      <c r="AP59" s="36">
        <v>63753300</v>
      </c>
      <c r="AQ59" s="85">
        <v>63753300</v>
      </c>
      <c r="AR59" s="35"/>
      <c r="AS59" s="35">
        <v>998963870.97000003</v>
      </c>
      <c r="AT59" s="35">
        <v>929036400</v>
      </c>
      <c r="AU59" s="35">
        <v>69927470.969999999</v>
      </c>
      <c r="AV59" s="35">
        <v>929036400</v>
      </c>
      <c r="AW59" s="35">
        <v>3343365.67</v>
      </c>
      <c r="AX59" s="36"/>
      <c r="AY59" s="35">
        <v>998963870.97000003</v>
      </c>
      <c r="AZ59" s="35">
        <v>929036400</v>
      </c>
      <c r="BA59" s="35"/>
      <c r="BB59" s="35">
        <v>69927470.969999999</v>
      </c>
      <c r="BC59" s="35">
        <v>7</v>
      </c>
      <c r="BD59" s="35">
        <v>3343365.67</v>
      </c>
      <c r="BE59" s="35"/>
      <c r="BF59" s="85">
        <v>929036400</v>
      </c>
      <c r="BG59" s="27"/>
      <c r="BH59" s="36">
        <v>929036400</v>
      </c>
      <c r="BI59" s="85">
        <v>929036400</v>
      </c>
      <c r="BJ59" s="35"/>
      <c r="BK59" s="35">
        <v>28588444.149999999</v>
      </c>
      <c r="BL59" s="35">
        <v>22102100</v>
      </c>
      <c r="BM59" s="35">
        <v>6486344.1500000004</v>
      </c>
      <c r="BN59" s="35">
        <v>22102100</v>
      </c>
      <c r="BO59" s="35"/>
      <c r="BP59" s="36"/>
      <c r="BQ59" s="35">
        <v>28588444.149999999</v>
      </c>
      <c r="BR59" s="35">
        <v>22102100</v>
      </c>
      <c r="BS59" s="35"/>
      <c r="BT59" s="35">
        <v>6486344.1500000004</v>
      </c>
      <c r="BU59" s="35">
        <v>22.688690000000001</v>
      </c>
      <c r="BV59" s="35"/>
      <c r="BW59" s="35"/>
      <c r="BX59" s="85">
        <v>22102100</v>
      </c>
      <c r="BY59" s="27"/>
      <c r="BZ59" s="36">
        <v>22102100</v>
      </c>
      <c r="CA59" s="85">
        <v>22102100</v>
      </c>
      <c r="CB59" s="35"/>
      <c r="CC59" s="35">
        <v>312073548.38999999</v>
      </c>
      <c r="CD59" s="35">
        <v>290228400</v>
      </c>
      <c r="CE59" s="35">
        <v>21845148.390000001</v>
      </c>
      <c r="CF59" s="35">
        <v>290228400</v>
      </c>
      <c r="CG59" s="35"/>
      <c r="CH59" s="36"/>
      <c r="CI59" s="35">
        <v>312073548.38999999</v>
      </c>
      <c r="CJ59" s="35">
        <v>290228400</v>
      </c>
      <c r="CK59" s="35"/>
      <c r="CL59" s="35">
        <v>21845148.390000001</v>
      </c>
      <c r="CM59" s="35">
        <v>7</v>
      </c>
      <c r="CN59" s="35"/>
      <c r="CO59" s="35"/>
      <c r="CP59" s="85">
        <v>290228400</v>
      </c>
      <c r="CQ59" s="27"/>
      <c r="CR59" s="36">
        <v>290228400</v>
      </c>
      <c r="CS59" s="85">
        <v>290228400</v>
      </c>
      <c r="CT59" s="35"/>
      <c r="CU59" s="35">
        <v>112566666.66</v>
      </c>
      <c r="CV59" s="35">
        <v>111441000</v>
      </c>
      <c r="CW59" s="35">
        <v>1125666.6599999999</v>
      </c>
      <c r="CX59" s="35">
        <v>111441000</v>
      </c>
      <c r="CY59" s="35"/>
      <c r="CZ59" s="36"/>
      <c r="DA59" s="35">
        <v>112566666.66</v>
      </c>
      <c r="DB59" s="35">
        <v>111441000</v>
      </c>
      <c r="DC59" s="35"/>
      <c r="DD59" s="35">
        <v>1125666.6599999999</v>
      </c>
      <c r="DE59" s="35">
        <v>1</v>
      </c>
      <c r="DF59" s="35"/>
      <c r="DG59" s="35"/>
      <c r="DH59" s="85">
        <v>111441000</v>
      </c>
      <c r="DI59" s="27"/>
      <c r="DJ59" s="36">
        <v>111441000</v>
      </c>
      <c r="DK59" s="85">
        <v>111441000</v>
      </c>
      <c r="DL59" s="35"/>
      <c r="DM59" s="35">
        <v>16387831.5</v>
      </c>
      <c r="DN59" s="35">
        <v>16306300</v>
      </c>
      <c r="DO59" s="35">
        <v>81531.5</v>
      </c>
      <c r="DP59" s="35">
        <v>16306300</v>
      </c>
      <c r="DQ59" s="35"/>
      <c r="DR59" s="36"/>
      <c r="DS59" s="35">
        <v>16387831.5</v>
      </c>
      <c r="DT59" s="35">
        <v>16306300</v>
      </c>
      <c r="DU59" s="35"/>
      <c r="DV59" s="35">
        <v>81531.5</v>
      </c>
      <c r="DW59" s="35">
        <v>0.49751000000000001</v>
      </c>
      <c r="DX59" s="35"/>
      <c r="DY59" s="35"/>
      <c r="DZ59" s="85">
        <v>16306300</v>
      </c>
      <c r="EA59" s="27"/>
      <c r="EB59" s="36">
        <v>16306300</v>
      </c>
      <c r="EC59" s="85">
        <v>16306300</v>
      </c>
      <c r="ED59" s="35"/>
      <c r="EE59" s="35">
        <v>140050610</v>
      </c>
      <c r="EF59" s="35">
        <v>138650100</v>
      </c>
      <c r="EG59" s="35">
        <v>1400510</v>
      </c>
      <c r="EH59" s="35">
        <v>138650100</v>
      </c>
      <c r="EI59" s="35"/>
      <c r="EJ59" s="36"/>
      <c r="EK59" s="35">
        <v>140050610</v>
      </c>
      <c r="EL59" s="35">
        <v>138650100</v>
      </c>
      <c r="EM59" s="35"/>
      <c r="EN59" s="35">
        <v>1400510</v>
      </c>
      <c r="EO59" s="35">
        <v>1</v>
      </c>
      <c r="EP59" s="35"/>
      <c r="EQ59" s="35"/>
      <c r="ER59" s="85">
        <v>138650100</v>
      </c>
      <c r="ES59" s="27"/>
      <c r="ET59" s="36">
        <v>138650100</v>
      </c>
      <c r="EU59" s="85">
        <v>138650100</v>
      </c>
      <c r="EV59" s="35"/>
      <c r="EW59" s="35">
        <v>10951935.48</v>
      </c>
      <c r="EX59" s="35">
        <v>10185300</v>
      </c>
      <c r="EY59" s="35">
        <v>766635.48</v>
      </c>
      <c r="EZ59" s="35">
        <v>10185300</v>
      </c>
      <c r="FA59" s="35"/>
      <c r="FB59" s="36"/>
      <c r="FC59" s="35">
        <v>10951935.48</v>
      </c>
      <c r="FD59" s="35">
        <v>10185300</v>
      </c>
      <c r="FE59" s="35"/>
      <c r="FF59" s="35">
        <v>766635.48</v>
      </c>
      <c r="FG59" s="35">
        <v>7</v>
      </c>
      <c r="FH59" s="35"/>
      <c r="FI59" s="35"/>
      <c r="FJ59" s="85">
        <v>10185300</v>
      </c>
      <c r="FK59" s="27"/>
      <c r="FL59" s="36">
        <v>10185300</v>
      </c>
      <c r="FM59" s="85">
        <v>10185300</v>
      </c>
      <c r="FN59" s="35"/>
      <c r="FO59" s="35"/>
      <c r="FP59" s="35"/>
      <c r="FQ59" s="35"/>
      <c r="FR59" s="35"/>
      <c r="FS59" s="35"/>
      <c r="FT59" s="36"/>
      <c r="FU59" s="35"/>
      <c r="FV59" s="35"/>
      <c r="FW59" s="35"/>
      <c r="FX59" s="35"/>
      <c r="FY59" s="35"/>
      <c r="FZ59" s="35"/>
      <c r="GA59" s="35"/>
      <c r="GB59" s="85"/>
      <c r="GC59" s="27"/>
      <c r="GD59" s="36"/>
      <c r="GE59" s="85"/>
      <c r="GF59" s="35"/>
      <c r="GG59" s="35">
        <v>22063010.75</v>
      </c>
      <c r="GH59" s="35">
        <v>20518600</v>
      </c>
      <c r="GI59" s="35">
        <v>1544410.75</v>
      </c>
      <c r="GJ59" s="35">
        <v>20518600</v>
      </c>
      <c r="GK59" s="35"/>
      <c r="GL59" s="36"/>
      <c r="GM59" s="35">
        <v>22063010.75</v>
      </c>
      <c r="GN59" s="35">
        <v>20518600</v>
      </c>
      <c r="GO59" s="35"/>
      <c r="GP59" s="35">
        <v>1544410.75</v>
      </c>
      <c r="GQ59" s="35">
        <v>7</v>
      </c>
      <c r="GR59" s="35"/>
      <c r="GS59" s="35"/>
      <c r="GT59" s="85">
        <v>20518600</v>
      </c>
      <c r="GU59" s="27"/>
      <c r="GV59" s="36">
        <v>20518600</v>
      </c>
      <c r="GW59" s="85">
        <v>20518600</v>
      </c>
      <c r="GX59" s="35"/>
      <c r="GY59" s="35"/>
      <c r="GZ59" s="35"/>
      <c r="HA59" s="35"/>
      <c r="HB59" s="35"/>
      <c r="HC59" s="35"/>
      <c r="HD59" s="36"/>
      <c r="HE59" s="35"/>
      <c r="HF59" s="35"/>
      <c r="HG59" s="35"/>
      <c r="HH59" s="35"/>
      <c r="HI59" s="35"/>
      <c r="HJ59" s="35"/>
      <c r="HK59" s="35"/>
      <c r="HL59" s="85"/>
      <c r="HM59" s="27"/>
      <c r="HN59" s="36"/>
      <c r="HO59" s="85"/>
      <c r="HP59" s="35"/>
      <c r="HQ59" s="35"/>
      <c r="HR59" s="35"/>
      <c r="HS59" s="35"/>
      <c r="HT59" s="35"/>
      <c r="HU59" s="35"/>
      <c r="HV59" s="36"/>
      <c r="HW59" s="35"/>
      <c r="HX59" s="35"/>
      <c r="HY59" s="35"/>
      <c r="HZ59" s="35"/>
      <c r="IA59" s="35"/>
      <c r="IB59" s="35"/>
      <c r="IC59" s="35"/>
      <c r="ID59" s="85"/>
      <c r="IE59" s="27"/>
      <c r="IF59" s="36"/>
      <c r="IG59" s="85"/>
      <c r="IH59" s="35"/>
      <c r="II59" s="35"/>
      <c r="IJ59" s="35"/>
      <c r="IK59" s="35"/>
      <c r="IL59" s="35"/>
      <c r="IM59" s="35"/>
      <c r="IN59" s="36"/>
      <c r="IO59" s="35"/>
      <c r="IP59" s="35"/>
      <c r="IQ59" s="35"/>
      <c r="IR59" s="35"/>
      <c r="IS59" s="35"/>
      <c r="IT59" s="35"/>
      <c r="IU59" s="35"/>
      <c r="IV59" s="85"/>
      <c r="IW59" s="27"/>
      <c r="IX59" s="36"/>
      <c r="IY59" s="85"/>
      <c r="IZ59" s="35"/>
      <c r="JA59" s="35">
        <v>5574408.5999999996</v>
      </c>
      <c r="JB59" s="35">
        <v>5184200</v>
      </c>
      <c r="JC59" s="35">
        <v>390208.6</v>
      </c>
      <c r="JD59" s="35">
        <v>5083772.87</v>
      </c>
      <c r="JE59" s="35"/>
      <c r="JF59" s="36"/>
      <c r="JG59" s="35">
        <v>5466422.4299999997</v>
      </c>
      <c r="JH59" s="35">
        <v>5083772.87</v>
      </c>
      <c r="JI59" s="35"/>
      <c r="JJ59" s="35">
        <v>382649.56</v>
      </c>
      <c r="JK59" s="35">
        <v>7</v>
      </c>
      <c r="JL59" s="35"/>
      <c r="JM59" s="35"/>
      <c r="JN59" s="85">
        <v>5083772.87</v>
      </c>
      <c r="JO59" s="27"/>
      <c r="JP59" s="36">
        <v>5184200</v>
      </c>
      <c r="JQ59" s="85">
        <v>5184200</v>
      </c>
      <c r="JR59" s="35"/>
      <c r="JS59" s="35"/>
      <c r="JT59" s="35"/>
      <c r="JU59" s="35"/>
      <c r="JV59" s="35"/>
      <c r="JW59" s="35"/>
      <c r="JX59" s="36"/>
      <c r="JY59" s="35"/>
      <c r="JZ59" s="35"/>
      <c r="KA59" s="35"/>
      <c r="KB59" s="35"/>
      <c r="KC59" s="35"/>
      <c r="KD59" s="35"/>
      <c r="KE59" s="35"/>
      <c r="KF59" s="85"/>
      <c r="KG59" s="27"/>
      <c r="KH59" s="36"/>
      <c r="KI59" s="85"/>
      <c r="KJ59" s="35"/>
      <c r="KK59" s="35">
        <v>3446344.09</v>
      </c>
      <c r="KL59" s="35">
        <v>3205100</v>
      </c>
      <c r="KM59" s="35">
        <v>241244.09</v>
      </c>
      <c r="KN59" s="35">
        <v>3205100</v>
      </c>
      <c r="KO59" s="35"/>
      <c r="KP59" s="36"/>
      <c r="KQ59" s="35">
        <v>3446344.09</v>
      </c>
      <c r="KR59" s="35">
        <v>3205100</v>
      </c>
      <c r="KS59" s="35"/>
      <c r="KT59" s="35">
        <v>241244.09</v>
      </c>
      <c r="KU59" s="35">
        <v>7</v>
      </c>
      <c r="KV59" s="35"/>
      <c r="KW59" s="35"/>
      <c r="KX59" s="85">
        <v>3205100</v>
      </c>
      <c r="KY59" s="27"/>
      <c r="KZ59" s="36">
        <v>3205100</v>
      </c>
      <c r="LA59" s="85">
        <v>3205100</v>
      </c>
      <c r="LB59" s="35"/>
      <c r="LC59" s="35"/>
      <c r="LD59" s="35"/>
      <c r="LE59" s="35"/>
      <c r="LF59" s="35"/>
      <c r="LG59" s="35"/>
      <c r="LH59" s="36"/>
      <c r="LI59" s="35"/>
      <c r="LJ59" s="35"/>
      <c r="LK59" s="35"/>
      <c r="LL59" s="35"/>
      <c r="LM59" s="35"/>
      <c r="LN59" s="35"/>
      <c r="LO59" s="35"/>
      <c r="LP59" s="85"/>
      <c r="LQ59" s="27"/>
      <c r="LR59" s="36"/>
      <c r="LS59" s="85"/>
      <c r="LT59" s="35"/>
      <c r="LU59" s="35"/>
      <c r="LV59" s="35"/>
      <c r="LW59" s="35"/>
      <c r="LX59" s="35"/>
      <c r="LY59" s="35"/>
      <c r="LZ59" s="36"/>
      <c r="MA59" s="35"/>
      <c r="MB59" s="35"/>
      <c r="MC59" s="35"/>
      <c r="MD59" s="35"/>
      <c r="ME59" s="35"/>
      <c r="MF59" s="35"/>
      <c r="MG59" s="35"/>
      <c r="MH59" s="85"/>
      <c r="MI59" s="27"/>
      <c r="MJ59" s="36"/>
      <c r="MK59" s="85"/>
      <c r="ML59" s="35"/>
      <c r="MM59" s="35"/>
      <c r="MN59" s="35"/>
      <c r="MO59" s="35"/>
      <c r="MP59" s="35"/>
      <c r="MQ59" s="35"/>
      <c r="MR59" s="36"/>
      <c r="MS59" s="35"/>
      <c r="MT59" s="35"/>
      <c r="MU59" s="35"/>
      <c r="MV59" s="35"/>
      <c r="MW59" s="35"/>
      <c r="MX59" s="35"/>
      <c r="MY59" s="35"/>
      <c r="MZ59" s="85"/>
      <c r="NA59" s="27"/>
      <c r="NB59" s="36"/>
      <c r="NC59" s="85"/>
      <c r="ND59" s="35"/>
      <c r="NE59" s="35"/>
      <c r="NF59" s="35"/>
      <c r="NG59" s="35"/>
      <c r="NH59" s="35"/>
      <c r="NI59" s="35"/>
      <c r="NJ59" s="36"/>
      <c r="NK59" s="35"/>
      <c r="NL59" s="35"/>
      <c r="NM59" s="35"/>
      <c r="NN59" s="35"/>
      <c r="NO59" s="35"/>
      <c r="NP59" s="35"/>
      <c r="NQ59" s="35"/>
      <c r="NR59" s="85"/>
      <c r="NS59" s="27"/>
      <c r="NT59" s="36"/>
      <c r="NU59" s="85"/>
      <c r="NV59" s="35"/>
      <c r="NW59" s="35"/>
      <c r="NX59" s="35"/>
      <c r="NY59" s="35"/>
      <c r="NZ59" s="35"/>
      <c r="OA59" s="35"/>
      <c r="OB59" s="36"/>
      <c r="OC59" s="35"/>
      <c r="OD59" s="35"/>
      <c r="OE59" s="35"/>
      <c r="OF59" s="35"/>
      <c r="OG59" s="35"/>
      <c r="OH59" s="35"/>
      <c r="OI59" s="35"/>
      <c r="OJ59" s="85"/>
      <c r="OK59" s="27"/>
      <c r="OL59" s="36"/>
      <c r="OM59" s="85"/>
      <c r="ON59" s="35"/>
      <c r="OO59" s="35"/>
      <c r="OP59" s="35"/>
      <c r="OQ59" s="35"/>
      <c r="OR59" s="35"/>
      <c r="OS59" s="35">
        <v>2212083.2999999998</v>
      </c>
      <c r="OT59" s="36"/>
      <c r="OU59" s="35"/>
      <c r="OV59" s="35"/>
      <c r="OW59" s="35"/>
      <c r="OX59" s="35"/>
      <c r="OY59" s="35"/>
      <c r="OZ59" s="35">
        <v>2212083.2999999998</v>
      </c>
      <c r="PA59" s="35"/>
      <c r="PB59" s="85"/>
      <c r="PC59" s="27"/>
      <c r="PD59" s="36"/>
      <c r="PE59" s="85"/>
      <c r="PF59" s="35"/>
      <c r="PG59" s="35"/>
      <c r="PH59" s="35"/>
      <c r="PI59" s="35"/>
      <c r="PJ59" s="35"/>
      <c r="PK59" s="35"/>
      <c r="PL59" s="36"/>
      <c r="PM59" s="35"/>
      <c r="PN59" s="35"/>
      <c r="PO59" s="35"/>
      <c r="PP59" s="35"/>
      <c r="PQ59" s="35"/>
      <c r="PR59" s="35"/>
      <c r="PS59" s="35"/>
      <c r="PT59" s="85"/>
      <c r="PU59" s="27"/>
      <c r="PV59" s="36"/>
      <c r="PW59" s="85"/>
      <c r="PX59" s="35"/>
      <c r="PY59" s="35">
        <v>7461578.9500000002</v>
      </c>
      <c r="PZ59" s="35">
        <v>7088500</v>
      </c>
      <c r="QA59" s="35">
        <v>373078.95</v>
      </c>
      <c r="QB59" s="35">
        <v>7088500</v>
      </c>
      <c r="QC59" s="35"/>
      <c r="QD59" s="36"/>
      <c r="QE59" s="35">
        <v>7461578.9500000002</v>
      </c>
      <c r="QF59" s="35">
        <v>7088500</v>
      </c>
      <c r="QG59" s="35"/>
      <c r="QH59" s="35">
        <v>373078.95</v>
      </c>
      <c r="QI59" s="35">
        <v>5</v>
      </c>
      <c r="QJ59" s="35"/>
      <c r="QK59" s="35"/>
      <c r="QL59" s="85">
        <v>7088500</v>
      </c>
      <c r="QM59" s="27"/>
      <c r="QN59" s="36">
        <v>7088500</v>
      </c>
      <c r="QO59" s="85">
        <v>7088500</v>
      </c>
      <c r="QP59" s="35"/>
      <c r="QQ59" s="35"/>
      <c r="QR59" s="35"/>
      <c r="QS59" s="35"/>
      <c r="QT59" s="35"/>
      <c r="QU59" s="35"/>
      <c r="QV59" s="36"/>
      <c r="QW59" s="35"/>
      <c r="QX59" s="35"/>
      <c r="QY59" s="35"/>
      <c r="QZ59" s="35"/>
      <c r="RA59" s="35"/>
      <c r="RB59" s="35"/>
      <c r="RC59" s="35"/>
      <c r="RD59" s="85"/>
      <c r="RE59" s="27"/>
      <c r="RF59" s="36"/>
      <c r="RG59" s="85"/>
      <c r="RH59" s="35"/>
      <c r="RI59" s="35"/>
      <c r="RJ59" s="35"/>
      <c r="RK59" s="35"/>
      <c r="RL59" s="35"/>
      <c r="RM59" s="35"/>
      <c r="RN59" s="36"/>
      <c r="RO59" s="35"/>
      <c r="RP59" s="35"/>
      <c r="RQ59" s="35"/>
      <c r="RR59" s="35"/>
      <c r="RS59" s="35"/>
      <c r="RT59" s="35"/>
      <c r="RU59" s="35"/>
      <c r="RV59" s="85"/>
      <c r="RW59" s="27"/>
      <c r="RX59" s="36"/>
      <c r="RY59" s="85"/>
      <c r="RZ59" s="35"/>
      <c r="SA59" s="35"/>
      <c r="SB59" s="35"/>
      <c r="SC59" s="35"/>
      <c r="SD59" s="35"/>
      <c r="SE59" s="35"/>
      <c r="SF59" s="36"/>
      <c r="SG59" s="35"/>
      <c r="SH59" s="35"/>
      <c r="SI59" s="35"/>
      <c r="SJ59" s="35"/>
      <c r="SK59" s="35"/>
      <c r="SL59" s="35"/>
      <c r="SM59" s="35"/>
      <c r="SN59" s="85"/>
      <c r="SO59" s="27"/>
      <c r="SP59" s="36"/>
      <c r="SQ59" s="85"/>
      <c r="SR59" s="35"/>
      <c r="SS59" s="35"/>
      <c r="ST59" s="35"/>
      <c r="SU59" s="35"/>
      <c r="SV59" s="35"/>
      <c r="SW59" s="35"/>
      <c r="SX59" s="36"/>
      <c r="SY59" s="35"/>
      <c r="SZ59" s="35"/>
      <c r="TA59" s="35"/>
      <c r="TB59" s="35"/>
      <c r="TC59" s="35"/>
      <c r="TD59" s="35"/>
      <c r="TE59" s="35"/>
      <c r="TF59" s="85"/>
      <c r="TG59" s="27"/>
      <c r="TH59" s="36"/>
      <c r="TI59" s="85"/>
      <c r="TJ59" s="35"/>
      <c r="TK59" s="35"/>
      <c r="TL59" s="35"/>
      <c r="TM59" s="35"/>
      <c r="TN59" s="35"/>
      <c r="TO59" s="35"/>
      <c r="TP59" s="36"/>
      <c r="TQ59" s="35"/>
      <c r="TR59" s="35"/>
      <c r="TS59" s="35"/>
      <c r="TT59" s="35"/>
      <c r="TU59" s="35"/>
      <c r="TV59" s="35"/>
      <c r="TW59" s="35"/>
      <c r="TX59" s="85"/>
      <c r="TY59" s="27"/>
      <c r="TZ59" s="36"/>
      <c r="UA59" s="85"/>
      <c r="UB59" s="35"/>
      <c r="UC59" s="35"/>
      <c r="UD59" s="35"/>
      <c r="UE59" s="35"/>
      <c r="UF59" s="35"/>
      <c r="UG59" s="35"/>
      <c r="UH59" s="36"/>
      <c r="UI59" s="35"/>
      <c r="UJ59" s="35"/>
      <c r="UK59" s="35"/>
      <c r="UL59" s="35"/>
      <c r="UM59" s="35"/>
      <c r="UN59" s="35"/>
      <c r="UO59" s="35"/>
      <c r="UP59" s="85"/>
      <c r="UQ59" s="27"/>
      <c r="UR59" s="36"/>
      <c r="US59" s="85"/>
    </row>
    <row r="60" spans="1:565" ht="26.4" x14ac:dyDescent="0.3">
      <c r="A60" s="14" t="s">
        <v>116</v>
      </c>
      <c r="B60" s="170">
        <v>46</v>
      </c>
      <c r="C60" s="16" t="s">
        <v>117</v>
      </c>
      <c r="F60" s="36">
        <v>1030653500</v>
      </c>
      <c r="G60" s="85"/>
      <c r="H60" s="35"/>
      <c r="I60" s="35">
        <v>42423700</v>
      </c>
      <c r="J60" s="35">
        <v>40302500</v>
      </c>
      <c r="K60" s="35">
        <v>2121200</v>
      </c>
      <c r="L60" s="35">
        <v>40302500</v>
      </c>
      <c r="M60" s="35"/>
      <c r="N60" s="36"/>
      <c r="O60" s="35">
        <v>42423700</v>
      </c>
      <c r="P60" s="35">
        <v>40302500</v>
      </c>
      <c r="Q60" s="35"/>
      <c r="R60" s="35">
        <v>2121200</v>
      </c>
      <c r="S60" s="35">
        <v>5.0000400000000003</v>
      </c>
      <c r="T60" s="35"/>
      <c r="U60" s="35"/>
      <c r="V60" s="85">
        <v>40302500</v>
      </c>
      <c r="W60" s="27"/>
      <c r="X60" s="36">
        <v>40302500</v>
      </c>
      <c r="Y60" s="85">
        <v>40302500</v>
      </c>
      <c r="Z60" s="35"/>
      <c r="AA60" s="35">
        <v>27967900</v>
      </c>
      <c r="AB60" s="35">
        <v>26569500</v>
      </c>
      <c r="AC60" s="35">
        <v>1398400</v>
      </c>
      <c r="AD60" s="35">
        <v>26569500</v>
      </c>
      <c r="AE60" s="35"/>
      <c r="AF60" s="36"/>
      <c r="AG60" s="35">
        <v>27967900</v>
      </c>
      <c r="AH60" s="35">
        <v>26569500</v>
      </c>
      <c r="AI60" s="35"/>
      <c r="AJ60" s="35">
        <v>1398400</v>
      </c>
      <c r="AK60" s="35">
        <v>5.0000200000000001</v>
      </c>
      <c r="AL60" s="35"/>
      <c r="AM60" s="35"/>
      <c r="AN60" s="85">
        <v>26569500</v>
      </c>
      <c r="AO60" s="27"/>
      <c r="AP60" s="36">
        <v>26569500</v>
      </c>
      <c r="AQ60" s="85">
        <v>26569500</v>
      </c>
      <c r="AR60" s="35"/>
      <c r="AS60" s="35">
        <v>604292500</v>
      </c>
      <c r="AT60" s="35">
        <v>574077800</v>
      </c>
      <c r="AU60" s="35">
        <v>30214700</v>
      </c>
      <c r="AV60" s="35">
        <v>574077800</v>
      </c>
      <c r="AW60" s="35">
        <v>2514901.67</v>
      </c>
      <c r="AX60" s="36"/>
      <c r="AY60" s="35">
        <v>604292499.83000004</v>
      </c>
      <c r="AZ60" s="35">
        <v>574077800</v>
      </c>
      <c r="BA60" s="35"/>
      <c r="BB60" s="35">
        <v>30214699.829999998</v>
      </c>
      <c r="BC60" s="35">
        <v>5.0000099999999996</v>
      </c>
      <c r="BD60" s="35">
        <v>2514901.67</v>
      </c>
      <c r="BE60" s="35"/>
      <c r="BF60" s="85">
        <v>574077800</v>
      </c>
      <c r="BG60" s="27"/>
      <c r="BH60" s="36">
        <v>574077800</v>
      </c>
      <c r="BI60" s="85">
        <v>574077800</v>
      </c>
      <c r="BJ60" s="35"/>
      <c r="BK60" s="35">
        <v>15149789.48</v>
      </c>
      <c r="BL60" s="35">
        <v>14392300</v>
      </c>
      <c r="BM60" s="35">
        <v>757489.48</v>
      </c>
      <c r="BN60" s="35">
        <v>14392300</v>
      </c>
      <c r="BO60" s="35"/>
      <c r="BP60" s="36"/>
      <c r="BQ60" s="35">
        <v>15149789.48</v>
      </c>
      <c r="BR60" s="35">
        <v>14392300</v>
      </c>
      <c r="BS60" s="35"/>
      <c r="BT60" s="35">
        <v>757489.48</v>
      </c>
      <c r="BU60" s="35">
        <v>5</v>
      </c>
      <c r="BV60" s="35"/>
      <c r="BW60" s="35"/>
      <c r="BX60" s="85">
        <v>14392300</v>
      </c>
      <c r="BY60" s="27"/>
      <c r="BZ60" s="36">
        <v>14392300</v>
      </c>
      <c r="CA60" s="85">
        <v>14392300</v>
      </c>
      <c r="CB60" s="35"/>
      <c r="CC60" s="35">
        <v>52386000</v>
      </c>
      <c r="CD60" s="35">
        <v>49766700</v>
      </c>
      <c r="CE60" s="35">
        <v>2619300</v>
      </c>
      <c r="CF60" s="35">
        <v>49766700</v>
      </c>
      <c r="CG60" s="35"/>
      <c r="CH60" s="36"/>
      <c r="CI60" s="35">
        <v>52386000</v>
      </c>
      <c r="CJ60" s="35">
        <v>49766700</v>
      </c>
      <c r="CK60" s="35"/>
      <c r="CL60" s="35">
        <v>2619300</v>
      </c>
      <c r="CM60" s="35">
        <v>5</v>
      </c>
      <c r="CN60" s="35"/>
      <c r="CO60" s="35"/>
      <c r="CP60" s="85">
        <v>49766700</v>
      </c>
      <c r="CQ60" s="27"/>
      <c r="CR60" s="36">
        <v>49766700</v>
      </c>
      <c r="CS60" s="85">
        <v>49766700</v>
      </c>
      <c r="CT60" s="35"/>
      <c r="CU60" s="35"/>
      <c r="CV60" s="35"/>
      <c r="CW60" s="35"/>
      <c r="CX60" s="35"/>
      <c r="CY60" s="35"/>
      <c r="CZ60" s="36"/>
      <c r="DA60" s="35"/>
      <c r="DB60" s="35"/>
      <c r="DC60" s="35"/>
      <c r="DD60" s="35"/>
      <c r="DE60" s="35"/>
      <c r="DF60" s="35"/>
      <c r="DG60" s="35"/>
      <c r="DH60" s="85"/>
      <c r="DI60" s="27"/>
      <c r="DJ60" s="36"/>
      <c r="DK60" s="85"/>
      <c r="DL60" s="35"/>
      <c r="DM60" s="35"/>
      <c r="DN60" s="35"/>
      <c r="DO60" s="35"/>
      <c r="DP60" s="35"/>
      <c r="DQ60" s="35"/>
      <c r="DR60" s="36"/>
      <c r="DS60" s="35"/>
      <c r="DT60" s="35"/>
      <c r="DU60" s="35"/>
      <c r="DV60" s="35"/>
      <c r="DW60" s="35"/>
      <c r="DX60" s="35"/>
      <c r="DY60" s="35"/>
      <c r="DZ60" s="85"/>
      <c r="EA60" s="27"/>
      <c r="EB60" s="36"/>
      <c r="EC60" s="85"/>
      <c r="ED60" s="35"/>
      <c r="EE60" s="35">
        <v>158564949.49000001</v>
      </c>
      <c r="EF60" s="35">
        <v>156979300</v>
      </c>
      <c r="EG60" s="35">
        <v>1585649.49</v>
      </c>
      <c r="EH60" s="35">
        <v>156979300</v>
      </c>
      <c r="EI60" s="35"/>
      <c r="EJ60" s="36"/>
      <c r="EK60" s="35">
        <v>158564949.49000001</v>
      </c>
      <c r="EL60" s="35">
        <v>156979300</v>
      </c>
      <c r="EM60" s="35"/>
      <c r="EN60" s="35">
        <v>1585649.49</v>
      </c>
      <c r="EO60" s="35">
        <v>1</v>
      </c>
      <c r="EP60" s="35"/>
      <c r="EQ60" s="35"/>
      <c r="ER60" s="85">
        <v>156979300</v>
      </c>
      <c r="ES60" s="27"/>
      <c r="ET60" s="36">
        <v>156979300</v>
      </c>
      <c r="EU60" s="85">
        <v>156979300</v>
      </c>
      <c r="EV60" s="35"/>
      <c r="EW60" s="35">
        <v>134865263.16</v>
      </c>
      <c r="EX60" s="35">
        <v>128122000</v>
      </c>
      <c r="EY60" s="35">
        <v>6743263.1600000001</v>
      </c>
      <c r="EZ60" s="35">
        <v>128122000</v>
      </c>
      <c r="FA60" s="35"/>
      <c r="FB60" s="36"/>
      <c r="FC60" s="35">
        <v>134865263.16</v>
      </c>
      <c r="FD60" s="35">
        <v>128122000</v>
      </c>
      <c r="FE60" s="35"/>
      <c r="FF60" s="35">
        <v>6743263.1600000001</v>
      </c>
      <c r="FG60" s="35">
        <v>5</v>
      </c>
      <c r="FH60" s="35"/>
      <c r="FI60" s="35"/>
      <c r="FJ60" s="85">
        <v>128122000</v>
      </c>
      <c r="FK60" s="27"/>
      <c r="FL60" s="36">
        <v>128122000</v>
      </c>
      <c r="FM60" s="85">
        <v>128122000</v>
      </c>
      <c r="FN60" s="35"/>
      <c r="FO60" s="35"/>
      <c r="FP60" s="35"/>
      <c r="FQ60" s="35"/>
      <c r="FR60" s="35"/>
      <c r="FS60" s="35"/>
      <c r="FT60" s="36"/>
      <c r="FU60" s="35"/>
      <c r="FV60" s="35"/>
      <c r="FW60" s="35"/>
      <c r="FX60" s="35"/>
      <c r="FY60" s="35"/>
      <c r="FZ60" s="35"/>
      <c r="GA60" s="35"/>
      <c r="GB60" s="85"/>
      <c r="GC60" s="27"/>
      <c r="GD60" s="36"/>
      <c r="GE60" s="85"/>
      <c r="GF60" s="35"/>
      <c r="GG60" s="35">
        <v>35713368.469999999</v>
      </c>
      <c r="GH60" s="35">
        <v>33927700</v>
      </c>
      <c r="GI60" s="35">
        <v>1785668.47</v>
      </c>
      <c r="GJ60" s="35">
        <v>33927700</v>
      </c>
      <c r="GK60" s="35"/>
      <c r="GL60" s="36"/>
      <c r="GM60" s="35">
        <v>35713368.450000003</v>
      </c>
      <c r="GN60" s="35">
        <v>33927700</v>
      </c>
      <c r="GO60" s="35"/>
      <c r="GP60" s="35">
        <v>1785668.45</v>
      </c>
      <c r="GQ60" s="35">
        <v>5</v>
      </c>
      <c r="GR60" s="35"/>
      <c r="GS60" s="35"/>
      <c r="GT60" s="85">
        <v>33927700</v>
      </c>
      <c r="GU60" s="27"/>
      <c r="GV60" s="36">
        <v>33927700</v>
      </c>
      <c r="GW60" s="85">
        <v>33927700</v>
      </c>
      <c r="GX60" s="35"/>
      <c r="GY60" s="35"/>
      <c r="GZ60" s="35"/>
      <c r="HA60" s="35"/>
      <c r="HB60" s="35"/>
      <c r="HC60" s="35"/>
      <c r="HD60" s="36"/>
      <c r="HE60" s="35"/>
      <c r="HF60" s="35"/>
      <c r="HG60" s="35"/>
      <c r="HH60" s="35"/>
      <c r="HI60" s="35"/>
      <c r="HJ60" s="35"/>
      <c r="HK60" s="35"/>
      <c r="HL60" s="85"/>
      <c r="HM60" s="27"/>
      <c r="HN60" s="36"/>
      <c r="HO60" s="85"/>
      <c r="HP60" s="35"/>
      <c r="HQ60" s="35"/>
      <c r="HR60" s="35"/>
      <c r="HS60" s="35"/>
      <c r="HT60" s="35"/>
      <c r="HU60" s="35"/>
      <c r="HV60" s="36"/>
      <c r="HW60" s="35"/>
      <c r="HX60" s="35"/>
      <c r="HY60" s="35"/>
      <c r="HZ60" s="35"/>
      <c r="IA60" s="35"/>
      <c r="IB60" s="35"/>
      <c r="IC60" s="35"/>
      <c r="ID60" s="85"/>
      <c r="IE60" s="27"/>
      <c r="IF60" s="36"/>
      <c r="IG60" s="85"/>
      <c r="IH60" s="35"/>
      <c r="II60" s="35"/>
      <c r="IJ60" s="35"/>
      <c r="IK60" s="35"/>
      <c r="IL60" s="35"/>
      <c r="IM60" s="35"/>
      <c r="IN60" s="36"/>
      <c r="IO60" s="35"/>
      <c r="IP60" s="35"/>
      <c r="IQ60" s="35"/>
      <c r="IR60" s="35"/>
      <c r="IS60" s="35"/>
      <c r="IT60" s="35"/>
      <c r="IU60" s="35"/>
      <c r="IV60" s="85"/>
      <c r="IW60" s="27"/>
      <c r="IX60" s="36"/>
      <c r="IY60" s="85"/>
      <c r="IZ60" s="35"/>
      <c r="JA60" s="35">
        <v>3951157.9</v>
      </c>
      <c r="JB60" s="35">
        <v>3753600</v>
      </c>
      <c r="JC60" s="35">
        <v>197557.9</v>
      </c>
      <c r="JD60" s="35">
        <v>3753600</v>
      </c>
      <c r="JE60" s="35"/>
      <c r="JF60" s="36"/>
      <c r="JG60" s="35">
        <v>3951157.88</v>
      </c>
      <c r="JH60" s="35">
        <v>3753600</v>
      </c>
      <c r="JI60" s="35"/>
      <c r="JJ60" s="35">
        <v>197557.88</v>
      </c>
      <c r="JK60" s="35">
        <v>5</v>
      </c>
      <c r="JL60" s="35"/>
      <c r="JM60" s="35"/>
      <c r="JN60" s="85">
        <v>3753600</v>
      </c>
      <c r="JO60" s="27"/>
      <c r="JP60" s="36">
        <v>3753600</v>
      </c>
      <c r="JQ60" s="85">
        <v>3753600</v>
      </c>
      <c r="JR60" s="35"/>
      <c r="JS60" s="35"/>
      <c r="JT60" s="35"/>
      <c r="JU60" s="35"/>
      <c r="JV60" s="35"/>
      <c r="JW60" s="35"/>
      <c r="JX60" s="36"/>
      <c r="JY60" s="35"/>
      <c r="JZ60" s="35"/>
      <c r="KA60" s="35"/>
      <c r="KB60" s="35"/>
      <c r="KC60" s="35"/>
      <c r="KD60" s="35"/>
      <c r="KE60" s="35"/>
      <c r="KF60" s="85"/>
      <c r="KG60" s="27"/>
      <c r="KH60" s="36"/>
      <c r="KI60" s="85"/>
      <c r="KJ60" s="35"/>
      <c r="KK60" s="35">
        <v>2907473.69</v>
      </c>
      <c r="KL60" s="35">
        <v>2762100</v>
      </c>
      <c r="KM60" s="35">
        <v>145373.69</v>
      </c>
      <c r="KN60" s="35">
        <v>2762100</v>
      </c>
      <c r="KO60" s="35"/>
      <c r="KP60" s="36"/>
      <c r="KQ60" s="35">
        <v>2907473.69</v>
      </c>
      <c r="KR60" s="35">
        <v>2762100</v>
      </c>
      <c r="KS60" s="35"/>
      <c r="KT60" s="35">
        <v>145373.69</v>
      </c>
      <c r="KU60" s="35">
        <v>5</v>
      </c>
      <c r="KV60" s="35"/>
      <c r="KW60" s="35"/>
      <c r="KX60" s="85">
        <v>2762100</v>
      </c>
      <c r="KY60" s="27"/>
      <c r="KZ60" s="36">
        <v>2762100</v>
      </c>
      <c r="LA60" s="85">
        <v>2762100</v>
      </c>
      <c r="LB60" s="35"/>
      <c r="LC60" s="35"/>
      <c r="LD60" s="35"/>
      <c r="LE60" s="35"/>
      <c r="LF60" s="35"/>
      <c r="LG60" s="35"/>
      <c r="LH60" s="36"/>
      <c r="LI60" s="35"/>
      <c r="LJ60" s="35"/>
      <c r="LK60" s="35"/>
      <c r="LL60" s="35"/>
      <c r="LM60" s="35"/>
      <c r="LN60" s="35"/>
      <c r="LO60" s="35"/>
      <c r="LP60" s="85"/>
      <c r="LQ60" s="27"/>
      <c r="LR60" s="36"/>
      <c r="LS60" s="85"/>
      <c r="LT60" s="35"/>
      <c r="LU60" s="35"/>
      <c r="LV60" s="35"/>
      <c r="LW60" s="35"/>
      <c r="LX60" s="35"/>
      <c r="LY60" s="35"/>
      <c r="LZ60" s="36"/>
      <c r="MA60" s="35"/>
      <c r="MB60" s="35"/>
      <c r="MC60" s="35"/>
      <c r="MD60" s="35"/>
      <c r="ME60" s="35"/>
      <c r="MF60" s="35"/>
      <c r="MG60" s="35"/>
      <c r="MH60" s="85"/>
      <c r="MI60" s="27"/>
      <c r="MJ60" s="36"/>
      <c r="MK60" s="85"/>
      <c r="ML60" s="35"/>
      <c r="MM60" s="35"/>
      <c r="MN60" s="35"/>
      <c r="MO60" s="35"/>
      <c r="MP60" s="35"/>
      <c r="MQ60" s="35"/>
      <c r="MR60" s="36"/>
      <c r="MS60" s="35"/>
      <c r="MT60" s="35"/>
      <c r="MU60" s="35"/>
      <c r="MV60" s="35"/>
      <c r="MW60" s="35"/>
      <c r="MX60" s="35"/>
      <c r="MY60" s="35"/>
      <c r="MZ60" s="85"/>
      <c r="NA60" s="27"/>
      <c r="NB60" s="36"/>
      <c r="NC60" s="85"/>
      <c r="ND60" s="35"/>
      <c r="NE60" s="35"/>
      <c r="NF60" s="35"/>
      <c r="NG60" s="35"/>
      <c r="NH60" s="35"/>
      <c r="NI60" s="35"/>
      <c r="NJ60" s="36"/>
      <c r="NK60" s="35"/>
      <c r="NL60" s="35"/>
      <c r="NM60" s="35"/>
      <c r="NN60" s="35"/>
      <c r="NO60" s="35"/>
      <c r="NP60" s="35"/>
      <c r="NQ60" s="35"/>
      <c r="NR60" s="85"/>
      <c r="NS60" s="27"/>
      <c r="NT60" s="36"/>
      <c r="NU60" s="85"/>
      <c r="NV60" s="35"/>
      <c r="NW60" s="35"/>
      <c r="NX60" s="35"/>
      <c r="NY60" s="35"/>
      <c r="NZ60" s="35"/>
      <c r="OA60" s="35"/>
      <c r="OB60" s="36"/>
      <c r="OC60" s="35"/>
      <c r="OD60" s="35"/>
      <c r="OE60" s="35"/>
      <c r="OF60" s="35"/>
      <c r="OG60" s="35"/>
      <c r="OH60" s="35"/>
      <c r="OI60" s="35"/>
      <c r="OJ60" s="85"/>
      <c r="OK60" s="27"/>
      <c r="OL60" s="36"/>
      <c r="OM60" s="85"/>
      <c r="ON60" s="35"/>
      <c r="OO60" s="35"/>
      <c r="OP60" s="35"/>
      <c r="OQ60" s="35"/>
      <c r="OR60" s="35"/>
      <c r="OS60" s="35">
        <v>3918962.12</v>
      </c>
      <c r="OT60" s="36"/>
      <c r="OU60" s="35"/>
      <c r="OV60" s="35"/>
      <c r="OW60" s="35"/>
      <c r="OX60" s="35"/>
      <c r="OY60" s="35"/>
      <c r="OZ60" s="35">
        <v>3918958.26</v>
      </c>
      <c r="PA60" s="35">
        <v>3.86</v>
      </c>
      <c r="PB60" s="85"/>
      <c r="PC60" s="27"/>
      <c r="PD60" s="36"/>
      <c r="PE60" s="85"/>
      <c r="PF60" s="35"/>
      <c r="PG60" s="35"/>
      <c r="PH60" s="35"/>
      <c r="PI60" s="35"/>
      <c r="PJ60" s="35"/>
      <c r="PK60" s="35"/>
      <c r="PL60" s="36"/>
      <c r="PM60" s="35"/>
      <c r="PN60" s="35"/>
      <c r="PO60" s="35"/>
      <c r="PP60" s="35"/>
      <c r="PQ60" s="35"/>
      <c r="PR60" s="35"/>
      <c r="PS60" s="35"/>
      <c r="PT60" s="85"/>
      <c r="PU60" s="27"/>
      <c r="PV60" s="36"/>
      <c r="PW60" s="85"/>
      <c r="PX60" s="35"/>
      <c r="PY60" s="35"/>
      <c r="PZ60" s="35"/>
      <c r="QA60" s="35"/>
      <c r="QB60" s="35"/>
      <c r="QC60" s="35"/>
      <c r="QD60" s="36"/>
      <c r="QE60" s="35"/>
      <c r="QF60" s="35"/>
      <c r="QG60" s="35"/>
      <c r="QH60" s="35"/>
      <c r="QI60" s="35"/>
      <c r="QJ60" s="35"/>
      <c r="QK60" s="35"/>
      <c r="QL60" s="85"/>
      <c r="QM60" s="27"/>
      <c r="QN60" s="36"/>
      <c r="QO60" s="85"/>
      <c r="QP60" s="35"/>
      <c r="QQ60" s="35"/>
      <c r="QR60" s="35"/>
      <c r="QS60" s="35"/>
      <c r="QT60" s="35"/>
      <c r="QU60" s="35"/>
      <c r="QV60" s="36"/>
      <c r="QW60" s="35"/>
      <c r="QX60" s="35"/>
      <c r="QY60" s="35"/>
      <c r="QZ60" s="35"/>
      <c r="RA60" s="35"/>
      <c r="RB60" s="35"/>
      <c r="RC60" s="35"/>
      <c r="RD60" s="85"/>
      <c r="RE60" s="27"/>
      <c r="RF60" s="36"/>
      <c r="RG60" s="85"/>
      <c r="RH60" s="35"/>
      <c r="RI60" s="35"/>
      <c r="RJ60" s="35"/>
      <c r="RK60" s="35"/>
      <c r="RL60" s="35"/>
      <c r="RM60" s="35">
        <v>48600000</v>
      </c>
      <c r="RN60" s="36"/>
      <c r="RO60" s="35"/>
      <c r="RP60" s="35"/>
      <c r="RQ60" s="35"/>
      <c r="RR60" s="35"/>
      <c r="RS60" s="35"/>
      <c r="RT60" s="35">
        <v>48600000</v>
      </c>
      <c r="RU60" s="35"/>
      <c r="RV60" s="85"/>
      <c r="RW60" s="27"/>
      <c r="RX60" s="36"/>
      <c r="RY60" s="85"/>
      <c r="RZ60" s="35"/>
      <c r="SA60" s="35"/>
      <c r="SB60" s="35"/>
      <c r="SC60" s="35"/>
      <c r="SD60" s="35"/>
      <c r="SE60" s="35"/>
      <c r="SF60" s="36"/>
      <c r="SG60" s="35"/>
      <c r="SH60" s="35"/>
      <c r="SI60" s="35"/>
      <c r="SJ60" s="35"/>
      <c r="SK60" s="35"/>
      <c r="SL60" s="35"/>
      <c r="SM60" s="35"/>
      <c r="SN60" s="85"/>
      <c r="SO60" s="27"/>
      <c r="SP60" s="36"/>
      <c r="SQ60" s="85"/>
      <c r="SR60" s="35"/>
      <c r="SS60" s="35"/>
      <c r="ST60" s="35"/>
      <c r="SU60" s="35"/>
      <c r="SV60" s="35"/>
      <c r="SW60" s="35"/>
      <c r="SX60" s="36"/>
      <c r="SY60" s="35"/>
      <c r="SZ60" s="35"/>
      <c r="TA60" s="35"/>
      <c r="TB60" s="35"/>
      <c r="TC60" s="35"/>
      <c r="TD60" s="35"/>
      <c r="TE60" s="35"/>
      <c r="TF60" s="85"/>
      <c r="TG60" s="27"/>
      <c r="TH60" s="36"/>
      <c r="TI60" s="85"/>
      <c r="TJ60" s="35"/>
      <c r="TK60" s="35"/>
      <c r="TL60" s="35"/>
      <c r="TM60" s="35"/>
      <c r="TN60" s="35"/>
      <c r="TO60" s="35"/>
      <c r="TP60" s="36"/>
      <c r="TQ60" s="35"/>
      <c r="TR60" s="35"/>
      <c r="TS60" s="35"/>
      <c r="TT60" s="35"/>
      <c r="TU60" s="35"/>
      <c r="TV60" s="35"/>
      <c r="TW60" s="35"/>
      <c r="TX60" s="85"/>
      <c r="TY60" s="27"/>
      <c r="TZ60" s="36"/>
      <c r="UA60" s="85"/>
      <c r="UB60" s="35"/>
      <c r="UC60" s="35"/>
      <c r="UD60" s="35"/>
      <c r="UE60" s="35"/>
      <c r="UF60" s="35"/>
      <c r="UG60" s="35"/>
      <c r="UH60" s="36"/>
      <c r="UI60" s="35"/>
      <c r="UJ60" s="35"/>
      <c r="UK60" s="35"/>
      <c r="UL60" s="35"/>
      <c r="UM60" s="35"/>
      <c r="UN60" s="35"/>
      <c r="UO60" s="35"/>
      <c r="UP60" s="85"/>
      <c r="UQ60" s="27"/>
      <c r="UR60" s="36"/>
      <c r="US60" s="85"/>
    </row>
    <row r="61" spans="1:565" ht="26.4" x14ac:dyDescent="0.3">
      <c r="A61" s="14" t="s">
        <v>118</v>
      </c>
      <c r="B61" s="170">
        <v>47</v>
      </c>
      <c r="C61" s="16" t="s">
        <v>119</v>
      </c>
      <c r="F61" s="36">
        <v>673399800</v>
      </c>
      <c r="G61" s="85"/>
      <c r="H61" s="35"/>
      <c r="I61" s="35">
        <v>42817957.579999998</v>
      </c>
      <c r="J61" s="35">
        <v>39820700</v>
      </c>
      <c r="K61" s="35">
        <v>2997257.58</v>
      </c>
      <c r="L61" s="35">
        <v>39820700</v>
      </c>
      <c r="M61" s="35"/>
      <c r="N61" s="36"/>
      <c r="O61" s="35">
        <v>42817957.579999998</v>
      </c>
      <c r="P61" s="35">
        <v>39820700</v>
      </c>
      <c r="Q61" s="35"/>
      <c r="R61" s="35">
        <v>2997257.58</v>
      </c>
      <c r="S61" s="35">
        <v>7</v>
      </c>
      <c r="T61" s="35"/>
      <c r="U61" s="35"/>
      <c r="V61" s="85">
        <v>39820700</v>
      </c>
      <c r="W61" s="27"/>
      <c r="X61" s="36">
        <v>39820700</v>
      </c>
      <c r="Y61" s="85">
        <v>39820700</v>
      </c>
      <c r="Z61" s="35"/>
      <c r="AA61" s="35">
        <v>12802365.59</v>
      </c>
      <c r="AB61" s="35">
        <v>11906200</v>
      </c>
      <c r="AC61" s="35">
        <v>896165.59</v>
      </c>
      <c r="AD61" s="35">
        <v>11906200</v>
      </c>
      <c r="AE61" s="35"/>
      <c r="AF61" s="36"/>
      <c r="AG61" s="35">
        <v>12802365.59</v>
      </c>
      <c r="AH61" s="35">
        <v>11906200</v>
      </c>
      <c r="AI61" s="35"/>
      <c r="AJ61" s="35">
        <v>896165.59</v>
      </c>
      <c r="AK61" s="35">
        <v>7</v>
      </c>
      <c r="AL61" s="35"/>
      <c r="AM61" s="35"/>
      <c r="AN61" s="85">
        <v>11906200</v>
      </c>
      <c r="AO61" s="27"/>
      <c r="AP61" s="36">
        <v>11906200</v>
      </c>
      <c r="AQ61" s="85">
        <v>11906200</v>
      </c>
      <c r="AR61" s="35"/>
      <c r="AS61" s="35">
        <v>257778710.21000001</v>
      </c>
      <c r="AT61" s="35">
        <v>239734200</v>
      </c>
      <c r="AU61" s="35">
        <v>18044510.210000001</v>
      </c>
      <c r="AV61" s="35">
        <v>239734199.34</v>
      </c>
      <c r="AW61" s="35"/>
      <c r="AX61" s="36"/>
      <c r="AY61" s="35">
        <v>257778709.44</v>
      </c>
      <c r="AZ61" s="35">
        <v>239734199.34</v>
      </c>
      <c r="BA61" s="35"/>
      <c r="BB61" s="35">
        <v>18044510.100000001</v>
      </c>
      <c r="BC61" s="35">
        <v>7</v>
      </c>
      <c r="BD61" s="35"/>
      <c r="BE61" s="35"/>
      <c r="BF61" s="85">
        <v>239734199.34</v>
      </c>
      <c r="BG61" s="27"/>
      <c r="BH61" s="36">
        <v>239734200</v>
      </c>
      <c r="BI61" s="85">
        <v>239734200</v>
      </c>
      <c r="BJ61" s="35"/>
      <c r="BK61" s="35">
        <v>2637096.77</v>
      </c>
      <c r="BL61" s="35">
        <v>2452500</v>
      </c>
      <c r="BM61" s="35">
        <v>184596.77</v>
      </c>
      <c r="BN61" s="35">
        <v>2314345.4300000002</v>
      </c>
      <c r="BO61" s="35"/>
      <c r="BP61" s="36"/>
      <c r="BQ61" s="35">
        <v>2488543.48</v>
      </c>
      <c r="BR61" s="35">
        <v>2314345.4300000002</v>
      </c>
      <c r="BS61" s="35"/>
      <c r="BT61" s="35">
        <v>174198.05</v>
      </c>
      <c r="BU61" s="35">
        <v>7</v>
      </c>
      <c r="BV61" s="35"/>
      <c r="BW61" s="35"/>
      <c r="BX61" s="85">
        <v>2314345.4300000002</v>
      </c>
      <c r="BY61" s="27"/>
      <c r="BZ61" s="36">
        <v>2452500</v>
      </c>
      <c r="CA61" s="85">
        <v>2452500</v>
      </c>
      <c r="CB61" s="35"/>
      <c r="CC61" s="35">
        <v>14006021.5</v>
      </c>
      <c r="CD61" s="35">
        <v>13025600</v>
      </c>
      <c r="CE61" s="35">
        <v>980421.5</v>
      </c>
      <c r="CF61" s="35">
        <v>12666676.23</v>
      </c>
      <c r="CG61" s="35">
        <v>2593802.15</v>
      </c>
      <c r="CH61" s="36"/>
      <c r="CI61" s="35">
        <v>13620082.279999999</v>
      </c>
      <c r="CJ61" s="35">
        <v>12666676.23</v>
      </c>
      <c r="CK61" s="35"/>
      <c r="CL61" s="35">
        <v>953406.05</v>
      </c>
      <c r="CM61" s="35">
        <v>7</v>
      </c>
      <c r="CN61" s="35">
        <v>2593802.15</v>
      </c>
      <c r="CO61" s="35"/>
      <c r="CP61" s="85">
        <v>12666676.23</v>
      </c>
      <c r="CQ61" s="27"/>
      <c r="CR61" s="36">
        <v>13025600</v>
      </c>
      <c r="CS61" s="85">
        <v>13025600</v>
      </c>
      <c r="CT61" s="35"/>
      <c r="CU61" s="35"/>
      <c r="CV61" s="35"/>
      <c r="CW61" s="35"/>
      <c r="CX61" s="35"/>
      <c r="CY61" s="35"/>
      <c r="CZ61" s="36"/>
      <c r="DA61" s="35"/>
      <c r="DB61" s="35"/>
      <c r="DC61" s="35"/>
      <c r="DD61" s="35"/>
      <c r="DE61" s="35"/>
      <c r="DF61" s="35"/>
      <c r="DG61" s="35"/>
      <c r="DH61" s="85"/>
      <c r="DI61" s="27"/>
      <c r="DJ61" s="36"/>
      <c r="DK61" s="85"/>
      <c r="DL61" s="35"/>
      <c r="DM61" s="35"/>
      <c r="DN61" s="35"/>
      <c r="DO61" s="35"/>
      <c r="DP61" s="35"/>
      <c r="DQ61" s="35"/>
      <c r="DR61" s="36"/>
      <c r="DS61" s="35"/>
      <c r="DT61" s="35"/>
      <c r="DU61" s="35"/>
      <c r="DV61" s="35"/>
      <c r="DW61" s="35"/>
      <c r="DX61" s="35"/>
      <c r="DY61" s="35"/>
      <c r="DZ61" s="85"/>
      <c r="EA61" s="27"/>
      <c r="EB61" s="36"/>
      <c r="EC61" s="85"/>
      <c r="ED61" s="35"/>
      <c r="EE61" s="35">
        <v>185441314</v>
      </c>
      <c r="EF61" s="35">
        <v>183586900</v>
      </c>
      <c r="EG61" s="35">
        <v>1854414</v>
      </c>
      <c r="EH61" s="35">
        <v>183586899.94</v>
      </c>
      <c r="EI61" s="35"/>
      <c r="EJ61" s="36"/>
      <c r="EK61" s="35">
        <v>185441313.94</v>
      </c>
      <c r="EL61" s="35">
        <v>183586899.94</v>
      </c>
      <c r="EM61" s="35"/>
      <c r="EN61" s="35">
        <v>1854414</v>
      </c>
      <c r="EO61" s="35">
        <v>1</v>
      </c>
      <c r="EP61" s="35"/>
      <c r="EQ61" s="35"/>
      <c r="ER61" s="85">
        <v>183586899.94</v>
      </c>
      <c r="ES61" s="27"/>
      <c r="ET61" s="36">
        <v>183586900</v>
      </c>
      <c r="EU61" s="85">
        <v>183586900</v>
      </c>
      <c r="EV61" s="35"/>
      <c r="EW61" s="35">
        <v>165691505.33000001</v>
      </c>
      <c r="EX61" s="35">
        <v>154093100</v>
      </c>
      <c r="EY61" s="35">
        <v>11598405.33</v>
      </c>
      <c r="EZ61" s="35">
        <v>153919836.05000001</v>
      </c>
      <c r="FA61" s="35">
        <v>1090146</v>
      </c>
      <c r="FB61" s="36"/>
      <c r="FC61" s="35">
        <v>165505200.05000001</v>
      </c>
      <c r="FD61" s="35">
        <v>153919836.05000001</v>
      </c>
      <c r="FE61" s="35"/>
      <c r="FF61" s="35">
        <v>11585364</v>
      </c>
      <c r="FG61" s="35">
        <v>7</v>
      </c>
      <c r="FH61" s="35">
        <v>1090146</v>
      </c>
      <c r="FI61" s="35"/>
      <c r="FJ61" s="85">
        <v>153919836.05000001</v>
      </c>
      <c r="FK61" s="27"/>
      <c r="FL61" s="36">
        <v>154093100</v>
      </c>
      <c r="FM61" s="85">
        <v>154093100</v>
      </c>
      <c r="FN61" s="35"/>
      <c r="FO61" s="35"/>
      <c r="FP61" s="35"/>
      <c r="FQ61" s="35"/>
      <c r="FR61" s="35"/>
      <c r="FS61" s="35"/>
      <c r="FT61" s="36"/>
      <c r="FU61" s="35"/>
      <c r="FV61" s="35"/>
      <c r="FW61" s="35"/>
      <c r="FX61" s="35"/>
      <c r="FY61" s="35"/>
      <c r="FZ61" s="35"/>
      <c r="GA61" s="35"/>
      <c r="GB61" s="85"/>
      <c r="GC61" s="27"/>
      <c r="GD61" s="36"/>
      <c r="GE61" s="85"/>
      <c r="GF61" s="35"/>
      <c r="GG61" s="35">
        <v>24181076</v>
      </c>
      <c r="GH61" s="35">
        <v>22488400</v>
      </c>
      <c r="GI61" s="35">
        <v>1692676</v>
      </c>
      <c r="GJ61" s="35">
        <v>22488399.969999999</v>
      </c>
      <c r="GK61" s="35"/>
      <c r="GL61" s="36"/>
      <c r="GM61" s="35">
        <v>24181075.969999999</v>
      </c>
      <c r="GN61" s="35">
        <v>22488399.969999999</v>
      </c>
      <c r="GO61" s="35"/>
      <c r="GP61" s="35">
        <v>1692676</v>
      </c>
      <c r="GQ61" s="35">
        <v>7</v>
      </c>
      <c r="GR61" s="35"/>
      <c r="GS61" s="35"/>
      <c r="GT61" s="85">
        <v>22488399.969999999</v>
      </c>
      <c r="GU61" s="27"/>
      <c r="GV61" s="36">
        <v>22488400</v>
      </c>
      <c r="GW61" s="85">
        <v>22488400</v>
      </c>
      <c r="GX61" s="35"/>
      <c r="GY61" s="35"/>
      <c r="GZ61" s="35"/>
      <c r="HA61" s="35"/>
      <c r="HB61" s="35"/>
      <c r="HC61" s="35"/>
      <c r="HD61" s="36"/>
      <c r="HE61" s="35"/>
      <c r="HF61" s="35"/>
      <c r="HG61" s="35"/>
      <c r="HH61" s="35"/>
      <c r="HI61" s="35"/>
      <c r="HJ61" s="35"/>
      <c r="HK61" s="35"/>
      <c r="HL61" s="85"/>
      <c r="HM61" s="27"/>
      <c r="HN61" s="36"/>
      <c r="HO61" s="85"/>
      <c r="HP61" s="35"/>
      <c r="HQ61" s="35"/>
      <c r="HR61" s="35"/>
      <c r="HS61" s="35"/>
      <c r="HT61" s="35"/>
      <c r="HU61" s="35"/>
      <c r="HV61" s="36"/>
      <c r="HW61" s="35"/>
      <c r="HX61" s="35"/>
      <c r="HY61" s="35"/>
      <c r="HZ61" s="35"/>
      <c r="IA61" s="35"/>
      <c r="IB61" s="35"/>
      <c r="IC61" s="35"/>
      <c r="ID61" s="85"/>
      <c r="IE61" s="27"/>
      <c r="IF61" s="36"/>
      <c r="IG61" s="85"/>
      <c r="IH61" s="35"/>
      <c r="II61" s="35"/>
      <c r="IJ61" s="35"/>
      <c r="IK61" s="35"/>
      <c r="IL61" s="35"/>
      <c r="IM61" s="35"/>
      <c r="IN61" s="36"/>
      <c r="IO61" s="35"/>
      <c r="IP61" s="35"/>
      <c r="IQ61" s="35"/>
      <c r="IR61" s="35"/>
      <c r="IS61" s="35"/>
      <c r="IT61" s="35"/>
      <c r="IU61" s="35"/>
      <c r="IV61" s="85"/>
      <c r="IW61" s="27"/>
      <c r="IX61" s="36"/>
      <c r="IY61" s="85"/>
      <c r="IZ61" s="35"/>
      <c r="JA61" s="35">
        <v>3970861</v>
      </c>
      <c r="JB61" s="35">
        <v>3692900</v>
      </c>
      <c r="JC61" s="35">
        <v>277961</v>
      </c>
      <c r="JD61" s="35">
        <v>3692900</v>
      </c>
      <c r="JE61" s="35"/>
      <c r="JF61" s="36"/>
      <c r="JG61" s="35">
        <v>3970861</v>
      </c>
      <c r="JH61" s="35">
        <v>3692900</v>
      </c>
      <c r="JI61" s="35"/>
      <c r="JJ61" s="35">
        <v>277961</v>
      </c>
      <c r="JK61" s="35">
        <v>7.0000200000000001</v>
      </c>
      <c r="JL61" s="35"/>
      <c r="JM61" s="35"/>
      <c r="JN61" s="85">
        <v>3692900</v>
      </c>
      <c r="JO61" s="27"/>
      <c r="JP61" s="36">
        <v>3692900</v>
      </c>
      <c r="JQ61" s="85">
        <v>3692900</v>
      </c>
      <c r="JR61" s="35"/>
      <c r="JS61" s="35"/>
      <c r="JT61" s="35"/>
      <c r="JU61" s="35"/>
      <c r="JV61" s="35"/>
      <c r="JW61" s="35"/>
      <c r="JX61" s="36"/>
      <c r="JY61" s="35"/>
      <c r="JZ61" s="35"/>
      <c r="KA61" s="35"/>
      <c r="KB61" s="35"/>
      <c r="KC61" s="35"/>
      <c r="KD61" s="35"/>
      <c r="KE61" s="35"/>
      <c r="KF61" s="85"/>
      <c r="KG61" s="27"/>
      <c r="KH61" s="36"/>
      <c r="KI61" s="85"/>
      <c r="KJ61" s="35"/>
      <c r="KK61" s="35">
        <v>2794947</v>
      </c>
      <c r="KL61" s="35">
        <v>2599300</v>
      </c>
      <c r="KM61" s="35">
        <v>195647</v>
      </c>
      <c r="KN61" s="35">
        <v>2599300</v>
      </c>
      <c r="KO61" s="35"/>
      <c r="KP61" s="36"/>
      <c r="KQ61" s="35">
        <v>2794947</v>
      </c>
      <c r="KR61" s="35">
        <v>2599300</v>
      </c>
      <c r="KS61" s="35"/>
      <c r="KT61" s="35">
        <v>195647</v>
      </c>
      <c r="KU61" s="35">
        <v>7.0000299999999998</v>
      </c>
      <c r="KV61" s="35"/>
      <c r="KW61" s="35"/>
      <c r="KX61" s="85">
        <v>2599300</v>
      </c>
      <c r="KY61" s="27"/>
      <c r="KZ61" s="36">
        <v>2599300</v>
      </c>
      <c r="LA61" s="85">
        <v>2599300</v>
      </c>
      <c r="LB61" s="35"/>
      <c r="LC61" s="35"/>
      <c r="LD61" s="35"/>
      <c r="LE61" s="35"/>
      <c r="LF61" s="35"/>
      <c r="LG61" s="35"/>
      <c r="LH61" s="36"/>
      <c r="LI61" s="35"/>
      <c r="LJ61" s="35"/>
      <c r="LK61" s="35"/>
      <c r="LL61" s="35"/>
      <c r="LM61" s="35"/>
      <c r="LN61" s="35"/>
      <c r="LO61" s="35"/>
      <c r="LP61" s="85"/>
      <c r="LQ61" s="27"/>
      <c r="LR61" s="36"/>
      <c r="LS61" s="85"/>
      <c r="LT61" s="35"/>
      <c r="LU61" s="35"/>
      <c r="LV61" s="35"/>
      <c r="LW61" s="35"/>
      <c r="LX61" s="35"/>
      <c r="LY61" s="35"/>
      <c r="LZ61" s="36"/>
      <c r="MA61" s="35"/>
      <c r="MB61" s="35"/>
      <c r="MC61" s="35"/>
      <c r="MD61" s="35"/>
      <c r="ME61" s="35"/>
      <c r="MF61" s="35"/>
      <c r="MG61" s="35"/>
      <c r="MH61" s="85"/>
      <c r="MI61" s="27"/>
      <c r="MJ61" s="36"/>
      <c r="MK61" s="85"/>
      <c r="ML61" s="35"/>
      <c r="MM61" s="35"/>
      <c r="MN61" s="35"/>
      <c r="MO61" s="35"/>
      <c r="MP61" s="35"/>
      <c r="MQ61" s="35"/>
      <c r="MR61" s="36"/>
      <c r="MS61" s="35"/>
      <c r="MT61" s="35"/>
      <c r="MU61" s="35"/>
      <c r="MV61" s="35"/>
      <c r="MW61" s="35"/>
      <c r="MX61" s="35"/>
      <c r="MY61" s="35"/>
      <c r="MZ61" s="85"/>
      <c r="NA61" s="27"/>
      <c r="NB61" s="36"/>
      <c r="NC61" s="85"/>
      <c r="ND61" s="35"/>
      <c r="NE61" s="35"/>
      <c r="NF61" s="35"/>
      <c r="NG61" s="35"/>
      <c r="NH61" s="35"/>
      <c r="NI61" s="35"/>
      <c r="NJ61" s="36"/>
      <c r="NK61" s="35"/>
      <c r="NL61" s="35"/>
      <c r="NM61" s="35"/>
      <c r="NN61" s="35"/>
      <c r="NO61" s="35"/>
      <c r="NP61" s="35"/>
      <c r="NQ61" s="35"/>
      <c r="NR61" s="85"/>
      <c r="NS61" s="27"/>
      <c r="NT61" s="36"/>
      <c r="NU61" s="85"/>
      <c r="NV61" s="35"/>
      <c r="NW61" s="35"/>
      <c r="NX61" s="35"/>
      <c r="NY61" s="35"/>
      <c r="NZ61" s="35"/>
      <c r="OA61" s="35"/>
      <c r="OB61" s="36"/>
      <c r="OC61" s="35"/>
      <c r="OD61" s="35"/>
      <c r="OE61" s="35"/>
      <c r="OF61" s="35"/>
      <c r="OG61" s="35"/>
      <c r="OH61" s="35"/>
      <c r="OI61" s="35"/>
      <c r="OJ61" s="85"/>
      <c r="OK61" s="27"/>
      <c r="OL61" s="36"/>
      <c r="OM61" s="85"/>
      <c r="ON61" s="35"/>
      <c r="OO61" s="35"/>
      <c r="OP61" s="35"/>
      <c r="OQ61" s="35"/>
      <c r="OR61" s="35"/>
      <c r="OS61" s="35">
        <v>275876</v>
      </c>
      <c r="OT61" s="36"/>
      <c r="OU61" s="35"/>
      <c r="OV61" s="35"/>
      <c r="OW61" s="35"/>
      <c r="OX61" s="35"/>
      <c r="OY61" s="35"/>
      <c r="OZ61" s="35">
        <v>275876</v>
      </c>
      <c r="PA61" s="35">
        <v>0</v>
      </c>
      <c r="PB61" s="85"/>
      <c r="PC61" s="27"/>
      <c r="PD61" s="36"/>
      <c r="PE61" s="85"/>
      <c r="PF61" s="35"/>
      <c r="PG61" s="35"/>
      <c r="PH61" s="35"/>
      <c r="PI61" s="35"/>
      <c r="PJ61" s="35"/>
      <c r="PK61" s="35"/>
      <c r="PL61" s="36"/>
      <c r="PM61" s="35"/>
      <c r="PN61" s="35"/>
      <c r="PO61" s="35"/>
      <c r="PP61" s="35"/>
      <c r="PQ61" s="35"/>
      <c r="PR61" s="35"/>
      <c r="PS61" s="35"/>
      <c r="PT61" s="85"/>
      <c r="PU61" s="27"/>
      <c r="PV61" s="36"/>
      <c r="PW61" s="85"/>
      <c r="PX61" s="35"/>
      <c r="PY61" s="35"/>
      <c r="PZ61" s="35"/>
      <c r="QA61" s="35"/>
      <c r="QB61" s="35"/>
      <c r="QC61" s="35"/>
      <c r="QD61" s="36"/>
      <c r="QE61" s="35"/>
      <c r="QF61" s="35"/>
      <c r="QG61" s="35"/>
      <c r="QH61" s="35"/>
      <c r="QI61" s="35"/>
      <c r="QJ61" s="35"/>
      <c r="QK61" s="35"/>
      <c r="QL61" s="85"/>
      <c r="QM61" s="27"/>
      <c r="QN61" s="36"/>
      <c r="QO61" s="85"/>
      <c r="QP61" s="35"/>
      <c r="QQ61" s="35"/>
      <c r="QR61" s="35"/>
      <c r="QS61" s="35"/>
      <c r="QT61" s="35"/>
      <c r="QU61" s="35"/>
      <c r="QV61" s="36"/>
      <c r="QW61" s="35"/>
      <c r="QX61" s="35"/>
      <c r="QY61" s="35"/>
      <c r="QZ61" s="35"/>
      <c r="RA61" s="35"/>
      <c r="RB61" s="35"/>
      <c r="RC61" s="35"/>
      <c r="RD61" s="85"/>
      <c r="RE61" s="27"/>
      <c r="RF61" s="36"/>
      <c r="RG61" s="85"/>
      <c r="RH61" s="35"/>
      <c r="RI61" s="35"/>
      <c r="RJ61" s="35"/>
      <c r="RK61" s="35"/>
      <c r="RL61" s="35"/>
      <c r="RM61" s="35"/>
      <c r="RN61" s="36"/>
      <c r="RO61" s="35"/>
      <c r="RP61" s="35"/>
      <c r="RQ61" s="35"/>
      <c r="RR61" s="35"/>
      <c r="RS61" s="35"/>
      <c r="RT61" s="35"/>
      <c r="RU61" s="35"/>
      <c r="RV61" s="85"/>
      <c r="RW61" s="27"/>
      <c r="RX61" s="36"/>
      <c r="RY61" s="85"/>
      <c r="RZ61" s="35"/>
      <c r="SA61" s="35"/>
      <c r="SB61" s="35"/>
      <c r="SC61" s="35"/>
      <c r="SD61" s="35"/>
      <c r="SE61" s="35"/>
      <c r="SF61" s="36"/>
      <c r="SG61" s="35"/>
      <c r="SH61" s="35"/>
      <c r="SI61" s="35"/>
      <c r="SJ61" s="35"/>
      <c r="SK61" s="35"/>
      <c r="SL61" s="35"/>
      <c r="SM61" s="35"/>
      <c r="SN61" s="85"/>
      <c r="SO61" s="27"/>
      <c r="SP61" s="36"/>
      <c r="SQ61" s="85"/>
      <c r="SR61" s="35"/>
      <c r="SS61" s="35"/>
      <c r="ST61" s="35"/>
      <c r="SU61" s="35"/>
      <c r="SV61" s="35"/>
      <c r="SW61" s="35"/>
      <c r="SX61" s="36"/>
      <c r="SY61" s="35"/>
      <c r="SZ61" s="35"/>
      <c r="TA61" s="35"/>
      <c r="TB61" s="35"/>
      <c r="TC61" s="35"/>
      <c r="TD61" s="35"/>
      <c r="TE61" s="35"/>
      <c r="TF61" s="85"/>
      <c r="TG61" s="27"/>
      <c r="TH61" s="36"/>
      <c r="TI61" s="85"/>
      <c r="TJ61" s="35"/>
      <c r="TK61" s="35"/>
      <c r="TL61" s="35"/>
      <c r="TM61" s="35"/>
      <c r="TN61" s="35"/>
      <c r="TO61" s="35"/>
      <c r="TP61" s="36"/>
      <c r="TQ61" s="35"/>
      <c r="TR61" s="35"/>
      <c r="TS61" s="35"/>
      <c r="TT61" s="35"/>
      <c r="TU61" s="35"/>
      <c r="TV61" s="35"/>
      <c r="TW61" s="35"/>
      <c r="TX61" s="85"/>
      <c r="TY61" s="27"/>
      <c r="TZ61" s="36"/>
      <c r="UA61" s="85"/>
      <c r="UB61" s="35"/>
      <c r="UC61" s="35"/>
      <c r="UD61" s="35"/>
      <c r="UE61" s="35"/>
      <c r="UF61" s="35"/>
      <c r="UG61" s="35"/>
      <c r="UH61" s="36"/>
      <c r="UI61" s="35"/>
      <c r="UJ61" s="35"/>
      <c r="UK61" s="35"/>
      <c r="UL61" s="35"/>
      <c r="UM61" s="35"/>
      <c r="UN61" s="35"/>
      <c r="UO61" s="35"/>
      <c r="UP61" s="85"/>
      <c r="UQ61" s="27"/>
      <c r="UR61" s="36"/>
      <c r="US61" s="85"/>
    </row>
    <row r="62" spans="1:565" x14ac:dyDescent="0.3">
      <c r="A62" s="14" t="s">
        <v>120</v>
      </c>
      <c r="B62" s="168">
        <v>48</v>
      </c>
      <c r="C62" s="16" t="s">
        <v>122</v>
      </c>
      <c r="F62" s="36">
        <v>1820421200</v>
      </c>
      <c r="G62" s="85"/>
      <c r="H62" s="35"/>
      <c r="I62" s="35">
        <v>40571590</v>
      </c>
      <c r="J62" s="35">
        <v>38543000</v>
      </c>
      <c r="K62" s="35">
        <v>2028590</v>
      </c>
      <c r="L62" s="35">
        <v>38542989.479999997</v>
      </c>
      <c r="M62" s="35">
        <v>1426900</v>
      </c>
      <c r="N62" s="36"/>
      <c r="O62" s="35">
        <v>40571578.950000003</v>
      </c>
      <c r="P62" s="35">
        <v>38542989.479999997</v>
      </c>
      <c r="Q62" s="35"/>
      <c r="R62" s="35">
        <v>2028589.47</v>
      </c>
      <c r="S62" s="35">
        <v>5.0000299999999998</v>
      </c>
      <c r="T62" s="35">
        <v>1426900</v>
      </c>
      <c r="U62" s="35"/>
      <c r="V62" s="85">
        <v>38542989.479999997</v>
      </c>
      <c r="W62" s="27"/>
      <c r="X62" s="36">
        <v>38543000</v>
      </c>
      <c r="Y62" s="85">
        <v>38543000</v>
      </c>
      <c r="Z62" s="35"/>
      <c r="AA62" s="35">
        <v>17084211</v>
      </c>
      <c r="AB62" s="35">
        <v>16230000</v>
      </c>
      <c r="AC62" s="35">
        <v>854211</v>
      </c>
      <c r="AD62" s="35">
        <v>16230000</v>
      </c>
      <c r="AE62" s="35">
        <v>39300</v>
      </c>
      <c r="AF62" s="36"/>
      <c r="AG62" s="35">
        <v>17084211</v>
      </c>
      <c r="AH62" s="35">
        <v>16230000</v>
      </c>
      <c r="AI62" s="35"/>
      <c r="AJ62" s="35">
        <v>854211</v>
      </c>
      <c r="AK62" s="35">
        <v>5</v>
      </c>
      <c r="AL62" s="35">
        <v>39300</v>
      </c>
      <c r="AM62" s="35"/>
      <c r="AN62" s="85">
        <v>16230000</v>
      </c>
      <c r="AO62" s="27"/>
      <c r="AP62" s="36">
        <v>16230000</v>
      </c>
      <c r="AQ62" s="85">
        <v>16230000</v>
      </c>
      <c r="AR62" s="35"/>
      <c r="AS62" s="35">
        <v>753183160</v>
      </c>
      <c r="AT62" s="35">
        <v>715524000</v>
      </c>
      <c r="AU62" s="35">
        <v>37659160</v>
      </c>
      <c r="AV62" s="35">
        <v>715524000</v>
      </c>
      <c r="AW62" s="35">
        <v>41984575</v>
      </c>
      <c r="AX62" s="36"/>
      <c r="AY62" s="35">
        <v>753183160</v>
      </c>
      <c r="AZ62" s="35">
        <v>715524000</v>
      </c>
      <c r="BA62" s="35"/>
      <c r="BB62" s="35">
        <v>37659160</v>
      </c>
      <c r="BC62" s="35">
        <v>5</v>
      </c>
      <c r="BD62" s="35">
        <v>41984575</v>
      </c>
      <c r="BE62" s="35"/>
      <c r="BF62" s="85">
        <v>715524000</v>
      </c>
      <c r="BG62" s="27"/>
      <c r="BH62" s="36">
        <v>715524000</v>
      </c>
      <c r="BI62" s="85">
        <v>715524000</v>
      </c>
      <c r="BJ62" s="35"/>
      <c r="BK62" s="35">
        <v>553887895</v>
      </c>
      <c r="BL62" s="35">
        <v>526193500</v>
      </c>
      <c r="BM62" s="35">
        <v>27694395</v>
      </c>
      <c r="BN62" s="35">
        <v>526193499.75</v>
      </c>
      <c r="BO62" s="35"/>
      <c r="BP62" s="36"/>
      <c r="BQ62" s="35">
        <v>553887894.74000001</v>
      </c>
      <c r="BR62" s="35">
        <v>526193499.75</v>
      </c>
      <c r="BS62" s="35"/>
      <c r="BT62" s="35">
        <v>27694394.989999998</v>
      </c>
      <c r="BU62" s="35">
        <v>5</v>
      </c>
      <c r="BV62" s="35"/>
      <c r="BW62" s="35"/>
      <c r="BX62" s="85">
        <v>526193499.75</v>
      </c>
      <c r="BY62" s="27"/>
      <c r="BZ62" s="36">
        <v>526193500</v>
      </c>
      <c r="CA62" s="85">
        <v>526193500</v>
      </c>
      <c r="CB62" s="35"/>
      <c r="CC62" s="35">
        <v>142838200</v>
      </c>
      <c r="CD62" s="35">
        <v>135696200</v>
      </c>
      <c r="CE62" s="35">
        <v>7142000</v>
      </c>
      <c r="CF62" s="35">
        <v>135696199.38</v>
      </c>
      <c r="CG62" s="35">
        <v>8589900</v>
      </c>
      <c r="CH62" s="36"/>
      <c r="CI62" s="35">
        <v>142838199.34999999</v>
      </c>
      <c r="CJ62" s="35">
        <v>135696199.38</v>
      </c>
      <c r="CK62" s="35"/>
      <c r="CL62" s="35">
        <v>7141999.9699999997</v>
      </c>
      <c r="CM62" s="35">
        <v>5.0000600000000004</v>
      </c>
      <c r="CN62" s="35">
        <v>8589900</v>
      </c>
      <c r="CO62" s="35"/>
      <c r="CP62" s="85">
        <v>135696199.38</v>
      </c>
      <c r="CQ62" s="27"/>
      <c r="CR62" s="36">
        <v>135696200</v>
      </c>
      <c r="CS62" s="85">
        <v>135696200</v>
      </c>
      <c r="CT62" s="35"/>
      <c r="CU62" s="35"/>
      <c r="CV62" s="35"/>
      <c r="CW62" s="35"/>
      <c r="CX62" s="35"/>
      <c r="CY62" s="35"/>
      <c r="CZ62" s="36"/>
      <c r="DA62" s="35"/>
      <c r="DB62" s="35"/>
      <c r="DC62" s="35"/>
      <c r="DD62" s="35"/>
      <c r="DE62" s="35"/>
      <c r="DF62" s="35"/>
      <c r="DG62" s="35"/>
      <c r="DH62" s="85"/>
      <c r="DI62" s="27"/>
      <c r="DJ62" s="36"/>
      <c r="DK62" s="85"/>
      <c r="DL62" s="35"/>
      <c r="DM62" s="35">
        <v>119099053</v>
      </c>
      <c r="DN62" s="35">
        <v>113144100</v>
      </c>
      <c r="DO62" s="35">
        <v>5954953</v>
      </c>
      <c r="DP62" s="35">
        <v>113144099.66</v>
      </c>
      <c r="DQ62" s="35"/>
      <c r="DR62" s="36"/>
      <c r="DS62" s="35">
        <v>119099052.64</v>
      </c>
      <c r="DT62" s="35">
        <v>113144099.66</v>
      </c>
      <c r="DU62" s="35"/>
      <c r="DV62" s="35">
        <v>5954952.9800000004</v>
      </c>
      <c r="DW62" s="35">
        <v>5</v>
      </c>
      <c r="DX62" s="35"/>
      <c r="DY62" s="35"/>
      <c r="DZ62" s="85">
        <v>113144099.66</v>
      </c>
      <c r="EA62" s="27"/>
      <c r="EB62" s="36">
        <v>113144100</v>
      </c>
      <c r="EC62" s="85">
        <v>113144100</v>
      </c>
      <c r="ED62" s="35"/>
      <c r="EE62" s="35">
        <v>128077575.8</v>
      </c>
      <c r="EF62" s="35">
        <v>126796800</v>
      </c>
      <c r="EG62" s="35">
        <v>1280775.8</v>
      </c>
      <c r="EH62" s="35">
        <v>126796799.20999999</v>
      </c>
      <c r="EI62" s="35"/>
      <c r="EJ62" s="36"/>
      <c r="EK62" s="35">
        <v>128077575</v>
      </c>
      <c r="EL62" s="35">
        <v>126796799.20999999</v>
      </c>
      <c r="EM62" s="35"/>
      <c r="EN62" s="35">
        <v>1280775.79</v>
      </c>
      <c r="EO62" s="35">
        <v>1</v>
      </c>
      <c r="EP62" s="35"/>
      <c r="EQ62" s="35"/>
      <c r="ER62" s="85">
        <v>126796799.20999999</v>
      </c>
      <c r="ES62" s="27"/>
      <c r="ET62" s="36">
        <v>126796800</v>
      </c>
      <c r="EU62" s="85">
        <v>126796800</v>
      </c>
      <c r="EV62" s="35"/>
      <c r="EW62" s="35">
        <v>126459630</v>
      </c>
      <c r="EX62" s="35">
        <v>94844700</v>
      </c>
      <c r="EY62" s="35">
        <v>31614930</v>
      </c>
      <c r="EZ62" s="35">
        <v>94844698.049999997</v>
      </c>
      <c r="FA62" s="35"/>
      <c r="FB62" s="36"/>
      <c r="FC62" s="35">
        <v>126459627.48999999</v>
      </c>
      <c r="FD62" s="35">
        <v>94844698.049999997</v>
      </c>
      <c r="FE62" s="35"/>
      <c r="FF62" s="35">
        <v>31614929.440000001</v>
      </c>
      <c r="FG62" s="35">
        <v>25.000019999999999</v>
      </c>
      <c r="FH62" s="35"/>
      <c r="FI62" s="35">
        <v>0</v>
      </c>
      <c r="FJ62" s="85">
        <v>94844698.049999997</v>
      </c>
      <c r="FK62" s="27"/>
      <c r="FL62" s="36">
        <v>94844700</v>
      </c>
      <c r="FM62" s="85">
        <v>94844700</v>
      </c>
      <c r="FN62" s="35"/>
      <c r="FO62" s="35"/>
      <c r="FP62" s="35"/>
      <c r="FQ62" s="35"/>
      <c r="FR62" s="35"/>
      <c r="FS62" s="35"/>
      <c r="FT62" s="36"/>
      <c r="FU62" s="35"/>
      <c r="FV62" s="35"/>
      <c r="FW62" s="35"/>
      <c r="FX62" s="35"/>
      <c r="FY62" s="35"/>
      <c r="FZ62" s="35"/>
      <c r="GA62" s="35"/>
      <c r="GB62" s="85"/>
      <c r="GC62" s="27"/>
      <c r="GD62" s="36"/>
      <c r="GE62" s="85"/>
      <c r="GF62" s="35"/>
      <c r="GG62" s="35">
        <v>33810100</v>
      </c>
      <c r="GH62" s="35">
        <v>28810100</v>
      </c>
      <c r="GI62" s="35">
        <v>5000000</v>
      </c>
      <c r="GJ62" s="35">
        <v>28810100</v>
      </c>
      <c r="GK62" s="35"/>
      <c r="GL62" s="36"/>
      <c r="GM62" s="35">
        <v>33810100</v>
      </c>
      <c r="GN62" s="35">
        <v>28810100</v>
      </c>
      <c r="GO62" s="35"/>
      <c r="GP62" s="35">
        <v>5000000</v>
      </c>
      <c r="GQ62" s="35">
        <v>14.78848</v>
      </c>
      <c r="GR62" s="35"/>
      <c r="GS62" s="35"/>
      <c r="GT62" s="85">
        <v>28810100</v>
      </c>
      <c r="GU62" s="27"/>
      <c r="GV62" s="36">
        <v>28810100</v>
      </c>
      <c r="GW62" s="85">
        <v>28810100</v>
      </c>
      <c r="GX62" s="35"/>
      <c r="GY62" s="35"/>
      <c r="GZ62" s="35"/>
      <c r="HA62" s="35"/>
      <c r="HB62" s="35"/>
      <c r="HC62" s="35"/>
      <c r="HD62" s="36"/>
      <c r="HE62" s="35"/>
      <c r="HF62" s="35"/>
      <c r="HG62" s="35"/>
      <c r="HH62" s="35"/>
      <c r="HI62" s="35"/>
      <c r="HJ62" s="35"/>
      <c r="HK62" s="35"/>
      <c r="HL62" s="85"/>
      <c r="HM62" s="27"/>
      <c r="HN62" s="36"/>
      <c r="HO62" s="85"/>
      <c r="HP62" s="35"/>
      <c r="HQ62" s="35"/>
      <c r="HR62" s="35"/>
      <c r="HS62" s="35"/>
      <c r="HT62" s="35"/>
      <c r="HU62" s="35"/>
      <c r="HV62" s="36"/>
      <c r="HW62" s="35"/>
      <c r="HX62" s="35"/>
      <c r="HY62" s="35"/>
      <c r="HZ62" s="35"/>
      <c r="IA62" s="35"/>
      <c r="IB62" s="35"/>
      <c r="IC62" s="35"/>
      <c r="ID62" s="85"/>
      <c r="IE62" s="27"/>
      <c r="IF62" s="36"/>
      <c r="IG62" s="85"/>
      <c r="IH62" s="35"/>
      <c r="II62" s="35"/>
      <c r="IJ62" s="35"/>
      <c r="IK62" s="35"/>
      <c r="IL62" s="35"/>
      <c r="IM62" s="35"/>
      <c r="IN62" s="36"/>
      <c r="IO62" s="35"/>
      <c r="IP62" s="35"/>
      <c r="IQ62" s="35"/>
      <c r="IR62" s="35"/>
      <c r="IS62" s="35"/>
      <c r="IT62" s="35"/>
      <c r="IU62" s="35"/>
      <c r="IV62" s="85"/>
      <c r="IW62" s="27"/>
      <c r="IX62" s="36"/>
      <c r="IY62" s="85"/>
      <c r="IZ62" s="35"/>
      <c r="JA62" s="35"/>
      <c r="JB62" s="35"/>
      <c r="JC62" s="35"/>
      <c r="JD62" s="35"/>
      <c r="JE62" s="35"/>
      <c r="JF62" s="36"/>
      <c r="JG62" s="35"/>
      <c r="JH62" s="35"/>
      <c r="JI62" s="35"/>
      <c r="JJ62" s="35"/>
      <c r="JK62" s="35"/>
      <c r="JL62" s="35"/>
      <c r="JM62" s="35"/>
      <c r="JN62" s="85"/>
      <c r="JO62" s="27"/>
      <c r="JP62" s="36"/>
      <c r="JQ62" s="85"/>
      <c r="JR62" s="35"/>
      <c r="JS62" s="35"/>
      <c r="JT62" s="35"/>
      <c r="JU62" s="35"/>
      <c r="JV62" s="35"/>
      <c r="JW62" s="35"/>
      <c r="JX62" s="36"/>
      <c r="JY62" s="35"/>
      <c r="JZ62" s="35"/>
      <c r="KA62" s="35"/>
      <c r="KB62" s="35"/>
      <c r="KC62" s="35"/>
      <c r="KD62" s="35"/>
      <c r="KE62" s="35"/>
      <c r="KF62" s="85"/>
      <c r="KG62" s="27"/>
      <c r="KH62" s="36"/>
      <c r="KI62" s="85"/>
      <c r="KJ62" s="35"/>
      <c r="KK62" s="35"/>
      <c r="KL62" s="35"/>
      <c r="KM62" s="35"/>
      <c r="KN62" s="35"/>
      <c r="KO62" s="35"/>
      <c r="KP62" s="36"/>
      <c r="KQ62" s="35"/>
      <c r="KR62" s="35"/>
      <c r="KS62" s="35"/>
      <c r="KT62" s="35"/>
      <c r="KU62" s="35"/>
      <c r="KV62" s="35"/>
      <c r="KW62" s="35"/>
      <c r="KX62" s="85"/>
      <c r="KY62" s="27"/>
      <c r="KZ62" s="36"/>
      <c r="LA62" s="85"/>
      <c r="LB62" s="35"/>
      <c r="LC62" s="35"/>
      <c r="LD62" s="35"/>
      <c r="LE62" s="35"/>
      <c r="LF62" s="35"/>
      <c r="LG62" s="35"/>
      <c r="LH62" s="36"/>
      <c r="LI62" s="35"/>
      <c r="LJ62" s="35"/>
      <c r="LK62" s="35"/>
      <c r="LL62" s="35"/>
      <c r="LM62" s="35"/>
      <c r="LN62" s="35"/>
      <c r="LO62" s="35"/>
      <c r="LP62" s="85"/>
      <c r="LQ62" s="27"/>
      <c r="LR62" s="36"/>
      <c r="LS62" s="85"/>
      <c r="LT62" s="35"/>
      <c r="LU62" s="35">
        <v>27138800</v>
      </c>
      <c r="LV62" s="35">
        <v>24638800</v>
      </c>
      <c r="LW62" s="35">
        <v>2500000</v>
      </c>
      <c r="LX62" s="35">
        <v>24638800</v>
      </c>
      <c r="LY62" s="35"/>
      <c r="LZ62" s="36"/>
      <c r="MA62" s="35">
        <v>27138800</v>
      </c>
      <c r="MB62" s="35">
        <v>24638800</v>
      </c>
      <c r="MC62" s="35"/>
      <c r="MD62" s="35">
        <v>2500000</v>
      </c>
      <c r="ME62" s="35">
        <v>9.2119</v>
      </c>
      <c r="MF62" s="35"/>
      <c r="MG62" s="35"/>
      <c r="MH62" s="85">
        <v>24638800</v>
      </c>
      <c r="MI62" s="27"/>
      <c r="MJ62" s="36">
        <v>24638800</v>
      </c>
      <c r="MK62" s="85">
        <v>24638800</v>
      </c>
      <c r="ML62" s="35"/>
      <c r="MM62" s="35"/>
      <c r="MN62" s="35"/>
      <c r="MO62" s="35"/>
      <c r="MP62" s="35"/>
      <c r="MQ62" s="35"/>
      <c r="MR62" s="36"/>
      <c r="MS62" s="35"/>
      <c r="MT62" s="35"/>
      <c r="MU62" s="35"/>
      <c r="MV62" s="35"/>
      <c r="MW62" s="35"/>
      <c r="MX62" s="35"/>
      <c r="MY62" s="35"/>
      <c r="MZ62" s="85"/>
      <c r="NA62" s="27"/>
      <c r="NB62" s="36"/>
      <c r="NC62" s="85"/>
      <c r="ND62" s="35"/>
      <c r="NE62" s="35"/>
      <c r="NF62" s="35"/>
      <c r="NG62" s="35"/>
      <c r="NH62" s="35"/>
      <c r="NI62" s="35"/>
      <c r="NJ62" s="36"/>
      <c r="NK62" s="35"/>
      <c r="NL62" s="35"/>
      <c r="NM62" s="35"/>
      <c r="NN62" s="35"/>
      <c r="NO62" s="35"/>
      <c r="NP62" s="35"/>
      <c r="NQ62" s="35"/>
      <c r="NR62" s="85"/>
      <c r="NS62" s="27"/>
      <c r="NT62" s="36"/>
      <c r="NU62" s="85"/>
      <c r="NV62" s="35"/>
      <c r="NW62" s="35"/>
      <c r="NX62" s="35"/>
      <c r="NY62" s="35"/>
      <c r="NZ62" s="35"/>
      <c r="OA62" s="35"/>
      <c r="OB62" s="36"/>
      <c r="OC62" s="35"/>
      <c r="OD62" s="35"/>
      <c r="OE62" s="35"/>
      <c r="OF62" s="35"/>
      <c r="OG62" s="35"/>
      <c r="OH62" s="35"/>
      <c r="OI62" s="35"/>
      <c r="OJ62" s="85"/>
      <c r="OK62" s="27"/>
      <c r="OL62" s="36"/>
      <c r="OM62" s="85"/>
      <c r="ON62" s="35"/>
      <c r="OO62" s="35"/>
      <c r="OP62" s="35"/>
      <c r="OQ62" s="35"/>
      <c r="OR62" s="35"/>
      <c r="OS62" s="35"/>
      <c r="OT62" s="36"/>
      <c r="OU62" s="35"/>
      <c r="OV62" s="35"/>
      <c r="OW62" s="35"/>
      <c r="OX62" s="35"/>
      <c r="OY62" s="35"/>
      <c r="OZ62" s="35"/>
      <c r="PA62" s="35"/>
      <c r="PB62" s="85"/>
      <c r="PC62" s="27"/>
      <c r="PD62" s="36"/>
      <c r="PE62" s="85"/>
      <c r="PF62" s="35"/>
      <c r="PG62" s="35"/>
      <c r="PH62" s="35"/>
      <c r="PI62" s="35"/>
      <c r="PJ62" s="35"/>
      <c r="PK62" s="35">
        <v>7802650</v>
      </c>
      <c r="PL62" s="36"/>
      <c r="PM62" s="35"/>
      <c r="PN62" s="35"/>
      <c r="PO62" s="35"/>
      <c r="PP62" s="35"/>
      <c r="PQ62" s="35"/>
      <c r="PR62" s="35">
        <v>7802650</v>
      </c>
      <c r="PS62" s="35"/>
      <c r="PT62" s="85"/>
      <c r="PU62" s="27"/>
      <c r="PV62" s="36"/>
      <c r="PW62" s="85"/>
      <c r="PX62" s="35"/>
      <c r="PY62" s="35"/>
      <c r="PZ62" s="35"/>
      <c r="QA62" s="35"/>
      <c r="QB62" s="35"/>
      <c r="QC62" s="35"/>
      <c r="QD62" s="36"/>
      <c r="QE62" s="35"/>
      <c r="QF62" s="35"/>
      <c r="QG62" s="35"/>
      <c r="QH62" s="35"/>
      <c r="QI62" s="35"/>
      <c r="QJ62" s="35"/>
      <c r="QK62" s="35"/>
      <c r="QL62" s="85"/>
      <c r="QM62" s="27"/>
      <c r="QN62" s="36"/>
      <c r="QO62" s="85"/>
      <c r="QP62" s="35"/>
      <c r="QQ62" s="35"/>
      <c r="QR62" s="35"/>
      <c r="QS62" s="35"/>
      <c r="QT62" s="35"/>
      <c r="QU62" s="35"/>
      <c r="QV62" s="36"/>
      <c r="QW62" s="35"/>
      <c r="QX62" s="35"/>
      <c r="QY62" s="35"/>
      <c r="QZ62" s="35"/>
      <c r="RA62" s="35"/>
      <c r="RB62" s="35"/>
      <c r="RC62" s="35"/>
      <c r="RD62" s="85"/>
      <c r="RE62" s="27"/>
      <c r="RF62" s="36"/>
      <c r="RG62" s="85"/>
      <c r="RH62" s="35"/>
      <c r="RI62" s="35"/>
      <c r="RJ62" s="35"/>
      <c r="RK62" s="35"/>
      <c r="RL62" s="35"/>
      <c r="RM62" s="35"/>
      <c r="RN62" s="36"/>
      <c r="RO62" s="35"/>
      <c r="RP62" s="35"/>
      <c r="RQ62" s="35"/>
      <c r="RR62" s="35"/>
      <c r="RS62" s="35"/>
      <c r="RT62" s="35"/>
      <c r="RU62" s="35"/>
      <c r="RV62" s="85"/>
      <c r="RW62" s="27"/>
      <c r="RX62" s="36"/>
      <c r="RY62" s="85"/>
      <c r="RZ62" s="35"/>
      <c r="SA62" s="35"/>
      <c r="SB62" s="35"/>
      <c r="SC62" s="35"/>
      <c r="SD62" s="35"/>
      <c r="SE62" s="35"/>
      <c r="SF62" s="36"/>
      <c r="SG62" s="35"/>
      <c r="SH62" s="35"/>
      <c r="SI62" s="35"/>
      <c r="SJ62" s="35"/>
      <c r="SK62" s="35"/>
      <c r="SL62" s="35"/>
      <c r="SM62" s="35"/>
      <c r="SN62" s="85"/>
      <c r="SO62" s="27"/>
      <c r="SP62" s="36"/>
      <c r="SQ62" s="85"/>
      <c r="SR62" s="35"/>
      <c r="SS62" s="35"/>
      <c r="ST62" s="35"/>
      <c r="SU62" s="35"/>
      <c r="SV62" s="35"/>
      <c r="SW62" s="35"/>
      <c r="SX62" s="36"/>
      <c r="SY62" s="35"/>
      <c r="SZ62" s="35"/>
      <c r="TA62" s="35"/>
      <c r="TB62" s="35"/>
      <c r="TC62" s="35"/>
      <c r="TD62" s="35"/>
      <c r="TE62" s="35"/>
      <c r="TF62" s="85"/>
      <c r="TG62" s="27"/>
      <c r="TH62" s="36"/>
      <c r="TI62" s="85"/>
      <c r="TJ62" s="35"/>
      <c r="TK62" s="35"/>
      <c r="TL62" s="35"/>
      <c r="TM62" s="35"/>
      <c r="TN62" s="35"/>
      <c r="TO62" s="35"/>
      <c r="TP62" s="36"/>
      <c r="TQ62" s="35"/>
      <c r="TR62" s="35"/>
      <c r="TS62" s="35"/>
      <c r="TT62" s="35"/>
      <c r="TU62" s="35"/>
      <c r="TV62" s="35"/>
      <c r="TW62" s="35"/>
      <c r="TX62" s="85"/>
      <c r="TY62" s="27"/>
      <c r="TZ62" s="36"/>
      <c r="UA62" s="85"/>
      <c r="UB62" s="35"/>
      <c r="UC62" s="35"/>
      <c r="UD62" s="35"/>
      <c r="UE62" s="35"/>
      <c r="UF62" s="35"/>
      <c r="UG62" s="35"/>
      <c r="UH62" s="36"/>
      <c r="UI62" s="35"/>
      <c r="UJ62" s="35"/>
      <c r="UK62" s="35"/>
      <c r="UL62" s="35"/>
      <c r="UM62" s="35"/>
      <c r="UN62" s="35"/>
      <c r="UO62" s="35"/>
      <c r="UP62" s="85"/>
      <c r="UQ62" s="27"/>
      <c r="UR62" s="36"/>
      <c r="US62" s="85"/>
    </row>
    <row r="63" spans="1:565" ht="15" thickBot="1" x14ac:dyDescent="0.35">
      <c r="A63" s="14" t="s">
        <v>123</v>
      </c>
      <c r="B63" s="170">
        <v>49</v>
      </c>
      <c r="C63" s="16" t="s">
        <v>125</v>
      </c>
      <c r="F63" s="36">
        <v>4362694000</v>
      </c>
      <c r="G63" s="85"/>
      <c r="H63" s="35"/>
      <c r="I63" s="35">
        <v>239254255.31999999</v>
      </c>
      <c r="J63" s="35">
        <v>224899000</v>
      </c>
      <c r="K63" s="35">
        <v>14355255.32</v>
      </c>
      <c r="L63" s="35">
        <v>224899000</v>
      </c>
      <c r="M63" s="35"/>
      <c r="N63" s="36"/>
      <c r="O63" s="35">
        <v>239254255.27000001</v>
      </c>
      <c r="P63" s="35">
        <v>224898999.94999999</v>
      </c>
      <c r="Q63" s="35"/>
      <c r="R63" s="35">
        <v>14355255.32</v>
      </c>
      <c r="S63" s="35">
        <v>6</v>
      </c>
      <c r="T63" s="35"/>
      <c r="U63" s="35">
        <v>0.05</v>
      </c>
      <c r="V63" s="85">
        <v>224899000</v>
      </c>
      <c r="W63" s="27"/>
      <c r="X63" s="36">
        <v>224899000</v>
      </c>
      <c r="Y63" s="85">
        <v>224899000</v>
      </c>
      <c r="Z63" s="35"/>
      <c r="AA63" s="35">
        <v>100228829.79000001</v>
      </c>
      <c r="AB63" s="35">
        <v>94215100</v>
      </c>
      <c r="AC63" s="35">
        <v>6013729.79</v>
      </c>
      <c r="AD63" s="35">
        <v>94215100</v>
      </c>
      <c r="AE63" s="35">
        <v>6195.04</v>
      </c>
      <c r="AF63" s="36"/>
      <c r="AG63" s="35">
        <v>100228829.79000001</v>
      </c>
      <c r="AH63" s="35">
        <v>94215100</v>
      </c>
      <c r="AI63" s="35"/>
      <c r="AJ63" s="35">
        <v>6013729.79</v>
      </c>
      <c r="AK63" s="35">
        <v>6</v>
      </c>
      <c r="AL63" s="35">
        <v>6195.04</v>
      </c>
      <c r="AM63" s="35"/>
      <c r="AN63" s="85">
        <v>94215100</v>
      </c>
      <c r="AO63" s="27"/>
      <c r="AP63" s="36">
        <v>94215100</v>
      </c>
      <c r="AQ63" s="85">
        <v>94215100</v>
      </c>
      <c r="AR63" s="35"/>
      <c r="AS63" s="35">
        <v>1867544680.8499999</v>
      </c>
      <c r="AT63" s="35">
        <v>1755492000</v>
      </c>
      <c r="AU63" s="35">
        <v>112052680.84999999</v>
      </c>
      <c r="AV63" s="35">
        <v>1748265803.1100001</v>
      </c>
      <c r="AW63" s="35">
        <v>91886097.890000001</v>
      </c>
      <c r="AX63" s="36"/>
      <c r="AY63" s="35">
        <v>1859857237.3299999</v>
      </c>
      <c r="AZ63" s="35">
        <v>1748265803.0899999</v>
      </c>
      <c r="BA63" s="35"/>
      <c r="BB63" s="35">
        <v>111591434.23999999</v>
      </c>
      <c r="BC63" s="35">
        <v>6</v>
      </c>
      <c r="BD63" s="35">
        <v>68969898.370000005</v>
      </c>
      <c r="BE63" s="35">
        <v>22916199.539999999</v>
      </c>
      <c r="BF63" s="85">
        <v>1748265803.1100001</v>
      </c>
      <c r="BG63" s="27"/>
      <c r="BH63" s="36">
        <v>1755492000</v>
      </c>
      <c r="BI63" s="85">
        <v>1755492000</v>
      </c>
      <c r="BJ63" s="35"/>
      <c r="BK63" s="35">
        <v>1542855301.4499998</v>
      </c>
      <c r="BL63" s="35">
        <v>1055609000</v>
      </c>
      <c r="BM63" s="35">
        <v>487246301.44999999</v>
      </c>
      <c r="BN63" s="35">
        <v>1050879824.89</v>
      </c>
      <c r="BO63" s="35"/>
      <c r="BP63" s="36"/>
      <c r="BQ63" s="35">
        <v>1536467723.22</v>
      </c>
      <c r="BR63" s="35">
        <v>1050879824.88</v>
      </c>
      <c r="BS63" s="35"/>
      <c r="BT63" s="35">
        <v>485587898.33999997</v>
      </c>
      <c r="BU63" s="35">
        <v>31.60417</v>
      </c>
      <c r="BV63" s="35"/>
      <c r="BW63" s="35">
        <v>0.01</v>
      </c>
      <c r="BX63" s="85">
        <v>1050879824.89</v>
      </c>
      <c r="BY63" s="27"/>
      <c r="BZ63" s="36">
        <v>1055609000</v>
      </c>
      <c r="CA63" s="85">
        <v>1055609000</v>
      </c>
      <c r="CB63" s="35"/>
      <c r="CC63" s="35">
        <v>475061170.22000003</v>
      </c>
      <c r="CD63" s="35">
        <v>446557500</v>
      </c>
      <c r="CE63" s="35">
        <v>28503670.219999999</v>
      </c>
      <c r="CF63" s="35">
        <v>446557500</v>
      </c>
      <c r="CG63" s="35"/>
      <c r="CH63" s="36"/>
      <c r="CI63" s="35">
        <v>475061170.22000003</v>
      </c>
      <c r="CJ63" s="35">
        <v>446557500</v>
      </c>
      <c r="CK63" s="35"/>
      <c r="CL63" s="35">
        <v>28503670.219999999</v>
      </c>
      <c r="CM63" s="35">
        <v>6</v>
      </c>
      <c r="CN63" s="35"/>
      <c r="CO63" s="35"/>
      <c r="CP63" s="85">
        <v>446557500</v>
      </c>
      <c r="CQ63" s="27"/>
      <c r="CR63" s="36">
        <v>446557500</v>
      </c>
      <c r="CS63" s="85">
        <v>446557500</v>
      </c>
      <c r="CT63" s="35"/>
      <c r="CU63" s="35">
        <v>319947872.33999997</v>
      </c>
      <c r="CV63" s="35">
        <v>300751000</v>
      </c>
      <c r="CW63" s="35">
        <v>19196872.34</v>
      </c>
      <c r="CX63" s="35">
        <v>300751000</v>
      </c>
      <c r="CY63" s="35"/>
      <c r="CZ63" s="36"/>
      <c r="DA63" s="35">
        <v>319947872.33999997</v>
      </c>
      <c r="DB63" s="35">
        <v>300751000</v>
      </c>
      <c r="DC63" s="35"/>
      <c r="DD63" s="35">
        <v>19196872.34</v>
      </c>
      <c r="DE63" s="35">
        <v>6</v>
      </c>
      <c r="DF63" s="35"/>
      <c r="DG63" s="35"/>
      <c r="DH63" s="85">
        <v>300751000</v>
      </c>
      <c r="DI63" s="27"/>
      <c r="DJ63" s="36">
        <v>300751000</v>
      </c>
      <c r="DK63" s="85">
        <v>300751000</v>
      </c>
      <c r="DL63" s="35"/>
      <c r="DM63" s="35">
        <v>148629400</v>
      </c>
      <c r="DN63" s="35">
        <v>148129400</v>
      </c>
      <c r="DO63" s="35">
        <v>500000</v>
      </c>
      <c r="DP63" s="35">
        <v>148129400</v>
      </c>
      <c r="DQ63" s="35"/>
      <c r="DR63" s="36"/>
      <c r="DS63" s="35">
        <v>148629400</v>
      </c>
      <c r="DT63" s="35">
        <v>148129400</v>
      </c>
      <c r="DU63" s="35"/>
      <c r="DV63" s="35">
        <v>500000</v>
      </c>
      <c r="DW63" s="35">
        <v>0.33640999999999999</v>
      </c>
      <c r="DX63" s="35"/>
      <c r="DY63" s="35"/>
      <c r="DZ63" s="85">
        <v>148129400</v>
      </c>
      <c r="EA63" s="27"/>
      <c r="EB63" s="36">
        <v>148129400</v>
      </c>
      <c r="EC63" s="85">
        <v>148129400</v>
      </c>
      <c r="ED63" s="35"/>
      <c r="EE63" s="35">
        <v>90898686.870000005</v>
      </c>
      <c r="EF63" s="35">
        <v>89989700</v>
      </c>
      <c r="EG63" s="35">
        <v>908986.87</v>
      </c>
      <c r="EH63" s="35">
        <v>89989435.670000002</v>
      </c>
      <c r="EI63" s="35"/>
      <c r="EJ63" s="36"/>
      <c r="EK63" s="35">
        <v>90898419.870000005</v>
      </c>
      <c r="EL63" s="35">
        <v>89989435.670000002</v>
      </c>
      <c r="EM63" s="35"/>
      <c r="EN63" s="35">
        <v>908984.2</v>
      </c>
      <c r="EO63" s="35">
        <v>1</v>
      </c>
      <c r="EP63" s="35"/>
      <c r="EQ63" s="35"/>
      <c r="ER63" s="85">
        <v>89989435.670000002</v>
      </c>
      <c r="ES63" s="27"/>
      <c r="ET63" s="36">
        <v>89989700</v>
      </c>
      <c r="EU63" s="85">
        <v>89989700</v>
      </c>
      <c r="EV63" s="35"/>
      <c r="EW63" s="35">
        <v>261581900</v>
      </c>
      <c r="EX63" s="35">
        <v>218126900</v>
      </c>
      <c r="EY63" s="35">
        <v>43455000</v>
      </c>
      <c r="EZ63" s="35">
        <v>218043577.27000001</v>
      </c>
      <c r="FA63" s="35">
        <v>1215643.24</v>
      </c>
      <c r="FB63" s="36"/>
      <c r="FC63" s="35">
        <v>261400020.80000001</v>
      </c>
      <c r="FD63" s="35">
        <v>217975235.28</v>
      </c>
      <c r="FE63" s="35"/>
      <c r="FF63" s="35">
        <v>43424785.520000003</v>
      </c>
      <c r="FG63" s="35">
        <v>16.612390000000001</v>
      </c>
      <c r="FH63" s="35">
        <v>1215643.24</v>
      </c>
      <c r="FI63" s="35">
        <v>68341.990000000005</v>
      </c>
      <c r="FJ63" s="85">
        <v>218043577.27000001</v>
      </c>
      <c r="FK63" s="27"/>
      <c r="FL63" s="36">
        <v>218126900</v>
      </c>
      <c r="FM63" s="85">
        <v>218126900</v>
      </c>
      <c r="FN63" s="35"/>
      <c r="FO63" s="35"/>
      <c r="FP63" s="35"/>
      <c r="FQ63" s="35"/>
      <c r="FR63" s="35"/>
      <c r="FS63" s="35">
        <v>186431.67</v>
      </c>
      <c r="FT63" s="36"/>
      <c r="FU63" s="35"/>
      <c r="FV63" s="35"/>
      <c r="FW63" s="35"/>
      <c r="FX63" s="35"/>
      <c r="FY63" s="35"/>
      <c r="FZ63" s="35">
        <v>186431.67</v>
      </c>
      <c r="GA63" s="35"/>
      <c r="GB63" s="85"/>
      <c r="GC63" s="27"/>
      <c r="GD63" s="36"/>
      <c r="GE63" s="85"/>
      <c r="GF63" s="35"/>
      <c r="GG63" s="35">
        <v>24948272</v>
      </c>
      <c r="GH63" s="35">
        <v>22504600</v>
      </c>
      <c r="GI63" s="35">
        <v>2443672</v>
      </c>
      <c r="GJ63" s="35">
        <v>6104865.1699999999</v>
      </c>
      <c r="GK63" s="35">
        <v>2545.15</v>
      </c>
      <c r="GL63" s="36"/>
      <c r="GM63" s="35">
        <v>6604131.75</v>
      </c>
      <c r="GN63" s="35">
        <v>6104865.1699999999</v>
      </c>
      <c r="GO63" s="35"/>
      <c r="GP63" s="35">
        <v>499266.58</v>
      </c>
      <c r="GQ63" s="35">
        <v>7.5599100000000004</v>
      </c>
      <c r="GR63" s="35">
        <v>2545.15</v>
      </c>
      <c r="GS63" s="35"/>
      <c r="GT63" s="85">
        <v>6104865.1699999999</v>
      </c>
      <c r="GU63" s="27"/>
      <c r="GV63" s="36">
        <v>22504600</v>
      </c>
      <c r="GW63" s="85">
        <v>22504600</v>
      </c>
      <c r="GX63" s="35"/>
      <c r="GY63" s="35"/>
      <c r="GZ63" s="35"/>
      <c r="HA63" s="35"/>
      <c r="HB63" s="35"/>
      <c r="HC63" s="35">
        <v>3722.45</v>
      </c>
      <c r="HD63" s="36"/>
      <c r="HE63" s="35"/>
      <c r="HF63" s="35"/>
      <c r="HG63" s="35"/>
      <c r="HH63" s="35"/>
      <c r="HI63" s="35"/>
      <c r="HJ63" s="35">
        <v>3722.45</v>
      </c>
      <c r="HK63" s="35"/>
      <c r="HL63" s="85"/>
      <c r="HM63" s="27"/>
      <c r="HN63" s="36"/>
      <c r="HO63" s="85"/>
      <c r="HP63" s="35"/>
      <c r="HQ63" s="35"/>
      <c r="HR63" s="35"/>
      <c r="HS63" s="35"/>
      <c r="HT63" s="35"/>
      <c r="HU63" s="35"/>
      <c r="HV63" s="36"/>
      <c r="HW63" s="35"/>
      <c r="HX63" s="35"/>
      <c r="HY63" s="35"/>
      <c r="HZ63" s="35"/>
      <c r="IA63" s="35"/>
      <c r="IB63" s="35"/>
      <c r="IC63" s="35"/>
      <c r="ID63" s="85"/>
      <c r="IE63" s="27"/>
      <c r="IF63" s="36"/>
      <c r="IG63" s="85"/>
      <c r="IH63" s="35"/>
      <c r="II63" s="35"/>
      <c r="IJ63" s="35"/>
      <c r="IK63" s="35"/>
      <c r="IL63" s="35"/>
      <c r="IM63" s="35"/>
      <c r="IN63" s="36"/>
      <c r="IO63" s="35"/>
      <c r="IP63" s="35"/>
      <c r="IQ63" s="35"/>
      <c r="IR63" s="35"/>
      <c r="IS63" s="35"/>
      <c r="IT63" s="35"/>
      <c r="IU63" s="35"/>
      <c r="IV63" s="85"/>
      <c r="IW63" s="27"/>
      <c r="IX63" s="36"/>
      <c r="IY63" s="85"/>
      <c r="IZ63" s="35"/>
      <c r="JA63" s="35"/>
      <c r="JB63" s="35"/>
      <c r="JC63" s="35"/>
      <c r="JD63" s="35"/>
      <c r="JE63" s="35"/>
      <c r="JF63" s="36"/>
      <c r="JG63" s="35"/>
      <c r="JH63" s="35"/>
      <c r="JI63" s="35"/>
      <c r="JJ63" s="35"/>
      <c r="JK63" s="35"/>
      <c r="JL63" s="35"/>
      <c r="JM63" s="35"/>
      <c r="JN63" s="85"/>
      <c r="JO63" s="27"/>
      <c r="JP63" s="36"/>
      <c r="JQ63" s="85"/>
      <c r="JR63" s="35"/>
      <c r="JS63" s="35"/>
      <c r="JT63" s="35"/>
      <c r="JU63" s="35"/>
      <c r="JV63" s="35"/>
      <c r="JW63" s="35"/>
      <c r="JX63" s="36"/>
      <c r="JY63" s="35"/>
      <c r="JZ63" s="35"/>
      <c r="KA63" s="35"/>
      <c r="KB63" s="35"/>
      <c r="KC63" s="35"/>
      <c r="KD63" s="35"/>
      <c r="KE63" s="35"/>
      <c r="KF63" s="85"/>
      <c r="KG63" s="27"/>
      <c r="KH63" s="36"/>
      <c r="KI63" s="85"/>
      <c r="KJ63" s="35"/>
      <c r="KK63" s="35">
        <v>39419800</v>
      </c>
      <c r="KL63" s="35">
        <v>6419800</v>
      </c>
      <c r="KM63" s="35">
        <v>33000000</v>
      </c>
      <c r="KN63" s="35">
        <v>6178818.8499999996</v>
      </c>
      <c r="KO63" s="35">
        <v>0</v>
      </c>
      <c r="KP63" s="36"/>
      <c r="KQ63" s="35">
        <v>37940092.090000004</v>
      </c>
      <c r="KR63" s="35">
        <v>6178818.8499999996</v>
      </c>
      <c r="KS63" s="35"/>
      <c r="KT63" s="35">
        <v>31761273.239999998</v>
      </c>
      <c r="KU63" s="35">
        <v>83.714280000000002</v>
      </c>
      <c r="KV63" s="35">
        <v>0</v>
      </c>
      <c r="KW63" s="35"/>
      <c r="KX63" s="85">
        <v>6178818.8499999996</v>
      </c>
      <c r="KY63" s="27"/>
      <c r="KZ63" s="36">
        <v>6419800</v>
      </c>
      <c r="LA63" s="85">
        <v>6419800</v>
      </c>
      <c r="LB63" s="35"/>
      <c r="LC63" s="35"/>
      <c r="LD63" s="35"/>
      <c r="LE63" s="35"/>
      <c r="LF63" s="35"/>
      <c r="LG63" s="35">
        <v>5390.21</v>
      </c>
      <c r="LH63" s="36"/>
      <c r="LI63" s="35"/>
      <c r="LJ63" s="35"/>
      <c r="LK63" s="35"/>
      <c r="LL63" s="35"/>
      <c r="LM63" s="35"/>
      <c r="LN63" s="35">
        <v>5390.21</v>
      </c>
      <c r="LO63" s="35"/>
      <c r="LP63" s="85"/>
      <c r="LQ63" s="27"/>
      <c r="LR63" s="36"/>
      <c r="LS63" s="85"/>
      <c r="LT63" s="35"/>
      <c r="LU63" s="35"/>
      <c r="LV63" s="35"/>
      <c r="LW63" s="35"/>
      <c r="LX63" s="35"/>
      <c r="LY63" s="35"/>
      <c r="LZ63" s="36"/>
      <c r="MA63" s="35"/>
      <c r="MB63" s="35"/>
      <c r="MC63" s="35"/>
      <c r="MD63" s="35"/>
      <c r="ME63" s="35"/>
      <c r="MF63" s="35"/>
      <c r="MG63" s="35"/>
      <c r="MH63" s="85"/>
      <c r="MI63" s="27"/>
      <c r="MJ63" s="36"/>
      <c r="MK63" s="85"/>
      <c r="ML63" s="35"/>
      <c r="MM63" s="35"/>
      <c r="MN63" s="35"/>
      <c r="MO63" s="35"/>
      <c r="MP63" s="35"/>
      <c r="MQ63" s="35"/>
      <c r="MR63" s="36"/>
      <c r="MS63" s="35"/>
      <c r="MT63" s="35"/>
      <c r="MU63" s="35"/>
      <c r="MV63" s="35"/>
      <c r="MW63" s="35"/>
      <c r="MX63" s="35"/>
      <c r="MY63" s="35"/>
      <c r="MZ63" s="85"/>
      <c r="NA63" s="27"/>
      <c r="NB63" s="36"/>
      <c r="NC63" s="85"/>
      <c r="ND63" s="35"/>
      <c r="NE63" s="35"/>
      <c r="NF63" s="35"/>
      <c r="NG63" s="35"/>
      <c r="NH63" s="35"/>
      <c r="NI63" s="35"/>
      <c r="NJ63" s="36"/>
      <c r="NK63" s="35"/>
      <c r="NL63" s="35"/>
      <c r="NM63" s="35"/>
      <c r="NN63" s="35"/>
      <c r="NO63" s="35"/>
      <c r="NP63" s="35"/>
      <c r="NQ63" s="35"/>
      <c r="NR63" s="85"/>
      <c r="NS63" s="27"/>
      <c r="NT63" s="36"/>
      <c r="NU63" s="85"/>
      <c r="NV63" s="35"/>
      <c r="NW63" s="35"/>
      <c r="NX63" s="35"/>
      <c r="NY63" s="35"/>
      <c r="NZ63" s="35"/>
      <c r="OA63" s="35"/>
      <c r="OB63" s="36"/>
      <c r="OC63" s="35"/>
      <c r="OD63" s="35"/>
      <c r="OE63" s="35"/>
      <c r="OF63" s="35"/>
      <c r="OG63" s="35"/>
      <c r="OH63" s="35"/>
      <c r="OI63" s="35"/>
      <c r="OJ63" s="85"/>
      <c r="OK63" s="27"/>
      <c r="OL63" s="36"/>
      <c r="OM63" s="85"/>
      <c r="ON63" s="35"/>
      <c r="OO63" s="35"/>
      <c r="OP63" s="35"/>
      <c r="OQ63" s="35"/>
      <c r="OR63" s="35"/>
      <c r="OS63" s="35">
        <v>4600594.4800000004</v>
      </c>
      <c r="OT63" s="36"/>
      <c r="OU63" s="35"/>
      <c r="OV63" s="35"/>
      <c r="OW63" s="35"/>
      <c r="OX63" s="35"/>
      <c r="OY63" s="35"/>
      <c r="OZ63" s="35">
        <v>4585072.32</v>
      </c>
      <c r="PA63" s="35">
        <v>15522.16</v>
      </c>
      <c r="PB63" s="85"/>
      <c r="PC63" s="27"/>
      <c r="PD63" s="36"/>
      <c r="PE63" s="85"/>
      <c r="PF63" s="35"/>
      <c r="PG63" s="35"/>
      <c r="PH63" s="35"/>
      <c r="PI63" s="35"/>
      <c r="PJ63" s="35"/>
      <c r="PK63" s="35"/>
      <c r="PL63" s="36"/>
      <c r="PM63" s="35"/>
      <c r="PN63" s="35"/>
      <c r="PO63" s="35"/>
      <c r="PP63" s="35"/>
      <c r="PQ63" s="35"/>
      <c r="PR63" s="35"/>
      <c r="PS63" s="35"/>
      <c r="PT63" s="85"/>
      <c r="PU63" s="27"/>
      <c r="PV63" s="36"/>
      <c r="PW63" s="85"/>
      <c r="PX63" s="35"/>
      <c r="PY63" s="35"/>
      <c r="PZ63" s="35"/>
      <c r="QA63" s="35"/>
      <c r="QB63" s="35"/>
      <c r="QC63" s="35"/>
      <c r="QD63" s="36"/>
      <c r="QE63" s="35"/>
      <c r="QF63" s="35"/>
      <c r="QG63" s="35"/>
      <c r="QH63" s="35"/>
      <c r="QI63" s="35"/>
      <c r="QJ63" s="35"/>
      <c r="QK63" s="35"/>
      <c r="QL63" s="85"/>
      <c r="QM63" s="27"/>
      <c r="QN63" s="36"/>
      <c r="QO63" s="85"/>
      <c r="QP63" s="35"/>
      <c r="QQ63" s="35"/>
      <c r="QR63" s="35"/>
      <c r="QS63" s="35"/>
      <c r="QT63" s="35"/>
      <c r="QU63" s="35"/>
      <c r="QV63" s="36"/>
      <c r="QW63" s="35"/>
      <c r="QX63" s="35"/>
      <c r="QY63" s="35"/>
      <c r="QZ63" s="35"/>
      <c r="RA63" s="35"/>
      <c r="RB63" s="35"/>
      <c r="RC63" s="35"/>
      <c r="RD63" s="85"/>
      <c r="RE63" s="27"/>
      <c r="RF63" s="36"/>
      <c r="RG63" s="85"/>
      <c r="RH63" s="35"/>
      <c r="RI63" s="35"/>
      <c r="RJ63" s="35"/>
      <c r="RK63" s="35"/>
      <c r="RL63" s="35"/>
      <c r="RM63" s="35">
        <v>1317382.6000000001</v>
      </c>
      <c r="RN63" s="36"/>
      <c r="RO63" s="35"/>
      <c r="RP63" s="35"/>
      <c r="RQ63" s="35"/>
      <c r="RR63" s="35"/>
      <c r="RS63" s="35"/>
      <c r="RT63" s="35">
        <v>1317382.6000000001</v>
      </c>
      <c r="RU63" s="35"/>
      <c r="RV63" s="85"/>
      <c r="RW63" s="27"/>
      <c r="RX63" s="36"/>
      <c r="RY63" s="85"/>
      <c r="RZ63" s="35"/>
      <c r="SA63" s="35"/>
      <c r="SB63" s="35"/>
      <c r="SC63" s="35"/>
      <c r="SD63" s="35"/>
      <c r="SE63" s="35"/>
      <c r="SF63" s="36"/>
      <c r="SG63" s="35"/>
      <c r="SH63" s="35"/>
      <c r="SI63" s="35"/>
      <c r="SJ63" s="35"/>
      <c r="SK63" s="35"/>
      <c r="SL63" s="35"/>
      <c r="SM63" s="35"/>
      <c r="SN63" s="85"/>
      <c r="SO63" s="27"/>
      <c r="SP63" s="36"/>
      <c r="SQ63" s="85"/>
      <c r="SR63" s="35"/>
      <c r="SS63" s="35"/>
      <c r="ST63" s="35"/>
      <c r="SU63" s="35"/>
      <c r="SV63" s="35"/>
      <c r="SW63" s="35"/>
      <c r="SX63" s="36"/>
      <c r="SY63" s="35"/>
      <c r="SZ63" s="35"/>
      <c r="TA63" s="35"/>
      <c r="TB63" s="35"/>
      <c r="TC63" s="35"/>
      <c r="TD63" s="35"/>
      <c r="TE63" s="35"/>
      <c r="TF63" s="85"/>
      <c r="TG63" s="27"/>
      <c r="TH63" s="36"/>
      <c r="TI63" s="85"/>
      <c r="TJ63" s="35"/>
      <c r="TK63" s="35"/>
      <c r="TL63" s="35"/>
      <c r="TM63" s="35"/>
      <c r="TN63" s="35"/>
      <c r="TO63" s="35"/>
      <c r="TP63" s="36"/>
      <c r="TQ63" s="35"/>
      <c r="TR63" s="35"/>
      <c r="TS63" s="35"/>
      <c r="TT63" s="35"/>
      <c r="TU63" s="35"/>
      <c r="TV63" s="35"/>
      <c r="TW63" s="35"/>
      <c r="TX63" s="85"/>
      <c r="TY63" s="27"/>
      <c r="TZ63" s="36"/>
      <c r="UA63" s="85"/>
      <c r="UB63" s="35"/>
      <c r="UC63" s="35"/>
      <c r="UD63" s="35"/>
      <c r="UE63" s="35"/>
      <c r="UF63" s="35"/>
      <c r="UG63" s="35"/>
      <c r="UH63" s="36"/>
      <c r="UI63" s="35"/>
      <c r="UJ63" s="35"/>
      <c r="UK63" s="35"/>
      <c r="UL63" s="35"/>
      <c r="UM63" s="35"/>
      <c r="UN63" s="35"/>
      <c r="UO63" s="35"/>
      <c r="UP63" s="85"/>
      <c r="UQ63" s="27"/>
      <c r="UR63" s="36"/>
      <c r="US63" s="85"/>
    </row>
    <row r="64" spans="1:565" x14ac:dyDescent="0.3">
      <c r="A64" s="8" t="s">
        <v>126</v>
      </c>
      <c r="B64" s="170">
        <v>50</v>
      </c>
      <c r="C64" s="12" t="s">
        <v>128</v>
      </c>
      <c r="F64" s="32"/>
      <c r="G64" s="33"/>
      <c r="H64" s="32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86"/>
      <c r="Z64" s="32"/>
      <c r="AA64" s="33"/>
      <c r="AB64" s="33"/>
      <c r="AC64" s="33"/>
      <c r="AD64" s="33"/>
      <c r="AE64" s="33"/>
      <c r="AF64" s="33"/>
      <c r="AG64" s="33"/>
      <c r="AH64" s="33"/>
      <c r="AI64" s="33"/>
      <c r="AJ64" s="33"/>
      <c r="AK64" s="33"/>
      <c r="AL64" s="33"/>
      <c r="AM64" s="33"/>
      <c r="AN64" s="33"/>
      <c r="AO64" s="33"/>
      <c r="AP64" s="33"/>
      <c r="AQ64" s="86"/>
      <c r="AR64" s="32"/>
      <c r="AS64" s="33"/>
      <c r="AT64" s="33"/>
      <c r="AU64" s="33"/>
      <c r="AV64" s="33"/>
      <c r="AW64" s="33"/>
      <c r="AX64" s="33"/>
      <c r="AY64" s="33"/>
      <c r="AZ64" s="33"/>
      <c r="BA64" s="33"/>
      <c r="BB64" s="33"/>
      <c r="BC64" s="33"/>
      <c r="BD64" s="33"/>
      <c r="BE64" s="33"/>
      <c r="BF64" s="33"/>
      <c r="BG64" s="33"/>
      <c r="BH64" s="33"/>
      <c r="BI64" s="86"/>
      <c r="BJ64" s="148"/>
      <c r="BK64" s="33"/>
      <c r="BL64" s="33"/>
      <c r="BM64" s="33"/>
      <c r="BN64" s="33"/>
      <c r="BO64" s="33"/>
      <c r="BP64" s="33"/>
      <c r="BQ64" s="33"/>
      <c r="BR64" s="33"/>
      <c r="BS64" s="33"/>
      <c r="BT64" s="33"/>
      <c r="BU64" s="33"/>
      <c r="BV64" s="33"/>
      <c r="BW64" s="33"/>
      <c r="BX64" s="33"/>
      <c r="BY64" s="33"/>
      <c r="BZ64" s="33"/>
      <c r="CA64" s="86"/>
      <c r="CB64" s="32"/>
      <c r="CC64" s="33"/>
      <c r="CD64" s="33"/>
      <c r="CE64" s="33"/>
      <c r="CF64" s="33"/>
      <c r="CG64" s="33"/>
      <c r="CH64" s="33"/>
      <c r="CI64" s="33"/>
      <c r="CJ64" s="33"/>
      <c r="CK64" s="33"/>
      <c r="CL64" s="33"/>
      <c r="CM64" s="33"/>
      <c r="CN64" s="33"/>
      <c r="CO64" s="33"/>
      <c r="CP64" s="33"/>
      <c r="CQ64" s="33"/>
      <c r="CR64" s="33"/>
      <c r="CS64" s="86"/>
      <c r="CT64" s="148"/>
      <c r="CU64" s="33"/>
      <c r="CV64" s="33"/>
      <c r="CW64" s="33"/>
      <c r="CX64" s="33"/>
      <c r="CY64" s="33"/>
      <c r="CZ64" s="33"/>
      <c r="DA64" s="33"/>
      <c r="DB64" s="33"/>
      <c r="DC64" s="33"/>
      <c r="DD64" s="33"/>
      <c r="DE64" s="33"/>
      <c r="DF64" s="33"/>
      <c r="DG64" s="33"/>
      <c r="DH64" s="33"/>
      <c r="DI64" s="33"/>
      <c r="DJ64" s="33"/>
      <c r="DK64" s="86"/>
      <c r="DL64" s="148"/>
      <c r="DM64" s="33"/>
      <c r="DN64" s="33"/>
      <c r="DO64" s="33"/>
      <c r="DP64" s="33"/>
      <c r="DQ64" s="33"/>
      <c r="DR64" s="33"/>
      <c r="DS64" s="33"/>
      <c r="DT64" s="33"/>
      <c r="DU64" s="33"/>
      <c r="DV64" s="33"/>
      <c r="DW64" s="33"/>
      <c r="DX64" s="33"/>
      <c r="DY64" s="33"/>
      <c r="DZ64" s="33"/>
      <c r="EA64" s="33"/>
      <c r="EB64" s="33"/>
      <c r="EC64" s="86"/>
      <c r="ED64" s="148"/>
      <c r="EE64" s="33"/>
      <c r="EF64" s="33"/>
      <c r="EG64" s="33"/>
      <c r="EH64" s="33"/>
      <c r="EI64" s="33"/>
      <c r="EJ64" s="33"/>
      <c r="EK64" s="33"/>
      <c r="EL64" s="33"/>
      <c r="EM64" s="33"/>
      <c r="EN64" s="33"/>
      <c r="EO64" s="33"/>
      <c r="EP64" s="33"/>
      <c r="EQ64" s="33"/>
      <c r="ER64" s="33"/>
      <c r="ES64" s="33"/>
      <c r="ET64" s="33"/>
      <c r="EU64" s="86"/>
      <c r="EV64" s="32"/>
      <c r="EW64" s="33"/>
      <c r="EX64" s="33"/>
      <c r="EY64" s="33"/>
      <c r="EZ64" s="33"/>
      <c r="FA64" s="33"/>
      <c r="FB64" s="33"/>
      <c r="FC64" s="33"/>
      <c r="FD64" s="33"/>
      <c r="FE64" s="33"/>
      <c r="FF64" s="33"/>
      <c r="FG64" s="33"/>
      <c r="FH64" s="33"/>
      <c r="FI64" s="33"/>
      <c r="FJ64" s="33"/>
      <c r="FK64" s="33"/>
      <c r="FL64" s="33"/>
      <c r="FM64" s="86"/>
      <c r="FN64" s="148"/>
      <c r="FO64" s="33"/>
      <c r="FP64" s="33"/>
      <c r="FQ64" s="33"/>
      <c r="FR64" s="33"/>
      <c r="FS64" s="33"/>
      <c r="FT64" s="33"/>
      <c r="FU64" s="33"/>
      <c r="FV64" s="33"/>
      <c r="FW64" s="33"/>
      <c r="FX64" s="33"/>
      <c r="FY64" s="33"/>
      <c r="FZ64" s="33"/>
      <c r="GA64" s="33"/>
      <c r="GB64" s="33"/>
      <c r="GC64" s="33"/>
      <c r="GD64" s="33"/>
      <c r="GE64" s="86"/>
      <c r="GF64" s="32"/>
      <c r="GG64" s="33"/>
      <c r="GH64" s="33"/>
      <c r="GI64" s="33"/>
      <c r="GJ64" s="33"/>
      <c r="GK64" s="33"/>
      <c r="GL64" s="33"/>
      <c r="GM64" s="33"/>
      <c r="GN64" s="33"/>
      <c r="GO64" s="33"/>
      <c r="GP64" s="33"/>
      <c r="GQ64" s="33"/>
      <c r="GR64" s="33"/>
      <c r="GS64" s="33"/>
      <c r="GT64" s="33"/>
      <c r="GU64" s="33"/>
      <c r="GV64" s="33"/>
      <c r="GW64" s="86"/>
      <c r="GX64" s="148"/>
      <c r="GY64" s="33"/>
      <c r="GZ64" s="33"/>
      <c r="HA64" s="33"/>
      <c r="HB64" s="33"/>
      <c r="HC64" s="33"/>
      <c r="HD64" s="33"/>
      <c r="HE64" s="33"/>
      <c r="HF64" s="33"/>
      <c r="HG64" s="33"/>
      <c r="HH64" s="33"/>
      <c r="HI64" s="33"/>
      <c r="HJ64" s="33"/>
      <c r="HK64" s="33"/>
      <c r="HL64" s="33"/>
      <c r="HM64" s="33"/>
      <c r="HN64" s="33"/>
      <c r="HO64" s="86"/>
      <c r="HP64" s="148"/>
      <c r="HQ64" s="33"/>
      <c r="HR64" s="33"/>
      <c r="HS64" s="33"/>
      <c r="HT64" s="33"/>
      <c r="HU64" s="33"/>
      <c r="HV64" s="33"/>
      <c r="HW64" s="33"/>
      <c r="HX64" s="33"/>
      <c r="HY64" s="33"/>
      <c r="HZ64" s="33"/>
      <c r="IA64" s="33"/>
      <c r="IB64" s="33"/>
      <c r="IC64" s="33"/>
      <c r="ID64" s="33"/>
      <c r="IE64" s="33"/>
      <c r="IF64" s="33"/>
      <c r="IG64" s="86"/>
      <c r="IH64" s="148"/>
      <c r="II64" s="33"/>
      <c r="IJ64" s="33"/>
      <c r="IK64" s="33"/>
      <c r="IL64" s="33"/>
      <c r="IM64" s="33"/>
      <c r="IN64" s="33"/>
      <c r="IO64" s="33"/>
      <c r="IP64" s="33"/>
      <c r="IQ64" s="33"/>
      <c r="IR64" s="33"/>
      <c r="IS64" s="33"/>
      <c r="IT64" s="33"/>
      <c r="IU64" s="33"/>
      <c r="IV64" s="33"/>
      <c r="IW64" s="33"/>
      <c r="IX64" s="33"/>
      <c r="IY64" s="86"/>
      <c r="IZ64" s="148"/>
      <c r="JA64" s="33"/>
      <c r="JB64" s="33"/>
      <c r="JC64" s="33"/>
      <c r="JD64" s="33"/>
      <c r="JE64" s="33"/>
      <c r="JF64" s="33"/>
      <c r="JG64" s="33"/>
      <c r="JH64" s="33"/>
      <c r="JI64" s="33"/>
      <c r="JJ64" s="33"/>
      <c r="JK64" s="33"/>
      <c r="JL64" s="33"/>
      <c r="JM64" s="33"/>
      <c r="JN64" s="33"/>
      <c r="JO64" s="33"/>
      <c r="JP64" s="33"/>
      <c r="JQ64" s="86"/>
      <c r="JR64" s="148"/>
      <c r="JS64" s="33"/>
      <c r="JT64" s="33"/>
      <c r="JU64" s="33"/>
      <c r="JV64" s="33"/>
      <c r="JW64" s="33"/>
      <c r="JX64" s="33"/>
      <c r="JY64" s="33"/>
      <c r="JZ64" s="33"/>
      <c r="KA64" s="33"/>
      <c r="KB64" s="33"/>
      <c r="KC64" s="33"/>
      <c r="KD64" s="33"/>
      <c r="KE64" s="33"/>
      <c r="KF64" s="33"/>
      <c r="KG64" s="33"/>
      <c r="KH64" s="33"/>
      <c r="KI64" s="86"/>
      <c r="KJ64" s="148"/>
      <c r="KK64" s="33"/>
      <c r="KL64" s="33"/>
      <c r="KM64" s="33"/>
      <c r="KN64" s="33"/>
      <c r="KO64" s="33"/>
      <c r="KP64" s="33"/>
      <c r="KQ64" s="33"/>
      <c r="KR64" s="33"/>
      <c r="KS64" s="33"/>
      <c r="KT64" s="33"/>
      <c r="KU64" s="33"/>
      <c r="KV64" s="33"/>
      <c r="KW64" s="33"/>
      <c r="KX64" s="33"/>
      <c r="KY64" s="33"/>
      <c r="KZ64" s="33"/>
      <c r="LA64" s="86"/>
      <c r="LB64" s="148"/>
      <c r="LC64" s="33"/>
      <c r="LD64" s="33"/>
      <c r="LE64" s="33"/>
      <c r="LF64" s="33"/>
      <c r="LG64" s="33"/>
      <c r="LH64" s="33"/>
      <c r="LI64" s="33"/>
      <c r="LJ64" s="33"/>
      <c r="LK64" s="33"/>
      <c r="LL64" s="33"/>
      <c r="LM64" s="33"/>
      <c r="LN64" s="33"/>
      <c r="LO64" s="33"/>
      <c r="LP64" s="33"/>
      <c r="LQ64" s="33"/>
      <c r="LR64" s="33"/>
      <c r="LS64" s="86"/>
      <c r="LT64" s="148"/>
      <c r="LU64" s="33"/>
      <c r="LV64" s="33"/>
      <c r="LW64" s="33"/>
      <c r="LX64" s="33"/>
      <c r="LY64" s="33"/>
      <c r="LZ64" s="33"/>
      <c r="MA64" s="33"/>
      <c r="MB64" s="31"/>
      <c r="MC64" s="33"/>
      <c r="MD64" s="33"/>
      <c r="ME64" s="33"/>
      <c r="MF64" s="33"/>
      <c r="MG64" s="33"/>
      <c r="MH64" s="33"/>
      <c r="MI64" s="33"/>
      <c r="MJ64" s="33"/>
      <c r="MK64" s="86"/>
      <c r="ML64" s="148"/>
      <c r="MM64" s="33"/>
      <c r="MN64" s="33"/>
      <c r="MO64" s="33"/>
      <c r="MP64" s="33"/>
      <c r="MQ64" s="33"/>
      <c r="MR64" s="33"/>
      <c r="MS64" s="33"/>
      <c r="MT64" s="33"/>
      <c r="MU64" s="33"/>
      <c r="MV64" s="33"/>
      <c r="MW64" s="33"/>
      <c r="MX64" s="33"/>
      <c r="MY64" s="33"/>
      <c r="MZ64" s="33"/>
      <c r="NA64" s="33"/>
      <c r="NB64" s="33"/>
      <c r="NC64" s="86"/>
      <c r="ND64" s="32"/>
      <c r="NE64" s="33"/>
      <c r="NF64" s="33"/>
      <c r="NG64" s="33"/>
      <c r="NH64" s="33"/>
      <c r="NI64" s="33"/>
      <c r="NJ64" s="33"/>
      <c r="NK64" s="33"/>
      <c r="NL64" s="33"/>
      <c r="NM64" s="33"/>
      <c r="NN64" s="33"/>
      <c r="NO64" s="33"/>
      <c r="NP64" s="33"/>
      <c r="NQ64" s="33"/>
      <c r="NR64" s="33"/>
      <c r="NS64" s="33"/>
      <c r="NT64" s="33"/>
      <c r="NU64" s="86"/>
      <c r="NV64" s="148"/>
      <c r="NW64" s="33"/>
      <c r="NX64" s="33"/>
      <c r="NY64" s="33"/>
      <c r="NZ64" s="33"/>
      <c r="OA64" s="33"/>
      <c r="OB64" s="33"/>
      <c r="OC64" s="33"/>
      <c r="OD64" s="33"/>
      <c r="OE64" s="33"/>
      <c r="OF64" s="33"/>
      <c r="OG64" s="33"/>
      <c r="OH64" s="33"/>
      <c r="OI64" s="33"/>
      <c r="OJ64" s="33"/>
      <c r="OK64" s="33"/>
      <c r="OL64" s="33"/>
      <c r="OM64" s="86"/>
      <c r="ON64" s="32"/>
      <c r="OO64" s="33"/>
      <c r="OP64" s="33"/>
      <c r="OQ64" s="33"/>
      <c r="OR64" s="33"/>
      <c r="OS64" s="33"/>
      <c r="OT64" s="33"/>
      <c r="OU64" s="33"/>
      <c r="OV64" s="33"/>
      <c r="OW64" s="33"/>
      <c r="OX64" s="33"/>
      <c r="OY64" s="33"/>
      <c r="OZ64" s="33"/>
      <c r="PA64" s="33"/>
      <c r="PB64" s="33"/>
      <c r="PC64" s="33"/>
      <c r="PD64" s="33"/>
      <c r="PE64" s="86"/>
      <c r="PF64" s="148"/>
      <c r="PG64" s="33"/>
      <c r="PH64" s="33"/>
      <c r="PI64" s="33"/>
      <c r="PJ64" s="33"/>
      <c r="PK64" s="33"/>
      <c r="PL64" s="33"/>
      <c r="PM64" s="33"/>
      <c r="PN64" s="31"/>
      <c r="PO64" s="33"/>
      <c r="PP64" s="33"/>
      <c r="PQ64" s="33"/>
      <c r="PR64" s="33"/>
      <c r="PS64" s="33"/>
      <c r="PT64" s="33"/>
      <c r="PU64" s="33"/>
      <c r="PV64" s="33"/>
      <c r="PW64" s="86"/>
      <c r="PX64" s="148"/>
      <c r="PY64" s="33"/>
      <c r="PZ64" s="33"/>
      <c r="QA64" s="33"/>
      <c r="QB64" s="33"/>
      <c r="QC64" s="33"/>
      <c r="QD64" s="33"/>
      <c r="QE64" s="33"/>
      <c r="QF64" s="31"/>
      <c r="QG64" s="33"/>
      <c r="QH64" s="33"/>
      <c r="QI64" s="33"/>
      <c r="QJ64" s="33"/>
      <c r="QK64" s="33"/>
      <c r="QL64" s="33"/>
      <c r="QM64" s="33"/>
      <c r="QN64" s="33"/>
      <c r="QO64" s="86"/>
      <c r="QP64" s="148"/>
      <c r="QQ64" s="33"/>
      <c r="QR64" s="33"/>
      <c r="QS64" s="33"/>
      <c r="QT64" s="33"/>
      <c r="QU64" s="33"/>
      <c r="QV64" s="33"/>
      <c r="QW64" s="33"/>
      <c r="QX64" s="31"/>
      <c r="QY64" s="33"/>
      <c r="QZ64" s="33"/>
      <c r="RA64" s="33"/>
      <c r="RB64" s="33"/>
      <c r="RC64" s="33"/>
      <c r="RD64" s="33"/>
      <c r="RE64" s="33"/>
      <c r="RF64" s="33"/>
      <c r="RG64" s="86"/>
      <c r="RH64" s="148"/>
      <c r="RI64" s="33"/>
      <c r="RJ64" s="33"/>
      <c r="RK64" s="33"/>
      <c r="RL64" s="33"/>
      <c r="RM64" s="33"/>
      <c r="RN64" s="33"/>
      <c r="RO64" s="33"/>
      <c r="RP64" s="31"/>
      <c r="RQ64" s="33"/>
      <c r="RR64" s="33"/>
      <c r="RS64" s="33"/>
      <c r="RT64" s="33"/>
      <c r="RU64" s="33"/>
      <c r="RV64" s="33"/>
      <c r="RW64" s="33"/>
      <c r="RX64" s="33"/>
      <c r="RY64" s="86"/>
      <c r="RZ64" s="148"/>
      <c r="SA64" s="33"/>
      <c r="SB64" s="33"/>
      <c r="SC64" s="33"/>
      <c r="SD64" s="33"/>
      <c r="SE64" s="33"/>
      <c r="SF64" s="33"/>
      <c r="SG64" s="33"/>
      <c r="SH64" s="31"/>
      <c r="SI64" s="33"/>
      <c r="SJ64" s="33"/>
      <c r="SK64" s="33"/>
      <c r="SL64" s="33"/>
      <c r="SM64" s="33"/>
      <c r="SN64" s="33"/>
      <c r="SO64" s="33"/>
      <c r="SP64" s="33"/>
      <c r="SQ64" s="86"/>
      <c r="SR64" s="148"/>
      <c r="SS64" s="33"/>
      <c r="ST64" s="33"/>
      <c r="SU64" s="33"/>
      <c r="SV64" s="33"/>
      <c r="SW64" s="33"/>
      <c r="SX64" s="33"/>
      <c r="SY64" s="33"/>
      <c r="SZ64" s="31"/>
      <c r="TA64" s="33"/>
      <c r="TB64" s="33"/>
      <c r="TC64" s="33"/>
      <c r="TD64" s="33"/>
      <c r="TE64" s="33"/>
      <c r="TF64" s="33"/>
      <c r="TG64" s="33"/>
      <c r="TH64" s="33"/>
      <c r="TI64" s="86"/>
      <c r="TJ64" s="148"/>
      <c r="TK64" s="33"/>
      <c r="TL64" s="33"/>
      <c r="TM64" s="33"/>
      <c r="TN64" s="33"/>
      <c r="TO64" s="33"/>
      <c r="TP64" s="33"/>
      <c r="TQ64" s="33"/>
      <c r="TR64" s="31"/>
      <c r="TS64" s="33"/>
      <c r="TT64" s="33"/>
      <c r="TU64" s="33"/>
      <c r="TV64" s="33"/>
      <c r="TW64" s="33"/>
      <c r="TX64" s="33"/>
      <c r="TY64" s="33"/>
      <c r="TZ64" s="33"/>
      <c r="UA64" s="86"/>
      <c r="UB64" s="148"/>
      <c r="UC64" s="33"/>
      <c r="UD64" s="33"/>
      <c r="UE64" s="33"/>
      <c r="UF64" s="33"/>
      <c r="UG64" s="33"/>
      <c r="UH64" s="33"/>
      <c r="UI64" s="33"/>
      <c r="UJ64" s="31"/>
      <c r="UK64" s="33"/>
      <c r="UL64" s="33"/>
      <c r="UM64" s="33"/>
      <c r="UN64" s="33"/>
      <c r="UO64" s="33"/>
      <c r="UP64" s="33"/>
      <c r="UQ64" s="33"/>
      <c r="UR64" s="33"/>
      <c r="US64" s="86"/>
    </row>
    <row r="65" spans="1:565" x14ac:dyDescent="0.3">
      <c r="A65" s="8" t="s">
        <v>129</v>
      </c>
      <c r="B65" s="168">
        <v>51</v>
      </c>
      <c r="C65" s="13" t="s">
        <v>131</v>
      </c>
      <c r="F65" s="36">
        <v>2886270600</v>
      </c>
      <c r="G65" s="85"/>
      <c r="H65" s="35"/>
      <c r="I65" s="35">
        <v>458467410</v>
      </c>
      <c r="J65" s="35">
        <v>403451300</v>
      </c>
      <c r="K65" s="35">
        <v>55016110</v>
      </c>
      <c r="L65" s="35">
        <v>403451300</v>
      </c>
      <c r="M65" s="35"/>
      <c r="N65" s="36"/>
      <c r="O65" s="35">
        <v>458454162.60000002</v>
      </c>
      <c r="P65" s="35">
        <v>403439642.29000002</v>
      </c>
      <c r="Q65" s="35"/>
      <c r="R65" s="35">
        <v>55014520.310000002</v>
      </c>
      <c r="S65" s="35">
        <v>12</v>
      </c>
      <c r="T65" s="35"/>
      <c r="U65" s="35">
        <v>11657.71</v>
      </c>
      <c r="V65" s="85">
        <v>403451300</v>
      </c>
      <c r="W65" s="27"/>
      <c r="X65" s="36">
        <v>403451300</v>
      </c>
      <c r="Y65" s="85">
        <v>403451300</v>
      </c>
      <c r="Z65" s="35"/>
      <c r="AA65" s="35">
        <v>302557750</v>
      </c>
      <c r="AB65" s="35">
        <v>266250800</v>
      </c>
      <c r="AC65" s="35">
        <v>36306950</v>
      </c>
      <c r="AD65" s="35">
        <v>266250800</v>
      </c>
      <c r="AE65" s="35"/>
      <c r="AF65" s="36"/>
      <c r="AG65" s="35">
        <v>302557750</v>
      </c>
      <c r="AH65" s="35">
        <v>266250800</v>
      </c>
      <c r="AI65" s="35"/>
      <c r="AJ65" s="35">
        <v>36306950</v>
      </c>
      <c r="AK65" s="35">
        <v>12.00001</v>
      </c>
      <c r="AL65" s="35"/>
      <c r="AM65" s="35"/>
      <c r="AN65" s="85">
        <v>266250800</v>
      </c>
      <c r="AO65" s="27"/>
      <c r="AP65" s="36">
        <v>266250800</v>
      </c>
      <c r="AQ65" s="85">
        <v>266250800</v>
      </c>
      <c r="AR65" s="35"/>
      <c r="AS65" s="35">
        <v>1024107263</v>
      </c>
      <c r="AT65" s="35">
        <v>901214300</v>
      </c>
      <c r="AU65" s="35">
        <v>122892963</v>
      </c>
      <c r="AV65" s="35">
        <v>901214300</v>
      </c>
      <c r="AW65" s="35"/>
      <c r="AX65" s="36"/>
      <c r="AY65" s="35">
        <v>1024107263</v>
      </c>
      <c r="AZ65" s="35">
        <v>901214300</v>
      </c>
      <c r="BA65" s="35"/>
      <c r="BB65" s="35">
        <v>122892963</v>
      </c>
      <c r="BC65" s="35">
        <v>12.00001</v>
      </c>
      <c r="BD65" s="35"/>
      <c r="BE65" s="35"/>
      <c r="BF65" s="85">
        <v>901214300</v>
      </c>
      <c r="BG65" s="27"/>
      <c r="BH65" s="36">
        <v>901214300</v>
      </c>
      <c r="BI65" s="85">
        <v>901214300</v>
      </c>
      <c r="BJ65" s="35"/>
      <c r="BK65" s="35">
        <v>248562113.63</v>
      </c>
      <c r="BL65" s="35">
        <v>188000000</v>
      </c>
      <c r="BM65" s="35">
        <v>60562113.630000003</v>
      </c>
      <c r="BN65" s="35">
        <v>188000000</v>
      </c>
      <c r="BO65" s="35"/>
      <c r="BP65" s="36"/>
      <c r="BQ65" s="35">
        <v>248562113.63</v>
      </c>
      <c r="BR65" s="35">
        <v>188000000</v>
      </c>
      <c r="BS65" s="35"/>
      <c r="BT65" s="35">
        <v>60562113.630000003</v>
      </c>
      <c r="BU65" s="35">
        <v>24.364979999999999</v>
      </c>
      <c r="BV65" s="35"/>
      <c r="BW65" s="35"/>
      <c r="BX65" s="85">
        <v>188000000</v>
      </c>
      <c r="BY65" s="27"/>
      <c r="BZ65" s="36">
        <v>188000000</v>
      </c>
      <c r="CA65" s="85">
        <v>188000000</v>
      </c>
      <c r="CB65" s="35"/>
      <c r="CC65" s="35">
        <v>85676300</v>
      </c>
      <c r="CD65" s="35">
        <v>50129200</v>
      </c>
      <c r="CE65" s="35">
        <v>35547100</v>
      </c>
      <c r="CF65" s="35">
        <v>50129200</v>
      </c>
      <c r="CG65" s="35"/>
      <c r="CH65" s="36"/>
      <c r="CI65" s="35">
        <v>85676300</v>
      </c>
      <c r="CJ65" s="35">
        <v>50129200</v>
      </c>
      <c r="CK65" s="35"/>
      <c r="CL65" s="35">
        <v>35547100</v>
      </c>
      <c r="CM65" s="35">
        <v>41.49</v>
      </c>
      <c r="CN65" s="35"/>
      <c r="CO65" s="35"/>
      <c r="CP65" s="85">
        <v>50129200</v>
      </c>
      <c r="CQ65" s="27"/>
      <c r="CR65" s="36">
        <v>50129200</v>
      </c>
      <c r="CS65" s="85">
        <v>50129200</v>
      </c>
      <c r="CT65" s="35"/>
      <c r="CU65" s="35"/>
      <c r="CV65" s="35"/>
      <c r="CW65" s="35"/>
      <c r="CX65" s="35"/>
      <c r="CY65" s="35"/>
      <c r="CZ65" s="36"/>
      <c r="DA65" s="35"/>
      <c r="DB65" s="35"/>
      <c r="DC65" s="35"/>
      <c r="DD65" s="35"/>
      <c r="DE65" s="35"/>
      <c r="DF65" s="35"/>
      <c r="DG65" s="35"/>
      <c r="DH65" s="85"/>
      <c r="DI65" s="27"/>
      <c r="DJ65" s="36"/>
      <c r="DK65" s="85"/>
      <c r="DL65" s="35"/>
      <c r="DM65" s="35">
        <v>26719000</v>
      </c>
      <c r="DN65" s="35">
        <v>25364000</v>
      </c>
      <c r="DO65" s="35">
        <v>1355000</v>
      </c>
      <c r="DP65" s="35">
        <v>25364000</v>
      </c>
      <c r="DQ65" s="35"/>
      <c r="DR65" s="36"/>
      <c r="DS65" s="35">
        <v>26719000</v>
      </c>
      <c r="DT65" s="35">
        <v>25364000</v>
      </c>
      <c r="DU65" s="35"/>
      <c r="DV65" s="35">
        <v>1355000</v>
      </c>
      <c r="DW65" s="35">
        <v>5.0712999999999999</v>
      </c>
      <c r="DX65" s="35"/>
      <c r="DY65" s="35"/>
      <c r="DZ65" s="85">
        <v>25364000</v>
      </c>
      <c r="EA65" s="27"/>
      <c r="EB65" s="36">
        <v>25364000</v>
      </c>
      <c r="EC65" s="85">
        <v>25364000</v>
      </c>
      <c r="ED65" s="35"/>
      <c r="EE65" s="35">
        <v>318205816.32999998</v>
      </c>
      <c r="EF65" s="35">
        <v>311841700</v>
      </c>
      <c r="EG65" s="35">
        <v>6364116.3300000001</v>
      </c>
      <c r="EH65" s="35">
        <v>311841700</v>
      </c>
      <c r="EI65" s="35"/>
      <c r="EJ65" s="36"/>
      <c r="EK65" s="35">
        <v>318205816.32999998</v>
      </c>
      <c r="EL65" s="35">
        <v>311841700</v>
      </c>
      <c r="EM65" s="35"/>
      <c r="EN65" s="35">
        <v>6364116.3300000001</v>
      </c>
      <c r="EO65" s="35">
        <v>2</v>
      </c>
      <c r="EP65" s="35"/>
      <c r="EQ65" s="35"/>
      <c r="ER65" s="85">
        <v>311841700</v>
      </c>
      <c r="ES65" s="27"/>
      <c r="ET65" s="36">
        <v>311841700</v>
      </c>
      <c r="EU65" s="85">
        <v>311841700</v>
      </c>
      <c r="EV65" s="35"/>
      <c r="EW65" s="35">
        <v>816724900</v>
      </c>
      <c r="EX65" s="35">
        <v>560701300</v>
      </c>
      <c r="EY65" s="35">
        <v>256023600</v>
      </c>
      <c r="EZ65" s="35">
        <v>560599907.5</v>
      </c>
      <c r="FA65" s="35">
        <v>315112.37</v>
      </c>
      <c r="FB65" s="36"/>
      <c r="FC65" s="35">
        <v>816577210.34000003</v>
      </c>
      <c r="FD65" s="35">
        <v>560599907.5</v>
      </c>
      <c r="FE65" s="35"/>
      <c r="FF65" s="35">
        <v>255977302.84</v>
      </c>
      <c r="FG65" s="35">
        <v>31.34759</v>
      </c>
      <c r="FH65" s="35">
        <v>315112.37</v>
      </c>
      <c r="FI65" s="35"/>
      <c r="FJ65" s="85">
        <v>560599907.5</v>
      </c>
      <c r="FK65" s="27"/>
      <c r="FL65" s="36">
        <v>560701300</v>
      </c>
      <c r="FM65" s="85">
        <v>560701300</v>
      </c>
      <c r="FN65" s="35"/>
      <c r="FO65" s="35"/>
      <c r="FP65" s="35"/>
      <c r="FQ65" s="35"/>
      <c r="FR65" s="35"/>
      <c r="FS65" s="35">
        <v>672034.91</v>
      </c>
      <c r="FT65" s="36"/>
      <c r="FU65" s="35"/>
      <c r="FV65" s="35"/>
      <c r="FW65" s="35"/>
      <c r="FX65" s="35"/>
      <c r="FY65" s="35"/>
      <c r="FZ65" s="35">
        <v>672034.91</v>
      </c>
      <c r="GA65" s="35"/>
      <c r="GB65" s="85"/>
      <c r="GC65" s="27"/>
      <c r="GD65" s="36"/>
      <c r="GE65" s="85"/>
      <c r="GF65" s="35"/>
      <c r="GG65" s="35">
        <v>44542812.5</v>
      </c>
      <c r="GH65" s="35">
        <v>28507400</v>
      </c>
      <c r="GI65" s="35">
        <v>16035412.5</v>
      </c>
      <c r="GJ65" s="35">
        <v>28507400</v>
      </c>
      <c r="GK65" s="35"/>
      <c r="GL65" s="36"/>
      <c r="GM65" s="35">
        <v>44542812.5</v>
      </c>
      <c r="GN65" s="35">
        <v>28507400</v>
      </c>
      <c r="GO65" s="35"/>
      <c r="GP65" s="35">
        <v>16035412.5</v>
      </c>
      <c r="GQ65" s="35">
        <v>36</v>
      </c>
      <c r="GR65" s="35"/>
      <c r="GS65" s="35"/>
      <c r="GT65" s="85">
        <v>28507400</v>
      </c>
      <c r="GU65" s="27"/>
      <c r="GV65" s="36">
        <v>28507400</v>
      </c>
      <c r="GW65" s="85">
        <v>28507400</v>
      </c>
      <c r="GX65" s="35"/>
      <c r="GY65" s="35"/>
      <c r="GZ65" s="35"/>
      <c r="HA65" s="35"/>
      <c r="HB65" s="35"/>
      <c r="HC65" s="35"/>
      <c r="HD65" s="36"/>
      <c r="HE65" s="35"/>
      <c r="HF65" s="35"/>
      <c r="HG65" s="35"/>
      <c r="HH65" s="35"/>
      <c r="HI65" s="35"/>
      <c r="HJ65" s="35"/>
      <c r="HK65" s="35"/>
      <c r="HL65" s="85"/>
      <c r="HM65" s="27"/>
      <c r="HN65" s="36"/>
      <c r="HO65" s="85"/>
      <c r="HP65" s="35"/>
      <c r="HQ65" s="35"/>
      <c r="HR65" s="35"/>
      <c r="HS65" s="35"/>
      <c r="HT65" s="35"/>
      <c r="HU65" s="35"/>
      <c r="HV65" s="36"/>
      <c r="HW65" s="35"/>
      <c r="HX65" s="35"/>
      <c r="HY65" s="35"/>
      <c r="HZ65" s="35"/>
      <c r="IA65" s="35"/>
      <c r="IB65" s="35"/>
      <c r="IC65" s="35"/>
      <c r="ID65" s="85"/>
      <c r="IE65" s="27"/>
      <c r="IF65" s="36"/>
      <c r="IG65" s="85"/>
      <c r="IH65" s="35"/>
      <c r="II65" s="35"/>
      <c r="IJ65" s="35"/>
      <c r="IK65" s="35"/>
      <c r="IL65" s="35"/>
      <c r="IM65" s="35"/>
      <c r="IN65" s="36"/>
      <c r="IO65" s="35"/>
      <c r="IP65" s="35"/>
      <c r="IQ65" s="35"/>
      <c r="IR65" s="35"/>
      <c r="IS65" s="35"/>
      <c r="IT65" s="35"/>
      <c r="IU65" s="35"/>
      <c r="IV65" s="85"/>
      <c r="IW65" s="27"/>
      <c r="IX65" s="36"/>
      <c r="IY65" s="85"/>
      <c r="IZ65" s="35"/>
      <c r="JA65" s="35">
        <v>9843281.25</v>
      </c>
      <c r="JB65" s="35">
        <v>6299700</v>
      </c>
      <c r="JC65" s="35">
        <v>3543581.25</v>
      </c>
      <c r="JD65" s="35">
        <v>6299700</v>
      </c>
      <c r="JE65" s="35"/>
      <c r="JF65" s="36"/>
      <c r="JG65" s="35">
        <v>9843281.25</v>
      </c>
      <c r="JH65" s="35">
        <v>6299700</v>
      </c>
      <c r="JI65" s="35"/>
      <c r="JJ65" s="35">
        <v>3543581.25</v>
      </c>
      <c r="JK65" s="35">
        <v>36</v>
      </c>
      <c r="JL65" s="35"/>
      <c r="JM65" s="35"/>
      <c r="JN65" s="85">
        <v>6299700</v>
      </c>
      <c r="JO65" s="27"/>
      <c r="JP65" s="36">
        <v>6299700</v>
      </c>
      <c r="JQ65" s="85">
        <v>6299700</v>
      </c>
      <c r="JR65" s="35"/>
      <c r="JS65" s="35"/>
      <c r="JT65" s="35"/>
      <c r="JU65" s="35"/>
      <c r="JV65" s="35"/>
      <c r="JW65" s="35"/>
      <c r="JX65" s="36"/>
      <c r="JY65" s="35"/>
      <c r="JZ65" s="35"/>
      <c r="KA65" s="35"/>
      <c r="KB65" s="35"/>
      <c r="KC65" s="35"/>
      <c r="KD65" s="35"/>
      <c r="KE65" s="35"/>
      <c r="KF65" s="85"/>
      <c r="KG65" s="27"/>
      <c r="KH65" s="36"/>
      <c r="KI65" s="85"/>
      <c r="KJ65" s="35"/>
      <c r="KK65" s="35"/>
      <c r="KL65" s="35"/>
      <c r="KM65" s="35"/>
      <c r="KN65" s="35"/>
      <c r="KO65" s="35"/>
      <c r="KP65" s="36"/>
      <c r="KQ65" s="35"/>
      <c r="KR65" s="35"/>
      <c r="KS65" s="35"/>
      <c r="KT65" s="35"/>
      <c r="KU65" s="35"/>
      <c r="KV65" s="35"/>
      <c r="KW65" s="35"/>
      <c r="KX65" s="85"/>
      <c r="KY65" s="27"/>
      <c r="KZ65" s="36"/>
      <c r="LA65" s="85"/>
      <c r="LB65" s="35"/>
      <c r="LC65" s="35"/>
      <c r="LD65" s="35"/>
      <c r="LE65" s="35"/>
      <c r="LF65" s="35"/>
      <c r="LG65" s="35"/>
      <c r="LH65" s="36"/>
      <c r="LI65" s="35"/>
      <c r="LJ65" s="35"/>
      <c r="LK65" s="35"/>
      <c r="LL65" s="35"/>
      <c r="LM65" s="35"/>
      <c r="LN65" s="35"/>
      <c r="LO65" s="35"/>
      <c r="LP65" s="85"/>
      <c r="LQ65" s="27"/>
      <c r="LR65" s="36"/>
      <c r="LS65" s="85"/>
      <c r="LT65" s="35"/>
      <c r="LU65" s="35">
        <v>149099062.5</v>
      </c>
      <c r="LV65" s="35">
        <v>95423400</v>
      </c>
      <c r="LW65" s="35">
        <v>53675662.5</v>
      </c>
      <c r="LX65" s="35">
        <v>95423400</v>
      </c>
      <c r="LY65" s="35"/>
      <c r="LZ65" s="36"/>
      <c r="MA65" s="35">
        <v>149099062.5</v>
      </c>
      <c r="MB65" s="35">
        <v>95423400</v>
      </c>
      <c r="MC65" s="35"/>
      <c r="MD65" s="35">
        <v>53675662.5</v>
      </c>
      <c r="ME65" s="35">
        <v>36</v>
      </c>
      <c r="MF65" s="35"/>
      <c r="MG65" s="35"/>
      <c r="MH65" s="85">
        <v>95423400</v>
      </c>
      <c r="MI65" s="27"/>
      <c r="MJ65" s="36">
        <v>95423400</v>
      </c>
      <c r="MK65" s="85">
        <v>95423400</v>
      </c>
      <c r="ML65" s="35"/>
      <c r="MM65" s="35"/>
      <c r="MN65" s="35"/>
      <c r="MO65" s="35"/>
      <c r="MP65" s="35"/>
      <c r="MQ65" s="35"/>
      <c r="MR65" s="36"/>
      <c r="MS65" s="35"/>
      <c r="MT65" s="35"/>
      <c r="MU65" s="35"/>
      <c r="MV65" s="35"/>
      <c r="MW65" s="35"/>
      <c r="MX65" s="35"/>
      <c r="MY65" s="35"/>
      <c r="MZ65" s="85"/>
      <c r="NA65" s="27"/>
      <c r="NB65" s="36"/>
      <c r="NC65" s="85"/>
      <c r="ND65" s="35"/>
      <c r="NE65" s="35">
        <v>3951200</v>
      </c>
      <c r="NF65" s="35">
        <v>1951200</v>
      </c>
      <c r="NG65" s="35">
        <v>2000000</v>
      </c>
      <c r="NH65" s="35">
        <v>1951200</v>
      </c>
      <c r="NI65" s="35"/>
      <c r="NJ65" s="36"/>
      <c r="NK65" s="35">
        <v>3951200</v>
      </c>
      <c r="NL65" s="35">
        <v>1951200</v>
      </c>
      <c r="NM65" s="35"/>
      <c r="NN65" s="35">
        <v>2000000</v>
      </c>
      <c r="NO65" s="35">
        <v>50.617530000000002</v>
      </c>
      <c r="NP65" s="35"/>
      <c r="NQ65" s="35"/>
      <c r="NR65" s="85">
        <v>1951200</v>
      </c>
      <c r="NS65" s="27"/>
      <c r="NT65" s="36">
        <v>1951200</v>
      </c>
      <c r="NU65" s="85">
        <v>1951200</v>
      </c>
      <c r="NV65" s="35"/>
      <c r="NW65" s="35"/>
      <c r="NX65" s="35"/>
      <c r="NY65" s="35"/>
      <c r="NZ65" s="35"/>
      <c r="OA65" s="35"/>
      <c r="OB65" s="36"/>
      <c r="OC65" s="35"/>
      <c r="OD65" s="35"/>
      <c r="OE65" s="35"/>
      <c r="OF65" s="35"/>
      <c r="OG65" s="35"/>
      <c r="OH65" s="35"/>
      <c r="OI65" s="35"/>
      <c r="OJ65" s="85"/>
      <c r="OK65" s="27"/>
      <c r="OL65" s="36"/>
      <c r="OM65" s="85"/>
      <c r="ON65" s="35"/>
      <c r="OO65" s="35"/>
      <c r="OP65" s="35"/>
      <c r="OQ65" s="35"/>
      <c r="OR65" s="35"/>
      <c r="OS65" s="35">
        <v>33004478.329999998</v>
      </c>
      <c r="OT65" s="36"/>
      <c r="OU65" s="35"/>
      <c r="OV65" s="35"/>
      <c r="OW65" s="35"/>
      <c r="OX65" s="35"/>
      <c r="OY65" s="35"/>
      <c r="OZ65" s="35">
        <v>33004478.329999998</v>
      </c>
      <c r="PA65" s="35"/>
      <c r="PB65" s="85"/>
      <c r="PC65" s="27"/>
      <c r="PD65" s="36"/>
      <c r="PE65" s="85"/>
      <c r="PF65" s="35"/>
      <c r="PG65" s="35"/>
      <c r="PH65" s="35"/>
      <c r="PI65" s="35"/>
      <c r="PJ65" s="35"/>
      <c r="PK65" s="35"/>
      <c r="PL65" s="36"/>
      <c r="PM65" s="35"/>
      <c r="PN65" s="35"/>
      <c r="PO65" s="35"/>
      <c r="PP65" s="35"/>
      <c r="PQ65" s="35"/>
      <c r="PR65" s="35"/>
      <c r="PS65" s="35"/>
      <c r="PT65" s="85"/>
      <c r="PU65" s="27"/>
      <c r="PV65" s="36"/>
      <c r="PW65" s="85"/>
      <c r="PX65" s="35"/>
      <c r="PY65" s="35"/>
      <c r="PZ65" s="35"/>
      <c r="QA65" s="35"/>
      <c r="QB65" s="35"/>
      <c r="QC65" s="35"/>
      <c r="QD65" s="36"/>
      <c r="QE65" s="35"/>
      <c r="QF65" s="35"/>
      <c r="QG65" s="35"/>
      <c r="QH65" s="35"/>
      <c r="QI65" s="35"/>
      <c r="QJ65" s="35"/>
      <c r="QK65" s="35"/>
      <c r="QL65" s="85"/>
      <c r="QM65" s="27"/>
      <c r="QN65" s="36"/>
      <c r="QO65" s="85"/>
      <c r="QP65" s="35"/>
      <c r="QQ65" s="35"/>
      <c r="QR65" s="35"/>
      <c r="QS65" s="35"/>
      <c r="QT65" s="35"/>
      <c r="QU65" s="35"/>
      <c r="QV65" s="36"/>
      <c r="QW65" s="35"/>
      <c r="QX65" s="35"/>
      <c r="QY65" s="35"/>
      <c r="QZ65" s="35"/>
      <c r="RA65" s="35"/>
      <c r="RB65" s="35"/>
      <c r="RC65" s="35"/>
      <c r="RD65" s="85"/>
      <c r="RE65" s="27"/>
      <c r="RF65" s="36"/>
      <c r="RG65" s="85"/>
      <c r="RH65" s="35"/>
      <c r="RI65" s="35"/>
      <c r="RJ65" s="35"/>
      <c r="RK65" s="35"/>
      <c r="RL65" s="35"/>
      <c r="RM65" s="35">
        <v>52465704.170000002</v>
      </c>
      <c r="RN65" s="36"/>
      <c r="RO65" s="35"/>
      <c r="RP65" s="35"/>
      <c r="RQ65" s="35"/>
      <c r="RR65" s="35"/>
      <c r="RS65" s="35"/>
      <c r="RT65" s="35">
        <v>52465704.170000002</v>
      </c>
      <c r="RU65" s="35"/>
      <c r="RV65" s="85"/>
      <c r="RW65" s="27"/>
      <c r="RX65" s="36"/>
      <c r="RY65" s="85"/>
      <c r="RZ65" s="35"/>
      <c r="SA65" s="35"/>
      <c r="SB65" s="35"/>
      <c r="SC65" s="35"/>
      <c r="SD65" s="35"/>
      <c r="SE65" s="35"/>
      <c r="SF65" s="36"/>
      <c r="SG65" s="35"/>
      <c r="SH65" s="35"/>
      <c r="SI65" s="35"/>
      <c r="SJ65" s="35"/>
      <c r="SK65" s="35"/>
      <c r="SL65" s="35"/>
      <c r="SM65" s="35"/>
      <c r="SN65" s="85"/>
      <c r="SO65" s="27"/>
      <c r="SP65" s="36"/>
      <c r="SQ65" s="85"/>
      <c r="SR65" s="35"/>
      <c r="SS65" s="35"/>
      <c r="ST65" s="35"/>
      <c r="SU65" s="35"/>
      <c r="SV65" s="35"/>
      <c r="SW65" s="35"/>
      <c r="SX65" s="36"/>
      <c r="SY65" s="35"/>
      <c r="SZ65" s="35"/>
      <c r="TA65" s="35"/>
      <c r="TB65" s="35"/>
      <c r="TC65" s="35"/>
      <c r="TD65" s="35"/>
      <c r="TE65" s="35"/>
      <c r="TF65" s="85"/>
      <c r="TG65" s="27"/>
      <c r="TH65" s="36"/>
      <c r="TI65" s="85"/>
      <c r="TJ65" s="35"/>
      <c r="TK65" s="35"/>
      <c r="TL65" s="35"/>
      <c r="TM65" s="35"/>
      <c r="TN65" s="35"/>
      <c r="TO65" s="35"/>
      <c r="TP65" s="36"/>
      <c r="TQ65" s="35"/>
      <c r="TR65" s="35"/>
      <c r="TS65" s="35"/>
      <c r="TT65" s="35"/>
      <c r="TU65" s="35"/>
      <c r="TV65" s="35"/>
      <c r="TW65" s="35"/>
      <c r="TX65" s="85"/>
      <c r="TY65" s="27"/>
      <c r="TZ65" s="36"/>
      <c r="UA65" s="85"/>
      <c r="UB65" s="35"/>
      <c r="UC65" s="35">
        <v>47136300</v>
      </c>
      <c r="UD65" s="35">
        <v>47136300</v>
      </c>
      <c r="UE65" s="35"/>
      <c r="UF65" s="35">
        <v>47136240</v>
      </c>
      <c r="UG65" s="35"/>
      <c r="UH65" s="36"/>
      <c r="UI65" s="35">
        <v>47136240</v>
      </c>
      <c r="UJ65" s="35">
        <v>47136240</v>
      </c>
      <c r="UK65" s="35"/>
      <c r="UL65" s="35"/>
      <c r="UM65" s="35"/>
      <c r="UN65" s="35"/>
      <c r="UO65" s="35"/>
      <c r="UP65" s="85">
        <v>47136240</v>
      </c>
      <c r="UQ65" s="27"/>
      <c r="UR65" s="36">
        <v>47136300</v>
      </c>
      <c r="US65" s="85">
        <v>47136300</v>
      </c>
    </row>
    <row r="66" spans="1:565" x14ac:dyDescent="0.3">
      <c r="A66" s="8" t="s">
        <v>132</v>
      </c>
      <c r="B66" s="170">
        <v>52</v>
      </c>
      <c r="C66" s="13" t="s">
        <v>134</v>
      </c>
      <c r="F66" s="36">
        <v>815122700</v>
      </c>
      <c r="G66" s="85"/>
      <c r="H66" s="35"/>
      <c r="I66" s="35">
        <v>58614130.43</v>
      </c>
      <c r="J66" s="35">
        <v>53925000</v>
      </c>
      <c r="K66" s="35">
        <v>4689130.43</v>
      </c>
      <c r="L66" s="35">
        <v>53925000</v>
      </c>
      <c r="M66" s="35">
        <v>42947.06</v>
      </c>
      <c r="N66" s="36"/>
      <c r="O66" s="35">
        <v>58614130.43</v>
      </c>
      <c r="P66" s="35">
        <v>53925000</v>
      </c>
      <c r="Q66" s="35"/>
      <c r="R66" s="35">
        <v>4689130.43</v>
      </c>
      <c r="S66" s="35">
        <v>8</v>
      </c>
      <c r="T66" s="35">
        <v>42947.06</v>
      </c>
      <c r="U66" s="35"/>
      <c r="V66" s="85">
        <v>53925000</v>
      </c>
      <c r="W66" s="27"/>
      <c r="X66" s="36">
        <v>53925000</v>
      </c>
      <c r="Y66" s="85">
        <v>53925000</v>
      </c>
      <c r="Z66" s="35"/>
      <c r="AA66" s="35">
        <v>64832173.909999996</v>
      </c>
      <c r="AB66" s="35">
        <v>59645600</v>
      </c>
      <c r="AC66" s="35">
        <v>5186573.91</v>
      </c>
      <c r="AD66" s="35">
        <v>59645600</v>
      </c>
      <c r="AE66" s="35"/>
      <c r="AF66" s="36"/>
      <c r="AG66" s="35">
        <v>64832173.909999996</v>
      </c>
      <c r="AH66" s="35">
        <v>59645600</v>
      </c>
      <c r="AI66" s="35"/>
      <c r="AJ66" s="35">
        <v>5186573.91</v>
      </c>
      <c r="AK66" s="35">
        <v>8</v>
      </c>
      <c r="AL66" s="35"/>
      <c r="AM66" s="35"/>
      <c r="AN66" s="85">
        <v>59645600</v>
      </c>
      <c r="AO66" s="27"/>
      <c r="AP66" s="36">
        <v>59645600</v>
      </c>
      <c r="AQ66" s="85">
        <v>59645600</v>
      </c>
      <c r="AR66" s="35"/>
      <c r="AS66" s="35">
        <v>161183913.03999999</v>
      </c>
      <c r="AT66" s="35">
        <v>148289200</v>
      </c>
      <c r="AU66" s="35">
        <v>12894713.039999999</v>
      </c>
      <c r="AV66" s="35">
        <v>148289200</v>
      </c>
      <c r="AW66" s="35">
        <v>4246588.7300000004</v>
      </c>
      <c r="AX66" s="36"/>
      <c r="AY66" s="35">
        <v>161183913.03999999</v>
      </c>
      <c r="AZ66" s="35">
        <v>148289200</v>
      </c>
      <c r="BA66" s="35"/>
      <c r="BB66" s="35">
        <v>12894713.039999999</v>
      </c>
      <c r="BC66" s="35">
        <v>8</v>
      </c>
      <c r="BD66" s="35">
        <v>4246588.7300000004</v>
      </c>
      <c r="BE66" s="35"/>
      <c r="BF66" s="85">
        <v>148289200</v>
      </c>
      <c r="BG66" s="27"/>
      <c r="BH66" s="36">
        <v>148289200</v>
      </c>
      <c r="BI66" s="85">
        <v>148289200</v>
      </c>
      <c r="BJ66" s="35"/>
      <c r="BK66" s="35">
        <v>487676767.68000001</v>
      </c>
      <c r="BL66" s="35">
        <v>482800000</v>
      </c>
      <c r="BM66" s="35">
        <v>4876767.68</v>
      </c>
      <c r="BN66" s="35">
        <v>482800000</v>
      </c>
      <c r="BO66" s="35"/>
      <c r="BP66" s="36"/>
      <c r="BQ66" s="35">
        <v>487676767.68000001</v>
      </c>
      <c r="BR66" s="35">
        <v>482800000</v>
      </c>
      <c r="BS66" s="35"/>
      <c r="BT66" s="35">
        <v>4876767.68</v>
      </c>
      <c r="BU66" s="35">
        <v>1</v>
      </c>
      <c r="BV66" s="35"/>
      <c r="BW66" s="35"/>
      <c r="BX66" s="85">
        <v>482800000</v>
      </c>
      <c r="BY66" s="27"/>
      <c r="BZ66" s="36">
        <v>482800000</v>
      </c>
      <c r="CA66" s="85">
        <v>482800000</v>
      </c>
      <c r="CB66" s="35"/>
      <c r="CC66" s="35">
        <v>30000000</v>
      </c>
      <c r="CD66" s="35">
        <v>27600000</v>
      </c>
      <c r="CE66" s="35">
        <v>2400000</v>
      </c>
      <c r="CF66" s="35">
        <v>22233277.710000001</v>
      </c>
      <c r="CG66" s="35"/>
      <c r="CH66" s="36"/>
      <c r="CI66" s="35">
        <v>24166606.210000001</v>
      </c>
      <c r="CJ66" s="35">
        <v>22233277.710000001</v>
      </c>
      <c r="CK66" s="35"/>
      <c r="CL66" s="35">
        <v>1933328.5</v>
      </c>
      <c r="CM66" s="35">
        <v>8</v>
      </c>
      <c r="CN66" s="35"/>
      <c r="CO66" s="35"/>
      <c r="CP66" s="85">
        <v>22233277.710000001</v>
      </c>
      <c r="CQ66" s="27"/>
      <c r="CR66" s="36">
        <v>27600000</v>
      </c>
      <c r="CS66" s="85">
        <v>27600000</v>
      </c>
      <c r="CT66" s="35"/>
      <c r="CU66" s="35"/>
      <c r="CV66" s="35"/>
      <c r="CW66" s="35"/>
      <c r="CX66" s="35"/>
      <c r="CY66" s="35"/>
      <c r="CZ66" s="36"/>
      <c r="DA66" s="35"/>
      <c r="DB66" s="35"/>
      <c r="DC66" s="35"/>
      <c r="DD66" s="35"/>
      <c r="DE66" s="35"/>
      <c r="DF66" s="35"/>
      <c r="DG66" s="35"/>
      <c r="DH66" s="85"/>
      <c r="DI66" s="27"/>
      <c r="DJ66" s="36"/>
      <c r="DK66" s="85"/>
      <c r="DL66" s="35"/>
      <c r="DM66" s="35"/>
      <c r="DN66" s="35"/>
      <c r="DO66" s="35"/>
      <c r="DP66" s="35"/>
      <c r="DQ66" s="35"/>
      <c r="DR66" s="36"/>
      <c r="DS66" s="35"/>
      <c r="DT66" s="35"/>
      <c r="DU66" s="35"/>
      <c r="DV66" s="35"/>
      <c r="DW66" s="35"/>
      <c r="DX66" s="35"/>
      <c r="DY66" s="35"/>
      <c r="DZ66" s="85"/>
      <c r="EA66" s="27"/>
      <c r="EB66" s="36"/>
      <c r="EC66" s="85"/>
      <c r="ED66" s="35"/>
      <c r="EE66" s="35">
        <v>27500714.289999999</v>
      </c>
      <c r="EF66" s="35">
        <v>26950700</v>
      </c>
      <c r="EG66" s="35">
        <v>550014.29</v>
      </c>
      <c r="EH66" s="35">
        <v>26950700</v>
      </c>
      <c r="EI66" s="35"/>
      <c r="EJ66" s="36"/>
      <c r="EK66" s="35">
        <v>27500714.289999999</v>
      </c>
      <c r="EL66" s="35">
        <v>26950700</v>
      </c>
      <c r="EM66" s="35"/>
      <c r="EN66" s="35">
        <v>550014.29</v>
      </c>
      <c r="EO66" s="35">
        <v>2</v>
      </c>
      <c r="EP66" s="35"/>
      <c r="EQ66" s="35"/>
      <c r="ER66" s="85">
        <v>26950700</v>
      </c>
      <c r="ES66" s="27"/>
      <c r="ET66" s="36">
        <v>26950700</v>
      </c>
      <c r="EU66" s="85">
        <v>26950700</v>
      </c>
      <c r="EV66" s="35"/>
      <c r="EW66" s="35">
        <v>8030270</v>
      </c>
      <c r="EX66" s="35">
        <v>5982900</v>
      </c>
      <c r="EY66" s="35">
        <v>2047370</v>
      </c>
      <c r="EZ66" s="35">
        <v>5982900</v>
      </c>
      <c r="FA66" s="35"/>
      <c r="FB66" s="36"/>
      <c r="FC66" s="35">
        <v>8030270</v>
      </c>
      <c r="FD66" s="35">
        <v>5982900</v>
      </c>
      <c r="FE66" s="35"/>
      <c r="FF66" s="35">
        <v>2047370</v>
      </c>
      <c r="FG66" s="35">
        <v>25.495660000000001</v>
      </c>
      <c r="FH66" s="35"/>
      <c r="FI66" s="35"/>
      <c r="FJ66" s="85">
        <v>5982900</v>
      </c>
      <c r="FK66" s="27"/>
      <c r="FL66" s="36">
        <v>5982900</v>
      </c>
      <c r="FM66" s="85">
        <v>5982900</v>
      </c>
      <c r="FN66" s="35"/>
      <c r="FO66" s="35"/>
      <c r="FP66" s="35"/>
      <c r="FQ66" s="35"/>
      <c r="FR66" s="35"/>
      <c r="FS66" s="35"/>
      <c r="FT66" s="36"/>
      <c r="FU66" s="35"/>
      <c r="FV66" s="35"/>
      <c r="FW66" s="35"/>
      <c r="FX66" s="35"/>
      <c r="FY66" s="35"/>
      <c r="FZ66" s="35"/>
      <c r="GA66" s="35"/>
      <c r="GB66" s="85"/>
      <c r="GC66" s="27"/>
      <c r="GD66" s="36"/>
      <c r="GE66" s="85"/>
      <c r="GF66" s="35"/>
      <c r="GG66" s="35">
        <v>10792717.390000001</v>
      </c>
      <c r="GH66" s="35">
        <v>9929300</v>
      </c>
      <c r="GI66" s="35">
        <v>863417.39</v>
      </c>
      <c r="GJ66" s="35">
        <v>9929300</v>
      </c>
      <c r="GK66" s="35"/>
      <c r="GL66" s="36"/>
      <c r="GM66" s="35">
        <v>10792717.390000001</v>
      </c>
      <c r="GN66" s="35">
        <v>9929300</v>
      </c>
      <c r="GO66" s="35"/>
      <c r="GP66" s="35">
        <v>863417.39</v>
      </c>
      <c r="GQ66" s="35">
        <v>8</v>
      </c>
      <c r="GR66" s="35"/>
      <c r="GS66" s="35"/>
      <c r="GT66" s="85">
        <v>9929300</v>
      </c>
      <c r="GU66" s="27"/>
      <c r="GV66" s="36">
        <v>9929300</v>
      </c>
      <c r="GW66" s="85">
        <v>9929300</v>
      </c>
      <c r="GX66" s="35"/>
      <c r="GY66" s="35"/>
      <c r="GZ66" s="35"/>
      <c r="HA66" s="35"/>
      <c r="HB66" s="35"/>
      <c r="HC66" s="35"/>
      <c r="HD66" s="36"/>
      <c r="HE66" s="35"/>
      <c r="HF66" s="35"/>
      <c r="HG66" s="35"/>
      <c r="HH66" s="35"/>
      <c r="HI66" s="35"/>
      <c r="HJ66" s="35"/>
      <c r="HK66" s="35"/>
      <c r="HL66" s="85"/>
      <c r="HM66" s="27"/>
      <c r="HN66" s="36"/>
      <c r="HO66" s="85"/>
      <c r="HP66" s="35"/>
      <c r="HQ66" s="35"/>
      <c r="HR66" s="35"/>
      <c r="HS66" s="35"/>
      <c r="HT66" s="35"/>
      <c r="HU66" s="35"/>
      <c r="HV66" s="36"/>
      <c r="HW66" s="35"/>
      <c r="HX66" s="35"/>
      <c r="HY66" s="35"/>
      <c r="HZ66" s="35"/>
      <c r="IA66" s="35"/>
      <c r="IB66" s="35"/>
      <c r="IC66" s="35"/>
      <c r="ID66" s="85"/>
      <c r="IE66" s="27"/>
      <c r="IF66" s="36"/>
      <c r="IG66" s="85"/>
      <c r="IH66" s="35"/>
      <c r="II66" s="35"/>
      <c r="IJ66" s="35"/>
      <c r="IK66" s="35"/>
      <c r="IL66" s="35"/>
      <c r="IM66" s="35"/>
      <c r="IN66" s="36"/>
      <c r="IO66" s="35"/>
      <c r="IP66" s="35"/>
      <c r="IQ66" s="35"/>
      <c r="IR66" s="35"/>
      <c r="IS66" s="35"/>
      <c r="IT66" s="35"/>
      <c r="IU66" s="35"/>
      <c r="IV66" s="85"/>
      <c r="IW66" s="27"/>
      <c r="IX66" s="36"/>
      <c r="IY66" s="85"/>
      <c r="IZ66" s="35"/>
      <c r="JA66" s="35"/>
      <c r="JB66" s="35"/>
      <c r="JC66" s="35"/>
      <c r="JD66" s="35"/>
      <c r="JE66" s="35"/>
      <c r="JF66" s="36"/>
      <c r="JG66" s="35"/>
      <c r="JH66" s="35"/>
      <c r="JI66" s="35"/>
      <c r="JJ66" s="35"/>
      <c r="JK66" s="35"/>
      <c r="JL66" s="35"/>
      <c r="JM66" s="35"/>
      <c r="JN66" s="85"/>
      <c r="JO66" s="27"/>
      <c r="JP66" s="36"/>
      <c r="JQ66" s="85"/>
      <c r="JR66" s="35"/>
      <c r="JS66" s="35"/>
      <c r="JT66" s="35"/>
      <c r="JU66" s="35"/>
      <c r="JV66" s="35"/>
      <c r="JW66" s="35"/>
      <c r="JX66" s="36"/>
      <c r="JY66" s="35"/>
      <c r="JZ66" s="35"/>
      <c r="KA66" s="35"/>
      <c r="KB66" s="35"/>
      <c r="KC66" s="35"/>
      <c r="KD66" s="35"/>
      <c r="KE66" s="35"/>
      <c r="KF66" s="85"/>
      <c r="KG66" s="27"/>
      <c r="KH66" s="36"/>
      <c r="KI66" s="85"/>
      <c r="KJ66" s="35"/>
      <c r="KK66" s="35"/>
      <c r="KL66" s="35"/>
      <c r="KM66" s="35"/>
      <c r="KN66" s="35"/>
      <c r="KO66" s="35"/>
      <c r="KP66" s="36"/>
      <c r="KQ66" s="35"/>
      <c r="KR66" s="35"/>
      <c r="KS66" s="35"/>
      <c r="KT66" s="35"/>
      <c r="KU66" s="35"/>
      <c r="KV66" s="35"/>
      <c r="KW66" s="35"/>
      <c r="KX66" s="85"/>
      <c r="KY66" s="27"/>
      <c r="KZ66" s="36"/>
      <c r="LA66" s="85"/>
      <c r="LB66" s="35"/>
      <c r="LC66" s="35"/>
      <c r="LD66" s="35"/>
      <c r="LE66" s="35"/>
      <c r="LF66" s="35"/>
      <c r="LG66" s="35"/>
      <c r="LH66" s="36"/>
      <c r="LI66" s="35"/>
      <c r="LJ66" s="35"/>
      <c r="LK66" s="35"/>
      <c r="LL66" s="35"/>
      <c r="LM66" s="35"/>
      <c r="LN66" s="35"/>
      <c r="LO66" s="35"/>
      <c r="LP66" s="85"/>
      <c r="LQ66" s="27"/>
      <c r="LR66" s="36"/>
      <c r="LS66" s="85"/>
      <c r="LT66" s="35"/>
      <c r="LU66" s="35"/>
      <c r="LV66" s="35"/>
      <c r="LW66" s="35"/>
      <c r="LX66" s="35"/>
      <c r="LY66" s="35"/>
      <c r="LZ66" s="36"/>
      <c r="MA66" s="35"/>
      <c r="MB66" s="35"/>
      <c r="MC66" s="35"/>
      <c r="MD66" s="35"/>
      <c r="ME66" s="35"/>
      <c r="MF66" s="35"/>
      <c r="MG66" s="35"/>
      <c r="MH66" s="85"/>
      <c r="MI66" s="27"/>
      <c r="MJ66" s="36"/>
      <c r="MK66" s="85"/>
      <c r="ML66" s="35"/>
      <c r="MM66" s="35"/>
      <c r="MN66" s="35"/>
      <c r="MO66" s="35"/>
      <c r="MP66" s="35"/>
      <c r="MQ66" s="35"/>
      <c r="MR66" s="36"/>
      <c r="MS66" s="35"/>
      <c r="MT66" s="35"/>
      <c r="MU66" s="35"/>
      <c r="MV66" s="35"/>
      <c r="MW66" s="35"/>
      <c r="MX66" s="35"/>
      <c r="MY66" s="35"/>
      <c r="MZ66" s="85"/>
      <c r="NA66" s="27"/>
      <c r="NB66" s="36"/>
      <c r="NC66" s="85"/>
      <c r="ND66" s="35"/>
      <c r="NE66" s="35"/>
      <c r="NF66" s="35"/>
      <c r="NG66" s="35"/>
      <c r="NH66" s="35"/>
      <c r="NI66" s="35"/>
      <c r="NJ66" s="36"/>
      <c r="NK66" s="35"/>
      <c r="NL66" s="35"/>
      <c r="NM66" s="35"/>
      <c r="NN66" s="35"/>
      <c r="NO66" s="35"/>
      <c r="NP66" s="35"/>
      <c r="NQ66" s="35"/>
      <c r="NR66" s="85"/>
      <c r="NS66" s="27"/>
      <c r="NT66" s="36"/>
      <c r="NU66" s="85"/>
      <c r="NV66" s="35"/>
      <c r="NW66" s="35"/>
      <c r="NX66" s="35"/>
      <c r="NY66" s="35"/>
      <c r="NZ66" s="35"/>
      <c r="OA66" s="35"/>
      <c r="OB66" s="36"/>
      <c r="OC66" s="35"/>
      <c r="OD66" s="35"/>
      <c r="OE66" s="35"/>
      <c r="OF66" s="35"/>
      <c r="OG66" s="35"/>
      <c r="OH66" s="35"/>
      <c r="OI66" s="35"/>
      <c r="OJ66" s="85"/>
      <c r="OK66" s="27"/>
      <c r="OL66" s="36"/>
      <c r="OM66" s="85"/>
      <c r="ON66" s="35"/>
      <c r="OO66" s="35"/>
      <c r="OP66" s="35"/>
      <c r="OQ66" s="35"/>
      <c r="OR66" s="35"/>
      <c r="OS66" s="35">
        <v>111916.42</v>
      </c>
      <c r="OT66" s="36"/>
      <c r="OU66" s="35"/>
      <c r="OV66" s="35"/>
      <c r="OW66" s="35"/>
      <c r="OX66" s="35"/>
      <c r="OY66" s="35"/>
      <c r="OZ66" s="35">
        <v>111916.42</v>
      </c>
      <c r="PA66" s="35"/>
      <c r="PB66" s="85"/>
      <c r="PC66" s="27"/>
      <c r="PD66" s="36"/>
      <c r="PE66" s="85"/>
      <c r="PF66" s="35"/>
      <c r="PG66" s="35"/>
      <c r="PH66" s="35"/>
      <c r="PI66" s="35"/>
      <c r="PJ66" s="35"/>
      <c r="PK66" s="35"/>
      <c r="PL66" s="36"/>
      <c r="PM66" s="35"/>
      <c r="PN66" s="35"/>
      <c r="PO66" s="35"/>
      <c r="PP66" s="35"/>
      <c r="PQ66" s="35"/>
      <c r="PR66" s="35"/>
      <c r="PS66" s="35"/>
      <c r="PT66" s="85"/>
      <c r="PU66" s="27"/>
      <c r="PV66" s="36"/>
      <c r="PW66" s="85"/>
      <c r="PX66" s="35"/>
      <c r="PY66" s="35"/>
      <c r="PZ66" s="35"/>
      <c r="QA66" s="35"/>
      <c r="QB66" s="35"/>
      <c r="QC66" s="35"/>
      <c r="QD66" s="36"/>
      <c r="QE66" s="35"/>
      <c r="QF66" s="35"/>
      <c r="QG66" s="35"/>
      <c r="QH66" s="35"/>
      <c r="QI66" s="35"/>
      <c r="QJ66" s="35"/>
      <c r="QK66" s="35"/>
      <c r="QL66" s="85"/>
      <c r="QM66" s="27"/>
      <c r="QN66" s="36"/>
      <c r="QO66" s="85"/>
      <c r="QP66" s="35"/>
      <c r="QQ66" s="35"/>
      <c r="QR66" s="35"/>
      <c r="QS66" s="35"/>
      <c r="QT66" s="35"/>
      <c r="QU66" s="35"/>
      <c r="QV66" s="36"/>
      <c r="QW66" s="35"/>
      <c r="QX66" s="35"/>
      <c r="QY66" s="35"/>
      <c r="QZ66" s="35"/>
      <c r="RA66" s="35"/>
      <c r="RB66" s="35"/>
      <c r="RC66" s="35"/>
      <c r="RD66" s="85"/>
      <c r="RE66" s="27"/>
      <c r="RF66" s="36"/>
      <c r="RG66" s="85"/>
      <c r="RH66" s="35"/>
      <c r="RI66" s="35"/>
      <c r="RJ66" s="35"/>
      <c r="RK66" s="35"/>
      <c r="RL66" s="35"/>
      <c r="RM66" s="35">
        <v>164497798.06</v>
      </c>
      <c r="RN66" s="36"/>
      <c r="RO66" s="35"/>
      <c r="RP66" s="35"/>
      <c r="RQ66" s="35"/>
      <c r="RR66" s="35"/>
      <c r="RS66" s="35"/>
      <c r="RT66" s="35">
        <v>164497798.06</v>
      </c>
      <c r="RU66" s="35"/>
      <c r="RV66" s="85"/>
      <c r="RW66" s="27"/>
      <c r="RX66" s="36"/>
      <c r="RY66" s="85"/>
      <c r="RZ66" s="35"/>
      <c r="SA66" s="35"/>
      <c r="SB66" s="35"/>
      <c r="SC66" s="35"/>
      <c r="SD66" s="35"/>
      <c r="SE66" s="35"/>
      <c r="SF66" s="36"/>
      <c r="SG66" s="35"/>
      <c r="SH66" s="35"/>
      <c r="SI66" s="35"/>
      <c r="SJ66" s="35"/>
      <c r="SK66" s="35"/>
      <c r="SL66" s="35"/>
      <c r="SM66" s="35"/>
      <c r="SN66" s="85"/>
      <c r="SO66" s="27"/>
      <c r="SP66" s="36"/>
      <c r="SQ66" s="85"/>
      <c r="SR66" s="35"/>
      <c r="SS66" s="35"/>
      <c r="ST66" s="35"/>
      <c r="SU66" s="35"/>
      <c r="SV66" s="35"/>
      <c r="SW66" s="35"/>
      <c r="SX66" s="36"/>
      <c r="SY66" s="35"/>
      <c r="SZ66" s="35"/>
      <c r="TA66" s="35"/>
      <c r="TB66" s="35"/>
      <c r="TC66" s="35"/>
      <c r="TD66" s="35"/>
      <c r="TE66" s="35"/>
      <c r="TF66" s="85"/>
      <c r="TG66" s="27"/>
      <c r="TH66" s="36"/>
      <c r="TI66" s="85"/>
      <c r="TJ66" s="35"/>
      <c r="TK66" s="35"/>
      <c r="TL66" s="35"/>
      <c r="TM66" s="35"/>
      <c r="TN66" s="35"/>
      <c r="TO66" s="35"/>
      <c r="TP66" s="36"/>
      <c r="TQ66" s="35"/>
      <c r="TR66" s="35"/>
      <c r="TS66" s="35"/>
      <c r="TT66" s="35"/>
      <c r="TU66" s="35"/>
      <c r="TV66" s="35"/>
      <c r="TW66" s="35"/>
      <c r="TX66" s="85"/>
      <c r="TY66" s="27"/>
      <c r="TZ66" s="36"/>
      <c r="UA66" s="85"/>
      <c r="UB66" s="35"/>
      <c r="UC66" s="35"/>
      <c r="UD66" s="35"/>
      <c r="UE66" s="35"/>
      <c r="UF66" s="35"/>
      <c r="UG66" s="35"/>
      <c r="UH66" s="36"/>
      <c r="UI66" s="35"/>
      <c r="UJ66" s="35"/>
      <c r="UK66" s="35"/>
      <c r="UL66" s="35"/>
      <c r="UM66" s="35"/>
      <c r="UN66" s="35"/>
      <c r="UO66" s="35"/>
      <c r="UP66" s="85"/>
      <c r="UQ66" s="27"/>
      <c r="UR66" s="36"/>
      <c r="US66" s="85"/>
    </row>
    <row r="67" spans="1:565" x14ac:dyDescent="0.3">
      <c r="A67" s="8" t="s">
        <v>135</v>
      </c>
      <c r="B67" s="170">
        <v>53</v>
      </c>
      <c r="C67" s="13" t="s">
        <v>137</v>
      </c>
      <c r="F67" s="36">
        <v>1805827300</v>
      </c>
      <c r="G67" s="85"/>
      <c r="H67" s="35"/>
      <c r="I67" s="35">
        <v>384648900</v>
      </c>
      <c r="J67" s="35">
        <v>187719100</v>
      </c>
      <c r="K67" s="35">
        <v>196929800</v>
      </c>
      <c r="L67" s="35">
        <v>187719100</v>
      </c>
      <c r="M67" s="35"/>
      <c r="N67" s="36"/>
      <c r="O67" s="35">
        <v>384648900</v>
      </c>
      <c r="P67" s="35">
        <v>187719100</v>
      </c>
      <c r="Q67" s="35"/>
      <c r="R67" s="35">
        <v>196929800</v>
      </c>
      <c r="S67" s="35">
        <v>51.197290000000002</v>
      </c>
      <c r="T67" s="35"/>
      <c r="U67" s="35"/>
      <c r="V67" s="85">
        <v>187719100</v>
      </c>
      <c r="W67" s="27"/>
      <c r="X67" s="36">
        <v>187719100</v>
      </c>
      <c r="Y67" s="85">
        <v>187719100</v>
      </c>
      <c r="Z67" s="35"/>
      <c r="AA67" s="35">
        <v>248381500</v>
      </c>
      <c r="AB67" s="35">
        <v>198705200</v>
      </c>
      <c r="AC67" s="35">
        <v>49676300</v>
      </c>
      <c r="AD67" s="35">
        <v>198705200</v>
      </c>
      <c r="AE67" s="35"/>
      <c r="AF67" s="36"/>
      <c r="AG67" s="35">
        <v>248381500</v>
      </c>
      <c r="AH67" s="35">
        <v>198705200</v>
      </c>
      <c r="AI67" s="35"/>
      <c r="AJ67" s="35">
        <v>49676300</v>
      </c>
      <c r="AK67" s="35">
        <v>20</v>
      </c>
      <c r="AL67" s="35"/>
      <c r="AM67" s="35"/>
      <c r="AN67" s="85">
        <v>198705200</v>
      </c>
      <c r="AO67" s="27"/>
      <c r="AP67" s="36">
        <v>198705200</v>
      </c>
      <c r="AQ67" s="85">
        <v>198705200</v>
      </c>
      <c r="AR67" s="35"/>
      <c r="AS67" s="35">
        <v>558964625</v>
      </c>
      <c r="AT67" s="35">
        <v>447171700</v>
      </c>
      <c r="AU67" s="35">
        <v>111792925</v>
      </c>
      <c r="AV67" s="35">
        <v>447171700</v>
      </c>
      <c r="AW67" s="35"/>
      <c r="AX67" s="36"/>
      <c r="AY67" s="35">
        <v>558964625</v>
      </c>
      <c r="AZ67" s="35">
        <v>447171700</v>
      </c>
      <c r="BA67" s="35"/>
      <c r="BB67" s="35">
        <v>111792925</v>
      </c>
      <c r="BC67" s="35">
        <v>20</v>
      </c>
      <c r="BD67" s="35"/>
      <c r="BE67" s="35"/>
      <c r="BF67" s="85">
        <v>447171700</v>
      </c>
      <c r="BG67" s="27"/>
      <c r="BH67" s="36">
        <v>447171700</v>
      </c>
      <c r="BI67" s="85">
        <v>447171700</v>
      </c>
      <c r="BJ67" s="35"/>
      <c r="BK67" s="35">
        <v>489375000</v>
      </c>
      <c r="BL67" s="35">
        <v>391500000</v>
      </c>
      <c r="BM67" s="35">
        <v>97875000</v>
      </c>
      <c r="BN67" s="35">
        <v>391500000</v>
      </c>
      <c r="BO67" s="35"/>
      <c r="BP67" s="36"/>
      <c r="BQ67" s="35">
        <v>489375000</v>
      </c>
      <c r="BR67" s="35">
        <v>391500000</v>
      </c>
      <c r="BS67" s="35"/>
      <c r="BT67" s="35">
        <v>97875000</v>
      </c>
      <c r="BU67" s="35">
        <v>20</v>
      </c>
      <c r="BV67" s="35"/>
      <c r="BW67" s="35"/>
      <c r="BX67" s="85">
        <v>391500000</v>
      </c>
      <c r="BY67" s="27"/>
      <c r="BZ67" s="36">
        <v>391500000</v>
      </c>
      <c r="CA67" s="85">
        <v>391500000</v>
      </c>
      <c r="CB67" s="35"/>
      <c r="CC67" s="35">
        <v>122122200</v>
      </c>
      <c r="CD67" s="35">
        <v>97697700</v>
      </c>
      <c r="CE67" s="35">
        <v>24424500</v>
      </c>
      <c r="CF67" s="35">
        <v>97697700</v>
      </c>
      <c r="CG67" s="35"/>
      <c r="CH67" s="36"/>
      <c r="CI67" s="35">
        <v>122122200</v>
      </c>
      <c r="CJ67" s="35">
        <v>97697700</v>
      </c>
      <c r="CK67" s="35"/>
      <c r="CL67" s="35">
        <v>24424500</v>
      </c>
      <c r="CM67" s="35">
        <v>20.000050000000002</v>
      </c>
      <c r="CN67" s="35"/>
      <c r="CO67" s="35"/>
      <c r="CP67" s="85">
        <v>97697700</v>
      </c>
      <c r="CQ67" s="27"/>
      <c r="CR67" s="36">
        <v>97697700</v>
      </c>
      <c r="CS67" s="85">
        <v>97697700</v>
      </c>
      <c r="CT67" s="35"/>
      <c r="CU67" s="35"/>
      <c r="CV67" s="35"/>
      <c r="CW67" s="35"/>
      <c r="CX67" s="35"/>
      <c r="CY67" s="35"/>
      <c r="CZ67" s="36"/>
      <c r="DA67" s="35"/>
      <c r="DB67" s="35"/>
      <c r="DC67" s="35"/>
      <c r="DD67" s="35"/>
      <c r="DE67" s="35"/>
      <c r="DF67" s="35"/>
      <c r="DG67" s="35"/>
      <c r="DH67" s="85"/>
      <c r="DI67" s="27"/>
      <c r="DJ67" s="36"/>
      <c r="DK67" s="85"/>
      <c r="DL67" s="35"/>
      <c r="DM67" s="35"/>
      <c r="DN67" s="35"/>
      <c r="DO67" s="35"/>
      <c r="DP67" s="35"/>
      <c r="DQ67" s="35"/>
      <c r="DR67" s="36"/>
      <c r="DS67" s="35"/>
      <c r="DT67" s="35"/>
      <c r="DU67" s="35"/>
      <c r="DV67" s="35"/>
      <c r="DW67" s="35"/>
      <c r="DX67" s="35"/>
      <c r="DY67" s="35"/>
      <c r="DZ67" s="85"/>
      <c r="EA67" s="27"/>
      <c r="EB67" s="36"/>
      <c r="EC67" s="85"/>
      <c r="ED67" s="35"/>
      <c r="EE67" s="35">
        <v>78765204.079999998</v>
      </c>
      <c r="EF67" s="35">
        <v>77189900</v>
      </c>
      <c r="EG67" s="35">
        <v>1575304.08</v>
      </c>
      <c r="EH67" s="35">
        <v>77189900</v>
      </c>
      <c r="EI67" s="35"/>
      <c r="EJ67" s="36"/>
      <c r="EK67" s="35">
        <v>78765204.079999998</v>
      </c>
      <c r="EL67" s="35">
        <v>77189900</v>
      </c>
      <c r="EM67" s="35"/>
      <c r="EN67" s="35">
        <v>1575304.08</v>
      </c>
      <c r="EO67" s="35">
        <v>2</v>
      </c>
      <c r="EP67" s="35"/>
      <c r="EQ67" s="35"/>
      <c r="ER67" s="85">
        <v>77189900</v>
      </c>
      <c r="ES67" s="27"/>
      <c r="ET67" s="36">
        <v>77189900</v>
      </c>
      <c r="EU67" s="85">
        <v>77189900</v>
      </c>
      <c r="EV67" s="35"/>
      <c r="EW67" s="35">
        <v>216943125</v>
      </c>
      <c r="EX67" s="35">
        <v>173554500</v>
      </c>
      <c r="EY67" s="35">
        <v>43388625</v>
      </c>
      <c r="EZ67" s="35">
        <v>173554500</v>
      </c>
      <c r="FA67" s="35"/>
      <c r="FB67" s="36"/>
      <c r="FC67" s="35">
        <v>216943125</v>
      </c>
      <c r="FD67" s="35">
        <v>173554500</v>
      </c>
      <c r="FE67" s="35"/>
      <c r="FF67" s="35">
        <v>43388625</v>
      </c>
      <c r="FG67" s="35">
        <v>20</v>
      </c>
      <c r="FH67" s="35"/>
      <c r="FI67" s="35"/>
      <c r="FJ67" s="85">
        <v>173554500</v>
      </c>
      <c r="FK67" s="27"/>
      <c r="FL67" s="36">
        <v>173554500</v>
      </c>
      <c r="FM67" s="85">
        <v>173554500</v>
      </c>
      <c r="FN67" s="35"/>
      <c r="FO67" s="35"/>
      <c r="FP67" s="35"/>
      <c r="FQ67" s="35"/>
      <c r="FR67" s="35"/>
      <c r="FS67" s="35"/>
      <c r="FT67" s="36"/>
      <c r="FU67" s="35"/>
      <c r="FV67" s="35"/>
      <c r="FW67" s="35"/>
      <c r="FX67" s="35"/>
      <c r="FY67" s="35"/>
      <c r="FZ67" s="35"/>
      <c r="GA67" s="35"/>
      <c r="GB67" s="85"/>
      <c r="GC67" s="27"/>
      <c r="GD67" s="36"/>
      <c r="GE67" s="85"/>
      <c r="GF67" s="35"/>
      <c r="GG67" s="35">
        <v>34145000</v>
      </c>
      <c r="GH67" s="35">
        <v>27316000</v>
      </c>
      <c r="GI67" s="35">
        <v>6829000</v>
      </c>
      <c r="GJ67" s="35">
        <v>27316000</v>
      </c>
      <c r="GK67" s="35"/>
      <c r="GL67" s="36"/>
      <c r="GM67" s="35">
        <v>34145000</v>
      </c>
      <c r="GN67" s="35">
        <v>27316000</v>
      </c>
      <c r="GO67" s="35"/>
      <c r="GP67" s="35">
        <v>6829000</v>
      </c>
      <c r="GQ67" s="35">
        <v>20</v>
      </c>
      <c r="GR67" s="35"/>
      <c r="GS67" s="35"/>
      <c r="GT67" s="85">
        <v>27316000</v>
      </c>
      <c r="GU67" s="27"/>
      <c r="GV67" s="36">
        <v>27316000</v>
      </c>
      <c r="GW67" s="85">
        <v>27316000</v>
      </c>
      <c r="GX67" s="35"/>
      <c r="GY67" s="35"/>
      <c r="GZ67" s="35"/>
      <c r="HA67" s="35"/>
      <c r="HB67" s="35"/>
      <c r="HC67" s="35"/>
      <c r="HD67" s="36"/>
      <c r="HE67" s="35"/>
      <c r="HF67" s="35"/>
      <c r="HG67" s="35"/>
      <c r="HH67" s="35"/>
      <c r="HI67" s="35"/>
      <c r="HJ67" s="35"/>
      <c r="HK67" s="35"/>
      <c r="HL67" s="85"/>
      <c r="HM67" s="27"/>
      <c r="HN67" s="36"/>
      <c r="HO67" s="85"/>
      <c r="HP67" s="35"/>
      <c r="HQ67" s="35"/>
      <c r="HR67" s="35"/>
      <c r="HS67" s="35"/>
      <c r="HT67" s="35"/>
      <c r="HU67" s="35"/>
      <c r="HV67" s="36"/>
      <c r="HW67" s="35"/>
      <c r="HX67" s="35"/>
      <c r="HY67" s="35"/>
      <c r="HZ67" s="35"/>
      <c r="IA67" s="35"/>
      <c r="IB67" s="35"/>
      <c r="IC67" s="35"/>
      <c r="ID67" s="85"/>
      <c r="IE67" s="27"/>
      <c r="IF67" s="36"/>
      <c r="IG67" s="85"/>
      <c r="IH67" s="35"/>
      <c r="II67" s="35"/>
      <c r="IJ67" s="35"/>
      <c r="IK67" s="35"/>
      <c r="IL67" s="35"/>
      <c r="IM67" s="35"/>
      <c r="IN67" s="36"/>
      <c r="IO67" s="35"/>
      <c r="IP67" s="35"/>
      <c r="IQ67" s="35"/>
      <c r="IR67" s="35"/>
      <c r="IS67" s="35"/>
      <c r="IT67" s="35"/>
      <c r="IU67" s="35"/>
      <c r="IV67" s="85"/>
      <c r="IW67" s="27"/>
      <c r="IX67" s="36"/>
      <c r="IY67" s="85"/>
      <c r="IZ67" s="35"/>
      <c r="JA67" s="35">
        <v>2856021.4</v>
      </c>
      <c r="JB67" s="35">
        <v>2247000</v>
      </c>
      <c r="JC67" s="35">
        <v>609021.4</v>
      </c>
      <c r="JD67" s="35">
        <v>2247000</v>
      </c>
      <c r="JE67" s="35"/>
      <c r="JF67" s="36"/>
      <c r="JG67" s="35">
        <v>2856021.4</v>
      </c>
      <c r="JH67" s="35">
        <v>2247000</v>
      </c>
      <c r="JI67" s="35"/>
      <c r="JJ67" s="35">
        <v>609021.4</v>
      </c>
      <c r="JK67" s="35">
        <v>21.324120000000001</v>
      </c>
      <c r="JL67" s="35"/>
      <c r="JM67" s="35"/>
      <c r="JN67" s="85">
        <v>2247000</v>
      </c>
      <c r="JO67" s="27"/>
      <c r="JP67" s="36">
        <v>2247000</v>
      </c>
      <c r="JQ67" s="85">
        <v>2247000</v>
      </c>
      <c r="JR67" s="35"/>
      <c r="JS67" s="35"/>
      <c r="JT67" s="35"/>
      <c r="JU67" s="35"/>
      <c r="JV67" s="35"/>
      <c r="JW67" s="35"/>
      <c r="JX67" s="36"/>
      <c r="JY67" s="35"/>
      <c r="JZ67" s="35"/>
      <c r="KA67" s="35"/>
      <c r="KB67" s="35"/>
      <c r="KC67" s="35"/>
      <c r="KD67" s="35"/>
      <c r="KE67" s="35"/>
      <c r="KF67" s="85"/>
      <c r="KG67" s="27"/>
      <c r="KH67" s="36"/>
      <c r="KI67" s="85"/>
      <c r="KJ67" s="35"/>
      <c r="KK67" s="35">
        <v>2322500</v>
      </c>
      <c r="KL67" s="35">
        <v>1858000</v>
      </c>
      <c r="KM67" s="35">
        <v>464500</v>
      </c>
      <c r="KN67" s="35">
        <v>1858000</v>
      </c>
      <c r="KO67" s="35"/>
      <c r="KP67" s="36"/>
      <c r="KQ67" s="35">
        <v>2322500</v>
      </c>
      <c r="KR67" s="35">
        <v>1858000</v>
      </c>
      <c r="KS67" s="35"/>
      <c r="KT67" s="35">
        <v>464500</v>
      </c>
      <c r="KU67" s="35">
        <v>20</v>
      </c>
      <c r="KV67" s="35"/>
      <c r="KW67" s="35"/>
      <c r="KX67" s="85">
        <v>1858000</v>
      </c>
      <c r="KY67" s="27"/>
      <c r="KZ67" s="36">
        <v>1858000</v>
      </c>
      <c r="LA67" s="85">
        <v>1858000</v>
      </c>
      <c r="LB67" s="35"/>
      <c r="LC67" s="35"/>
      <c r="LD67" s="35"/>
      <c r="LE67" s="35"/>
      <c r="LF67" s="35"/>
      <c r="LG67" s="35"/>
      <c r="LH67" s="36"/>
      <c r="LI67" s="35"/>
      <c r="LJ67" s="35"/>
      <c r="LK67" s="35"/>
      <c r="LL67" s="35"/>
      <c r="LM67" s="35"/>
      <c r="LN67" s="35"/>
      <c r="LO67" s="35"/>
      <c r="LP67" s="85"/>
      <c r="LQ67" s="27"/>
      <c r="LR67" s="36"/>
      <c r="LS67" s="85"/>
      <c r="LT67" s="35"/>
      <c r="LU67" s="35">
        <v>95194375</v>
      </c>
      <c r="LV67" s="35">
        <v>76155500</v>
      </c>
      <c r="LW67" s="35">
        <v>19038875</v>
      </c>
      <c r="LX67" s="35">
        <v>76155500</v>
      </c>
      <c r="LY67" s="35"/>
      <c r="LZ67" s="36"/>
      <c r="MA67" s="35">
        <v>95194375</v>
      </c>
      <c r="MB67" s="35">
        <v>76155500</v>
      </c>
      <c r="MC67" s="35"/>
      <c r="MD67" s="35">
        <v>19038875</v>
      </c>
      <c r="ME67" s="35">
        <v>20</v>
      </c>
      <c r="MF67" s="35"/>
      <c r="MG67" s="35"/>
      <c r="MH67" s="85">
        <v>76155500</v>
      </c>
      <c r="MI67" s="27"/>
      <c r="MJ67" s="36">
        <v>76155500</v>
      </c>
      <c r="MK67" s="85">
        <v>76155500</v>
      </c>
      <c r="ML67" s="35"/>
      <c r="MM67" s="35"/>
      <c r="MN67" s="35"/>
      <c r="MO67" s="35"/>
      <c r="MP67" s="35"/>
      <c r="MQ67" s="35"/>
      <c r="MR67" s="36"/>
      <c r="MS67" s="35"/>
      <c r="MT67" s="35"/>
      <c r="MU67" s="35"/>
      <c r="MV67" s="35"/>
      <c r="MW67" s="35"/>
      <c r="MX67" s="35"/>
      <c r="MY67" s="35"/>
      <c r="MZ67" s="85"/>
      <c r="NA67" s="27"/>
      <c r="NB67" s="36"/>
      <c r="NC67" s="85"/>
      <c r="ND67" s="35"/>
      <c r="NE67" s="35">
        <v>694125</v>
      </c>
      <c r="NF67" s="35">
        <v>555300</v>
      </c>
      <c r="NG67" s="35">
        <v>138825</v>
      </c>
      <c r="NH67" s="35">
        <v>555300</v>
      </c>
      <c r="NI67" s="35"/>
      <c r="NJ67" s="36"/>
      <c r="NK67" s="35">
        <v>694125</v>
      </c>
      <c r="NL67" s="35">
        <v>555300</v>
      </c>
      <c r="NM67" s="35"/>
      <c r="NN67" s="35">
        <v>138825</v>
      </c>
      <c r="NO67" s="35">
        <v>20</v>
      </c>
      <c r="NP67" s="35"/>
      <c r="NQ67" s="35"/>
      <c r="NR67" s="85">
        <v>555300</v>
      </c>
      <c r="NS67" s="27"/>
      <c r="NT67" s="36">
        <v>555300</v>
      </c>
      <c r="NU67" s="85">
        <v>555300</v>
      </c>
      <c r="NV67" s="35"/>
      <c r="NW67" s="35"/>
      <c r="NX67" s="35"/>
      <c r="NY67" s="35"/>
      <c r="NZ67" s="35"/>
      <c r="OA67" s="35"/>
      <c r="OB67" s="36"/>
      <c r="OC67" s="35"/>
      <c r="OD67" s="35"/>
      <c r="OE67" s="35"/>
      <c r="OF67" s="35"/>
      <c r="OG67" s="35"/>
      <c r="OH67" s="35"/>
      <c r="OI67" s="35"/>
      <c r="OJ67" s="85"/>
      <c r="OK67" s="27"/>
      <c r="OL67" s="36"/>
      <c r="OM67" s="85"/>
      <c r="ON67" s="35"/>
      <c r="OO67" s="35"/>
      <c r="OP67" s="35"/>
      <c r="OQ67" s="35"/>
      <c r="OR67" s="35"/>
      <c r="OS67" s="35"/>
      <c r="OT67" s="36"/>
      <c r="OU67" s="35"/>
      <c r="OV67" s="35"/>
      <c r="OW67" s="35"/>
      <c r="OX67" s="35"/>
      <c r="OY67" s="35"/>
      <c r="OZ67" s="35"/>
      <c r="PA67" s="35"/>
      <c r="PB67" s="85"/>
      <c r="PC67" s="27"/>
      <c r="PD67" s="36"/>
      <c r="PE67" s="85"/>
      <c r="PF67" s="35"/>
      <c r="PG67" s="35"/>
      <c r="PH67" s="35"/>
      <c r="PI67" s="35"/>
      <c r="PJ67" s="35"/>
      <c r="PK67" s="35"/>
      <c r="PL67" s="36"/>
      <c r="PM67" s="35"/>
      <c r="PN67" s="35"/>
      <c r="PO67" s="35"/>
      <c r="PP67" s="35"/>
      <c r="PQ67" s="35"/>
      <c r="PR67" s="35"/>
      <c r="PS67" s="35"/>
      <c r="PT67" s="85"/>
      <c r="PU67" s="27"/>
      <c r="PV67" s="36"/>
      <c r="PW67" s="85"/>
      <c r="PX67" s="35"/>
      <c r="PY67" s="35"/>
      <c r="PZ67" s="35"/>
      <c r="QA67" s="35"/>
      <c r="QB67" s="35"/>
      <c r="QC67" s="35"/>
      <c r="QD67" s="36"/>
      <c r="QE67" s="35"/>
      <c r="QF67" s="35"/>
      <c r="QG67" s="35"/>
      <c r="QH67" s="35"/>
      <c r="QI67" s="35"/>
      <c r="QJ67" s="35"/>
      <c r="QK67" s="35"/>
      <c r="QL67" s="85"/>
      <c r="QM67" s="27"/>
      <c r="QN67" s="36"/>
      <c r="QO67" s="85"/>
      <c r="QP67" s="35"/>
      <c r="QQ67" s="35"/>
      <c r="QR67" s="35"/>
      <c r="QS67" s="35"/>
      <c r="QT67" s="35"/>
      <c r="QU67" s="35"/>
      <c r="QV67" s="36"/>
      <c r="QW67" s="35"/>
      <c r="QX67" s="35"/>
      <c r="QY67" s="35"/>
      <c r="QZ67" s="35"/>
      <c r="RA67" s="35"/>
      <c r="RB67" s="35"/>
      <c r="RC67" s="35"/>
      <c r="RD67" s="85"/>
      <c r="RE67" s="27"/>
      <c r="RF67" s="36"/>
      <c r="RG67" s="85"/>
      <c r="RH67" s="35"/>
      <c r="RI67" s="35"/>
      <c r="RJ67" s="35"/>
      <c r="RK67" s="35"/>
      <c r="RL67" s="35"/>
      <c r="RM67" s="35">
        <v>7516143.7999999998</v>
      </c>
      <c r="RN67" s="36"/>
      <c r="RO67" s="35"/>
      <c r="RP67" s="35"/>
      <c r="RQ67" s="35"/>
      <c r="RR67" s="35"/>
      <c r="RS67" s="35"/>
      <c r="RT67" s="35">
        <v>7516143.7999999998</v>
      </c>
      <c r="RU67" s="35"/>
      <c r="RV67" s="85"/>
      <c r="RW67" s="27"/>
      <c r="RX67" s="36"/>
      <c r="RY67" s="85"/>
      <c r="RZ67" s="35"/>
      <c r="SA67" s="35"/>
      <c r="SB67" s="35"/>
      <c r="SC67" s="35"/>
      <c r="SD67" s="35"/>
      <c r="SE67" s="35"/>
      <c r="SF67" s="36"/>
      <c r="SG67" s="35"/>
      <c r="SH67" s="35"/>
      <c r="SI67" s="35"/>
      <c r="SJ67" s="35"/>
      <c r="SK67" s="35"/>
      <c r="SL67" s="35"/>
      <c r="SM67" s="35"/>
      <c r="SN67" s="85"/>
      <c r="SO67" s="27"/>
      <c r="SP67" s="36"/>
      <c r="SQ67" s="85"/>
      <c r="SR67" s="35"/>
      <c r="SS67" s="35"/>
      <c r="ST67" s="35"/>
      <c r="SU67" s="35"/>
      <c r="SV67" s="35"/>
      <c r="SW67" s="35"/>
      <c r="SX67" s="36"/>
      <c r="SY67" s="35"/>
      <c r="SZ67" s="35"/>
      <c r="TA67" s="35"/>
      <c r="TB67" s="35"/>
      <c r="TC67" s="35"/>
      <c r="TD67" s="35"/>
      <c r="TE67" s="35"/>
      <c r="TF67" s="85"/>
      <c r="TG67" s="27"/>
      <c r="TH67" s="36"/>
      <c r="TI67" s="85"/>
      <c r="TJ67" s="35"/>
      <c r="TK67" s="35"/>
      <c r="TL67" s="35"/>
      <c r="TM67" s="35"/>
      <c r="TN67" s="35"/>
      <c r="TO67" s="35"/>
      <c r="TP67" s="36"/>
      <c r="TQ67" s="35"/>
      <c r="TR67" s="35"/>
      <c r="TS67" s="35"/>
      <c r="TT67" s="35"/>
      <c r="TU67" s="35"/>
      <c r="TV67" s="35"/>
      <c r="TW67" s="35"/>
      <c r="TX67" s="85"/>
      <c r="TY67" s="27"/>
      <c r="TZ67" s="36"/>
      <c r="UA67" s="85"/>
      <c r="UB67" s="35"/>
      <c r="UC67" s="35">
        <v>124157400</v>
      </c>
      <c r="UD67" s="35">
        <v>124157400</v>
      </c>
      <c r="UE67" s="35"/>
      <c r="UF67" s="35">
        <v>124157350</v>
      </c>
      <c r="UG67" s="35"/>
      <c r="UH67" s="36"/>
      <c r="UI67" s="35">
        <v>124157350</v>
      </c>
      <c r="UJ67" s="35">
        <v>124157350</v>
      </c>
      <c r="UK67" s="35"/>
      <c r="UL67" s="35"/>
      <c r="UM67" s="35"/>
      <c r="UN67" s="35"/>
      <c r="UO67" s="35"/>
      <c r="UP67" s="85">
        <v>124157350</v>
      </c>
      <c r="UQ67" s="27"/>
      <c r="UR67" s="36">
        <v>124157400</v>
      </c>
      <c r="US67" s="85">
        <v>124157400</v>
      </c>
    </row>
    <row r="68" spans="1:565" x14ac:dyDescent="0.3">
      <c r="A68" s="8" t="s">
        <v>138</v>
      </c>
      <c r="B68" s="168">
        <v>54</v>
      </c>
      <c r="C68" s="13" t="s">
        <v>140</v>
      </c>
      <c r="F68" s="36">
        <v>4294724700</v>
      </c>
      <c r="G68" s="85"/>
      <c r="H68" s="35"/>
      <c r="I68" s="35">
        <v>782613448.27999997</v>
      </c>
      <c r="J68" s="35">
        <v>453915800</v>
      </c>
      <c r="K68" s="35">
        <v>328697648.27999997</v>
      </c>
      <c r="L68" s="35">
        <v>453915800</v>
      </c>
      <c r="M68" s="35">
        <v>161020.51999999999</v>
      </c>
      <c r="N68" s="36"/>
      <c r="O68" s="35">
        <v>782613448.27999997</v>
      </c>
      <c r="P68" s="35">
        <v>453915800</v>
      </c>
      <c r="Q68" s="35"/>
      <c r="R68" s="35">
        <v>328697648.27999997</v>
      </c>
      <c r="S68" s="35">
        <v>42</v>
      </c>
      <c r="T68" s="35">
        <v>161020.51999999999</v>
      </c>
      <c r="U68" s="35"/>
      <c r="V68" s="85">
        <v>453915800</v>
      </c>
      <c r="W68" s="27"/>
      <c r="X68" s="36">
        <v>453915800</v>
      </c>
      <c r="Y68" s="85">
        <v>453915800</v>
      </c>
      <c r="Z68" s="35"/>
      <c r="AA68" s="35">
        <v>703594482.75999999</v>
      </c>
      <c r="AB68" s="35">
        <v>408084800</v>
      </c>
      <c r="AC68" s="35">
        <v>295509682.75999999</v>
      </c>
      <c r="AD68" s="35">
        <v>408084800</v>
      </c>
      <c r="AE68" s="35"/>
      <c r="AF68" s="36"/>
      <c r="AG68" s="35">
        <v>703594482.75999999</v>
      </c>
      <c r="AH68" s="35">
        <v>408084800</v>
      </c>
      <c r="AI68" s="35"/>
      <c r="AJ68" s="35">
        <v>295509682.75999999</v>
      </c>
      <c r="AK68" s="35">
        <v>42</v>
      </c>
      <c r="AL68" s="35"/>
      <c r="AM68" s="35"/>
      <c r="AN68" s="85">
        <v>408084800</v>
      </c>
      <c r="AO68" s="27"/>
      <c r="AP68" s="36">
        <v>408084800</v>
      </c>
      <c r="AQ68" s="85">
        <v>408084800</v>
      </c>
      <c r="AR68" s="35"/>
      <c r="AS68" s="35">
        <v>2697382758.6200004</v>
      </c>
      <c r="AT68" s="35">
        <v>1564482000</v>
      </c>
      <c r="AU68" s="35">
        <v>1132900758.6199999</v>
      </c>
      <c r="AV68" s="35">
        <v>1564481960.0999999</v>
      </c>
      <c r="AW68" s="35">
        <v>8885845.7200000007</v>
      </c>
      <c r="AX68" s="36"/>
      <c r="AY68" s="35">
        <v>2697382689.8299999</v>
      </c>
      <c r="AZ68" s="35">
        <v>1564481960.0999999</v>
      </c>
      <c r="BA68" s="35"/>
      <c r="BB68" s="35">
        <v>1132900729.73</v>
      </c>
      <c r="BC68" s="35">
        <v>42</v>
      </c>
      <c r="BD68" s="35">
        <v>8885845.7200000007</v>
      </c>
      <c r="BE68" s="35"/>
      <c r="BF68" s="85">
        <v>1564481960.0999999</v>
      </c>
      <c r="BG68" s="27"/>
      <c r="BH68" s="36">
        <v>1564482000</v>
      </c>
      <c r="BI68" s="85">
        <v>1564482000</v>
      </c>
      <c r="BJ68" s="35"/>
      <c r="BK68" s="35">
        <v>736842105.25999999</v>
      </c>
      <c r="BL68" s="35">
        <v>700000000</v>
      </c>
      <c r="BM68" s="35">
        <v>36842105.259999998</v>
      </c>
      <c r="BN68" s="35">
        <v>700000000</v>
      </c>
      <c r="BO68" s="35"/>
      <c r="BP68" s="36"/>
      <c r="BQ68" s="35">
        <v>736842105.25999999</v>
      </c>
      <c r="BR68" s="35">
        <v>700000000</v>
      </c>
      <c r="BS68" s="35"/>
      <c r="BT68" s="35">
        <v>36842105.259999998</v>
      </c>
      <c r="BU68" s="35">
        <v>5</v>
      </c>
      <c r="BV68" s="35"/>
      <c r="BW68" s="35"/>
      <c r="BX68" s="85">
        <v>700000000</v>
      </c>
      <c r="BY68" s="27"/>
      <c r="BZ68" s="36">
        <v>700000000</v>
      </c>
      <c r="CA68" s="85">
        <v>700000000</v>
      </c>
      <c r="CB68" s="35"/>
      <c r="CC68" s="35">
        <v>76844827.599999994</v>
      </c>
      <c r="CD68" s="35">
        <v>44570000</v>
      </c>
      <c r="CE68" s="35">
        <v>32274827.600000001</v>
      </c>
      <c r="CF68" s="35">
        <v>44570000</v>
      </c>
      <c r="CG68" s="35">
        <v>1094441.83</v>
      </c>
      <c r="CH68" s="36"/>
      <c r="CI68" s="35">
        <v>76844827.599999994</v>
      </c>
      <c r="CJ68" s="35">
        <v>44570000</v>
      </c>
      <c r="CK68" s="35"/>
      <c r="CL68" s="35">
        <v>32274827.600000001</v>
      </c>
      <c r="CM68" s="35">
        <v>42</v>
      </c>
      <c r="CN68" s="35">
        <v>1094441.83</v>
      </c>
      <c r="CO68" s="35"/>
      <c r="CP68" s="85">
        <v>44570000</v>
      </c>
      <c r="CQ68" s="27"/>
      <c r="CR68" s="36">
        <v>44570000</v>
      </c>
      <c r="CS68" s="85">
        <v>44570000</v>
      </c>
      <c r="CT68" s="35"/>
      <c r="CU68" s="35">
        <v>38672839.509999998</v>
      </c>
      <c r="CV68" s="35">
        <v>31325000</v>
      </c>
      <c r="CW68" s="35">
        <v>7347839.5099999998</v>
      </c>
      <c r="CX68" s="35">
        <v>31325000</v>
      </c>
      <c r="CY68" s="35">
        <v>0</v>
      </c>
      <c r="CZ68" s="36"/>
      <c r="DA68" s="35">
        <v>38672839.509999998</v>
      </c>
      <c r="DB68" s="35">
        <v>31325000</v>
      </c>
      <c r="DC68" s="35"/>
      <c r="DD68" s="35">
        <v>7347839.5099999998</v>
      </c>
      <c r="DE68" s="35">
        <v>19</v>
      </c>
      <c r="DF68" s="35">
        <v>0</v>
      </c>
      <c r="DG68" s="35"/>
      <c r="DH68" s="85">
        <v>31325000</v>
      </c>
      <c r="DI68" s="27"/>
      <c r="DJ68" s="36">
        <v>31325000</v>
      </c>
      <c r="DK68" s="85">
        <v>31325000</v>
      </c>
      <c r="DL68" s="35"/>
      <c r="DM68" s="35">
        <v>157943684.21000001</v>
      </c>
      <c r="DN68" s="35">
        <v>150046500</v>
      </c>
      <c r="DO68" s="35">
        <v>7897184.21</v>
      </c>
      <c r="DP68" s="35">
        <v>150046500</v>
      </c>
      <c r="DQ68" s="35"/>
      <c r="DR68" s="36"/>
      <c r="DS68" s="35">
        <v>157943684.21000001</v>
      </c>
      <c r="DT68" s="35">
        <v>150046500</v>
      </c>
      <c r="DU68" s="35"/>
      <c r="DV68" s="35">
        <v>7897184.21</v>
      </c>
      <c r="DW68" s="35">
        <v>5</v>
      </c>
      <c r="DX68" s="35"/>
      <c r="DY68" s="35"/>
      <c r="DZ68" s="85">
        <v>150046500</v>
      </c>
      <c r="EA68" s="27"/>
      <c r="EB68" s="36">
        <v>150046500</v>
      </c>
      <c r="EC68" s="85">
        <v>150046500</v>
      </c>
      <c r="ED68" s="35"/>
      <c r="EE68" s="35">
        <v>418834197.52999997</v>
      </c>
      <c r="EF68" s="35">
        <v>339255700</v>
      </c>
      <c r="EG68" s="35">
        <v>79578497.530000001</v>
      </c>
      <c r="EH68" s="35">
        <v>339255700</v>
      </c>
      <c r="EI68" s="35"/>
      <c r="EJ68" s="36"/>
      <c r="EK68" s="35">
        <v>418834197.52999997</v>
      </c>
      <c r="EL68" s="35">
        <v>339255700</v>
      </c>
      <c r="EM68" s="35"/>
      <c r="EN68" s="35">
        <v>79578497.530000001</v>
      </c>
      <c r="EO68" s="35">
        <v>19</v>
      </c>
      <c r="EP68" s="35"/>
      <c r="EQ68" s="35"/>
      <c r="ER68" s="85">
        <v>339255700</v>
      </c>
      <c r="ES68" s="27"/>
      <c r="ET68" s="36">
        <v>339255700</v>
      </c>
      <c r="EU68" s="85">
        <v>339255700</v>
      </c>
      <c r="EV68" s="35"/>
      <c r="EW68" s="35">
        <v>713832413.78999996</v>
      </c>
      <c r="EX68" s="35">
        <v>414022800</v>
      </c>
      <c r="EY68" s="35">
        <v>299809613.79000002</v>
      </c>
      <c r="EZ68" s="35">
        <v>414022800</v>
      </c>
      <c r="FA68" s="35">
        <v>1790300.36</v>
      </c>
      <c r="FB68" s="36"/>
      <c r="FC68" s="35">
        <v>713832413.78999996</v>
      </c>
      <c r="FD68" s="35">
        <v>414022800</v>
      </c>
      <c r="FE68" s="35"/>
      <c r="FF68" s="35">
        <v>299809613.79000002</v>
      </c>
      <c r="FG68" s="35">
        <v>42</v>
      </c>
      <c r="FH68" s="35">
        <v>1790300.36</v>
      </c>
      <c r="FI68" s="35"/>
      <c r="FJ68" s="85">
        <v>414022800</v>
      </c>
      <c r="FK68" s="27"/>
      <c r="FL68" s="36">
        <v>414022800</v>
      </c>
      <c r="FM68" s="85">
        <v>414022800</v>
      </c>
      <c r="FN68" s="35"/>
      <c r="FO68" s="35"/>
      <c r="FP68" s="35"/>
      <c r="FQ68" s="35"/>
      <c r="FR68" s="35"/>
      <c r="FS68" s="35">
        <v>2562008.34</v>
      </c>
      <c r="FT68" s="36"/>
      <c r="FU68" s="35"/>
      <c r="FV68" s="35"/>
      <c r="FW68" s="35"/>
      <c r="FX68" s="35"/>
      <c r="FY68" s="35"/>
      <c r="FZ68" s="35">
        <v>150785.15</v>
      </c>
      <c r="GA68" s="35">
        <v>2411223.19</v>
      </c>
      <c r="GB68" s="85"/>
      <c r="GC68" s="27"/>
      <c r="GD68" s="36"/>
      <c r="GE68" s="85"/>
      <c r="GF68" s="35"/>
      <c r="GG68" s="35">
        <v>30518275.870000001</v>
      </c>
      <c r="GH68" s="35">
        <v>17700600</v>
      </c>
      <c r="GI68" s="35">
        <v>12817675.869999999</v>
      </c>
      <c r="GJ68" s="35">
        <v>17503264.5</v>
      </c>
      <c r="GK68" s="35"/>
      <c r="GL68" s="36"/>
      <c r="GM68" s="35">
        <v>30178042.239999998</v>
      </c>
      <c r="GN68" s="35">
        <v>17503264.5</v>
      </c>
      <c r="GO68" s="35"/>
      <c r="GP68" s="35">
        <v>12674777.74</v>
      </c>
      <c r="GQ68" s="35">
        <v>42</v>
      </c>
      <c r="GR68" s="35"/>
      <c r="GS68" s="35"/>
      <c r="GT68" s="85">
        <v>17503264.5</v>
      </c>
      <c r="GU68" s="27"/>
      <c r="GV68" s="36">
        <v>17700600</v>
      </c>
      <c r="GW68" s="85">
        <v>17700600</v>
      </c>
      <c r="GX68" s="35"/>
      <c r="GY68" s="35"/>
      <c r="GZ68" s="35"/>
      <c r="HA68" s="35"/>
      <c r="HB68" s="35"/>
      <c r="HC68" s="35"/>
      <c r="HD68" s="36"/>
      <c r="HE68" s="35"/>
      <c r="HF68" s="35"/>
      <c r="HG68" s="35"/>
      <c r="HH68" s="35"/>
      <c r="HI68" s="35"/>
      <c r="HJ68" s="35"/>
      <c r="HK68" s="35"/>
      <c r="HL68" s="85"/>
      <c r="HM68" s="27"/>
      <c r="HN68" s="36"/>
      <c r="HO68" s="85"/>
      <c r="HP68" s="35"/>
      <c r="HQ68" s="35"/>
      <c r="HR68" s="35"/>
      <c r="HS68" s="35"/>
      <c r="HT68" s="35"/>
      <c r="HU68" s="35"/>
      <c r="HV68" s="36"/>
      <c r="HW68" s="35"/>
      <c r="HX68" s="35"/>
      <c r="HY68" s="35"/>
      <c r="HZ68" s="35"/>
      <c r="IA68" s="35"/>
      <c r="IB68" s="35"/>
      <c r="IC68" s="35"/>
      <c r="ID68" s="85"/>
      <c r="IE68" s="27"/>
      <c r="IF68" s="36"/>
      <c r="IG68" s="85"/>
      <c r="IH68" s="35"/>
      <c r="II68" s="35"/>
      <c r="IJ68" s="35"/>
      <c r="IK68" s="35"/>
      <c r="IL68" s="35"/>
      <c r="IM68" s="35"/>
      <c r="IN68" s="36"/>
      <c r="IO68" s="35"/>
      <c r="IP68" s="35"/>
      <c r="IQ68" s="35"/>
      <c r="IR68" s="35"/>
      <c r="IS68" s="35"/>
      <c r="IT68" s="35"/>
      <c r="IU68" s="35"/>
      <c r="IV68" s="85"/>
      <c r="IW68" s="27"/>
      <c r="IX68" s="36"/>
      <c r="IY68" s="85"/>
      <c r="IZ68" s="35"/>
      <c r="JA68" s="35">
        <v>3276034.48</v>
      </c>
      <c r="JB68" s="35">
        <v>1900100</v>
      </c>
      <c r="JC68" s="35">
        <v>1375934.48</v>
      </c>
      <c r="JD68" s="35">
        <v>1886326.03</v>
      </c>
      <c r="JE68" s="35"/>
      <c r="JF68" s="36"/>
      <c r="JG68" s="35">
        <v>3252286.26</v>
      </c>
      <c r="JH68" s="35">
        <v>1886326.03</v>
      </c>
      <c r="JI68" s="35"/>
      <c r="JJ68" s="35">
        <v>1365960.23</v>
      </c>
      <c r="JK68" s="35">
        <v>42</v>
      </c>
      <c r="JL68" s="35"/>
      <c r="JM68" s="35"/>
      <c r="JN68" s="85">
        <v>1886326.03</v>
      </c>
      <c r="JO68" s="27"/>
      <c r="JP68" s="36">
        <v>1900100</v>
      </c>
      <c r="JQ68" s="85">
        <v>1900100</v>
      </c>
      <c r="JR68" s="35"/>
      <c r="JS68" s="35"/>
      <c r="JT68" s="35"/>
      <c r="JU68" s="35"/>
      <c r="JV68" s="35"/>
      <c r="JW68" s="35"/>
      <c r="JX68" s="36"/>
      <c r="JY68" s="35"/>
      <c r="JZ68" s="35"/>
      <c r="KA68" s="35"/>
      <c r="KB68" s="35"/>
      <c r="KC68" s="35"/>
      <c r="KD68" s="35"/>
      <c r="KE68" s="35"/>
      <c r="KF68" s="85"/>
      <c r="KG68" s="27"/>
      <c r="KH68" s="36"/>
      <c r="KI68" s="85"/>
      <c r="KJ68" s="35"/>
      <c r="KK68" s="35">
        <v>4895000</v>
      </c>
      <c r="KL68" s="35">
        <v>2839100</v>
      </c>
      <c r="KM68" s="35">
        <v>2055900</v>
      </c>
      <c r="KN68" s="35">
        <v>2778798.31</v>
      </c>
      <c r="KO68" s="35"/>
      <c r="KP68" s="36"/>
      <c r="KQ68" s="35">
        <v>4791031.57</v>
      </c>
      <c r="KR68" s="35">
        <v>2778798.31</v>
      </c>
      <c r="KS68" s="35"/>
      <c r="KT68" s="35">
        <v>2012233.26</v>
      </c>
      <c r="KU68" s="35">
        <v>42</v>
      </c>
      <c r="KV68" s="35"/>
      <c r="KW68" s="35"/>
      <c r="KX68" s="85">
        <v>2778798.31</v>
      </c>
      <c r="KY68" s="27"/>
      <c r="KZ68" s="36">
        <v>2839100</v>
      </c>
      <c r="LA68" s="85">
        <v>2839100</v>
      </c>
      <c r="LB68" s="35"/>
      <c r="LC68" s="35"/>
      <c r="LD68" s="35"/>
      <c r="LE68" s="35"/>
      <c r="LF68" s="35"/>
      <c r="LG68" s="35"/>
      <c r="LH68" s="36"/>
      <c r="LI68" s="35"/>
      <c r="LJ68" s="35"/>
      <c r="LK68" s="35"/>
      <c r="LL68" s="35"/>
      <c r="LM68" s="35"/>
      <c r="LN68" s="35"/>
      <c r="LO68" s="35"/>
      <c r="LP68" s="85"/>
      <c r="LQ68" s="27"/>
      <c r="LR68" s="36"/>
      <c r="LS68" s="85"/>
      <c r="LT68" s="35"/>
      <c r="LU68" s="35">
        <v>78629137.930000007</v>
      </c>
      <c r="LV68" s="35">
        <v>45604900</v>
      </c>
      <c r="LW68" s="35">
        <v>33024237.93</v>
      </c>
      <c r="LX68" s="35">
        <v>45081877.390000001</v>
      </c>
      <c r="LY68" s="35"/>
      <c r="LZ68" s="36"/>
      <c r="MA68" s="35">
        <v>77727373.810000002</v>
      </c>
      <c r="MB68" s="35">
        <v>45081876.810000002</v>
      </c>
      <c r="MC68" s="35"/>
      <c r="MD68" s="35">
        <v>32645497</v>
      </c>
      <c r="ME68" s="35">
        <v>42</v>
      </c>
      <c r="MF68" s="35"/>
      <c r="MG68" s="35">
        <v>0.57999999999999996</v>
      </c>
      <c r="MH68" s="85">
        <v>45081877.390000001</v>
      </c>
      <c r="MI68" s="27"/>
      <c r="MJ68" s="36">
        <v>45604900</v>
      </c>
      <c r="MK68" s="85">
        <v>45604900</v>
      </c>
      <c r="ML68" s="35"/>
      <c r="MM68" s="35"/>
      <c r="MN68" s="35"/>
      <c r="MO68" s="35"/>
      <c r="MP68" s="35"/>
      <c r="MQ68" s="35"/>
      <c r="MR68" s="36"/>
      <c r="MS68" s="35"/>
      <c r="MT68" s="35"/>
      <c r="MU68" s="35"/>
      <c r="MV68" s="35"/>
      <c r="MW68" s="35"/>
      <c r="MX68" s="35"/>
      <c r="MY68" s="35"/>
      <c r="MZ68" s="85"/>
      <c r="NA68" s="27"/>
      <c r="NB68" s="36"/>
      <c r="NC68" s="85"/>
      <c r="ND68" s="35"/>
      <c r="NE68" s="35">
        <v>1418103.45</v>
      </c>
      <c r="NF68" s="35">
        <v>822500</v>
      </c>
      <c r="NG68" s="35">
        <v>595603.44999999995</v>
      </c>
      <c r="NH68" s="35">
        <v>822500</v>
      </c>
      <c r="NI68" s="35"/>
      <c r="NJ68" s="36"/>
      <c r="NK68" s="35">
        <v>1418103.45</v>
      </c>
      <c r="NL68" s="35">
        <v>822500</v>
      </c>
      <c r="NM68" s="35"/>
      <c r="NN68" s="35">
        <v>595603.44999999995</v>
      </c>
      <c r="NO68" s="35">
        <v>42</v>
      </c>
      <c r="NP68" s="35"/>
      <c r="NQ68" s="35"/>
      <c r="NR68" s="85">
        <v>822500</v>
      </c>
      <c r="NS68" s="27"/>
      <c r="NT68" s="36">
        <v>822500</v>
      </c>
      <c r="NU68" s="85">
        <v>822500</v>
      </c>
      <c r="NV68" s="35"/>
      <c r="NW68" s="35"/>
      <c r="NX68" s="35"/>
      <c r="NY68" s="35"/>
      <c r="NZ68" s="35"/>
      <c r="OA68" s="35"/>
      <c r="OB68" s="36"/>
      <c r="OC68" s="35"/>
      <c r="OD68" s="35"/>
      <c r="OE68" s="35"/>
      <c r="OF68" s="35"/>
      <c r="OG68" s="35"/>
      <c r="OH68" s="35"/>
      <c r="OI68" s="35"/>
      <c r="OJ68" s="85"/>
      <c r="OK68" s="27"/>
      <c r="OL68" s="36"/>
      <c r="OM68" s="85"/>
      <c r="ON68" s="35"/>
      <c r="OO68" s="35"/>
      <c r="OP68" s="35"/>
      <c r="OQ68" s="35"/>
      <c r="OR68" s="35"/>
      <c r="OS68" s="35">
        <v>3500</v>
      </c>
      <c r="OT68" s="36"/>
      <c r="OU68" s="35"/>
      <c r="OV68" s="35"/>
      <c r="OW68" s="35"/>
      <c r="OX68" s="35"/>
      <c r="OY68" s="35"/>
      <c r="OZ68" s="35">
        <v>3500</v>
      </c>
      <c r="PA68" s="35"/>
      <c r="PB68" s="85"/>
      <c r="PC68" s="27"/>
      <c r="PD68" s="36"/>
      <c r="PE68" s="85"/>
      <c r="PF68" s="35"/>
      <c r="PG68" s="35"/>
      <c r="PH68" s="35"/>
      <c r="PI68" s="35"/>
      <c r="PJ68" s="35"/>
      <c r="PK68" s="35"/>
      <c r="PL68" s="36"/>
      <c r="PM68" s="35"/>
      <c r="PN68" s="35"/>
      <c r="PO68" s="35"/>
      <c r="PP68" s="35"/>
      <c r="PQ68" s="35"/>
      <c r="PR68" s="35"/>
      <c r="PS68" s="35"/>
      <c r="PT68" s="85"/>
      <c r="PU68" s="27"/>
      <c r="PV68" s="36"/>
      <c r="PW68" s="85"/>
      <c r="PX68" s="35"/>
      <c r="PY68" s="35"/>
      <c r="PZ68" s="35"/>
      <c r="QA68" s="35"/>
      <c r="QB68" s="35"/>
      <c r="QC68" s="35"/>
      <c r="QD68" s="36"/>
      <c r="QE68" s="35"/>
      <c r="QF68" s="35"/>
      <c r="QG68" s="35"/>
      <c r="QH68" s="35"/>
      <c r="QI68" s="35"/>
      <c r="QJ68" s="35"/>
      <c r="QK68" s="35"/>
      <c r="QL68" s="85"/>
      <c r="QM68" s="27"/>
      <c r="QN68" s="36"/>
      <c r="QO68" s="85"/>
      <c r="QP68" s="35"/>
      <c r="QQ68" s="35"/>
      <c r="QR68" s="35"/>
      <c r="QS68" s="35"/>
      <c r="QT68" s="35"/>
      <c r="QU68" s="35"/>
      <c r="QV68" s="36"/>
      <c r="QW68" s="35"/>
      <c r="QX68" s="35"/>
      <c r="QY68" s="35"/>
      <c r="QZ68" s="35"/>
      <c r="RA68" s="35"/>
      <c r="RB68" s="35"/>
      <c r="RC68" s="35"/>
      <c r="RD68" s="85"/>
      <c r="RE68" s="27"/>
      <c r="RF68" s="36"/>
      <c r="RG68" s="85"/>
      <c r="RH68" s="35"/>
      <c r="RI68" s="35"/>
      <c r="RJ68" s="35"/>
      <c r="RK68" s="35"/>
      <c r="RL68" s="35"/>
      <c r="RM68" s="35"/>
      <c r="RN68" s="36"/>
      <c r="RO68" s="35"/>
      <c r="RP68" s="35"/>
      <c r="RQ68" s="35"/>
      <c r="RR68" s="35"/>
      <c r="RS68" s="35"/>
      <c r="RT68" s="35"/>
      <c r="RU68" s="35"/>
      <c r="RV68" s="85"/>
      <c r="RW68" s="27"/>
      <c r="RX68" s="36"/>
      <c r="RY68" s="85"/>
      <c r="RZ68" s="35"/>
      <c r="SA68" s="35"/>
      <c r="SB68" s="35"/>
      <c r="SC68" s="35"/>
      <c r="SD68" s="35"/>
      <c r="SE68" s="35"/>
      <c r="SF68" s="36"/>
      <c r="SG68" s="35"/>
      <c r="SH68" s="35"/>
      <c r="SI68" s="35"/>
      <c r="SJ68" s="35"/>
      <c r="SK68" s="35"/>
      <c r="SL68" s="35"/>
      <c r="SM68" s="35"/>
      <c r="SN68" s="85"/>
      <c r="SO68" s="27"/>
      <c r="SP68" s="36"/>
      <c r="SQ68" s="85"/>
      <c r="SR68" s="35"/>
      <c r="SS68" s="35"/>
      <c r="ST68" s="35"/>
      <c r="SU68" s="35"/>
      <c r="SV68" s="35"/>
      <c r="SW68" s="35"/>
      <c r="SX68" s="36"/>
      <c r="SY68" s="35"/>
      <c r="SZ68" s="35"/>
      <c r="TA68" s="35"/>
      <c r="TB68" s="35"/>
      <c r="TC68" s="35"/>
      <c r="TD68" s="35"/>
      <c r="TE68" s="35"/>
      <c r="TF68" s="85"/>
      <c r="TG68" s="27"/>
      <c r="TH68" s="36"/>
      <c r="TI68" s="85"/>
      <c r="TJ68" s="35"/>
      <c r="TK68" s="35"/>
      <c r="TL68" s="35"/>
      <c r="TM68" s="35"/>
      <c r="TN68" s="35"/>
      <c r="TO68" s="35"/>
      <c r="TP68" s="36"/>
      <c r="TQ68" s="35"/>
      <c r="TR68" s="35"/>
      <c r="TS68" s="35"/>
      <c r="TT68" s="35"/>
      <c r="TU68" s="35"/>
      <c r="TV68" s="35"/>
      <c r="TW68" s="35"/>
      <c r="TX68" s="85"/>
      <c r="TY68" s="27"/>
      <c r="TZ68" s="36"/>
      <c r="UA68" s="85"/>
      <c r="UB68" s="35"/>
      <c r="UC68" s="35">
        <v>120154900</v>
      </c>
      <c r="UD68" s="35">
        <v>120154900</v>
      </c>
      <c r="UE68" s="35"/>
      <c r="UF68" s="35">
        <v>120154890</v>
      </c>
      <c r="UG68" s="35"/>
      <c r="UH68" s="36"/>
      <c r="UI68" s="35">
        <v>120154890</v>
      </c>
      <c r="UJ68" s="35">
        <v>120154890</v>
      </c>
      <c r="UK68" s="35"/>
      <c r="UL68" s="35"/>
      <c r="UM68" s="35"/>
      <c r="UN68" s="35"/>
      <c r="UO68" s="35"/>
      <c r="UP68" s="85">
        <v>120154890</v>
      </c>
      <c r="UQ68" s="27"/>
      <c r="UR68" s="36">
        <v>120154900</v>
      </c>
      <c r="US68" s="85">
        <v>120154900</v>
      </c>
    </row>
    <row r="69" spans="1:565" x14ac:dyDescent="0.3">
      <c r="A69" s="8" t="s">
        <v>141</v>
      </c>
      <c r="B69" s="170">
        <v>55</v>
      </c>
      <c r="C69" s="13" t="s">
        <v>143</v>
      </c>
      <c r="F69" s="36">
        <v>1366899000</v>
      </c>
      <c r="G69" s="85"/>
      <c r="H69" s="35"/>
      <c r="I69" s="35">
        <v>253350300</v>
      </c>
      <c r="J69" s="35">
        <v>205213700</v>
      </c>
      <c r="K69" s="35">
        <v>48136600</v>
      </c>
      <c r="L69" s="35">
        <v>205211751.15000001</v>
      </c>
      <c r="M69" s="35">
        <v>686114.3</v>
      </c>
      <c r="N69" s="36"/>
      <c r="O69" s="35">
        <v>253347894.00999999</v>
      </c>
      <c r="P69" s="35">
        <v>205211751.15000001</v>
      </c>
      <c r="Q69" s="35"/>
      <c r="R69" s="35">
        <v>48136142.859999999</v>
      </c>
      <c r="S69" s="35">
        <v>19.000019999999999</v>
      </c>
      <c r="T69" s="35">
        <v>686114.3</v>
      </c>
      <c r="U69" s="35"/>
      <c r="V69" s="85">
        <v>205211751.15000001</v>
      </c>
      <c r="W69" s="27"/>
      <c r="X69" s="36">
        <v>205213700</v>
      </c>
      <c r="Y69" s="85">
        <v>205213700</v>
      </c>
      <c r="Z69" s="35"/>
      <c r="AA69" s="35">
        <v>448503700</v>
      </c>
      <c r="AB69" s="35">
        <v>363287700</v>
      </c>
      <c r="AC69" s="35">
        <v>85216000</v>
      </c>
      <c r="AD69" s="35">
        <v>363283980.91000003</v>
      </c>
      <c r="AE69" s="35"/>
      <c r="AF69" s="36"/>
      <c r="AG69" s="35">
        <v>448499108.5</v>
      </c>
      <c r="AH69" s="35">
        <v>363283980.91000003</v>
      </c>
      <c r="AI69" s="35"/>
      <c r="AJ69" s="35">
        <v>85215127.590000004</v>
      </c>
      <c r="AK69" s="35">
        <v>19.000070000000001</v>
      </c>
      <c r="AL69" s="35"/>
      <c r="AM69" s="35"/>
      <c r="AN69" s="85">
        <v>363283980.91000003</v>
      </c>
      <c r="AO69" s="27"/>
      <c r="AP69" s="36">
        <v>363287700</v>
      </c>
      <c r="AQ69" s="85">
        <v>363287700</v>
      </c>
      <c r="AR69" s="35"/>
      <c r="AS69" s="35">
        <v>455410200</v>
      </c>
      <c r="AT69" s="35">
        <v>368882200</v>
      </c>
      <c r="AU69" s="35">
        <v>86528000</v>
      </c>
      <c r="AV69" s="35">
        <v>367985809.73000002</v>
      </c>
      <c r="AW69" s="35">
        <v>3846699.02</v>
      </c>
      <c r="AX69" s="36"/>
      <c r="AY69" s="35">
        <v>454303545.13999999</v>
      </c>
      <c r="AZ69" s="35">
        <v>367985809.73000002</v>
      </c>
      <c r="BA69" s="35"/>
      <c r="BB69" s="35">
        <v>86317735.409999996</v>
      </c>
      <c r="BC69" s="35">
        <v>19.00001</v>
      </c>
      <c r="BD69" s="35">
        <v>3846699.02</v>
      </c>
      <c r="BE69" s="35"/>
      <c r="BF69" s="85">
        <v>367985809.73000002</v>
      </c>
      <c r="BG69" s="27"/>
      <c r="BH69" s="36">
        <v>368882200</v>
      </c>
      <c r="BI69" s="85">
        <v>368882200</v>
      </c>
      <c r="BJ69" s="35"/>
      <c r="BK69" s="35">
        <v>70853986</v>
      </c>
      <c r="BL69" s="35">
        <v>70846900</v>
      </c>
      <c r="BM69" s="35">
        <v>7086</v>
      </c>
      <c r="BN69" s="35">
        <v>62219202.409999996</v>
      </c>
      <c r="BO69" s="35">
        <v>44461</v>
      </c>
      <c r="BP69" s="36"/>
      <c r="BQ69" s="35">
        <v>62225425.539999999</v>
      </c>
      <c r="BR69" s="35">
        <v>62219202.409999996</v>
      </c>
      <c r="BS69" s="35"/>
      <c r="BT69" s="35">
        <v>6223.13</v>
      </c>
      <c r="BU69" s="35">
        <v>0.01</v>
      </c>
      <c r="BV69" s="35">
        <v>44461</v>
      </c>
      <c r="BW69" s="35"/>
      <c r="BX69" s="85">
        <v>62219202.409999996</v>
      </c>
      <c r="BY69" s="27"/>
      <c r="BZ69" s="36">
        <v>70846900</v>
      </c>
      <c r="CA69" s="85">
        <v>70846900</v>
      </c>
      <c r="CB69" s="35"/>
      <c r="CC69" s="35">
        <v>9672100</v>
      </c>
      <c r="CD69" s="35">
        <v>7834400</v>
      </c>
      <c r="CE69" s="35">
        <v>1837700</v>
      </c>
      <c r="CF69" s="35">
        <v>7834400</v>
      </c>
      <c r="CG69" s="35"/>
      <c r="CH69" s="36"/>
      <c r="CI69" s="35">
        <v>9672100</v>
      </c>
      <c r="CJ69" s="35">
        <v>7834400</v>
      </c>
      <c r="CK69" s="35"/>
      <c r="CL69" s="35">
        <v>1837700</v>
      </c>
      <c r="CM69" s="35">
        <v>19.00001</v>
      </c>
      <c r="CN69" s="35"/>
      <c r="CO69" s="35"/>
      <c r="CP69" s="85">
        <v>7834400</v>
      </c>
      <c r="CQ69" s="27"/>
      <c r="CR69" s="36">
        <v>7834400</v>
      </c>
      <c r="CS69" s="85">
        <v>7834400</v>
      </c>
      <c r="CT69" s="35"/>
      <c r="CU69" s="35"/>
      <c r="CV69" s="35"/>
      <c r="CW69" s="35"/>
      <c r="CX69" s="35"/>
      <c r="CY69" s="35"/>
      <c r="CZ69" s="36"/>
      <c r="DA69" s="35"/>
      <c r="DB69" s="35"/>
      <c r="DC69" s="35"/>
      <c r="DD69" s="35"/>
      <c r="DE69" s="35"/>
      <c r="DF69" s="35"/>
      <c r="DG69" s="35"/>
      <c r="DH69" s="85"/>
      <c r="DI69" s="27"/>
      <c r="DJ69" s="36"/>
      <c r="DK69" s="85"/>
      <c r="DL69" s="35"/>
      <c r="DM69" s="35"/>
      <c r="DN69" s="35"/>
      <c r="DO69" s="35"/>
      <c r="DP69" s="35"/>
      <c r="DQ69" s="35"/>
      <c r="DR69" s="36"/>
      <c r="DS69" s="35"/>
      <c r="DT69" s="35"/>
      <c r="DU69" s="35"/>
      <c r="DV69" s="35"/>
      <c r="DW69" s="35"/>
      <c r="DX69" s="35"/>
      <c r="DY69" s="35"/>
      <c r="DZ69" s="85"/>
      <c r="EA69" s="27"/>
      <c r="EB69" s="36"/>
      <c r="EC69" s="85"/>
      <c r="ED69" s="35"/>
      <c r="EE69" s="35">
        <v>153770600</v>
      </c>
      <c r="EF69" s="35">
        <v>149157400</v>
      </c>
      <c r="EG69" s="35">
        <v>4613200</v>
      </c>
      <c r="EH69" s="35">
        <v>149157400</v>
      </c>
      <c r="EI69" s="35"/>
      <c r="EJ69" s="36"/>
      <c r="EK69" s="35">
        <v>153770600</v>
      </c>
      <c r="EL69" s="35">
        <v>149157400</v>
      </c>
      <c r="EM69" s="35"/>
      <c r="EN69" s="35">
        <v>4613200</v>
      </c>
      <c r="EO69" s="35">
        <v>3.0000499999999999</v>
      </c>
      <c r="EP69" s="35"/>
      <c r="EQ69" s="35"/>
      <c r="ER69" s="85">
        <v>149157400</v>
      </c>
      <c r="ES69" s="27"/>
      <c r="ET69" s="36">
        <v>149157400</v>
      </c>
      <c r="EU69" s="85">
        <v>149157400</v>
      </c>
      <c r="EV69" s="35"/>
      <c r="EW69" s="35">
        <v>193697408.31</v>
      </c>
      <c r="EX69" s="35">
        <v>156894900</v>
      </c>
      <c r="EY69" s="35">
        <v>36802508.310000002</v>
      </c>
      <c r="EZ69" s="35">
        <v>156894900</v>
      </c>
      <c r="FA69" s="35">
        <v>27954</v>
      </c>
      <c r="FB69" s="36"/>
      <c r="FC69" s="35">
        <v>193697408.31</v>
      </c>
      <c r="FD69" s="35">
        <v>156894900</v>
      </c>
      <c r="FE69" s="35"/>
      <c r="FF69" s="35">
        <v>36802508.310000002</v>
      </c>
      <c r="FG69" s="35">
        <v>19</v>
      </c>
      <c r="FH69" s="35">
        <v>27954</v>
      </c>
      <c r="FI69" s="35"/>
      <c r="FJ69" s="85">
        <v>156894900</v>
      </c>
      <c r="FK69" s="27"/>
      <c r="FL69" s="36">
        <v>156894900</v>
      </c>
      <c r="FM69" s="85">
        <v>156894900</v>
      </c>
      <c r="FN69" s="35"/>
      <c r="FO69" s="35"/>
      <c r="FP69" s="35"/>
      <c r="FQ69" s="35"/>
      <c r="FR69" s="35"/>
      <c r="FS69" s="35">
        <v>122713.42</v>
      </c>
      <c r="FT69" s="36"/>
      <c r="FU69" s="35"/>
      <c r="FV69" s="35"/>
      <c r="FW69" s="35"/>
      <c r="FX69" s="35"/>
      <c r="FY69" s="35"/>
      <c r="FZ69" s="35">
        <v>122713.42</v>
      </c>
      <c r="GA69" s="35"/>
      <c r="GB69" s="85"/>
      <c r="GC69" s="27"/>
      <c r="GD69" s="36"/>
      <c r="GE69" s="85"/>
      <c r="GF69" s="35"/>
      <c r="GG69" s="35">
        <v>46243580.259999998</v>
      </c>
      <c r="GH69" s="35">
        <v>37457300</v>
      </c>
      <c r="GI69" s="35">
        <v>8786280.2599999998</v>
      </c>
      <c r="GJ69" s="35">
        <v>37244753.18</v>
      </c>
      <c r="GK69" s="35"/>
      <c r="GL69" s="36"/>
      <c r="GM69" s="35">
        <v>45981176.780000001</v>
      </c>
      <c r="GN69" s="35">
        <v>37244753.18</v>
      </c>
      <c r="GO69" s="35"/>
      <c r="GP69" s="35">
        <v>8736423.5999999996</v>
      </c>
      <c r="GQ69" s="35">
        <v>19</v>
      </c>
      <c r="GR69" s="35"/>
      <c r="GS69" s="35"/>
      <c r="GT69" s="85">
        <v>37244753.18</v>
      </c>
      <c r="GU69" s="27"/>
      <c r="GV69" s="36">
        <v>37457300</v>
      </c>
      <c r="GW69" s="85">
        <v>37457300</v>
      </c>
      <c r="GX69" s="35"/>
      <c r="GY69" s="35"/>
      <c r="GZ69" s="35"/>
      <c r="HA69" s="35"/>
      <c r="HB69" s="35"/>
      <c r="HC69" s="35"/>
      <c r="HD69" s="36"/>
      <c r="HE69" s="35"/>
      <c r="HF69" s="35"/>
      <c r="HG69" s="35"/>
      <c r="HH69" s="35"/>
      <c r="HI69" s="35"/>
      <c r="HJ69" s="35"/>
      <c r="HK69" s="35"/>
      <c r="HL69" s="85"/>
      <c r="HM69" s="27"/>
      <c r="HN69" s="36"/>
      <c r="HO69" s="85"/>
      <c r="HP69" s="35"/>
      <c r="HQ69" s="35"/>
      <c r="HR69" s="35"/>
      <c r="HS69" s="35"/>
      <c r="HT69" s="35"/>
      <c r="HU69" s="35"/>
      <c r="HV69" s="36"/>
      <c r="HW69" s="35"/>
      <c r="HX69" s="35"/>
      <c r="HY69" s="35"/>
      <c r="HZ69" s="35"/>
      <c r="IA69" s="35"/>
      <c r="IB69" s="35"/>
      <c r="IC69" s="35"/>
      <c r="ID69" s="85"/>
      <c r="IE69" s="27"/>
      <c r="IF69" s="36"/>
      <c r="IG69" s="85"/>
      <c r="IH69" s="35"/>
      <c r="II69" s="35"/>
      <c r="IJ69" s="35"/>
      <c r="IK69" s="35"/>
      <c r="IL69" s="35"/>
      <c r="IM69" s="35"/>
      <c r="IN69" s="36"/>
      <c r="IO69" s="35"/>
      <c r="IP69" s="35"/>
      <c r="IQ69" s="35"/>
      <c r="IR69" s="35"/>
      <c r="IS69" s="35"/>
      <c r="IT69" s="35"/>
      <c r="IU69" s="35"/>
      <c r="IV69" s="85"/>
      <c r="IW69" s="27"/>
      <c r="IX69" s="36"/>
      <c r="IY69" s="85"/>
      <c r="IZ69" s="35"/>
      <c r="JA69" s="35">
        <v>4402800</v>
      </c>
      <c r="JB69" s="35">
        <v>3566300</v>
      </c>
      <c r="JC69" s="35">
        <v>836500</v>
      </c>
      <c r="JD69" s="35">
        <v>3561890.32</v>
      </c>
      <c r="JE69" s="35"/>
      <c r="JF69" s="36"/>
      <c r="JG69" s="35">
        <v>4397356</v>
      </c>
      <c r="JH69" s="35">
        <v>3561890.32</v>
      </c>
      <c r="JI69" s="35"/>
      <c r="JJ69" s="35">
        <v>835465.68</v>
      </c>
      <c r="JK69" s="35">
        <v>18.999269999999999</v>
      </c>
      <c r="JL69" s="35"/>
      <c r="JM69" s="35"/>
      <c r="JN69" s="85">
        <v>3561890.32</v>
      </c>
      <c r="JO69" s="27"/>
      <c r="JP69" s="36">
        <v>3566300</v>
      </c>
      <c r="JQ69" s="85">
        <v>3566300</v>
      </c>
      <c r="JR69" s="35"/>
      <c r="JS69" s="35"/>
      <c r="JT69" s="35"/>
      <c r="JU69" s="35"/>
      <c r="JV69" s="35"/>
      <c r="JW69" s="35"/>
      <c r="JX69" s="36"/>
      <c r="JY69" s="35"/>
      <c r="JZ69" s="35"/>
      <c r="KA69" s="35"/>
      <c r="KB69" s="35"/>
      <c r="KC69" s="35"/>
      <c r="KD69" s="35"/>
      <c r="KE69" s="35"/>
      <c r="KF69" s="85"/>
      <c r="KG69" s="27"/>
      <c r="KH69" s="36"/>
      <c r="KI69" s="85"/>
      <c r="KJ69" s="35"/>
      <c r="KK69" s="35">
        <v>3712592.59</v>
      </c>
      <c r="KL69" s="35">
        <v>3007200</v>
      </c>
      <c r="KM69" s="35">
        <v>705392.59</v>
      </c>
      <c r="KN69" s="35">
        <v>3007200</v>
      </c>
      <c r="KO69" s="35"/>
      <c r="KP69" s="36"/>
      <c r="KQ69" s="35">
        <v>3712592.59</v>
      </c>
      <c r="KR69" s="35">
        <v>3007200</v>
      </c>
      <c r="KS69" s="35"/>
      <c r="KT69" s="35">
        <v>705392.59</v>
      </c>
      <c r="KU69" s="35">
        <v>19</v>
      </c>
      <c r="KV69" s="35"/>
      <c r="KW69" s="35"/>
      <c r="KX69" s="85">
        <v>3007200</v>
      </c>
      <c r="KY69" s="27"/>
      <c r="KZ69" s="36">
        <v>3007200</v>
      </c>
      <c r="LA69" s="85">
        <v>3007200</v>
      </c>
      <c r="LB69" s="35"/>
      <c r="LC69" s="35"/>
      <c r="LD69" s="35"/>
      <c r="LE69" s="35"/>
      <c r="LF69" s="35"/>
      <c r="LG69" s="35"/>
      <c r="LH69" s="36"/>
      <c r="LI69" s="35"/>
      <c r="LJ69" s="35"/>
      <c r="LK69" s="35"/>
      <c r="LL69" s="35"/>
      <c r="LM69" s="35"/>
      <c r="LN69" s="35"/>
      <c r="LO69" s="35"/>
      <c r="LP69" s="85"/>
      <c r="LQ69" s="27"/>
      <c r="LR69" s="36"/>
      <c r="LS69" s="85"/>
      <c r="LT69" s="35"/>
      <c r="LU69" s="35"/>
      <c r="LV69" s="35"/>
      <c r="LW69" s="35"/>
      <c r="LX69" s="35"/>
      <c r="LY69" s="35"/>
      <c r="LZ69" s="36"/>
      <c r="MA69" s="35"/>
      <c r="MB69" s="35"/>
      <c r="MC69" s="35"/>
      <c r="MD69" s="35"/>
      <c r="ME69" s="35"/>
      <c r="MF69" s="35"/>
      <c r="MG69" s="35"/>
      <c r="MH69" s="85"/>
      <c r="MI69" s="27"/>
      <c r="MJ69" s="36"/>
      <c r="MK69" s="85"/>
      <c r="ML69" s="35"/>
      <c r="MM69" s="35"/>
      <c r="MN69" s="35"/>
      <c r="MO69" s="35"/>
      <c r="MP69" s="35"/>
      <c r="MQ69" s="35"/>
      <c r="MR69" s="36"/>
      <c r="MS69" s="35"/>
      <c r="MT69" s="35"/>
      <c r="MU69" s="35"/>
      <c r="MV69" s="35"/>
      <c r="MW69" s="35"/>
      <c r="MX69" s="35"/>
      <c r="MY69" s="35"/>
      <c r="MZ69" s="85"/>
      <c r="NA69" s="27"/>
      <c r="NB69" s="36"/>
      <c r="NC69" s="85"/>
      <c r="ND69" s="35"/>
      <c r="NE69" s="35">
        <v>927161</v>
      </c>
      <c r="NF69" s="35">
        <v>751000</v>
      </c>
      <c r="NG69" s="35">
        <v>176161</v>
      </c>
      <c r="NH69" s="35">
        <v>751000</v>
      </c>
      <c r="NI69" s="35"/>
      <c r="NJ69" s="36"/>
      <c r="NK69" s="35">
        <v>927161</v>
      </c>
      <c r="NL69" s="35">
        <v>751000</v>
      </c>
      <c r="NM69" s="35"/>
      <c r="NN69" s="35">
        <v>176161</v>
      </c>
      <c r="NO69" s="35">
        <v>19.000039999999998</v>
      </c>
      <c r="NP69" s="35"/>
      <c r="NQ69" s="35"/>
      <c r="NR69" s="85">
        <v>751000</v>
      </c>
      <c r="NS69" s="27"/>
      <c r="NT69" s="36">
        <v>751000</v>
      </c>
      <c r="NU69" s="85">
        <v>751000</v>
      </c>
      <c r="NV69" s="35"/>
      <c r="NW69" s="35"/>
      <c r="NX69" s="35"/>
      <c r="NY69" s="35"/>
      <c r="NZ69" s="35"/>
      <c r="OA69" s="35"/>
      <c r="OB69" s="36"/>
      <c r="OC69" s="35"/>
      <c r="OD69" s="35"/>
      <c r="OE69" s="35"/>
      <c r="OF69" s="35"/>
      <c r="OG69" s="35"/>
      <c r="OH69" s="35"/>
      <c r="OI69" s="35"/>
      <c r="OJ69" s="85"/>
      <c r="OK69" s="27"/>
      <c r="OL69" s="36"/>
      <c r="OM69" s="85"/>
      <c r="ON69" s="35"/>
      <c r="OO69" s="35"/>
      <c r="OP69" s="35"/>
      <c r="OQ69" s="35"/>
      <c r="OR69" s="35"/>
      <c r="OS69" s="35"/>
      <c r="OT69" s="36"/>
      <c r="OU69" s="35"/>
      <c r="OV69" s="35"/>
      <c r="OW69" s="35"/>
      <c r="OX69" s="35"/>
      <c r="OY69" s="35"/>
      <c r="OZ69" s="35"/>
      <c r="PA69" s="35"/>
      <c r="PB69" s="85"/>
      <c r="PC69" s="27"/>
      <c r="PD69" s="36"/>
      <c r="PE69" s="85"/>
      <c r="PF69" s="35"/>
      <c r="PG69" s="35"/>
      <c r="PH69" s="35"/>
      <c r="PI69" s="35"/>
      <c r="PJ69" s="35"/>
      <c r="PK69" s="35"/>
      <c r="PL69" s="36"/>
      <c r="PM69" s="35"/>
      <c r="PN69" s="35"/>
      <c r="PO69" s="35"/>
      <c r="PP69" s="35"/>
      <c r="PQ69" s="35"/>
      <c r="PR69" s="35"/>
      <c r="PS69" s="35"/>
      <c r="PT69" s="85"/>
      <c r="PU69" s="27"/>
      <c r="PV69" s="36"/>
      <c r="PW69" s="85"/>
      <c r="PX69" s="35"/>
      <c r="PY69" s="35"/>
      <c r="PZ69" s="35"/>
      <c r="QA69" s="35"/>
      <c r="QB69" s="35"/>
      <c r="QC69" s="35"/>
      <c r="QD69" s="36"/>
      <c r="QE69" s="35"/>
      <c r="QF69" s="35"/>
      <c r="QG69" s="35"/>
      <c r="QH69" s="35"/>
      <c r="QI69" s="35"/>
      <c r="QJ69" s="35"/>
      <c r="QK69" s="35"/>
      <c r="QL69" s="85"/>
      <c r="QM69" s="27"/>
      <c r="QN69" s="36"/>
      <c r="QO69" s="85"/>
      <c r="QP69" s="35"/>
      <c r="QQ69" s="35"/>
      <c r="QR69" s="35"/>
      <c r="QS69" s="35"/>
      <c r="QT69" s="35"/>
      <c r="QU69" s="35"/>
      <c r="QV69" s="36"/>
      <c r="QW69" s="35"/>
      <c r="QX69" s="35"/>
      <c r="QY69" s="35"/>
      <c r="QZ69" s="35"/>
      <c r="RA69" s="35"/>
      <c r="RB69" s="35"/>
      <c r="RC69" s="35"/>
      <c r="RD69" s="85"/>
      <c r="RE69" s="27"/>
      <c r="RF69" s="36"/>
      <c r="RG69" s="85"/>
      <c r="RH69" s="35"/>
      <c r="RI69" s="35"/>
      <c r="RJ69" s="35"/>
      <c r="RK69" s="35"/>
      <c r="RL69" s="35"/>
      <c r="RM69" s="35">
        <v>5831</v>
      </c>
      <c r="RN69" s="36"/>
      <c r="RO69" s="35"/>
      <c r="RP69" s="35"/>
      <c r="RQ69" s="35"/>
      <c r="RR69" s="35"/>
      <c r="RS69" s="35"/>
      <c r="RT69" s="35">
        <v>5831</v>
      </c>
      <c r="RU69" s="35"/>
      <c r="RV69" s="85"/>
      <c r="RW69" s="27"/>
      <c r="RX69" s="36"/>
      <c r="RY69" s="85"/>
      <c r="RZ69" s="35"/>
      <c r="SA69" s="35"/>
      <c r="SB69" s="35"/>
      <c r="SC69" s="35"/>
      <c r="SD69" s="35"/>
      <c r="SE69" s="35"/>
      <c r="SF69" s="36"/>
      <c r="SG69" s="35"/>
      <c r="SH69" s="35"/>
      <c r="SI69" s="35"/>
      <c r="SJ69" s="35"/>
      <c r="SK69" s="35"/>
      <c r="SL69" s="35"/>
      <c r="SM69" s="35"/>
      <c r="SN69" s="85"/>
      <c r="SO69" s="27"/>
      <c r="SP69" s="36"/>
      <c r="SQ69" s="85"/>
      <c r="SR69" s="35"/>
      <c r="SS69" s="35"/>
      <c r="ST69" s="35"/>
      <c r="SU69" s="35"/>
      <c r="SV69" s="35"/>
      <c r="SW69" s="35"/>
      <c r="SX69" s="36"/>
      <c r="SY69" s="35"/>
      <c r="SZ69" s="35"/>
      <c r="TA69" s="35"/>
      <c r="TB69" s="35"/>
      <c r="TC69" s="35"/>
      <c r="TD69" s="35"/>
      <c r="TE69" s="35"/>
      <c r="TF69" s="85"/>
      <c r="TG69" s="27"/>
      <c r="TH69" s="36"/>
      <c r="TI69" s="85"/>
      <c r="TJ69" s="35"/>
      <c r="TK69" s="35"/>
      <c r="TL69" s="35"/>
      <c r="TM69" s="35"/>
      <c r="TN69" s="35"/>
      <c r="TO69" s="35"/>
      <c r="TP69" s="36"/>
      <c r="TQ69" s="35"/>
      <c r="TR69" s="35"/>
      <c r="TS69" s="35"/>
      <c r="TT69" s="35"/>
      <c r="TU69" s="35"/>
      <c r="TV69" s="35"/>
      <c r="TW69" s="35"/>
      <c r="TX69" s="85"/>
      <c r="TY69" s="27"/>
      <c r="TZ69" s="36"/>
      <c r="UA69" s="85"/>
      <c r="UB69" s="35"/>
      <c r="UC69" s="35"/>
      <c r="UD69" s="35"/>
      <c r="UE69" s="35"/>
      <c r="UF69" s="35"/>
      <c r="UG69" s="35"/>
      <c r="UH69" s="36"/>
      <c r="UI69" s="35"/>
      <c r="UJ69" s="35"/>
      <c r="UK69" s="35"/>
      <c r="UL69" s="35"/>
      <c r="UM69" s="35"/>
      <c r="UN69" s="35"/>
      <c r="UO69" s="35"/>
      <c r="UP69" s="85"/>
      <c r="UQ69" s="27"/>
      <c r="UR69" s="36"/>
      <c r="US69" s="85"/>
    </row>
    <row r="70" spans="1:565" x14ac:dyDescent="0.3">
      <c r="A70" s="8" t="s">
        <v>144</v>
      </c>
      <c r="B70" s="170">
        <v>56</v>
      </c>
      <c r="C70" s="13" t="s">
        <v>146</v>
      </c>
      <c r="F70" s="36">
        <v>1395137300</v>
      </c>
      <c r="G70" s="85"/>
      <c r="H70" s="35"/>
      <c r="I70" s="35">
        <v>104236276.59999999</v>
      </c>
      <c r="J70" s="35">
        <v>97982100</v>
      </c>
      <c r="K70" s="35">
        <v>6254176.5999999996</v>
      </c>
      <c r="L70" s="35">
        <v>97982100</v>
      </c>
      <c r="M70" s="35">
        <v>1213365.3700000001</v>
      </c>
      <c r="N70" s="36"/>
      <c r="O70" s="35">
        <v>104236276.59999999</v>
      </c>
      <c r="P70" s="35">
        <v>97982100</v>
      </c>
      <c r="Q70" s="35"/>
      <c r="R70" s="35">
        <v>6254176.5999999996</v>
      </c>
      <c r="S70" s="35">
        <v>6</v>
      </c>
      <c r="T70" s="35">
        <v>1213365.3700000001</v>
      </c>
      <c r="U70" s="35"/>
      <c r="V70" s="85">
        <v>97982100</v>
      </c>
      <c r="W70" s="27"/>
      <c r="X70" s="36">
        <v>97982100</v>
      </c>
      <c r="Y70" s="85">
        <v>97982100</v>
      </c>
      <c r="Z70" s="35"/>
      <c r="AA70" s="35">
        <v>99087553.189999998</v>
      </c>
      <c r="AB70" s="35">
        <v>93142300</v>
      </c>
      <c r="AC70" s="35">
        <v>5945253.1900000004</v>
      </c>
      <c r="AD70" s="35">
        <v>93142300</v>
      </c>
      <c r="AE70" s="35">
        <v>1081789.1000000001</v>
      </c>
      <c r="AF70" s="36"/>
      <c r="AG70" s="35">
        <v>99087553.189999998</v>
      </c>
      <c r="AH70" s="35">
        <v>93142300</v>
      </c>
      <c r="AI70" s="35"/>
      <c r="AJ70" s="35">
        <v>5945253.1900000004</v>
      </c>
      <c r="AK70" s="35">
        <v>6</v>
      </c>
      <c r="AL70" s="35">
        <v>1081789.1000000001</v>
      </c>
      <c r="AM70" s="35"/>
      <c r="AN70" s="85">
        <v>93142300</v>
      </c>
      <c r="AO70" s="27"/>
      <c r="AP70" s="36">
        <v>93142300</v>
      </c>
      <c r="AQ70" s="85">
        <v>93142300</v>
      </c>
      <c r="AR70" s="35"/>
      <c r="AS70" s="35">
        <v>605612127.65999997</v>
      </c>
      <c r="AT70" s="35">
        <v>569275400</v>
      </c>
      <c r="AU70" s="35">
        <v>36336727.659999996</v>
      </c>
      <c r="AV70" s="35">
        <v>569275400</v>
      </c>
      <c r="AW70" s="35">
        <v>7304778.96</v>
      </c>
      <c r="AX70" s="36"/>
      <c r="AY70" s="35">
        <v>605612127.65999997</v>
      </c>
      <c r="AZ70" s="35">
        <v>569275400</v>
      </c>
      <c r="BA70" s="35"/>
      <c r="BB70" s="35">
        <v>36336727.659999996</v>
      </c>
      <c r="BC70" s="35">
        <v>6</v>
      </c>
      <c r="BD70" s="35">
        <v>7304778.96</v>
      </c>
      <c r="BE70" s="35"/>
      <c r="BF70" s="85">
        <v>569275400</v>
      </c>
      <c r="BG70" s="27"/>
      <c r="BH70" s="36">
        <v>569275400</v>
      </c>
      <c r="BI70" s="85">
        <v>569275400</v>
      </c>
      <c r="BJ70" s="35"/>
      <c r="BK70" s="35">
        <v>318268829.79000002</v>
      </c>
      <c r="BL70" s="35">
        <v>299172700</v>
      </c>
      <c r="BM70" s="35">
        <v>19096129.789999999</v>
      </c>
      <c r="BN70" s="35">
        <v>240233069.97999999</v>
      </c>
      <c r="BO70" s="35"/>
      <c r="BP70" s="36"/>
      <c r="BQ70" s="35">
        <v>255567095.71000001</v>
      </c>
      <c r="BR70" s="35">
        <v>240233069.97999999</v>
      </c>
      <c r="BS70" s="35"/>
      <c r="BT70" s="35">
        <v>15334025.73</v>
      </c>
      <c r="BU70" s="35">
        <v>6</v>
      </c>
      <c r="BV70" s="35"/>
      <c r="BW70" s="35"/>
      <c r="BX70" s="85">
        <v>240233069.97999999</v>
      </c>
      <c r="BY70" s="27"/>
      <c r="BZ70" s="36">
        <v>299172700</v>
      </c>
      <c r="CA70" s="85">
        <v>299172700</v>
      </c>
      <c r="CB70" s="35"/>
      <c r="CC70" s="35">
        <v>2411200</v>
      </c>
      <c r="CD70" s="35">
        <v>2266500</v>
      </c>
      <c r="CE70" s="35">
        <v>144700</v>
      </c>
      <c r="CF70" s="35">
        <v>2266500</v>
      </c>
      <c r="CG70" s="35"/>
      <c r="CH70" s="36"/>
      <c r="CI70" s="35">
        <v>2411200</v>
      </c>
      <c r="CJ70" s="35">
        <v>2266500</v>
      </c>
      <c r="CK70" s="35"/>
      <c r="CL70" s="35">
        <v>144700</v>
      </c>
      <c r="CM70" s="35">
        <v>6.0011599999999996</v>
      </c>
      <c r="CN70" s="35"/>
      <c r="CO70" s="35"/>
      <c r="CP70" s="85">
        <v>2266500</v>
      </c>
      <c r="CQ70" s="27"/>
      <c r="CR70" s="36">
        <v>2266500</v>
      </c>
      <c r="CS70" s="85">
        <v>2266500</v>
      </c>
      <c r="CT70" s="35"/>
      <c r="CU70" s="35"/>
      <c r="CV70" s="35"/>
      <c r="CW70" s="35"/>
      <c r="CX70" s="35"/>
      <c r="CY70" s="35"/>
      <c r="CZ70" s="36"/>
      <c r="DA70" s="35"/>
      <c r="DB70" s="35"/>
      <c r="DC70" s="35"/>
      <c r="DD70" s="35"/>
      <c r="DE70" s="35"/>
      <c r="DF70" s="35"/>
      <c r="DG70" s="35"/>
      <c r="DH70" s="85"/>
      <c r="DI70" s="27"/>
      <c r="DJ70" s="36"/>
      <c r="DK70" s="85"/>
      <c r="DL70" s="35"/>
      <c r="DM70" s="35">
        <v>100315425.53</v>
      </c>
      <c r="DN70" s="35">
        <v>94296500</v>
      </c>
      <c r="DO70" s="35">
        <v>6018925.5300000003</v>
      </c>
      <c r="DP70" s="35">
        <v>93829086.739999995</v>
      </c>
      <c r="DQ70" s="35"/>
      <c r="DR70" s="36"/>
      <c r="DS70" s="35">
        <v>99818177.370000005</v>
      </c>
      <c r="DT70" s="35">
        <v>93829086.739999995</v>
      </c>
      <c r="DU70" s="35"/>
      <c r="DV70" s="35">
        <v>5989090.6299999999</v>
      </c>
      <c r="DW70" s="35">
        <v>6</v>
      </c>
      <c r="DX70" s="35"/>
      <c r="DY70" s="35"/>
      <c r="DZ70" s="85">
        <v>93829086.739999995</v>
      </c>
      <c r="EA70" s="27"/>
      <c r="EB70" s="36">
        <v>94296500</v>
      </c>
      <c r="EC70" s="85">
        <v>94296500</v>
      </c>
      <c r="ED70" s="35"/>
      <c r="EE70" s="35">
        <v>81821717.170000002</v>
      </c>
      <c r="EF70" s="35">
        <v>81003500</v>
      </c>
      <c r="EG70" s="35">
        <v>818217.17</v>
      </c>
      <c r="EH70" s="35">
        <v>81003500</v>
      </c>
      <c r="EI70" s="35"/>
      <c r="EJ70" s="36"/>
      <c r="EK70" s="35">
        <v>81821717.170000002</v>
      </c>
      <c r="EL70" s="35">
        <v>81003500</v>
      </c>
      <c r="EM70" s="35"/>
      <c r="EN70" s="35">
        <v>818217.17</v>
      </c>
      <c r="EO70" s="35">
        <v>1</v>
      </c>
      <c r="EP70" s="35"/>
      <c r="EQ70" s="35"/>
      <c r="ER70" s="85">
        <v>81003500</v>
      </c>
      <c r="ES70" s="27"/>
      <c r="ET70" s="36">
        <v>81003500</v>
      </c>
      <c r="EU70" s="85">
        <v>81003500</v>
      </c>
      <c r="EV70" s="35"/>
      <c r="EW70" s="35">
        <v>112574361.7</v>
      </c>
      <c r="EX70" s="35">
        <v>105819900</v>
      </c>
      <c r="EY70" s="35">
        <v>6754461.7000000002</v>
      </c>
      <c r="EZ70" s="35">
        <v>105819900</v>
      </c>
      <c r="FA70" s="35">
        <v>1053068.2</v>
      </c>
      <c r="FB70" s="36"/>
      <c r="FC70" s="35">
        <v>112574361.7</v>
      </c>
      <c r="FD70" s="35">
        <v>105819900</v>
      </c>
      <c r="FE70" s="35"/>
      <c r="FF70" s="35">
        <v>6754461.7000000002</v>
      </c>
      <c r="FG70" s="35">
        <v>6</v>
      </c>
      <c r="FH70" s="35">
        <v>1053068.2</v>
      </c>
      <c r="FI70" s="35"/>
      <c r="FJ70" s="85">
        <v>105819900</v>
      </c>
      <c r="FK70" s="27"/>
      <c r="FL70" s="36">
        <v>105819900</v>
      </c>
      <c r="FM70" s="85">
        <v>105819900</v>
      </c>
      <c r="FN70" s="35"/>
      <c r="FO70" s="35"/>
      <c r="FP70" s="35"/>
      <c r="FQ70" s="35"/>
      <c r="FR70" s="35"/>
      <c r="FS70" s="35"/>
      <c r="FT70" s="36"/>
      <c r="FU70" s="35"/>
      <c r="FV70" s="35"/>
      <c r="FW70" s="35"/>
      <c r="FX70" s="35"/>
      <c r="FY70" s="35"/>
      <c r="FZ70" s="35"/>
      <c r="GA70" s="35"/>
      <c r="GB70" s="85"/>
      <c r="GC70" s="27"/>
      <c r="GD70" s="36"/>
      <c r="GE70" s="85"/>
      <c r="GF70" s="35"/>
      <c r="GG70" s="35">
        <v>30747553.190000001</v>
      </c>
      <c r="GH70" s="35">
        <v>28902700</v>
      </c>
      <c r="GI70" s="35">
        <v>1844853.19</v>
      </c>
      <c r="GJ70" s="35">
        <v>27640335.059999999</v>
      </c>
      <c r="GK70" s="35"/>
      <c r="GL70" s="36"/>
      <c r="GM70" s="35">
        <v>29387570.280000001</v>
      </c>
      <c r="GN70" s="35">
        <v>27624316.059999999</v>
      </c>
      <c r="GO70" s="35"/>
      <c r="GP70" s="35">
        <v>1763254.22</v>
      </c>
      <c r="GQ70" s="35">
        <v>6</v>
      </c>
      <c r="GR70" s="35"/>
      <c r="GS70" s="35">
        <v>16019</v>
      </c>
      <c r="GT70" s="85">
        <v>27640335.059999999</v>
      </c>
      <c r="GU70" s="27"/>
      <c r="GV70" s="36">
        <v>28902700</v>
      </c>
      <c r="GW70" s="85">
        <v>28902700</v>
      </c>
      <c r="GX70" s="35"/>
      <c r="GY70" s="35"/>
      <c r="GZ70" s="35"/>
      <c r="HA70" s="35"/>
      <c r="HB70" s="35"/>
      <c r="HC70" s="35"/>
      <c r="HD70" s="36"/>
      <c r="HE70" s="35"/>
      <c r="HF70" s="35"/>
      <c r="HG70" s="35"/>
      <c r="HH70" s="35"/>
      <c r="HI70" s="35"/>
      <c r="HJ70" s="35"/>
      <c r="HK70" s="35"/>
      <c r="HL70" s="85"/>
      <c r="HM70" s="27"/>
      <c r="HN70" s="36"/>
      <c r="HO70" s="85"/>
      <c r="HP70" s="35"/>
      <c r="HQ70" s="35"/>
      <c r="HR70" s="35"/>
      <c r="HS70" s="35"/>
      <c r="HT70" s="35"/>
      <c r="HU70" s="35"/>
      <c r="HV70" s="36"/>
      <c r="HW70" s="35"/>
      <c r="HX70" s="35"/>
      <c r="HY70" s="35"/>
      <c r="HZ70" s="35"/>
      <c r="IA70" s="35"/>
      <c r="IB70" s="35"/>
      <c r="IC70" s="35"/>
      <c r="ID70" s="85"/>
      <c r="IE70" s="27"/>
      <c r="IF70" s="36"/>
      <c r="IG70" s="85"/>
      <c r="IH70" s="35"/>
      <c r="II70" s="35"/>
      <c r="IJ70" s="35"/>
      <c r="IK70" s="35"/>
      <c r="IL70" s="35"/>
      <c r="IM70" s="35"/>
      <c r="IN70" s="36"/>
      <c r="IO70" s="35"/>
      <c r="IP70" s="35"/>
      <c r="IQ70" s="35"/>
      <c r="IR70" s="35"/>
      <c r="IS70" s="35"/>
      <c r="IT70" s="35"/>
      <c r="IU70" s="35"/>
      <c r="IV70" s="85"/>
      <c r="IW70" s="27"/>
      <c r="IX70" s="36"/>
      <c r="IY70" s="85"/>
      <c r="IZ70" s="35"/>
      <c r="JA70" s="35">
        <v>3652389.56</v>
      </c>
      <c r="JB70" s="35">
        <v>3333500</v>
      </c>
      <c r="JC70" s="35">
        <v>318889.56</v>
      </c>
      <c r="JD70" s="35">
        <v>3333500</v>
      </c>
      <c r="JE70" s="35"/>
      <c r="JF70" s="36"/>
      <c r="JG70" s="35">
        <v>3652389.56</v>
      </c>
      <c r="JH70" s="35">
        <v>3333500</v>
      </c>
      <c r="JI70" s="35"/>
      <c r="JJ70" s="35">
        <v>318889.56</v>
      </c>
      <c r="JK70" s="35">
        <v>8.7309800000000006</v>
      </c>
      <c r="JL70" s="35"/>
      <c r="JM70" s="35"/>
      <c r="JN70" s="85">
        <v>3333500</v>
      </c>
      <c r="JO70" s="27"/>
      <c r="JP70" s="36">
        <v>3333500</v>
      </c>
      <c r="JQ70" s="85">
        <v>3333500</v>
      </c>
      <c r="JR70" s="35"/>
      <c r="JS70" s="35"/>
      <c r="JT70" s="35"/>
      <c r="JU70" s="35"/>
      <c r="JV70" s="35"/>
      <c r="JW70" s="35"/>
      <c r="JX70" s="36"/>
      <c r="JY70" s="35"/>
      <c r="JZ70" s="35"/>
      <c r="KA70" s="35"/>
      <c r="KB70" s="35"/>
      <c r="KC70" s="35"/>
      <c r="KD70" s="35"/>
      <c r="KE70" s="35"/>
      <c r="KF70" s="85"/>
      <c r="KG70" s="27"/>
      <c r="KH70" s="36"/>
      <c r="KI70" s="85"/>
      <c r="KJ70" s="35"/>
      <c r="KK70" s="35"/>
      <c r="KL70" s="35"/>
      <c r="KM70" s="35"/>
      <c r="KN70" s="35"/>
      <c r="KO70" s="35"/>
      <c r="KP70" s="36"/>
      <c r="KQ70" s="35"/>
      <c r="KR70" s="35"/>
      <c r="KS70" s="35"/>
      <c r="KT70" s="35"/>
      <c r="KU70" s="35"/>
      <c r="KV70" s="35"/>
      <c r="KW70" s="35"/>
      <c r="KX70" s="85"/>
      <c r="KY70" s="27"/>
      <c r="KZ70" s="36"/>
      <c r="LA70" s="85"/>
      <c r="LB70" s="35"/>
      <c r="LC70" s="35"/>
      <c r="LD70" s="35"/>
      <c r="LE70" s="35"/>
      <c r="LF70" s="35"/>
      <c r="LG70" s="35"/>
      <c r="LH70" s="36"/>
      <c r="LI70" s="35"/>
      <c r="LJ70" s="35"/>
      <c r="LK70" s="35"/>
      <c r="LL70" s="35"/>
      <c r="LM70" s="35"/>
      <c r="LN70" s="35"/>
      <c r="LO70" s="35"/>
      <c r="LP70" s="85"/>
      <c r="LQ70" s="27"/>
      <c r="LR70" s="36"/>
      <c r="LS70" s="85"/>
      <c r="LT70" s="35"/>
      <c r="LU70" s="35">
        <v>23018500</v>
      </c>
      <c r="LV70" s="35">
        <v>17849300</v>
      </c>
      <c r="LW70" s="35">
        <v>5169200</v>
      </c>
      <c r="LX70" s="35">
        <v>17849300</v>
      </c>
      <c r="LY70" s="35">
        <v>12320.5</v>
      </c>
      <c r="LZ70" s="36"/>
      <c r="MA70" s="35">
        <v>23018500</v>
      </c>
      <c r="MB70" s="35">
        <v>17849300</v>
      </c>
      <c r="MC70" s="35"/>
      <c r="MD70" s="35">
        <v>5169200</v>
      </c>
      <c r="ME70" s="35">
        <v>22.456720000000001</v>
      </c>
      <c r="MF70" s="35">
        <v>12320.5</v>
      </c>
      <c r="MG70" s="35"/>
      <c r="MH70" s="85">
        <v>17849300</v>
      </c>
      <c r="MI70" s="27"/>
      <c r="MJ70" s="36">
        <v>17849300</v>
      </c>
      <c r="MK70" s="85">
        <v>17849300</v>
      </c>
      <c r="ML70" s="35"/>
      <c r="MM70" s="35"/>
      <c r="MN70" s="35"/>
      <c r="MO70" s="35"/>
      <c r="MP70" s="35"/>
      <c r="MQ70" s="35"/>
      <c r="MR70" s="36"/>
      <c r="MS70" s="35"/>
      <c r="MT70" s="35"/>
      <c r="MU70" s="35"/>
      <c r="MV70" s="35"/>
      <c r="MW70" s="35"/>
      <c r="MX70" s="35"/>
      <c r="MY70" s="35"/>
      <c r="MZ70" s="85"/>
      <c r="NA70" s="27"/>
      <c r="NB70" s="36"/>
      <c r="NC70" s="85"/>
      <c r="ND70" s="35"/>
      <c r="NE70" s="35">
        <v>680425.53</v>
      </c>
      <c r="NF70" s="35">
        <v>639600</v>
      </c>
      <c r="NG70" s="35">
        <v>40825.53</v>
      </c>
      <c r="NH70" s="35">
        <v>639600</v>
      </c>
      <c r="NI70" s="35"/>
      <c r="NJ70" s="36"/>
      <c r="NK70" s="35">
        <v>680425.53</v>
      </c>
      <c r="NL70" s="35">
        <v>639600</v>
      </c>
      <c r="NM70" s="35"/>
      <c r="NN70" s="35">
        <v>40825.53</v>
      </c>
      <c r="NO70" s="35">
        <v>6</v>
      </c>
      <c r="NP70" s="35"/>
      <c r="NQ70" s="35"/>
      <c r="NR70" s="85">
        <v>639600</v>
      </c>
      <c r="NS70" s="27"/>
      <c r="NT70" s="36">
        <v>639600</v>
      </c>
      <c r="NU70" s="85">
        <v>639600</v>
      </c>
      <c r="NV70" s="35"/>
      <c r="NW70" s="35"/>
      <c r="NX70" s="35"/>
      <c r="NY70" s="35"/>
      <c r="NZ70" s="35"/>
      <c r="OA70" s="35"/>
      <c r="OB70" s="36"/>
      <c r="OC70" s="35"/>
      <c r="OD70" s="35"/>
      <c r="OE70" s="35"/>
      <c r="OF70" s="35"/>
      <c r="OG70" s="35"/>
      <c r="OH70" s="35"/>
      <c r="OI70" s="35"/>
      <c r="OJ70" s="85"/>
      <c r="OK70" s="27"/>
      <c r="OL70" s="36"/>
      <c r="OM70" s="85"/>
      <c r="ON70" s="35"/>
      <c r="OO70" s="35"/>
      <c r="OP70" s="35"/>
      <c r="OQ70" s="35"/>
      <c r="OR70" s="35"/>
      <c r="OS70" s="35">
        <v>5270333.1399999997</v>
      </c>
      <c r="OT70" s="36"/>
      <c r="OU70" s="35"/>
      <c r="OV70" s="35"/>
      <c r="OW70" s="35"/>
      <c r="OX70" s="35"/>
      <c r="OY70" s="35"/>
      <c r="OZ70" s="35">
        <v>5270333.1399999997</v>
      </c>
      <c r="PA70" s="35"/>
      <c r="PB70" s="85"/>
      <c r="PC70" s="27"/>
      <c r="PD70" s="36"/>
      <c r="PE70" s="85"/>
      <c r="PF70" s="35"/>
      <c r="PG70" s="35"/>
      <c r="PH70" s="35"/>
      <c r="PI70" s="35"/>
      <c r="PJ70" s="35"/>
      <c r="PK70" s="35"/>
      <c r="PL70" s="36"/>
      <c r="PM70" s="35"/>
      <c r="PN70" s="35"/>
      <c r="PO70" s="35"/>
      <c r="PP70" s="35"/>
      <c r="PQ70" s="35"/>
      <c r="PR70" s="35"/>
      <c r="PS70" s="35"/>
      <c r="PT70" s="85"/>
      <c r="PU70" s="27"/>
      <c r="PV70" s="36"/>
      <c r="PW70" s="85"/>
      <c r="PX70" s="35"/>
      <c r="PY70" s="35"/>
      <c r="PZ70" s="35"/>
      <c r="QA70" s="35"/>
      <c r="QB70" s="35"/>
      <c r="QC70" s="35"/>
      <c r="QD70" s="36"/>
      <c r="QE70" s="35"/>
      <c r="QF70" s="35"/>
      <c r="QG70" s="35"/>
      <c r="QH70" s="35"/>
      <c r="QI70" s="35"/>
      <c r="QJ70" s="35"/>
      <c r="QK70" s="35"/>
      <c r="QL70" s="85"/>
      <c r="QM70" s="27"/>
      <c r="QN70" s="36"/>
      <c r="QO70" s="85"/>
      <c r="QP70" s="35"/>
      <c r="QQ70" s="35"/>
      <c r="QR70" s="35"/>
      <c r="QS70" s="35"/>
      <c r="QT70" s="35"/>
      <c r="QU70" s="35"/>
      <c r="QV70" s="36"/>
      <c r="QW70" s="35"/>
      <c r="QX70" s="35"/>
      <c r="QY70" s="35"/>
      <c r="QZ70" s="35"/>
      <c r="RA70" s="35"/>
      <c r="RB70" s="35"/>
      <c r="RC70" s="35"/>
      <c r="RD70" s="85"/>
      <c r="RE70" s="27"/>
      <c r="RF70" s="36"/>
      <c r="RG70" s="85"/>
      <c r="RH70" s="35"/>
      <c r="RI70" s="35"/>
      <c r="RJ70" s="35"/>
      <c r="RK70" s="35"/>
      <c r="RL70" s="35"/>
      <c r="RM70" s="35">
        <v>8527213.1899999995</v>
      </c>
      <c r="RN70" s="36"/>
      <c r="RO70" s="35"/>
      <c r="RP70" s="35"/>
      <c r="RQ70" s="35"/>
      <c r="RR70" s="35"/>
      <c r="RS70" s="35"/>
      <c r="RT70" s="35">
        <v>8527213.1899999995</v>
      </c>
      <c r="RU70" s="35"/>
      <c r="RV70" s="85"/>
      <c r="RW70" s="27"/>
      <c r="RX70" s="36"/>
      <c r="RY70" s="85"/>
      <c r="RZ70" s="35"/>
      <c r="SA70" s="35"/>
      <c r="SB70" s="35"/>
      <c r="SC70" s="35"/>
      <c r="SD70" s="35"/>
      <c r="SE70" s="35"/>
      <c r="SF70" s="36"/>
      <c r="SG70" s="35"/>
      <c r="SH70" s="35"/>
      <c r="SI70" s="35"/>
      <c r="SJ70" s="35"/>
      <c r="SK70" s="35"/>
      <c r="SL70" s="35"/>
      <c r="SM70" s="35"/>
      <c r="SN70" s="85"/>
      <c r="SO70" s="27"/>
      <c r="SP70" s="36"/>
      <c r="SQ70" s="85"/>
      <c r="SR70" s="35"/>
      <c r="SS70" s="35"/>
      <c r="ST70" s="35"/>
      <c r="SU70" s="35"/>
      <c r="SV70" s="35"/>
      <c r="SW70" s="35"/>
      <c r="SX70" s="36"/>
      <c r="SY70" s="35"/>
      <c r="SZ70" s="35"/>
      <c r="TA70" s="35"/>
      <c r="TB70" s="35"/>
      <c r="TC70" s="35"/>
      <c r="TD70" s="35"/>
      <c r="TE70" s="35"/>
      <c r="TF70" s="85"/>
      <c r="TG70" s="27"/>
      <c r="TH70" s="36"/>
      <c r="TI70" s="85"/>
      <c r="TJ70" s="35"/>
      <c r="TK70" s="35"/>
      <c r="TL70" s="35"/>
      <c r="TM70" s="35"/>
      <c r="TN70" s="35"/>
      <c r="TO70" s="35"/>
      <c r="TP70" s="36"/>
      <c r="TQ70" s="35"/>
      <c r="TR70" s="35"/>
      <c r="TS70" s="35"/>
      <c r="TT70" s="35"/>
      <c r="TU70" s="35"/>
      <c r="TV70" s="35"/>
      <c r="TW70" s="35"/>
      <c r="TX70" s="85"/>
      <c r="TY70" s="27"/>
      <c r="TZ70" s="36"/>
      <c r="UA70" s="85"/>
      <c r="UB70" s="35"/>
      <c r="UC70" s="35">
        <v>1453300</v>
      </c>
      <c r="UD70" s="35">
        <v>1453300</v>
      </c>
      <c r="UE70" s="35"/>
      <c r="UF70" s="35">
        <v>1453280</v>
      </c>
      <c r="UG70" s="35"/>
      <c r="UH70" s="36"/>
      <c r="UI70" s="35">
        <v>1453280</v>
      </c>
      <c r="UJ70" s="35">
        <v>1453280</v>
      </c>
      <c r="UK70" s="35"/>
      <c r="UL70" s="35"/>
      <c r="UM70" s="35"/>
      <c r="UN70" s="35"/>
      <c r="UO70" s="35"/>
      <c r="UP70" s="85">
        <v>1453280</v>
      </c>
      <c r="UQ70" s="27"/>
      <c r="UR70" s="36">
        <v>1453300</v>
      </c>
      <c r="US70" s="85">
        <v>1453300</v>
      </c>
    </row>
    <row r="71" spans="1:565" x14ac:dyDescent="0.3">
      <c r="A71" s="8" t="s">
        <v>147</v>
      </c>
      <c r="B71" s="168">
        <v>57</v>
      </c>
      <c r="C71" s="13" t="s">
        <v>149</v>
      </c>
      <c r="F71" s="36">
        <v>932370900</v>
      </c>
      <c r="G71" s="85"/>
      <c r="H71" s="35"/>
      <c r="I71" s="35">
        <v>225429863.02000001</v>
      </c>
      <c r="J71" s="35">
        <v>164563800</v>
      </c>
      <c r="K71" s="35">
        <v>60866063.020000003</v>
      </c>
      <c r="L71" s="35">
        <v>157258931.84</v>
      </c>
      <c r="M71" s="35">
        <v>59703.59</v>
      </c>
      <c r="N71" s="36"/>
      <c r="O71" s="35">
        <v>215423194.34</v>
      </c>
      <c r="P71" s="35">
        <v>157258931.84</v>
      </c>
      <c r="Q71" s="35"/>
      <c r="R71" s="35">
        <v>58164262.5</v>
      </c>
      <c r="S71" s="35">
        <v>27</v>
      </c>
      <c r="T71" s="35">
        <v>59703.59</v>
      </c>
      <c r="U71" s="35"/>
      <c r="V71" s="85">
        <v>157258931.84</v>
      </c>
      <c r="W71" s="27"/>
      <c r="X71" s="36">
        <v>164563800</v>
      </c>
      <c r="Y71" s="85">
        <v>164563800</v>
      </c>
      <c r="Z71" s="35"/>
      <c r="AA71" s="35">
        <v>279794657.54000002</v>
      </c>
      <c r="AB71" s="35">
        <v>204250100</v>
      </c>
      <c r="AC71" s="35">
        <v>75544557.540000007</v>
      </c>
      <c r="AD71" s="35">
        <v>204250100</v>
      </c>
      <c r="AE71" s="35">
        <v>77876.17</v>
      </c>
      <c r="AF71" s="36"/>
      <c r="AG71" s="35">
        <v>279794657.54000002</v>
      </c>
      <c r="AH71" s="35">
        <v>204250100</v>
      </c>
      <c r="AI71" s="35"/>
      <c r="AJ71" s="35">
        <v>75544557.540000007</v>
      </c>
      <c r="AK71" s="35">
        <v>27</v>
      </c>
      <c r="AL71" s="35">
        <v>77876.17</v>
      </c>
      <c r="AM71" s="35"/>
      <c r="AN71" s="85">
        <v>204250100</v>
      </c>
      <c r="AO71" s="27"/>
      <c r="AP71" s="36">
        <v>204250100</v>
      </c>
      <c r="AQ71" s="85">
        <v>204250100</v>
      </c>
      <c r="AR71" s="35"/>
      <c r="AS71" s="35">
        <v>490596027.39999998</v>
      </c>
      <c r="AT71" s="35">
        <v>358135100</v>
      </c>
      <c r="AU71" s="35">
        <v>132460927.40000001</v>
      </c>
      <c r="AV71" s="35">
        <v>319750611.66000003</v>
      </c>
      <c r="AW71" s="35">
        <v>1899305.2</v>
      </c>
      <c r="AX71" s="36"/>
      <c r="AY71" s="35">
        <v>438014510.42000002</v>
      </c>
      <c r="AZ71" s="35">
        <v>319750592.50999999</v>
      </c>
      <c r="BA71" s="35"/>
      <c r="BB71" s="35">
        <v>118263917.91</v>
      </c>
      <c r="BC71" s="35">
        <v>27</v>
      </c>
      <c r="BD71" s="35">
        <v>1899305.2</v>
      </c>
      <c r="BE71" s="35">
        <v>19.149999999999999</v>
      </c>
      <c r="BF71" s="85">
        <v>319750611.66000003</v>
      </c>
      <c r="BG71" s="27"/>
      <c r="BH71" s="36">
        <v>358135100</v>
      </c>
      <c r="BI71" s="85">
        <v>358135100</v>
      </c>
      <c r="BJ71" s="35"/>
      <c r="BK71" s="35">
        <v>39064953.810000002</v>
      </c>
      <c r="BL71" s="35">
        <v>31307000</v>
      </c>
      <c r="BM71" s="35">
        <v>7757953.8099999996</v>
      </c>
      <c r="BN71" s="35">
        <v>30078168.629999999</v>
      </c>
      <c r="BO71" s="35">
        <v>29057.3</v>
      </c>
      <c r="BP71" s="36"/>
      <c r="BQ71" s="35">
        <v>37500341.490000002</v>
      </c>
      <c r="BR71" s="35">
        <v>30078168.629999999</v>
      </c>
      <c r="BS71" s="35"/>
      <c r="BT71" s="35">
        <v>7422172.8600000003</v>
      </c>
      <c r="BU71" s="35">
        <v>19.792280000000002</v>
      </c>
      <c r="BV71" s="35">
        <v>29057.3</v>
      </c>
      <c r="BW71" s="35"/>
      <c r="BX71" s="85">
        <v>30078168.629999999</v>
      </c>
      <c r="BY71" s="27"/>
      <c r="BZ71" s="36">
        <v>31307000</v>
      </c>
      <c r="CA71" s="85">
        <v>31307000</v>
      </c>
      <c r="CB71" s="35"/>
      <c r="CC71" s="35">
        <v>32003835.620000001</v>
      </c>
      <c r="CD71" s="35">
        <v>23362800</v>
      </c>
      <c r="CE71" s="35">
        <v>8641035.6199999992</v>
      </c>
      <c r="CF71" s="35">
        <v>16011536.16</v>
      </c>
      <c r="CG71" s="35"/>
      <c r="CH71" s="36"/>
      <c r="CI71" s="35">
        <v>21933611.18</v>
      </c>
      <c r="CJ71" s="35">
        <v>16011536.16</v>
      </c>
      <c r="CK71" s="35"/>
      <c r="CL71" s="35">
        <v>5922075.0199999996</v>
      </c>
      <c r="CM71" s="35">
        <v>27</v>
      </c>
      <c r="CN71" s="35"/>
      <c r="CO71" s="35"/>
      <c r="CP71" s="85">
        <v>16011536.16</v>
      </c>
      <c r="CQ71" s="27"/>
      <c r="CR71" s="36">
        <v>23362800</v>
      </c>
      <c r="CS71" s="85">
        <v>23362800</v>
      </c>
      <c r="CT71" s="35"/>
      <c r="CU71" s="35"/>
      <c r="CV71" s="35"/>
      <c r="CW71" s="35"/>
      <c r="CX71" s="35"/>
      <c r="CY71" s="35"/>
      <c r="CZ71" s="36"/>
      <c r="DA71" s="35"/>
      <c r="DB71" s="35"/>
      <c r="DC71" s="35"/>
      <c r="DD71" s="35"/>
      <c r="DE71" s="35"/>
      <c r="DF71" s="35"/>
      <c r="DG71" s="35"/>
      <c r="DH71" s="85"/>
      <c r="DI71" s="27"/>
      <c r="DJ71" s="36"/>
      <c r="DK71" s="85"/>
      <c r="DL71" s="35"/>
      <c r="DM71" s="35">
        <v>61320807.409999996</v>
      </c>
      <c r="DN71" s="35">
        <v>27873300</v>
      </c>
      <c r="DO71" s="35">
        <v>33447507.41</v>
      </c>
      <c r="DP71" s="35">
        <v>27873300</v>
      </c>
      <c r="DQ71" s="35"/>
      <c r="DR71" s="36"/>
      <c r="DS71" s="35">
        <v>61320807.409999996</v>
      </c>
      <c r="DT71" s="35">
        <v>27873300</v>
      </c>
      <c r="DU71" s="35"/>
      <c r="DV71" s="35">
        <v>33447507.41</v>
      </c>
      <c r="DW71" s="35">
        <v>54.545119999999997</v>
      </c>
      <c r="DX71" s="35"/>
      <c r="DY71" s="35"/>
      <c r="DZ71" s="85">
        <v>27873300</v>
      </c>
      <c r="EA71" s="27"/>
      <c r="EB71" s="36">
        <v>27873300</v>
      </c>
      <c r="EC71" s="85">
        <v>27873300</v>
      </c>
      <c r="ED71" s="35"/>
      <c r="EE71" s="35">
        <v>82835473.689999998</v>
      </c>
      <c r="EF71" s="35">
        <v>78693700</v>
      </c>
      <c r="EG71" s="35">
        <v>4141773.69</v>
      </c>
      <c r="EH71" s="35">
        <v>78693700</v>
      </c>
      <c r="EI71" s="35"/>
      <c r="EJ71" s="36"/>
      <c r="EK71" s="35">
        <v>82835473.689999998</v>
      </c>
      <c r="EL71" s="35">
        <v>78693700</v>
      </c>
      <c r="EM71" s="35"/>
      <c r="EN71" s="35">
        <v>4141773.69</v>
      </c>
      <c r="EO71" s="35">
        <v>5</v>
      </c>
      <c r="EP71" s="35"/>
      <c r="EQ71" s="35"/>
      <c r="ER71" s="85">
        <v>78693700</v>
      </c>
      <c r="ES71" s="27"/>
      <c r="ET71" s="36">
        <v>78693700</v>
      </c>
      <c r="EU71" s="85">
        <v>78693700</v>
      </c>
      <c r="EV71" s="35"/>
      <c r="EW71" s="35">
        <v>19848767.129999999</v>
      </c>
      <c r="EX71" s="35">
        <v>14489600</v>
      </c>
      <c r="EY71" s="35">
        <v>5359167.13</v>
      </c>
      <c r="EZ71" s="35">
        <v>14489600</v>
      </c>
      <c r="FA71" s="35"/>
      <c r="FB71" s="36"/>
      <c r="FC71" s="35">
        <v>19768286.48</v>
      </c>
      <c r="FD71" s="35">
        <v>14430849.140000001</v>
      </c>
      <c r="FE71" s="35"/>
      <c r="FF71" s="35">
        <v>5337437.34</v>
      </c>
      <c r="FG71" s="35">
        <v>27</v>
      </c>
      <c r="FH71" s="35"/>
      <c r="FI71" s="35">
        <v>58750.86</v>
      </c>
      <c r="FJ71" s="85">
        <v>14489600</v>
      </c>
      <c r="FK71" s="27"/>
      <c r="FL71" s="36">
        <v>14489600</v>
      </c>
      <c r="FM71" s="85">
        <v>14489600</v>
      </c>
      <c r="FN71" s="35"/>
      <c r="FO71" s="35"/>
      <c r="FP71" s="35"/>
      <c r="FQ71" s="35"/>
      <c r="FR71" s="35"/>
      <c r="FS71" s="35">
        <v>129622.76</v>
      </c>
      <c r="FT71" s="36"/>
      <c r="FU71" s="35"/>
      <c r="FV71" s="35"/>
      <c r="FW71" s="35"/>
      <c r="FX71" s="35"/>
      <c r="FY71" s="35"/>
      <c r="FZ71" s="35">
        <v>129622.76</v>
      </c>
      <c r="GA71" s="35"/>
      <c r="GB71" s="85"/>
      <c r="GC71" s="27"/>
      <c r="GD71" s="36"/>
      <c r="GE71" s="85"/>
      <c r="GF71" s="35"/>
      <c r="GG71" s="35">
        <v>35989178.079999998</v>
      </c>
      <c r="GH71" s="35">
        <v>26272100</v>
      </c>
      <c r="GI71" s="35">
        <v>9717078.0800000001</v>
      </c>
      <c r="GJ71" s="35">
        <v>24422847.620000001</v>
      </c>
      <c r="GK71" s="35">
        <v>75368.91</v>
      </c>
      <c r="GL71" s="36"/>
      <c r="GM71" s="35">
        <v>33455955.649999999</v>
      </c>
      <c r="GN71" s="35">
        <v>24422847.620000001</v>
      </c>
      <c r="GO71" s="35"/>
      <c r="GP71" s="35">
        <v>9033108.0299999993</v>
      </c>
      <c r="GQ71" s="35">
        <v>27</v>
      </c>
      <c r="GR71" s="35">
        <v>75368.91</v>
      </c>
      <c r="GS71" s="35"/>
      <c r="GT71" s="85">
        <v>24422847.620000001</v>
      </c>
      <c r="GU71" s="27"/>
      <c r="GV71" s="36">
        <v>26272100</v>
      </c>
      <c r="GW71" s="85">
        <v>26272100</v>
      </c>
      <c r="GX71" s="35"/>
      <c r="GY71" s="35"/>
      <c r="GZ71" s="35"/>
      <c r="HA71" s="35"/>
      <c r="HB71" s="35"/>
      <c r="HC71" s="35"/>
      <c r="HD71" s="36"/>
      <c r="HE71" s="35"/>
      <c r="HF71" s="35"/>
      <c r="HG71" s="35"/>
      <c r="HH71" s="35"/>
      <c r="HI71" s="35"/>
      <c r="HJ71" s="35"/>
      <c r="HK71" s="35"/>
      <c r="HL71" s="85"/>
      <c r="HM71" s="27"/>
      <c r="HN71" s="36"/>
      <c r="HO71" s="85"/>
      <c r="HP71" s="35"/>
      <c r="HQ71" s="35"/>
      <c r="HR71" s="35"/>
      <c r="HS71" s="35"/>
      <c r="HT71" s="35"/>
      <c r="HU71" s="35"/>
      <c r="HV71" s="36"/>
      <c r="HW71" s="35"/>
      <c r="HX71" s="35"/>
      <c r="HY71" s="35"/>
      <c r="HZ71" s="35"/>
      <c r="IA71" s="35"/>
      <c r="IB71" s="35"/>
      <c r="IC71" s="35"/>
      <c r="ID71" s="85"/>
      <c r="IE71" s="27"/>
      <c r="IF71" s="36"/>
      <c r="IG71" s="85"/>
      <c r="IH71" s="35"/>
      <c r="II71" s="35"/>
      <c r="IJ71" s="35"/>
      <c r="IK71" s="35"/>
      <c r="IL71" s="35"/>
      <c r="IM71" s="35"/>
      <c r="IN71" s="36"/>
      <c r="IO71" s="35"/>
      <c r="IP71" s="35"/>
      <c r="IQ71" s="35"/>
      <c r="IR71" s="35"/>
      <c r="IS71" s="35"/>
      <c r="IT71" s="35"/>
      <c r="IU71" s="35"/>
      <c r="IV71" s="85"/>
      <c r="IW71" s="27"/>
      <c r="IX71" s="36"/>
      <c r="IY71" s="85"/>
      <c r="IZ71" s="35"/>
      <c r="JA71" s="35"/>
      <c r="JB71" s="35"/>
      <c r="JC71" s="35"/>
      <c r="JD71" s="35"/>
      <c r="JE71" s="35"/>
      <c r="JF71" s="36"/>
      <c r="JG71" s="35"/>
      <c r="JH71" s="35"/>
      <c r="JI71" s="35"/>
      <c r="JJ71" s="35"/>
      <c r="JK71" s="35"/>
      <c r="JL71" s="35"/>
      <c r="JM71" s="35"/>
      <c r="JN71" s="85"/>
      <c r="JO71" s="27"/>
      <c r="JP71" s="36"/>
      <c r="JQ71" s="85"/>
      <c r="JR71" s="35"/>
      <c r="JS71" s="35"/>
      <c r="JT71" s="35"/>
      <c r="JU71" s="35"/>
      <c r="JV71" s="35"/>
      <c r="JW71" s="35"/>
      <c r="JX71" s="36"/>
      <c r="JY71" s="35"/>
      <c r="JZ71" s="35"/>
      <c r="KA71" s="35"/>
      <c r="KB71" s="35"/>
      <c r="KC71" s="35"/>
      <c r="KD71" s="35"/>
      <c r="KE71" s="35"/>
      <c r="KF71" s="85"/>
      <c r="KG71" s="27"/>
      <c r="KH71" s="36"/>
      <c r="KI71" s="85"/>
      <c r="KJ71" s="35"/>
      <c r="KK71" s="35"/>
      <c r="KL71" s="35"/>
      <c r="KM71" s="35"/>
      <c r="KN71" s="35"/>
      <c r="KO71" s="35"/>
      <c r="KP71" s="36"/>
      <c r="KQ71" s="35"/>
      <c r="KR71" s="35"/>
      <c r="KS71" s="35"/>
      <c r="KT71" s="35"/>
      <c r="KU71" s="35"/>
      <c r="KV71" s="35"/>
      <c r="KW71" s="35"/>
      <c r="KX71" s="85"/>
      <c r="KY71" s="27"/>
      <c r="KZ71" s="36"/>
      <c r="LA71" s="85"/>
      <c r="LB71" s="35"/>
      <c r="LC71" s="35"/>
      <c r="LD71" s="35"/>
      <c r="LE71" s="35"/>
      <c r="LF71" s="35"/>
      <c r="LG71" s="35"/>
      <c r="LH71" s="36"/>
      <c r="LI71" s="35"/>
      <c r="LJ71" s="35"/>
      <c r="LK71" s="35"/>
      <c r="LL71" s="35"/>
      <c r="LM71" s="35"/>
      <c r="LN71" s="35"/>
      <c r="LO71" s="35"/>
      <c r="LP71" s="85"/>
      <c r="LQ71" s="27"/>
      <c r="LR71" s="36"/>
      <c r="LS71" s="85"/>
      <c r="LT71" s="35"/>
      <c r="LU71" s="35"/>
      <c r="LV71" s="35"/>
      <c r="LW71" s="35"/>
      <c r="LX71" s="35"/>
      <c r="LY71" s="35"/>
      <c r="LZ71" s="36"/>
      <c r="MA71" s="35"/>
      <c r="MB71" s="35"/>
      <c r="MC71" s="35"/>
      <c r="MD71" s="35"/>
      <c r="ME71" s="35"/>
      <c r="MF71" s="35"/>
      <c r="MG71" s="35"/>
      <c r="MH71" s="85"/>
      <c r="MI71" s="27"/>
      <c r="MJ71" s="36"/>
      <c r="MK71" s="85"/>
      <c r="ML71" s="35"/>
      <c r="MM71" s="35"/>
      <c r="MN71" s="35"/>
      <c r="MO71" s="35"/>
      <c r="MP71" s="35"/>
      <c r="MQ71" s="35"/>
      <c r="MR71" s="36"/>
      <c r="MS71" s="35"/>
      <c r="MT71" s="35"/>
      <c r="MU71" s="35"/>
      <c r="MV71" s="35"/>
      <c r="MW71" s="35"/>
      <c r="MX71" s="35"/>
      <c r="MY71" s="35"/>
      <c r="MZ71" s="85"/>
      <c r="NA71" s="27"/>
      <c r="NB71" s="36"/>
      <c r="NC71" s="85"/>
      <c r="ND71" s="35"/>
      <c r="NE71" s="35">
        <v>464931.51</v>
      </c>
      <c r="NF71" s="35">
        <v>339400</v>
      </c>
      <c r="NG71" s="35">
        <v>125531.51</v>
      </c>
      <c r="NH71" s="35">
        <v>339400</v>
      </c>
      <c r="NI71" s="35"/>
      <c r="NJ71" s="36"/>
      <c r="NK71" s="35">
        <v>464931.51</v>
      </c>
      <c r="NL71" s="35">
        <v>339400</v>
      </c>
      <c r="NM71" s="35"/>
      <c r="NN71" s="35">
        <v>125531.51</v>
      </c>
      <c r="NO71" s="35">
        <v>27</v>
      </c>
      <c r="NP71" s="35"/>
      <c r="NQ71" s="35"/>
      <c r="NR71" s="85">
        <v>339400</v>
      </c>
      <c r="NS71" s="27"/>
      <c r="NT71" s="36">
        <v>339400</v>
      </c>
      <c r="NU71" s="85">
        <v>339400</v>
      </c>
      <c r="NV71" s="35"/>
      <c r="NW71" s="35"/>
      <c r="NX71" s="35"/>
      <c r="NY71" s="35"/>
      <c r="NZ71" s="35"/>
      <c r="OA71" s="35"/>
      <c r="OB71" s="36"/>
      <c r="OC71" s="35"/>
      <c r="OD71" s="35"/>
      <c r="OE71" s="35"/>
      <c r="OF71" s="35"/>
      <c r="OG71" s="35"/>
      <c r="OH71" s="35"/>
      <c r="OI71" s="35"/>
      <c r="OJ71" s="85"/>
      <c r="OK71" s="27"/>
      <c r="OL71" s="36"/>
      <c r="OM71" s="85"/>
      <c r="ON71" s="35"/>
      <c r="OO71" s="35"/>
      <c r="OP71" s="35"/>
      <c r="OQ71" s="35"/>
      <c r="OR71" s="35"/>
      <c r="OS71" s="35">
        <v>1372274.42</v>
      </c>
      <c r="OT71" s="36"/>
      <c r="OU71" s="35"/>
      <c r="OV71" s="35"/>
      <c r="OW71" s="35"/>
      <c r="OX71" s="35"/>
      <c r="OY71" s="35"/>
      <c r="OZ71" s="35">
        <v>963123.27</v>
      </c>
      <c r="PA71" s="35">
        <v>409151.15</v>
      </c>
      <c r="PB71" s="85"/>
      <c r="PC71" s="27"/>
      <c r="PD71" s="36"/>
      <c r="PE71" s="85"/>
      <c r="PF71" s="35"/>
      <c r="PG71" s="35"/>
      <c r="PH71" s="35"/>
      <c r="PI71" s="35"/>
      <c r="PJ71" s="35"/>
      <c r="PK71" s="35"/>
      <c r="PL71" s="36"/>
      <c r="PM71" s="35"/>
      <c r="PN71" s="35"/>
      <c r="PO71" s="35"/>
      <c r="PP71" s="35"/>
      <c r="PQ71" s="35"/>
      <c r="PR71" s="35"/>
      <c r="PS71" s="35"/>
      <c r="PT71" s="85"/>
      <c r="PU71" s="27"/>
      <c r="PV71" s="36"/>
      <c r="PW71" s="85"/>
      <c r="PX71" s="35"/>
      <c r="PY71" s="35"/>
      <c r="PZ71" s="35"/>
      <c r="QA71" s="35"/>
      <c r="QB71" s="35"/>
      <c r="QC71" s="35"/>
      <c r="QD71" s="36"/>
      <c r="QE71" s="35"/>
      <c r="QF71" s="35"/>
      <c r="QG71" s="35"/>
      <c r="QH71" s="35"/>
      <c r="QI71" s="35"/>
      <c r="QJ71" s="35"/>
      <c r="QK71" s="35"/>
      <c r="QL71" s="85"/>
      <c r="QM71" s="27"/>
      <c r="QN71" s="36"/>
      <c r="QO71" s="85"/>
      <c r="QP71" s="35"/>
      <c r="QQ71" s="35"/>
      <c r="QR71" s="35"/>
      <c r="QS71" s="35"/>
      <c r="QT71" s="35"/>
      <c r="QU71" s="35"/>
      <c r="QV71" s="36"/>
      <c r="QW71" s="35"/>
      <c r="QX71" s="35"/>
      <c r="QY71" s="35"/>
      <c r="QZ71" s="35"/>
      <c r="RA71" s="35"/>
      <c r="RB71" s="35"/>
      <c r="RC71" s="35"/>
      <c r="RD71" s="85"/>
      <c r="RE71" s="27"/>
      <c r="RF71" s="36"/>
      <c r="RG71" s="85"/>
      <c r="RH71" s="35"/>
      <c r="RI71" s="35"/>
      <c r="RJ71" s="35"/>
      <c r="RK71" s="35"/>
      <c r="RL71" s="35"/>
      <c r="RM71" s="35"/>
      <c r="RN71" s="36"/>
      <c r="RO71" s="35"/>
      <c r="RP71" s="35"/>
      <c r="RQ71" s="35"/>
      <c r="RR71" s="35"/>
      <c r="RS71" s="35"/>
      <c r="RT71" s="35"/>
      <c r="RU71" s="35"/>
      <c r="RV71" s="85"/>
      <c r="RW71" s="27"/>
      <c r="RX71" s="36"/>
      <c r="RY71" s="85"/>
      <c r="RZ71" s="35"/>
      <c r="SA71" s="35"/>
      <c r="SB71" s="35"/>
      <c r="SC71" s="35"/>
      <c r="SD71" s="35"/>
      <c r="SE71" s="35"/>
      <c r="SF71" s="36"/>
      <c r="SG71" s="35"/>
      <c r="SH71" s="35"/>
      <c r="SI71" s="35"/>
      <c r="SJ71" s="35"/>
      <c r="SK71" s="35"/>
      <c r="SL71" s="35"/>
      <c r="SM71" s="35"/>
      <c r="SN71" s="85"/>
      <c r="SO71" s="27"/>
      <c r="SP71" s="36"/>
      <c r="SQ71" s="85"/>
      <c r="SR71" s="35"/>
      <c r="SS71" s="35"/>
      <c r="ST71" s="35"/>
      <c r="SU71" s="35"/>
      <c r="SV71" s="35"/>
      <c r="SW71" s="35"/>
      <c r="SX71" s="36"/>
      <c r="SY71" s="35"/>
      <c r="SZ71" s="35"/>
      <c r="TA71" s="35"/>
      <c r="TB71" s="35"/>
      <c r="TC71" s="35"/>
      <c r="TD71" s="35"/>
      <c r="TE71" s="35"/>
      <c r="TF71" s="85"/>
      <c r="TG71" s="27"/>
      <c r="TH71" s="36"/>
      <c r="TI71" s="85"/>
      <c r="TJ71" s="35"/>
      <c r="TK71" s="35"/>
      <c r="TL71" s="35"/>
      <c r="TM71" s="35"/>
      <c r="TN71" s="35"/>
      <c r="TO71" s="35"/>
      <c r="TP71" s="36"/>
      <c r="TQ71" s="35"/>
      <c r="TR71" s="35"/>
      <c r="TS71" s="35"/>
      <c r="TT71" s="35"/>
      <c r="TU71" s="35"/>
      <c r="TV71" s="35"/>
      <c r="TW71" s="35"/>
      <c r="TX71" s="85"/>
      <c r="TY71" s="27"/>
      <c r="TZ71" s="36"/>
      <c r="UA71" s="85"/>
      <c r="UB71" s="35"/>
      <c r="UC71" s="35">
        <v>3084000</v>
      </c>
      <c r="UD71" s="35">
        <v>3084000</v>
      </c>
      <c r="UE71" s="35"/>
      <c r="UF71" s="35">
        <v>3083983.1</v>
      </c>
      <c r="UG71" s="35"/>
      <c r="UH71" s="36"/>
      <c r="UI71" s="35">
        <v>3083983.1</v>
      </c>
      <c r="UJ71" s="35">
        <v>3083983.1</v>
      </c>
      <c r="UK71" s="35"/>
      <c r="UL71" s="35"/>
      <c r="UM71" s="35"/>
      <c r="UN71" s="35"/>
      <c r="UO71" s="35"/>
      <c r="UP71" s="85">
        <v>3083983.1</v>
      </c>
      <c r="UQ71" s="27"/>
      <c r="UR71" s="36">
        <v>3084000</v>
      </c>
      <c r="US71" s="85">
        <v>3084000</v>
      </c>
    </row>
    <row r="72" spans="1:565" x14ac:dyDescent="0.3">
      <c r="A72" s="8" t="s">
        <v>150</v>
      </c>
      <c r="B72" s="170">
        <v>58</v>
      </c>
      <c r="C72" s="13" t="s">
        <v>152</v>
      </c>
      <c r="F72" s="36">
        <v>1488840000</v>
      </c>
      <c r="G72" s="85"/>
      <c r="H72" s="35"/>
      <c r="I72" s="35">
        <v>148025400</v>
      </c>
      <c r="J72" s="35">
        <v>140624100</v>
      </c>
      <c r="K72" s="35">
        <v>7401300</v>
      </c>
      <c r="L72" s="35">
        <v>140624100</v>
      </c>
      <c r="M72" s="35">
        <v>265422.84000000003</v>
      </c>
      <c r="N72" s="36"/>
      <c r="O72" s="35">
        <v>148025400</v>
      </c>
      <c r="P72" s="35">
        <v>140624100</v>
      </c>
      <c r="Q72" s="35"/>
      <c r="R72" s="35">
        <v>7401300</v>
      </c>
      <c r="S72" s="35">
        <v>5.0000200000000001</v>
      </c>
      <c r="T72" s="35">
        <v>265422.84000000003</v>
      </c>
      <c r="U72" s="35"/>
      <c r="V72" s="85">
        <v>140624100</v>
      </c>
      <c r="W72" s="27"/>
      <c r="X72" s="36">
        <v>140624100</v>
      </c>
      <c r="Y72" s="85">
        <v>140624100</v>
      </c>
      <c r="Z72" s="35"/>
      <c r="AA72" s="35">
        <v>406942400</v>
      </c>
      <c r="AB72" s="35">
        <v>386595200</v>
      </c>
      <c r="AC72" s="35">
        <v>20347200</v>
      </c>
      <c r="AD72" s="35">
        <v>386595200</v>
      </c>
      <c r="AE72" s="35">
        <v>214751.91</v>
      </c>
      <c r="AF72" s="36"/>
      <c r="AG72" s="35">
        <v>406942400</v>
      </c>
      <c r="AH72" s="35">
        <v>386595200</v>
      </c>
      <c r="AI72" s="35"/>
      <c r="AJ72" s="35">
        <v>20347200</v>
      </c>
      <c r="AK72" s="35">
        <v>5.0000200000000001</v>
      </c>
      <c r="AL72" s="35">
        <v>214751.91</v>
      </c>
      <c r="AM72" s="35"/>
      <c r="AN72" s="85">
        <v>386595200</v>
      </c>
      <c r="AO72" s="27"/>
      <c r="AP72" s="36">
        <v>386595200</v>
      </c>
      <c r="AQ72" s="85">
        <v>386595200</v>
      </c>
      <c r="AR72" s="35"/>
      <c r="AS72" s="35">
        <v>314233790</v>
      </c>
      <c r="AT72" s="35">
        <v>298522100</v>
      </c>
      <c r="AU72" s="35">
        <v>15711690</v>
      </c>
      <c r="AV72" s="35">
        <v>298522098.42000002</v>
      </c>
      <c r="AW72" s="35"/>
      <c r="AX72" s="36"/>
      <c r="AY72" s="35">
        <v>314233788.31999999</v>
      </c>
      <c r="AZ72" s="35">
        <v>298522098.39999998</v>
      </c>
      <c r="BA72" s="35"/>
      <c r="BB72" s="35">
        <v>15711689.92</v>
      </c>
      <c r="BC72" s="35">
        <v>5</v>
      </c>
      <c r="BD72" s="35"/>
      <c r="BE72" s="35">
        <v>0.02</v>
      </c>
      <c r="BF72" s="85">
        <v>298522098.42000002</v>
      </c>
      <c r="BG72" s="27"/>
      <c r="BH72" s="36">
        <v>298522100</v>
      </c>
      <c r="BI72" s="85">
        <v>298522100</v>
      </c>
      <c r="BJ72" s="35"/>
      <c r="BK72" s="35">
        <v>155074600</v>
      </c>
      <c r="BL72" s="35">
        <v>147320800</v>
      </c>
      <c r="BM72" s="35">
        <v>7753800</v>
      </c>
      <c r="BN72" s="35">
        <v>147320800</v>
      </c>
      <c r="BO72" s="35">
        <v>968</v>
      </c>
      <c r="BP72" s="36"/>
      <c r="BQ72" s="35">
        <v>155074600</v>
      </c>
      <c r="BR72" s="35">
        <v>147320800</v>
      </c>
      <c r="BS72" s="35"/>
      <c r="BT72" s="35">
        <v>7753800</v>
      </c>
      <c r="BU72" s="35">
        <v>5.0000499999999999</v>
      </c>
      <c r="BV72" s="35">
        <v>968</v>
      </c>
      <c r="BW72" s="35"/>
      <c r="BX72" s="85">
        <v>147320800</v>
      </c>
      <c r="BY72" s="27"/>
      <c r="BZ72" s="36">
        <v>147320800</v>
      </c>
      <c r="CA72" s="85">
        <v>147320800</v>
      </c>
      <c r="CB72" s="35"/>
      <c r="CC72" s="35">
        <v>19281100</v>
      </c>
      <c r="CD72" s="35">
        <v>18317000</v>
      </c>
      <c r="CE72" s="35">
        <v>964100</v>
      </c>
      <c r="CF72" s="35">
        <v>18317000</v>
      </c>
      <c r="CG72" s="35"/>
      <c r="CH72" s="36"/>
      <c r="CI72" s="35">
        <v>19281100</v>
      </c>
      <c r="CJ72" s="35">
        <v>18317000</v>
      </c>
      <c r="CK72" s="35"/>
      <c r="CL72" s="35">
        <v>964100</v>
      </c>
      <c r="CM72" s="35">
        <v>5.0002300000000002</v>
      </c>
      <c r="CN72" s="35"/>
      <c r="CO72" s="35"/>
      <c r="CP72" s="85">
        <v>18317000</v>
      </c>
      <c r="CQ72" s="27"/>
      <c r="CR72" s="36">
        <v>18317000</v>
      </c>
      <c r="CS72" s="85">
        <v>18317000</v>
      </c>
      <c r="CT72" s="35"/>
      <c r="CU72" s="35"/>
      <c r="CV72" s="35"/>
      <c r="CW72" s="35"/>
      <c r="CX72" s="35"/>
      <c r="CY72" s="35"/>
      <c r="CZ72" s="36"/>
      <c r="DA72" s="35"/>
      <c r="DB72" s="35"/>
      <c r="DC72" s="35"/>
      <c r="DD72" s="35"/>
      <c r="DE72" s="35"/>
      <c r="DF72" s="35"/>
      <c r="DG72" s="35"/>
      <c r="DH72" s="85"/>
      <c r="DI72" s="27"/>
      <c r="DJ72" s="36"/>
      <c r="DK72" s="85"/>
      <c r="DL72" s="35"/>
      <c r="DM72" s="35">
        <v>475910220</v>
      </c>
      <c r="DN72" s="35">
        <v>451325200</v>
      </c>
      <c r="DO72" s="35">
        <v>24585020</v>
      </c>
      <c r="DP72" s="35">
        <v>451325200</v>
      </c>
      <c r="DQ72" s="35"/>
      <c r="DR72" s="36"/>
      <c r="DS72" s="35">
        <v>475910220</v>
      </c>
      <c r="DT72" s="35">
        <v>451325200</v>
      </c>
      <c r="DU72" s="35"/>
      <c r="DV72" s="35">
        <v>24585020</v>
      </c>
      <c r="DW72" s="35">
        <v>5.1658900000000001</v>
      </c>
      <c r="DX72" s="35"/>
      <c r="DY72" s="35"/>
      <c r="DZ72" s="85">
        <v>451325200</v>
      </c>
      <c r="EA72" s="27"/>
      <c r="EB72" s="36">
        <v>451325200</v>
      </c>
      <c r="EC72" s="85">
        <v>451325200</v>
      </c>
      <c r="ED72" s="35"/>
      <c r="EE72" s="35">
        <v>15523840</v>
      </c>
      <c r="EF72" s="35">
        <v>15368600</v>
      </c>
      <c r="EG72" s="35">
        <v>155240</v>
      </c>
      <c r="EH72" s="35">
        <v>15368600</v>
      </c>
      <c r="EI72" s="35"/>
      <c r="EJ72" s="36"/>
      <c r="EK72" s="35">
        <v>15523840</v>
      </c>
      <c r="EL72" s="35">
        <v>15368600</v>
      </c>
      <c r="EM72" s="35"/>
      <c r="EN72" s="35">
        <v>155240</v>
      </c>
      <c r="EO72" s="35">
        <v>1.0000100000000001</v>
      </c>
      <c r="EP72" s="35"/>
      <c r="EQ72" s="35"/>
      <c r="ER72" s="85">
        <v>15368600</v>
      </c>
      <c r="ES72" s="27"/>
      <c r="ET72" s="36">
        <v>15368600</v>
      </c>
      <c r="EU72" s="85">
        <v>15368600</v>
      </c>
      <c r="EV72" s="35"/>
      <c r="EW72" s="35">
        <v>12840900</v>
      </c>
      <c r="EX72" s="35">
        <v>12198800</v>
      </c>
      <c r="EY72" s="35">
        <v>642100</v>
      </c>
      <c r="EZ72" s="35">
        <v>12198800</v>
      </c>
      <c r="FA72" s="35">
        <v>33567</v>
      </c>
      <c r="FB72" s="36"/>
      <c r="FC72" s="35">
        <v>12840900</v>
      </c>
      <c r="FD72" s="35">
        <v>12198800</v>
      </c>
      <c r="FE72" s="35"/>
      <c r="FF72" s="35">
        <v>642100</v>
      </c>
      <c r="FG72" s="35">
        <v>5.0004299999999997</v>
      </c>
      <c r="FH72" s="35">
        <v>33567</v>
      </c>
      <c r="FI72" s="35"/>
      <c r="FJ72" s="85">
        <v>12198800</v>
      </c>
      <c r="FK72" s="27"/>
      <c r="FL72" s="36">
        <v>12198800</v>
      </c>
      <c r="FM72" s="85">
        <v>12198800</v>
      </c>
      <c r="FN72" s="35"/>
      <c r="FO72" s="35"/>
      <c r="FP72" s="35"/>
      <c r="FQ72" s="35"/>
      <c r="FR72" s="35"/>
      <c r="FS72" s="35">
        <v>129468.32</v>
      </c>
      <c r="FT72" s="36"/>
      <c r="FU72" s="35"/>
      <c r="FV72" s="35"/>
      <c r="FW72" s="35"/>
      <c r="FX72" s="35"/>
      <c r="FY72" s="35"/>
      <c r="FZ72" s="35">
        <v>129468.32</v>
      </c>
      <c r="GA72" s="35"/>
      <c r="GB72" s="85"/>
      <c r="GC72" s="27"/>
      <c r="GD72" s="36"/>
      <c r="GE72" s="85"/>
      <c r="GF72" s="35"/>
      <c r="GG72" s="35">
        <v>17593600</v>
      </c>
      <c r="GH72" s="35">
        <v>16713600</v>
      </c>
      <c r="GI72" s="35">
        <v>880000</v>
      </c>
      <c r="GJ72" s="35">
        <v>5557412.25</v>
      </c>
      <c r="GK72" s="35"/>
      <c r="GL72" s="36"/>
      <c r="GM72" s="35">
        <v>5850019.6299999999</v>
      </c>
      <c r="GN72" s="35">
        <v>5557412.25</v>
      </c>
      <c r="GO72" s="35"/>
      <c r="GP72" s="35">
        <v>292607.38</v>
      </c>
      <c r="GQ72" s="35">
        <v>5.0018200000000004</v>
      </c>
      <c r="GR72" s="35"/>
      <c r="GS72" s="35"/>
      <c r="GT72" s="85">
        <v>5557412.25</v>
      </c>
      <c r="GU72" s="27"/>
      <c r="GV72" s="36">
        <v>16713600</v>
      </c>
      <c r="GW72" s="85">
        <v>16713600</v>
      </c>
      <c r="GX72" s="35"/>
      <c r="GY72" s="35"/>
      <c r="GZ72" s="35"/>
      <c r="HA72" s="35"/>
      <c r="HB72" s="35"/>
      <c r="HC72" s="35"/>
      <c r="HD72" s="36"/>
      <c r="HE72" s="35"/>
      <c r="HF72" s="35"/>
      <c r="HG72" s="35"/>
      <c r="HH72" s="35"/>
      <c r="HI72" s="35"/>
      <c r="HJ72" s="35"/>
      <c r="HK72" s="35"/>
      <c r="HL72" s="85"/>
      <c r="HM72" s="27"/>
      <c r="HN72" s="36"/>
      <c r="HO72" s="85"/>
      <c r="HP72" s="35"/>
      <c r="HQ72" s="35"/>
      <c r="HR72" s="35"/>
      <c r="HS72" s="35"/>
      <c r="HT72" s="35"/>
      <c r="HU72" s="35"/>
      <c r="HV72" s="36"/>
      <c r="HW72" s="35"/>
      <c r="HX72" s="35"/>
      <c r="HY72" s="35"/>
      <c r="HZ72" s="35"/>
      <c r="IA72" s="35"/>
      <c r="IB72" s="35"/>
      <c r="IC72" s="35"/>
      <c r="ID72" s="85"/>
      <c r="IE72" s="27"/>
      <c r="IF72" s="36"/>
      <c r="IG72" s="85"/>
      <c r="IH72" s="35"/>
      <c r="II72" s="35"/>
      <c r="IJ72" s="35"/>
      <c r="IK72" s="35"/>
      <c r="IL72" s="35"/>
      <c r="IM72" s="35"/>
      <c r="IN72" s="36"/>
      <c r="IO72" s="35"/>
      <c r="IP72" s="35"/>
      <c r="IQ72" s="35"/>
      <c r="IR72" s="35"/>
      <c r="IS72" s="35"/>
      <c r="IT72" s="35"/>
      <c r="IU72" s="35"/>
      <c r="IV72" s="85"/>
      <c r="IW72" s="27"/>
      <c r="IX72" s="36"/>
      <c r="IY72" s="85"/>
      <c r="IZ72" s="35"/>
      <c r="JA72" s="35">
        <v>3175700</v>
      </c>
      <c r="JB72" s="35">
        <v>1854600</v>
      </c>
      <c r="JC72" s="35">
        <v>1321100</v>
      </c>
      <c r="JD72" s="35">
        <v>1114598.82</v>
      </c>
      <c r="JE72" s="35"/>
      <c r="JF72" s="36"/>
      <c r="JG72" s="35">
        <v>1908568.68</v>
      </c>
      <c r="JH72" s="35">
        <v>1114598.82</v>
      </c>
      <c r="JI72" s="35"/>
      <c r="JJ72" s="35">
        <v>793969.86</v>
      </c>
      <c r="JK72" s="35">
        <v>41.600279999999998</v>
      </c>
      <c r="JL72" s="35"/>
      <c r="JM72" s="35"/>
      <c r="JN72" s="85">
        <v>1114598.82</v>
      </c>
      <c r="JO72" s="27"/>
      <c r="JP72" s="36">
        <v>1854600</v>
      </c>
      <c r="JQ72" s="85">
        <v>1854600</v>
      </c>
      <c r="JR72" s="35"/>
      <c r="JS72" s="35"/>
      <c r="JT72" s="35"/>
      <c r="JU72" s="35"/>
      <c r="JV72" s="35"/>
      <c r="JW72" s="35"/>
      <c r="JX72" s="36"/>
      <c r="JY72" s="35"/>
      <c r="JZ72" s="35"/>
      <c r="KA72" s="35"/>
      <c r="KB72" s="35"/>
      <c r="KC72" s="35"/>
      <c r="KD72" s="35"/>
      <c r="KE72" s="35"/>
      <c r="KF72" s="85"/>
      <c r="KG72" s="27"/>
      <c r="KH72" s="36"/>
      <c r="KI72" s="85"/>
      <c r="KJ72" s="35"/>
      <c r="KK72" s="35"/>
      <c r="KL72" s="35"/>
      <c r="KM72" s="35"/>
      <c r="KN72" s="35"/>
      <c r="KO72" s="35"/>
      <c r="KP72" s="36"/>
      <c r="KQ72" s="35"/>
      <c r="KR72" s="35"/>
      <c r="KS72" s="35"/>
      <c r="KT72" s="35"/>
      <c r="KU72" s="35"/>
      <c r="KV72" s="35"/>
      <c r="KW72" s="35"/>
      <c r="KX72" s="85"/>
      <c r="KY72" s="27"/>
      <c r="KZ72" s="36"/>
      <c r="LA72" s="85"/>
      <c r="LB72" s="35"/>
      <c r="LC72" s="35"/>
      <c r="LD72" s="35"/>
      <c r="LE72" s="35"/>
      <c r="LF72" s="35"/>
      <c r="LG72" s="35"/>
      <c r="LH72" s="36"/>
      <c r="LI72" s="35"/>
      <c r="LJ72" s="35"/>
      <c r="LK72" s="35"/>
      <c r="LL72" s="35"/>
      <c r="LM72" s="35"/>
      <c r="LN72" s="35"/>
      <c r="LO72" s="35"/>
      <c r="LP72" s="85"/>
      <c r="LQ72" s="27"/>
      <c r="LR72" s="36"/>
      <c r="LS72" s="85"/>
      <c r="LT72" s="35"/>
      <c r="LU72" s="35"/>
      <c r="LV72" s="35"/>
      <c r="LW72" s="35"/>
      <c r="LX72" s="35"/>
      <c r="LY72" s="35"/>
      <c r="LZ72" s="36"/>
      <c r="MA72" s="35"/>
      <c r="MB72" s="35"/>
      <c r="MC72" s="35"/>
      <c r="MD72" s="35"/>
      <c r="ME72" s="35"/>
      <c r="MF72" s="35"/>
      <c r="MG72" s="35"/>
      <c r="MH72" s="85"/>
      <c r="MI72" s="27"/>
      <c r="MJ72" s="36"/>
      <c r="MK72" s="85"/>
      <c r="ML72" s="35"/>
      <c r="MM72" s="35"/>
      <c r="MN72" s="35"/>
      <c r="MO72" s="35"/>
      <c r="MP72" s="35"/>
      <c r="MQ72" s="35"/>
      <c r="MR72" s="36"/>
      <c r="MS72" s="35"/>
      <c r="MT72" s="35"/>
      <c r="MU72" s="35"/>
      <c r="MV72" s="35"/>
      <c r="MW72" s="35"/>
      <c r="MX72" s="35"/>
      <c r="MY72" s="35"/>
      <c r="MZ72" s="85"/>
      <c r="NA72" s="27"/>
      <c r="NB72" s="36"/>
      <c r="NC72" s="85"/>
      <c r="ND72" s="35"/>
      <c r="NE72" s="35"/>
      <c r="NF72" s="35"/>
      <c r="NG72" s="35"/>
      <c r="NH72" s="35"/>
      <c r="NI72" s="35"/>
      <c r="NJ72" s="36"/>
      <c r="NK72" s="35"/>
      <c r="NL72" s="35"/>
      <c r="NM72" s="35"/>
      <c r="NN72" s="35"/>
      <c r="NO72" s="35"/>
      <c r="NP72" s="35"/>
      <c r="NQ72" s="35"/>
      <c r="NR72" s="85"/>
      <c r="NS72" s="27"/>
      <c r="NT72" s="36"/>
      <c r="NU72" s="85"/>
      <c r="NV72" s="35"/>
      <c r="NW72" s="35"/>
      <c r="NX72" s="35"/>
      <c r="NY72" s="35"/>
      <c r="NZ72" s="35"/>
      <c r="OA72" s="35"/>
      <c r="OB72" s="36"/>
      <c r="OC72" s="35"/>
      <c r="OD72" s="35"/>
      <c r="OE72" s="35"/>
      <c r="OF72" s="35"/>
      <c r="OG72" s="35"/>
      <c r="OH72" s="35"/>
      <c r="OI72" s="35"/>
      <c r="OJ72" s="85"/>
      <c r="OK72" s="27"/>
      <c r="OL72" s="36"/>
      <c r="OM72" s="85"/>
      <c r="ON72" s="35"/>
      <c r="OO72" s="35"/>
      <c r="OP72" s="35"/>
      <c r="OQ72" s="35"/>
      <c r="OR72" s="35"/>
      <c r="OS72" s="35">
        <v>45202.91</v>
      </c>
      <c r="OT72" s="36"/>
      <c r="OU72" s="35"/>
      <c r="OV72" s="35"/>
      <c r="OW72" s="35"/>
      <c r="OX72" s="35"/>
      <c r="OY72" s="35"/>
      <c r="OZ72" s="35">
        <v>45202.91</v>
      </c>
      <c r="PA72" s="35"/>
      <c r="PB72" s="85"/>
      <c r="PC72" s="27"/>
      <c r="PD72" s="36"/>
      <c r="PE72" s="85"/>
      <c r="PF72" s="35"/>
      <c r="PG72" s="35"/>
      <c r="PH72" s="35"/>
      <c r="PI72" s="35"/>
      <c r="PJ72" s="35"/>
      <c r="PK72" s="35"/>
      <c r="PL72" s="36"/>
      <c r="PM72" s="35"/>
      <c r="PN72" s="35"/>
      <c r="PO72" s="35"/>
      <c r="PP72" s="35"/>
      <c r="PQ72" s="35"/>
      <c r="PR72" s="35"/>
      <c r="PS72" s="35"/>
      <c r="PT72" s="85"/>
      <c r="PU72" s="27"/>
      <c r="PV72" s="36"/>
      <c r="PW72" s="85"/>
      <c r="PX72" s="35"/>
      <c r="PY72" s="35"/>
      <c r="PZ72" s="35"/>
      <c r="QA72" s="35"/>
      <c r="QB72" s="35"/>
      <c r="QC72" s="35"/>
      <c r="QD72" s="36"/>
      <c r="QE72" s="35"/>
      <c r="QF72" s="35"/>
      <c r="QG72" s="35"/>
      <c r="QH72" s="35"/>
      <c r="QI72" s="35"/>
      <c r="QJ72" s="35"/>
      <c r="QK72" s="35"/>
      <c r="QL72" s="85"/>
      <c r="QM72" s="27"/>
      <c r="QN72" s="36"/>
      <c r="QO72" s="85"/>
      <c r="QP72" s="35"/>
      <c r="QQ72" s="35"/>
      <c r="QR72" s="35"/>
      <c r="QS72" s="35"/>
      <c r="QT72" s="35"/>
      <c r="QU72" s="35"/>
      <c r="QV72" s="36"/>
      <c r="QW72" s="35"/>
      <c r="QX72" s="35"/>
      <c r="QY72" s="35"/>
      <c r="QZ72" s="35"/>
      <c r="RA72" s="35"/>
      <c r="RB72" s="35"/>
      <c r="RC72" s="35"/>
      <c r="RD72" s="85"/>
      <c r="RE72" s="27"/>
      <c r="RF72" s="36"/>
      <c r="RG72" s="85"/>
      <c r="RH72" s="35"/>
      <c r="RI72" s="35"/>
      <c r="RJ72" s="35"/>
      <c r="RK72" s="35"/>
      <c r="RL72" s="35"/>
      <c r="RM72" s="35">
        <v>27083.200000000001</v>
      </c>
      <c r="RN72" s="36"/>
      <c r="RO72" s="35"/>
      <c r="RP72" s="35"/>
      <c r="RQ72" s="35"/>
      <c r="RR72" s="35"/>
      <c r="RS72" s="35"/>
      <c r="RT72" s="35">
        <v>27083.200000000001</v>
      </c>
      <c r="RU72" s="35"/>
      <c r="RV72" s="85"/>
      <c r="RW72" s="27"/>
      <c r="RX72" s="36"/>
      <c r="RY72" s="85"/>
      <c r="RZ72" s="35"/>
      <c r="SA72" s="35"/>
      <c r="SB72" s="35"/>
      <c r="SC72" s="35"/>
      <c r="SD72" s="35"/>
      <c r="SE72" s="35"/>
      <c r="SF72" s="36"/>
      <c r="SG72" s="35"/>
      <c r="SH72" s="35"/>
      <c r="SI72" s="35"/>
      <c r="SJ72" s="35"/>
      <c r="SK72" s="35"/>
      <c r="SL72" s="35"/>
      <c r="SM72" s="35"/>
      <c r="SN72" s="85"/>
      <c r="SO72" s="27"/>
      <c r="SP72" s="36"/>
      <c r="SQ72" s="85"/>
      <c r="SR72" s="35"/>
      <c r="SS72" s="35"/>
      <c r="ST72" s="35"/>
      <c r="SU72" s="35"/>
      <c r="SV72" s="35"/>
      <c r="SW72" s="35"/>
      <c r="SX72" s="36"/>
      <c r="SY72" s="35"/>
      <c r="SZ72" s="35"/>
      <c r="TA72" s="35"/>
      <c r="TB72" s="35"/>
      <c r="TC72" s="35"/>
      <c r="TD72" s="35"/>
      <c r="TE72" s="35"/>
      <c r="TF72" s="85"/>
      <c r="TG72" s="27"/>
      <c r="TH72" s="36"/>
      <c r="TI72" s="85"/>
      <c r="TJ72" s="35"/>
      <c r="TK72" s="35"/>
      <c r="TL72" s="35"/>
      <c r="TM72" s="35"/>
      <c r="TN72" s="35"/>
      <c r="TO72" s="35"/>
      <c r="TP72" s="36"/>
      <c r="TQ72" s="35"/>
      <c r="TR72" s="35"/>
      <c r="TS72" s="35"/>
      <c r="TT72" s="35"/>
      <c r="TU72" s="35"/>
      <c r="TV72" s="35"/>
      <c r="TW72" s="35"/>
      <c r="TX72" s="85"/>
      <c r="TY72" s="27"/>
      <c r="TZ72" s="36"/>
      <c r="UA72" s="85"/>
      <c r="UB72" s="35"/>
      <c r="UC72" s="35"/>
      <c r="UD72" s="35"/>
      <c r="UE72" s="35"/>
      <c r="UF72" s="35"/>
      <c r="UG72" s="35"/>
      <c r="UH72" s="36"/>
      <c r="UI72" s="35"/>
      <c r="UJ72" s="35"/>
      <c r="UK72" s="35"/>
      <c r="UL72" s="35"/>
      <c r="UM72" s="35"/>
      <c r="UN72" s="35"/>
      <c r="UO72" s="35"/>
      <c r="UP72" s="85"/>
      <c r="UQ72" s="27"/>
      <c r="UR72" s="36"/>
      <c r="US72" s="85"/>
    </row>
    <row r="73" spans="1:565" x14ac:dyDescent="0.3">
      <c r="A73" s="8" t="s">
        <v>153</v>
      </c>
      <c r="B73" s="170">
        <v>59</v>
      </c>
      <c r="C73" s="13" t="s">
        <v>155</v>
      </c>
      <c r="F73" s="36">
        <v>1328072000</v>
      </c>
      <c r="G73" s="85"/>
      <c r="H73" s="35"/>
      <c r="I73" s="35">
        <v>356008514</v>
      </c>
      <c r="J73" s="35">
        <v>263446300</v>
      </c>
      <c r="K73" s="35">
        <v>92562214</v>
      </c>
      <c r="L73" s="35">
        <v>263446300</v>
      </c>
      <c r="M73" s="35">
        <v>257599.49</v>
      </c>
      <c r="N73" s="36"/>
      <c r="O73" s="35">
        <v>356008514</v>
      </c>
      <c r="P73" s="35">
        <v>263446300</v>
      </c>
      <c r="Q73" s="35"/>
      <c r="R73" s="35">
        <v>92562214</v>
      </c>
      <c r="S73" s="35">
        <v>26</v>
      </c>
      <c r="T73" s="35">
        <v>257599.49</v>
      </c>
      <c r="U73" s="35"/>
      <c r="V73" s="85">
        <v>263446300</v>
      </c>
      <c r="W73" s="27"/>
      <c r="X73" s="36">
        <v>263446300</v>
      </c>
      <c r="Y73" s="85">
        <v>263446300</v>
      </c>
      <c r="Z73" s="35"/>
      <c r="AA73" s="35">
        <v>348453514</v>
      </c>
      <c r="AB73" s="35">
        <v>257855600</v>
      </c>
      <c r="AC73" s="35">
        <v>90597914</v>
      </c>
      <c r="AD73" s="35">
        <v>257855600</v>
      </c>
      <c r="AE73" s="35">
        <v>48823.07</v>
      </c>
      <c r="AF73" s="36"/>
      <c r="AG73" s="35">
        <v>348453514</v>
      </c>
      <c r="AH73" s="35">
        <v>257855600</v>
      </c>
      <c r="AI73" s="35"/>
      <c r="AJ73" s="35">
        <v>90597914</v>
      </c>
      <c r="AK73" s="35">
        <v>26</v>
      </c>
      <c r="AL73" s="35">
        <v>48823.07</v>
      </c>
      <c r="AM73" s="35"/>
      <c r="AN73" s="85">
        <v>257855600</v>
      </c>
      <c r="AO73" s="27"/>
      <c r="AP73" s="36">
        <v>257855600</v>
      </c>
      <c r="AQ73" s="85">
        <v>257855600</v>
      </c>
      <c r="AR73" s="35"/>
      <c r="AS73" s="35">
        <v>501667900</v>
      </c>
      <c r="AT73" s="35">
        <v>371234200</v>
      </c>
      <c r="AU73" s="35">
        <v>130433700</v>
      </c>
      <c r="AV73" s="35">
        <v>371234200</v>
      </c>
      <c r="AW73" s="35">
        <v>3382005.23</v>
      </c>
      <c r="AX73" s="36"/>
      <c r="AY73" s="35">
        <v>501667899.95999998</v>
      </c>
      <c r="AZ73" s="35">
        <v>371234200</v>
      </c>
      <c r="BA73" s="35"/>
      <c r="BB73" s="35">
        <v>130433699.95999999</v>
      </c>
      <c r="BC73" s="35">
        <v>26.00001</v>
      </c>
      <c r="BD73" s="35">
        <v>3382005.23</v>
      </c>
      <c r="BE73" s="35"/>
      <c r="BF73" s="85">
        <v>371234200</v>
      </c>
      <c r="BG73" s="27"/>
      <c r="BH73" s="36">
        <v>371234200</v>
      </c>
      <c r="BI73" s="85">
        <v>371234200</v>
      </c>
      <c r="BJ73" s="35"/>
      <c r="BK73" s="35">
        <v>133578948</v>
      </c>
      <c r="BL73" s="35">
        <v>126900000</v>
      </c>
      <c r="BM73" s="35">
        <v>6678948</v>
      </c>
      <c r="BN73" s="35">
        <v>126900000</v>
      </c>
      <c r="BO73" s="35">
        <v>72118</v>
      </c>
      <c r="BP73" s="36"/>
      <c r="BQ73" s="35">
        <v>133578948</v>
      </c>
      <c r="BR73" s="35">
        <v>126900000</v>
      </c>
      <c r="BS73" s="35"/>
      <c r="BT73" s="35">
        <v>6678948</v>
      </c>
      <c r="BU73" s="35">
        <v>5</v>
      </c>
      <c r="BV73" s="35">
        <v>72118</v>
      </c>
      <c r="BW73" s="35"/>
      <c r="BX73" s="85">
        <v>126900000</v>
      </c>
      <c r="BY73" s="27"/>
      <c r="BZ73" s="36">
        <v>126900000</v>
      </c>
      <c r="CA73" s="85">
        <v>126900000</v>
      </c>
      <c r="CB73" s="35"/>
      <c r="CC73" s="35">
        <v>105872659.34</v>
      </c>
      <c r="CD73" s="35">
        <v>25923200</v>
      </c>
      <c r="CE73" s="35">
        <v>79949459.340000004</v>
      </c>
      <c r="CF73" s="35">
        <v>25923200</v>
      </c>
      <c r="CG73" s="35"/>
      <c r="CH73" s="36"/>
      <c r="CI73" s="35">
        <v>105872659.34</v>
      </c>
      <c r="CJ73" s="35">
        <v>25923200</v>
      </c>
      <c r="CK73" s="35"/>
      <c r="CL73" s="35">
        <v>79949459.340000004</v>
      </c>
      <c r="CM73" s="35">
        <v>75.514740000000003</v>
      </c>
      <c r="CN73" s="35"/>
      <c r="CO73" s="35"/>
      <c r="CP73" s="85">
        <v>25923200</v>
      </c>
      <c r="CQ73" s="27"/>
      <c r="CR73" s="36">
        <v>25923200</v>
      </c>
      <c r="CS73" s="85">
        <v>25923200</v>
      </c>
      <c r="CT73" s="35"/>
      <c r="CU73" s="35"/>
      <c r="CV73" s="35"/>
      <c r="CW73" s="35"/>
      <c r="CX73" s="35"/>
      <c r="CY73" s="35"/>
      <c r="CZ73" s="36"/>
      <c r="DA73" s="35"/>
      <c r="DB73" s="35"/>
      <c r="DC73" s="35"/>
      <c r="DD73" s="35"/>
      <c r="DE73" s="35"/>
      <c r="DF73" s="35"/>
      <c r="DG73" s="35"/>
      <c r="DH73" s="85"/>
      <c r="DI73" s="27"/>
      <c r="DJ73" s="36"/>
      <c r="DK73" s="85"/>
      <c r="DL73" s="35"/>
      <c r="DM73" s="35"/>
      <c r="DN73" s="35"/>
      <c r="DO73" s="35"/>
      <c r="DP73" s="35"/>
      <c r="DQ73" s="35"/>
      <c r="DR73" s="36"/>
      <c r="DS73" s="35"/>
      <c r="DT73" s="35"/>
      <c r="DU73" s="35"/>
      <c r="DV73" s="35"/>
      <c r="DW73" s="35"/>
      <c r="DX73" s="35"/>
      <c r="DY73" s="35"/>
      <c r="DZ73" s="85"/>
      <c r="EA73" s="27"/>
      <c r="EB73" s="36"/>
      <c r="EC73" s="85"/>
      <c r="ED73" s="35"/>
      <c r="EE73" s="35">
        <v>100312100</v>
      </c>
      <c r="EF73" s="35">
        <v>96299600</v>
      </c>
      <c r="EG73" s="35">
        <v>4012500</v>
      </c>
      <c r="EH73" s="35">
        <v>96299600</v>
      </c>
      <c r="EI73" s="35"/>
      <c r="EJ73" s="36"/>
      <c r="EK73" s="35">
        <v>100312100</v>
      </c>
      <c r="EL73" s="35">
        <v>96299600</v>
      </c>
      <c r="EM73" s="35"/>
      <c r="EN73" s="35">
        <v>4012500</v>
      </c>
      <c r="EO73" s="35">
        <v>4.0000200000000001</v>
      </c>
      <c r="EP73" s="35"/>
      <c r="EQ73" s="35"/>
      <c r="ER73" s="85">
        <v>96299600</v>
      </c>
      <c r="ES73" s="27"/>
      <c r="ET73" s="36">
        <v>96299600</v>
      </c>
      <c r="EU73" s="85">
        <v>96299600</v>
      </c>
      <c r="EV73" s="35"/>
      <c r="EW73" s="35">
        <v>254179900</v>
      </c>
      <c r="EX73" s="35">
        <v>130391100</v>
      </c>
      <c r="EY73" s="35">
        <v>123788800</v>
      </c>
      <c r="EZ73" s="35">
        <v>130391100</v>
      </c>
      <c r="FA73" s="35">
        <v>0</v>
      </c>
      <c r="FB73" s="36"/>
      <c r="FC73" s="35">
        <v>254179900</v>
      </c>
      <c r="FD73" s="35">
        <v>130391100</v>
      </c>
      <c r="FE73" s="35"/>
      <c r="FF73" s="35">
        <v>123788800</v>
      </c>
      <c r="FG73" s="35">
        <v>48.701250000000002</v>
      </c>
      <c r="FH73" s="35">
        <v>0</v>
      </c>
      <c r="FI73" s="35"/>
      <c r="FJ73" s="85">
        <v>130391100</v>
      </c>
      <c r="FK73" s="27"/>
      <c r="FL73" s="36">
        <v>130391100</v>
      </c>
      <c r="FM73" s="85">
        <v>130391100</v>
      </c>
      <c r="FN73" s="35"/>
      <c r="FO73" s="35"/>
      <c r="FP73" s="35"/>
      <c r="FQ73" s="35"/>
      <c r="FR73" s="35"/>
      <c r="FS73" s="35">
        <v>712135.64</v>
      </c>
      <c r="FT73" s="36"/>
      <c r="FU73" s="35"/>
      <c r="FV73" s="35"/>
      <c r="FW73" s="35"/>
      <c r="FX73" s="35"/>
      <c r="FY73" s="35"/>
      <c r="FZ73" s="35">
        <v>712135.64</v>
      </c>
      <c r="GA73" s="35"/>
      <c r="GB73" s="85"/>
      <c r="GC73" s="27"/>
      <c r="GD73" s="36"/>
      <c r="GE73" s="85"/>
      <c r="GF73" s="35"/>
      <c r="GG73" s="35">
        <v>34270300</v>
      </c>
      <c r="GH73" s="35">
        <v>25360000</v>
      </c>
      <c r="GI73" s="35">
        <v>8910300</v>
      </c>
      <c r="GJ73" s="35">
        <v>25357607.73</v>
      </c>
      <c r="GK73" s="35"/>
      <c r="GL73" s="36"/>
      <c r="GM73" s="35">
        <v>34267067.200000003</v>
      </c>
      <c r="GN73" s="35">
        <v>25357607.73</v>
      </c>
      <c r="GO73" s="35"/>
      <c r="GP73" s="35">
        <v>8909459.4700000007</v>
      </c>
      <c r="GQ73" s="35">
        <v>26.000060000000001</v>
      </c>
      <c r="GR73" s="35"/>
      <c r="GS73" s="35"/>
      <c r="GT73" s="85">
        <v>25357607.73</v>
      </c>
      <c r="GU73" s="27"/>
      <c r="GV73" s="36">
        <v>25360000</v>
      </c>
      <c r="GW73" s="85">
        <v>25360000</v>
      </c>
      <c r="GX73" s="35"/>
      <c r="GY73" s="35"/>
      <c r="GZ73" s="35"/>
      <c r="HA73" s="35"/>
      <c r="HB73" s="35"/>
      <c r="HC73" s="35"/>
      <c r="HD73" s="36"/>
      <c r="HE73" s="35"/>
      <c r="HF73" s="35"/>
      <c r="HG73" s="35"/>
      <c r="HH73" s="35"/>
      <c r="HI73" s="35"/>
      <c r="HJ73" s="35"/>
      <c r="HK73" s="35"/>
      <c r="HL73" s="85"/>
      <c r="HM73" s="27"/>
      <c r="HN73" s="36"/>
      <c r="HO73" s="85"/>
      <c r="HP73" s="35"/>
      <c r="HQ73" s="35"/>
      <c r="HR73" s="35"/>
      <c r="HS73" s="35"/>
      <c r="HT73" s="35"/>
      <c r="HU73" s="35"/>
      <c r="HV73" s="36"/>
      <c r="HW73" s="35"/>
      <c r="HX73" s="35"/>
      <c r="HY73" s="35"/>
      <c r="HZ73" s="35"/>
      <c r="IA73" s="35"/>
      <c r="IB73" s="35"/>
      <c r="IC73" s="35"/>
      <c r="ID73" s="85"/>
      <c r="IE73" s="27"/>
      <c r="IF73" s="36"/>
      <c r="IG73" s="85"/>
      <c r="IH73" s="35"/>
      <c r="II73" s="35"/>
      <c r="IJ73" s="35"/>
      <c r="IK73" s="35"/>
      <c r="IL73" s="35"/>
      <c r="IM73" s="35"/>
      <c r="IN73" s="36"/>
      <c r="IO73" s="35"/>
      <c r="IP73" s="35"/>
      <c r="IQ73" s="35"/>
      <c r="IR73" s="35"/>
      <c r="IS73" s="35"/>
      <c r="IT73" s="35"/>
      <c r="IU73" s="35"/>
      <c r="IV73" s="85"/>
      <c r="IW73" s="27"/>
      <c r="IX73" s="36"/>
      <c r="IY73" s="85"/>
      <c r="IZ73" s="35"/>
      <c r="JA73" s="35"/>
      <c r="JB73" s="35"/>
      <c r="JC73" s="35"/>
      <c r="JD73" s="35"/>
      <c r="JE73" s="35"/>
      <c r="JF73" s="36"/>
      <c r="JG73" s="35"/>
      <c r="JH73" s="35"/>
      <c r="JI73" s="35"/>
      <c r="JJ73" s="35"/>
      <c r="JK73" s="35"/>
      <c r="JL73" s="35"/>
      <c r="JM73" s="35"/>
      <c r="JN73" s="85"/>
      <c r="JO73" s="27"/>
      <c r="JP73" s="36"/>
      <c r="JQ73" s="85"/>
      <c r="JR73" s="35"/>
      <c r="JS73" s="35"/>
      <c r="JT73" s="35"/>
      <c r="JU73" s="35"/>
      <c r="JV73" s="35"/>
      <c r="JW73" s="35"/>
      <c r="JX73" s="36"/>
      <c r="JY73" s="35"/>
      <c r="JZ73" s="35"/>
      <c r="KA73" s="35"/>
      <c r="KB73" s="35"/>
      <c r="KC73" s="35"/>
      <c r="KD73" s="35"/>
      <c r="KE73" s="35"/>
      <c r="KF73" s="85"/>
      <c r="KG73" s="27"/>
      <c r="KH73" s="36"/>
      <c r="KI73" s="85"/>
      <c r="KJ73" s="35"/>
      <c r="KK73" s="35">
        <v>4100900</v>
      </c>
      <c r="KL73" s="35">
        <v>3034700</v>
      </c>
      <c r="KM73" s="35">
        <v>1066200</v>
      </c>
      <c r="KN73" s="35">
        <v>3034700</v>
      </c>
      <c r="KO73" s="35"/>
      <c r="KP73" s="36"/>
      <c r="KQ73" s="35">
        <v>4100900</v>
      </c>
      <c r="KR73" s="35">
        <v>3034700</v>
      </c>
      <c r="KS73" s="35"/>
      <c r="KT73" s="35">
        <v>1066200</v>
      </c>
      <c r="KU73" s="35">
        <v>25.999169999999999</v>
      </c>
      <c r="KV73" s="35"/>
      <c r="KW73" s="35"/>
      <c r="KX73" s="85">
        <v>3034700</v>
      </c>
      <c r="KY73" s="27"/>
      <c r="KZ73" s="36">
        <v>3034700</v>
      </c>
      <c r="LA73" s="85">
        <v>3034700</v>
      </c>
      <c r="LB73" s="35"/>
      <c r="LC73" s="35"/>
      <c r="LD73" s="35"/>
      <c r="LE73" s="35"/>
      <c r="LF73" s="35"/>
      <c r="LG73" s="35"/>
      <c r="LH73" s="36"/>
      <c r="LI73" s="35"/>
      <c r="LJ73" s="35"/>
      <c r="LK73" s="35"/>
      <c r="LL73" s="35"/>
      <c r="LM73" s="35"/>
      <c r="LN73" s="35"/>
      <c r="LO73" s="35"/>
      <c r="LP73" s="85"/>
      <c r="LQ73" s="27"/>
      <c r="LR73" s="36"/>
      <c r="LS73" s="85"/>
      <c r="LT73" s="35"/>
      <c r="LU73" s="35"/>
      <c r="LV73" s="35"/>
      <c r="LW73" s="35"/>
      <c r="LX73" s="35"/>
      <c r="LY73" s="35"/>
      <c r="LZ73" s="36"/>
      <c r="MA73" s="35"/>
      <c r="MB73" s="35"/>
      <c r="MC73" s="35"/>
      <c r="MD73" s="35"/>
      <c r="ME73" s="35"/>
      <c r="MF73" s="35"/>
      <c r="MG73" s="35"/>
      <c r="MH73" s="85"/>
      <c r="MI73" s="27"/>
      <c r="MJ73" s="36"/>
      <c r="MK73" s="85"/>
      <c r="ML73" s="35"/>
      <c r="MM73" s="35"/>
      <c r="MN73" s="35"/>
      <c r="MO73" s="35"/>
      <c r="MP73" s="35"/>
      <c r="MQ73" s="35"/>
      <c r="MR73" s="36"/>
      <c r="MS73" s="35"/>
      <c r="MT73" s="35"/>
      <c r="MU73" s="35"/>
      <c r="MV73" s="35"/>
      <c r="MW73" s="35"/>
      <c r="MX73" s="35"/>
      <c r="MY73" s="35"/>
      <c r="MZ73" s="85"/>
      <c r="NA73" s="27"/>
      <c r="NB73" s="36"/>
      <c r="NC73" s="85"/>
      <c r="ND73" s="35"/>
      <c r="NE73" s="35">
        <v>832200</v>
      </c>
      <c r="NF73" s="35">
        <v>615800</v>
      </c>
      <c r="NG73" s="35">
        <v>216400</v>
      </c>
      <c r="NH73" s="35">
        <v>615800</v>
      </c>
      <c r="NI73" s="35"/>
      <c r="NJ73" s="36"/>
      <c r="NK73" s="35">
        <v>832200</v>
      </c>
      <c r="NL73" s="35">
        <v>615800</v>
      </c>
      <c r="NM73" s="35"/>
      <c r="NN73" s="35">
        <v>216400</v>
      </c>
      <c r="NO73" s="35">
        <v>26.003360000000001</v>
      </c>
      <c r="NP73" s="35"/>
      <c r="NQ73" s="35"/>
      <c r="NR73" s="85">
        <v>615800</v>
      </c>
      <c r="NS73" s="27"/>
      <c r="NT73" s="36">
        <v>615800</v>
      </c>
      <c r="NU73" s="85">
        <v>615800</v>
      </c>
      <c r="NV73" s="35"/>
      <c r="NW73" s="35"/>
      <c r="NX73" s="35"/>
      <c r="NY73" s="35"/>
      <c r="NZ73" s="35"/>
      <c r="OA73" s="35"/>
      <c r="OB73" s="36"/>
      <c r="OC73" s="35"/>
      <c r="OD73" s="35"/>
      <c r="OE73" s="35"/>
      <c r="OF73" s="35"/>
      <c r="OG73" s="35"/>
      <c r="OH73" s="35"/>
      <c r="OI73" s="35"/>
      <c r="OJ73" s="85"/>
      <c r="OK73" s="27"/>
      <c r="OL73" s="36"/>
      <c r="OM73" s="85"/>
      <c r="ON73" s="35"/>
      <c r="OO73" s="35"/>
      <c r="OP73" s="35"/>
      <c r="OQ73" s="35"/>
      <c r="OR73" s="35"/>
      <c r="OS73" s="35">
        <v>177574.35</v>
      </c>
      <c r="OT73" s="36"/>
      <c r="OU73" s="35"/>
      <c r="OV73" s="35"/>
      <c r="OW73" s="35"/>
      <c r="OX73" s="35"/>
      <c r="OY73" s="35"/>
      <c r="OZ73" s="35">
        <v>177574.35</v>
      </c>
      <c r="PA73" s="35"/>
      <c r="PB73" s="85"/>
      <c r="PC73" s="27"/>
      <c r="PD73" s="36"/>
      <c r="PE73" s="85"/>
      <c r="PF73" s="35"/>
      <c r="PG73" s="35"/>
      <c r="PH73" s="35"/>
      <c r="PI73" s="35"/>
      <c r="PJ73" s="35"/>
      <c r="PK73" s="35"/>
      <c r="PL73" s="36"/>
      <c r="PM73" s="35"/>
      <c r="PN73" s="35"/>
      <c r="PO73" s="35"/>
      <c r="PP73" s="35"/>
      <c r="PQ73" s="35"/>
      <c r="PR73" s="35"/>
      <c r="PS73" s="35"/>
      <c r="PT73" s="85"/>
      <c r="PU73" s="27"/>
      <c r="PV73" s="36"/>
      <c r="PW73" s="85"/>
      <c r="PX73" s="35"/>
      <c r="PY73" s="35"/>
      <c r="PZ73" s="35"/>
      <c r="QA73" s="35"/>
      <c r="QB73" s="35"/>
      <c r="QC73" s="35"/>
      <c r="QD73" s="36"/>
      <c r="QE73" s="35"/>
      <c r="QF73" s="35"/>
      <c r="QG73" s="35"/>
      <c r="QH73" s="35"/>
      <c r="QI73" s="35"/>
      <c r="QJ73" s="35"/>
      <c r="QK73" s="35"/>
      <c r="QL73" s="85"/>
      <c r="QM73" s="27"/>
      <c r="QN73" s="36"/>
      <c r="QO73" s="85"/>
      <c r="QP73" s="35"/>
      <c r="QQ73" s="35"/>
      <c r="QR73" s="35"/>
      <c r="QS73" s="35"/>
      <c r="QT73" s="35"/>
      <c r="QU73" s="35"/>
      <c r="QV73" s="36"/>
      <c r="QW73" s="35"/>
      <c r="QX73" s="35"/>
      <c r="QY73" s="35"/>
      <c r="QZ73" s="35"/>
      <c r="RA73" s="35"/>
      <c r="RB73" s="35"/>
      <c r="RC73" s="35"/>
      <c r="RD73" s="85"/>
      <c r="RE73" s="27"/>
      <c r="RF73" s="36"/>
      <c r="RG73" s="85"/>
      <c r="RH73" s="35"/>
      <c r="RI73" s="35"/>
      <c r="RJ73" s="35"/>
      <c r="RK73" s="35"/>
      <c r="RL73" s="35"/>
      <c r="RM73" s="35">
        <v>3838586.9</v>
      </c>
      <c r="RN73" s="36"/>
      <c r="RO73" s="35"/>
      <c r="RP73" s="35"/>
      <c r="RQ73" s="35"/>
      <c r="RR73" s="35"/>
      <c r="RS73" s="35"/>
      <c r="RT73" s="35">
        <v>3838586.9</v>
      </c>
      <c r="RU73" s="35"/>
      <c r="RV73" s="85"/>
      <c r="RW73" s="27"/>
      <c r="RX73" s="36"/>
      <c r="RY73" s="85"/>
      <c r="RZ73" s="35"/>
      <c r="SA73" s="35"/>
      <c r="SB73" s="35"/>
      <c r="SC73" s="35"/>
      <c r="SD73" s="35"/>
      <c r="SE73" s="35"/>
      <c r="SF73" s="36"/>
      <c r="SG73" s="35"/>
      <c r="SH73" s="35"/>
      <c r="SI73" s="35"/>
      <c r="SJ73" s="35"/>
      <c r="SK73" s="35"/>
      <c r="SL73" s="35"/>
      <c r="SM73" s="35"/>
      <c r="SN73" s="85"/>
      <c r="SO73" s="27"/>
      <c r="SP73" s="36"/>
      <c r="SQ73" s="85"/>
      <c r="SR73" s="35"/>
      <c r="SS73" s="35"/>
      <c r="ST73" s="35"/>
      <c r="SU73" s="35"/>
      <c r="SV73" s="35"/>
      <c r="SW73" s="35"/>
      <c r="SX73" s="36"/>
      <c r="SY73" s="35"/>
      <c r="SZ73" s="35"/>
      <c r="TA73" s="35"/>
      <c r="TB73" s="35"/>
      <c r="TC73" s="35"/>
      <c r="TD73" s="35"/>
      <c r="TE73" s="35"/>
      <c r="TF73" s="85"/>
      <c r="TG73" s="27"/>
      <c r="TH73" s="36"/>
      <c r="TI73" s="85"/>
      <c r="TJ73" s="35"/>
      <c r="TK73" s="35"/>
      <c r="TL73" s="35"/>
      <c r="TM73" s="35"/>
      <c r="TN73" s="35"/>
      <c r="TO73" s="35"/>
      <c r="TP73" s="36"/>
      <c r="TQ73" s="35"/>
      <c r="TR73" s="35"/>
      <c r="TS73" s="35"/>
      <c r="TT73" s="35"/>
      <c r="TU73" s="35"/>
      <c r="TV73" s="35"/>
      <c r="TW73" s="35"/>
      <c r="TX73" s="85"/>
      <c r="TY73" s="27"/>
      <c r="TZ73" s="36"/>
      <c r="UA73" s="85"/>
      <c r="UB73" s="35"/>
      <c r="UC73" s="35">
        <v>27011500</v>
      </c>
      <c r="UD73" s="35">
        <v>27011500</v>
      </c>
      <c r="UE73" s="35"/>
      <c r="UF73" s="35">
        <v>27011410</v>
      </c>
      <c r="UG73" s="35"/>
      <c r="UH73" s="36"/>
      <c r="UI73" s="35">
        <v>27011410</v>
      </c>
      <c r="UJ73" s="35">
        <v>27011410</v>
      </c>
      <c r="UK73" s="35"/>
      <c r="UL73" s="35"/>
      <c r="UM73" s="35"/>
      <c r="UN73" s="35"/>
      <c r="UO73" s="35"/>
      <c r="UP73" s="85">
        <v>27011410</v>
      </c>
      <c r="UQ73" s="27"/>
      <c r="UR73" s="36">
        <v>27011500</v>
      </c>
      <c r="US73" s="85">
        <v>27011500</v>
      </c>
    </row>
    <row r="74" spans="1:565" x14ac:dyDescent="0.3">
      <c r="A74" s="8" t="s">
        <v>156</v>
      </c>
      <c r="B74" s="168">
        <v>60</v>
      </c>
      <c r="C74" s="13" t="s">
        <v>158</v>
      </c>
      <c r="F74" s="36">
        <v>2266898300</v>
      </c>
      <c r="G74" s="85"/>
      <c r="H74" s="35"/>
      <c r="I74" s="35">
        <v>701297400</v>
      </c>
      <c r="J74" s="35">
        <v>525973000</v>
      </c>
      <c r="K74" s="35">
        <v>175324400</v>
      </c>
      <c r="L74" s="35">
        <v>525973000</v>
      </c>
      <c r="M74" s="35">
        <v>1778535.35</v>
      </c>
      <c r="N74" s="36"/>
      <c r="O74" s="35">
        <v>701297400</v>
      </c>
      <c r="P74" s="35">
        <v>525973000</v>
      </c>
      <c r="Q74" s="35"/>
      <c r="R74" s="35">
        <v>175324400</v>
      </c>
      <c r="S74" s="35">
        <v>25.00001</v>
      </c>
      <c r="T74" s="35">
        <v>1778535.35</v>
      </c>
      <c r="U74" s="35"/>
      <c r="V74" s="85">
        <v>525973000</v>
      </c>
      <c r="W74" s="27"/>
      <c r="X74" s="36">
        <v>525973000</v>
      </c>
      <c r="Y74" s="85">
        <v>525973000</v>
      </c>
      <c r="Z74" s="35"/>
      <c r="AA74" s="35">
        <v>89439900</v>
      </c>
      <c r="AB74" s="35">
        <v>67079900</v>
      </c>
      <c r="AC74" s="35">
        <v>22360000</v>
      </c>
      <c r="AD74" s="35">
        <v>67079900</v>
      </c>
      <c r="AE74" s="35"/>
      <c r="AF74" s="36"/>
      <c r="AG74" s="35">
        <v>89439900</v>
      </c>
      <c r="AH74" s="35">
        <v>67079900</v>
      </c>
      <c r="AI74" s="35"/>
      <c r="AJ74" s="35">
        <v>22360000</v>
      </c>
      <c r="AK74" s="35">
        <v>25.000029999999999</v>
      </c>
      <c r="AL74" s="35"/>
      <c r="AM74" s="35"/>
      <c r="AN74" s="85">
        <v>67079900</v>
      </c>
      <c r="AO74" s="27"/>
      <c r="AP74" s="36">
        <v>67079900</v>
      </c>
      <c r="AQ74" s="85">
        <v>67079900</v>
      </c>
      <c r="AR74" s="35"/>
      <c r="AS74" s="35">
        <v>902909000</v>
      </c>
      <c r="AT74" s="35">
        <v>677181700</v>
      </c>
      <c r="AU74" s="35">
        <v>225727300</v>
      </c>
      <c r="AV74" s="35">
        <v>677181170.87</v>
      </c>
      <c r="AW74" s="35"/>
      <c r="AX74" s="36"/>
      <c r="AY74" s="35">
        <v>902908294.41999996</v>
      </c>
      <c r="AZ74" s="35">
        <v>677181170.82000005</v>
      </c>
      <c r="BA74" s="35"/>
      <c r="BB74" s="35">
        <v>225727123.59999999</v>
      </c>
      <c r="BC74" s="35">
        <v>25.00001</v>
      </c>
      <c r="BD74" s="35"/>
      <c r="BE74" s="35">
        <v>0.05</v>
      </c>
      <c r="BF74" s="85">
        <v>677181170.87</v>
      </c>
      <c r="BG74" s="27"/>
      <c r="BH74" s="36">
        <v>677181700</v>
      </c>
      <c r="BI74" s="85">
        <v>677181700</v>
      </c>
      <c r="BJ74" s="35"/>
      <c r="BK74" s="35">
        <v>255941800</v>
      </c>
      <c r="BL74" s="35">
        <v>243144700</v>
      </c>
      <c r="BM74" s="35">
        <v>12797100</v>
      </c>
      <c r="BN74" s="35">
        <v>243144699.99000001</v>
      </c>
      <c r="BO74" s="35"/>
      <c r="BP74" s="36"/>
      <c r="BQ74" s="35">
        <v>255941799.97999999</v>
      </c>
      <c r="BR74" s="35">
        <v>243144699.99000001</v>
      </c>
      <c r="BS74" s="35"/>
      <c r="BT74" s="35">
        <v>12797099.99</v>
      </c>
      <c r="BU74" s="35">
        <v>5</v>
      </c>
      <c r="BV74" s="35"/>
      <c r="BW74" s="35"/>
      <c r="BX74" s="85">
        <v>243144699.99000001</v>
      </c>
      <c r="BY74" s="27"/>
      <c r="BZ74" s="36">
        <v>243144700</v>
      </c>
      <c r="CA74" s="85">
        <v>243144700</v>
      </c>
      <c r="CB74" s="35"/>
      <c r="CC74" s="35">
        <v>17227600</v>
      </c>
      <c r="CD74" s="35">
        <v>12920700</v>
      </c>
      <c r="CE74" s="35">
        <v>4306900</v>
      </c>
      <c r="CF74" s="35">
        <v>11926419.49</v>
      </c>
      <c r="CG74" s="35"/>
      <c r="CH74" s="36"/>
      <c r="CI74" s="35">
        <v>15901892.65</v>
      </c>
      <c r="CJ74" s="35">
        <v>11926419.49</v>
      </c>
      <c r="CK74" s="35"/>
      <c r="CL74" s="35">
        <v>3975473.16</v>
      </c>
      <c r="CM74" s="35">
        <v>25</v>
      </c>
      <c r="CN74" s="35"/>
      <c r="CO74" s="35"/>
      <c r="CP74" s="85">
        <v>11926419.49</v>
      </c>
      <c r="CQ74" s="27"/>
      <c r="CR74" s="36">
        <v>12920700</v>
      </c>
      <c r="CS74" s="85">
        <v>12920700</v>
      </c>
      <c r="CT74" s="35"/>
      <c r="CU74" s="35">
        <v>273019800</v>
      </c>
      <c r="CV74" s="35">
        <v>262099000</v>
      </c>
      <c r="CW74" s="35">
        <v>10920800</v>
      </c>
      <c r="CX74" s="35">
        <v>262099000</v>
      </c>
      <c r="CY74" s="35"/>
      <c r="CZ74" s="36"/>
      <c r="DA74" s="35">
        <v>273019800</v>
      </c>
      <c r="DB74" s="35">
        <v>262099000</v>
      </c>
      <c r="DC74" s="35"/>
      <c r="DD74" s="35">
        <v>10920800</v>
      </c>
      <c r="DE74" s="35">
        <v>4</v>
      </c>
      <c r="DF74" s="35"/>
      <c r="DG74" s="35"/>
      <c r="DH74" s="85">
        <v>262099000</v>
      </c>
      <c r="DI74" s="27"/>
      <c r="DJ74" s="36">
        <v>262099000</v>
      </c>
      <c r="DK74" s="85">
        <v>262099000</v>
      </c>
      <c r="DL74" s="35"/>
      <c r="DM74" s="35">
        <v>321300000</v>
      </c>
      <c r="DN74" s="35">
        <v>315000000</v>
      </c>
      <c r="DO74" s="35">
        <v>6300000</v>
      </c>
      <c r="DP74" s="35">
        <v>315000000</v>
      </c>
      <c r="DQ74" s="35"/>
      <c r="DR74" s="36"/>
      <c r="DS74" s="35">
        <v>321300000</v>
      </c>
      <c r="DT74" s="35">
        <v>315000000</v>
      </c>
      <c r="DU74" s="35"/>
      <c r="DV74" s="35">
        <v>6300000</v>
      </c>
      <c r="DW74" s="35">
        <v>1.96078</v>
      </c>
      <c r="DX74" s="35"/>
      <c r="DY74" s="35"/>
      <c r="DZ74" s="85">
        <v>315000000</v>
      </c>
      <c r="EA74" s="27"/>
      <c r="EB74" s="36">
        <v>315000000</v>
      </c>
      <c r="EC74" s="85">
        <v>315000000</v>
      </c>
      <c r="ED74" s="35"/>
      <c r="EE74" s="35">
        <v>100174300</v>
      </c>
      <c r="EF74" s="35">
        <v>96167300</v>
      </c>
      <c r="EG74" s="35">
        <v>4007000</v>
      </c>
      <c r="EH74" s="35">
        <v>96167250.269999996</v>
      </c>
      <c r="EI74" s="35"/>
      <c r="EJ74" s="36"/>
      <c r="EK74" s="35">
        <v>100174248.2</v>
      </c>
      <c r="EL74" s="35">
        <v>96167250.269999996</v>
      </c>
      <c r="EM74" s="35"/>
      <c r="EN74" s="35">
        <v>4006997.93</v>
      </c>
      <c r="EO74" s="35">
        <v>4.0000299999999998</v>
      </c>
      <c r="EP74" s="35"/>
      <c r="EQ74" s="35"/>
      <c r="ER74" s="85">
        <v>96167250.269999996</v>
      </c>
      <c r="ES74" s="27"/>
      <c r="ET74" s="36">
        <v>96167300</v>
      </c>
      <c r="EU74" s="85">
        <v>96167300</v>
      </c>
      <c r="EV74" s="35"/>
      <c r="EW74" s="35">
        <v>33193470</v>
      </c>
      <c r="EX74" s="35">
        <v>24895100</v>
      </c>
      <c r="EY74" s="35">
        <v>8298370</v>
      </c>
      <c r="EZ74" s="35">
        <v>24895100</v>
      </c>
      <c r="FA74" s="35"/>
      <c r="FB74" s="36"/>
      <c r="FC74" s="35">
        <v>33193470</v>
      </c>
      <c r="FD74" s="35">
        <v>24895100</v>
      </c>
      <c r="FE74" s="35"/>
      <c r="FF74" s="35">
        <v>8298370</v>
      </c>
      <c r="FG74" s="35">
        <v>25.00001</v>
      </c>
      <c r="FH74" s="35"/>
      <c r="FI74" s="35"/>
      <c r="FJ74" s="85">
        <v>24895100</v>
      </c>
      <c r="FK74" s="27"/>
      <c r="FL74" s="36">
        <v>24895100</v>
      </c>
      <c r="FM74" s="85">
        <v>24895100</v>
      </c>
      <c r="FN74" s="35"/>
      <c r="FO74" s="35"/>
      <c r="FP74" s="35"/>
      <c r="FQ74" s="35"/>
      <c r="FR74" s="35"/>
      <c r="FS74" s="35">
        <v>27000</v>
      </c>
      <c r="FT74" s="36"/>
      <c r="FU74" s="35"/>
      <c r="FV74" s="35"/>
      <c r="FW74" s="35"/>
      <c r="FX74" s="35"/>
      <c r="FY74" s="35"/>
      <c r="FZ74" s="35">
        <v>27000</v>
      </c>
      <c r="GA74" s="35"/>
      <c r="GB74" s="85"/>
      <c r="GC74" s="27"/>
      <c r="GD74" s="36"/>
      <c r="GE74" s="85"/>
      <c r="GF74" s="35"/>
      <c r="GG74" s="35">
        <v>25422800</v>
      </c>
      <c r="GH74" s="35">
        <v>19067000</v>
      </c>
      <c r="GI74" s="35">
        <v>6355800</v>
      </c>
      <c r="GJ74" s="35">
        <v>18139633.530000001</v>
      </c>
      <c r="GK74" s="35"/>
      <c r="GL74" s="36"/>
      <c r="GM74" s="35">
        <v>24186306.82</v>
      </c>
      <c r="GN74" s="35">
        <v>18139633.52</v>
      </c>
      <c r="GO74" s="35"/>
      <c r="GP74" s="35">
        <v>6046673.2999999998</v>
      </c>
      <c r="GQ74" s="35">
        <v>25.000399999999999</v>
      </c>
      <c r="GR74" s="35"/>
      <c r="GS74" s="35">
        <v>0.01</v>
      </c>
      <c r="GT74" s="85">
        <v>18139633.530000001</v>
      </c>
      <c r="GU74" s="27"/>
      <c r="GV74" s="36">
        <v>19067000</v>
      </c>
      <c r="GW74" s="85">
        <v>19067000</v>
      </c>
      <c r="GX74" s="35"/>
      <c r="GY74" s="35"/>
      <c r="GZ74" s="35"/>
      <c r="HA74" s="35"/>
      <c r="HB74" s="35"/>
      <c r="HC74" s="35"/>
      <c r="HD74" s="36"/>
      <c r="HE74" s="35"/>
      <c r="HF74" s="35"/>
      <c r="HG74" s="35"/>
      <c r="HH74" s="35"/>
      <c r="HI74" s="35"/>
      <c r="HJ74" s="35"/>
      <c r="HK74" s="35"/>
      <c r="HL74" s="85"/>
      <c r="HM74" s="27"/>
      <c r="HN74" s="36"/>
      <c r="HO74" s="85"/>
      <c r="HP74" s="35"/>
      <c r="HQ74" s="35"/>
      <c r="HR74" s="35"/>
      <c r="HS74" s="35"/>
      <c r="HT74" s="35"/>
      <c r="HU74" s="35"/>
      <c r="HV74" s="36"/>
      <c r="HW74" s="35"/>
      <c r="HX74" s="35"/>
      <c r="HY74" s="35"/>
      <c r="HZ74" s="35"/>
      <c r="IA74" s="35"/>
      <c r="IB74" s="35"/>
      <c r="IC74" s="35"/>
      <c r="ID74" s="85"/>
      <c r="IE74" s="27"/>
      <c r="IF74" s="36"/>
      <c r="IG74" s="85"/>
      <c r="IH74" s="35"/>
      <c r="II74" s="35"/>
      <c r="IJ74" s="35"/>
      <c r="IK74" s="35"/>
      <c r="IL74" s="35"/>
      <c r="IM74" s="35"/>
      <c r="IN74" s="36"/>
      <c r="IO74" s="35"/>
      <c r="IP74" s="35"/>
      <c r="IQ74" s="35"/>
      <c r="IR74" s="35"/>
      <c r="IS74" s="35"/>
      <c r="IT74" s="35"/>
      <c r="IU74" s="35"/>
      <c r="IV74" s="85"/>
      <c r="IW74" s="27"/>
      <c r="IX74" s="36"/>
      <c r="IY74" s="85"/>
      <c r="IZ74" s="35"/>
      <c r="JA74" s="35">
        <v>5476700</v>
      </c>
      <c r="JB74" s="35">
        <v>4107500</v>
      </c>
      <c r="JC74" s="35">
        <v>1369200</v>
      </c>
      <c r="JD74" s="35">
        <v>4107450</v>
      </c>
      <c r="JE74" s="35"/>
      <c r="JF74" s="36"/>
      <c r="JG74" s="35">
        <v>5476633.3300000001</v>
      </c>
      <c r="JH74" s="35">
        <v>4107450</v>
      </c>
      <c r="JI74" s="35"/>
      <c r="JJ74" s="35">
        <v>1369183.33</v>
      </c>
      <c r="JK74" s="35">
        <v>25.00046</v>
      </c>
      <c r="JL74" s="35"/>
      <c r="JM74" s="35"/>
      <c r="JN74" s="85">
        <v>4107450</v>
      </c>
      <c r="JO74" s="27"/>
      <c r="JP74" s="36">
        <v>4107500</v>
      </c>
      <c r="JQ74" s="85">
        <v>4107500</v>
      </c>
      <c r="JR74" s="35"/>
      <c r="JS74" s="35"/>
      <c r="JT74" s="35"/>
      <c r="JU74" s="35"/>
      <c r="JV74" s="35"/>
      <c r="JW74" s="35"/>
      <c r="JX74" s="36"/>
      <c r="JY74" s="35"/>
      <c r="JZ74" s="35"/>
      <c r="KA74" s="35"/>
      <c r="KB74" s="35"/>
      <c r="KC74" s="35"/>
      <c r="KD74" s="35"/>
      <c r="KE74" s="35"/>
      <c r="KF74" s="85"/>
      <c r="KG74" s="27"/>
      <c r="KH74" s="36"/>
      <c r="KI74" s="85"/>
      <c r="KJ74" s="35"/>
      <c r="KK74" s="35"/>
      <c r="KL74" s="35"/>
      <c r="KM74" s="35"/>
      <c r="KN74" s="35"/>
      <c r="KO74" s="35"/>
      <c r="KP74" s="36"/>
      <c r="KQ74" s="35"/>
      <c r="KR74" s="35"/>
      <c r="KS74" s="35"/>
      <c r="KT74" s="35"/>
      <c r="KU74" s="35"/>
      <c r="KV74" s="35"/>
      <c r="KW74" s="35"/>
      <c r="KX74" s="85"/>
      <c r="KY74" s="27"/>
      <c r="KZ74" s="36"/>
      <c r="LA74" s="85"/>
      <c r="LB74" s="35"/>
      <c r="LC74" s="35"/>
      <c r="LD74" s="35"/>
      <c r="LE74" s="35"/>
      <c r="LF74" s="35"/>
      <c r="LG74" s="35"/>
      <c r="LH74" s="36"/>
      <c r="LI74" s="35"/>
      <c r="LJ74" s="35"/>
      <c r="LK74" s="35"/>
      <c r="LL74" s="35"/>
      <c r="LM74" s="35"/>
      <c r="LN74" s="35"/>
      <c r="LO74" s="35"/>
      <c r="LP74" s="85"/>
      <c r="LQ74" s="27"/>
      <c r="LR74" s="36"/>
      <c r="LS74" s="85"/>
      <c r="LT74" s="35"/>
      <c r="LU74" s="35"/>
      <c r="LV74" s="35"/>
      <c r="LW74" s="35"/>
      <c r="LX74" s="35"/>
      <c r="LY74" s="35"/>
      <c r="LZ74" s="36"/>
      <c r="MA74" s="35"/>
      <c r="MB74" s="35"/>
      <c r="MC74" s="35"/>
      <c r="MD74" s="35"/>
      <c r="ME74" s="35"/>
      <c r="MF74" s="35"/>
      <c r="MG74" s="35"/>
      <c r="MH74" s="85"/>
      <c r="MI74" s="27"/>
      <c r="MJ74" s="36"/>
      <c r="MK74" s="85"/>
      <c r="ML74" s="35"/>
      <c r="MM74" s="35"/>
      <c r="MN74" s="35"/>
      <c r="MO74" s="35"/>
      <c r="MP74" s="35"/>
      <c r="MQ74" s="35"/>
      <c r="MR74" s="36"/>
      <c r="MS74" s="35"/>
      <c r="MT74" s="35"/>
      <c r="MU74" s="35"/>
      <c r="MV74" s="35"/>
      <c r="MW74" s="35"/>
      <c r="MX74" s="35"/>
      <c r="MY74" s="35"/>
      <c r="MZ74" s="85"/>
      <c r="NA74" s="27"/>
      <c r="NB74" s="36"/>
      <c r="NC74" s="85"/>
      <c r="ND74" s="35"/>
      <c r="NE74" s="35"/>
      <c r="NF74" s="35"/>
      <c r="NG74" s="35"/>
      <c r="NH74" s="35"/>
      <c r="NI74" s="35"/>
      <c r="NJ74" s="36"/>
      <c r="NK74" s="35"/>
      <c r="NL74" s="35"/>
      <c r="NM74" s="35"/>
      <c r="NN74" s="35"/>
      <c r="NO74" s="35"/>
      <c r="NP74" s="35"/>
      <c r="NQ74" s="35"/>
      <c r="NR74" s="85"/>
      <c r="NS74" s="27"/>
      <c r="NT74" s="36"/>
      <c r="NU74" s="85"/>
      <c r="NV74" s="35"/>
      <c r="NW74" s="35"/>
      <c r="NX74" s="35"/>
      <c r="NY74" s="35"/>
      <c r="NZ74" s="35"/>
      <c r="OA74" s="35"/>
      <c r="OB74" s="36"/>
      <c r="OC74" s="35"/>
      <c r="OD74" s="35"/>
      <c r="OE74" s="35"/>
      <c r="OF74" s="35"/>
      <c r="OG74" s="35"/>
      <c r="OH74" s="35"/>
      <c r="OI74" s="35"/>
      <c r="OJ74" s="85"/>
      <c r="OK74" s="27"/>
      <c r="OL74" s="36"/>
      <c r="OM74" s="85"/>
      <c r="ON74" s="35"/>
      <c r="OO74" s="35"/>
      <c r="OP74" s="35"/>
      <c r="OQ74" s="35"/>
      <c r="OR74" s="35"/>
      <c r="OS74" s="35">
        <v>16926559.600000001</v>
      </c>
      <c r="OT74" s="36"/>
      <c r="OU74" s="35"/>
      <c r="OV74" s="35"/>
      <c r="OW74" s="35"/>
      <c r="OX74" s="35"/>
      <c r="OY74" s="35"/>
      <c r="OZ74" s="35">
        <v>16901303</v>
      </c>
      <c r="PA74" s="35">
        <v>25256.6</v>
      </c>
      <c r="PB74" s="85"/>
      <c r="PC74" s="27"/>
      <c r="PD74" s="36"/>
      <c r="PE74" s="85"/>
      <c r="PF74" s="35"/>
      <c r="PG74" s="35"/>
      <c r="PH74" s="35"/>
      <c r="PI74" s="35"/>
      <c r="PJ74" s="35"/>
      <c r="PK74" s="35"/>
      <c r="PL74" s="36"/>
      <c r="PM74" s="35"/>
      <c r="PN74" s="35"/>
      <c r="PO74" s="35"/>
      <c r="PP74" s="35"/>
      <c r="PQ74" s="35"/>
      <c r="PR74" s="35"/>
      <c r="PS74" s="35"/>
      <c r="PT74" s="85"/>
      <c r="PU74" s="27"/>
      <c r="PV74" s="36"/>
      <c r="PW74" s="85"/>
      <c r="PX74" s="35"/>
      <c r="PY74" s="35"/>
      <c r="PZ74" s="35"/>
      <c r="QA74" s="35"/>
      <c r="QB74" s="35"/>
      <c r="QC74" s="35"/>
      <c r="QD74" s="36"/>
      <c r="QE74" s="35"/>
      <c r="QF74" s="35"/>
      <c r="QG74" s="35"/>
      <c r="QH74" s="35"/>
      <c r="QI74" s="35"/>
      <c r="QJ74" s="35"/>
      <c r="QK74" s="35"/>
      <c r="QL74" s="85"/>
      <c r="QM74" s="27"/>
      <c r="QN74" s="36"/>
      <c r="QO74" s="85"/>
      <c r="QP74" s="35"/>
      <c r="QQ74" s="35">
        <v>3306666.5</v>
      </c>
      <c r="QR74" s="35">
        <v>2480000</v>
      </c>
      <c r="QS74" s="35">
        <v>826666.5</v>
      </c>
      <c r="QT74" s="35">
        <v>2480000</v>
      </c>
      <c r="QU74" s="35"/>
      <c r="QV74" s="36"/>
      <c r="QW74" s="35">
        <v>3306666.5</v>
      </c>
      <c r="QX74" s="35">
        <v>2480000</v>
      </c>
      <c r="QY74" s="35"/>
      <c r="QZ74" s="35">
        <v>826666.5</v>
      </c>
      <c r="RA74" s="35">
        <v>25</v>
      </c>
      <c r="RB74" s="35"/>
      <c r="RC74" s="35"/>
      <c r="RD74" s="85">
        <v>2480000</v>
      </c>
      <c r="RE74" s="27"/>
      <c r="RF74" s="36">
        <v>2480000</v>
      </c>
      <c r="RG74" s="85">
        <v>2480000</v>
      </c>
      <c r="RH74" s="35"/>
      <c r="RI74" s="35"/>
      <c r="RJ74" s="35"/>
      <c r="RK74" s="35"/>
      <c r="RL74" s="35"/>
      <c r="RM74" s="35">
        <v>636440.93000000005</v>
      </c>
      <c r="RN74" s="36"/>
      <c r="RO74" s="35"/>
      <c r="RP74" s="35"/>
      <c r="RQ74" s="35"/>
      <c r="RR74" s="35"/>
      <c r="RS74" s="35"/>
      <c r="RT74" s="35">
        <v>636440.93000000005</v>
      </c>
      <c r="RU74" s="35"/>
      <c r="RV74" s="85"/>
      <c r="RW74" s="27"/>
      <c r="RX74" s="36"/>
      <c r="RY74" s="85"/>
      <c r="RZ74" s="35"/>
      <c r="SA74" s="35"/>
      <c r="SB74" s="35"/>
      <c r="SC74" s="35"/>
      <c r="SD74" s="35"/>
      <c r="SE74" s="35"/>
      <c r="SF74" s="36"/>
      <c r="SG74" s="35"/>
      <c r="SH74" s="35"/>
      <c r="SI74" s="35"/>
      <c r="SJ74" s="35"/>
      <c r="SK74" s="35"/>
      <c r="SL74" s="35"/>
      <c r="SM74" s="35"/>
      <c r="SN74" s="85"/>
      <c r="SO74" s="27"/>
      <c r="SP74" s="36"/>
      <c r="SQ74" s="85"/>
      <c r="SR74" s="35"/>
      <c r="SS74" s="35"/>
      <c r="ST74" s="35"/>
      <c r="SU74" s="35"/>
      <c r="SV74" s="35"/>
      <c r="SW74" s="35"/>
      <c r="SX74" s="36"/>
      <c r="SY74" s="35"/>
      <c r="SZ74" s="35"/>
      <c r="TA74" s="35"/>
      <c r="TB74" s="35"/>
      <c r="TC74" s="35"/>
      <c r="TD74" s="35"/>
      <c r="TE74" s="35"/>
      <c r="TF74" s="85"/>
      <c r="TG74" s="27"/>
      <c r="TH74" s="36"/>
      <c r="TI74" s="85"/>
      <c r="TJ74" s="35"/>
      <c r="TK74" s="35"/>
      <c r="TL74" s="35"/>
      <c r="TM74" s="35"/>
      <c r="TN74" s="35"/>
      <c r="TO74" s="35"/>
      <c r="TP74" s="36"/>
      <c r="TQ74" s="35"/>
      <c r="TR74" s="35"/>
      <c r="TS74" s="35"/>
      <c r="TT74" s="35"/>
      <c r="TU74" s="35"/>
      <c r="TV74" s="35"/>
      <c r="TW74" s="35"/>
      <c r="TX74" s="85"/>
      <c r="TY74" s="27"/>
      <c r="TZ74" s="36"/>
      <c r="UA74" s="85"/>
      <c r="UB74" s="35"/>
      <c r="UC74" s="35">
        <v>16782400</v>
      </c>
      <c r="UD74" s="35">
        <v>16782400</v>
      </c>
      <c r="UE74" s="35"/>
      <c r="UF74" s="35">
        <v>16782310</v>
      </c>
      <c r="UG74" s="35"/>
      <c r="UH74" s="36"/>
      <c r="UI74" s="35">
        <v>16782310</v>
      </c>
      <c r="UJ74" s="35">
        <v>16782310</v>
      </c>
      <c r="UK74" s="35"/>
      <c r="UL74" s="35"/>
      <c r="UM74" s="35"/>
      <c r="UN74" s="35"/>
      <c r="UO74" s="35"/>
      <c r="UP74" s="85">
        <v>16782310</v>
      </c>
      <c r="UQ74" s="27"/>
      <c r="UR74" s="36">
        <v>16782400</v>
      </c>
      <c r="US74" s="85">
        <v>16782400</v>
      </c>
    </row>
    <row r="75" spans="1:565" x14ac:dyDescent="0.3">
      <c r="A75" s="8" t="s">
        <v>159</v>
      </c>
      <c r="B75" s="170">
        <v>61</v>
      </c>
      <c r="C75" s="13" t="s">
        <v>161</v>
      </c>
      <c r="F75" s="36">
        <v>1692288700</v>
      </c>
      <c r="G75" s="85"/>
      <c r="H75" s="35"/>
      <c r="I75" s="35">
        <v>238144239.13</v>
      </c>
      <c r="J75" s="35">
        <v>219092700</v>
      </c>
      <c r="K75" s="35">
        <v>19051539.129999999</v>
      </c>
      <c r="L75" s="35">
        <v>219092700</v>
      </c>
      <c r="M75" s="35">
        <v>287120.95</v>
      </c>
      <c r="N75" s="36"/>
      <c r="O75" s="35">
        <v>238144239.13</v>
      </c>
      <c r="P75" s="35">
        <v>219092700</v>
      </c>
      <c r="Q75" s="35"/>
      <c r="R75" s="35">
        <v>19051539.129999999</v>
      </c>
      <c r="S75" s="35">
        <v>8</v>
      </c>
      <c r="T75" s="35">
        <v>287120.95</v>
      </c>
      <c r="U75" s="35"/>
      <c r="V75" s="85">
        <v>219092700</v>
      </c>
      <c r="W75" s="27"/>
      <c r="X75" s="36">
        <v>219092700</v>
      </c>
      <c r="Y75" s="85">
        <v>219092700</v>
      </c>
      <c r="Z75" s="35"/>
      <c r="AA75" s="35">
        <v>120613913.04000001</v>
      </c>
      <c r="AB75" s="35">
        <v>110964800</v>
      </c>
      <c r="AC75" s="35">
        <v>9649113.0399999991</v>
      </c>
      <c r="AD75" s="35">
        <v>110964800</v>
      </c>
      <c r="AE75" s="35">
        <v>311044.44</v>
      </c>
      <c r="AF75" s="36"/>
      <c r="AG75" s="35">
        <v>120613913.04000001</v>
      </c>
      <c r="AH75" s="35">
        <v>110964800</v>
      </c>
      <c r="AI75" s="35"/>
      <c r="AJ75" s="35">
        <v>9649113.0399999991</v>
      </c>
      <c r="AK75" s="35">
        <v>8</v>
      </c>
      <c r="AL75" s="35">
        <v>311044.44</v>
      </c>
      <c r="AM75" s="35"/>
      <c r="AN75" s="85">
        <v>110964800</v>
      </c>
      <c r="AO75" s="27"/>
      <c r="AP75" s="36">
        <v>110964800</v>
      </c>
      <c r="AQ75" s="85">
        <v>110964800</v>
      </c>
      <c r="AR75" s="35"/>
      <c r="AS75" s="35">
        <v>551999891.29999995</v>
      </c>
      <c r="AT75" s="35">
        <v>507839900</v>
      </c>
      <c r="AU75" s="35">
        <v>44159991.299999997</v>
      </c>
      <c r="AV75" s="35">
        <v>507839900</v>
      </c>
      <c r="AW75" s="35">
        <v>772119.2</v>
      </c>
      <c r="AX75" s="36"/>
      <c r="AY75" s="35">
        <v>551999891.29999995</v>
      </c>
      <c r="AZ75" s="35">
        <v>507839900</v>
      </c>
      <c r="BA75" s="35"/>
      <c r="BB75" s="35">
        <v>44159991.299999997</v>
      </c>
      <c r="BC75" s="35">
        <v>8</v>
      </c>
      <c r="BD75" s="35">
        <v>772119.2</v>
      </c>
      <c r="BE75" s="35"/>
      <c r="BF75" s="85">
        <v>507839900</v>
      </c>
      <c r="BG75" s="27"/>
      <c r="BH75" s="36">
        <v>507839900</v>
      </c>
      <c r="BI75" s="85">
        <v>507839900</v>
      </c>
      <c r="BJ75" s="35"/>
      <c r="BK75" s="35">
        <v>696739130.42999995</v>
      </c>
      <c r="BL75" s="35">
        <v>641000000</v>
      </c>
      <c r="BM75" s="35">
        <v>55739130.43</v>
      </c>
      <c r="BN75" s="35">
        <v>641000000</v>
      </c>
      <c r="BO75" s="35">
        <v>3832696.52</v>
      </c>
      <c r="BP75" s="36"/>
      <c r="BQ75" s="35">
        <v>696739130.42999995</v>
      </c>
      <c r="BR75" s="35">
        <v>641000000</v>
      </c>
      <c r="BS75" s="35"/>
      <c r="BT75" s="35">
        <v>55739130.43</v>
      </c>
      <c r="BU75" s="35">
        <v>8</v>
      </c>
      <c r="BV75" s="35">
        <v>3832696.52</v>
      </c>
      <c r="BW75" s="35"/>
      <c r="BX75" s="85">
        <v>641000000</v>
      </c>
      <c r="BY75" s="27"/>
      <c r="BZ75" s="36">
        <v>641000000</v>
      </c>
      <c r="CA75" s="85">
        <v>641000000</v>
      </c>
      <c r="CB75" s="35"/>
      <c r="CC75" s="35"/>
      <c r="CD75" s="35"/>
      <c r="CE75" s="35"/>
      <c r="CF75" s="35"/>
      <c r="CG75" s="35"/>
      <c r="CH75" s="36"/>
      <c r="CI75" s="35"/>
      <c r="CJ75" s="35"/>
      <c r="CK75" s="35"/>
      <c r="CL75" s="35"/>
      <c r="CM75" s="35"/>
      <c r="CN75" s="35"/>
      <c r="CO75" s="35"/>
      <c r="CP75" s="85"/>
      <c r="CQ75" s="27"/>
      <c r="CR75" s="36"/>
      <c r="CS75" s="85"/>
      <c r="CT75" s="35"/>
      <c r="CU75" s="35"/>
      <c r="CV75" s="35"/>
      <c r="CW75" s="35"/>
      <c r="CX75" s="35"/>
      <c r="CY75" s="35"/>
      <c r="CZ75" s="36"/>
      <c r="DA75" s="35"/>
      <c r="DB75" s="35"/>
      <c r="DC75" s="35"/>
      <c r="DD75" s="35"/>
      <c r="DE75" s="35"/>
      <c r="DF75" s="35"/>
      <c r="DG75" s="35"/>
      <c r="DH75" s="85"/>
      <c r="DI75" s="27"/>
      <c r="DJ75" s="36"/>
      <c r="DK75" s="85"/>
      <c r="DL75" s="35"/>
      <c r="DM75" s="35">
        <v>75419541.950000003</v>
      </c>
      <c r="DN75" s="35">
        <v>75412000</v>
      </c>
      <c r="DO75" s="35">
        <v>7541.95</v>
      </c>
      <c r="DP75" s="35">
        <v>75412000</v>
      </c>
      <c r="DQ75" s="35"/>
      <c r="DR75" s="36"/>
      <c r="DS75" s="35">
        <v>75419541.950000003</v>
      </c>
      <c r="DT75" s="35">
        <v>75412000</v>
      </c>
      <c r="DU75" s="35"/>
      <c r="DV75" s="35">
        <v>7541.95</v>
      </c>
      <c r="DW75" s="35">
        <v>0.01</v>
      </c>
      <c r="DX75" s="35"/>
      <c r="DY75" s="35"/>
      <c r="DZ75" s="85">
        <v>75412000</v>
      </c>
      <c r="EA75" s="27"/>
      <c r="EB75" s="36">
        <v>75412000</v>
      </c>
      <c r="EC75" s="85">
        <v>75412000</v>
      </c>
      <c r="ED75" s="35"/>
      <c r="EE75" s="35">
        <v>87449898.989999995</v>
      </c>
      <c r="EF75" s="35">
        <v>86575400</v>
      </c>
      <c r="EG75" s="35">
        <v>874498.99</v>
      </c>
      <c r="EH75" s="35">
        <v>86575400</v>
      </c>
      <c r="EI75" s="35"/>
      <c r="EJ75" s="36"/>
      <c r="EK75" s="35">
        <v>87449898.989999995</v>
      </c>
      <c r="EL75" s="35">
        <v>86575400</v>
      </c>
      <c r="EM75" s="35"/>
      <c r="EN75" s="35">
        <v>874498.99</v>
      </c>
      <c r="EO75" s="35">
        <v>1</v>
      </c>
      <c r="EP75" s="35"/>
      <c r="EQ75" s="35"/>
      <c r="ER75" s="85">
        <v>86575400</v>
      </c>
      <c r="ES75" s="27"/>
      <c r="ET75" s="36">
        <v>86575400</v>
      </c>
      <c r="EU75" s="85">
        <v>86575400</v>
      </c>
      <c r="EV75" s="35"/>
      <c r="EW75" s="35">
        <v>43065412.020000003</v>
      </c>
      <c r="EX75" s="35">
        <v>23569700</v>
      </c>
      <c r="EY75" s="35">
        <v>19495712.02</v>
      </c>
      <c r="EZ75" s="35">
        <v>23569700</v>
      </c>
      <c r="FA75" s="35">
        <v>1029326.99</v>
      </c>
      <c r="FB75" s="36"/>
      <c r="FC75" s="35">
        <v>43065412.020000003</v>
      </c>
      <c r="FD75" s="35">
        <v>23569700</v>
      </c>
      <c r="FE75" s="35"/>
      <c r="FF75" s="35">
        <v>19495712.02</v>
      </c>
      <c r="FG75" s="35">
        <v>45.27</v>
      </c>
      <c r="FH75" s="35">
        <v>1029326.99</v>
      </c>
      <c r="FI75" s="35"/>
      <c r="FJ75" s="85">
        <v>23569700</v>
      </c>
      <c r="FK75" s="27"/>
      <c r="FL75" s="36">
        <v>23569700</v>
      </c>
      <c r="FM75" s="85">
        <v>23569700</v>
      </c>
      <c r="FN75" s="35"/>
      <c r="FO75" s="35"/>
      <c r="FP75" s="35"/>
      <c r="FQ75" s="35"/>
      <c r="FR75" s="35"/>
      <c r="FS75" s="35">
        <v>809300</v>
      </c>
      <c r="FT75" s="36"/>
      <c r="FU75" s="35"/>
      <c r="FV75" s="35"/>
      <c r="FW75" s="35"/>
      <c r="FX75" s="35"/>
      <c r="FY75" s="35"/>
      <c r="FZ75" s="35">
        <v>809300</v>
      </c>
      <c r="GA75" s="35"/>
      <c r="GB75" s="85"/>
      <c r="GC75" s="27"/>
      <c r="GD75" s="36"/>
      <c r="GE75" s="85"/>
      <c r="GF75" s="35"/>
      <c r="GG75" s="35">
        <v>32384100</v>
      </c>
      <c r="GH75" s="35">
        <v>17811100</v>
      </c>
      <c r="GI75" s="35">
        <v>14573000</v>
      </c>
      <c r="GJ75" s="35">
        <v>15248935.460000001</v>
      </c>
      <c r="GK75" s="35"/>
      <c r="GL75" s="36"/>
      <c r="GM75" s="35">
        <v>27725578.489999998</v>
      </c>
      <c r="GN75" s="35">
        <v>15248935.460000001</v>
      </c>
      <c r="GO75" s="35"/>
      <c r="GP75" s="35">
        <v>12476643.029999999</v>
      </c>
      <c r="GQ75" s="35">
        <v>45.000480000000003</v>
      </c>
      <c r="GR75" s="35"/>
      <c r="GS75" s="35"/>
      <c r="GT75" s="85">
        <v>15248935.460000001</v>
      </c>
      <c r="GU75" s="27"/>
      <c r="GV75" s="36">
        <v>17811100</v>
      </c>
      <c r="GW75" s="85">
        <v>17811100</v>
      </c>
      <c r="GX75" s="35"/>
      <c r="GY75" s="35"/>
      <c r="GZ75" s="35"/>
      <c r="HA75" s="35"/>
      <c r="HB75" s="35"/>
      <c r="HC75" s="35"/>
      <c r="HD75" s="36"/>
      <c r="HE75" s="35"/>
      <c r="HF75" s="35"/>
      <c r="HG75" s="35"/>
      <c r="HH75" s="35"/>
      <c r="HI75" s="35"/>
      <c r="HJ75" s="35"/>
      <c r="HK75" s="35"/>
      <c r="HL75" s="85"/>
      <c r="HM75" s="27"/>
      <c r="HN75" s="36"/>
      <c r="HO75" s="85"/>
      <c r="HP75" s="35"/>
      <c r="HQ75" s="35"/>
      <c r="HR75" s="35"/>
      <c r="HS75" s="35"/>
      <c r="HT75" s="35"/>
      <c r="HU75" s="35"/>
      <c r="HV75" s="36"/>
      <c r="HW75" s="35"/>
      <c r="HX75" s="35"/>
      <c r="HY75" s="35"/>
      <c r="HZ75" s="35"/>
      <c r="IA75" s="35"/>
      <c r="IB75" s="35"/>
      <c r="IC75" s="35"/>
      <c r="ID75" s="85"/>
      <c r="IE75" s="27"/>
      <c r="IF75" s="36"/>
      <c r="IG75" s="85"/>
      <c r="IH75" s="35"/>
      <c r="II75" s="35"/>
      <c r="IJ75" s="35"/>
      <c r="IK75" s="35"/>
      <c r="IL75" s="35"/>
      <c r="IM75" s="35"/>
      <c r="IN75" s="36"/>
      <c r="IO75" s="35"/>
      <c r="IP75" s="35"/>
      <c r="IQ75" s="35"/>
      <c r="IR75" s="35"/>
      <c r="IS75" s="35"/>
      <c r="IT75" s="35"/>
      <c r="IU75" s="35"/>
      <c r="IV75" s="85"/>
      <c r="IW75" s="27"/>
      <c r="IX75" s="36"/>
      <c r="IY75" s="85"/>
      <c r="IZ75" s="35"/>
      <c r="JA75" s="35">
        <v>10691520</v>
      </c>
      <c r="JB75" s="35">
        <v>3068500</v>
      </c>
      <c r="JC75" s="35">
        <v>7623020</v>
      </c>
      <c r="JD75" s="35">
        <v>2813736.18</v>
      </c>
      <c r="JE75" s="35"/>
      <c r="JF75" s="36"/>
      <c r="JG75" s="35">
        <v>9803850.8900000006</v>
      </c>
      <c r="JH75" s="35">
        <v>2813736.18</v>
      </c>
      <c r="JI75" s="35"/>
      <c r="JJ75" s="35">
        <v>6990114.71</v>
      </c>
      <c r="JK75" s="35">
        <v>71.299679999999995</v>
      </c>
      <c r="JL75" s="35"/>
      <c r="JM75" s="35"/>
      <c r="JN75" s="85">
        <v>2813736.18</v>
      </c>
      <c r="JO75" s="27"/>
      <c r="JP75" s="36">
        <v>3068500</v>
      </c>
      <c r="JQ75" s="85">
        <v>3068500</v>
      </c>
      <c r="JR75" s="35"/>
      <c r="JS75" s="35"/>
      <c r="JT75" s="35"/>
      <c r="JU75" s="35"/>
      <c r="JV75" s="35"/>
      <c r="JW75" s="35"/>
      <c r="JX75" s="36"/>
      <c r="JY75" s="35"/>
      <c r="JZ75" s="35"/>
      <c r="KA75" s="35"/>
      <c r="KB75" s="35"/>
      <c r="KC75" s="35"/>
      <c r="KD75" s="35"/>
      <c r="KE75" s="35"/>
      <c r="KF75" s="85"/>
      <c r="KG75" s="27"/>
      <c r="KH75" s="36"/>
      <c r="KI75" s="85"/>
      <c r="KJ75" s="35"/>
      <c r="KK75" s="35"/>
      <c r="KL75" s="35"/>
      <c r="KM75" s="35"/>
      <c r="KN75" s="35"/>
      <c r="KO75" s="35"/>
      <c r="KP75" s="36"/>
      <c r="KQ75" s="35"/>
      <c r="KR75" s="35"/>
      <c r="KS75" s="35"/>
      <c r="KT75" s="35"/>
      <c r="KU75" s="35"/>
      <c r="KV75" s="35"/>
      <c r="KW75" s="35"/>
      <c r="KX75" s="85"/>
      <c r="KY75" s="27"/>
      <c r="KZ75" s="36"/>
      <c r="LA75" s="85"/>
      <c r="LB75" s="35"/>
      <c r="LC75" s="35"/>
      <c r="LD75" s="35"/>
      <c r="LE75" s="35"/>
      <c r="LF75" s="35"/>
      <c r="LG75" s="35"/>
      <c r="LH75" s="36"/>
      <c r="LI75" s="35"/>
      <c r="LJ75" s="35"/>
      <c r="LK75" s="35"/>
      <c r="LL75" s="35"/>
      <c r="LM75" s="35"/>
      <c r="LN75" s="35"/>
      <c r="LO75" s="35"/>
      <c r="LP75" s="85"/>
      <c r="LQ75" s="27"/>
      <c r="LR75" s="36"/>
      <c r="LS75" s="85"/>
      <c r="LT75" s="35"/>
      <c r="LU75" s="35"/>
      <c r="LV75" s="35"/>
      <c r="LW75" s="35"/>
      <c r="LX75" s="35"/>
      <c r="LY75" s="35"/>
      <c r="LZ75" s="36"/>
      <c r="MA75" s="35"/>
      <c r="MB75" s="35"/>
      <c r="MC75" s="35"/>
      <c r="MD75" s="35"/>
      <c r="ME75" s="35"/>
      <c r="MF75" s="35"/>
      <c r="MG75" s="35"/>
      <c r="MH75" s="85"/>
      <c r="MI75" s="27"/>
      <c r="MJ75" s="36"/>
      <c r="MK75" s="85"/>
      <c r="ML75" s="35"/>
      <c r="MM75" s="35"/>
      <c r="MN75" s="35"/>
      <c r="MO75" s="35"/>
      <c r="MP75" s="35"/>
      <c r="MQ75" s="35"/>
      <c r="MR75" s="36"/>
      <c r="MS75" s="35"/>
      <c r="MT75" s="35"/>
      <c r="MU75" s="35"/>
      <c r="MV75" s="35"/>
      <c r="MW75" s="35"/>
      <c r="MX75" s="35"/>
      <c r="MY75" s="35"/>
      <c r="MZ75" s="85"/>
      <c r="NA75" s="27"/>
      <c r="NB75" s="36"/>
      <c r="NC75" s="85"/>
      <c r="ND75" s="35"/>
      <c r="NE75" s="35"/>
      <c r="NF75" s="35"/>
      <c r="NG75" s="35"/>
      <c r="NH75" s="35"/>
      <c r="NI75" s="35"/>
      <c r="NJ75" s="36"/>
      <c r="NK75" s="35"/>
      <c r="NL75" s="35"/>
      <c r="NM75" s="35"/>
      <c r="NN75" s="35"/>
      <c r="NO75" s="35"/>
      <c r="NP75" s="35"/>
      <c r="NQ75" s="35"/>
      <c r="NR75" s="85"/>
      <c r="NS75" s="27"/>
      <c r="NT75" s="36"/>
      <c r="NU75" s="85"/>
      <c r="NV75" s="35"/>
      <c r="NW75" s="35"/>
      <c r="NX75" s="35"/>
      <c r="NY75" s="35"/>
      <c r="NZ75" s="35"/>
      <c r="OA75" s="35"/>
      <c r="OB75" s="36"/>
      <c r="OC75" s="35"/>
      <c r="OD75" s="35"/>
      <c r="OE75" s="35"/>
      <c r="OF75" s="35"/>
      <c r="OG75" s="35"/>
      <c r="OH75" s="35"/>
      <c r="OI75" s="35"/>
      <c r="OJ75" s="85"/>
      <c r="OK75" s="27"/>
      <c r="OL75" s="36"/>
      <c r="OM75" s="85"/>
      <c r="ON75" s="35"/>
      <c r="OO75" s="35"/>
      <c r="OP75" s="35"/>
      <c r="OQ75" s="35"/>
      <c r="OR75" s="35"/>
      <c r="OS75" s="35">
        <v>485400</v>
      </c>
      <c r="OT75" s="36"/>
      <c r="OU75" s="35"/>
      <c r="OV75" s="35"/>
      <c r="OW75" s="35"/>
      <c r="OX75" s="35"/>
      <c r="OY75" s="35"/>
      <c r="OZ75" s="35">
        <v>485400</v>
      </c>
      <c r="PA75" s="35"/>
      <c r="PB75" s="85"/>
      <c r="PC75" s="27"/>
      <c r="PD75" s="36"/>
      <c r="PE75" s="85"/>
      <c r="PF75" s="35"/>
      <c r="PG75" s="35"/>
      <c r="PH75" s="35"/>
      <c r="PI75" s="35"/>
      <c r="PJ75" s="35"/>
      <c r="PK75" s="35"/>
      <c r="PL75" s="36"/>
      <c r="PM75" s="35"/>
      <c r="PN75" s="35"/>
      <c r="PO75" s="35"/>
      <c r="PP75" s="35"/>
      <c r="PQ75" s="35"/>
      <c r="PR75" s="35"/>
      <c r="PS75" s="35"/>
      <c r="PT75" s="85"/>
      <c r="PU75" s="27"/>
      <c r="PV75" s="36"/>
      <c r="PW75" s="85"/>
      <c r="PX75" s="35"/>
      <c r="PY75" s="35"/>
      <c r="PZ75" s="35"/>
      <c r="QA75" s="35"/>
      <c r="QB75" s="35"/>
      <c r="QC75" s="35"/>
      <c r="QD75" s="36"/>
      <c r="QE75" s="35"/>
      <c r="QF75" s="35"/>
      <c r="QG75" s="35"/>
      <c r="QH75" s="35"/>
      <c r="QI75" s="35"/>
      <c r="QJ75" s="35"/>
      <c r="QK75" s="35"/>
      <c r="QL75" s="85"/>
      <c r="QM75" s="27"/>
      <c r="QN75" s="36"/>
      <c r="QO75" s="85"/>
      <c r="QP75" s="35"/>
      <c r="QQ75" s="35"/>
      <c r="QR75" s="35"/>
      <c r="QS75" s="35"/>
      <c r="QT75" s="35"/>
      <c r="QU75" s="35"/>
      <c r="QV75" s="36"/>
      <c r="QW75" s="35"/>
      <c r="QX75" s="35"/>
      <c r="QY75" s="35"/>
      <c r="QZ75" s="35"/>
      <c r="RA75" s="35"/>
      <c r="RB75" s="35"/>
      <c r="RC75" s="35"/>
      <c r="RD75" s="85"/>
      <c r="RE75" s="27"/>
      <c r="RF75" s="36"/>
      <c r="RG75" s="85"/>
      <c r="RH75" s="35"/>
      <c r="RI75" s="35"/>
      <c r="RJ75" s="35"/>
      <c r="RK75" s="35"/>
      <c r="RL75" s="35"/>
      <c r="RM75" s="35"/>
      <c r="RN75" s="36"/>
      <c r="RO75" s="35"/>
      <c r="RP75" s="35"/>
      <c r="RQ75" s="35"/>
      <c r="RR75" s="35"/>
      <c r="RS75" s="35"/>
      <c r="RT75" s="35"/>
      <c r="RU75" s="35"/>
      <c r="RV75" s="85"/>
      <c r="RW75" s="27"/>
      <c r="RX75" s="36"/>
      <c r="RY75" s="85"/>
      <c r="RZ75" s="35"/>
      <c r="SA75" s="35"/>
      <c r="SB75" s="35"/>
      <c r="SC75" s="35"/>
      <c r="SD75" s="35"/>
      <c r="SE75" s="35"/>
      <c r="SF75" s="36"/>
      <c r="SG75" s="35"/>
      <c r="SH75" s="35"/>
      <c r="SI75" s="35"/>
      <c r="SJ75" s="35"/>
      <c r="SK75" s="35"/>
      <c r="SL75" s="35"/>
      <c r="SM75" s="35"/>
      <c r="SN75" s="85"/>
      <c r="SO75" s="27"/>
      <c r="SP75" s="36"/>
      <c r="SQ75" s="85"/>
      <c r="SR75" s="35"/>
      <c r="SS75" s="35"/>
      <c r="ST75" s="35"/>
      <c r="SU75" s="35"/>
      <c r="SV75" s="35"/>
      <c r="SW75" s="35"/>
      <c r="SX75" s="36"/>
      <c r="SY75" s="35"/>
      <c r="SZ75" s="35"/>
      <c r="TA75" s="35"/>
      <c r="TB75" s="35"/>
      <c r="TC75" s="35"/>
      <c r="TD75" s="35"/>
      <c r="TE75" s="35"/>
      <c r="TF75" s="85"/>
      <c r="TG75" s="27"/>
      <c r="TH75" s="36"/>
      <c r="TI75" s="85"/>
      <c r="TJ75" s="35"/>
      <c r="TK75" s="35"/>
      <c r="TL75" s="35"/>
      <c r="TM75" s="35"/>
      <c r="TN75" s="35"/>
      <c r="TO75" s="35"/>
      <c r="TP75" s="36"/>
      <c r="TQ75" s="35"/>
      <c r="TR75" s="35"/>
      <c r="TS75" s="35"/>
      <c r="TT75" s="35"/>
      <c r="TU75" s="35"/>
      <c r="TV75" s="35"/>
      <c r="TW75" s="35"/>
      <c r="TX75" s="85"/>
      <c r="TY75" s="27"/>
      <c r="TZ75" s="36"/>
      <c r="UA75" s="85"/>
      <c r="UB75" s="35"/>
      <c r="UC75" s="35">
        <v>6954600</v>
      </c>
      <c r="UD75" s="35">
        <v>6954600</v>
      </c>
      <c r="UE75" s="35"/>
      <c r="UF75" s="35">
        <v>6954510</v>
      </c>
      <c r="UG75" s="35"/>
      <c r="UH75" s="36"/>
      <c r="UI75" s="35">
        <v>6954510</v>
      </c>
      <c r="UJ75" s="35">
        <v>6954510</v>
      </c>
      <c r="UK75" s="35"/>
      <c r="UL75" s="35"/>
      <c r="UM75" s="35"/>
      <c r="UN75" s="35"/>
      <c r="UO75" s="35"/>
      <c r="UP75" s="85">
        <v>6954510</v>
      </c>
      <c r="UQ75" s="27"/>
      <c r="UR75" s="36">
        <v>6954600</v>
      </c>
      <c r="US75" s="85">
        <v>6954600</v>
      </c>
    </row>
    <row r="76" spans="1:565" x14ac:dyDescent="0.3">
      <c r="A76" s="8" t="s">
        <v>162</v>
      </c>
      <c r="B76" s="170">
        <v>62</v>
      </c>
      <c r="C76" s="13" t="s">
        <v>164</v>
      </c>
      <c r="F76" s="36">
        <v>1271426000</v>
      </c>
      <c r="G76" s="85"/>
      <c r="H76" s="35"/>
      <c r="I76" s="35">
        <v>372891384.62</v>
      </c>
      <c r="J76" s="35">
        <v>242379400</v>
      </c>
      <c r="K76" s="35">
        <v>130511984.62</v>
      </c>
      <c r="L76" s="35">
        <v>242379400</v>
      </c>
      <c r="M76" s="35">
        <v>4710909.1399999997</v>
      </c>
      <c r="N76" s="36"/>
      <c r="O76" s="35">
        <v>372891384.61000001</v>
      </c>
      <c r="P76" s="35">
        <v>242379400</v>
      </c>
      <c r="Q76" s="35"/>
      <c r="R76" s="35">
        <v>130511984.61</v>
      </c>
      <c r="S76" s="35">
        <v>35</v>
      </c>
      <c r="T76" s="35">
        <v>4604524.99</v>
      </c>
      <c r="U76" s="35">
        <v>106384.15</v>
      </c>
      <c r="V76" s="85">
        <v>242379400</v>
      </c>
      <c r="W76" s="27"/>
      <c r="X76" s="36">
        <v>242379400</v>
      </c>
      <c r="Y76" s="85">
        <v>242379400</v>
      </c>
      <c r="Z76" s="35"/>
      <c r="AA76" s="35">
        <v>109995692.31</v>
      </c>
      <c r="AB76" s="35">
        <v>71497200</v>
      </c>
      <c r="AC76" s="35">
        <v>38498492.310000002</v>
      </c>
      <c r="AD76" s="35">
        <v>71497200</v>
      </c>
      <c r="AE76" s="35">
        <v>84871.8</v>
      </c>
      <c r="AF76" s="36"/>
      <c r="AG76" s="35">
        <v>109995692.31</v>
      </c>
      <c r="AH76" s="35">
        <v>71497200</v>
      </c>
      <c r="AI76" s="35"/>
      <c r="AJ76" s="35">
        <v>38498492.310000002</v>
      </c>
      <c r="AK76" s="35">
        <v>35</v>
      </c>
      <c r="AL76" s="35">
        <v>84871.8</v>
      </c>
      <c r="AM76" s="35"/>
      <c r="AN76" s="85">
        <v>71497200</v>
      </c>
      <c r="AO76" s="27"/>
      <c r="AP76" s="36">
        <v>71497200</v>
      </c>
      <c r="AQ76" s="85">
        <v>71497200</v>
      </c>
      <c r="AR76" s="35"/>
      <c r="AS76" s="35">
        <v>783597300</v>
      </c>
      <c r="AT76" s="35">
        <v>509338200</v>
      </c>
      <c r="AU76" s="35">
        <v>274259100</v>
      </c>
      <c r="AV76" s="35">
        <v>509338200</v>
      </c>
      <c r="AW76" s="35">
        <v>8584376.8900000006</v>
      </c>
      <c r="AX76" s="36"/>
      <c r="AY76" s="35">
        <v>783597299.44000006</v>
      </c>
      <c r="AZ76" s="35">
        <v>509338200</v>
      </c>
      <c r="BA76" s="35"/>
      <c r="BB76" s="35">
        <v>274259099.44</v>
      </c>
      <c r="BC76" s="35">
        <v>35.000010000000003</v>
      </c>
      <c r="BD76" s="35">
        <v>8584376.8900000006</v>
      </c>
      <c r="BE76" s="35"/>
      <c r="BF76" s="85">
        <v>509338200</v>
      </c>
      <c r="BG76" s="27"/>
      <c r="BH76" s="36">
        <v>509338200</v>
      </c>
      <c r="BI76" s="85">
        <v>509338200</v>
      </c>
      <c r="BJ76" s="35"/>
      <c r="BK76" s="35">
        <v>31368421.050000001</v>
      </c>
      <c r="BL76" s="35">
        <v>29800000</v>
      </c>
      <c r="BM76" s="35">
        <v>1568421.05</v>
      </c>
      <c r="BN76" s="35">
        <v>29800000</v>
      </c>
      <c r="BO76" s="35"/>
      <c r="BP76" s="36"/>
      <c r="BQ76" s="35">
        <v>31368421.050000001</v>
      </c>
      <c r="BR76" s="35">
        <v>29800000</v>
      </c>
      <c r="BS76" s="35"/>
      <c r="BT76" s="35">
        <v>1568421.05</v>
      </c>
      <c r="BU76" s="35">
        <v>5</v>
      </c>
      <c r="BV76" s="35"/>
      <c r="BW76" s="35"/>
      <c r="BX76" s="85">
        <v>29800000</v>
      </c>
      <c r="BY76" s="27"/>
      <c r="BZ76" s="36">
        <v>29800000</v>
      </c>
      <c r="CA76" s="85">
        <v>29800000</v>
      </c>
      <c r="CB76" s="35"/>
      <c r="CC76" s="35">
        <v>116830308</v>
      </c>
      <c r="CD76" s="35">
        <v>75939700</v>
      </c>
      <c r="CE76" s="35">
        <v>40890608</v>
      </c>
      <c r="CF76" s="35">
        <v>36800653.07</v>
      </c>
      <c r="CG76" s="35"/>
      <c r="CH76" s="36"/>
      <c r="CI76" s="35">
        <v>55317157.460000001</v>
      </c>
      <c r="CJ76" s="35">
        <v>35956152.270000003</v>
      </c>
      <c r="CK76" s="35"/>
      <c r="CL76" s="35">
        <v>19361005.190000001</v>
      </c>
      <c r="CM76" s="35">
        <v>35</v>
      </c>
      <c r="CN76" s="35"/>
      <c r="CO76" s="35">
        <v>844500.8</v>
      </c>
      <c r="CP76" s="85">
        <v>36800653.07</v>
      </c>
      <c r="CQ76" s="27"/>
      <c r="CR76" s="36">
        <v>75939700</v>
      </c>
      <c r="CS76" s="85">
        <v>75939700</v>
      </c>
      <c r="CT76" s="35"/>
      <c r="CU76" s="35">
        <v>135223300</v>
      </c>
      <c r="CV76" s="35">
        <v>116292000</v>
      </c>
      <c r="CW76" s="35">
        <v>18931300</v>
      </c>
      <c r="CX76" s="35">
        <v>81307681.420000002</v>
      </c>
      <c r="CY76" s="35"/>
      <c r="CZ76" s="36"/>
      <c r="DA76" s="35">
        <v>94543846.5</v>
      </c>
      <c r="DB76" s="35">
        <v>81307681.420000002</v>
      </c>
      <c r="DC76" s="35"/>
      <c r="DD76" s="35">
        <v>13236165.08</v>
      </c>
      <c r="DE76" s="35">
        <v>14.000030000000001</v>
      </c>
      <c r="DF76" s="35"/>
      <c r="DG76" s="35"/>
      <c r="DH76" s="85">
        <v>81307681.420000002</v>
      </c>
      <c r="DI76" s="27"/>
      <c r="DJ76" s="36">
        <v>116292000</v>
      </c>
      <c r="DK76" s="85">
        <v>116292000</v>
      </c>
      <c r="DL76" s="35"/>
      <c r="DM76" s="35"/>
      <c r="DN76" s="35"/>
      <c r="DO76" s="35"/>
      <c r="DP76" s="35"/>
      <c r="DQ76" s="35"/>
      <c r="DR76" s="36"/>
      <c r="DS76" s="35"/>
      <c r="DT76" s="35"/>
      <c r="DU76" s="35"/>
      <c r="DV76" s="35"/>
      <c r="DW76" s="35"/>
      <c r="DX76" s="35"/>
      <c r="DY76" s="35"/>
      <c r="DZ76" s="85"/>
      <c r="EA76" s="27"/>
      <c r="EB76" s="36"/>
      <c r="EC76" s="85"/>
      <c r="ED76" s="35"/>
      <c r="EE76" s="35">
        <v>49577790.710000001</v>
      </c>
      <c r="EF76" s="35">
        <v>42636900</v>
      </c>
      <c r="EG76" s="35">
        <v>6940890.71</v>
      </c>
      <c r="EH76" s="35">
        <v>42636900</v>
      </c>
      <c r="EI76" s="35"/>
      <c r="EJ76" s="36"/>
      <c r="EK76" s="35">
        <v>49577790.710000001</v>
      </c>
      <c r="EL76" s="35">
        <v>42636900</v>
      </c>
      <c r="EM76" s="35"/>
      <c r="EN76" s="35">
        <v>6940890.71</v>
      </c>
      <c r="EO76" s="35">
        <v>14</v>
      </c>
      <c r="EP76" s="35"/>
      <c r="EQ76" s="35"/>
      <c r="ER76" s="85">
        <v>42636900</v>
      </c>
      <c r="ES76" s="27"/>
      <c r="ET76" s="36">
        <v>42636900</v>
      </c>
      <c r="EU76" s="85">
        <v>42636900</v>
      </c>
      <c r="EV76" s="35"/>
      <c r="EW76" s="35">
        <v>144803692.41</v>
      </c>
      <c r="EX76" s="35">
        <v>94122400</v>
      </c>
      <c r="EY76" s="35">
        <v>50681292.409999996</v>
      </c>
      <c r="EZ76" s="35">
        <v>94122399.930000007</v>
      </c>
      <c r="FA76" s="35">
        <v>2530861.5699999998</v>
      </c>
      <c r="FB76" s="36"/>
      <c r="FC76" s="35">
        <v>144796171.34999999</v>
      </c>
      <c r="FD76" s="35">
        <v>94117511.329999998</v>
      </c>
      <c r="FE76" s="35"/>
      <c r="FF76" s="35">
        <v>50678660.020000003</v>
      </c>
      <c r="FG76" s="35">
        <v>35</v>
      </c>
      <c r="FH76" s="35">
        <v>2522664.13</v>
      </c>
      <c r="FI76" s="35">
        <v>13086.04</v>
      </c>
      <c r="FJ76" s="85">
        <v>94122399.930000007</v>
      </c>
      <c r="FK76" s="27"/>
      <c r="FL76" s="36">
        <v>94122400</v>
      </c>
      <c r="FM76" s="85">
        <v>94122400</v>
      </c>
      <c r="FN76" s="35"/>
      <c r="FO76" s="35"/>
      <c r="FP76" s="35"/>
      <c r="FQ76" s="35"/>
      <c r="FR76" s="35"/>
      <c r="FS76" s="35">
        <v>2995687.43</v>
      </c>
      <c r="FT76" s="36"/>
      <c r="FU76" s="35"/>
      <c r="FV76" s="35"/>
      <c r="FW76" s="35"/>
      <c r="FX76" s="35"/>
      <c r="FY76" s="35"/>
      <c r="FZ76" s="35">
        <v>2995444.14</v>
      </c>
      <c r="GA76" s="35">
        <v>243.29</v>
      </c>
      <c r="GB76" s="85"/>
      <c r="GC76" s="27"/>
      <c r="GD76" s="36"/>
      <c r="GE76" s="85"/>
      <c r="GF76" s="35"/>
      <c r="GG76" s="35">
        <v>26911230.77</v>
      </c>
      <c r="GH76" s="35">
        <v>17492300</v>
      </c>
      <c r="GI76" s="35">
        <v>9418930.7699999996</v>
      </c>
      <c r="GJ76" s="35">
        <v>17492300</v>
      </c>
      <c r="GK76" s="35"/>
      <c r="GL76" s="36"/>
      <c r="GM76" s="35">
        <v>26911230.739999998</v>
      </c>
      <c r="GN76" s="35">
        <v>17492300</v>
      </c>
      <c r="GO76" s="35"/>
      <c r="GP76" s="35">
        <v>9418930.7400000002</v>
      </c>
      <c r="GQ76" s="35">
        <v>35</v>
      </c>
      <c r="GR76" s="35"/>
      <c r="GS76" s="35"/>
      <c r="GT76" s="85">
        <v>17492300</v>
      </c>
      <c r="GU76" s="27"/>
      <c r="GV76" s="36">
        <v>17492300</v>
      </c>
      <c r="GW76" s="85">
        <v>17492300</v>
      </c>
      <c r="GX76" s="35"/>
      <c r="GY76" s="35"/>
      <c r="GZ76" s="35"/>
      <c r="HA76" s="35"/>
      <c r="HB76" s="35"/>
      <c r="HC76" s="35"/>
      <c r="HD76" s="36"/>
      <c r="HE76" s="35"/>
      <c r="HF76" s="35"/>
      <c r="HG76" s="35"/>
      <c r="HH76" s="35"/>
      <c r="HI76" s="35"/>
      <c r="HJ76" s="35"/>
      <c r="HK76" s="35"/>
      <c r="HL76" s="85"/>
      <c r="HM76" s="27"/>
      <c r="HN76" s="36"/>
      <c r="HO76" s="85"/>
      <c r="HP76" s="35"/>
      <c r="HQ76" s="35"/>
      <c r="HR76" s="35"/>
      <c r="HS76" s="35"/>
      <c r="HT76" s="35"/>
      <c r="HU76" s="35"/>
      <c r="HV76" s="36"/>
      <c r="HW76" s="35"/>
      <c r="HX76" s="35"/>
      <c r="HY76" s="35"/>
      <c r="HZ76" s="35"/>
      <c r="IA76" s="35"/>
      <c r="IB76" s="35"/>
      <c r="IC76" s="35"/>
      <c r="ID76" s="85"/>
      <c r="IE76" s="27"/>
      <c r="IF76" s="36"/>
      <c r="IG76" s="85"/>
      <c r="IH76" s="35"/>
      <c r="II76" s="35"/>
      <c r="IJ76" s="35"/>
      <c r="IK76" s="35"/>
      <c r="IL76" s="35"/>
      <c r="IM76" s="35"/>
      <c r="IN76" s="36"/>
      <c r="IO76" s="35"/>
      <c r="IP76" s="35"/>
      <c r="IQ76" s="35"/>
      <c r="IR76" s="35"/>
      <c r="IS76" s="35"/>
      <c r="IT76" s="35"/>
      <c r="IU76" s="35"/>
      <c r="IV76" s="85"/>
      <c r="IW76" s="27"/>
      <c r="IX76" s="36"/>
      <c r="IY76" s="85"/>
      <c r="IZ76" s="35"/>
      <c r="JA76" s="35">
        <v>5848000</v>
      </c>
      <c r="JB76" s="35">
        <v>3801200</v>
      </c>
      <c r="JC76" s="35">
        <v>2046800</v>
      </c>
      <c r="JD76" s="35">
        <v>3801200</v>
      </c>
      <c r="JE76" s="35"/>
      <c r="JF76" s="36"/>
      <c r="JG76" s="35">
        <v>5848000</v>
      </c>
      <c r="JH76" s="35">
        <v>3801200</v>
      </c>
      <c r="JI76" s="35"/>
      <c r="JJ76" s="35">
        <v>2046800</v>
      </c>
      <c r="JK76" s="35">
        <v>35</v>
      </c>
      <c r="JL76" s="35"/>
      <c r="JM76" s="35"/>
      <c r="JN76" s="85">
        <v>3801200</v>
      </c>
      <c r="JO76" s="27"/>
      <c r="JP76" s="36">
        <v>3801200</v>
      </c>
      <c r="JQ76" s="85">
        <v>3801200</v>
      </c>
      <c r="JR76" s="35"/>
      <c r="JS76" s="35"/>
      <c r="JT76" s="35"/>
      <c r="JU76" s="35"/>
      <c r="JV76" s="35"/>
      <c r="JW76" s="35"/>
      <c r="JX76" s="36"/>
      <c r="JY76" s="35"/>
      <c r="JZ76" s="35"/>
      <c r="KA76" s="35"/>
      <c r="KB76" s="35"/>
      <c r="KC76" s="35"/>
      <c r="KD76" s="35"/>
      <c r="KE76" s="35"/>
      <c r="KF76" s="85"/>
      <c r="KG76" s="27"/>
      <c r="KH76" s="36"/>
      <c r="KI76" s="85"/>
      <c r="KJ76" s="35"/>
      <c r="KK76" s="35">
        <v>4248769.2300000004</v>
      </c>
      <c r="KL76" s="35">
        <v>2761700</v>
      </c>
      <c r="KM76" s="35">
        <v>1487069.23</v>
      </c>
      <c r="KN76" s="35">
        <v>2761700</v>
      </c>
      <c r="KO76" s="35"/>
      <c r="KP76" s="36"/>
      <c r="KQ76" s="35">
        <v>4248769.2300000004</v>
      </c>
      <c r="KR76" s="35">
        <v>2761700</v>
      </c>
      <c r="KS76" s="35"/>
      <c r="KT76" s="35">
        <v>1487069.23</v>
      </c>
      <c r="KU76" s="35">
        <v>35</v>
      </c>
      <c r="KV76" s="35"/>
      <c r="KW76" s="35"/>
      <c r="KX76" s="85">
        <v>2761700</v>
      </c>
      <c r="KY76" s="27"/>
      <c r="KZ76" s="36">
        <v>2761700</v>
      </c>
      <c r="LA76" s="85">
        <v>2761700</v>
      </c>
      <c r="LB76" s="35"/>
      <c r="LC76" s="35"/>
      <c r="LD76" s="35"/>
      <c r="LE76" s="35"/>
      <c r="LF76" s="35"/>
      <c r="LG76" s="35"/>
      <c r="LH76" s="36"/>
      <c r="LI76" s="35"/>
      <c r="LJ76" s="35"/>
      <c r="LK76" s="35"/>
      <c r="LL76" s="35"/>
      <c r="LM76" s="35"/>
      <c r="LN76" s="35"/>
      <c r="LO76" s="35"/>
      <c r="LP76" s="85"/>
      <c r="LQ76" s="27"/>
      <c r="LR76" s="36"/>
      <c r="LS76" s="85"/>
      <c r="LT76" s="35"/>
      <c r="LU76" s="35">
        <v>98834923.079999998</v>
      </c>
      <c r="LV76" s="35">
        <v>64242700</v>
      </c>
      <c r="LW76" s="35">
        <v>34592223.079999998</v>
      </c>
      <c r="LX76" s="35">
        <v>64242700</v>
      </c>
      <c r="LY76" s="35"/>
      <c r="LZ76" s="36"/>
      <c r="MA76" s="35">
        <v>98834923.079999998</v>
      </c>
      <c r="MB76" s="35">
        <v>64242700</v>
      </c>
      <c r="MC76" s="35"/>
      <c r="MD76" s="35">
        <v>34592223.079999998</v>
      </c>
      <c r="ME76" s="35">
        <v>35</v>
      </c>
      <c r="MF76" s="35"/>
      <c r="MG76" s="35"/>
      <c r="MH76" s="85">
        <v>64242700</v>
      </c>
      <c r="MI76" s="27"/>
      <c r="MJ76" s="36">
        <v>64242700</v>
      </c>
      <c r="MK76" s="85">
        <v>64242700</v>
      </c>
      <c r="ML76" s="35"/>
      <c r="MM76" s="35"/>
      <c r="MN76" s="35"/>
      <c r="MO76" s="35"/>
      <c r="MP76" s="35"/>
      <c r="MQ76" s="35"/>
      <c r="MR76" s="36"/>
      <c r="MS76" s="35"/>
      <c r="MT76" s="35"/>
      <c r="MU76" s="35"/>
      <c r="MV76" s="35"/>
      <c r="MW76" s="35"/>
      <c r="MX76" s="35"/>
      <c r="MY76" s="35"/>
      <c r="MZ76" s="85"/>
      <c r="NA76" s="27"/>
      <c r="NB76" s="36"/>
      <c r="NC76" s="85"/>
      <c r="ND76" s="35"/>
      <c r="NE76" s="35">
        <v>1726615.39</v>
      </c>
      <c r="NF76" s="35">
        <v>1122300</v>
      </c>
      <c r="NG76" s="35">
        <v>604315.39</v>
      </c>
      <c r="NH76" s="35">
        <v>1122300</v>
      </c>
      <c r="NI76" s="35"/>
      <c r="NJ76" s="36"/>
      <c r="NK76" s="35">
        <v>1726615.39</v>
      </c>
      <c r="NL76" s="35">
        <v>1122300</v>
      </c>
      <c r="NM76" s="35"/>
      <c r="NN76" s="35">
        <v>604315.39</v>
      </c>
      <c r="NO76" s="35">
        <v>35</v>
      </c>
      <c r="NP76" s="35"/>
      <c r="NQ76" s="35"/>
      <c r="NR76" s="85">
        <v>1122300</v>
      </c>
      <c r="NS76" s="27"/>
      <c r="NT76" s="36">
        <v>1122300</v>
      </c>
      <c r="NU76" s="85">
        <v>1122300</v>
      </c>
      <c r="NV76" s="35"/>
      <c r="NW76" s="35"/>
      <c r="NX76" s="35"/>
      <c r="NY76" s="35"/>
      <c r="NZ76" s="35"/>
      <c r="OA76" s="35"/>
      <c r="OB76" s="36"/>
      <c r="OC76" s="35"/>
      <c r="OD76" s="35"/>
      <c r="OE76" s="35"/>
      <c r="OF76" s="35"/>
      <c r="OG76" s="35"/>
      <c r="OH76" s="35"/>
      <c r="OI76" s="35"/>
      <c r="OJ76" s="85"/>
      <c r="OK76" s="27"/>
      <c r="OL76" s="36"/>
      <c r="OM76" s="85"/>
      <c r="ON76" s="35"/>
      <c r="OO76" s="35"/>
      <c r="OP76" s="35"/>
      <c r="OQ76" s="35"/>
      <c r="OR76" s="35"/>
      <c r="OS76" s="35">
        <v>7347182.3700000001</v>
      </c>
      <c r="OT76" s="36"/>
      <c r="OU76" s="35"/>
      <c r="OV76" s="35"/>
      <c r="OW76" s="35"/>
      <c r="OX76" s="35"/>
      <c r="OY76" s="35"/>
      <c r="OZ76" s="35">
        <v>7058945.4199999999</v>
      </c>
      <c r="PA76" s="35">
        <v>288236.95</v>
      </c>
      <c r="PB76" s="85"/>
      <c r="PC76" s="27"/>
      <c r="PD76" s="36"/>
      <c r="PE76" s="85"/>
      <c r="PF76" s="35"/>
      <c r="PG76" s="35"/>
      <c r="PH76" s="35"/>
      <c r="PI76" s="35"/>
      <c r="PJ76" s="35"/>
      <c r="PK76" s="35"/>
      <c r="PL76" s="36"/>
      <c r="PM76" s="35"/>
      <c r="PN76" s="35"/>
      <c r="PO76" s="35"/>
      <c r="PP76" s="35"/>
      <c r="PQ76" s="35"/>
      <c r="PR76" s="35"/>
      <c r="PS76" s="35"/>
      <c r="PT76" s="85"/>
      <c r="PU76" s="27"/>
      <c r="PV76" s="36"/>
      <c r="PW76" s="85"/>
      <c r="PX76" s="35"/>
      <c r="PY76" s="35"/>
      <c r="PZ76" s="35"/>
      <c r="QA76" s="35"/>
      <c r="QB76" s="35"/>
      <c r="QC76" s="35"/>
      <c r="QD76" s="36"/>
      <c r="QE76" s="35"/>
      <c r="QF76" s="35"/>
      <c r="QG76" s="35"/>
      <c r="QH76" s="35"/>
      <c r="QI76" s="35"/>
      <c r="QJ76" s="35"/>
      <c r="QK76" s="35"/>
      <c r="QL76" s="85"/>
      <c r="QM76" s="27"/>
      <c r="QN76" s="36"/>
      <c r="QO76" s="85"/>
      <c r="QP76" s="35"/>
      <c r="QQ76" s="35"/>
      <c r="QR76" s="35"/>
      <c r="QS76" s="35"/>
      <c r="QT76" s="35"/>
      <c r="QU76" s="35"/>
      <c r="QV76" s="36"/>
      <c r="QW76" s="35"/>
      <c r="QX76" s="35"/>
      <c r="QY76" s="35"/>
      <c r="QZ76" s="35"/>
      <c r="RA76" s="35"/>
      <c r="RB76" s="35"/>
      <c r="RC76" s="35"/>
      <c r="RD76" s="85"/>
      <c r="RE76" s="27"/>
      <c r="RF76" s="36"/>
      <c r="RG76" s="85"/>
      <c r="RH76" s="35"/>
      <c r="RI76" s="35"/>
      <c r="RJ76" s="35"/>
      <c r="RK76" s="35"/>
      <c r="RL76" s="35"/>
      <c r="RM76" s="35">
        <v>447113.96</v>
      </c>
      <c r="RN76" s="36"/>
      <c r="RO76" s="35"/>
      <c r="RP76" s="35"/>
      <c r="RQ76" s="35"/>
      <c r="RR76" s="35"/>
      <c r="RS76" s="35"/>
      <c r="RT76" s="35">
        <v>447113.96</v>
      </c>
      <c r="RU76" s="35"/>
      <c r="RV76" s="85"/>
      <c r="RW76" s="27"/>
      <c r="RX76" s="36"/>
      <c r="RY76" s="85"/>
      <c r="RZ76" s="35"/>
      <c r="SA76" s="35"/>
      <c r="SB76" s="35"/>
      <c r="SC76" s="35"/>
      <c r="SD76" s="35"/>
      <c r="SE76" s="35"/>
      <c r="SF76" s="36"/>
      <c r="SG76" s="35"/>
      <c r="SH76" s="35"/>
      <c r="SI76" s="35"/>
      <c r="SJ76" s="35"/>
      <c r="SK76" s="35"/>
      <c r="SL76" s="35"/>
      <c r="SM76" s="35"/>
      <c r="SN76" s="85"/>
      <c r="SO76" s="27"/>
      <c r="SP76" s="36"/>
      <c r="SQ76" s="85"/>
      <c r="SR76" s="35"/>
      <c r="SS76" s="35"/>
      <c r="ST76" s="35"/>
      <c r="SU76" s="35"/>
      <c r="SV76" s="35"/>
      <c r="SW76" s="35"/>
      <c r="SX76" s="36"/>
      <c r="SY76" s="35"/>
      <c r="SZ76" s="35"/>
      <c r="TA76" s="35"/>
      <c r="TB76" s="35"/>
      <c r="TC76" s="35"/>
      <c r="TD76" s="35"/>
      <c r="TE76" s="35"/>
      <c r="TF76" s="85"/>
      <c r="TG76" s="27"/>
      <c r="TH76" s="36"/>
      <c r="TI76" s="85"/>
      <c r="TJ76" s="35"/>
      <c r="TK76" s="35"/>
      <c r="TL76" s="35"/>
      <c r="TM76" s="35"/>
      <c r="TN76" s="35"/>
      <c r="TO76" s="35"/>
      <c r="TP76" s="36"/>
      <c r="TQ76" s="35"/>
      <c r="TR76" s="35"/>
      <c r="TS76" s="35"/>
      <c r="TT76" s="35"/>
      <c r="TU76" s="35"/>
      <c r="TV76" s="35"/>
      <c r="TW76" s="35"/>
      <c r="TX76" s="85"/>
      <c r="TY76" s="27"/>
      <c r="TZ76" s="36"/>
      <c r="UA76" s="85"/>
      <c r="UB76" s="35"/>
      <c r="UC76" s="35"/>
      <c r="UD76" s="35"/>
      <c r="UE76" s="35"/>
      <c r="UF76" s="35"/>
      <c r="UG76" s="35"/>
      <c r="UH76" s="36"/>
      <c r="UI76" s="35"/>
      <c r="UJ76" s="35"/>
      <c r="UK76" s="35"/>
      <c r="UL76" s="35"/>
      <c r="UM76" s="35"/>
      <c r="UN76" s="35"/>
      <c r="UO76" s="35"/>
      <c r="UP76" s="85"/>
      <c r="UQ76" s="27"/>
      <c r="UR76" s="36"/>
      <c r="US76" s="85"/>
    </row>
    <row r="77" spans="1:565" x14ac:dyDescent="0.3">
      <c r="A77" s="8" t="s">
        <v>165</v>
      </c>
      <c r="B77" s="168">
        <v>63</v>
      </c>
      <c r="C77" s="13" t="s">
        <v>167</v>
      </c>
      <c r="F77" s="36">
        <v>1963825100</v>
      </c>
      <c r="G77" s="85"/>
      <c r="H77" s="35"/>
      <c r="I77" s="35">
        <v>556212921.35000002</v>
      </c>
      <c r="J77" s="35">
        <v>495029500</v>
      </c>
      <c r="K77" s="35">
        <v>61183421.350000001</v>
      </c>
      <c r="L77" s="35">
        <v>495029500</v>
      </c>
      <c r="M77" s="35">
        <v>4747387.6100000003</v>
      </c>
      <c r="N77" s="36"/>
      <c r="O77" s="35">
        <v>556212921.35000002</v>
      </c>
      <c r="P77" s="35">
        <v>495029500</v>
      </c>
      <c r="Q77" s="35"/>
      <c r="R77" s="35">
        <v>61183421.350000001</v>
      </c>
      <c r="S77" s="35">
        <v>11</v>
      </c>
      <c r="T77" s="35">
        <v>4747387.6100000003</v>
      </c>
      <c r="U77" s="35"/>
      <c r="V77" s="85">
        <v>495029500</v>
      </c>
      <c r="W77" s="27"/>
      <c r="X77" s="36">
        <v>495029500</v>
      </c>
      <c r="Y77" s="85">
        <v>495029500</v>
      </c>
      <c r="Z77" s="35"/>
      <c r="AA77" s="35">
        <v>79411800</v>
      </c>
      <c r="AB77" s="35">
        <v>70676500</v>
      </c>
      <c r="AC77" s="35">
        <v>8735300</v>
      </c>
      <c r="AD77" s="35">
        <v>70676500</v>
      </c>
      <c r="AE77" s="35">
        <v>244160.62</v>
      </c>
      <c r="AF77" s="36"/>
      <c r="AG77" s="35">
        <v>79411800</v>
      </c>
      <c r="AH77" s="35">
        <v>70676500</v>
      </c>
      <c r="AI77" s="35"/>
      <c r="AJ77" s="35">
        <v>8735300</v>
      </c>
      <c r="AK77" s="35">
        <v>11</v>
      </c>
      <c r="AL77" s="35">
        <v>244160.62</v>
      </c>
      <c r="AM77" s="35"/>
      <c r="AN77" s="85">
        <v>70676500</v>
      </c>
      <c r="AO77" s="27"/>
      <c r="AP77" s="36">
        <v>70676500</v>
      </c>
      <c r="AQ77" s="85">
        <v>70676500</v>
      </c>
      <c r="AR77" s="35"/>
      <c r="AS77" s="35">
        <v>679299300</v>
      </c>
      <c r="AT77" s="35">
        <v>604575900</v>
      </c>
      <c r="AU77" s="35">
        <v>74723400</v>
      </c>
      <c r="AV77" s="35">
        <v>604575900</v>
      </c>
      <c r="AW77" s="35">
        <v>16471993.68</v>
      </c>
      <c r="AX77" s="36"/>
      <c r="AY77" s="35">
        <v>679299300</v>
      </c>
      <c r="AZ77" s="35">
        <v>604575900</v>
      </c>
      <c r="BA77" s="35"/>
      <c r="BB77" s="35">
        <v>74723400</v>
      </c>
      <c r="BC77" s="35">
        <v>11.000069999999999</v>
      </c>
      <c r="BD77" s="35">
        <v>16471993.68</v>
      </c>
      <c r="BE77" s="35"/>
      <c r="BF77" s="85">
        <v>604575900</v>
      </c>
      <c r="BG77" s="27"/>
      <c r="BH77" s="36">
        <v>604575900</v>
      </c>
      <c r="BI77" s="85">
        <v>604575900</v>
      </c>
      <c r="BJ77" s="35"/>
      <c r="BK77" s="35">
        <v>87368421.060000002</v>
      </c>
      <c r="BL77" s="35">
        <v>83000000</v>
      </c>
      <c r="BM77" s="35">
        <v>4368421.0599999996</v>
      </c>
      <c r="BN77" s="35">
        <v>83000000</v>
      </c>
      <c r="BO77" s="35">
        <v>1063185.72</v>
      </c>
      <c r="BP77" s="36"/>
      <c r="BQ77" s="35">
        <v>87368421.060000002</v>
      </c>
      <c r="BR77" s="35">
        <v>83000000</v>
      </c>
      <c r="BS77" s="35"/>
      <c r="BT77" s="35">
        <v>4368421.0599999996</v>
      </c>
      <c r="BU77" s="35">
        <v>5</v>
      </c>
      <c r="BV77" s="35">
        <v>1063185.72</v>
      </c>
      <c r="BW77" s="35"/>
      <c r="BX77" s="85">
        <v>83000000</v>
      </c>
      <c r="BY77" s="27"/>
      <c r="BZ77" s="36">
        <v>83000000</v>
      </c>
      <c r="CA77" s="85">
        <v>83000000</v>
      </c>
      <c r="CB77" s="35"/>
      <c r="CC77" s="35">
        <v>427739900</v>
      </c>
      <c r="CD77" s="35">
        <v>380688500</v>
      </c>
      <c r="CE77" s="35">
        <v>47051400</v>
      </c>
      <c r="CF77" s="35">
        <v>380688500</v>
      </c>
      <c r="CG77" s="35"/>
      <c r="CH77" s="36"/>
      <c r="CI77" s="35">
        <v>427739900</v>
      </c>
      <c r="CJ77" s="35">
        <v>380688500</v>
      </c>
      <c r="CK77" s="35"/>
      <c r="CL77" s="35">
        <v>47051400</v>
      </c>
      <c r="CM77" s="35">
        <v>11</v>
      </c>
      <c r="CN77" s="35"/>
      <c r="CO77" s="35"/>
      <c r="CP77" s="85">
        <v>380688500</v>
      </c>
      <c r="CQ77" s="27"/>
      <c r="CR77" s="36">
        <v>380688500</v>
      </c>
      <c r="CS77" s="85">
        <v>380688500</v>
      </c>
      <c r="CT77" s="35"/>
      <c r="CU77" s="35">
        <v>199829213.49000001</v>
      </c>
      <c r="CV77" s="35">
        <v>177848000</v>
      </c>
      <c r="CW77" s="35">
        <v>21981213.489999998</v>
      </c>
      <c r="CX77" s="35">
        <v>177848000</v>
      </c>
      <c r="CY77" s="35"/>
      <c r="CZ77" s="36"/>
      <c r="DA77" s="35">
        <v>199829213.49000001</v>
      </c>
      <c r="DB77" s="35">
        <v>177848000</v>
      </c>
      <c r="DC77" s="35"/>
      <c r="DD77" s="35">
        <v>21981213.489999998</v>
      </c>
      <c r="DE77" s="35">
        <v>11</v>
      </c>
      <c r="DF77" s="35"/>
      <c r="DG77" s="35"/>
      <c r="DH77" s="85">
        <v>177848000</v>
      </c>
      <c r="DI77" s="27"/>
      <c r="DJ77" s="36">
        <v>177848000</v>
      </c>
      <c r="DK77" s="85">
        <v>177848000</v>
      </c>
      <c r="DL77" s="35"/>
      <c r="DM77" s="35"/>
      <c r="DN77" s="35"/>
      <c r="DO77" s="35"/>
      <c r="DP77" s="35"/>
      <c r="DQ77" s="35"/>
      <c r="DR77" s="36"/>
      <c r="DS77" s="35"/>
      <c r="DT77" s="35"/>
      <c r="DU77" s="35"/>
      <c r="DV77" s="35"/>
      <c r="DW77" s="35"/>
      <c r="DX77" s="35"/>
      <c r="DY77" s="35"/>
      <c r="DZ77" s="85"/>
      <c r="EA77" s="27"/>
      <c r="EB77" s="36"/>
      <c r="EC77" s="85"/>
      <c r="ED77" s="35"/>
      <c r="EE77" s="35">
        <v>69562042</v>
      </c>
      <c r="EF77" s="35">
        <v>68170800</v>
      </c>
      <c r="EG77" s="35">
        <v>1391242</v>
      </c>
      <c r="EH77" s="35">
        <v>68170800</v>
      </c>
      <c r="EI77" s="35"/>
      <c r="EJ77" s="36"/>
      <c r="EK77" s="35">
        <v>69562042</v>
      </c>
      <c r="EL77" s="35">
        <v>68170800</v>
      </c>
      <c r="EM77" s="35"/>
      <c r="EN77" s="35">
        <v>1391242</v>
      </c>
      <c r="EO77" s="35">
        <v>2</v>
      </c>
      <c r="EP77" s="35"/>
      <c r="EQ77" s="35"/>
      <c r="ER77" s="85">
        <v>68170800</v>
      </c>
      <c r="ES77" s="27"/>
      <c r="ET77" s="36">
        <v>68170800</v>
      </c>
      <c r="EU77" s="85">
        <v>68170800</v>
      </c>
      <c r="EV77" s="35"/>
      <c r="EW77" s="35">
        <v>40311600</v>
      </c>
      <c r="EX77" s="35">
        <v>35877300</v>
      </c>
      <c r="EY77" s="35">
        <v>4434300</v>
      </c>
      <c r="EZ77" s="35">
        <v>35877300</v>
      </c>
      <c r="FA77" s="35"/>
      <c r="FB77" s="36"/>
      <c r="FC77" s="35">
        <v>40311600</v>
      </c>
      <c r="FD77" s="35">
        <v>35877300</v>
      </c>
      <c r="FE77" s="35"/>
      <c r="FF77" s="35">
        <v>4434300</v>
      </c>
      <c r="FG77" s="35">
        <v>11.00006</v>
      </c>
      <c r="FH77" s="35"/>
      <c r="FI77" s="35"/>
      <c r="FJ77" s="85">
        <v>35877300</v>
      </c>
      <c r="FK77" s="27"/>
      <c r="FL77" s="36">
        <v>35877300</v>
      </c>
      <c r="FM77" s="85">
        <v>35877300</v>
      </c>
      <c r="FN77" s="35"/>
      <c r="FO77" s="35"/>
      <c r="FP77" s="35"/>
      <c r="FQ77" s="35"/>
      <c r="FR77" s="35"/>
      <c r="FS77" s="35"/>
      <c r="FT77" s="36"/>
      <c r="FU77" s="35"/>
      <c r="FV77" s="35"/>
      <c r="FW77" s="35"/>
      <c r="FX77" s="35"/>
      <c r="FY77" s="35"/>
      <c r="FZ77" s="35"/>
      <c r="GA77" s="35"/>
      <c r="GB77" s="85"/>
      <c r="GC77" s="27"/>
      <c r="GD77" s="36"/>
      <c r="GE77" s="85"/>
      <c r="GF77" s="35"/>
      <c r="GG77" s="35">
        <v>24205527</v>
      </c>
      <c r="GH77" s="35">
        <v>21542900</v>
      </c>
      <c r="GI77" s="35">
        <v>2662627</v>
      </c>
      <c r="GJ77" s="35">
        <v>21542899.120000001</v>
      </c>
      <c r="GK77" s="35"/>
      <c r="GL77" s="36"/>
      <c r="GM77" s="35">
        <v>24205526.010000002</v>
      </c>
      <c r="GN77" s="35">
        <v>21542899.120000001</v>
      </c>
      <c r="GO77" s="35"/>
      <c r="GP77" s="35">
        <v>2662626.89</v>
      </c>
      <c r="GQ77" s="35">
        <v>11.000080000000001</v>
      </c>
      <c r="GR77" s="35"/>
      <c r="GS77" s="35"/>
      <c r="GT77" s="85">
        <v>21542899.120000001</v>
      </c>
      <c r="GU77" s="27"/>
      <c r="GV77" s="36">
        <v>21542900</v>
      </c>
      <c r="GW77" s="85">
        <v>21542900</v>
      </c>
      <c r="GX77" s="35"/>
      <c r="GY77" s="35"/>
      <c r="GZ77" s="35"/>
      <c r="HA77" s="35"/>
      <c r="HB77" s="35"/>
      <c r="HC77" s="35"/>
      <c r="HD77" s="36"/>
      <c r="HE77" s="35"/>
      <c r="HF77" s="35"/>
      <c r="HG77" s="35"/>
      <c r="HH77" s="35"/>
      <c r="HI77" s="35"/>
      <c r="HJ77" s="35"/>
      <c r="HK77" s="35"/>
      <c r="HL77" s="85"/>
      <c r="HM77" s="27"/>
      <c r="HN77" s="36"/>
      <c r="HO77" s="85"/>
      <c r="HP77" s="35"/>
      <c r="HQ77" s="35"/>
      <c r="HR77" s="35"/>
      <c r="HS77" s="35"/>
      <c r="HT77" s="35"/>
      <c r="HU77" s="35"/>
      <c r="HV77" s="36"/>
      <c r="HW77" s="35"/>
      <c r="HX77" s="35"/>
      <c r="HY77" s="35"/>
      <c r="HZ77" s="35"/>
      <c r="IA77" s="35"/>
      <c r="IB77" s="35"/>
      <c r="IC77" s="35"/>
      <c r="ID77" s="85"/>
      <c r="IE77" s="27"/>
      <c r="IF77" s="36"/>
      <c r="IG77" s="85"/>
      <c r="IH77" s="35"/>
      <c r="II77" s="35"/>
      <c r="IJ77" s="35"/>
      <c r="IK77" s="35"/>
      <c r="IL77" s="35"/>
      <c r="IM77" s="35"/>
      <c r="IN77" s="36"/>
      <c r="IO77" s="35"/>
      <c r="IP77" s="35"/>
      <c r="IQ77" s="35"/>
      <c r="IR77" s="35"/>
      <c r="IS77" s="35"/>
      <c r="IT77" s="35"/>
      <c r="IU77" s="35"/>
      <c r="IV77" s="85"/>
      <c r="IW77" s="27"/>
      <c r="IX77" s="36"/>
      <c r="IY77" s="85"/>
      <c r="IZ77" s="35"/>
      <c r="JA77" s="35">
        <v>3742922</v>
      </c>
      <c r="JB77" s="35">
        <v>3331200</v>
      </c>
      <c r="JC77" s="35">
        <v>411722</v>
      </c>
      <c r="JD77" s="35">
        <v>2931959.72</v>
      </c>
      <c r="JE77" s="35"/>
      <c r="JF77" s="36"/>
      <c r="JG77" s="35">
        <v>3294337.33</v>
      </c>
      <c r="JH77" s="35">
        <v>2931959.72</v>
      </c>
      <c r="JI77" s="35"/>
      <c r="JJ77" s="35">
        <v>362377.61</v>
      </c>
      <c r="JK77" s="35">
        <v>11.000019999999999</v>
      </c>
      <c r="JL77" s="35"/>
      <c r="JM77" s="35"/>
      <c r="JN77" s="85">
        <v>2931959.72</v>
      </c>
      <c r="JO77" s="27"/>
      <c r="JP77" s="36">
        <v>3331200</v>
      </c>
      <c r="JQ77" s="85">
        <v>3331200</v>
      </c>
      <c r="JR77" s="35"/>
      <c r="JS77" s="35"/>
      <c r="JT77" s="35"/>
      <c r="JU77" s="35"/>
      <c r="JV77" s="35"/>
      <c r="JW77" s="35"/>
      <c r="JX77" s="36"/>
      <c r="JY77" s="35"/>
      <c r="JZ77" s="35"/>
      <c r="KA77" s="35"/>
      <c r="KB77" s="35"/>
      <c r="KC77" s="35"/>
      <c r="KD77" s="35"/>
      <c r="KE77" s="35"/>
      <c r="KF77" s="85"/>
      <c r="KG77" s="27"/>
      <c r="KH77" s="36"/>
      <c r="KI77" s="85"/>
      <c r="KJ77" s="35"/>
      <c r="KK77" s="35">
        <v>3909800</v>
      </c>
      <c r="KL77" s="35">
        <v>3479700</v>
      </c>
      <c r="KM77" s="35">
        <v>430100</v>
      </c>
      <c r="KN77" s="35">
        <v>3479700</v>
      </c>
      <c r="KO77" s="35"/>
      <c r="KP77" s="36"/>
      <c r="KQ77" s="35">
        <v>3909800</v>
      </c>
      <c r="KR77" s="35">
        <v>3479700</v>
      </c>
      <c r="KS77" s="35"/>
      <c r="KT77" s="35">
        <v>430100</v>
      </c>
      <c r="KU77" s="35">
        <v>11.00056</v>
      </c>
      <c r="KV77" s="35"/>
      <c r="KW77" s="35"/>
      <c r="KX77" s="85">
        <v>3479700</v>
      </c>
      <c r="KY77" s="27"/>
      <c r="KZ77" s="36">
        <v>3479700</v>
      </c>
      <c r="LA77" s="85">
        <v>3479700</v>
      </c>
      <c r="LB77" s="35"/>
      <c r="LC77" s="35"/>
      <c r="LD77" s="35"/>
      <c r="LE77" s="35"/>
      <c r="LF77" s="35"/>
      <c r="LG77" s="35"/>
      <c r="LH77" s="36"/>
      <c r="LI77" s="35"/>
      <c r="LJ77" s="35"/>
      <c r="LK77" s="35"/>
      <c r="LL77" s="35"/>
      <c r="LM77" s="35"/>
      <c r="LN77" s="35"/>
      <c r="LO77" s="35"/>
      <c r="LP77" s="85"/>
      <c r="LQ77" s="27"/>
      <c r="LR77" s="36"/>
      <c r="LS77" s="85"/>
      <c r="LT77" s="35"/>
      <c r="LU77" s="35"/>
      <c r="LV77" s="35"/>
      <c r="LW77" s="35"/>
      <c r="LX77" s="35"/>
      <c r="LY77" s="35"/>
      <c r="LZ77" s="36"/>
      <c r="MA77" s="35"/>
      <c r="MB77" s="35"/>
      <c r="MC77" s="35"/>
      <c r="MD77" s="35"/>
      <c r="ME77" s="35"/>
      <c r="MF77" s="35"/>
      <c r="MG77" s="35"/>
      <c r="MH77" s="85"/>
      <c r="MI77" s="27"/>
      <c r="MJ77" s="36"/>
      <c r="MK77" s="85"/>
      <c r="ML77" s="35"/>
      <c r="MM77" s="35"/>
      <c r="MN77" s="35"/>
      <c r="MO77" s="35"/>
      <c r="MP77" s="35"/>
      <c r="MQ77" s="35"/>
      <c r="MR77" s="36"/>
      <c r="MS77" s="35"/>
      <c r="MT77" s="35"/>
      <c r="MU77" s="35"/>
      <c r="MV77" s="35"/>
      <c r="MW77" s="35"/>
      <c r="MX77" s="35"/>
      <c r="MY77" s="35"/>
      <c r="MZ77" s="85"/>
      <c r="NA77" s="27"/>
      <c r="NB77" s="36"/>
      <c r="NC77" s="85"/>
      <c r="ND77" s="35"/>
      <c r="NE77" s="35">
        <v>3180225</v>
      </c>
      <c r="NF77" s="35">
        <v>2830400</v>
      </c>
      <c r="NG77" s="35">
        <v>349825</v>
      </c>
      <c r="NH77" s="35">
        <v>2830400</v>
      </c>
      <c r="NI77" s="35"/>
      <c r="NJ77" s="36"/>
      <c r="NK77" s="35">
        <v>3180225</v>
      </c>
      <c r="NL77" s="35">
        <v>2830400</v>
      </c>
      <c r="NM77" s="35"/>
      <c r="NN77" s="35">
        <v>349825</v>
      </c>
      <c r="NO77" s="35">
        <v>11.00001</v>
      </c>
      <c r="NP77" s="35"/>
      <c r="NQ77" s="35"/>
      <c r="NR77" s="85">
        <v>2830400</v>
      </c>
      <c r="NS77" s="27"/>
      <c r="NT77" s="36">
        <v>2830400</v>
      </c>
      <c r="NU77" s="85">
        <v>2830400</v>
      </c>
      <c r="NV77" s="35"/>
      <c r="NW77" s="35"/>
      <c r="NX77" s="35"/>
      <c r="NY77" s="35"/>
      <c r="NZ77" s="35"/>
      <c r="OA77" s="35"/>
      <c r="OB77" s="36"/>
      <c r="OC77" s="35"/>
      <c r="OD77" s="35"/>
      <c r="OE77" s="35"/>
      <c r="OF77" s="35"/>
      <c r="OG77" s="35"/>
      <c r="OH77" s="35"/>
      <c r="OI77" s="35"/>
      <c r="OJ77" s="85"/>
      <c r="OK77" s="27"/>
      <c r="OL77" s="36"/>
      <c r="OM77" s="85"/>
      <c r="ON77" s="35"/>
      <c r="OO77" s="35"/>
      <c r="OP77" s="35"/>
      <c r="OQ77" s="35"/>
      <c r="OR77" s="35"/>
      <c r="OS77" s="35">
        <v>2282965.7000000002</v>
      </c>
      <c r="OT77" s="36"/>
      <c r="OU77" s="35"/>
      <c r="OV77" s="35"/>
      <c r="OW77" s="35"/>
      <c r="OX77" s="35"/>
      <c r="OY77" s="35"/>
      <c r="OZ77" s="35">
        <v>2282965.7000000002</v>
      </c>
      <c r="PA77" s="35"/>
      <c r="PB77" s="85"/>
      <c r="PC77" s="27"/>
      <c r="PD77" s="36"/>
      <c r="PE77" s="85"/>
      <c r="PF77" s="35"/>
      <c r="PG77" s="35"/>
      <c r="PH77" s="35"/>
      <c r="PI77" s="35"/>
      <c r="PJ77" s="35"/>
      <c r="PK77" s="35"/>
      <c r="PL77" s="36"/>
      <c r="PM77" s="35"/>
      <c r="PN77" s="35"/>
      <c r="PO77" s="35"/>
      <c r="PP77" s="35"/>
      <c r="PQ77" s="35"/>
      <c r="PR77" s="35"/>
      <c r="PS77" s="35"/>
      <c r="PT77" s="85"/>
      <c r="PU77" s="27"/>
      <c r="PV77" s="36"/>
      <c r="PW77" s="85"/>
      <c r="PX77" s="35"/>
      <c r="PY77" s="35"/>
      <c r="PZ77" s="35"/>
      <c r="QA77" s="35"/>
      <c r="QB77" s="35"/>
      <c r="QC77" s="35"/>
      <c r="QD77" s="36"/>
      <c r="QE77" s="35"/>
      <c r="QF77" s="35"/>
      <c r="QG77" s="35"/>
      <c r="QH77" s="35"/>
      <c r="QI77" s="35"/>
      <c r="QJ77" s="35"/>
      <c r="QK77" s="35"/>
      <c r="QL77" s="85"/>
      <c r="QM77" s="27"/>
      <c r="QN77" s="36"/>
      <c r="QO77" s="85"/>
      <c r="QP77" s="35"/>
      <c r="QQ77" s="35"/>
      <c r="QR77" s="35"/>
      <c r="QS77" s="35"/>
      <c r="QT77" s="35"/>
      <c r="QU77" s="35"/>
      <c r="QV77" s="36"/>
      <c r="QW77" s="35"/>
      <c r="QX77" s="35"/>
      <c r="QY77" s="35"/>
      <c r="QZ77" s="35"/>
      <c r="RA77" s="35"/>
      <c r="RB77" s="35"/>
      <c r="RC77" s="35"/>
      <c r="RD77" s="85"/>
      <c r="RE77" s="27"/>
      <c r="RF77" s="36"/>
      <c r="RG77" s="85"/>
      <c r="RH77" s="35"/>
      <c r="RI77" s="35"/>
      <c r="RJ77" s="35"/>
      <c r="RK77" s="35"/>
      <c r="RL77" s="35"/>
      <c r="RM77" s="35">
        <v>232203.88</v>
      </c>
      <c r="RN77" s="36"/>
      <c r="RO77" s="35"/>
      <c r="RP77" s="35"/>
      <c r="RQ77" s="35"/>
      <c r="RR77" s="35"/>
      <c r="RS77" s="35"/>
      <c r="RT77" s="35">
        <v>232203.88</v>
      </c>
      <c r="RU77" s="35"/>
      <c r="RV77" s="85"/>
      <c r="RW77" s="27"/>
      <c r="RX77" s="36"/>
      <c r="RY77" s="85"/>
      <c r="RZ77" s="35"/>
      <c r="SA77" s="35"/>
      <c r="SB77" s="35"/>
      <c r="SC77" s="35"/>
      <c r="SD77" s="35"/>
      <c r="SE77" s="35"/>
      <c r="SF77" s="36"/>
      <c r="SG77" s="35"/>
      <c r="SH77" s="35"/>
      <c r="SI77" s="35"/>
      <c r="SJ77" s="35"/>
      <c r="SK77" s="35"/>
      <c r="SL77" s="35"/>
      <c r="SM77" s="35"/>
      <c r="SN77" s="85"/>
      <c r="SO77" s="27"/>
      <c r="SP77" s="36"/>
      <c r="SQ77" s="85"/>
      <c r="SR77" s="35"/>
      <c r="SS77" s="35"/>
      <c r="ST77" s="35"/>
      <c r="SU77" s="35"/>
      <c r="SV77" s="35"/>
      <c r="SW77" s="35"/>
      <c r="SX77" s="36"/>
      <c r="SY77" s="35"/>
      <c r="SZ77" s="35"/>
      <c r="TA77" s="35"/>
      <c r="TB77" s="35"/>
      <c r="TC77" s="35"/>
      <c r="TD77" s="35"/>
      <c r="TE77" s="35"/>
      <c r="TF77" s="85"/>
      <c r="TG77" s="27"/>
      <c r="TH77" s="36"/>
      <c r="TI77" s="85"/>
      <c r="TJ77" s="35"/>
      <c r="TK77" s="35"/>
      <c r="TL77" s="35"/>
      <c r="TM77" s="35"/>
      <c r="TN77" s="35"/>
      <c r="TO77" s="35"/>
      <c r="TP77" s="36"/>
      <c r="TQ77" s="35"/>
      <c r="TR77" s="35"/>
      <c r="TS77" s="35"/>
      <c r="TT77" s="35"/>
      <c r="TU77" s="35"/>
      <c r="TV77" s="35"/>
      <c r="TW77" s="35"/>
      <c r="TX77" s="85"/>
      <c r="TY77" s="27"/>
      <c r="TZ77" s="36"/>
      <c r="UA77" s="85"/>
      <c r="UB77" s="35"/>
      <c r="UC77" s="35">
        <v>16774400</v>
      </c>
      <c r="UD77" s="35">
        <v>16774400</v>
      </c>
      <c r="UE77" s="35"/>
      <c r="UF77" s="35">
        <v>16774320</v>
      </c>
      <c r="UG77" s="35"/>
      <c r="UH77" s="36"/>
      <c r="UI77" s="35">
        <v>16774320</v>
      </c>
      <c r="UJ77" s="35">
        <v>16774320</v>
      </c>
      <c r="UK77" s="35"/>
      <c r="UL77" s="35"/>
      <c r="UM77" s="35"/>
      <c r="UN77" s="35"/>
      <c r="UO77" s="35"/>
      <c r="UP77" s="85">
        <v>16774320</v>
      </c>
      <c r="UQ77" s="27"/>
      <c r="UR77" s="36">
        <v>16774400</v>
      </c>
      <c r="US77" s="85">
        <v>16774400</v>
      </c>
    </row>
    <row r="78" spans="1:565" ht="15" thickBot="1" x14ac:dyDescent="0.35">
      <c r="A78" s="8" t="s">
        <v>168</v>
      </c>
      <c r="B78" s="170">
        <v>64</v>
      </c>
      <c r="C78" s="13" t="s">
        <v>170</v>
      </c>
      <c r="F78" s="36">
        <v>557042100</v>
      </c>
      <c r="G78" s="85"/>
      <c r="H78" s="35"/>
      <c r="I78" s="35">
        <v>156606342</v>
      </c>
      <c r="J78" s="35">
        <v>128417200</v>
      </c>
      <c r="K78" s="35">
        <v>28189142</v>
      </c>
      <c r="L78" s="35">
        <v>128395628.75</v>
      </c>
      <c r="M78" s="35"/>
      <c r="N78" s="36"/>
      <c r="O78" s="35">
        <v>155850839</v>
      </c>
      <c r="P78" s="35">
        <v>127846244.98999999</v>
      </c>
      <c r="Q78" s="35"/>
      <c r="R78" s="35">
        <v>28004594.010000002</v>
      </c>
      <c r="S78" s="35">
        <v>17.96884</v>
      </c>
      <c r="T78" s="35"/>
      <c r="U78" s="35">
        <v>549383.76</v>
      </c>
      <c r="V78" s="85">
        <v>128395628.75</v>
      </c>
      <c r="W78" s="27"/>
      <c r="X78" s="36">
        <v>128417200</v>
      </c>
      <c r="Y78" s="85">
        <v>128417200</v>
      </c>
      <c r="Z78" s="35"/>
      <c r="AA78" s="35">
        <v>45999634</v>
      </c>
      <c r="AB78" s="35">
        <v>37719700</v>
      </c>
      <c r="AC78" s="35">
        <v>8279934</v>
      </c>
      <c r="AD78" s="35">
        <v>37719700</v>
      </c>
      <c r="AE78" s="35">
        <v>98796.88</v>
      </c>
      <c r="AF78" s="36"/>
      <c r="AG78" s="35">
        <v>45999634</v>
      </c>
      <c r="AH78" s="35">
        <v>37719700</v>
      </c>
      <c r="AI78" s="35"/>
      <c r="AJ78" s="35">
        <v>8279934</v>
      </c>
      <c r="AK78" s="35">
        <v>18</v>
      </c>
      <c r="AL78" s="35">
        <v>98796.88</v>
      </c>
      <c r="AM78" s="35"/>
      <c r="AN78" s="85">
        <v>37719700</v>
      </c>
      <c r="AO78" s="27"/>
      <c r="AP78" s="36">
        <v>37719700</v>
      </c>
      <c r="AQ78" s="85">
        <v>37719700</v>
      </c>
      <c r="AR78" s="35"/>
      <c r="AS78" s="35">
        <v>289955976</v>
      </c>
      <c r="AT78" s="35">
        <v>237763900</v>
      </c>
      <c r="AU78" s="35">
        <v>52192076</v>
      </c>
      <c r="AV78" s="35">
        <v>236944501.59999999</v>
      </c>
      <c r="AW78" s="35"/>
      <c r="AX78" s="36"/>
      <c r="AY78" s="35">
        <v>288956709.39999998</v>
      </c>
      <c r="AZ78" s="35">
        <v>236944501.59999999</v>
      </c>
      <c r="BA78" s="35"/>
      <c r="BB78" s="35">
        <v>52012207.799999997</v>
      </c>
      <c r="BC78" s="35">
        <v>18</v>
      </c>
      <c r="BD78" s="35"/>
      <c r="BE78" s="35"/>
      <c r="BF78" s="85">
        <v>236944501.59999999</v>
      </c>
      <c r="BG78" s="27"/>
      <c r="BH78" s="36">
        <v>237763900</v>
      </c>
      <c r="BI78" s="85">
        <v>237763900</v>
      </c>
      <c r="BJ78" s="35"/>
      <c r="BK78" s="35">
        <v>11341465</v>
      </c>
      <c r="BL78" s="35">
        <v>9300000</v>
      </c>
      <c r="BM78" s="35">
        <v>2041465</v>
      </c>
      <c r="BN78" s="35">
        <v>9300000</v>
      </c>
      <c r="BO78" s="35"/>
      <c r="BP78" s="36"/>
      <c r="BQ78" s="35">
        <v>11341465</v>
      </c>
      <c r="BR78" s="35">
        <v>9300000</v>
      </c>
      <c r="BS78" s="35"/>
      <c r="BT78" s="35">
        <v>2041465</v>
      </c>
      <c r="BU78" s="35">
        <v>18.00001</v>
      </c>
      <c r="BV78" s="35"/>
      <c r="BW78" s="35"/>
      <c r="BX78" s="85">
        <v>9300000</v>
      </c>
      <c r="BY78" s="27"/>
      <c r="BZ78" s="36">
        <v>9300000</v>
      </c>
      <c r="CA78" s="85">
        <v>9300000</v>
      </c>
      <c r="CB78" s="35"/>
      <c r="CC78" s="35">
        <v>21003700</v>
      </c>
      <c r="CD78" s="35">
        <v>17223000</v>
      </c>
      <c r="CE78" s="35">
        <v>3780700</v>
      </c>
      <c r="CF78" s="35">
        <v>16060652.279999999</v>
      </c>
      <c r="CG78" s="35"/>
      <c r="CH78" s="36"/>
      <c r="CI78" s="35">
        <v>19586200</v>
      </c>
      <c r="CJ78" s="35">
        <v>16060652.279999999</v>
      </c>
      <c r="CK78" s="35"/>
      <c r="CL78" s="35">
        <v>3525547.72</v>
      </c>
      <c r="CM78" s="35">
        <v>18.000160000000001</v>
      </c>
      <c r="CN78" s="35"/>
      <c r="CO78" s="35"/>
      <c r="CP78" s="85">
        <v>16060652.279999999</v>
      </c>
      <c r="CQ78" s="27"/>
      <c r="CR78" s="36">
        <v>17223000</v>
      </c>
      <c r="CS78" s="85">
        <v>17223000</v>
      </c>
      <c r="CT78" s="35"/>
      <c r="CU78" s="35"/>
      <c r="CV78" s="35"/>
      <c r="CW78" s="35"/>
      <c r="CX78" s="35"/>
      <c r="CY78" s="35"/>
      <c r="CZ78" s="36"/>
      <c r="DA78" s="35"/>
      <c r="DB78" s="35"/>
      <c r="DC78" s="35"/>
      <c r="DD78" s="35"/>
      <c r="DE78" s="35"/>
      <c r="DF78" s="35"/>
      <c r="DG78" s="35"/>
      <c r="DH78" s="85"/>
      <c r="DI78" s="27"/>
      <c r="DJ78" s="36"/>
      <c r="DK78" s="85"/>
      <c r="DL78" s="35"/>
      <c r="DM78" s="35"/>
      <c r="DN78" s="35"/>
      <c r="DO78" s="35"/>
      <c r="DP78" s="35"/>
      <c r="DQ78" s="35"/>
      <c r="DR78" s="36"/>
      <c r="DS78" s="35"/>
      <c r="DT78" s="35"/>
      <c r="DU78" s="35"/>
      <c r="DV78" s="35"/>
      <c r="DW78" s="35"/>
      <c r="DX78" s="35"/>
      <c r="DY78" s="35"/>
      <c r="DZ78" s="85"/>
      <c r="EA78" s="27"/>
      <c r="EB78" s="36"/>
      <c r="EC78" s="85"/>
      <c r="ED78" s="35"/>
      <c r="EE78" s="35">
        <v>81066701</v>
      </c>
      <c r="EF78" s="35">
        <v>78634700</v>
      </c>
      <c r="EG78" s="35">
        <v>2432001</v>
      </c>
      <c r="EH78" s="35">
        <v>78634700</v>
      </c>
      <c r="EI78" s="35"/>
      <c r="EJ78" s="36"/>
      <c r="EK78" s="35">
        <v>81066701</v>
      </c>
      <c r="EL78" s="35">
        <v>78634700</v>
      </c>
      <c r="EM78" s="35"/>
      <c r="EN78" s="35">
        <v>2432001</v>
      </c>
      <c r="EO78" s="35">
        <v>3</v>
      </c>
      <c r="EP78" s="35"/>
      <c r="EQ78" s="35"/>
      <c r="ER78" s="85">
        <v>78634700</v>
      </c>
      <c r="ES78" s="27"/>
      <c r="ET78" s="36">
        <v>78634700</v>
      </c>
      <c r="EU78" s="85">
        <v>78634700</v>
      </c>
      <c r="EV78" s="35"/>
      <c r="EW78" s="35">
        <v>25512800</v>
      </c>
      <c r="EX78" s="35">
        <v>12756400</v>
      </c>
      <c r="EY78" s="35">
        <v>12756400</v>
      </c>
      <c r="EZ78" s="35">
        <v>12756400</v>
      </c>
      <c r="FA78" s="35">
        <v>5758729.1100000003</v>
      </c>
      <c r="FB78" s="36"/>
      <c r="FC78" s="35">
        <v>25512800</v>
      </c>
      <c r="FD78" s="35">
        <v>12756400</v>
      </c>
      <c r="FE78" s="35"/>
      <c r="FF78" s="35">
        <v>12756400</v>
      </c>
      <c r="FG78" s="35">
        <v>50</v>
      </c>
      <c r="FH78" s="35">
        <v>5758729.1100000003</v>
      </c>
      <c r="FI78" s="35"/>
      <c r="FJ78" s="85">
        <v>12756400</v>
      </c>
      <c r="FK78" s="27"/>
      <c r="FL78" s="36">
        <v>12756400</v>
      </c>
      <c r="FM78" s="85">
        <v>12756400</v>
      </c>
      <c r="FN78" s="35"/>
      <c r="FO78" s="35"/>
      <c r="FP78" s="35"/>
      <c r="FQ78" s="35"/>
      <c r="FR78" s="35"/>
      <c r="FS78" s="35">
        <v>565969.38</v>
      </c>
      <c r="FT78" s="36"/>
      <c r="FU78" s="35"/>
      <c r="FV78" s="35"/>
      <c r="FW78" s="35"/>
      <c r="FX78" s="35"/>
      <c r="FY78" s="35"/>
      <c r="FZ78" s="35">
        <v>565969.38</v>
      </c>
      <c r="GA78" s="35"/>
      <c r="GB78" s="85"/>
      <c r="GC78" s="27"/>
      <c r="GD78" s="36"/>
      <c r="GE78" s="85"/>
      <c r="GF78" s="35"/>
      <c r="GG78" s="35">
        <v>77471900</v>
      </c>
      <c r="GH78" s="35">
        <v>31976900</v>
      </c>
      <c r="GI78" s="35">
        <v>45495000</v>
      </c>
      <c r="GJ78" s="35">
        <v>31976900</v>
      </c>
      <c r="GK78" s="35"/>
      <c r="GL78" s="36"/>
      <c r="GM78" s="35">
        <v>77471900</v>
      </c>
      <c r="GN78" s="35">
        <v>31976900</v>
      </c>
      <c r="GO78" s="35"/>
      <c r="GP78" s="35">
        <v>45495000</v>
      </c>
      <c r="GQ78" s="35">
        <v>58.724519999999998</v>
      </c>
      <c r="GR78" s="35"/>
      <c r="GS78" s="35"/>
      <c r="GT78" s="85">
        <v>31976900</v>
      </c>
      <c r="GU78" s="27"/>
      <c r="GV78" s="36">
        <v>31976900</v>
      </c>
      <c r="GW78" s="85">
        <v>31976900</v>
      </c>
      <c r="GX78" s="35"/>
      <c r="GY78" s="35"/>
      <c r="GZ78" s="35"/>
      <c r="HA78" s="35"/>
      <c r="HB78" s="35"/>
      <c r="HC78" s="35"/>
      <c r="HD78" s="36"/>
      <c r="HE78" s="35"/>
      <c r="HF78" s="35"/>
      <c r="HG78" s="35"/>
      <c r="HH78" s="35"/>
      <c r="HI78" s="35"/>
      <c r="HJ78" s="35"/>
      <c r="HK78" s="35"/>
      <c r="HL78" s="85"/>
      <c r="HM78" s="27"/>
      <c r="HN78" s="36"/>
      <c r="HO78" s="85"/>
      <c r="HP78" s="35"/>
      <c r="HQ78" s="35"/>
      <c r="HR78" s="35"/>
      <c r="HS78" s="35"/>
      <c r="HT78" s="35"/>
      <c r="HU78" s="35"/>
      <c r="HV78" s="36"/>
      <c r="HW78" s="35"/>
      <c r="HX78" s="35"/>
      <c r="HY78" s="35"/>
      <c r="HZ78" s="35"/>
      <c r="IA78" s="35"/>
      <c r="IB78" s="35"/>
      <c r="IC78" s="35"/>
      <c r="ID78" s="85"/>
      <c r="IE78" s="27"/>
      <c r="IF78" s="36"/>
      <c r="IG78" s="85"/>
      <c r="IH78" s="35"/>
      <c r="II78" s="35"/>
      <c r="IJ78" s="35"/>
      <c r="IK78" s="35"/>
      <c r="IL78" s="35"/>
      <c r="IM78" s="35"/>
      <c r="IN78" s="36"/>
      <c r="IO78" s="35"/>
      <c r="IP78" s="35"/>
      <c r="IQ78" s="35"/>
      <c r="IR78" s="35"/>
      <c r="IS78" s="35"/>
      <c r="IT78" s="35"/>
      <c r="IU78" s="35"/>
      <c r="IV78" s="85"/>
      <c r="IW78" s="27"/>
      <c r="IX78" s="36"/>
      <c r="IY78" s="85"/>
      <c r="IZ78" s="35"/>
      <c r="JA78" s="35">
        <v>27799199.899999999</v>
      </c>
      <c r="JB78" s="35">
        <v>2209800</v>
      </c>
      <c r="JC78" s="35">
        <v>25589399.899999999</v>
      </c>
      <c r="JD78" s="35">
        <v>2209800</v>
      </c>
      <c r="JE78" s="35"/>
      <c r="JF78" s="36"/>
      <c r="JG78" s="35">
        <v>27799199</v>
      </c>
      <c r="JH78" s="35">
        <v>2209800</v>
      </c>
      <c r="JI78" s="35"/>
      <c r="JJ78" s="35">
        <v>25589399</v>
      </c>
      <c r="JK78" s="35">
        <v>92.050849999999997</v>
      </c>
      <c r="JL78" s="35"/>
      <c r="JM78" s="35"/>
      <c r="JN78" s="85">
        <v>2209800</v>
      </c>
      <c r="JO78" s="27"/>
      <c r="JP78" s="36">
        <v>2209800</v>
      </c>
      <c r="JQ78" s="85">
        <v>2209800</v>
      </c>
      <c r="JR78" s="35"/>
      <c r="JS78" s="35"/>
      <c r="JT78" s="35"/>
      <c r="JU78" s="35"/>
      <c r="JV78" s="35"/>
      <c r="JW78" s="35"/>
      <c r="JX78" s="36"/>
      <c r="JY78" s="35"/>
      <c r="JZ78" s="35"/>
      <c r="KA78" s="35"/>
      <c r="KB78" s="35"/>
      <c r="KC78" s="35"/>
      <c r="KD78" s="35"/>
      <c r="KE78" s="35"/>
      <c r="KF78" s="85"/>
      <c r="KG78" s="27"/>
      <c r="KH78" s="36"/>
      <c r="KI78" s="85"/>
      <c r="KJ78" s="35"/>
      <c r="KK78" s="35"/>
      <c r="KL78" s="35"/>
      <c r="KM78" s="35"/>
      <c r="KN78" s="35"/>
      <c r="KO78" s="35"/>
      <c r="KP78" s="36"/>
      <c r="KQ78" s="35"/>
      <c r="KR78" s="35"/>
      <c r="KS78" s="35"/>
      <c r="KT78" s="35"/>
      <c r="KU78" s="35"/>
      <c r="KV78" s="35"/>
      <c r="KW78" s="35"/>
      <c r="KX78" s="85"/>
      <c r="KY78" s="27"/>
      <c r="KZ78" s="36"/>
      <c r="LA78" s="85"/>
      <c r="LB78" s="35"/>
      <c r="LC78" s="35"/>
      <c r="LD78" s="35"/>
      <c r="LE78" s="35"/>
      <c r="LF78" s="35"/>
      <c r="LG78" s="35"/>
      <c r="LH78" s="36"/>
      <c r="LI78" s="35"/>
      <c r="LJ78" s="35"/>
      <c r="LK78" s="35"/>
      <c r="LL78" s="35"/>
      <c r="LM78" s="35"/>
      <c r="LN78" s="35"/>
      <c r="LO78" s="35"/>
      <c r="LP78" s="85"/>
      <c r="LQ78" s="27"/>
      <c r="LR78" s="36"/>
      <c r="LS78" s="85"/>
      <c r="LT78" s="35"/>
      <c r="LU78" s="35"/>
      <c r="LV78" s="35"/>
      <c r="LW78" s="35"/>
      <c r="LX78" s="35"/>
      <c r="LY78" s="35"/>
      <c r="LZ78" s="36"/>
      <c r="MA78" s="35"/>
      <c r="MB78" s="35"/>
      <c r="MC78" s="35"/>
      <c r="MD78" s="35"/>
      <c r="ME78" s="35"/>
      <c r="MF78" s="35"/>
      <c r="MG78" s="35"/>
      <c r="MH78" s="85"/>
      <c r="MI78" s="27"/>
      <c r="MJ78" s="36"/>
      <c r="MK78" s="85"/>
      <c r="ML78" s="35"/>
      <c r="MM78" s="35"/>
      <c r="MN78" s="35"/>
      <c r="MO78" s="35"/>
      <c r="MP78" s="35"/>
      <c r="MQ78" s="35"/>
      <c r="MR78" s="36"/>
      <c r="MS78" s="35"/>
      <c r="MT78" s="35"/>
      <c r="MU78" s="35"/>
      <c r="MV78" s="35"/>
      <c r="MW78" s="35"/>
      <c r="MX78" s="35"/>
      <c r="MY78" s="35"/>
      <c r="MZ78" s="85"/>
      <c r="NA78" s="27"/>
      <c r="NB78" s="36"/>
      <c r="NC78" s="85"/>
      <c r="ND78" s="35"/>
      <c r="NE78" s="35">
        <v>1268910</v>
      </c>
      <c r="NF78" s="35">
        <v>1040500</v>
      </c>
      <c r="NG78" s="35">
        <v>228410</v>
      </c>
      <c r="NH78" s="35">
        <v>1038611.46</v>
      </c>
      <c r="NI78" s="35"/>
      <c r="NJ78" s="36"/>
      <c r="NK78" s="35">
        <v>1266606.9099999999</v>
      </c>
      <c r="NL78" s="35">
        <v>1038611.46</v>
      </c>
      <c r="NM78" s="35"/>
      <c r="NN78" s="35">
        <v>227995.45</v>
      </c>
      <c r="NO78" s="35">
        <v>18.000489999999999</v>
      </c>
      <c r="NP78" s="35"/>
      <c r="NQ78" s="35"/>
      <c r="NR78" s="85">
        <v>1038611.46</v>
      </c>
      <c r="NS78" s="27"/>
      <c r="NT78" s="36">
        <v>1040500</v>
      </c>
      <c r="NU78" s="85">
        <v>1040500</v>
      </c>
      <c r="NV78" s="35"/>
      <c r="NW78" s="35"/>
      <c r="NX78" s="35"/>
      <c r="NY78" s="35"/>
      <c r="NZ78" s="35"/>
      <c r="OA78" s="35"/>
      <c r="OB78" s="36"/>
      <c r="OC78" s="35"/>
      <c r="OD78" s="35"/>
      <c r="OE78" s="35"/>
      <c r="OF78" s="35"/>
      <c r="OG78" s="35"/>
      <c r="OH78" s="35"/>
      <c r="OI78" s="35"/>
      <c r="OJ78" s="85"/>
      <c r="OK78" s="27"/>
      <c r="OL78" s="36"/>
      <c r="OM78" s="85"/>
      <c r="ON78" s="35"/>
      <c r="OO78" s="35"/>
      <c r="OP78" s="35"/>
      <c r="OQ78" s="35"/>
      <c r="OR78" s="35"/>
      <c r="OS78" s="35"/>
      <c r="OT78" s="36"/>
      <c r="OU78" s="35"/>
      <c r="OV78" s="35"/>
      <c r="OW78" s="35"/>
      <c r="OX78" s="35"/>
      <c r="OY78" s="35"/>
      <c r="OZ78" s="35"/>
      <c r="PA78" s="35"/>
      <c r="PB78" s="85"/>
      <c r="PC78" s="27"/>
      <c r="PD78" s="36"/>
      <c r="PE78" s="85"/>
      <c r="PF78" s="35"/>
      <c r="PG78" s="35"/>
      <c r="PH78" s="35"/>
      <c r="PI78" s="35"/>
      <c r="PJ78" s="35"/>
      <c r="PK78" s="35"/>
      <c r="PL78" s="36"/>
      <c r="PM78" s="35"/>
      <c r="PN78" s="35"/>
      <c r="PO78" s="35"/>
      <c r="PP78" s="35"/>
      <c r="PQ78" s="35"/>
      <c r="PR78" s="35"/>
      <c r="PS78" s="35"/>
      <c r="PT78" s="85"/>
      <c r="PU78" s="27"/>
      <c r="PV78" s="36"/>
      <c r="PW78" s="85"/>
      <c r="PX78" s="35"/>
      <c r="PY78" s="35"/>
      <c r="PZ78" s="35"/>
      <c r="QA78" s="35"/>
      <c r="QB78" s="35"/>
      <c r="QC78" s="35"/>
      <c r="QD78" s="36"/>
      <c r="QE78" s="35"/>
      <c r="QF78" s="35"/>
      <c r="QG78" s="35"/>
      <c r="QH78" s="35"/>
      <c r="QI78" s="35"/>
      <c r="QJ78" s="35"/>
      <c r="QK78" s="35"/>
      <c r="QL78" s="85"/>
      <c r="QM78" s="27"/>
      <c r="QN78" s="36"/>
      <c r="QO78" s="85"/>
      <c r="QP78" s="35"/>
      <c r="QQ78" s="35"/>
      <c r="QR78" s="35"/>
      <c r="QS78" s="35"/>
      <c r="QT78" s="35"/>
      <c r="QU78" s="35"/>
      <c r="QV78" s="36"/>
      <c r="QW78" s="35"/>
      <c r="QX78" s="35"/>
      <c r="QY78" s="35"/>
      <c r="QZ78" s="35"/>
      <c r="RA78" s="35"/>
      <c r="RB78" s="35"/>
      <c r="RC78" s="35"/>
      <c r="RD78" s="85"/>
      <c r="RE78" s="27"/>
      <c r="RF78" s="36"/>
      <c r="RG78" s="85"/>
      <c r="RH78" s="35"/>
      <c r="RI78" s="35"/>
      <c r="RJ78" s="35"/>
      <c r="RK78" s="35"/>
      <c r="RL78" s="35"/>
      <c r="RM78" s="35"/>
      <c r="RN78" s="36"/>
      <c r="RO78" s="35"/>
      <c r="RP78" s="35"/>
      <c r="RQ78" s="35"/>
      <c r="RR78" s="35"/>
      <c r="RS78" s="35"/>
      <c r="RT78" s="35"/>
      <c r="RU78" s="35"/>
      <c r="RV78" s="85"/>
      <c r="RW78" s="27"/>
      <c r="RX78" s="36"/>
      <c r="RY78" s="85"/>
      <c r="RZ78" s="35"/>
      <c r="SA78" s="35"/>
      <c r="SB78" s="35"/>
      <c r="SC78" s="35"/>
      <c r="SD78" s="35"/>
      <c r="SE78" s="35"/>
      <c r="SF78" s="36"/>
      <c r="SG78" s="35"/>
      <c r="SH78" s="35"/>
      <c r="SI78" s="35"/>
      <c r="SJ78" s="35"/>
      <c r="SK78" s="35"/>
      <c r="SL78" s="35"/>
      <c r="SM78" s="35"/>
      <c r="SN78" s="85"/>
      <c r="SO78" s="27"/>
      <c r="SP78" s="36"/>
      <c r="SQ78" s="85"/>
      <c r="SR78" s="35"/>
      <c r="SS78" s="35"/>
      <c r="ST78" s="35"/>
      <c r="SU78" s="35"/>
      <c r="SV78" s="35"/>
      <c r="SW78" s="35"/>
      <c r="SX78" s="36"/>
      <c r="SY78" s="35"/>
      <c r="SZ78" s="35"/>
      <c r="TA78" s="35"/>
      <c r="TB78" s="35"/>
      <c r="TC78" s="35"/>
      <c r="TD78" s="35"/>
      <c r="TE78" s="35"/>
      <c r="TF78" s="85"/>
      <c r="TG78" s="27"/>
      <c r="TH78" s="36"/>
      <c r="TI78" s="85"/>
      <c r="TJ78" s="35"/>
      <c r="TK78" s="35"/>
      <c r="TL78" s="35"/>
      <c r="TM78" s="35"/>
      <c r="TN78" s="35"/>
      <c r="TO78" s="35"/>
      <c r="TP78" s="36"/>
      <c r="TQ78" s="35"/>
      <c r="TR78" s="35"/>
      <c r="TS78" s="35"/>
      <c r="TT78" s="35"/>
      <c r="TU78" s="35"/>
      <c r="TV78" s="35"/>
      <c r="TW78" s="35"/>
      <c r="TX78" s="85"/>
      <c r="TY78" s="27"/>
      <c r="TZ78" s="36"/>
      <c r="UA78" s="85"/>
      <c r="UB78" s="35"/>
      <c r="UC78" s="35"/>
      <c r="UD78" s="35"/>
      <c r="UE78" s="35"/>
      <c r="UF78" s="35"/>
      <c r="UG78" s="35"/>
      <c r="UH78" s="36"/>
      <c r="UI78" s="35"/>
      <c r="UJ78" s="35"/>
      <c r="UK78" s="35"/>
      <c r="UL78" s="35"/>
      <c r="UM78" s="35"/>
      <c r="UN78" s="35"/>
      <c r="UO78" s="35"/>
      <c r="UP78" s="85"/>
      <c r="UQ78" s="27"/>
      <c r="UR78" s="36"/>
      <c r="US78" s="85"/>
    </row>
    <row r="79" spans="1:565" x14ac:dyDescent="0.3">
      <c r="A79" s="8" t="s">
        <v>171</v>
      </c>
      <c r="B79" s="170">
        <v>65</v>
      </c>
      <c r="C79" s="12" t="s">
        <v>173</v>
      </c>
      <c r="F79" s="32"/>
      <c r="G79" s="33"/>
      <c r="H79" s="32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86"/>
      <c r="Z79" s="32"/>
      <c r="AA79" s="33"/>
      <c r="AB79" s="33"/>
      <c r="AC79" s="33"/>
      <c r="AD79" s="33"/>
      <c r="AE79" s="33"/>
      <c r="AF79" s="33"/>
      <c r="AG79" s="33"/>
      <c r="AH79" s="33"/>
      <c r="AI79" s="33"/>
      <c r="AJ79" s="33"/>
      <c r="AK79" s="33"/>
      <c r="AL79" s="33"/>
      <c r="AM79" s="33"/>
      <c r="AN79" s="33"/>
      <c r="AO79" s="33"/>
      <c r="AP79" s="33"/>
      <c r="AQ79" s="86"/>
      <c r="AR79" s="32"/>
      <c r="AS79" s="33"/>
      <c r="AT79" s="33"/>
      <c r="AU79" s="33"/>
      <c r="AV79" s="33"/>
      <c r="AW79" s="33"/>
      <c r="AX79" s="33"/>
      <c r="AY79" s="33"/>
      <c r="AZ79" s="33"/>
      <c r="BA79" s="33"/>
      <c r="BB79" s="33"/>
      <c r="BC79" s="33"/>
      <c r="BD79" s="33"/>
      <c r="BE79" s="33"/>
      <c r="BF79" s="33"/>
      <c r="BG79" s="33"/>
      <c r="BH79" s="33"/>
      <c r="BI79" s="86"/>
      <c r="BJ79" s="148"/>
      <c r="BK79" s="33"/>
      <c r="BL79" s="33"/>
      <c r="BM79" s="33"/>
      <c r="BN79" s="33"/>
      <c r="BO79" s="33"/>
      <c r="BP79" s="33"/>
      <c r="BQ79" s="33"/>
      <c r="BR79" s="33"/>
      <c r="BS79" s="33"/>
      <c r="BT79" s="33"/>
      <c r="BU79" s="33"/>
      <c r="BV79" s="33"/>
      <c r="BW79" s="33"/>
      <c r="BX79" s="33"/>
      <c r="BY79" s="33"/>
      <c r="BZ79" s="33"/>
      <c r="CA79" s="86"/>
      <c r="CB79" s="32"/>
      <c r="CC79" s="33"/>
      <c r="CD79" s="33"/>
      <c r="CE79" s="33"/>
      <c r="CF79" s="33"/>
      <c r="CG79" s="33"/>
      <c r="CH79" s="33"/>
      <c r="CI79" s="33"/>
      <c r="CJ79" s="33"/>
      <c r="CK79" s="33"/>
      <c r="CL79" s="33"/>
      <c r="CM79" s="33"/>
      <c r="CN79" s="33"/>
      <c r="CO79" s="33"/>
      <c r="CP79" s="33"/>
      <c r="CQ79" s="33"/>
      <c r="CR79" s="33"/>
      <c r="CS79" s="86"/>
      <c r="CT79" s="148"/>
      <c r="CU79" s="33"/>
      <c r="CV79" s="33"/>
      <c r="CW79" s="33"/>
      <c r="CX79" s="33"/>
      <c r="CY79" s="33"/>
      <c r="CZ79" s="33"/>
      <c r="DA79" s="33"/>
      <c r="DB79" s="33"/>
      <c r="DC79" s="33"/>
      <c r="DD79" s="33"/>
      <c r="DE79" s="33"/>
      <c r="DF79" s="33"/>
      <c r="DG79" s="33"/>
      <c r="DH79" s="33"/>
      <c r="DI79" s="33"/>
      <c r="DJ79" s="33"/>
      <c r="DK79" s="86"/>
      <c r="DL79" s="148"/>
      <c r="DM79" s="33"/>
      <c r="DN79" s="33"/>
      <c r="DO79" s="33"/>
      <c r="DP79" s="33"/>
      <c r="DQ79" s="33"/>
      <c r="DR79" s="33"/>
      <c r="DS79" s="33"/>
      <c r="DT79" s="33"/>
      <c r="DU79" s="33"/>
      <c r="DV79" s="33"/>
      <c r="DW79" s="33"/>
      <c r="DX79" s="33"/>
      <c r="DY79" s="33"/>
      <c r="DZ79" s="33"/>
      <c r="EA79" s="33"/>
      <c r="EB79" s="33"/>
      <c r="EC79" s="86"/>
      <c r="ED79" s="148"/>
      <c r="EE79" s="33"/>
      <c r="EF79" s="33"/>
      <c r="EG79" s="33"/>
      <c r="EH79" s="33"/>
      <c r="EI79" s="33"/>
      <c r="EJ79" s="33"/>
      <c r="EK79" s="33"/>
      <c r="EL79" s="33"/>
      <c r="EM79" s="33"/>
      <c r="EN79" s="33"/>
      <c r="EO79" s="33"/>
      <c r="EP79" s="33"/>
      <c r="EQ79" s="33"/>
      <c r="ER79" s="33"/>
      <c r="ES79" s="33"/>
      <c r="ET79" s="33"/>
      <c r="EU79" s="86"/>
      <c r="EV79" s="32"/>
      <c r="EW79" s="33"/>
      <c r="EX79" s="33"/>
      <c r="EY79" s="33"/>
      <c r="EZ79" s="33"/>
      <c r="FA79" s="33"/>
      <c r="FB79" s="33"/>
      <c r="FC79" s="33"/>
      <c r="FD79" s="33"/>
      <c r="FE79" s="33"/>
      <c r="FF79" s="33"/>
      <c r="FG79" s="33"/>
      <c r="FH79" s="33"/>
      <c r="FI79" s="33"/>
      <c r="FJ79" s="33"/>
      <c r="FK79" s="33"/>
      <c r="FL79" s="33"/>
      <c r="FM79" s="86"/>
      <c r="FN79" s="148"/>
      <c r="FO79" s="33"/>
      <c r="FP79" s="33"/>
      <c r="FQ79" s="33"/>
      <c r="FR79" s="33"/>
      <c r="FS79" s="33"/>
      <c r="FT79" s="33"/>
      <c r="FU79" s="33"/>
      <c r="FV79" s="33"/>
      <c r="FW79" s="33"/>
      <c r="FX79" s="33"/>
      <c r="FY79" s="33"/>
      <c r="FZ79" s="33"/>
      <c r="GA79" s="33"/>
      <c r="GB79" s="33"/>
      <c r="GC79" s="33"/>
      <c r="GD79" s="33"/>
      <c r="GE79" s="86"/>
      <c r="GF79" s="32"/>
      <c r="GG79" s="33"/>
      <c r="GH79" s="33"/>
      <c r="GI79" s="33"/>
      <c r="GJ79" s="33"/>
      <c r="GK79" s="33"/>
      <c r="GL79" s="33"/>
      <c r="GM79" s="33"/>
      <c r="GN79" s="33"/>
      <c r="GO79" s="33"/>
      <c r="GP79" s="33"/>
      <c r="GQ79" s="33"/>
      <c r="GR79" s="33"/>
      <c r="GS79" s="33"/>
      <c r="GT79" s="33"/>
      <c r="GU79" s="33"/>
      <c r="GV79" s="33"/>
      <c r="GW79" s="86"/>
      <c r="GX79" s="148"/>
      <c r="GY79" s="33"/>
      <c r="GZ79" s="33"/>
      <c r="HA79" s="33"/>
      <c r="HB79" s="33"/>
      <c r="HC79" s="33"/>
      <c r="HD79" s="33"/>
      <c r="HE79" s="33"/>
      <c r="HF79" s="33"/>
      <c r="HG79" s="33"/>
      <c r="HH79" s="33"/>
      <c r="HI79" s="33"/>
      <c r="HJ79" s="33"/>
      <c r="HK79" s="33"/>
      <c r="HL79" s="33"/>
      <c r="HM79" s="33"/>
      <c r="HN79" s="33"/>
      <c r="HO79" s="86"/>
      <c r="HP79" s="148"/>
      <c r="HQ79" s="33"/>
      <c r="HR79" s="33"/>
      <c r="HS79" s="33"/>
      <c r="HT79" s="33"/>
      <c r="HU79" s="33"/>
      <c r="HV79" s="33"/>
      <c r="HW79" s="33"/>
      <c r="HX79" s="33"/>
      <c r="HY79" s="33"/>
      <c r="HZ79" s="33"/>
      <c r="IA79" s="33"/>
      <c r="IB79" s="33"/>
      <c r="IC79" s="33"/>
      <c r="ID79" s="33"/>
      <c r="IE79" s="33"/>
      <c r="IF79" s="33"/>
      <c r="IG79" s="86"/>
      <c r="IH79" s="148"/>
      <c r="II79" s="33"/>
      <c r="IJ79" s="33"/>
      <c r="IK79" s="33"/>
      <c r="IL79" s="33"/>
      <c r="IM79" s="33"/>
      <c r="IN79" s="33"/>
      <c r="IO79" s="33"/>
      <c r="IP79" s="33"/>
      <c r="IQ79" s="33"/>
      <c r="IR79" s="33"/>
      <c r="IS79" s="33"/>
      <c r="IT79" s="33"/>
      <c r="IU79" s="33"/>
      <c r="IV79" s="33"/>
      <c r="IW79" s="33"/>
      <c r="IX79" s="33"/>
      <c r="IY79" s="86"/>
      <c r="IZ79" s="148"/>
      <c r="JA79" s="33"/>
      <c r="JB79" s="33"/>
      <c r="JC79" s="33"/>
      <c r="JD79" s="33"/>
      <c r="JE79" s="33"/>
      <c r="JF79" s="33"/>
      <c r="JG79" s="33"/>
      <c r="JH79" s="33"/>
      <c r="JI79" s="33"/>
      <c r="JJ79" s="33"/>
      <c r="JK79" s="33"/>
      <c r="JL79" s="33"/>
      <c r="JM79" s="33"/>
      <c r="JN79" s="33"/>
      <c r="JO79" s="33"/>
      <c r="JP79" s="33"/>
      <c r="JQ79" s="86"/>
      <c r="JR79" s="148"/>
      <c r="JS79" s="33"/>
      <c r="JT79" s="33"/>
      <c r="JU79" s="33"/>
      <c r="JV79" s="33"/>
      <c r="JW79" s="33"/>
      <c r="JX79" s="33"/>
      <c r="JY79" s="33"/>
      <c r="JZ79" s="33"/>
      <c r="KA79" s="33"/>
      <c r="KB79" s="33"/>
      <c r="KC79" s="33"/>
      <c r="KD79" s="33"/>
      <c r="KE79" s="33"/>
      <c r="KF79" s="33"/>
      <c r="KG79" s="33"/>
      <c r="KH79" s="33"/>
      <c r="KI79" s="86"/>
      <c r="KJ79" s="148"/>
      <c r="KK79" s="33"/>
      <c r="KL79" s="33"/>
      <c r="KM79" s="33"/>
      <c r="KN79" s="33"/>
      <c r="KO79" s="33"/>
      <c r="KP79" s="33"/>
      <c r="KQ79" s="33"/>
      <c r="KR79" s="33"/>
      <c r="KS79" s="33"/>
      <c r="KT79" s="33"/>
      <c r="KU79" s="33"/>
      <c r="KV79" s="33"/>
      <c r="KW79" s="33"/>
      <c r="KX79" s="33"/>
      <c r="KY79" s="33"/>
      <c r="KZ79" s="33"/>
      <c r="LA79" s="86"/>
      <c r="LB79" s="148"/>
      <c r="LC79" s="33"/>
      <c r="LD79" s="33"/>
      <c r="LE79" s="33"/>
      <c r="LF79" s="33"/>
      <c r="LG79" s="33"/>
      <c r="LH79" s="33"/>
      <c r="LI79" s="33"/>
      <c r="LJ79" s="33"/>
      <c r="LK79" s="33"/>
      <c r="LL79" s="33"/>
      <c r="LM79" s="33"/>
      <c r="LN79" s="33"/>
      <c r="LO79" s="33"/>
      <c r="LP79" s="33"/>
      <c r="LQ79" s="33"/>
      <c r="LR79" s="33"/>
      <c r="LS79" s="86"/>
      <c r="LT79" s="148"/>
      <c r="LU79" s="33"/>
      <c r="LV79" s="33"/>
      <c r="LW79" s="33"/>
      <c r="LX79" s="33"/>
      <c r="LY79" s="33"/>
      <c r="LZ79" s="33"/>
      <c r="MA79" s="33"/>
      <c r="MB79" s="31"/>
      <c r="MC79" s="33"/>
      <c r="MD79" s="33"/>
      <c r="ME79" s="33"/>
      <c r="MF79" s="33"/>
      <c r="MG79" s="33"/>
      <c r="MH79" s="33"/>
      <c r="MI79" s="33"/>
      <c r="MJ79" s="33"/>
      <c r="MK79" s="86"/>
      <c r="ML79" s="148"/>
      <c r="MM79" s="33"/>
      <c r="MN79" s="33"/>
      <c r="MO79" s="33"/>
      <c r="MP79" s="33"/>
      <c r="MQ79" s="33"/>
      <c r="MR79" s="33"/>
      <c r="MS79" s="33"/>
      <c r="MT79" s="33"/>
      <c r="MU79" s="33"/>
      <c r="MV79" s="33"/>
      <c r="MW79" s="33"/>
      <c r="MX79" s="33"/>
      <c r="MY79" s="33"/>
      <c r="MZ79" s="33"/>
      <c r="NA79" s="33"/>
      <c r="NB79" s="33"/>
      <c r="NC79" s="86"/>
      <c r="ND79" s="32"/>
      <c r="NE79" s="33"/>
      <c r="NF79" s="33"/>
      <c r="NG79" s="33"/>
      <c r="NH79" s="33"/>
      <c r="NI79" s="33"/>
      <c r="NJ79" s="33"/>
      <c r="NK79" s="33"/>
      <c r="NL79" s="33"/>
      <c r="NM79" s="33"/>
      <c r="NN79" s="33"/>
      <c r="NO79" s="33"/>
      <c r="NP79" s="33"/>
      <c r="NQ79" s="33"/>
      <c r="NR79" s="33"/>
      <c r="NS79" s="33"/>
      <c r="NT79" s="33"/>
      <c r="NU79" s="86"/>
      <c r="NV79" s="148"/>
      <c r="NW79" s="33"/>
      <c r="NX79" s="33"/>
      <c r="NY79" s="33"/>
      <c r="NZ79" s="33"/>
      <c r="OA79" s="33"/>
      <c r="OB79" s="33"/>
      <c r="OC79" s="33"/>
      <c r="OD79" s="33"/>
      <c r="OE79" s="33"/>
      <c r="OF79" s="33"/>
      <c r="OG79" s="33"/>
      <c r="OH79" s="33"/>
      <c r="OI79" s="33"/>
      <c r="OJ79" s="33"/>
      <c r="OK79" s="33"/>
      <c r="OL79" s="33"/>
      <c r="OM79" s="86"/>
      <c r="ON79" s="32"/>
      <c r="OO79" s="33"/>
      <c r="OP79" s="33"/>
      <c r="OQ79" s="33"/>
      <c r="OR79" s="33"/>
      <c r="OS79" s="33"/>
      <c r="OT79" s="33"/>
      <c r="OU79" s="33"/>
      <c r="OV79" s="33"/>
      <c r="OW79" s="33"/>
      <c r="OX79" s="33"/>
      <c r="OY79" s="33"/>
      <c r="OZ79" s="33"/>
      <c r="PA79" s="33"/>
      <c r="PB79" s="33"/>
      <c r="PC79" s="33"/>
      <c r="PD79" s="33"/>
      <c r="PE79" s="86"/>
      <c r="PF79" s="148"/>
      <c r="PG79" s="33"/>
      <c r="PH79" s="33"/>
      <c r="PI79" s="33"/>
      <c r="PJ79" s="33"/>
      <c r="PK79" s="33"/>
      <c r="PL79" s="33"/>
      <c r="PM79" s="33"/>
      <c r="PN79" s="31"/>
      <c r="PO79" s="33"/>
      <c r="PP79" s="33"/>
      <c r="PQ79" s="33"/>
      <c r="PR79" s="33"/>
      <c r="PS79" s="33"/>
      <c r="PT79" s="33"/>
      <c r="PU79" s="33"/>
      <c r="PV79" s="33"/>
      <c r="PW79" s="86"/>
      <c r="PX79" s="148"/>
      <c r="PY79" s="33"/>
      <c r="PZ79" s="33"/>
      <c r="QA79" s="33"/>
      <c r="QB79" s="33"/>
      <c r="QC79" s="33"/>
      <c r="QD79" s="33"/>
      <c r="QE79" s="33"/>
      <c r="QF79" s="31"/>
      <c r="QG79" s="33"/>
      <c r="QH79" s="33"/>
      <c r="QI79" s="33"/>
      <c r="QJ79" s="33"/>
      <c r="QK79" s="33"/>
      <c r="QL79" s="33"/>
      <c r="QM79" s="33"/>
      <c r="QN79" s="33"/>
      <c r="QO79" s="86"/>
      <c r="QP79" s="148"/>
      <c r="QQ79" s="33"/>
      <c r="QR79" s="33"/>
      <c r="QS79" s="33"/>
      <c r="QT79" s="33"/>
      <c r="QU79" s="33"/>
      <c r="QV79" s="33"/>
      <c r="QW79" s="33"/>
      <c r="QX79" s="31"/>
      <c r="QY79" s="33"/>
      <c r="QZ79" s="33"/>
      <c r="RA79" s="33"/>
      <c r="RB79" s="33"/>
      <c r="RC79" s="33"/>
      <c r="RD79" s="33"/>
      <c r="RE79" s="33"/>
      <c r="RF79" s="33"/>
      <c r="RG79" s="86"/>
      <c r="RH79" s="148"/>
      <c r="RI79" s="33"/>
      <c r="RJ79" s="33"/>
      <c r="RK79" s="33"/>
      <c r="RL79" s="33"/>
      <c r="RM79" s="33"/>
      <c r="RN79" s="33"/>
      <c r="RO79" s="33"/>
      <c r="RP79" s="31"/>
      <c r="RQ79" s="33"/>
      <c r="RR79" s="33"/>
      <c r="RS79" s="33"/>
      <c r="RT79" s="33"/>
      <c r="RU79" s="33"/>
      <c r="RV79" s="33"/>
      <c r="RW79" s="33"/>
      <c r="RX79" s="33"/>
      <c r="RY79" s="86"/>
      <c r="RZ79" s="148"/>
      <c r="SA79" s="33"/>
      <c r="SB79" s="33"/>
      <c r="SC79" s="33"/>
      <c r="SD79" s="33"/>
      <c r="SE79" s="33"/>
      <c r="SF79" s="33"/>
      <c r="SG79" s="33"/>
      <c r="SH79" s="31"/>
      <c r="SI79" s="33"/>
      <c r="SJ79" s="33"/>
      <c r="SK79" s="33"/>
      <c r="SL79" s="33"/>
      <c r="SM79" s="33"/>
      <c r="SN79" s="33"/>
      <c r="SO79" s="33"/>
      <c r="SP79" s="33"/>
      <c r="SQ79" s="86"/>
      <c r="SR79" s="148"/>
      <c r="SS79" s="33"/>
      <c r="ST79" s="33"/>
      <c r="SU79" s="33"/>
      <c r="SV79" s="33"/>
      <c r="SW79" s="33"/>
      <c r="SX79" s="33"/>
      <c r="SY79" s="33"/>
      <c r="SZ79" s="31"/>
      <c r="TA79" s="33"/>
      <c r="TB79" s="33"/>
      <c r="TC79" s="33"/>
      <c r="TD79" s="33"/>
      <c r="TE79" s="33"/>
      <c r="TF79" s="33"/>
      <c r="TG79" s="33"/>
      <c r="TH79" s="33"/>
      <c r="TI79" s="86"/>
      <c r="TJ79" s="148"/>
      <c r="TK79" s="33"/>
      <c r="TL79" s="33"/>
      <c r="TM79" s="33"/>
      <c r="TN79" s="33"/>
      <c r="TO79" s="33"/>
      <c r="TP79" s="33"/>
      <c r="TQ79" s="33"/>
      <c r="TR79" s="31"/>
      <c r="TS79" s="33"/>
      <c r="TT79" s="33"/>
      <c r="TU79" s="33"/>
      <c r="TV79" s="33"/>
      <c r="TW79" s="33"/>
      <c r="TX79" s="33"/>
      <c r="TY79" s="33"/>
      <c r="TZ79" s="33"/>
      <c r="UA79" s="86"/>
      <c r="UB79" s="148"/>
      <c r="UC79" s="33"/>
      <c r="UD79" s="33"/>
      <c r="UE79" s="33"/>
      <c r="UF79" s="33"/>
      <c r="UG79" s="33"/>
      <c r="UH79" s="33"/>
      <c r="UI79" s="33"/>
      <c r="UJ79" s="31"/>
      <c r="UK79" s="33"/>
      <c r="UL79" s="33"/>
      <c r="UM79" s="33"/>
      <c r="UN79" s="33"/>
      <c r="UO79" s="33"/>
      <c r="UP79" s="33"/>
      <c r="UQ79" s="33"/>
      <c r="UR79" s="33"/>
      <c r="US79" s="86"/>
    </row>
    <row r="80" spans="1:565" x14ac:dyDescent="0.3">
      <c r="A80" s="8" t="s">
        <v>174</v>
      </c>
      <c r="B80" s="168">
        <v>66</v>
      </c>
      <c r="C80" s="13" t="s">
        <v>176</v>
      </c>
      <c r="F80" s="36">
        <v>850995000</v>
      </c>
      <c r="G80" s="85"/>
      <c r="H80" s="35"/>
      <c r="I80" s="35">
        <v>283020538</v>
      </c>
      <c r="J80" s="35">
        <v>263209100</v>
      </c>
      <c r="K80" s="35">
        <v>19811438</v>
      </c>
      <c r="L80" s="35">
        <v>263209100</v>
      </c>
      <c r="M80" s="35">
        <v>921218.67</v>
      </c>
      <c r="N80" s="36"/>
      <c r="O80" s="35">
        <v>283020538</v>
      </c>
      <c r="P80" s="35">
        <v>263209100</v>
      </c>
      <c r="Q80" s="35"/>
      <c r="R80" s="35">
        <v>19811438</v>
      </c>
      <c r="S80" s="35">
        <v>7</v>
      </c>
      <c r="T80" s="35">
        <v>921218.67</v>
      </c>
      <c r="U80" s="35"/>
      <c r="V80" s="85">
        <v>263209100</v>
      </c>
      <c r="W80" s="27"/>
      <c r="X80" s="36">
        <v>263209100</v>
      </c>
      <c r="Y80" s="85">
        <v>263209100</v>
      </c>
      <c r="Z80" s="35"/>
      <c r="AA80" s="35">
        <v>29853549</v>
      </c>
      <c r="AB80" s="35">
        <v>27763800</v>
      </c>
      <c r="AC80" s="35">
        <v>2089749</v>
      </c>
      <c r="AD80" s="35">
        <v>27763800</v>
      </c>
      <c r="AE80" s="35">
        <v>4440.3100000000004</v>
      </c>
      <c r="AF80" s="36"/>
      <c r="AG80" s="35">
        <v>29853549</v>
      </c>
      <c r="AH80" s="35">
        <v>27763800</v>
      </c>
      <c r="AI80" s="35"/>
      <c r="AJ80" s="35">
        <v>2089749</v>
      </c>
      <c r="AK80" s="35">
        <v>7</v>
      </c>
      <c r="AL80" s="35">
        <v>4440.3100000000004</v>
      </c>
      <c r="AM80" s="35"/>
      <c r="AN80" s="85">
        <v>27763800</v>
      </c>
      <c r="AO80" s="27"/>
      <c r="AP80" s="36">
        <v>27763800</v>
      </c>
      <c r="AQ80" s="85">
        <v>27763800</v>
      </c>
      <c r="AR80" s="35"/>
      <c r="AS80" s="35">
        <v>267272045</v>
      </c>
      <c r="AT80" s="35">
        <v>248563000</v>
      </c>
      <c r="AU80" s="35">
        <v>18709045</v>
      </c>
      <c r="AV80" s="35">
        <v>248563000</v>
      </c>
      <c r="AW80" s="35">
        <v>4007955</v>
      </c>
      <c r="AX80" s="36"/>
      <c r="AY80" s="35">
        <v>267272045</v>
      </c>
      <c r="AZ80" s="35">
        <v>248563000</v>
      </c>
      <c r="BA80" s="35"/>
      <c r="BB80" s="35">
        <v>18709045</v>
      </c>
      <c r="BC80" s="35">
        <v>7</v>
      </c>
      <c r="BD80" s="35">
        <v>4007955</v>
      </c>
      <c r="BE80" s="35"/>
      <c r="BF80" s="85">
        <v>248563000</v>
      </c>
      <c r="BG80" s="27"/>
      <c r="BH80" s="36">
        <v>248563000</v>
      </c>
      <c r="BI80" s="85">
        <v>248563000</v>
      </c>
      <c r="BJ80" s="35"/>
      <c r="BK80" s="35">
        <v>16129032.26</v>
      </c>
      <c r="BL80" s="35">
        <v>15000000</v>
      </c>
      <c r="BM80" s="35">
        <v>1129032.26</v>
      </c>
      <c r="BN80" s="35">
        <v>15000000</v>
      </c>
      <c r="BO80" s="35"/>
      <c r="BP80" s="36"/>
      <c r="BQ80" s="35">
        <v>16129032.26</v>
      </c>
      <c r="BR80" s="35">
        <v>15000000</v>
      </c>
      <c r="BS80" s="35"/>
      <c r="BT80" s="35">
        <v>1129032.26</v>
      </c>
      <c r="BU80" s="35">
        <v>7</v>
      </c>
      <c r="BV80" s="35"/>
      <c r="BW80" s="35"/>
      <c r="BX80" s="85">
        <v>15000000</v>
      </c>
      <c r="BY80" s="27"/>
      <c r="BZ80" s="36">
        <v>15000000</v>
      </c>
      <c r="CA80" s="85">
        <v>15000000</v>
      </c>
      <c r="CB80" s="35"/>
      <c r="CC80" s="35">
        <v>103647634.42</v>
      </c>
      <c r="CD80" s="35">
        <v>96392300</v>
      </c>
      <c r="CE80" s="35">
        <v>7255334.4199999999</v>
      </c>
      <c r="CF80" s="35">
        <v>96392300</v>
      </c>
      <c r="CG80" s="35"/>
      <c r="CH80" s="36"/>
      <c r="CI80" s="35">
        <v>103647634.42</v>
      </c>
      <c r="CJ80" s="35">
        <v>96392300</v>
      </c>
      <c r="CK80" s="35"/>
      <c r="CL80" s="35">
        <v>7255334.4199999999</v>
      </c>
      <c r="CM80" s="35">
        <v>7</v>
      </c>
      <c r="CN80" s="35"/>
      <c r="CO80" s="35"/>
      <c r="CP80" s="85">
        <v>96392300</v>
      </c>
      <c r="CQ80" s="27"/>
      <c r="CR80" s="36">
        <v>96392300</v>
      </c>
      <c r="CS80" s="85">
        <v>96392300</v>
      </c>
      <c r="CT80" s="35"/>
      <c r="CU80" s="35"/>
      <c r="CV80" s="35"/>
      <c r="CW80" s="35"/>
      <c r="CX80" s="35"/>
      <c r="CY80" s="35"/>
      <c r="CZ80" s="36"/>
      <c r="DA80" s="35"/>
      <c r="DB80" s="35"/>
      <c r="DC80" s="35"/>
      <c r="DD80" s="35"/>
      <c r="DE80" s="35"/>
      <c r="DF80" s="35"/>
      <c r="DG80" s="35"/>
      <c r="DH80" s="85"/>
      <c r="DI80" s="27"/>
      <c r="DJ80" s="36"/>
      <c r="DK80" s="85"/>
      <c r="DL80" s="35"/>
      <c r="DM80" s="35">
        <v>39160967.740000002</v>
      </c>
      <c r="DN80" s="35">
        <v>36419700</v>
      </c>
      <c r="DO80" s="35">
        <v>2741267.74</v>
      </c>
      <c r="DP80" s="35">
        <v>33726740.490000002</v>
      </c>
      <c r="DQ80" s="35"/>
      <c r="DR80" s="36"/>
      <c r="DS80" s="35">
        <v>36265312.350000001</v>
      </c>
      <c r="DT80" s="35">
        <v>33726740.490000002</v>
      </c>
      <c r="DU80" s="35"/>
      <c r="DV80" s="35">
        <v>2538571.86</v>
      </c>
      <c r="DW80" s="35">
        <v>7</v>
      </c>
      <c r="DX80" s="35"/>
      <c r="DY80" s="35"/>
      <c r="DZ80" s="85">
        <v>33726740.490000002</v>
      </c>
      <c r="EA80" s="27"/>
      <c r="EB80" s="36">
        <v>36419700</v>
      </c>
      <c r="EC80" s="85">
        <v>36419700</v>
      </c>
      <c r="ED80" s="35"/>
      <c r="EE80" s="35">
        <v>66937244.899999999</v>
      </c>
      <c r="EF80" s="35">
        <v>65598500</v>
      </c>
      <c r="EG80" s="35">
        <v>1338744.8999999999</v>
      </c>
      <c r="EH80" s="35">
        <v>65598500</v>
      </c>
      <c r="EI80" s="35"/>
      <c r="EJ80" s="36"/>
      <c r="EK80" s="35">
        <v>66937244.899999999</v>
      </c>
      <c r="EL80" s="35">
        <v>65598500</v>
      </c>
      <c r="EM80" s="35"/>
      <c r="EN80" s="35">
        <v>1338744.8999999999</v>
      </c>
      <c r="EO80" s="35">
        <v>2</v>
      </c>
      <c r="EP80" s="35"/>
      <c r="EQ80" s="35"/>
      <c r="ER80" s="85">
        <v>65598500</v>
      </c>
      <c r="ES80" s="27"/>
      <c r="ET80" s="36">
        <v>65598500</v>
      </c>
      <c r="EU80" s="85">
        <v>65598500</v>
      </c>
      <c r="EV80" s="35"/>
      <c r="EW80" s="35">
        <v>83992900</v>
      </c>
      <c r="EX80" s="35">
        <v>33592900</v>
      </c>
      <c r="EY80" s="35">
        <v>50400000</v>
      </c>
      <c r="EZ80" s="35">
        <v>33592900</v>
      </c>
      <c r="FA80" s="35"/>
      <c r="FB80" s="36"/>
      <c r="FC80" s="35">
        <v>83992900</v>
      </c>
      <c r="FD80" s="35">
        <v>33592900</v>
      </c>
      <c r="FE80" s="35"/>
      <c r="FF80" s="35">
        <v>50400000</v>
      </c>
      <c r="FG80" s="35">
        <v>60.005070000000003</v>
      </c>
      <c r="FH80" s="35"/>
      <c r="FI80" s="35"/>
      <c r="FJ80" s="85">
        <v>33592900</v>
      </c>
      <c r="FK80" s="27"/>
      <c r="FL80" s="36">
        <v>33592900</v>
      </c>
      <c r="FM80" s="85">
        <v>33592900</v>
      </c>
      <c r="FN80" s="35"/>
      <c r="FO80" s="35"/>
      <c r="FP80" s="35"/>
      <c r="FQ80" s="35"/>
      <c r="FR80" s="35"/>
      <c r="FS80" s="35"/>
      <c r="FT80" s="36"/>
      <c r="FU80" s="35"/>
      <c r="FV80" s="35"/>
      <c r="FW80" s="35"/>
      <c r="FX80" s="35"/>
      <c r="FY80" s="35"/>
      <c r="FZ80" s="35"/>
      <c r="GA80" s="35"/>
      <c r="GB80" s="85"/>
      <c r="GC80" s="27"/>
      <c r="GD80" s="36"/>
      <c r="GE80" s="85"/>
      <c r="GF80" s="35"/>
      <c r="GG80" s="35">
        <v>120842300</v>
      </c>
      <c r="GH80" s="35">
        <v>45676000</v>
      </c>
      <c r="GI80" s="35">
        <v>75166300</v>
      </c>
      <c r="GJ80" s="35">
        <v>44863812.450000003</v>
      </c>
      <c r="GK80" s="35"/>
      <c r="GL80" s="36"/>
      <c r="GM80" s="35">
        <v>118285079.19</v>
      </c>
      <c r="GN80" s="35">
        <v>44863812.450000003</v>
      </c>
      <c r="GO80" s="35"/>
      <c r="GP80" s="35">
        <v>73421266.739999995</v>
      </c>
      <c r="GQ80" s="35">
        <v>62.071449999999999</v>
      </c>
      <c r="GR80" s="35"/>
      <c r="GS80" s="35"/>
      <c r="GT80" s="85">
        <v>44863812.450000003</v>
      </c>
      <c r="GU80" s="27"/>
      <c r="GV80" s="36">
        <v>45676000</v>
      </c>
      <c r="GW80" s="85">
        <v>45676000</v>
      </c>
      <c r="GX80" s="35"/>
      <c r="GY80" s="35"/>
      <c r="GZ80" s="35"/>
      <c r="HA80" s="35"/>
      <c r="HB80" s="35"/>
      <c r="HC80" s="35"/>
      <c r="HD80" s="36"/>
      <c r="HE80" s="35"/>
      <c r="HF80" s="35"/>
      <c r="HG80" s="35"/>
      <c r="HH80" s="35"/>
      <c r="HI80" s="35"/>
      <c r="HJ80" s="35"/>
      <c r="HK80" s="35"/>
      <c r="HL80" s="85"/>
      <c r="HM80" s="27"/>
      <c r="HN80" s="36"/>
      <c r="HO80" s="85"/>
      <c r="HP80" s="35"/>
      <c r="HQ80" s="35"/>
      <c r="HR80" s="35"/>
      <c r="HS80" s="35"/>
      <c r="HT80" s="35"/>
      <c r="HU80" s="35"/>
      <c r="HV80" s="36"/>
      <c r="HW80" s="35"/>
      <c r="HX80" s="35"/>
      <c r="HY80" s="35"/>
      <c r="HZ80" s="35"/>
      <c r="IA80" s="35"/>
      <c r="IB80" s="35"/>
      <c r="IC80" s="35"/>
      <c r="ID80" s="85"/>
      <c r="IE80" s="27"/>
      <c r="IF80" s="36"/>
      <c r="IG80" s="85"/>
      <c r="IH80" s="35"/>
      <c r="II80" s="35"/>
      <c r="IJ80" s="35"/>
      <c r="IK80" s="35"/>
      <c r="IL80" s="35"/>
      <c r="IM80" s="35"/>
      <c r="IN80" s="36"/>
      <c r="IO80" s="35"/>
      <c r="IP80" s="35"/>
      <c r="IQ80" s="35"/>
      <c r="IR80" s="35"/>
      <c r="IS80" s="35"/>
      <c r="IT80" s="35"/>
      <c r="IU80" s="35"/>
      <c r="IV80" s="85"/>
      <c r="IW80" s="27"/>
      <c r="IX80" s="36"/>
      <c r="IY80" s="85"/>
      <c r="IZ80" s="35"/>
      <c r="JA80" s="35"/>
      <c r="JB80" s="35"/>
      <c r="JC80" s="35"/>
      <c r="JD80" s="35"/>
      <c r="JE80" s="35"/>
      <c r="JF80" s="36"/>
      <c r="JG80" s="35"/>
      <c r="JH80" s="35"/>
      <c r="JI80" s="35"/>
      <c r="JJ80" s="35"/>
      <c r="JK80" s="35"/>
      <c r="JL80" s="35"/>
      <c r="JM80" s="35"/>
      <c r="JN80" s="85"/>
      <c r="JO80" s="27"/>
      <c r="JP80" s="36"/>
      <c r="JQ80" s="85"/>
      <c r="JR80" s="35"/>
      <c r="JS80" s="35"/>
      <c r="JT80" s="35"/>
      <c r="JU80" s="35"/>
      <c r="JV80" s="35"/>
      <c r="JW80" s="35"/>
      <c r="JX80" s="36"/>
      <c r="JY80" s="35"/>
      <c r="JZ80" s="35"/>
      <c r="KA80" s="35"/>
      <c r="KB80" s="35"/>
      <c r="KC80" s="35"/>
      <c r="KD80" s="35"/>
      <c r="KE80" s="35"/>
      <c r="KF80" s="85"/>
      <c r="KG80" s="27"/>
      <c r="KH80" s="36"/>
      <c r="KI80" s="85"/>
      <c r="KJ80" s="35"/>
      <c r="KK80" s="35">
        <v>4708900</v>
      </c>
      <c r="KL80" s="35">
        <v>2003000</v>
      </c>
      <c r="KM80" s="35">
        <v>2705900</v>
      </c>
      <c r="KN80" s="35">
        <v>1999324.91</v>
      </c>
      <c r="KO80" s="35"/>
      <c r="KP80" s="36"/>
      <c r="KQ80" s="35">
        <v>4700260.1500000004</v>
      </c>
      <c r="KR80" s="35">
        <v>1999324.91</v>
      </c>
      <c r="KS80" s="35"/>
      <c r="KT80" s="35">
        <v>2700935.24</v>
      </c>
      <c r="KU80" s="35">
        <v>57.463529999999999</v>
      </c>
      <c r="KV80" s="35"/>
      <c r="KW80" s="35"/>
      <c r="KX80" s="85">
        <v>1999324.91</v>
      </c>
      <c r="KY80" s="27"/>
      <c r="KZ80" s="36">
        <v>2003000</v>
      </c>
      <c r="LA80" s="85">
        <v>2003000</v>
      </c>
      <c r="LB80" s="35"/>
      <c r="LC80" s="35"/>
      <c r="LD80" s="35"/>
      <c r="LE80" s="35"/>
      <c r="LF80" s="35"/>
      <c r="LG80" s="35"/>
      <c r="LH80" s="36"/>
      <c r="LI80" s="35"/>
      <c r="LJ80" s="35"/>
      <c r="LK80" s="35"/>
      <c r="LL80" s="35"/>
      <c r="LM80" s="35"/>
      <c r="LN80" s="35"/>
      <c r="LO80" s="35"/>
      <c r="LP80" s="85"/>
      <c r="LQ80" s="27"/>
      <c r="LR80" s="36"/>
      <c r="LS80" s="85"/>
      <c r="LT80" s="35"/>
      <c r="LU80" s="35">
        <v>21946300</v>
      </c>
      <c r="LV80" s="35">
        <v>15605300</v>
      </c>
      <c r="LW80" s="35">
        <v>6341000</v>
      </c>
      <c r="LX80" s="35">
        <v>14892307.539999999</v>
      </c>
      <c r="LY80" s="35"/>
      <c r="LZ80" s="36"/>
      <c r="MA80" s="35">
        <v>20943592.82</v>
      </c>
      <c r="MB80" s="35">
        <v>14892307.539999999</v>
      </c>
      <c r="MC80" s="35"/>
      <c r="MD80" s="35">
        <v>6051285.2800000003</v>
      </c>
      <c r="ME80" s="35">
        <v>28.893249999999998</v>
      </c>
      <c r="MF80" s="35"/>
      <c r="MG80" s="35"/>
      <c r="MH80" s="85">
        <v>14892307.539999999</v>
      </c>
      <c r="MI80" s="27"/>
      <c r="MJ80" s="36">
        <v>15605300</v>
      </c>
      <c r="MK80" s="85">
        <v>15605300</v>
      </c>
      <c r="ML80" s="35"/>
      <c r="MM80" s="35"/>
      <c r="MN80" s="35"/>
      <c r="MO80" s="35"/>
      <c r="MP80" s="35"/>
      <c r="MQ80" s="35"/>
      <c r="MR80" s="36"/>
      <c r="MS80" s="35"/>
      <c r="MT80" s="35"/>
      <c r="MU80" s="35"/>
      <c r="MV80" s="35"/>
      <c r="MW80" s="35"/>
      <c r="MX80" s="35"/>
      <c r="MY80" s="35"/>
      <c r="MZ80" s="85"/>
      <c r="NA80" s="27"/>
      <c r="NB80" s="36"/>
      <c r="NC80" s="85"/>
      <c r="ND80" s="35"/>
      <c r="NE80" s="35">
        <v>6171400</v>
      </c>
      <c r="NF80" s="35">
        <v>1171400</v>
      </c>
      <c r="NG80" s="35">
        <v>5000000</v>
      </c>
      <c r="NH80" s="35">
        <v>1171400</v>
      </c>
      <c r="NI80" s="35"/>
      <c r="NJ80" s="36"/>
      <c r="NK80" s="35">
        <v>6171400</v>
      </c>
      <c r="NL80" s="35">
        <v>1171400</v>
      </c>
      <c r="NM80" s="35"/>
      <c r="NN80" s="35">
        <v>5000000</v>
      </c>
      <c r="NO80" s="35">
        <v>81.018889999999999</v>
      </c>
      <c r="NP80" s="35"/>
      <c r="NQ80" s="35"/>
      <c r="NR80" s="85">
        <v>1171400</v>
      </c>
      <c r="NS80" s="27"/>
      <c r="NT80" s="36">
        <v>1171400</v>
      </c>
      <c r="NU80" s="85">
        <v>1171400</v>
      </c>
      <c r="NV80" s="35"/>
      <c r="NW80" s="35"/>
      <c r="NX80" s="35"/>
      <c r="NY80" s="35"/>
      <c r="NZ80" s="35"/>
      <c r="OA80" s="35"/>
      <c r="OB80" s="36"/>
      <c r="OC80" s="35"/>
      <c r="OD80" s="35"/>
      <c r="OE80" s="35"/>
      <c r="OF80" s="35"/>
      <c r="OG80" s="35"/>
      <c r="OH80" s="35"/>
      <c r="OI80" s="35"/>
      <c r="OJ80" s="85"/>
      <c r="OK80" s="27"/>
      <c r="OL80" s="36"/>
      <c r="OM80" s="85"/>
      <c r="ON80" s="35"/>
      <c r="OO80" s="35"/>
      <c r="OP80" s="35"/>
      <c r="OQ80" s="35"/>
      <c r="OR80" s="35"/>
      <c r="OS80" s="35">
        <v>747801.38</v>
      </c>
      <c r="OT80" s="36"/>
      <c r="OU80" s="35"/>
      <c r="OV80" s="35"/>
      <c r="OW80" s="35"/>
      <c r="OX80" s="35"/>
      <c r="OY80" s="35"/>
      <c r="OZ80" s="35">
        <v>747801.38</v>
      </c>
      <c r="PA80" s="35"/>
      <c r="PB80" s="85"/>
      <c r="PC80" s="27"/>
      <c r="PD80" s="36"/>
      <c r="PE80" s="85"/>
      <c r="PF80" s="35"/>
      <c r="PG80" s="35"/>
      <c r="PH80" s="35"/>
      <c r="PI80" s="35"/>
      <c r="PJ80" s="35"/>
      <c r="PK80" s="35"/>
      <c r="PL80" s="36"/>
      <c r="PM80" s="35"/>
      <c r="PN80" s="35"/>
      <c r="PO80" s="35"/>
      <c r="PP80" s="35"/>
      <c r="PQ80" s="35"/>
      <c r="PR80" s="35"/>
      <c r="PS80" s="35"/>
      <c r="PT80" s="85"/>
      <c r="PU80" s="27"/>
      <c r="PV80" s="36"/>
      <c r="PW80" s="85"/>
      <c r="PX80" s="35"/>
      <c r="PY80" s="35"/>
      <c r="PZ80" s="35"/>
      <c r="QA80" s="35"/>
      <c r="QB80" s="35"/>
      <c r="QC80" s="35"/>
      <c r="QD80" s="36"/>
      <c r="QE80" s="35"/>
      <c r="QF80" s="35"/>
      <c r="QG80" s="35"/>
      <c r="QH80" s="35"/>
      <c r="QI80" s="35"/>
      <c r="QJ80" s="35"/>
      <c r="QK80" s="35"/>
      <c r="QL80" s="85"/>
      <c r="QM80" s="27"/>
      <c r="QN80" s="36"/>
      <c r="QO80" s="85"/>
      <c r="QP80" s="35"/>
      <c r="QQ80" s="35"/>
      <c r="QR80" s="35"/>
      <c r="QS80" s="35"/>
      <c r="QT80" s="35"/>
      <c r="QU80" s="35"/>
      <c r="QV80" s="36"/>
      <c r="QW80" s="35"/>
      <c r="QX80" s="35"/>
      <c r="QY80" s="35"/>
      <c r="QZ80" s="35"/>
      <c r="RA80" s="35"/>
      <c r="RB80" s="35"/>
      <c r="RC80" s="35"/>
      <c r="RD80" s="85"/>
      <c r="RE80" s="27"/>
      <c r="RF80" s="36"/>
      <c r="RG80" s="85"/>
      <c r="RH80" s="35"/>
      <c r="RI80" s="35"/>
      <c r="RJ80" s="35"/>
      <c r="RK80" s="35"/>
      <c r="RL80" s="35"/>
      <c r="RM80" s="35">
        <v>26291.58</v>
      </c>
      <c r="RN80" s="36"/>
      <c r="RO80" s="35"/>
      <c r="RP80" s="35"/>
      <c r="RQ80" s="35"/>
      <c r="RR80" s="35"/>
      <c r="RS80" s="35"/>
      <c r="RT80" s="35">
        <v>26291.58</v>
      </c>
      <c r="RU80" s="35"/>
      <c r="RV80" s="85"/>
      <c r="RW80" s="27"/>
      <c r="RX80" s="36"/>
      <c r="RY80" s="85"/>
      <c r="RZ80" s="35"/>
      <c r="SA80" s="35"/>
      <c r="SB80" s="35"/>
      <c r="SC80" s="35"/>
      <c r="SD80" s="35"/>
      <c r="SE80" s="35"/>
      <c r="SF80" s="36"/>
      <c r="SG80" s="35"/>
      <c r="SH80" s="35"/>
      <c r="SI80" s="35"/>
      <c r="SJ80" s="35"/>
      <c r="SK80" s="35"/>
      <c r="SL80" s="35"/>
      <c r="SM80" s="35"/>
      <c r="SN80" s="85"/>
      <c r="SO80" s="27"/>
      <c r="SP80" s="36"/>
      <c r="SQ80" s="85"/>
      <c r="SR80" s="35"/>
      <c r="SS80" s="35"/>
      <c r="ST80" s="35"/>
      <c r="SU80" s="35"/>
      <c r="SV80" s="35"/>
      <c r="SW80" s="35"/>
      <c r="SX80" s="36"/>
      <c r="SY80" s="35"/>
      <c r="SZ80" s="35"/>
      <c r="TA80" s="35"/>
      <c r="TB80" s="35"/>
      <c r="TC80" s="35"/>
      <c r="TD80" s="35"/>
      <c r="TE80" s="35"/>
      <c r="TF80" s="85"/>
      <c r="TG80" s="27"/>
      <c r="TH80" s="36"/>
      <c r="TI80" s="85"/>
      <c r="TJ80" s="35"/>
      <c r="TK80" s="35"/>
      <c r="TL80" s="35"/>
      <c r="TM80" s="35"/>
      <c r="TN80" s="35"/>
      <c r="TO80" s="35"/>
      <c r="TP80" s="36"/>
      <c r="TQ80" s="35"/>
      <c r="TR80" s="35"/>
      <c r="TS80" s="35"/>
      <c r="TT80" s="35"/>
      <c r="TU80" s="35"/>
      <c r="TV80" s="35"/>
      <c r="TW80" s="35"/>
      <c r="TX80" s="85"/>
      <c r="TY80" s="27"/>
      <c r="TZ80" s="36"/>
      <c r="UA80" s="85"/>
      <c r="UB80" s="35"/>
      <c r="UC80" s="35"/>
      <c r="UD80" s="35"/>
      <c r="UE80" s="35"/>
      <c r="UF80" s="35"/>
      <c r="UG80" s="35"/>
      <c r="UH80" s="36"/>
      <c r="UI80" s="35"/>
      <c r="UJ80" s="35"/>
      <c r="UK80" s="35"/>
      <c r="UL80" s="35"/>
      <c r="UM80" s="35"/>
      <c r="UN80" s="35"/>
      <c r="UO80" s="35"/>
      <c r="UP80" s="85"/>
      <c r="UQ80" s="27"/>
      <c r="UR80" s="36"/>
      <c r="US80" s="85"/>
    </row>
    <row r="81" spans="1:565" x14ac:dyDescent="0.3">
      <c r="A81" s="8" t="s">
        <v>177</v>
      </c>
      <c r="B81" s="170">
        <v>67</v>
      </c>
      <c r="C81" s="13" t="s">
        <v>179</v>
      </c>
      <c r="F81" s="36">
        <v>977943500</v>
      </c>
      <c r="G81" s="85"/>
      <c r="H81" s="35"/>
      <c r="I81" s="35">
        <v>237877700</v>
      </c>
      <c r="J81" s="35">
        <v>159378000</v>
      </c>
      <c r="K81" s="35">
        <v>78499700</v>
      </c>
      <c r="L81" s="35">
        <v>159378000</v>
      </c>
      <c r="M81" s="35">
        <v>1496859.6</v>
      </c>
      <c r="N81" s="36"/>
      <c r="O81" s="35">
        <v>237877700</v>
      </c>
      <c r="P81" s="35">
        <v>159378000</v>
      </c>
      <c r="Q81" s="35"/>
      <c r="R81" s="35">
        <v>78499700</v>
      </c>
      <c r="S81" s="35">
        <v>33.000019999999999</v>
      </c>
      <c r="T81" s="35">
        <v>1496859.6</v>
      </c>
      <c r="U81" s="35"/>
      <c r="V81" s="85">
        <v>159378000</v>
      </c>
      <c r="W81" s="27"/>
      <c r="X81" s="36">
        <v>159378000</v>
      </c>
      <c r="Y81" s="85">
        <v>159378000</v>
      </c>
      <c r="Z81" s="35"/>
      <c r="AA81" s="35">
        <v>392479300</v>
      </c>
      <c r="AB81" s="35">
        <v>262961100</v>
      </c>
      <c r="AC81" s="35">
        <v>129518200</v>
      </c>
      <c r="AD81" s="35">
        <v>262961100</v>
      </c>
      <c r="AE81" s="35">
        <v>2005730.78</v>
      </c>
      <c r="AF81" s="36"/>
      <c r="AG81" s="35">
        <v>392479300</v>
      </c>
      <c r="AH81" s="35">
        <v>262961100</v>
      </c>
      <c r="AI81" s="35"/>
      <c r="AJ81" s="35">
        <v>129518200</v>
      </c>
      <c r="AK81" s="35">
        <v>33.000010000000003</v>
      </c>
      <c r="AL81" s="35">
        <v>2005730.78</v>
      </c>
      <c r="AM81" s="35"/>
      <c r="AN81" s="85">
        <v>262961100</v>
      </c>
      <c r="AO81" s="27"/>
      <c r="AP81" s="36">
        <v>262961100</v>
      </c>
      <c r="AQ81" s="85">
        <v>262961100</v>
      </c>
      <c r="AR81" s="35"/>
      <c r="AS81" s="35">
        <v>544976100</v>
      </c>
      <c r="AT81" s="35">
        <v>365133900</v>
      </c>
      <c r="AU81" s="35">
        <v>179842200</v>
      </c>
      <c r="AV81" s="35">
        <v>365133900</v>
      </c>
      <c r="AW81" s="35">
        <v>4742560.55</v>
      </c>
      <c r="AX81" s="36"/>
      <c r="AY81" s="35">
        <v>544976100</v>
      </c>
      <c r="AZ81" s="35">
        <v>365133900</v>
      </c>
      <c r="BA81" s="35"/>
      <c r="BB81" s="35">
        <v>179842200</v>
      </c>
      <c r="BC81" s="35">
        <v>33.000019999999999</v>
      </c>
      <c r="BD81" s="35">
        <v>4742560.55</v>
      </c>
      <c r="BE81" s="35"/>
      <c r="BF81" s="85">
        <v>365133900</v>
      </c>
      <c r="BG81" s="27"/>
      <c r="BH81" s="36">
        <v>365133900</v>
      </c>
      <c r="BI81" s="85">
        <v>365133900</v>
      </c>
      <c r="BJ81" s="35"/>
      <c r="BK81" s="35">
        <v>51480300</v>
      </c>
      <c r="BL81" s="35">
        <v>38094900</v>
      </c>
      <c r="BM81" s="35">
        <v>13385400</v>
      </c>
      <c r="BN81" s="35">
        <v>37779790.420000002</v>
      </c>
      <c r="BO81" s="35">
        <v>186.82</v>
      </c>
      <c r="BP81" s="36"/>
      <c r="BQ81" s="35">
        <v>51053130.979999997</v>
      </c>
      <c r="BR81" s="35">
        <v>37779790.380000003</v>
      </c>
      <c r="BS81" s="35"/>
      <c r="BT81" s="35">
        <v>13273340.6</v>
      </c>
      <c r="BU81" s="35">
        <v>25.99907</v>
      </c>
      <c r="BV81" s="35">
        <v>186.82</v>
      </c>
      <c r="BW81" s="35">
        <v>0.04</v>
      </c>
      <c r="BX81" s="85">
        <v>37779790.420000002</v>
      </c>
      <c r="BY81" s="27"/>
      <c r="BZ81" s="36">
        <v>38094900</v>
      </c>
      <c r="CA81" s="85">
        <v>38094900</v>
      </c>
      <c r="CB81" s="35"/>
      <c r="CC81" s="35">
        <v>25814400</v>
      </c>
      <c r="CD81" s="35">
        <v>17295600</v>
      </c>
      <c r="CE81" s="35">
        <v>8518800</v>
      </c>
      <c r="CF81" s="35">
        <v>13549836.279999999</v>
      </c>
      <c r="CG81" s="35">
        <v>738372.61</v>
      </c>
      <c r="CH81" s="36"/>
      <c r="CI81" s="35">
        <v>20223692.359999999</v>
      </c>
      <c r="CJ81" s="35">
        <v>13549836.279999999</v>
      </c>
      <c r="CK81" s="35"/>
      <c r="CL81" s="35">
        <v>6673856.0800000001</v>
      </c>
      <c r="CM81" s="35">
        <v>33.000190000000003</v>
      </c>
      <c r="CN81" s="35">
        <v>738372.61</v>
      </c>
      <c r="CO81" s="35"/>
      <c r="CP81" s="85">
        <v>13549836.279999999</v>
      </c>
      <c r="CQ81" s="27"/>
      <c r="CR81" s="36">
        <v>17295600</v>
      </c>
      <c r="CS81" s="85">
        <v>17295600</v>
      </c>
      <c r="CT81" s="35"/>
      <c r="CU81" s="35"/>
      <c r="CV81" s="35"/>
      <c r="CW81" s="35"/>
      <c r="CX81" s="35"/>
      <c r="CY81" s="35"/>
      <c r="CZ81" s="36"/>
      <c r="DA81" s="35"/>
      <c r="DB81" s="35"/>
      <c r="DC81" s="35"/>
      <c r="DD81" s="35"/>
      <c r="DE81" s="35"/>
      <c r="DF81" s="35"/>
      <c r="DG81" s="35"/>
      <c r="DH81" s="85"/>
      <c r="DI81" s="27"/>
      <c r="DJ81" s="36"/>
      <c r="DK81" s="85"/>
      <c r="DL81" s="35"/>
      <c r="DM81" s="35"/>
      <c r="DN81" s="35"/>
      <c r="DO81" s="35"/>
      <c r="DP81" s="35"/>
      <c r="DQ81" s="35"/>
      <c r="DR81" s="36"/>
      <c r="DS81" s="35"/>
      <c r="DT81" s="35"/>
      <c r="DU81" s="35"/>
      <c r="DV81" s="35"/>
      <c r="DW81" s="35"/>
      <c r="DX81" s="35"/>
      <c r="DY81" s="35"/>
      <c r="DZ81" s="85"/>
      <c r="EA81" s="27"/>
      <c r="EB81" s="36"/>
      <c r="EC81" s="85"/>
      <c r="ED81" s="35"/>
      <c r="EE81" s="35">
        <v>81309100</v>
      </c>
      <c r="EF81" s="35">
        <v>75617400</v>
      </c>
      <c r="EG81" s="35">
        <v>5691700</v>
      </c>
      <c r="EH81" s="35">
        <v>75616193.230000004</v>
      </c>
      <c r="EI81" s="35"/>
      <c r="EJ81" s="36"/>
      <c r="EK81" s="35">
        <v>81307802.370000005</v>
      </c>
      <c r="EL81" s="35">
        <v>75616193.230000004</v>
      </c>
      <c r="EM81" s="35"/>
      <c r="EN81" s="35">
        <v>5691609.1399999997</v>
      </c>
      <c r="EO81" s="35">
        <v>7.0000799999999996</v>
      </c>
      <c r="EP81" s="35"/>
      <c r="EQ81" s="35"/>
      <c r="ER81" s="85">
        <v>75616193.230000004</v>
      </c>
      <c r="ES81" s="27"/>
      <c r="ET81" s="36">
        <v>75617400</v>
      </c>
      <c r="EU81" s="85">
        <v>75617400</v>
      </c>
      <c r="EV81" s="35"/>
      <c r="EW81" s="35">
        <v>43548000</v>
      </c>
      <c r="EX81" s="35">
        <v>29177100</v>
      </c>
      <c r="EY81" s="35">
        <v>14370900</v>
      </c>
      <c r="EZ81" s="35">
        <v>29177100</v>
      </c>
      <c r="FA81" s="35">
        <v>75857.119999999995</v>
      </c>
      <c r="FB81" s="36"/>
      <c r="FC81" s="35">
        <v>43548000</v>
      </c>
      <c r="FD81" s="35">
        <v>29177100</v>
      </c>
      <c r="FE81" s="35"/>
      <c r="FF81" s="35">
        <v>14370900</v>
      </c>
      <c r="FG81" s="35">
        <v>33.000140000000002</v>
      </c>
      <c r="FH81" s="35">
        <v>75857.119999999995</v>
      </c>
      <c r="FI81" s="35"/>
      <c r="FJ81" s="85">
        <v>29177100</v>
      </c>
      <c r="FK81" s="27"/>
      <c r="FL81" s="36">
        <v>29177100</v>
      </c>
      <c r="FM81" s="85">
        <v>29177100</v>
      </c>
      <c r="FN81" s="35"/>
      <c r="FO81" s="35"/>
      <c r="FP81" s="35"/>
      <c r="FQ81" s="35"/>
      <c r="FR81" s="35"/>
      <c r="FS81" s="35"/>
      <c r="FT81" s="36"/>
      <c r="FU81" s="35"/>
      <c r="FV81" s="35"/>
      <c r="FW81" s="35"/>
      <c r="FX81" s="35"/>
      <c r="FY81" s="35"/>
      <c r="FZ81" s="35"/>
      <c r="GA81" s="35"/>
      <c r="GB81" s="85"/>
      <c r="GC81" s="27"/>
      <c r="GD81" s="36"/>
      <c r="GE81" s="85"/>
      <c r="GF81" s="35"/>
      <c r="GG81" s="35">
        <v>44614400</v>
      </c>
      <c r="GH81" s="35">
        <v>29891600</v>
      </c>
      <c r="GI81" s="35">
        <v>14722800</v>
      </c>
      <c r="GJ81" s="35">
        <v>29891483.84</v>
      </c>
      <c r="GK81" s="35"/>
      <c r="GL81" s="36"/>
      <c r="GM81" s="35">
        <v>44614226.630000003</v>
      </c>
      <c r="GN81" s="35">
        <v>29891483.84</v>
      </c>
      <c r="GO81" s="35"/>
      <c r="GP81" s="35">
        <v>14722742.789999999</v>
      </c>
      <c r="GQ81" s="35">
        <v>33.000109999999999</v>
      </c>
      <c r="GR81" s="35"/>
      <c r="GS81" s="35"/>
      <c r="GT81" s="85">
        <v>29891483.84</v>
      </c>
      <c r="GU81" s="27"/>
      <c r="GV81" s="36">
        <v>29891600</v>
      </c>
      <c r="GW81" s="85">
        <v>29891600</v>
      </c>
      <c r="GX81" s="35"/>
      <c r="GY81" s="35"/>
      <c r="GZ81" s="35"/>
      <c r="HA81" s="35"/>
      <c r="HB81" s="35"/>
      <c r="HC81" s="35"/>
      <c r="HD81" s="36"/>
      <c r="HE81" s="35"/>
      <c r="HF81" s="35"/>
      <c r="HG81" s="35"/>
      <c r="HH81" s="35"/>
      <c r="HI81" s="35"/>
      <c r="HJ81" s="35"/>
      <c r="HK81" s="35"/>
      <c r="HL81" s="85"/>
      <c r="HM81" s="27"/>
      <c r="HN81" s="36"/>
      <c r="HO81" s="85"/>
      <c r="HP81" s="35"/>
      <c r="HQ81" s="35"/>
      <c r="HR81" s="35"/>
      <c r="HS81" s="35"/>
      <c r="HT81" s="35"/>
      <c r="HU81" s="35"/>
      <c r="HV81" s="36"/>
      <c r="HW81" s="35"/>
      <c r="HX81" s="35"/>
      <c r="HY81" s="35"/>
      <c r="HZ81" s="35"/>
      <c r="IA81" s="35"/>
      <c r="IB81" s="35"/>
      <c r="IC81" s="35"/>
      <c r="ID81" s="85"/>
      <c r="IE81" s="27"/>
      <c r="IF81" s="36"/>
      <c r="IG81" s="85"/>
      <c r="IH81" s="35"/>
      <c r="II81" s="35"/>
      <c r="IJ81" s="35"/>
      <c r="IK81" s="35"/>
      <c r="IL81" s="35"/>
      <c r="IM81" s="35"/>
      <c r="IN81" s="36"/>
      <c r="IO81" s="35"/>
      <c r="IP81" s="35"/>
      <c r="IQ81" s="35"/>
      <c r="IR81" s="35"/>
      <c r="IS81" s="35"/>
      <c r="IT81" s="35"/>
      <c r="IU81" s="35"/>
      <c r="IV81" s="85"/>
      <c r="IW81" s="27"/>
      <c r="IX81" s="36"/>
      <c r="IY81" s="85"/>
      <c r="IZ81" s="35"/>
      <c r="JA81" s="35"/>
      <c r="JB81" s="35"/>
      <c r="JC81" s="35"/>
      <c r="JD81" s="35"/>
      <c r="JE81" s="35"/>
      <c r="JF81" s="36"/>
      <c r="JG81" s="35"/>
      <c r="JH81" s="35"/>
      <c r="JI81" s="35"/>
      <c r="JJ81" s="35"/>
      <c r="JK81" s="35"/>
      <c r="JL81" s="35"/>
      <c r="JM81" s="35"/>
      <c r="JN81" s="85"/>
      <c r="JO81" s="27"/>
      <c r="JP81" s="36"/>
      <c r="JQ81" s="85"/>
      <c r="JR81" s="35"/>
      <c r="JS81" s="35"/>
      <c r="JT81" s="35"/>
      <c r="JU81" s="35"/>
      <c r="JV81" s="35"/>
      <c r="JW81" s="35"/>
      <c r="JX81" s="36"/>
      <c r="JY81" s="35"/>
      <c r="JZ81" s="35"/>
      <c r="KA81" s="35"/>
      <c r="KB81" s="35"/>
      <c r="KC81" s="35"/>
      <c r="KD81" s="35"/>
      <c r="KE81" s="35"/>
      <c r="KF81" s="85"/>
      <c r="KG81" s="27"/>
      <c r="KH81" s="36"/>
      <c r="KI81" s="85"/>
      <c r="KJ81" s="35"/>
      <c r="KK81" s="35"/>
      <c r="KL81" s="35"/>
      <c r="KM81" s="35"/>
      <c r="KN81" s="35"/>
      <c r="KO81" s="35"/>
      <c r="KP81" s="36"/>
      <c r="KQ81" s="35"/>
      <c r="KR81" s="35"/>
      <c r="KS81" s="35"/>
      <c r="KT81" s="35"/>
      <c r="KU81" s="35"/>
      <c r="KV81" s="35"/>
      <c r="KW81" s="35"/>
      <c r="KX81" s="85"/>
      <c r="KY81" s="27"/>
      <c r="KZ81" s="36"/>
      <c r="LA81" s="85"/>
      <c r="LB81" s="35"/>
      <c r="LC81" s="35"/>
      <c r="LD81" s="35"/>
      <c r="LE81" s="35"/>
      <c r="LF81" s="35"/>
      <c r="LG81" s="35"/>
      <c r="LH81" s="36"/>
      <c r="LI81" s="35"/>
      <c r="LJ81" s="35"/>
      <c r="LK81" s="35"/>
      <c r="LL81" s="35"/>
      <c r="LM81" s="35"/>
      <c r="LN81" s="35"/>
      <c r="LO81" s="35"/>
      <c r="LP81" s="85"/>
      <c r="LQ81" s="27"/>
      <c r="LR81" s="36"/>
      <c r="LS81" s="85"/>
      <c r="LT81" s="35"/>
      <c r="LU81" s="35"/>
      <c r="LV81" s="35"/>
      <c r="LW81" s="35"/>
      <c r="LX81" s="35"/>
      <c r="LY81" s="35"/>
      <c r="LZ81" s="36"/>
      <c r="MA81" s="35"/>
      <c r="MB81" s="35"/>
      <c r="MC81" s="35"/>
      <c r="MD81" s="35"/>
      <c r="ME81" s="35"/>
      <c r="MF81" s="35"/>
      <c r="MG81" s="35"/>
      <c r="MH81" s="85"/>
      <c r="MI81" s="27"/>
      <c r="MJ81" s="36"/>
      <c r="MK81" s="85"/>
      <c r="ML81" s="35"/>
      <c r="MM81" s="35"/>
      <c r="MN81" s="35"/>
      <c r="MO81" s="35"/>
      <c r="MP81" s="35"/>
      <c r="MQ81" s="35"/>
      <c r="MR81" s="36"/>
      <c r="MS81" s="35"/>
      <c r="MT81" s="35"/>
      <c r="MU81" s="35"/>
      <c r="MV81" s="35"/>
      <c r="MW81" s="35"/>
      <c r="MX81" s="35"/>
      <c r="MY81" s="35"/>
      <c r="MZ81" s="85"/>
      <c r="NA81" s="27"/>
      <c r="NB81" s="36"/>
      <c r="NC81" s="85"/>
      <c r="ND81" s="35"/>
      <c r="NE81" s="35">
        <v>588000</v>
      </c>
      <c r="NF81" s="35">
        <v>393900</v>
      </c>
      <c r="NG81" s="35">
        <v>194100</v>
      </c>
      <c r="NH81" s="35">
        <v>393900</v>
      </c>
      <c r="NI81" s="35"/>
      <c r="NJ81" s="36"/>
      <c r="NK81" s="35">
        <v>588000</v>
      </c>
      <c r="NL81" s="35">
        <v>393900</v>
      </c>
      <c r="NM81" s="35"/>
      <c r="NN81" s="35">
        <v>194100</v>
      </c>
      <c r="NO81" s="35">
        <v>33.010199999999998</v>
      </c>
      <c r="NP81" s="35"/>
      <c r="NQ81" s="35"/>
      <c r="NR81" s="85">
        <v>393900</v>
      </c>
      <c r="NS81" s="27"/>
      <c r="NT81" s="36">
        <v>393900</v>
      </c>
      <c r="NU81" s="85">
        <v>393900</v>
      </c>
      <c r="NV81" s="35"/>
      <c r="NW81" s="35"/>
      <c r="NX81" s="35"/>
      <c r="NY81" s="35"/>
      <c r="NZ81" s="35"/>
      <c r="OA81" s="35"/>
      <c r="OB81" s="36"/>
      <c r="OC81" s="35"/>
      <c r="OD81" s="35"/>
      <c r="OE81" s="35"/>
      <c r="OF81" s="35"/>
      <c r="OG81" s="35"/>
      <c r="OH81" s="35"/>
      <c r="OI81" s="35"/>
      <c r="OJ81" s="85"/>
      <c r="OK81" s="27"/>
      <c r="OL81" s="36"/>
      <c r="OM81" s="85"/>
      <c r="ON81" s="35"/>
      <c r="OO81" s="35"/>
      <c r="OP81" s="35"/>
      <c r="OQ81" s="35"/>
      <c r="OR81" s="35"/>
      <c r="OS81" s="35"/>
      <c r="OT81" s="36"/>
      <c r="OU81" s="35"/>
      <c r="OV81" s="35"/>
      <c r="OW81" s="35"/>
      <c r="OX81" s="35"/>
      <c r="OY81" s="35"/>
      <c r="OZ81" s="35"/>
      <c r="PA81" s="35"/>
      <c r="PB81" s="85"/>
      <c r="PC81" s="27"/>
      <c r="PD81" s="36"/>
      <c r="PE81" s="85"/>
      <c r="PF81" s="35"/>
      <c r="PG81" s="35"/>
      <c r="PH81" s="35"/>
      <c r="PI81" s="35"/>
      <c r="PJ81" s="35"/>
      <c r="PK81" s="35"/>
      <c r="PL81" s="36"/>
      <c r="PM81" s="35"/>
      <c r="PN81" s="35"/>
      <c r="PO81" s="35"/>
      <c r="PP81" s="35"/>
      <c r="PQ81" s="35"/>
      <c r="PR81" s="35"/>
      <c r="PS81" s="35"/>
      <c r="PT81" s="85"/>
      <c r="PU81" s="27"/>
      <c r="PV81" s="36"/>
      <c r="PW81" s="85"/>
      <c r="PX81" s="35"/>
      <c r="PY81" s="35"/>
      <c r="PZ81" s="35"/>
      <c r="QA81" s="35"/>
      <c r="QB81" s="35"/>
      <c r="QC81" s="35"/>
      <c r="QD81" s="36"/>
      <c r="QE81" s="35"/>
      <c r="QF81" s="35"/>
      <c r="QG81" s="35"/>
      <c r="QH81" s="35"/>
      <c r="QI81" s="35"/>
      <c r="QJ81" s="35"/>
      <c r="QK81" s="35"/>
      <c r="QL81" s="85"/>
      <c r="QM81" s="27"/>
      <c r="QN81" s="36"/>
      <c r="QO81" s="85"/>
      <c r="QP81" s="35"/>
      <c r="QQ81" s="35"/>
      <c r="QR81" s="35"/>
      <c r="QS81" s="35"/>
      <c r="QT81" s="35"/>
      <c r="QU81" s="35"/>
      <c r="QV81" s="36"/>
      <c r="QW81" s="35"/>
      <c r="QX81" s="35"/>
      <c r="QY81" s="35"/>
      <c r="QZ81" s="35"/>
      <c r="RA81" s="35"/>
      <c r="RB81" s="35"/>
      <c r="RC81" s="35"/>
      <c r="RD81" s="85"/>
      <c r="RE81" s="27"/>
      <c r="RF81" s="36"/>
      <c r="RG81" s="85"/>
      <c r="RH81" s="35"/>
      <c r="RI81" s="35"/>
      <c r="RJ81" s="35"/>
      <c r="RK81" s="35"/>
      <c r="RL81" s="35"/>
      <c r="RM81" s="35"/>
      <c r="RN81" s="36"/>
      <c r="RO81" s="35"/>
      <c r="RP81" s="35"/>
      <c r="RQ81" s="35"/>
      <c r="RR81" s="35"/>
      <c r="RS81" s="35"/>
      <c r="RT81" s="35"/>
      <c r="RU81" s="35"/>
      <c r="RV81" s="85"/>
      <c r="RW81" s="27"/>
      <c r="RX81" s="36"/>
      <c r="RY81" s="85"/>
      <c r="RZ81" s="35"/>
      <c r="SA81" s="35"/>
      <c r="SB81" s="35"/>
      <c r="SC81" s="35"/>
      <c r="SD81" s="35"/>
      <c r="SE81" s="35"/>
      <c r="SF81" s="36"/>
      <c r="SG81" s="35"/>
      <c r="SH81" s="35"/>
      <c r="SI81" s="35"/>
      <c r="SJ81" s="35"/>
      <c r="SK81" s="35"/>
      <c r="SL81" s="35"/>
      <c r="SM81" s="35"/>
      <c r="SN81" s="85"/>
      <c r="SO81" s="27"/>
      <c r="SP81" s="36"/>
      <c r="SQ81" s="85"/>
      <c r="SR81" s="35"/>
      <c r="SS81" s="35"/>
      <c r="ST81" s="35"/>
      <c r="SU81" s="35"/>
      <c r="SV81" s="35"/>
      <c r="SW81" s="35"/>
      <c r="SX81" s="36"/>
      <c r="SY81" s="35"/>
      <c r="SZ81" s="35"/>
      <c r="TA81" s="35"/>
      <c r="TB81" s="35"/>
      <c r="TC81" s="35"/>
      <c r="TD81" s="35"/>
      <c r="TE81" s="35"/>
      <c r="TF81" s="85"/>
      <c r="TG81" s="27"/>
      <c r="TH81" s="36"/>
      <c r="TI81" s="85"/>
      <c r="TJ81" s="35"/>
      <c r="TK81" s="35"/>
      <c r="TL81" s="35"/>
      <c r="TM81" s="35"/>
      <c r="TN81" s="35"/>
      <c r="TO81" s="35"/>
      <c r="TP81" s="36"/>
      <c r="TQ81" s="35"/>
      <c r="TR81" s="35"/>
      <c r="TS81" s="35"/>
      <c r="TT81" s="35"/>
      <c r="TU81" s="35"/>
      <c r="TV81" s="35"/>
      <c r="TW81" s="35"/>
      <c r="TX81" s="85"/>
      <c r="TY81" s="27"/>
      <c r="TZ81" s="36"/>
      <c r="UA81" s="85"/>
      <c r="UB81" s="35"/>
      <c r="UC81" s="35"/>
      <c r="UD81" s="35"/>
      <c r="UE81" s="35"/>
      <c r="UF81" s="35"/>
      <c r="UG81" s="35"/>
      <c r="UH81" s="36"/>
      <c r="UI81" s="35"/>
      <c r="UJ81" s="35"/>
      <c r="UK81" s="35"/>
      <c r="UL81" s="35"/>
      <c r="UM81" s="35"/>
      <c r="UN81" s="35"/>
      <c r="UO81" s="35"/>
      <c r="UP81" s="85"/>
      <c r="UQ81" s="27"/>
      <c r="UR81" s="36"/>
      <c r="US81" s="85"/>
    </row>
    <row r="82" spans="1:565" x14ac:dyDescent="0.3">
      <c r="A82" s="8" t="s">
        <v>180</v>
      </c>
      <c r="B82" s="170">
        <v>68</v>
      </c>
      <c r="C82" s="13" t="s">
        <v>182</v>
      </c>
      <c r="F82" s="36">
        <v>727504400</v>
      </c>
      <c r="G82" s="85"/>
      <c r="H82" s="35"/>
      <c r="I82" s="35">
        <v>772709146</v>
      </c>
      <c r="J82" s="35">
        <v>158089000</v>
      </c>
      <c r="K82" s="35">
        <v>614620146</v>
      </c>
      <c r="L82" s="35">
        <v>158089000</v>
      </c>
      <c r="M82" s="35">
        <v>82815.42</v>
      </c>
      <c r="N82" s="36"/>
      <c r="O82" s="35">
        <v>772709146</v>
      </c>
      <c r="P82" s="35">
        <v>158089000</v>
      </c>
      <c r="Q82" s="35"/>
      <c r="R82" s="35">
        <v>614620146</v>
      </c>
      <c r="S82" s="35">
        <v>79.540940000000006</v>
      </c>
      <c r="T82" s="35">
        <v>82815.42</v>
      </c>
      <c r="U82" s="35"/>
      <c r="V82" s="85">
        <v>158089000</v>
      </c>
      <c r="W82" s="27"/>
      <c r="X82" s="36">
        <v>158089000</v>
      </c>
      <c r="Y82" s="85">
        <v>158089000</v>
      </c>
      <c r="Z82" s="35"/>
      <c r="AA82" s="35">
        <v>781566730</v>
      </c>
      <c r="AB82" s="35">
        <v>41358800</v>
      </c>
      <c r="AC82" s="35">
        <v>740207930</v>
      </c>
      <c r="AD82" s="35">
        <v>41358800</v>
      </c>
      <c r="AE82" s="35">
        <v>85655.45</v>
      </c>
      <c r="AF82" s="36"/>
      <c r="AG82" s="35">
        <v>781566730</v>
      </c>
      <c r="AH82" s="35">
        <v>41358800</v>
      </c>
      <c r="AI82" s="35"/>
      <c r="AJ82" s="35">
        <v>740207930</v>
      </c>
      <c r="AK82" s="35">
        <v>94.708219999999997</v>
      </c>
      <c r="AL82" s="35">
        <v>85655.45</v>
      </c>
      <c r="AM82" s="35"/>
      <c r="AN82" s="85">
        <v>41358800</v>
      </c>
      <c r="AO82" s="27"/>
      <c r="AP82" s="36">
        <v>41358800</v>
      </c>
      <c r="AQ82" s="85">
        <v>41358800</v>
      </c>
      <c r="AR82" s="35"/>
      <c r="AS82" s="35">
        <v>609720000</v>
      </c>
      <c r="AT82" s="35">
        <v>134138400</v>
      </c>
      <c r="AU82" s="35">
        <v>475581600</v>
      </c>
      <c r="AV82" s="35">
        <v>62259442.960000001</v>
      </c>
      <c r="AW82" s="35">
        <v>2589985.11</v>
      </c>
      <c r="AX82" s="36"/>
      <c r="AY82" s="35">
        <v>282997467.91000003</v>
      </c>
      <c r="AZ82" s="35">
        <v>62259442.960000001</v>
      </c>
      <c r="BA82" s="35"/>
      <c r="BB82" s="35">
        <v>220738024.94999999</v>
      </c>
      <c r="BC82" s="35">
        <v>78</v>
      </c>
      <c r="BD82" s="35">
        <v>1086485.1100000001</v>
      </c>
      <c r="BE82" s="35">
        <v>1503500</v>
      </c>
      <c r="BF82" s="85">
        <v>62259442.960000001</v>
      </c>
      <c r="BG82" s="27"/>
      <c r="BH82" s="36">
        <v>134138400</v>
      </c>
      <c r="BI82" s="85">
        <v>134138400</v>
      </c>
      <c r="BJ82" s="35"/>
      <c r="BK82" s="35">
        <v>499733940</v>
      </c>
      <c r="BL82" s="35">
        <v>355618700</v>
      </c>
      <c r="BM82" s="35">
        <v>144115240</v>
      </c>
      <c r="BN82" s="35">
        <v>355599239.14999998</v>
      </c>
      <c r="BO82" s="35">
        <v>1501242.9</v>
      </c>
      <c r="BP82" s="36"/>
      <c r="BQ82" s="35">
        <v>499708908</v>
      </c>
      <c r="BR82" s="35">
        <v>355599239.14999998</v>
      </c>
      <c r="BS82" s="35"/>
      <c r="BT82" s="35">
        <v>144109668.84999999</v>
      </c>
      <c r="BU82" s="35">
        <v>28.838719999999999</v>
      </c>
      <c r="BV82" s="35">
        <v>456348.07</v>
      </c>
      <c r="BW82" s="35">
        <v>1044894.83</v>
      </c>
      <c r="BX82" s="85">
        <v>355599239.14999998</v>
      </c>
      <c r="BY82" s="27"/>
      <c r="BZ82" s="36">
        <v>355618700</v>
      </c>
      <c r="CA82" s="85">
        <v>355618700</v>
      </c>
      <c r="CB82" s="35"/>
      <c r="CC82" s="35">
        <v>8910455</v>
      </c>
      <c r="CD82" s="35">
        <v>1960300</v>
      </c>
      <c r="CE82" s="35">
        <v>6950155</v>
      </c>
      <c r="CF82" s="35"/>
      <c r="CG82" s="35"/>
      <c r="CH82" s="36"/>
      <c r="CI82" s="35"/>
      <c r="CJ82" s="35"/>
      <c r="CK82" s="35"/>
      <c r="CL82" s="35"/>
      <c r="CM82" s="35"/>
      <c r="CN82" s="35"/>
      <c r="CO82" s="35"/>
      <c r="CP82" s="85"/>
      <c r="CQ82" s="27"/>
      <c r="CR82" s="36">
        <v>1960300</v>
      </c>
      <c r="CS82" s="85">
        <v>1960300</v>
      </c>
      <c r="CT82" s="35"/>
      <c r="CU82" s="35"/>
      <c r="CV82" s="35"/>
      <c r="CW82" s="35"/>
      <c r="CX82" s="35"/>
      <c r="CY82" s="35"/>
      <c r="CZ82" s="36"/>
      <c r="DA82" s="35"/>
      <c r="DB82" s="35"/>
      <c r="DC82" s="35"/>
      <c r="DD82" s="35"/>
      <c r="DE82" s="35"/>
      <c r="DF82" s="35"/>
      <c r="DG82" s="35"/>
      <c r="DH82" s="85"/>
      <c r="DI82" s="27"/>
      <c r="DJ82" s="36"/>
      <c r="DK82" s="85"/>
      <c r="DL82" s="35"/>
      <c r="DM82" s="35">
        <v>65280000</v>
      </c>
      <c r="DN82" s="35">
        <v>19200000</v>
      </c>
      <c r="DO82" s="35">
        <v>46080000</v>
      </c>
      <c r="DP82" s="35">
        <v>19200000</v>
      </c>
      <c r="DQ82" s="35"/>
      <c r="DR82" s="36"/>
      <c r="DS82" s="35">
        <v>65280000</v>
      </c>
      <c r="DT82" s="35">
        <v>19200000</v>
      </c>
      <c r="DU82" s="35"/>
      <c r="DV82" s="35">
        <v>46080000</v>
      </c>
      <c r="DW82" s="35">
        <v>70.588239999999999</v>
      </c>
      <c r="DX82" s="35"/>
      <c r="DY82" s="35"/>
      <c r="DZ82" s="85">
        <v>19200000</v>
      </c>
      <c r="EA82" s="27"/>
      <c r="EB82" s="36">
        <v>19200000</v>
      </c>
      <c r="EC82" s="85">
        <v>19200000</v>
      </c>
      <c r="ED82" s="35"/>
      <c r="EE82" s="35">
        <v>63658200</v>
      </c>
      <c r="EF82" s="35">
        <v>11158200</v>
      </c>
      <c r="EG82" s="35">
        <v>52500000</v>
      </c>
      <c r="EH82" s="35">
        <v>11156995.99</v>
      </c>
      <c r="EI82" s="35"/>
      <c r="EJ82" s="36"/>
      <c r="EK82" s="35">
        <v>63651331</v>
      </c>
      <c r="EL82" s="35">
        <v>11156995.99</v>
      </c>
      <c r="EM82" s="35"/>
      <c r="EN82" s="35">
        <v>52494335.009999998</v>
      </c>
      <c r="EO82" s="35">
        <v>82.471699999999998</v>
      </c>
      <c r="EP82" s="35"/>
      <c r="EQ82" s="35"/>
      <c r="ER82" s="85">
        <v>11156995.99</v>
      </c>
      <c r="ES82" s="27"/>
      <c r="ET82" s="36">
        <v>11158200</v>
      </c>
      <c r="EU82" s="85">
        <v>11158200</v>
      </c>
      <c r="EV82" s="35"/>
      <c r="EW82" s="35">
        <v>72662698.969999999</v>
      </c>
      <c r="EX82" s="35">
        <v>5626100</v>
      </c>
      <c r="EY82" s="35">
        <v>67036598.969999999</v>
      </c>
      <c r="EZ82" s="35">
        <v>5626100</v>
      </c>
      <c r="FA82" s="35">
        <v>433737.8</v>
      </c>
      <c r="FB82" s="36"/>
      <c r="FC82" s="35">
        <v>72662698.969999999</v>
      </c>
      <c r="FD82" s="35">
        <v>5626100</v>
      </c>
      <c r="FE82" s="35"/>
      <c r="FF82" s="35">
        <v>67036598.969999999</v>
      </c>
      <c r="FG82" s="35">
        <v>92.257239999999996</v>
      </c>
      <c r="FH82" s="35">
        <v>433737.8</v>
      </c>
      <c r="FI82" s="35"/>
      <c r="FJ82" s="85">
        <v>5626100</v>
      </c>
      <c r="FK82" s="27"/>
      <c r="FL82" s="36">
        <v>5626100</v>
      </c>
      <c r="FM82" s="85">
        <v>5626100</v>
      </c>
      <c r="FN82" s="35"/>
      <c r="FO82" s="35"/>
      <c r="FP82" s="35"/>
      <c r="FQ82" s="35"/>
      <c r="FR82" s="35"/>
      <c r="FS82" s="35">
        <v>1297302.05</v>
      </c>
      <c r="FT82" s="36"/>
      <c r="FU82" s="35"/>
      <c r="FV82" s="35"/>
      <c r="FW82" s="35"/>
      <c r="FX82" s="35"/>
      <c r="FY82" s="35"/>
      <c r="FZ82" s="35">
        <v>1288842.43</v>
      </c>
      <c r="GA82" s="35">
        <v>8459.6200000000008</v>
      </c>
      <c r="GB82" s="85"/>
      <c r="GC82" s="27"/>
      <c r="GD82" s="36"/>
      <c r="GE82" s="85"/>
      <c r="GF82" s="35"/>
      <c r="GG82" s="35"/>
      <c r="GH82" s="35"/>
      <c r="GI82" s="35"/>
      <c r="GJ82" s="35"/>
      <c r="GK82" s="35"/>
      <c r="GL82" s="36"/>
      <c r="GM82" s="35"/>
      <c r="GN82" s="35"/>
      <c r="GO82" s="35"/>
      <c r="GP82" s="35"/>
      <c r="GQ82" s="35"/>
      <c r="GR82" s="35"/>
      <c r="GS82" s="35"/>
      <c r="GT82" s="85"/>
      <c r="GU82" s="27"/>
      <c r="GV82" s="36"/>
      <c r="GW82" s="85"/>
      <c r="GX82" s="35"/>
      <c r="GY82" s="35"/>
      <c r="GZ82" s="35"/>
      <c r="HA82" s="35"/>
      <c r="HB82" s="35"/>
      <c r="HC82" s="35"/>
      <c r="HD82" s="36"/>
      <c r="HE82" s="35"/>
      <c r="HF82" s="35"/>
      <c r="HG82" s="35"/>
      <c r="HH82" s="35"/>
      <c r="HI82" s="35"/>
      <c r="HJ82" s="35"/>
      <c r="HK82" s="35"/>
      <c r="HL82" s="85"/>
      <c r="HM82" s="27"/>
      <c r="HN82" s="36"/>
      <c r="HO82" s="85"/>
      <c r="HP82" s="35"/>
      <c r="HQ82" s="35"/>
      <c r="HR82" s="35"/>
      <c r="HS82" s="35"/>
      <c r="HT82" s="35"/>
      <c r="HU82" s="35"/>
      <c r="HV82" s="36"/>
      <c r="HW82" s="35"/>
      <c r="HX82" s="35"/>
      <c r="HY82" s="35"/>
      <c r="HZ82" s="35"/>
      <c r="IA82" s="35"/>
      <c r="IB82" s="35"/>
      <c r="IC82" s="35"/>
      <c r="ID82" s="85"/>
      <c r="IE82" s="27"/>
      <c r="IF82" s="36"/>
      <c r="IG82" s="85"/>
      <c r="IH82" s="35"/>
      <c r="II82" s="35"/>
      <c r="IJ82" s="35"/>
      <c r="IK82" s="35"/>
      <c r="IL82" s="35"/>
      <c r="IM82" s="35"/>
      <c r="IN82" s="36"/>
      <c r="IO82" s="35"/>
      <c r="IP82" s="35"/>
      <c r="IQ82" s="35"/>
      <c r="IR82" s="35"/>
      <c r="IS82" s="35"/>
      <c r="IT82" s="35"/>
      <c r="IU82" s="35"/>
      <c r="IV82" s="85"/>
      <c r="IW82" s="27"/>
      <c r="IX82" s="36"/>
      <c r="IY82" s="85"/>
      <c r="IZ82" s="35"/>
      <c r="JA82" s="35"/>
      <c r="JB82" s="35"/>
      <c r="JC82" s="35"/>
      <c r="JD82" s="35"/>
      <c r="JE82" s="35"/>
      <c r="JF82" s="36"/>
      <c r="JG82" s="35"/>
      <c r="JH82" s="35"/>
      <c r="JI82" s="35"/>
      <c r="JJ82" s="35"/>
      <c r="JK82" s="35"/>
      <c r="JL82" s="35"/>
      <c r="JM82" s="35"/>
      <c r="JN82" s="85"/>
      <c r="JO82" s="27"/>
      <c r="JP82" s="36"/>
      <c r="JQ82" s="85"/>
      <c r="JR82" s="35"/>
      <c r="JS82" s="35"/>
      <c r="JT82" s="35"/>
      <c r="JU82" s="35"/>
      <c r="JV82" s="35"/>
      <c r="JW82" s="35"/>
      <c r="JX82" s="36"/>
      <c r="JY82" s="35"/>
      <c r="JZ82" s="35"/>
      <c r="KA82" s="35"/>
      <c r="KB82" s="35"/>
      <c r="KC82" s="35"/>
      <c r="KD82" s="35"/>
      <c r="KE82" s="35"/>
      <c r="KF82" s="85"/>
      <c r="KG82" s="27"/>
      <c r="KH82" s="36"/>
      <c r="KI82" s="85"/>
      <c r="KJ82" s="35"/>
      <c r="KK82" s="35"/>
      <c r="KL82" s="35"/>
      <c r="KM82" s="35"/>
      <c r="KN82" s="35"/>
      <c r="KO82" s="35"/>
      <c r="KP82" s="36"/>
      <c r="KQ82" s="35"/>
      <c r="KR82" s="35"/>
      <c r="KS82" s="35"/>
      <c r="KT82" s="35"/>
      <c r="KU82" s="35"/>
      <c r="KV82" s="35"/>
      <c r="KW82" s="35"/>
      <c r="KX82" s="85"/>
      <c r="KY82" s="27"/>
      <c r="KZ82" s="36"/>
      <c r="LA82" s="85"/>
      <c r="LB82" s="35"/>
      <c r="LC82" s="35"/>
      <c r="LD82" s="35"/>
      <c r="LE82" s="35"/>
      <c r="LF82" s="35"/>
      <c r="LG82" s="35"/>
      <c r="LH82" s="36"/>
      <c r="LI82" s="35"/>
      <c r="LJ82" s="35"/>
      <c r="LK82" s="35"/>
      <c r="LL82" s="35"/>
      <c r="LM82" s="35"/>
      <c r="LN82" s="35"/>
      <c r="LO82" s="35"/>
      <c r="LP82" s="85"/>
      <c r="LQ82" s="27"/>
      <c r="LR82" s="36"/>
      <c r="LS82" s="85"/>
      <c r="LT82" s="35"/>
      <c r="LU82" s="35"/>
      <c r="LV82" s="35"/>
      <c r="LW82" s="35"/>
      <c r="LX82" s="35"/>
      <c r="LY82" s="35"/>
      <c r="LZ82" s="36"/>
      <c r="MA82" s="35"/>
      <c r="MB82" s="35"/>
      <c r="MC82" s="35"/>
      <c r="MD82" s="35"/>
      <c r="ME82" s="35"/>
      <c r="MF82" s="35"/>
      <c r="MG82" s="35"/>
      <c r="MH82" s="85"/>
      <c r="MI82" s="27"/>
      <c r="MJ82" s="36"/>
      <c r="MK82" s="85"/>
      <c r="ML82" s="35"/>
      <c r="MM82" s="35"/>
      <c r="MN82" s="35"/>
      <c r="MO82" s="35"/>
      <c r="MP82" s="35"/>
      <c r="MQ82" s="35"/>
      <c r="MR82" s="36"/>
      <c r="MS82" s="35"/>
      <c r="MT82" s="35"/>
      <c r="MU82" s="35"/>
      <c r="MV82" s="35"/>
      <c r="MW82" s="35"/>
      <c r="MX82" s="35"/>
      <c r="MY82" s="35"/>
      <c r="MZ82" s="85"/>
      <c r="NA82" s="27"/>
      <c r="NB82" s="36"/>
      <c r="NC82" s="85"/>
      <c r="ND82" s="35"/>
      <c r="NE82" s="35">
        <v>1613182</v>
      </c>
      <c r="NF82" s="35">
        <v>354900</v>
      </c>
      <c r="NG82" s="35">
        <v>1258282</v>
      </c>
      <c r="NH82" s="35">
        <v>345689.26</v>
      </c>
      <c r="NI82" s="35"/>
      <c r="NJ82" s="36"/>
      <c r="NK82" s="35">
        <v>1571315</v>
      </c>
      <c r="NL82" s="35">
        <v>345689.26</v>
      </c>
      <c r="NM82" s="35"/>
      <c r="NN82" s="35">
        <v>1225625.74</v>
      </c>
      <c r="NO82" s="35">
        <v>78</v>
      </c>
      <c r="NP82" s="35"/>
      <c r="NQ82" s="35"/>
      <c r="NR82" s="85">
        <v>345689.26</v>
      </c>
      <c r="NS82" s="27"/>
      <c r="NT82" s="36">
        <v>354900</v>
      </c>
      <c r="NU82" s="85">
        <v>354900</v>
      </c>
      <c r="NV82" s="35"/>
      <c r="NW82" s="35"/>
      <c r="NX82" s="35"/>
      <c r="NY82" s="35"/>
      <c r="NZ82" s="35"/>
      <c r="OA82" s="35"/>
      <c r="OB82" s="36"/>
      <c r="OC82" s="35"/>
      <c r="OD82" s="35"/>
      <c r="OE82" s="35"/>
      <c r="OF82" s="35"/>
      <c r="OG82" s="35"/>
      <c r="OH82" s="35"/>
      <c r="OI82" s="35"/>
      <c r="OJ82" s="85"/>
      <c r="OK82" s="27"/>
      <c r="OL82" s="36"/>
      <c r="OM82" s="85"/>
      <c r="ON82" s="35"/>
      <c r="OO82" s="35"/>
      <c r="OP82" s="35"/>
      <c r="OQ82" s="35"/>
      <c r="OR82" s="35"/>
      <c r="OS82" s="35">
        <v>5719647.0199999996</v>
      </c>
      <c r="OT82" s="36"/>
      <c r="OU82" s="35"/>
      <c r="OV82" s="35"/>
      <c r="OW82" s="35"/>
      <c r="OX82" s="35"/>
      <c r="OY82" s="35"/>
      <c r="OZ82" s="35">
        <v>5717529.21</v>
      </c>
      <c r="PA82" s="35">
        <v>2117.81</v>
      </c>
      <c r="PB82" s="85"/>
      <c r="PC82" s="27"/>
      <c r="PD82" s="36"/>
      <c r="PE82" s="85"/>
      <c r="PF82" s="35"/>
      <c r="PG82" s="35"/>
      <c r="PH82" s="35"/>
      <c r="PI82" s="35"/>
      <c r="PJ82" s="35"/>
      <c r="PK82" s="35"/>
      <c r="PL82" s="36"/>
      <c r="PM82" s="35"/>
      <c r="PN82" s="35"/>
      <c r="PO82" s="35"/>
      <c r="PP82" s="35"/>
      <c r="PQ82" s="35"/>
      <c r="PR82" s="35"/>
      <c r="PS82" s="35"/>
      <c r="PT82" s="85"/>
      <c r="PU82" s="27"/>
      <c r="PV82" s="36"/>
      <c r="PW82" s="85"/>
      <c r="PX82" s="35"/>
      <c r="PY82" s="35"/>
      <c r="PZ82" s="35"/>
      <c r="QA82" s="35"/>
      <c r="QB82" s="35"/>
      <c r="QC82" s="35"/>
      <c r="QD82" s="36"/>
      <c r="QE82" s="35"/>
      <c r="QF82" s="35"/>
      <c r="QG82" s="35"/>
      <c r="QH82" s="35"/>
      <c r="QI82" s="35"/>
      <c r="QJ82" s="35"/>
      <c r="QK82" s="35"/>
      <c r="QL82" s="85"/>
      <c r="QM82" s="27"/>
      <c r="QN82" s="36"/>
      <c r="QO82" s="85"/>
      <c r="QP82" s="35"/>
      <c r="QQ82" s="35"/>
      <c r="QR82" s="35"/>
      <c r="QS82" s="35"/>
      <c r="QT82" s="35"/>
      <c r="QU82" s="35"/>
      <c r="QV82" s="36"/>
      <c r="QW82" s="35"/>
      <c r="QX82" s="35"/>
      <c r="QY82" s="35"/>
      <c r="QZ82" s="35"/>
      <c r="RA82" s="35"/>
      <c r="RB82" s="35"/>
      <c r="RC82" s="35"/>
      <c r="RD82" s="85"/>
      <c r="RE82" s="27"/>
      <c r="RF82" s="36"/>
      <c r="RG82" s="85"/>
      <c r="RH82" s="35"/>
      <c r="RI82" s="35"/>
      <c r="RJ82" s="35"/>
      <c r="RK82" s="35"/>
      <c r="RL82" s="35"/>
      <c r="RM82" s="35">
        <v>1258.1600000000001</v>
      </c>
      <c r="RN82" s="36"/>
      <c r="RO82" s="35"/>
      <c r="RP82" s="35"/>
      <c r="RQ82" s="35"/>
      <c r="RR82" s="35"/>
      <c r="RS82" s="35"/>
      <c r="RT82" s="35">
        <v>1258.1600000000001</v>
      </c>
      <c r="RU82" s="35"/>
      <c r="RV82" s="85"/>
      <c r="RW82" s="27"/>
      <c r="RX82" s="36"/>
      <c r="RY82" s="85"/>
      <c r="RZ82" s="35"/>
      <c r="SA82" s="35"/>
      <c r="SB82" s="35"/>
      <c r="SC82" s="35"/>
      <c r="SD82" s="35"/>
      <c r="SE82" s="35"/>
      <c r="SF82" s="36"/>
      <c r="SG82" s="35"/>
      <c r="SH82" s="35"/>
      <c r="SI82" s="35"/>
      <c r="SJ82" s="35"/>
      <c r="SK82" s="35"/>
      <c r="SL82" s="35"/>
      <c r="SM82" s="35"/>
      <c r="SN82" s="85"/>
      <c r="SO82" s="27"/>
      <c r="SP82" s="36"/>
      <c r="SQ82" s="85"/>
      <c r="SR82" s="35"/>
      <c r="SS82" s="35"/>
      <c r="ST82" s="35"/>
      <c r="SU82" s="35"/>
      <c r="SV82" s="35"/>
      <c r="SW82" s="35"/>
      <c r="SX82" s="36"/>
      <c r="SY82" s="35"/>
      <c r="SZ82" s="35"/>
      <c r="TA82" s="35"/>
      <c r="TB82" s="35"/>
      <c r="TC82" s="35"/>
      <c r="TD82" s="35"/>
      <c r="TE82" s="35"/>
      <c r="TF82" s="85"/>
      <c r="TG82" s="27"/>
      <c r="TH82" s="36"/>
      <c r="TI82" s="85"/>
      <c r="TJ82" s="35"/>
      <c r="TK82" s="35"/>
      <c r="TL82" s="35"/>
      <c r="TM82" s="35"/>
      <c r="TN82" s="35"/>
      <c r="TO82" s="35"/>
      <c r="TP82" s="36"/>
      <c r="TQ82" s="35"/>
      <c r="TR82" s="35"/>
      <c r="TS82" s="35"/>
      <c r="TT82" s="35"/>
      <c r="TU82" s="35"/>
      <c r="TV82" s="35"/>
      <c r="TW82" s="35"/>
      <c r="TX82" s="85"/>
      <c r="TY82" s="27"/>
      <c r="TZ82" s="36"/>
      <c r="UA82" s="85"/>
      <c r="UB82" s="35"/>
      <c r="UC82" s="35"/>
      <c r="UD82" s="35"/>
      <c r="UE82" s="35"/>
      <c r="UF82" s="35"/>
      <c r="UG82" s="35"/>
      <c r="UH82" s="36"/>
      <c r="UI82" s="35"/>
      <c r="UJ82" s="35"/>
      <c r="UK82" s="35"/>
      <c r="UL82" s="35"/>
      <c r="UM82" s="35"/>
      <c r="UN82" s="35"/>
      <c r="UO82" s="35"/>
      <c r="UP82" s="85"/>
      <c r="UQ82" s="27"/>
      <c r="UR82" s="36"/>
      <c r="US82" s="85"/>
    </row>
    <row r="83" spans="1:565" x14ac:dyDescent="0.3">
      <c r="A83" s="8" t="s">
        <v>183</v>
      </c>
      <c r="B83" s="168">
        <v>69</v>
      </c>
      <c r="C83" s="18" t="s">
        <v>276</v>
      </c>
      <c r="F83" s="36">
        <v>32076400</v>
      </c>
      <c r="G83" s="85"/>
      <c r="H83" s="35"/>
      <c r="I83" s="35"/>
      <c r="J83" s="35"/>
      <c r="K83" s="35"/>
      <c r="L83" s="35"/>
      <c r="M83" s="35"/>
      <c r="N83" s="36"/>
      <c r="O83" s="35"/>
      <c r="P83" s="35"/>
      <c r="Q83" s="35"/>
      <c r="R83" s="35"/>
      <c r="S83" s="35"/>
      <c r="T83" s="35"/>
      <c r="U83" s="35"/>
      <c r="V83" s="85"/>
      <c r="W83" s="27"/>
      <c r="X83" s="36"/>
      <c r="Y83" s="85"/>
      <c r="Z83" s="35"/>
      <c r="AA83" s="35">
        <v>5000000</v>
      </c>
      <c r="AB83" s="35">
        <v>1500000</v>
      </c>
      <c r="AC83" s="35">
        <v>3500000</v>
      </c>
      <c r="AD83" s="35">
        <v>1499999.99</v>
      </c>
      <c r="AE83" s="35"/>
      <c r="AF83" s="36"/>
      <c r="AG83" s="35">
        <v>4999999.9800000004</v>
      </c>
      <c r="AH83" s="35">
        <v>1499999.99</v>
      </c>
      <c r="AI83" s="35"/>
      <c r="AJ83" s="35">
        <v>3499999.99</v>
      </c>
      <c r="AK83" s="35">
        <v>70</v>
      </c>
      <c r="AL83" s="35"/>
      <c r="AM83" s="35">
        <v>0</v>
      </c>
      <c r="AN83" s="85">
        <v>1499999.99</v>
      </c>
      <c r="AO83" s="27"/>
      <c r="AP83" s="36">
        <v>1500000</v>
      </c>
      <c r="AQ83" s="85">
        <v>1500000</v>
      </c>
      <c r="AR83" s="35"/>
      <c r="AS83" s="35">
        <v>64061333.329999998</v>
      </c>
      <c r="AT83" s="35">
        <v>19218400</v>
      </c>
      <c r="AU83" s="35">
        <v>44842933.329999998</v>
      </c>
      <c r="AV83" s="35">
        <v>19218400</v>
      </c>
      <c r="AW83" s="35">
        <v>2473040.0099999998</v>
      </c>
      <c r="AX83" s="36"/>
      <c r="AY83" s="35">
        <v>64061333.329999998</v>
      </c>
      <c r="AZ83" s="35">
        <v>19218400</v>
      </c>
      <c r="BA83" s="35"/>
      <c r="BB83" s="35">
        <v>44842933.329999998</v>
      </c>
      <c r="BC83" s="35">
        <v>70</v>
      </c>
      <c r="BD83" s="35">
        <v>2473040.0099999998</v>
      </c>
      <c r="BE83" s="35"/>
      <c r="BF83" s="85">
        <v>19218400</v>
      </c>
      <c r="BG83" s="27"/>
      <c r="BH83" s="36">
        <v>19218400</v>
      </c>
      <c r="BI83" s="85">
        <v>19218400</v>
      </c>
      <c r="BJ83" s="35"/>
      <c r="BK83" s="35">
        <v>5247909</v>
      </c>
      <c r="BL83" s="35">
        <v>3525900</v>
      </c>
      <c r="BM83" s="35">
        <v>1722009</v>
      </c>
      <c r="BN83" s="35">
        <v>3525899.99</v>
      </c>
      <c r="BO83" s="35"/>
      <c r="BP83" s="36"/>
      <c r="BQ83" s="35">
        <v>5247908.99</v>
      </c>
      <c r="BR83" s="35">
        <v>3525899.99</v>
      </c>
      <c r="BS83" s="35"/>
      <c r="BT83" s="35">
        <v>1722009</v>
      </c>
      <c r="BU83" s="35">
        <v>32.81324</v>
      </c>
      <c r="BV83" s="35"/>
      <c r="BW83" s="35"/>
      <c r="BX83" s="85">
        <v>3525899.99</v>
      </c>
      <c r="BY83" s="27"/>
      <c r="BZ83" s="36">
        <v>3525900</v>
      </c>
      <c r="CA83" s="85">
        <v>3525900</v>
      </c>
      <c r="CB83" s="35"/>
      <c r="CC83" s="35"/>
      <c r="CD83" s="35"/>
      <c r="CE83" s="35"/>
      <c r="CF83" s="35"/>
      <c r="CG83" s="35"/>
      <c r="CH83" s="36"/>
      <c r="CI83" s="35"/>
      <c r="CJ83" s="35"/>
      <c r="CK83" s="35"/>
      <c r="CL83" s="35"/>
      <c r="CM83" s="35"/>
      <c r="CN83" s="35"/>
      <c r="CO83" s="35"/>
      <c r="CP83" s="85"/>
      <c r="CQ83" s="27"/>
      <c r="CR83" s="36"/>
      <c r="CS83" s="85"/>
      <c r="CT83" s="35"/>
      <c r="CU83" s="35"/>
      <c r="CV83" s="35"/>
      <c r="CW83" s="35"/>
      <c r="CX83" s="35"/>
      <c r="CY83" s="35"/>
      <c r="CZ83" s="36"/>
      <c r="DA83" s="35"/>
      <c r="DB83" s="35"/>
      <c r="DC83" s="35"/>
      <c r="DD83" s="35"/>
      <c r="DE83" s="35"/>
      <c r="DF83" s="35"/>
      <c r="DG83" s="35"/>
      <c r="DH83" s="85"/>
      <c r="DI83" s="27"/>
      <c r="DJ83" s="36"/>
      <c r="DK83" s="85"/>
      <c r="DL83" s="35"/>
      <c r="DM83" s="35"/>
      <c r="DN83" s="35"/>
      <c r="DO83" s="35"/>
      <c r="DP83" s="35"/>
      <c r="DQ83" s="35"/>
      <c r="DR83" s="36"/>
      <c r="DS83" s="35"/>
      <c r="DT83" s="35"/>
      <c r="DU83" s="35"/>
      <c r="DV83" s="35"/>
      <c r="DW83" s="35"/>
      <c r="DX83" s="35"/>
      <c r="DY83" s="35"/>
      <c r="DZ83" s="85"/>
      <c r="EA83" s="27"/>
      <c r="EB83" s="36"/>
      <c r="EC83" s="85"/>
      <c r="ED83" s="35"/>
      <c r="EE83" s="35">
        <v>14807200</v>
      </c>
      <c r="EF83" s="35">
        <v>5774800</v>
      </c>
      <c r="EG83" s="35">
        <v>9032400</v>
      </c>
      <c r="EH83" s="35">
        <v>5774800</v>
      </c>
      <c r="EI83" s="35"/>
      <c r="EJ83" s="36"/>
      <c r="EK83" s="35">
        <v>14807200</v>
      </c>
      <c r="EL83" s="35">
        <v>5774800</v>
      </c>
      <c r="EM83" s="35"/>
      <c r="EN83" s="35">
        <v>9032400</v>
      </c>
      <c r="EO83" s="35">
        <v>61.000050000000002</v>
      </c>
      <c r="EP83" s="35"/>
      <c r="EQ83" s="35"/>
      <c r="ER83" s="85">
        <v>5774800</v>
      </c>
      <c r="ES83" s="27"/>
      <c r="ET83" s="36">
        <v>5774800</v>
      </c>
      <c r="EU83" s="85">
        <v>5774800</v>
      </c>
      <c r="EV83" s="35"/>
      <c r="EW83" s="35">
        <v>5245000</v>
      </c>
      <c r="EX83" s="35">
        <v>1573500</v>
      </c>
      <c r="EY83" s="35">
        <v>3671500</v>
      </c>
      <c r="EZ83" s="35">
        <v>1573500</v>
      </c>
      <c r="FA83" s="35"/>
      <c r="FB83" s="36"/>
      <c r="FC83" s="35">
        <v>5245000</v>
      </c>
      <c r="FD83" s="35">
        <v>1573500</v>
      </c>
      <c r="FE83" s="35"/>
      <c r="FF83" s="35">
        <v>3671500</v>
      </c>
      <c r="FG83" s="35">
        <v>70</v>
      </c>
      <c r="FH83" s="35"/>
      <c r="FI83" s="35"/>
      <c r="FJ83" s="85">
        <v>1573500</v>
      </c>
      <c r="FK83" s="27"/>
      <c r="FL83" s="36">
        <v>1573500</v>
      </c>
      <c r="FM83" s="85">
        <v>1573500</v>
      </c>
      <c r="FN83" s="35"/>
      <c r="FO83" s="35"/>
      <c r="FP83" s="35"/>
      <c r="FQ83" s="35"/>
      <c r="FR83" s="35"/>
      <c r="FS83" s="35"/>
      <c r="FT83" s="36"/>
      <c r="FU83" s="35"/>
      <c r="FV83" s="35"/>
      <c r="FW83" s="35"/>
      <c r="FX83" s="35"/>
      <c r="FY83" s="35"/>
      <c r="FZ83" s="35"/>
      <c r="GA83" s="35"/>
      <c r="GB83" s="85"/>
      <c r="GC83" s="27"/>
      <c r="GD83" s="36"/>
      <c r="GE83" s="85"/>
      <c r="GF83" s="35"/>
      <c r="GG83" s="35"/>
      <c r="GH83" s="35"/>
      <c r="GI83" s="35"/>
      <c r="GJ83" s="35"/>
      <c r="GK83" s="35"/>
      <c r="GL83" s="36"/>
      <c r="GM83" s="35"/>
      <c r="GN83" s="35"/>
      <c r="GO83" s="35"/>
      <c r="GP83" s="35"/>
      <c r="GQ83" s="35"/>
      <c r="GR83" s="35"/>
      <c r="GS83" s="35"/>
      <c r="GT83" s="85"/>
      <c r="GU83" s="27"/>
      <c r="GV83" s="36"/>
      <c r="GW83" s="85"/>
      <c r="GX83" s="35"/>
      <c r="GY83" s="35"/>
      <c r="GZ83" s="35"/>
      <c r="HA83" s="35"/>
      <c r="HB83" s="35"/>
      <c r="HC83" s="35"/>
      <c r="HD83" s="36"/>
      <c r="HE83" s="35"/>
      <c r="HF83" s="35"/>
      <c r="HG83" s="35"/>
      <c r="HH83" s="35"/>
      <c r="HI83" s="35"/>
      <c r="HJ83" s="35"/>
      <c r="HK83" s="35"/>
      <c r="HL83" s="85"/>
      <c r="HM83" s="27"/>
      <c r="HN83" s="36"/>
      <c r="HO83" s="85"/>
      <c r="HP83" s="35"/>
      <c r="HQ83" s="35"/>
      <c r="HR83" s="35"/>
      <c r="HS83" s="35"/>
      <c r="HT83" s="35"/>
      <c r="HU83" s="35"/>
      <c r="HV83" s="36"/>
      <c r="HW83" s="35"/>
      <c r="HX83" s="35"/>
      <c r="HY83" s="35"/>
      <c r="HZ83" s="35"/>
      <c r="IA83" s="35"/>
      <c r="IB83" s="35"/>
      <c r="IC83" s="35"/>
      <c r="ID83" s="85"/>
      <c r="IE83" s="27"/>
      <c r="IF83" s="36"/>
      <c r="IG83" s="85"/>
      <c r="IH83" s="35"/>
      <c r="II83" s="35"/>
      <c r="IJ83" s="35"/>
      <c r="IK83" s="35"/>
      <c r="IL83" s="35"/>
      <c r="IM83" s="35"/>
      <c r="IN83" s="36"/>
      <c r="IO83" s="35"/>
      <c r="IP83" s="35"/>
      <c r="IQ83" s="35"/>
      <c r="IR83" s="35"/>
      <c r="IS83" s="35"/>
      <c r="IT83" s="35"/>
      <c r="IU83" s="35"/>
      <c r="IV83" s="85"/>
      <c r="IW83" s="27"/>
      <c r="IX83" s="36"/>
      <c r="IY83" s="85"/>
      <c r="IZ83" s="35"/>
      <c r="JA83" s="35"/>
      <c r="JB83" s="35"/>
      <c r="JC83" s="35"/>
      <c r="JD83" s="35"/>
      <c r="JE83" s="35"/>
      <c r="JF83" s="36"/>
      <c r="JG83" s="35"/>
      <c r="JH83" s="35"/>
      <c r="JI83" s="35"/>
      <c r="JJ83" s="35"/>
      <c r="JK83" s="35"/>
      <c r="JL83" s="35"/>
      <c r="JM83" s="35"/>
      <c r="JN83" s="85"/>
      <c r="JO83" s="27"/>
      <c r="JP83" s="36"/>
      <c r="JQ83" s="85"/>
      <c r="JR83" s="35"/>
      <c r="JS83" s="35"/>
      <c r="JT83" s="35"/>
      <c r="JU83" s="35"/>
      <c r="JV83" s="35"/>
      <c r="JW83" s="35"/>
      <c r="JX83" s="36"/>
      <c r="JY83" s="35"/>
      <c r="JZ83" s="35"/>
      <c r="KA83" s="35"/>
      <c r="KB83" s="35"/>
      <c r="KC83" s="35"/>
      <c r="KD83" s="35"/>
      <c r="KE83" s="35"/>
      <c r="KF83" s="85"/>
      <c r="KG83" s="27"/>
      <c r="KH83" s="36"/>
      <c r="KI83" s="85"/>
      <c r="KJ83" s="35"/>
      <c r="KK83" s="35"/>
      <c r="KL83" s="35"/>
      <c r="KM83" s="35"/>
      <c r="KN83" s="35"/>
      <c r="KO83" s="35"/>
      <c r="KP83" s="36"/>
      <c r="KQ83" s="35"/>
      <c r="KR83" s="35"/>
      <c r="KS83" s="35"/>
      <c r="KT83" s="35"/>
      <c r="KU83" s="35"/>
      <c r="KV83" s="35"/>
      <c r="KW83" s="35"/>
      <c r="KX83" s="85"/>
      <c r="KY83" s="27"/>
      <c r="KZ83" s="36"/>
      <c r="LA83" s="85"/>
      <c r="LB83" s="35"/>
      <c r="LC83" s="35"/>
      <c r="LD83" s="35"/>
      <c r="LE83" s="35"/>
      <c r="LF83" s="35"/>
      <c r="LG83" s="35"/>
      <c r="LH83" s="36"/>
      <c r="LI83" s="35"/>
      <c r="LJ83" s="35"/>
      <c r="LK83" s="35"/>
      <c r="LL83" s="35"/>
      <c r="LM83" s="35"/>
      <c r="LN83" s="35"/>
      <c r="LO83" s="35"/>
      <c r="LP83" s="85"/>
      <c r="LQ83" s="27"/>
      <c r="LR83" s="36"/>
      <c r="LS83" s="85"/>
      <c r="LT83" s="35"/>
      <c r="LU83" s="35"/>
      <c r="LV83" s="35"/>
      <c r="LW83" s="35"/>
      <c r="LX83" s="35"/>
      <c r="LY83" s="35"/>
      <c r="LZ83" s="36"/>
      <c r="MA83" s="35"/>
      <c r="MB83" s="35"/>
      <c r="MC83" s="35"/>
      <c r="MD83" s="35"/>
      <c r="ME83" s="35"/>
      <c r="MF83" s="35"/>
      <c r="MG83" s="35"/>
      <c r="MH83" s="85"/>
      <c r="MI83" s="27"/>
      <c r="MJ83" s="36"/>
      <c r="MK83" s="85"/>
      <c r="ML83" s="35"/>
      <c r="MM83" s="35"/>
      <c r="MN83" s="35"/>
      <c r="MO83" s="35"/>
      <c r="MP83" s="35"/>
      <c r="MQ83" s="35"/>
      <c r="MR83" s="36"/>
      <c r="MS83" s="35"/>
      <c r="MT83" s="35"/>
      <c r="MU83" s="35"/>
      <c r="MV83" s="35"/>
      <c r="MW83" s="35"/>
      <c r="MX83" s="35"/>
      <c r="MY83" s="35"/>
      <c r="MZ83" s="85"/>
      <c r="NA83" s="27"/>
      <c r="NB83" s="36"/>
      <c r="NC83" s="85"/>
      <c r="ND83" s="35"/>
      <c r="NE83" s="35">
        <v>1612666.67</v>
      </c>
      <c r="NF83" s="35">
        <v>483800</v>
      </c>
      <c r="NG83" s="35">
        <v>1128866.67</v>
      </c>
      <c r="NH83" s="35">
        <v>483800</v>
      </c>
      <c r="NI83" s="35"/>
      <c r="NJ83" s="36"/>
      <c r="NK83" s="35">
        <v>1612666.67</v>
      </c>
      <c r="NL83" s="35">
        <v>483800</v>
      </c>
      <c r="NM83" s="35"/>
      <c r="NN83" s="35">
        <v>1128866.67</v>
      </c>
      <c r="NO83" s="35">
        <v>70</v>
      </c>
      <c r="NP83" s="35"/>
      <c r="NQ83" s="35"/>
      <c r="NR83" s="85">
        <v>483800</v>
      </c>
      <c r="NS83" s="27"/>
      <c r="NT83" s="36">
        <v>483800</v>
      </c>
      <c r="NU83" s="85">
        <v>483800</v>
      </c>
      <c r="NV83" s="35"/>
      <c r="NW83" s="35"/>
      <c r="NX83" s="35"/>
      <c r="NY83" s="35"/>
      <c r="NZ83" s="35"/>
      <c r="OA83" s="35"/>
      <c r="OB83" s="36"/>
      <c r="OC83" s="35"/>
      <c r="OD83" s="35"/>
      <c r="OE83" s="35"/>
      <c r="OF83" s="35"/>
      <c r="OG83" s="35"/>
      <c r="OH83" s="35"/>
      <c r="OI83" s="35"/>
      <c r="OJ83" s="85"/>
      <c r="OK83" s="27"/>
      <c r="OL83" s="36"/>
      <c r="OM83" s="85"/>
      <c r="ON83" s="35"/>
      <c r="OO83" s="35"/>
      <c r="OP83" s="35"/>
      <c r="OQ83" s="35"/>
      <c r="OR83" s="35"/>
      <c r="OS83" s="35">
        <v>54905.03</v>
      </c>
      <c r="OT83" s="36"/>
      <c r="OU83" s="35"/>
      <c r="OV83" s="35"/>
      <c r="OW83" s="35"/>
      <c r="OX83" s="35"/>
      <c r="OY83" s="35"/>
      <c r="OZ83" s="35">
        <v>54905.03</v>
      </c>
      <c r="PA83" s="35"/>
      <c r="PB83" s="85"/>
      <c r="PC83" s="27"/>
      <c r="PD83" s="36"/>
      <c r="PE83" s="85"/>
      <c r="PF83" s="35"/>
      <c r="PG83" s="35"/>
      <c r="PH83" s="35"/>
      <c r="PI83" s="35"/>
      <c r="PJ83" s="35"/>
      <c r="PK83" s="35"/>
      <c r="PL83" s="36"/>
      <c r="PM83" s="35"/>
      <c r="PN83" s="35"/>
      <c r="PO83" s="35"/>
      <c r="PP83" s="35"/>
      <c r="PQ83" s="35"/>
      <c r="PR83" s="35"/>
      <c r="PS83" s="35"/>
      <c r="PT83" s="85"/>
      <c r="PU83" s="27"/>
      <c r="PV83" s="36"/>
      <c r="PW83" s="85"/>
      <c r="PX83" s="35"/>
      <c r="PY83" s="35"/>
      <c r="PZ83" s="35"/>
      <c r="QA83" s="35"/>
      <c r="QB83" s="35"/>
      <c r="QC83" s="35"/>
      <c r="QD83" s="36"/>
      <c r="QE83" s="35"/>
      <c r="QF83" s="35"/>
      <c r="QG83" s="35"/>
      <c r="QH83" s="35"/>
      <c r="QI83" s="35"/>
      <c r="QJ83" s="35"/>
      <c r="QK83" s="35"/>
      <c r="QL83" s="85"/>
      <c r="QM83" s="27"/>
      <c r="QN83" s="36"/>
      <c r="QO83" s="85"/>
      <c r="QP83" s="35"/>
      <c r="QQ83" s="35"/>
      <c r="QR83" s="35"/>
      <c r="QS83" s="35"/>
      <c r="QT83" s="35"/>
      <c r="QU83" s="35"/>
      <c r="QV83" s="36"/>
      <c r="QW83" s="35"/>
      <c r="QX83" s="35"/>
      <c r="QY83" s="35"/>
      <c r="QZ83" s="35"/>
      <c r="RA83" s="35"/>
      <c r="RB83" s="35"/>
      <c r="RC83" s="35"/>
      <c r="RD83" s="85"/>
      <c r="RE83" s="27"/>
      <c r="RF83" s="36"/>
      <c r="RG83" s="85"/>
      <c r="RH83" s="35"/>
      <c r="RI83" s="35"/>
      <c r="RJ83" s="35"/>
      <c r="RK83" s="35"/>
      <c r="RL83" s="35"/>
      <c r="RM83" s="35">
        <v>43975.82</v>
      </c>
      <c r="RN83" s="36"/>
      <c r="RO83" s="35"/>
      <c r="RP83" s="35"/>
      <c r="RQ83" s="35"/>
      <c r="RR83" s="35"/>
      <c r="RS83" s="35"/>
      <c r="RT83" s="35">
        <v>43975.82</v>
      </c>
      <c r="RU83" s="35"/>
      <c r="RV83" s="85"/>
      <c r="RW83" s="27"/>
      <c r="RX83" s="36"/>
      <c r="RY83" s="85"/>
      <c r="RZ83" s="35"/>
      <c r="SA83" s="35"/>
      <c r="SB83" s="35"/>
      <c r="SC83" s="35"/>
      <c r="SD83" s="35"/>
      <c r="SE83" s="35"/>
      <c r="SF83" s="36"/>
      <c r="SG83" s="35"/>
      <c r="SH83" s="35"/>
      <c r="SI83" s="35"/>
      <c r="SJ83" s="35"/>
      <c r="SK83" s="35"/>
      <c r="SL83" s="35"/>
      <c r="SM83" s="35"/>
      <c r="SN83" s="85"/>
      <c r="SO83" s="27"/>
      <c r="SP83" s="36"/>
      <c r="SQ83" s="85"/>
      <c r="SR83" s="35"/>
      <c r="SS83" s="35"/>
      <c r="ST83" s="35"/>
      <c r="SU83" s="35"/>
      <c r="SV83" s="35"/>
      <c r="SW83" s="35"/>
      <c r="SX83" s="36"/>
      <c r="SY83" s="35"/>
      <c r="SZ83" s="35"/>
      <c r="TA83" s="35"/>
      <c r="TB83" s="35"/>
      <c r="TC83" s="35"/>
      <c r="TD83" s="35"/>
      <c r="TE83" s="35"/>
      <c r="TF83" s="85"/>
      <c r="TG83" s="27"/>
      <c r="TH83" s="36"/>
      <c r="TI83" s="85"/>
      <c r="TJ83" s="35"/>
      <c r="TK83" s="35"/>
      <c r="TL83" s="35"/>
      <c r="TM83" s="35"/>
      <c r="TN83" s="35"/>
      <c r="TO83" s="35"/>
      <c r="TP83" s="36"/>
      <c r="TQ83" s="35"/>
      <c r="TR83" s="35"/>
      <c r="TS83" s="35"/>
      <c r="TT83" s="35"/>
      <c r="TU83" s="35"/>
      <c r="TV83" s="35"/>
      <c r="TW83" s="35"/>
      <c r="TX83" s="85"/>
      <c r="TY83" s="27"/>
      <c r="TZ83" s="36"/>
      <c r="UA83" s="85"/>
      <c r="UB83" s="35"/>
      <c r="UC83" s="35"/>
      <c r="UD83" s="35"/>
      <c r="UE83" s="35"/>
      <c r="UF83" s="35"/>
      <c r="UG83" s="35"/>
      <c r="UH83" s="36"/>
      <c r="UI83" s="35"/>
      <c r="UJ83" s="35"/>
      <c r="UK83" s="35"/>
      <c r="UL83" s="35"/>
      <c r="UM83" s="35"/>
      <c r="UN83" s="35"/>
      <c r="UO83" s="35"/>
      <c r="UP83" s="85"/>
      <c r="UQ83" s="27"/>
      <c r="UR83" s="36"/>
      <c r="US83" s="85"/>
    </row>
    <row r="84" spans="1:565" x14ac:dyDescent="0.3">
      <c r="A84" s="8" t="s">
        <v>185</v>
      </c>
      <c r="B84" s="170">
        <v>70</v>
      </c>
      <c r="C84" s="18" t="s">
        <v>277</v>
      </c>
      <c r="F84" s="36">
        <v>30188000</v>
      </c>
      <c r="G84" s="85"/>
      <c r="H84" s="35"/>
      <c r="I84" s="35"/>
      <c r="J84" s="35"/>
      <c r="K84" s="35"/>
      <c r="L84" s="35"/>
      <c r="M84" s="35"/>
      <c r="N84" s="36"/>
      <c r="O84" s="35"/>
      <c r="P84" s="35"/>
      <c r="Q84" s="35"/>
      <c r="R84" s="35"/>
      <c r="S84" s="35"/>
      <c r="T84" s="35"/>
      <c r="U84" s="35"/>
      <c r="V84" s="85"/>
      <c r="W84" s="27"/>
      <c r="X84" s="36"/>
      <c r="Y84" s="85"/>
      <c r="Z84" s="35"/>
      <c r="AA84" s="35"/>
      <c r="AB84" s="35"/>
      <c r="AC84" s="35"/>
      <c r="AD84" s="35"/>
      <c r="AE84" s="35"/>
      <c r="AF84" s="36"/>
      <c r="AG84" s="35"/>
      <c r="AH84" s="35"/>
      <c r="AI84" s="35"/>
      <c r="AJ84" s="35"/>
      <c r="AK84" s="35"/>
      <c r="AL84" s="35"/>
      <c r="AM84" s="35"/>
      <c r="AN84" s="85"/>
      <c r="AO84" s="27"/>
      <c r="AP84" s="36"/>
      <c r="AQ84" s="85"/>
      <c r="AR84" s="35"/>
      <c r="AS84" s="35">
        <v>145465000</v>
      </c>
      <c r="AT84" s="35">
        <v>20365100</v>
      </c>
      <c r="AU84" s="35">
        <v>125099900</v>
      </c>
      <c r="AV84" s="35">
        <v>20365100</v>
      </c>
      <c r="AW84" s="35">
        <v>85993.63</v>
      </c>
      <c r="AX84" s="36"/>
      <c r="AY84" s="35">
        <v>145465000</v>
      </c>
      <c r="AZ84" s="35">
        <v>20365100</v>
      </c>
      <c r="BA84" s="35"/>
      <c r="BB84" s="35">
        <v>125099900</v>
      </c>
      <c r="BC84" s="35">
        <v>86</v>
      </c>
      <c r="BD84" s="35">
        <v>85993.63</v>
      </c>
      <c r="BE84" s="35"/>
      <c r="BF84" s="85">
        <v>20365100</v>
      </c>
      <c r="BG84" s="27"/>
      <c r="BH84" s="36">
        <v>20365100</v>
      </c>
      <c r="BI84" s="85">
        <v>20365100</v>
      </c>
      <c r="BJ84" s="35"/>
      <c r="BK84" s="35"/>
      <c r="BL84" s="35"/>
      <c r="BM84" s="35"/>
      <c r="BN84" s="35"/>
      <c r="BO84" s="35"/>
      <c r="BP84" s="36"/>
      <c r="BQ84" s="35"/>
      <c r="BR84" s="35"/>
      <c r="BS84" s="35"/>
      <c r="BT84" s="35"/>
      <c r="BU84" s="35"/>
      <c r="BV84" s="35"/>
      <c r="BW84" s="35"/>
      <c r="BX84" s="85"/>
      <c r="BY84" s="27"/>
      <c r="BZ84" s="36"/>
      <c r="CA84" s="85"/>
      <c r="CB84" s="35"/>
      <c r="CC84" s="35"/>
      <c r="CD84" s="35"/>
      <c r="CE84" s="35"/>
      <c r="CF84" s="35"/>
      <c r="CG84" s="35"/>
      <c r="CH84" s="36"/>
      <c r="CI84" s="35"/>
      <c r="CJ84" s="35"/>
      <c r="CK84" s="35"/>
      <c r="CL84" s="35"/>
      <c r="CM84" s="35"/>
      <c r="CN84" s="35"/>
      <c r="CO84" s="35"/>
      <c r="CP84" s="85"/>
      <c r="CQ84" s="27"/>
      <c r="CR84" s="36"/>
      <c r="CS84" s="85"/>
      <c r="CT84" s="35"/>
      <c r="CU84" s="35"/>
      <c r="CV84" s="35"/>
      <c r="CW84" s="35"/>
      <c r="CX84" s="35"/>
      <c r="CY84" s="35"/>
      <c r="CZ84" s="36"/>
      <c r="DA84" s="35"/>
      <c r="DB84" s="35"/>
      <c r="DC84" s="35"/>
      <c r="DD84" s="35"/>
      <c r="DE84" s="35"/>
      <c r="DF84" s="35"/>
      <c r="DG84" s="35"/>
      <c r="DH84" s="85"/>
      <c r="DI84" s="27"/>
      <c r="DJ84" s="36"/>
      <c r="DK84" s="85"/>
      <c r="DL84" s="35"/>
      <c r="DM84" s="35"/>
      <c r="DN84" s="35"/>
      <c r="DO84" s="35"/>
      <c r="DP84" s="35"/>
      <c r="DQ84" s="35"/>
      <c r="DR84" s="36"/>
      <c r="DS84" s="35"/>
      <c r="DT84" s="35"/>
      <c r="DU84" s="35"/>
      <c r="DV84" s="35"/>
      <c r="DW84" s="35"/>
      <c r="DX84" s="35"/>
      <c r="DY84" s="35"/>
      <c r="DZ84" s="85"/>
      <c r="EA84" s="27"/>
      <c r="EB84" s="36"/>
      <c r="EC84" s="85"/>
      <c r="ED84" s="35"/>
      <c r="EE84" s="35">
        <v>6628000</v>
      </c>
      <c r="EF84" s="35">
        <v>927900</v>
      </c>
      <c r="EG84" s="35">
        <v>5700100</v>
      </c>
      <c r="EH84" s="35">
        <v>927900</v>
      </c>
      <c r="EI84" s="35"/>
      <c r="EJ84" s="36"/>
      <c r="EK84" s="35">
        <v>6628000</v>
      </c>
      <c r="EL84" s="35">
        <v>927900</v>
      </c>
      <c r="EM84" s="35"/>
      <c r="EN84" s="35">
        <v>5700100</v>
      </c>
      <c r="EO84" s="35">
        <v>86.000299999999996</v>
      </c>
      <c r="EP84" s="35"/>
      <c r="EQ84" s="35"/>
      <c r="ER84" s="85">
        <v>927900</v>
      </c>
      <c r="ES84" s="27"/>
      <c r="ET84" s="36">
        <v>927900</v>
      </c>
      <c r="EU84" s="85">
        <v>927900</v>
      </c>
      <c r="EV84" s="35"/>
      <c r="EW84" s="35">
        <v>82323353.409999996</v>
      </c>
      <c r="EX84" s="35">
        <v>4011300</v>
      </c>
      <c r="EY84" s="35">
        <v>78312053.409999996</v>
      </c>
      <c r="EZ84" s="35">
        <v>4011299.98</v>
      </c>
      <c r="FA84" s="35"/>
      <c r="FB84" s="36"/>
      <c r="FC84" s="35">
        <v>82323352.840000004</v>
      </c>
      <c r="FD84" s="35">
        <v>4011299.97</v>
      </c>
      <c r="FE84" s="35"/>
      <c r="FF84" s="35">
        <v>78312052.870000005</v>
      </c>
      <c r="FG84" s="35">
        <v>95.127390000000005</v>
      </c>
      <c r="FH84" s="35"/>
      <c r="FI84" s="35">
        <v>0.01</v>
      </c>
      <c r="FJ84" s="85">
        <v>4011299.98</v>
      </c>
      <c r="FK84" s="27"/>
      <c r="FL84" s="36">
        <v>4011300</v>
      </c>
      <c r="FM84" s="85">
        <v>4011300</v>
      </c>
      <c r="FN84" s="35"/>
      <c r="FO84" s="35"/>
      <c r="FP84" s="35"/>
      <c r="FQ84" s="35"/>
      <c r="FR84" s="35"/>
      <c r="FS84" s="35"/>
      <c r="FT84" s="36"/>
      <c r="FU84" s="35"/>
      <c r="FV84" s="35"/>
      <c r="FW84" s="35"/>
      <c r="FX84" s="35"/>
      <c r="FY84" s="35"/>
      <c r="FZ84" s="35"/>
      <c r="GA84" s="35"/>
      <c r="GB84" s="85"/>
      <c r="GC84" s="27"/>
      <c r="GD84" s="36"/>
      <c r="GE84" s="85"/>
      <c r="GF84" s="35"/>
      <c r="GG84" s="35"/>
      <c r="GH84" s="35"/>
      <c r="GI84" s="35"/>
      <c r="GJ84" s="35"/>
      <c r="GK84" s="35"/>
      <c r="GL84" s="36"/>
      <c r="GM84" s="35"/>
      <c r="GN84" s="35"/>
      <c r="GO84" s="35"/>
      <c r="GP84" s="35"/>
      <c r="GQ84" s="35"/>
      <c r="GR84" s="35"/>
      <c r="GS84" s="35"/>
      <c r="GT84" s="85"/>
      <c r="GU84" s="27"/>
      <c r="GV84" s="36"/>
      <c r="GW84" s="85"/>
      <c r="GX84" s="35"/>
      <c r="GY84" s="35"/>
      <c r="GZ84" s="35"/>
      <c r="HA84" s="35"/>
      <c r="HB84" s="35"/>
      <c r="HC84" s="35"/>
      <c r="HD84" s="36"/>
      <c r="HE84" s="35"/>
      <c r="HF84" s="35"/>
      <c r="HG84" s="35"/>
      <c r="HH84" s="35"/>
      <c r="HI84" s="35"/>
      <c r="HJ84" s="35"/>
      <c r="HK84" s="35"/>
      <c r="HL84" s="85"/>
      <c r="HM84" s="27"/>
      <c r="HN84" s="36"/>
      <c r="HO84" s="85"/>
      <c r="HP84" s="35"/>
      <c r="HQ84" s="35">
        <v>34883700</v>
      </c>
      <c r="HR84" s="35">
        <v>4883700</v>
      </c>
      <c r="HS84" s="35">
        <v>30000000</v>
      </c>
      <c r="HT84" s="35">
        <v>4883700</v>
      </c>
      <c r="HU84" s="35"/>
      <c r="HV84" s="36"/>
      <c r="HW84" s="35">
        <v>34883700</v>
      </c>
      <c r="HX84" s="35">
        <v>4883700</v>
      </c>
      <c r="HY84" s="35"/>
      <c r="HZ84" s="35">
        <v>30000000</v>
      </c>
      <c r="IA84" s="35">
        <v>86.000050000000002</v>
      </c>
      <c r="IB84" s="35"/>
      <c r="IC84" s="35"/>
      <c r="ID84" s="85">
        <v>4883700</v>
      </c>
      <c r="IE84" s="27"/>
      <c r="IF84" s="36">
        <v>4883700</v>
      </c>
      <c r="IG84" s="85">
        <v>4883700</v>
      </c>
      <c r="IH84" s="35"/>
      <c r="II84" s="35"/>
      <c r="IJ84" s="35"/>
      <c r="IK84" s="35"/>
      <c r="IL84" s="35"/>
      <c r="IM84" s="35"/>
      <c r="IN84" s="36"/>
      <c r="IO84" s="35"/>
      <c r="IP84" s="35"/>
      <c r="IQ84" s="35"/>
      <c r="IR84" s="35"/>
      <c r="IS84" s="35"/>
      <c r="IT84" s="35"/>
      <c r="IU84" s="35"/>
      <c r="IV84" s="85"/>
      <c r="IW84" s="27"/>
      <c r="IX84" s="36"/>
      <c r="IY84" s="85"/>
      <c r="IZ84" s="35"/>
      <c r="JA84" s="35"/>
      <c r="JB84" s="35"/>
      <c r="JC84" s="35"/>
      <c r="JD84" s="35"/>
      <c r="JE84" s="35"/>
      <c r="JF84" s="36"/>
      <c r="JG84" s="35"/>
      <c r="JH84" s="35"/>
      <c r="JI84" s="35"/>
      <c r="JJ84" s="35"/>
      <c r="JK84" s="35"/>
      <c r="JL84" s="35"/>
      <c r="JM84" s="35"/>
      <c r="JN84" s="85"/>
      <c r="JO84" s="27"/>
      <c r="JP84" s="36"/>
      <c r="JQ84" s="85"/>
      <c r="JR84" s="35"/>
      <c r="JS84" s="35"/>
      <c r="JT84" s="35"/>
      <c r="JU84" s="35"/>
      <c r="JV84" s="35"/>
      <c r="JW84" s="35"/>
      <c r="JX84" s="36"/>
      <c r="JY84" s="35"/>
      <c r="JZ84" s="35"/>
      <c r="KA84" s="35"/>
      <c r="KB84" s="35"/>
      <c r="KC84" s="35"/>
      <c r="KD84" s="35"/>
      <c r="KE84" s="35"/>
      <c r="KF84" s="85"/>
      <c r="KG84" s="27"/>
      <c r="KH84" s="36"/>
      <c r="KI84" s="85"/>
      <c r="KJ84" s="35"/>
      <c r="KK84" s="35"/>
      <c r="KL84" s="35"/>
      <c r="KM84" s="35"/>
      <c r="KN84" s="35"/>
      <c r="KO84" s="35"/>
      <c r="KP84" s="36"/>
      <c r="KQ84" s="35"/>
      <c r="KR84" s="35"/>
      <c r="KS84" s="35"/>
      <c r="KT84" s="35"/>
      <c r="KU84" s="35"/>
      <c r="KV84" s="35"/>
      <c r="KW84" s="35"/>
      <c r="KX84" s="85"/>
      <c r="KY84" s="27"/>
      <c r="KZ84" s="36"/>
      <c r="LA84" s="85"/>
      <c r="LB84" s="35"/>
      <c r="LC84" s="35"/>
      <c r="LD84" s="35"/>
      <c r="LE84" s="35"/>
      <c r="LF84" s="35"/>
      <c r="LG84" s="35"/>
      <c r="LH84" s="36"/>
      <c r="LI84" s="35"/>
      <c r="LJ84" s="35"/>
      <c r="LK84" s="35"/>
      <c r="LL84" s="35"/>
      <c r="LM84" s="35"/>
      <c r="LN84" s="35"/>
      <c r="LO84" s="35"/>
      <c r="LP84" s="85"/>
      <c r="LQ84" s="27"/>
      <c r="LR84" s="36"/>
      <c r="LS84" s="85"/>
      <c r="LT84" s="35"/>
      <c r="LU84" s="35"/>
      <c r="LV84" s="35"/>
      <c r="LW84" s="35"/>
      <c r="LX84" s="35"/>
      <c r="LY84" s="35"/>
      <c r="LZ84" s="36"/>
      <c r="MA84" s="35"/>
      <c r="MB84" s="35"/>
      <c r="MC84" s="35"/>
      <c r="MD84" s="35"/>
      <c r="ME84" s="35"/>
      <c r="MF84" s="35"/>
      <c r="MG84" s="35"/>
      <c r="MH84" s="85"/>
      <c r="MI84" s="27"/>
      <c r="MJ84" s="36"/>
      <c r="MK84" s="85"/>
      <c r="ML84" s="35"/>
      <c r="MM84" s="35"/>
      <c r="MN84" s="35"/>
      <c r="MO84" s="35"/>
      <c r="MP84" s="35"/>
      <c r="MQ84" s="35"/>
      <c r="MR84" s="36"/>
      <c r="MS84" s="35"/>
      <c r="MT84" s="35"/>
      <c r="MU84" s="35"/>
      <c r="MV84" s="35"/>
      <c r="MW84" s="35"/>
      <c r="MX84" s="35"/>
      <c r="MY84" s="35"/>
      <c r="MZ84" s="85"/>
      <c r="NA84" s="27"/>
      <c r="NB84" s="36"/>
      <c r="NC84" s="85"/>
      <c r="ND84" s="35"/>
      <c r="NE84" s="35"/>
      <c r="NF84" s="35"/>
      <c r="NG84" s="35"/>
      <c r="NH84" s="35"/>
      <c r="NI84" s="35"/>
      <c r="NJ84" s="36"/>
      <c r="NK84" s="35"/>
      <c r="NL84" s="35"/>
      <c r="NM84" s="35"/>
      <c r="NN84" s="35"/>
      <c r="NO84" s="35"/>
      <c r="NP84" s="35"/>
      <c r="NQ84" s="35"/>
      <c r="NR84" s="85"/>
      <c r="NS84" s="27"/>
      <c r="NT84" s="36"/>
      <c r="NU84" s="85"/>
      <c r="NV84" s="35"/>
      <c r="NW84" s="35"/>
      <c r="NX84" s="35"/>
      <c r="NY84" s="35"/>
      <c r="NZ84" s="35"/>
      <c r="OA84" s="35"/>
      <c r="OB84" s="36"/>
      <c r="OC84" s="35"/>
      <c r="OD84" s="35"/>
      <c r="OE84" s="35"/>
      <c r="OF84" s="35"/>
      <c r="OG84" s="35"/>
      <c r="OH84" s="35"/>
      <c r="OI84" s="35"/>
      <c r="OJ84" s="85"/>
      <c r="OK84" s="27"/>
      <c r="OL84" s="36"/>
      <c r="OM84" s="85"/>
      <c r="ON84" s="35"/>
      <c r="OO84" s="35"/>
      <c r="OP84" s="35"/>
      <c r="OQ84" s="35"/>
      <c r="OR84" s="35"/>
      <c r="OS84" s="35"/>
      <c r="OT84" s="36"/>
      <c r="OU84" s="35"/>
      <c r="OV84" s="35"/>
      <c r="OW84" s="35"/>
      <c r="OX84" s="35"/>
      <c r="OY84" s="35"/>
      <c r="OZ84" s="35"/>
      <c r="PA84" s="35"/>
      <c r="PB84" s="85"/>
      <c r="PC84" s="27"/>
      <c r="PD84" s="36"/>
      <c r="PE84" s="85"/>
      <c r="PF84" s="35"/>
      <c r="PG84" s="35"/>
      <c r="PH84" s="35"/>
      <c r="PI84" s="35"/>
      <c r="PJ84" s="35"/>
      <c r="PK84" s="35"/>
      <c r="PL84" s="36"/>
      <c r="PM84" s="35"/>
      <c r="PN84" s="35"/>
      <c r="PO84" s="35"/>
      <c r="PP84" s="35"/>
      <c r="PQ84" s="35"/>
      <c r="PR84" s="35"/>
      <c r="PS84" s="35"/>
      <c r="PT84" s="85"/>
      <c r="PU84" s="27"/>
      <c r="PV84" s="36"/>
      <c r="PW84" s="85"/>
      <c r="PX84" s="35"/>
      <c r="PY84" s="35"/>
      <c r="PZ84" s="35"/>
      <c r="QA84" s="35"/>
      <c r="QB84" s="35"/>
      <c r="QC84" s="35"/>
      <c r="QD84" s="36"/>
      <c r="QE84" s="35"/>
      <c r="QF84" s="35"/>
      <c r="QG84" s="35"/>
      <c r="QH84" s="35"/>
      <c r="QI84" s="35"/>
      <c r="QJ84" s="35"/>
      <c r="QK84" s="35"/>
      <c r="QL84" s="85"/>
      <c r="QM84" s="27"/>
      <c r="QN84" s="36"/>
      <c r="QO84" s="85"/>
      <c r="QP84" s="35"/>
      <c r="QQ84" s="35"/>
      <c r="QR84" s="35"/>
      <c r="QS84" s="35"/>
      <c r="QT84" s="35"/>
      <c r="QU84" s="35"/>
      <c r="QV84" s="36"/>
      <c r="QW84" s="35"/>
      <c r="QX84" s="35"/>
      <c r="QY84" s="35"/>
      <c r="QZ84" s="35"/>
      <c r="RA84" s="35"/>
      <c r="RB84" s="35"/>
      <c r="RC84" s="35"/>
      <c r="RD84" s="85"/>
      <c r="RE84" s="27"/>
      <c r="RF84" s="36"/>
      <c r="RG84" s="85"/>
      <c r="RH84" s="35"/>
      <c r="RI84" s="35"/>
      <c r="RJ84" s="35"/>
      <c r="RK84" s="35"/>
      <c r="RL84" s="35"/>
      <c r="RM84" s="35"/>
      <c r="RN84" s="36"/>
      <c r="RO84" s="35"/>
      <c r="RP84" s="35"/>
      <c r="RQ84" s="35"/>
      <c r="RR84" s="35"/>
      <c r="RS84" s="35"/>
      <c r="RT84" s="35"/>
      <c r="RU84" s="35"/>
      <c r="RV84" s="85"/>
      <c r="RW84" s="27"/>
      <c r="RX84" s="36"/>
      <c r="RY84" s="85"/>
      <c r="RZ84" s="35"/>
      <c r="SA84" s="35"/>
      <c r="SB84" s="35"/>
      <c r="SC84" s="35"/>
      <c r="SD84" s="35"/>
      <c r="SE84" s="35"/>
      <c r="SF84" s="36"/>
      <c r="SG84" s="35"/>
      <c r="SH84" s="35"/>
      <c r="SI84" s="35"/>
      <c r="SJ84" s="35"/>
      <c r="SK84" s="35"/>
      <c r="SL84" s="35"/>
      <c r="SM84" s="35"/>
      <c r="SN84" s="85"/>
      <c r="SO84" s="27"/>
      <c r="SP84" s="36"/>
      <c r="SQ84" s="85"/>
      <c r="SR84" s="35"/>
      <c r="SS84" s="35"/>
      <c r="ST84" s="35"/>
      <c r="SU84" s="35"/>
      <c r="SV84" s="35"/>
      <c r="SW84" s="35"/>
      <c r="SX84" s="36"/>
      <c r="SY84" s="35"/>
      <c r="SZ84" s="35"/>
      <c r="TA84" s="35"/>
      <c r="TB84" s="35"/>
      <c r="TC84" s="35"/>
      <c r="TD84" s="35"/>
      <c r="TE84" s="35"/>
      <c r="TF84" s="85"/>
      <c r="TG84" s="27"/>
      <c r="TH84" s="36"/>
      <c r="TI84" s="85"/>
      <c r="TJ84" s="35"/>
      <c r="TK84" s="35"/>
      <c r="TL84" s="35"/>
      <c r="TM84" s="35"/>
      <c r="TN84" s="35"/>
      <c r="TO84" s="35"/>
      <c r="TP84" s="36"/>
      <c r="TQ84" s="35"/>
      <c r="TR84" s="35"/>
      <c r="TS84" s="35"/>
      <c r="TT84" s="35"/>
      <c r="TU84" s="35"/>
      <c r="TV84" s="35"/>
      <c r="TW84" s="35"/>
      <c r="TX84" s="85"/>
      <c r="TY84" s="27"/>
      <c r="TZ84" s="36"/>
      <c r="UA84" s="85"/>
      <c r="UB84" s="35"/>
      <c r="UC84" s="35"/>
      <c r="UD84" s="35"/>
      <c r="UE84" s="35"/>
      <c r="UF84" s="35"/>
      <c r="UG84" s="35"/>
      <c r="UH84" s="36"/>
      <c r="UI84" s="35"/>
      <c r="UJ84" s="35"/>
      <c r="UK84" s="35"/>
      <c r="UL84" s="35"/>
      <c r="UM84" s="35"/>
      <c r="UN84" s="35"/>
      <c r="UO84" s="35"/>
      <c r="UP84" s="85"/>
      <c r="UQ84" s="27"/>
      <c r="UR84" s="36"/>
      <c r="US84" s="85"/>
    </row>
    <row r="85" spans="1:565" ht="15" thickBot="1" x14ac:dyDescent="0.35">
      <c r="A85" s="8" t="s">
        <v>187</v>
      </c>
      <c r="B85" s="170">
        <v>71</v>
      </c>
      <c r="C85" s="13" t="s">
        <v>189</v>
      </c>
      <c r="F85" s="36">
        <v>1577952400</v>
      </c>
      <c r="G85" s="85"/>
      <c r="H85" s="35"/>
      <c r="I85" s="35">
        <v>308489400</v>
      </c>
      <c r="J85" s="35">
        <v>249876400</v>
      </c>
      <c r="K85" s="35">
        <v>58613000</v>
      </c>
      <c r="L85" s="35">
        <v>249459203.5</v>
      </c>
      <c r="M85" s="35">
        <v>6278149.8399999999</v>
      </c>
      <c r="N85" s="36"/>
      <c r="O85" s="35">
        <v>307974342.56</v>
      </c>
      <c r="P85" s="35">
        <v>249459203.5</v>
      </c>
      <c r="Q85" s="35"/>
      <c r="R85" s="35">
        <v>58515139.060000002</v>
      </c>
      <c r="S85" s="35">
        <v>19</v>
      </c>
      <c r="T85" s="35">
        <v>6278149.8399999999</v>
      </c>
      <c r="U85" s="35"/>
      <c r="V85" s="85">
        <v>249459203.5</v>
      </c>
      <c r="W85" s="27"/>
      <c r="X85" s="36">
        <v>249876400</v>
      </c>
      <c r="Y85" s="85">
        <v>249876400</v>
      </c>
      <c r="Z85" s="35"/>
      <c r="AA85" s="35">
        <v>101635600</v>
      </c>
      <c r="AB85" s="35">
        <v>82324800</v>
      </c>
      <c r="AC85" s="35">
        <v>19310800</v>
      </c>
      <c r="AD85" s="35">
        <v>82324800</v>
      </c>
      <c r="AE85" s="35"/>
      <c r="AF85" s="36"/>
      <c r="AG85" s="35">
        <v>101635600</v>
      </c>
      <c r="AH85" s="35">
        <v>82324800</v>
      </c>
      <c r="AI85" s="35"/>
      <c r="AJ85" s="35">
        <v>19310800</v>
      </c>
      <c r="AK85" s="35">
        <v>19.000039999999998</v>
      </c>
      <c r="AL85" s="35"/>
      <c r="AM85" s="35"/>
      <c r="AN85" s="85">
        <v>82324800</v>
      </c>
      <c r="AO85" s="27"/>
      <c r="AP85" s="36">
        <v>82324800</v>
      </c>
      <c r="AQ85" s="85">
        <v>82324800</v>
      </c>
      <c r="AR85" s="35"/>
      <c r="AS85" s="35">
        <v>603186200</v>
      </c>
      <c r="AT85" s="35">
        <v>488580800</v>
      </c>
      <c r="AU85" s="35">
        <v>114605400</v>
      </c>
      <c r="AV85" s="35">
        <v>488580800</v>
      </c>
      <c r="AW85" s="35">
        <v>6703544.1699999999</v>
      </c>
      <c r="AX85" s="36"/>
      <c r="AY85" s="35">
        <v>603186200</v>
      </c>
      <c r="AZ85" s="35">
        <v>488580800</v>
      </c>
      <c r="BA85" s="35"/>
      <c r="BB85" s="35">
        <v>114605400</v>
      </c>
      <c r="BC85" s="35">
        <v>19</v>
      </c>
      <c r="BD85" s="35">
        <v>6703544.1699999999</v>
      </c>
      <c r="BE85" s="35"/>
      <c r="BF85" s="85">
        <v>488580800</v>
      </c>
      <c r="BG85" s="27"/>
      <c r="BH85" s="36">
        <v>488580800</v>
      </c>
      <c r="BI85" s="85">
        <v>488580800</v>
      </c>
      <c r="BJ85" s="35"/>
      <c r="BK85" s="35">
        <v>826928500</v>
      </c>
      <c r="BL85" s="35">
        <v>638083700</v>
      </c>
      <c r="BM85" s="35">
        <v>188844800</v>
      </c>
      <c r="BN85" s="35">
        <v>638083700</v>
      </c>
      <c r="BO85" s="35"/>
      <c r="BP85" s="36"/>
      <c r="BQ85" s="35">
        <v>826928500</v>
      </c>
      <c r="BR85" s="35">
        <v>638083700</v>
      </c>
      <c r="BS85" s="35"/>
      <c r="BT85" s="35">
        <v>188844800</v>
      </c>
      <c r="BU85" s="35">
        <v>22.8369</v>
      </c>
      <c r="BV85" s="35"/>
      <c r="BW85" s="35"/>
      <c r="BX85" s="85">
        <v>638083700</v>
      </c>
      <c r="BY85" s="27"/>
      <c r="BZ85" s="36">
        <v>638083700</v>
      </c>
      <c r="CA85" s="85">
        <v>638083700</v>
      </c>
      <c r="CB85" s="35"/>
      <c r="CC85" s="35"/>
      <c r="CD85" s="35"/>
      <c r="CE85" s="35"/>
      <c r="CF85" s="35"/>
      <c r="CG85" s="35"/>
      <c r="CH85" s="36"/>
      <c r="CI85" s="35"/>
      <c r="CJ85" s="35"/>
      <c r="CK85" s="35"/>
      <c r="CL85" s="35"/>
      <c r="CM85" s="35"/>
      <c r="CN85" s="35"/>
      <c r="CO85" s="35"/>
      <c r="CP85" s="85"/>
      <c r="CQ85" s="27"/>
      <c r="CR85" s="36"/>
      <c r="CS85" s="85"/>
      <c r="CT85" s="35"/>
      <c r="CU85" s="35"/>
      <c r="CV85" s="35"/>
      <c r="CW85" s="35"/>
      <c r="CX85" s="35"/>
      <c r="CY85" s="35"/>
      <c r="CZ85" s="36"/>
      <c r="DA85" s="35"/>
      <c r="DB85" s="35"/>
      <c r="DC85" s="35"/>
      <c r="DD85" s="35"/>
      <c r="DE85" s="35"/>
      <c r="DF85" s="35"/>
      <c r="DG85" s="35"/>
      <c r="DH85" s="85"/>
      <c r="DI85" s="27"/>
      <c r="DJ85" s="36"/>
      <c r="DK85" s="85"/>
      <c r="DL85" s="35"/>
      <c r="DM85" s="35"/>
      <c r="DN85" s="35"/>
      <c r="DO85" s="35"/>
      <c r="DP85" s="35"/>
      <c r="DQ85" s="35"/>
      <c r="DR85" s="36"/>
      <c r="DS85" s="35"/>
      <c r="DT85" s="35"/>
      <c r="DU85" s="35"/>
      <c r="DV85" s="35"/>
      <c r="DW85" s="35"/>
      <c r="DX85" s="35"/>
      <c r="DY85" s="35"/>
      <c r="DZ85" s="85"/>
      <c r="EA85" s="27"/>
      <c r="EB85" s="36"/>
      <c r="EC85" s="85"/>
      <c r="ED85" s="35"/>
      <c r="EE85" s="35">
        <v>59009271</v>
      </c>
      <c r="EF85" s="35">
        <v>56648900</v>
      </c>
      <c r="EG85" s="35">
        <v>2360371</v>
      </c>
      <c r="EH85" s="35">
        <v>56648900</v>
      </c>
      <c r="EI85" s="35"/>
      <c r="EJ85" s="36"/>
      <c r="EK85" s="35">
        <v>59009271</v>
      </c>
      <c r="EL85" s="35">
        <v>56648900</v>
      </c>
      <c r="EM85" s="35"/>
      <c r="EN85" s="35">
        <v>2360371</v>
      </c>
      <c r="EO85" s="35">
        <v>4</v>
      </c>
      <c r="EP85" s="35"/>
      <c r="EQ85" s="35"/>
      <c r="ER85" s="85">
        <v>56648900</v>
      </c>
      <c r="ES85" s="27"/>
      <c r="ET85" s="36">
        <v>56648900</v>
      </c>
      <c r="EU85" s="85">
        <v>56648900</v>
      </c>
      <c r="EV85" s="35"/>
      <c r="EW85" s="35">
        <v>97452100</v>
      </c>
      <c r="EX85" s="35">
        <v>47452100</v>
      </c>
      <c r="EY85" s="35">
        <v>50000000</v>
      </c>
      <c r="EZ85" s="35">
        <v>47452100</v>
      </c>
      <c r="FA85" s="35">
        <v>120011.94</v>
      </c>
      <c r="FB85" s="36"/>
      <c r="FC85" s="35">
        <v>97452100</v>
      </c>
      <c r="FD85" s="35">
        <v>47452100</v>
      </c>
      <c r="FE85" s="35"/>
      <c r="FF85" s="35">
        <v>50000000</v>
      </c>
      <c r="FG85" s="35">
        <v>51.307259999999999</v>
      </c>
      <c r="FH85" s="35">
        <v>120011.94</v>
      </c>
      <c r="FI85" s="35"/>
      <c r="FJ85" s="85">
        <v>47452100</v>
      </c>
      <c r="FK85" s="27"/>
      <c r="FL85" s="36">
        <v>47452100</v>
      </c>
      <c r="FM85" s="85">
        <v>47452100</v>
      </c>
      <c r="FN85" s="35"/>
      <c r="FO85" s="35"/>
      <c r="FP85" s="35"/>
      <c r="FQ85" s="35"/>
      <c r="FR85" s="35"/>
      <c r="FS85" s="35">
        <v>726654.1</v>
      </c>
      <c r="FT85" s="36"/>
      <c r="FU85" s="35"/>
      <c r="FV85" s="35"/>
      <c r="FW85" s="35"/>
      <c r="FX85" s="35"/>
      <c r="FY85" s="35"/>
      <c r="FZ85" s="35">
        <v>726654.1</v>
      </c>
      <c r="GA85" s="35"/>
      <c r="GB85" s="85"/>
      <c r="GC85" s="27"/>
      <c r="GD85" s="36"/>
      <c r="GE85" s="85"/>
      <c r="GF85" s="35"/>
      <c r="GG85" s="35">
        <v>64985700</v>
      </c>
      <c r="GH85" s="35">
        <v>14985700</v>
      </c>
      <c r="GI85" s="35">
        <v>50000000</v>
      </c>
      <c r="GJ85" s="35">
        <v>10417203.92</v>
      </c>
      <c r="GK85" s="35"/>
      <c r="GL85" s="36"/>
      <c r="GM85" s="35">
        <v>45174352.130000003</v>
      </c>
      <c r="GN85" s="35">
        <v>10417203.92</v>
      </c>
      <c r="GO85" s="35"/>
      <c r="GP85" s="35">
        <v>34757148.210000001</v>
      </c>
      <c r="GQ85" s="35">
        <v>76.94</v>
      </c>
      <c r="GR85" s="35"/>
      <c r="GS85" s="35"/>
      <c r="GT85" s="85">
        <v>10417203.92</v>
      </c>
      <c r="GU85" s="27"/>
      <c r="GV85" s="36">
        <v>14985700</v>
      </c>
      <c r="GW85" s="85">
        <v>14985700</v>
      </c>
      <c r="GX85" s="35"/>
      <c r="GY85" s="35"/>
      <c r="GZ85" s="35"/>
      <c r="HA85" s="35"/>
      <c r="HB85" s="35"/>
      <c r="HC85" s="35"/>
      <c r="HD85" s="36"/>
      <c r="HE85" s="35"/>
      <c r="HF85" s="35"/>
      <c r="HG85" s="35"/>
      <c r="HH85" s="35"/>
      <c r="HI85" s="35"/>
      <c r="HJ85" s="35"/>
      <c r="HK85" s="35"/>
      <c r="HL85" s="85"/>
      <c r="HM85" s="27"/>
      <c r="HN85" s="36"/>
      <c r="HO85" s="85"/>
      <c r="HP85" s="35"/>
      <c r="HQ85" s="35"/>
      <c r="HR85" s="35"/>
      <c r="HS85" s="35"/>
      <c r="HT85" s="35"/>
      <c r="HU85" s="35"/>
      <c r="HV85" s="36"/>
      <c r="HW85" s="35"/>
      <c r="HX85" s="35"/>
      <c r="HY85" s="35"/>
      <c r="HZ85" s="35"/>
      <c r="IA85" s="35"/>
      <c r="IB85" s="35"/>
      <c r="IC85" s="35"/>
      <c r="ID85" s="85"/>
      <c r="IE85" s="27"/>
      <c r="IF85" s="36"/>
      <c r="IG85" s="85"/>
      <c r="IH85" s="35"/>
      <c r="II85" s="35"/>
      <c r="IJ85" s="35"/>
      <c r="IK85" s="35"/>
      <c r="IL85" s="35"/>
      <c r="IM85" s="35"/>
      <c r="IN85" s="36"/>
      <c r="IO85" s="35"/>
      <c r="IP85" s="35"/>
      <c r="IQ85" s="35"/>
      <c r="IR85" s="35"/>
      <c r="IS85" s="35"/>
      <c r="IT85" s="35"/>
      <c r="IU85" s="35"/>
      <c r="IV85" s="85"/>
      <c r="IW85" s="27"/>
      <c r="IX85" s="36"/>
      <c r="IY85" s="85"/>
      <c r="IZ85" s="35"/>
      <c r="JA85" s="35"/>
      <c r="JB85" s="35"/>
      <c r="JC85" s="35"/>
      <c r="JD85" s="35"/>
      <c r="JE85" s="35"/>
      <c r="JF85" s="36"/>
      <c r="JG85" s="35"/>
      <c r="JH85" s="35"/>
      <c r="JI85" s="35"/>
      <c r="JJ85" s="35"/>
      <c r="JK85" s="35"/>
      <c r="JL85" s="35"/>
      <c r="JM85" s="35"/>
      <c r="JN85" s="85"/>
      <c r="JO85" s="27"/>
      <c r="JP85" s="36"/>
      <c r="JQ85" s="85"/>
      <c r="JR85" s="35"/>
      <c r="JS85" s="35"/>
      <c r="JT85" s="35"/>
      <c r="JU85" s="35"/>
      <c r="JV85" s="35"/>
      <c r="JW85" s="35"/>
      <c r="JX85" s="36"/>
      <c r="JY85" s="35"/>
      <c r="JZ85" s="35"/>
      <c r="KA85" s="35"/>
      <c r="KB85" s="35"/>
      <c r="KC85" s="35"/>
      <c r="KD85" s="35"/>
      <c r="KE85" s="35"/>
      <c r="KF85" s="85"/>
      <c r="KG85" s="27"/>
      <c r="KH85" s="36"/>
      <c r="KI85" s="85"/>
      <c r="KJ85" s="35"/>
      <c r="KK85" s="35"/>
      <c r="KL85" s="35"/>
      <c r="KM85" s="35"/>
      <c r="KN85" s="35"/>
      <c r="KO85" s="35"/>
      <c r="KP85" s="36"/>
      <c r="KQ85" s="35"/>
      <c r="KR85" s="35"/>
      <c r="KS85" s="35"/>
      <c r="KT85" s="35"/>
      <c r="KU85" s="35"/>
      <c r="KV85" s="35"/>
      <c r="KW85" s="35"/>
      <c r="KX85" s="85"/>
      <c r="KY85" s="27"/>
      <c r="KZ85" s="36"/>
      <c r="LA85" s="85"/>
      <c r="LB85" s="35"/>
      <c r="LC85" s="35"/>
      <c r="LD85" s="35"/>
      <c r="LE85" s="35"/>
      <c r="LF85" s="35"/>
      <c r="LG85" s="35"/>
      <c r="LH85" s="36"/>
      <c r="LI85" s="35"/>
      <c r="LJ85" s="35"/>
      <c r="LK85" s="35"/>
      <c r="LL85" s="35"/>
      <c r="LM85" s="35"/>
      <c r="LN85" s="35"/>
      <c r="LO85" s="35"/>
      <c r="LP85" s="85"/>
      <c r="LQ85" s="27"/>
      <c r="LR85" s="36"/>
      <c r="LS85" s="85"/>
      <c r="LT85" s="35"/>
      <c r="LU85" s="35"/>
      <c r="LV85" s="35"/>
      <c r="LW85" s="35"/>
      <c r="LX85" s="35"/>
      <c r="LY85" s="35"/>
      <c r="LZ85" s="36"/>
      <c r="MA85" s="35"/>
      <c r="MB85" s="35"/>
      <c r="MC85" s="35"/>
      <c r="MD85" s="35"/>
      <c r="ME85" s="35"/>
      <c r="MF85" s="35"/>
      <c r="MG85" s="35"/>
      <c r="MH85" s="85"/>
      <c r="MI85" s="27"/>
      <c r="MJ85" s="36"/>
      <c r="MK85" s="85"/>
      <c r="ML85" s="35"/>
      <c r="MM85" s="35"/>
      <c r="MN85" s="35"/>
      <c r="MO85" s="35"/>
      <c r="MP85" s="35"/>
      <c r="MQ85" s="35"/>
      <c r="MR85" s="36"/>
      <c r="MS85" s="35"/>
      <c r="MT85" s="35"/>
      <c r="MU85" s="35"/>
      <c r="MV85" s="35"/>
      <c r="MW85" s="35"/>
      <c r="MX85" s="35"/>
      <c r="MY85" s="35"/>
      <c r="MZ85" s="85"/>
      <c r="NA85" s="27"/>
      <c r="NB85" s="36"/>
      <c r="NC85" s="85"/>
      <c r="ND85" s="35"/>
      <c r="NE85" s="35"/>
      <c r="NF85" s="35"/>
      <c r="NG85" s="35"/>
      <c r="NH85" s="35"/>
      <c r="NI85" s="35"/>
      <c r="NJ85" s="36"/>
      <c r="NK85" s="35"/>
      <c r="NL85" s="35"/>
      <c r="NM85" s="35"/>
      <c r="NN85" s="35"/>
      <c r="NO85" s="35"/>
      <c r="NP85" s="35"/>
      <c r="NQ85" s="35"/>
      <c r="NR85" s="85"/>
      <c r="NS85" s="27"/>
      <c r="NT85" s="36"/>
      <c r="NU85" s="85"/>
      <c r="NV85" s="35"/>
      <c r="NW85" s="35"/>
      <c r="NX85" s="35"/>
      <c r="NY85" s="35"/>
      <c r="NZ85" s="35"/>
      <c r="OA85" s="35"/>
      <c r="OB85" s="36"/>
      <c r="OC85" s="35"/>
      <c r="OD85" s="35"/>
      <c r="OE85" s="35"/>
      <c r="OF85" s="35"/>
      <c r="OG85" s="35"/>
      <c r="OH85" s="35"/>
      <c r="OI85" s="35"/>
      <c r="OJ85" s="85"/>
      <c r="OK85" s="27"/>
      <c r="OL85" s="36"/>
      <c r="OM85" s="85"/>
      <c r="ON85" s="35"/>
      <c r="OO85" s="35"/>
      <c r="OP85" s="35"/>
      <c r="OQ85" s="35"/>
      <c r="OR85" s="35"/>
      <c r="OS85" s="35">
        <v>3084801.46</v>
      </c>
      <c r="OT85" s="36"/>
      <c r="OU85" s="35"/>
      <c r="OV85" s="35"/>
      <c r="OW85" s="35"/>
      <c r="OX85" s="35"/>
      <c r="OY85" s="35"/>
      <c r="OZ85" s="35">
        <v>3084801.46</v>
      </c>
      <c r="PA85" s="35"/>
      <c r="PB85" s="85"/>
      <c r="PC85" s="27"/>
      <c r="PD85" s="36"/>
      <c r="PE85" s="85"/>
      <c r="PF85" s="35"/>
      <c r="PG85" s="35"/>
      <c r="PH85" s="35"/>
      <c r="PI85" s="35"/>
      <c r="PJ85" s="35"/>
      <c r="PK85" s="35"/>
      <c r="PL85" s="36"/>
      <c r="PM85" s="35"/>
      <c r="PN85" s="35"/>
      <c r="PO85" s="35"/>
      <c r="PP85" s="35"/>
      <c r="PQ85" s="35"/>
      <c r="PR85" s="35"/>
      <c r="PS85" s="35"/>
      <c r="PT85" s="85"/>
      <c r="PU85" s="27"/>
      <c r="PV85" s="36"/>
      <c r="PW85" s="85"/>
      <c r="PX85" s="35"/>
      <c r="PY85" s="35"/>
      <c r="PZ85" s="35"/>
      <c r="QA85" s="35"/>
      <c r="QB85" s="35"/>
      <c r="QC85" s="35"/>
      <c r="QD85" s="36"/>
      <c r="QE85" s="35"/>
      <c r="QF85" s="35"/>
      <c r="QG85" s="35"/>
      <c r="QH85" s="35"/>
      <c r="QI85" s="35"/>
      <c r="QJ85" s="35"/>
      <c r="QK85" s="35"/>
      <c r="QL85" s="85"/>
      <c r="QM85" s="27"/>
      <c r="QN85" s="36"/>
      <c r="QO85" s="85"/>
      <c r="QP85" s="35"/>
      <c r="QQ85" s="35"/>
      <c r="QR85" s="35"/>
      <c r="QS85" s="35"/>
      <c r="QT85" s="35"/>
      <c r="QU85" s="35"/>
      <c r="QV85" s="36"/>
      <c r="QW85" s="35"/>
      <c r="QX85" s="35"/>
      <c r="QY85" s="35"/>
      <c r="QZ85" s="35"/>
      <c r="RA85" s="35"/>
      <c r="RB85" s="35"/>
      <c r="RC85" s="35"/>
      <c r="RD85" s="85"/>
      <c r="RE85" s="27"/>
      <c r="RF85" s="36"/>
      <c r="RG85" s="85"/>
      <c r="RH85" s="35"/>
      <c r="RI85" s="35"/>
      <c r="RJ85" s="35"/>
      <c r="RK85" s="35"/>
      <c r="RL85" s="35"/>
      <c r="RM85" s="35"/>
      <c r="RN85" s="36"/>
      <c r="RO85" s="35"/>
      <c r="RP85" s="35"/>
      <c r="RQ85" s="35"/>
      <c r="RR85" s="35"/>
      <c r="RS85" s="35"/>
      <c r="RT85" s="35"/>
      <c r="RU85" s="35"/>
      <c r="RV85" s="85"/>
      <c r="RW85" s="27"/>
      <c r="RX85" s="36"/>
      <c r="RY85" s="85"/>
      <c r="RZ85" s="35"/>
      <c r="SA85" s="35"/>
      <c r="SB85" s="35"/>
      <c r="SC85" s="35"/>
      <c r="SD85" s="35"/>
      <c r="SE85" s="35"/>
      <c r="SF85" s="36"/>
      <c r="SG85" s="35"/>
      <c r="SH85" s="35"/>
      <c r="SI85" s="35"/>
      <c r="SJ85" s="35"/>
      <c r="SK85" s="35"/>
      <c r="SL85" s="35"/>
      <c r="SM85" s="35"/>
      <c r="SN85" s="85"/>
      <c r="SO85" s="27"/>
      <c r="SP85" s="36"/>
      <c r="SQ85" s="85"/>
      <c r="SR85" s="35"/>
      <c r="SS85" s="35"/>
      <c r="ST85" s="35"/>
      <c r="SU85" s="35"/>
      <c r="SV85" s="35"/>
      <c r="SW85" s="35"/>
      <c r="SX85" s="36"/>
      <c r="SY85" s="35"/>
      <c r="SZ85" s="35"/>
      <c r="TA85" s="35"/>
      <c r="TB85" s="35"/>
      <c r="TC85" s="35"/>
      <c r="TD85" s="35"/>
      <c r="TE85" s="35"/>
      <c r="TF85" s="85"/>
      <c r="TG85" s="27"/>
      <c r="TH85" s="36"/>
      <c r="TI85" s="85"/>
      <c r="TJ85" s="35"/>
      <c r="TK85" s="35"/>
      <c r="TL85" s="35"/>
      <c r="TM85" s="35"/>
      <c r="TN85" s="35"/>
      <c r="TO85" s="35"/>
      <c r="TP85" s="36"/>
      <c r="TQ85" s="35"/>
      <c r="TR85" s="35"/>
      <c r="TS85" s="35"/>
      <c r="TT85" s="35"/>
      <c r="TU85" s="35"/>
      <c r="TV85" s="35"/>
      <c r="TW85" s="35"/>
      <c r="TX85" s="85"/>
      <c r="TY85" s="27"/>
      <c r="TZ85" s="36"/>
      <c r="UA85" s="85"/>
      <c r="UB85" s="35"/>
      <c r="UC85" s="35"/>
      <c r="UD85" s="35"/>
      <c r="UE85" s="35"/>
      <c r="UF85" s="35"/>
      <c r="UG85" s="35"/>
      <c r="UH85" s="36"/>
      <c r="UI85" s="35"/>
      <c r="UJ85" s="35"/>
      <c r="UK85" s="35"/>
      <c r="UL85" s="35"/>
      <c r="UM85" s="35"/>
      <c r="UN85" s="35"/>
      <c r="UO85" s="35"/>
      <c r="UP85" s="85"/>
      <c r="UQ85" s="27"/>
      <c r="UR85" s="36"/>
      <c r="US85" s="85"/>
    </row>
    <row r="86" spans="1:565" x14ac:dyDescent="0.3">
      <c r="A86" s="8" t="s">
        <v>190</v>
      </c>
      <c r="B86" s="168">
        <v>72</v>
      </c>
      <c r="C86" s="12" t="s">
        <v>192</v>
      </c>
      <c r="F86" s="32"/>
      <c r="G86" s="33"/>
      <c r="H86" s="32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86"/>
      <c r="Z86" s="32"/>
      <c r="AA86" s="33"/>
      <c r="AB86" s="33"/>
      <c r="AC86" s="33"/>
      <c r="AD86" s="33"/>
      <c r="AE86" s="33"/>
      <c r="AF86" s="33"/>
      <c r="AG86" s="33"/>
      <c r="AH86" s="33"/>
      <c r="AI86" s="33"/>
      <c r="AJ86" s="33"/>
      <c r="AK86" s="33"/>
      <c r="AL86" s="33"/>
      <c r="AM86" s="33"/>
      <c r="AN86" s="33"/>
      <c r="AO86" s="33"/>
      <c r="AP86" s="33"/>
      <c r="AQ86" s="86"/>
      <c r="AR86" s="32"/>
      <c r="AS86" s="33"/>
      <c r="AT86" s="33"/>
      <c r="AU86" s="33"/>
      <c r="AV86" s="33"/>
      <c r="AW86" s="33"/>
      <c r="AX86" s="33"/>
      <c r="AY86" s="33"/>
      <c r="AZ86" s="33"/>
      <c r="BA86" s="33"/>
      <c r="BB86" s="33"/>
      <c r="BC86" s="33"/>
      <c r="BD86" s="33"/>
      <c r="BE86" s="33"/>
      <c r="BF86" s="33"/>
      <c r="BG86" s="33"/>
      <c r="BH86" s="33"/>
      <c r="BI86" s="86"/>
      <c r="BJ86" s="148"/>
      <c r="BK86" s="33"/>
      <c r="BL86" s="33"/>
      <c r="BM86" s="33"/>
      <c r="BN86" s="33"/>
      <c r="BO86" s="33"/>
      <c r="BP86" s="33"/>
      <c r="BQ86" s="33"/>
      <c r="BR86" s="33"/>
      <c r="BS86" s="33"/>
      <c r="BT86" s="33"/>
      <c r="BU86" s="33"/>
      <c r="BV86" s="33"/>
      <c r="BW86" s="33"/>
      <c r="BX86" s="33"/>
      <c r="BY86" s="33"/>
      <c r="BZ86" s="33"/>
      <c r="CA86" s="86"/>
      <c r="CB86" s="32"/>
      <c r="CC86" s="33"/>
      <c r="CD86" s="33"/>
      <c r="CE86" s="33"/>
      <c r="CF86" s="33"/>
      <c r="CG86" s="33"/>
      <c r="CH86" s="33"/>
      <c r="CI86" s="33"/>
      <c r="CJ86" s="33"/>
      <c r="CK86" s="33"/>
      <c r="CL86" s="33"/>
      <c r="CM86" s="33"/>
      <c r="CN86" s="33"/>
      <c r="CO86" s="33"/>
      <c r="CP86" s="33"/>
      <c r="CQ86" s="33"/>
      <c r="CR86" s="33"/>
      <c r="CS86" s="86"/>
      <c r="CT86" s="148"/>
      <c r="CU86" s="33"/>
      <c r="CV86" s="33"/>
      <c r="CW86" s="33"/>
      <c r="CX86" s="33"/>
      <c r="CY86" s="33"/>
      <c r="CZ86" s="33"/>
      <c r="DA86" s="33"/>
      <c r="DB86" s="33"/>
      <c r="DC86" s="33"/>
      <c r="DD86" s="33"/>
      <c r="DE86" s="33"/>
      <c r="DF86" s="33"/>
      <c r="DG86" s="33"/>
      <c r="DH86" s="33"/>
      <c r="DI86" s="33"/>
      <c r="DJ86" s="33"/>
      <c r="DK86" s="86"/>
      <c r="DL86" s="148"/>
      <c r="DM86" s="33"/>
      <c r="DN86" s="33"/>
      <c r="DO86" s="33"/>
      <c r="DP86" s="33"/>
      <c r="DQ86" s="33"/>
      <c r="DR86" s="33"/>
      <c r="DS86" s="33"/>
      <c r="DT86" s="33"/>
      <c r="DU86" s="33"/>
      <c r="DV86" s="33"/>
      <c r="DW86" s="33"/>
      <c r="DX86" s="33"/>
      <c r="DY86" s="33"/>
      <c r="DZ86" s="33"/>
      <c r="EA86" s="33"/>
      <c r="EB86" s="33"/>
      <c r="EC86" s="86"/>
      <c r="ED86" s="148"/>
      <c r="EE86" s="33"/>
      <c r="EF86" s="33"/>
      <c r="EG86" s="33"/>
      <c r="EH86" s="33"/>
      <c r="EI86" s="33"/>
      <c r="EJ86" s="33"/>
      <c r="EK86" s="33"/>
      <c r="EL86" s="33"/>
      <c r="EM86" s="33"/>
      <c r="EN86" s="33"/>
      <c r="EO86" s="33"/>
      <c r="EP86" s="33"/>
      <c r="EQ86" s="33"/>
      <c r="ER86" s="33"/>
      <c r="ES86" s="33"/>
      <c r="ET86" s="33"/>
      <c r="EU86" s="86"/>
      <c r="EV86" s="32"/>
      <c r="EW86" s="33"/>
      <c r="EX86" s="33"/>
      <c r="EY86" s="33"/>
      <c r="EZ86" s="33"/>
      <c r="FA86" s="33"/>
      <c r="FB86" s="33"/>
      <c r="FC86" s="33"/>
      <c r="FD86" s="33"/>
      <c r="FE86" s="33"/>
      <c r="FF86" s="33"/>
      <c r="FG86" s="33"/>
      <c r="FH86" s="33"/>
      <c r="FI86" s="33"/>
      <c r="FJ86" s="33"/>
      <c r="FK86" s="33"/>
      <c r="FL86" s="33"/>
      <c r="FM86" s="86"/>
      <c r="FN86" s="148"/>
      <c r="FO86" s="33"/>
      <c r="FP86" s="33"/>
      <c r="FQ86" s="33"/>
      <c r="FR86" s="33"/>
      <c r="FS86" s="33"/>
      <c r="FT86" s="33"/>
      <c r="FU86" s="33"/>
      <c r="FV86" s="33"/>
      <c r="FW86" s="33"/>
      <c r="FX86" s="33"/>
      <c r="FY86" s="33"/>
      <c r="FZ86" s="33"/>
      <c r="GA86" s="33"/>
      <c r="GB86" s="33"/>
      <c r="GC86" s="33"/>
      <c r="GD86" s="33"/>
      <c r="GE86" s="86"/>
      <c r="GF86" s="32"/>
      <c r="GG86" s="33"/>
      <c r="GH86" s="33"/>
      <c r="GI86" s="33"/>
      <c r="GJ86" s="33"/>
      <c r="GK86" s="33"/>
      <c r="GL86" s="33"/>
      <c r="GM86" s="33"/>
      <c r="GN86" s="33"/>
      <c r="GO86" s="33"/>
      <c r="GP86" s="33"/>
      <c r="GQ86" s="33"/>
      <c r="GR86" s="33"/>
      <c r="GS86" s="33"/>
      <c r="GT86" s="33"/>
      <c r="GU86" s="33"/>
      <c r="GV86" s="33"/>
      <c r="GW86" s="86"/>
      <c r="GX86" s="148"/>
      <c r="GY86" s="33"/>
      <c r="GZ86" s="33"/>
      <c r="HA86" s="33"/>
      <c r="HB86" s="33"/>
      <c r="HC86" s="33"/>
      <c r="HD86" s="33"/>
      <c r="HE86" s="33"/>
      <c r="HF86" s="33"/>
      <c r="HG86" s="33"/>
      <c r="HH86" s="33"/>
      <c r="HI86" s="33"/>
      <c r="HJ86" s="33"/>
      <c r="HK86" s="33"/>
      <c r="HL86" s="33"/>
      <c r="HM86" s="33"/>
      <c r="HN86" s="33"/>
      <c r="HO86" s="86"/>
      <c r="HP86" s="148"/>
      <c r="HQ86" s="33"/>
      <c r="HR86" s="33"/>
      <c r="HS86" s="33"/>
      <c r="HT86" s="33"/>
      <c r="HU86" s="33"/>
      <c r="HV86" s="33"/>
      <c r="HW86" s="33"/>
      <c r="HX86" s="33"/>
      <c r="HY86" s="33"/>
      <c r="HZ86" s="33"/>
      <c r="IA86" s="33"/>
      <c r="IB86" s="33"/>
      <c r="IC86" s="33"/>
      <c r="ID86" s="33"/>
      <c r="IE86" s="33"/>
      <c r="IF86" s="33"/>
      <c r="IG86" s="86"/>
      <c r="IH86" s="148"/>
      <c r="II86" s="33"/>
      <c r="IJ86" s="33"/>
      <c r="IK86" s="33"/>
      <c r="IL86" s="33"/>
      <c r="IM86" s="33"/>
      <c r="IN86" s="33"/>
      <c r="IO86" s="33"/>
      <c r="IP86" s="33"/>
      <c r="IQ86" s="33"/>
      <c r="IR86" s="33"/>
      <c r="IS86" s="33"/>
      <c r="IT86" s="33"/>
      <c r="IU86" s="33"/>
      <c r="IV86" s="33"/>
      <c r="IW86" s="33"/>
      <c r="IX86" s="33"/>
      <c r="IY86" s="86"/>
      <c r="IZ86" s="148"/>
      <c r="JA86" s="33"/>
      <c r="JB86" s="33"/>
      <c r="JC86" s="33"/>
      <c r="JD86" s="33"/>
      <c r="JE86" s="33"/>
      <c r="JF86" s="33"/>
      <c r="JG86" s="33"/>
      <c r="JH86" s="33"/>
      <c r="JI86" s="33"/>
      <c r="JJ86" s="33"/>
      <c r="JK86" s="33"/>
      <c r="JL86" s="33"/>
      <c r="JM86" s="33"/>
      <c r="JN86" s="33"/>
      <c r="JO86" s="33"/>
      <c r="JP86" s="33"/>
      <c r="JQ86" s="86"/>
      <c r="JR86" s="148"/>
      <c r="JS86" s="33"/>
      <c r="JT86" s="33"/>
      <c r="JU86" s="33"/>
      <c r="JV86" s="33"/>
      <c r="JW86" s="33"/>
      <c r="JX86" s="33"/>
      <c r="JY86" s="33"/>
      <c r="JZ86" s="33"/>
      <c r="KA86" s="33"/>
      <c r="KB86" s="33"/>
      <c r="KC86" s="33"/>
      <c r="KD86" s="33"/>
      <c r="KE86" s="33"/>
      <c r="KF86" s="33"/>
      <c r="KG86" s="33"/>
      <c r="KH86" s="33"/>
      <c r="KI86" s="86"/>
      <c r="KJ86" s="148"/>
      <c r="KK86" s="33"/>
      <c r="KL86" s="33"/>
      <c r="KM86" s="33"/>
      <c r="KN86" s="33"/>
      <c r="KO86" s="33"/>
      <c r="KP86" s="33"/>
      <c r="KQ86" s="33"/>
      <c r="KR86" s="33"/>
      <c r="KS86" s="33"/>
      <c r="KT86" s="33"/>
      <c r="KU86" s="33"/>
      <c r="KV86" s="33"/>
      <c r="KW86" s="33"/>
      <c r="KX86" s="33"/>
      <c r="KY86" s="33"/>
      <c r="KZ86" s="33"/>
      <c r="LA86" s="86"/>
      <c r="LB86" s="148"/>
      <c r="LC86" s="33"/>
      <c r="LD86" s="33"/>
      <c r="LE86" s="33"/>
      <c r="LF86" s="33"/>
      <c r="LG86" s="33"/>
      <c r="LH86" s="33"/>
      <c r="LI86" s="33"/>
      <c r="LJ86" s="33"/>
      <c r="LK86" s="33"/>
      <c r="LL86" s="33"/>
      <c r="LM86" s="33"/>
      <c r="LN86" s="33"/>
      <c r="LO86" s="33"/>
      <c r="LP86" s="33"/>
      <c r="LQ86" s="33"/>
      <c r="LR86" s="33"/>
      <c r="LS86" s="86"/>
      <c r="LT86" s="148"/>
      <c r="LU86" s="33"/>
      <c r="LV86" s="33"/>
      <c r="LW86" s="33"/>
      <c r="LX86" s="33"/>
      <c r="LY86" s="33"/>
      <c r="LZ86" s="33"/>
      <c r="MA86" s="33"/>
      <c r="MB86" s="31"/>
      <c r="MC86" s="33"/>
      <c r="MD86" s="33"/>
      <c r="ME86" s="33"/>
      <c r="MF86" s="33"/>
      <c r="MG86" s="33"/>
      <c r="MH86" s="33"/>
      <c r="MI86" s="33"/>
      <c r="MJ86" s="33"/>
      <c r="MK86" s="86"/>
      <c r="ML86" s="148"/>
      <c r="MM86" s="33"/>
      <c r="MN86" s="33"/>
      <c r="MO86" s="33"/>
      <c r="MP86" s="33"/>
      <c r="MQ86" s="33"/>
      <c r="MR86" s="33"/>
      <c r="MS86" s="33"/>
      <c r="MT86" s="33"/>
      <c r="MU86" s="33"/>
      <c r="MV86" s="33"/>
      <c r="MW86" s="33"/>
      <c r="MX86" s="33"/>
      <c r="MY86" s="33"/>
      <c r="MZ86" s="33"/>
      <c r="NA86" s="33"/>
      <c r="NB86" s="33"/>
      <c r="NC86" s="86"/>
      <c r="ND86" s="32"/>
      <c r="NE86" s="33"/>
      <c r="NF86" s="33"/>
      <c r="NG86" s="33"/>
      <c r="NH86" s="33"/>
      <c r="NI86" s="33"/>
      <c r="NJ86" s="33"/>
      <c r="NK86" s="33"/>
      <c r="NL86" s="33"/>
      <c r="NM86" s="33"/>
      <c r="NN86" s="33"/>
      <c r="NO86" s="33"/>
      <c r="NP86" s="33"/>
      <c r="NQ86" s="33"/>
      <c r="NR86" s="33"/>
      <c r="NS86" s="33"/>
      <c r="NT86" s="33"/>
      <c r="NU86" s="86"/>
      <c r="NV86" s="148"/>
      <c r="NW86" s="33"/>
      <c r="NX86" s="33"/>
      <c r="NY86" s="33"/>
      <c r="NZ86" s="33"/>
      <c r="OA86" s="33"/>
      <c r="OB86" s="33"/>
      <c r="OC86" s="33"/>
      <c r="OD86" s="33"/>
      <c r="OE86" s="33"/>
      <c r="OF86" s="33"/>
      <c r="OG86" s="33"/>
      <c r="OH86" s="33"/>
      <c r="OI86" s="33"/>
      <c r="OJ86" s="33"/>
      <c r="OK86" s="33"/>
      <c r="OL86" s="33"/>
      <c r="OM86" s="86"/>
      <c r="ON86" s="32"/>
      <c r="OO86" s="33"/>
      <c r="OP86" s="33"/>
      <c r="OQ86" s="33"/>
      <c r="OR86" s="33"/>
      <c r="OS86" s="33"/>
      <c r="OT86" s="33"/>
      <c r="OU86" s="33"/>
      <c r="OV86" s="33"/>
      <c r="OW86" s="33"/>
      <c r="OX86" s="33"/>
      <c r="OY86" s="33"/>
      <c r="OZ86" s="33"/>
      <c r="PA86" s="33"/>
      <c r="PB86" s="33"/>
      <c r="PC86" s="33"/>
      <c r="PD86" s="33"/>
      <c r="PE86" s="86"/>
      <c r="PF86" s="148"/>
      <c r="PG86" s="33"/>
      <c r="PH86" s="33"/>
      <c r="PI86" s="33"/>
      <c r="PJ86" s="33"/>
      <c r="PK86" s="33"/>
      <c r="PL86" s="33"/>
      <c r="PM86" s="33"/>
      <c r="PN86" s="31"/>
      <c r="PO86" s="33"/>
      <c r="PP86" s="33"/>
      <c r="PQ86" s="33"/>
      <c r="PR86" s="33"/>
      <c r="PS86" s="33"/>
      <c r="PT86" s="33"/>
      <c r="PU86" s="33"/>
      <c r="PV86" s="33"/>
      <c r="PW86" s="86"/>
      <c r="PX86" s="148"/>
      <c r="PY86" s="33"/>
      <c r="PZ86" s="33"/>
      <c r="QA86" s="33"/>
      <c r="QB86" s="33"/>
      <c r="QC86" s="33"/>
      <c r="QD86" s="33"/>
      <c r="QE86" s="33"/>
      <c r="QF86" s="31"/>
      <c r="QG86" s="33"/>
      <c r="QH86" s="33"/>
      <c r="QI86" s="33"/>
      <c r="QJ86" s="33"/>
      <c r="QK86" s="33"/>
      <c r="QL86" s="33"/>
      <c r="QM86" s="33"/>
      <c r="QN86" s="33"/>
      <c r="QO86" s="86"/>
      <c r="QP86" s="148"/>
      <c r="QQ86" s="33"/>
      <c r="QR86" s="33"/>
      <c r="QS86" s="33"/>
      <c r="QT86" s="33"/>
      <c r="QU86" s="33"/>
      <c r="QV86" s="33"/>
      <c r="QW86" s="33"/>
      <c r="QX86" s="31"/>
      <c r="QY86" s="33"/>
      <c r="QZ86" s="33"/>
      <c r="RA86" s="33"/>
      <c r="RB86" s="33"/>
      <c r="RC86" s="33"/>
      <c r="RD86" s="33"/>
      <c r="RE86" s="33"/>
      <c r="RF86" s="33"/>
      <c r="RG86" s="86"/>
      <c r="RH86" s="148"/>
      <c r="RI86" s="33"/>
      <c r="RJ86" s="33"/>
      <c r="RK86" s="33"/>
      <c r="RL86" s="33"/>
      <c r="RM86" s="33"/>
      <c r="RN86" s="33"/>
      <c r="RO86" s="33"/>
      <c r="RP86" s="31"/>
      <c r="RQ86" s="33"/>
      <c r="RR86" s="33"/>
      <c r="RS86" s="33"/>
      <c r="RT86" s="33"/>
      <c r="RU86" s="33"/>
      <c r="RV86" s="33"/>
      <c r="RW86" s="33"/>
      <c r="RX86" s="33"/>
      <c r="RY86" s="86"/>
      <c r="RZ86" s="148"/>
      <c r="SA86" s="33"/>
      <c r="SB86" s="33"/>
      <c r="SC86" s="33"/>
      <c r="SD86" s="33"/>
      <c r="SE86" s="33"/>
      <c r="SF86" s="33"/>
      <c r="SG86" s="33"/>
      <c r="SH86" s="31"/>
      <c r="SI86" s="33"/>
      <c r="SJ86" s="33"/>
      <c r="SK86" s="33"/>
      <c r="SL86" s="33"/>
      <c r="SM86" s="33"/>
      <c r="SN86" s="33"/>
      <c r="SO86" s="33"/>
      <c r="SP86" s="33"/>
      <c r="SQ86" s="86"/>
      <c r="SR86" s="148"/>
      <c r="SS86" s="33"/>
      <c r="ST86" s="33"/>
      <c r="SU86" s="33"/>
      <c r="SV86" s="33"/>
      <c r="SW86" s="33"/>
      <c r="SX86" s="33"/>
      <c r="SY86" s="33"/>
      <c r="SZ86" s="31"/>
      <c r="TA86" s="33"/>
      <c r="TB86" s="33"/>
      <c r="TC86" s="33"/>
      <c r="TD86" s="33"/>
      <c r="TE86" s="33"/>
      <c r="TF86" s="33"/>
      <c r="TG86" s="33"/>
      <c r="TH86" s="33"/>
      <c r="TI86" s="86"/>
      <c r="TJ86" s="148"/>
      <c r="TK86" s="33"/>
      <c r="TL86" s="33"/>
      <c r="TM86" s="33"/>
      <c r="TN86" s="33"/>
      <c r="TO86" s="33"/>
      <c r="TP86" s="33"/>
      <c r="TQ86" s="33"/>
      <c r="TR86" s="31"/>
      <c r="TS86" s="33"/>
      <c r="TT86" s="33"/>
      <c r="TU86" s="33"/>
      <c r="TV86" s="33"/>
      <c r="TW86" s="33"/>
      <c r="TX86" s="33"/>
      <c r="TY86" s="33"/>
      <c r="TZ86" s="33"/>
      <c r="UA86" s="86"/>
      <c r="UB86" s="148"/>
      <c r="UC86" s="33"/>
      <c r="UD86" s="33"/>
      <c r="UE86" s="33"/>
      <c r="UF86" s="33"/>
      <c r="UG86" s="33"/>
      <c r="UH86" s="33"/>
      <c r="UI86" s="33"/>
      <c r="UJ86" s="31"/>
      <c r="UK86" s="33"/>
      <c r="UL86" s="33"/>
      <c r="UM86" s="33"/>
      <c r="UN86" s="33"/>
      <c r="UO86" s="33"/>
      <c r="UP86" s="33"/>
      <c r="UQ86" s="33"/>
      <c r="UR86" s="33"/>
      <c r="US86" s="86"/>
    </row>
    <row r="87" spans="1:565" x14ac:dyDescent="0.3">
      <c r="A87" s="8" t="s">
        <v>193</v>
      </c>
      <c r="B87" s="168">
        <v>73</v>
      </c>
      <c r="C87" s="13" t="s">
        <v>195</v>
      </c>
      <c r="F87" s="36">
        <v>400685700</v>
      </c>
      <c r="G87" s="85"/>
      <c r="H87" s="35"/>
      <c r="I87" s="35">
        <v>19396105.260000002</v>
      </c>
      <c r="J87" s="35">
        <v>18426300</v>
      </c>
      <c r="K87" s="35">
        <v>969805.26</v>
      </c>
      <c r="L87" s="35">
        <v>18426300</v>
      </c>
      <c r="M87" s="35"/>
      <c r="N87" s="36"/>
      <c r="O87" s="35">
        <v>19396105.260000002</v>
      </c>
      <c r="P87" s="35">
        <v>18426300</v>
      </c>
      <c r="Q87" s="35"/>
      <c r="R87" s="35">
        <v>969805.26</v>
      </c>
      <c r="S87" s="35">
        <v>5</v>
      </c>
      <c r="T87" s="35"/>
      <c r="U87" s="35"/>
      <c r="V87" s="85">
        <v>18426300</v>
      </c>
      <c r="W87" s="27"/>
      <c r="X87" s="36">
        <v>18426300</v>
      </c>
      <c r="Y87" s="85">
        <v>18426300</v>
      </c>
      <c r="Z87" s="35"/>
      <c r="AA87" s="35">
        <v>6411157.8899999997</v>
      </c>
      <c r="AB87" s="35">
        <v>6090600</v>
      </c>
      <c r="AC87" s="35">
        <v>320557.89</v>
      </c>
      <c r="AD87" s="35">
        <v>6090600</v>
      </c>
      <c r="AE87" s="35"/>
      <c r="AF87" s="36"/>
      <c r="AG87" s="35">
        <v>6411157.8899999997</v>
      </c>
      <c r="AH87" s="35">
        <v>6090600</v>
      </c>
      <c r="AI87" s="35"/>
      <c r="AJ87" s="35">
        <v>320557.89</v>
      </c>
      <c r="AK87" s="35">
        <v>5</v>
      </c>
      <c r="AL87" s="35"/>
      <c r="AM87" s="35"/>
      <c r="AN87" s="85">
        <v>6090600</v>
      </c>
      <c r="AO87" s="27"/>
      <c r="AP87" s="36">
        <v>6090600</v>
      </c>
      <c r="AQ87" s="85">
        <v>6090600</v>
      </c>
      <c r="AR87" s="35"/>
      <c r="AS87" s="35">
        <v>245060421.05000001</v>
      </c>
      <c r="AT87" s="35">
        <v>232807400</v>
      </c>
      <c r="AU87" s="35">
        <v>12253021.050000001</v>
      </c>
      <c r="AV87" s="35">
        <v>232807400</v>
      </c>
      <c r="AW87" s="35">
        <v>71488.240000000005</v>
      </c>
      <c r="AX87" s="36"/>
      <c r="AY87" s="35">
        <v>245060421.05000001</v>
      </c>
      <c r="AZ87" s="35">
        <v>232807400</v>
      </c>
      <c r="BA87" s="35"/>
      <c r="BB87" s="35">
        <v>12253021.050000001</v>
      </c>
      <c r="BC87" s="35">
        <v>5</v>
      </c>
      <c r="BD87" s="35">
        <v>71488.240000000005</v>
      </c>
      <c r="BE87" s="35"/>
      <c r="BF87" s="85">
        <v>232807400</v>
      </c>
      <c r="BG87" s="27"/>
      <c r="BH87" s="36">
        <v>232807400</v>
      </c>
      <c r="BI87" s="85">
        <v>232807400</v>
      </c>
      <c r="BJ87" s="35"/>
      <c r="BK87" s="35">
        <v>353735.37</v>
      </c>
      <c r="BL87" s="35">
        <v>353700</v>
      </c>
      <c r="BM87" s="35">
        <v>35.369999999999997</v>
      </c>
      <c r="BN87" s="35">
        <v>353700</v>
      </c>
      <c r="BO87" s="35"/>
      <c r="BP87" s="36"/>
      <c r="BQ87" s="35">
        <v>353735.37</v>
      </c>
      <c r="BR87" s="35">
        <v>353700</v>
      </c>
      <c r="BS87" s="35"/>
      <c r="BT87" s="35">
        <v>35.369999999999997</v>
      </c>
      <c r="BU87" s="35">
        <v>0.01</v>
      </c>
      <c r="BV87" s="35"/>
      <c r="BW87" s="35"/>
      <c r="BX87" s="85">
        <v>353700</v>
      </c>
      <c r="BY87" s="27"/>
      <c r="BZ87" s="36">
        <v>353700</v>
      </c>
      <c r="CA87" s="85">
        <v>353700</v>
      </c>
      <c r="CB87" s="35"/>
      <c r="CC87" s="35">
        <v>15199100</v>
      </c>
      <c r="CD87" s="35">
        <v>14439100</v>
      </c>
      <c r="CE87" s="35">
        <v>760000</v>
      </c>
      <c r="CF87" s="35">
        <v>11298929.91</v>
      </c>
      <c r="CG87" s="35"/>
      <c r="CH87" s="36"/>
      <c r="CI87" s="35">
        <v>11893647.5</v>
      </c>
      <c r="CJ87" s="35">
        <v>11298929.91</v>
      </c>
      <c r="CK87" s="35"/>
      <c r="CL87" s="35">
        <v>594717.59</v>
      </c>
      <c r="CM87" s="35">
        <v>5.0003000000000002</v>
      </c>
      <c r="CN87" s="35"/>
      <c r="CO87" s="35"/>
      <c r="CP87" s="85">
        <v>11298929.91</v>
      </c>
      <c r="CQ87" s="27"/>
      <c r="CR87" s="36">
        <v>14439100</v>
      </c>
      <c r="CS87" s="85">
        <v>14439100</v>
      </c>
      <c r="CT87" s="35"/>
      <c r="CU87" s="35"/>
      <c r="CV87" s="35"/>
      <c r="CW87" s="35"/>
      <c r="CX87" s="35"/>
      <c r="CY87" s="35"/>
      <c r="CZ87" s="36"/>
      <c r="DA87" s="35"/>
      <c r="DB87" s="35"/>
      <c r="DC87" s="35"/>
      <c r="DD87" s="35"/>
      <c r="DE87" s="35"/>
      <c r="DF87" s="35"/>
      <c r="DG87" s="35"/>
      <c r="DH87" s="85"/>
      <c r="DI87" s="27"/>
      <c r="DJ87" s="36"/>
      <c r="DK87" s="85"/>
      <c r="DL87" s="35"/>
      <c r="DM87" s="35"/>
      <c r="DN87" s="35"/>
      <c r="DO87" s="35"/>
      <c r="DP87" s="35"/>
      <c r="DQ87" s="35"/>
      <c r="DR87" s="36"/>
      <c r="DS87" s="35"/>
      <c r="DT87" s="35"/>
      <c r="DU87" s="35"/>
      <c r="DV87" s="35"/>
      <c r="DW87" s="35"/>
      <c r="DX87" s="35"/>
      <c r="DY87" s="35"/>
      <c r="DZ87" s="85"/>
      <c r="EA87" s="27"/>
      <c r="EB87" s="36"/>
      <c r="EC87" s="85"/>
      <c r="ED87" s="35"/>
      <c r="EE87" s="35">
        <v>31054545.449999999</v>
      </c>
      <c r="EF87" s="35">
        <v>30744000</v>
      </c>
      <c r="EG87" s="35">
        <v>310545.45</v>
      </c>
      <c r="EH87" s="35">
        <v>30744000</v>
      </c>
      <c r="EI87" s="35"/>
      <c r="EJ87" s="36"/>
      <c r="EK87" s="35">
        <v>31054545.449999999</v>
      </c>
      <c r="EL87" s="35">
        <v>30744000</v>
      </c>
      <c r="EM87" s="35"/>
      <c r="EN87" s="35">
        <v>310545.45</v>
      </c>
      <c r="EO87" s="35">
        <v>1</v>
      </c>
      <c r="EP87" s="35"/>
      <c r="EQ87" s="35"/>
      <c r="ER87" s="85">
        <v>30744000</v>
      </c>
      <c r="ES87" s="27"/>
      <c r="ET87" s="36">
        <v>30744000</v>
      </c>
      <c r="EU87" s="85">
        <v>30744000</v>
      </c>
      <c r="EV87" s="35"/>
      <c r="EW87" s="35">
        <v>37054631.579999998</v>
      </c>
      <c r="EX87" s="35">
        <v>35201900</v>
      </c>
      <c r="EY87" s="35">
        <v>1852731.58</v>
      </c>
      <c r="EZ87" s="35">
        <v>35201900</v>
      </c>
      <c r="FA87" s="35"/>
      <c r="FB87" s="36"/>
      <c r="FC87" s="35">
        <v>37054631.579999998</v>
      </c>
      <c r="FD87" s="35">
        <v>35201900</v>
      </c>
      <c r="FE87" s="35"/>
      <c r="FF87" s="35">
        <v>1852731.58</v>
      </c>
      <c r="FG87" s="35">
        <v>5</v>
      </c>
      <c r="FH87" s="35"/>
      <c r="FI87" s="35"/>
      <c r="FJ87" s="85">
        <v>35201900</v>
      </c>
      <c r="FK87" s="27"/>
      <c r="FL87" s="36">
        <v>35201900</v>
      </c>
      <c r="FM87" s="85">
        <v>35201900</v>
      </c>
      <c r="FN87" s="35"/>
      <c r="FO87" s="35"/>
      <c r="FP87" s="35"/>
      <c r="FQ87" s="35"/>
      <c r="FR87" s="35"/>
      <c r="FS87" s="35"/>
      <c r="FT87" s="36"/>
      <c r="FU87" s="35"/>
      <c r="FV87" s="35"/>
      <c r="FW87" s="35"/>
      <c r="FX87" s="35"/>
      <c r="FY87" s="35"/>
      <c r="FZ87" s="35"/>
      <c r="GA87" s="35"/>
      <c r="GB87" s="85"/>
      <c r="GC87" s="27"/>
      <c r="GD87" s="36"/>
      <c r="GE87" s="85"/>
      <c r="GF87" s="35"/>
      <c r="GG87" s="35">
        <v>60980315.789999999</v>
      </c>
      <c r="GH87" s="35">
        <v>57931300</v>
      </c>
      <c r="GI87" s="35">
        <v>3049015.79</v>
      </c>
      <c r="GJ87" s="35">
        <v>56118603.149999999</v>
      </c>
      <c r="GK87" s="35"/>
      <c r="GL87" s="36"/>
      <c r="GM87" s="35">
        <v>59072213.840000004</v>
      </c>
      <c r="GN87" s="35">
        <v>56118603.149999999</v>
      </c>
      <c r="GO87" s="35"/>
      <c r="GP87" s="35">
        <v>2953610.69</v>
      </c>
      <c r="GQ87" s="35">
        <v>5</v>
      </c>
      <c r="GR87" s="35"/>
      <c r="GS87" s="35"/>
      <c r="GT87" s="85">
        <v>56118603.149999999</v>
      </c>
      <c r="GU87" s="27"/>
      <c r="GV87" s="36">
        <v>57931300</v>
      </c>
      <c r="GW87" s="85">
        <v>57931300</v>
      </c>
      <c r="GX87" s="35"/>
      <c r="GY87" s="35"/>
      <c r="GZ87" s="35"/>
      <c r="HA87" s="35"/>
      <c r="HB87" s="35"/>
      <c r="HC87" s="35"/>
      <c r="HD87" s="36"/>
      <c r="HE87" s="35"/>
      <c r="HF87" s="35"/>
      <c r="HG87" s="35"/>
      <c r="HH87" s="35"/>
      <c r="HI87" s="35"/>
      <c r="HJ87" s="35"/>
      <c r="HK87" s="35"/>
      <c r="HL87" s="85"/>
      <c r="HM87" s="27"/>
      <c r="HN87" s="36"/>
      <c r="HO87" s="85"/>
      <c r="HP87" s="35"/>
      <c r="HQ87" s="35"/>
      <c r="HR87" s="35"/>
      <c r="HS87" s="35"/>
      <c r="HT87" s="35"/>
      <c r="HU87" s="35"/>
      <c r="HV87" s="36"/>
      <c r="HW87" s="35"/>
      <c r="HX87" s="35"/>
      <c r="HY87" s="35"/>
      <c r="HZ87" s="35"/>
      <c r="IA87" s="35"/>
      <c r="IB87" s="35"/>
      <c r="IC87" s="35"/>
      <c r="ID87" s="85"/>
      <c r="IE87" s="27"/>
      <c r="IF87" s="36"/>
      <c r="IG87" s="85"/>
      <c r="IH87" s="35"/>
      <c r="II87" s="35"/>
      <c r="IJ87" s="35"/>
      <c r="IK87" s="35"/>
      <c r="IL87" s="35"/>
      <c r="IM87" s="35"/>
      <c r="IN87" s="36"/>
      <c r="IO87" s="35"/>
      <c r="IP87" s="35"/>
      <c r="IQ87" s="35"/>
      <c r="IR87" s="35"/>
      <c r="IS87" s="35"/>
      <c r="IT87" s="35"/>
      <c r="IU87" s="35"/>
      <c r="IV87" s="85"/>
      <c r="IW87" s="27"/>
      <c r="IX87" s="36"/>
      <c r="IY87" s="85"/>
      <c r="IZ87" s="35"/>
      <c r="JA87" s="35">
        <v>2703894.74</v>
      </c>
      <c r="JB87" s="35">
        <v>2568700</v>
      </c>
      <c r="JC87" s="35">
        <v>135194.74</v>
      </c>
      <c r="JD87" s="35">
        <v>2495254.4900000002</v>
      </c>
      <c r="JE87" s="35"/>
      <c r="JF87" s="36"/>
      <c r="JG87" s="35">
        <v>2626583.67</v>
      </c>
      <c r="JH87" s="35">
        <v>2495254.4900000002</v>
      </c>
      <c r="JI87" s="35"/>
      <c r="JJ87" s="35">
        <v>131329.18</v>
      </c>
      <c r="JK87" s="35">
        <v>5</v>
      </c>
      <c r="JL87" s="35"/>
      <c r="JM87" s="35"/>
      <c r="JN87" s="85">
        <v>2495254.4900000002</v>
      </c>
      <c r="JO87" s="27"/>
      <c r="JP87" s="36">
        <v>2568700</v>
      </c>
      <c r="JQ87" s="85">
        <v>2568700</v>
      </c>
      <c r="JR87" s="35"/>
      <c r="JS87" s="35"/>
      <c r="JT87" s="35"/>
      <c r="JU87" s="35"/>
      <c r="JV87" s="35"/>
      <c r="JW87" s="35"/>
      <c r="JX87" s="36"/>
      <c r="JY87" s="35"/>
      <c r="JZ87" s="35"/>
      <c r="KA87" s="35"/>
      <c r="KB87" s="35"/>
      <c r="KC87" s="35"/>
      <c r="KD87" s="35"/>
      <c r="KE87" s="35"/>
      <c r="KF87" s="85"/>
      <c r="KG87" s="27"/>
      <c r="KH87" s="36"/>
      <c r="KI87" s="85"/>
      <c r="KJ87" s="35"/>
      <c r="KK87" s="35"/>
      <c r="KL87" s="35"/>
      <c r="KM87" s="35"/>
      <c r="KN87" s="35"/>
      <c r="KO87" s="35"/>
      <c r="KP87" s="36"/>
      <c r="KQ87" s="35"/>
      <c r="KR87" s="35"/>
      <c r="KS87" s="35"/>
      <c r="KT87" s="35"/>
      <c r="KU87" s="35"/>
      <c r="KV87" s="35"/>
      <c r="KW87" s="35"/>
      <c r="KX87" s="85"/>
      <c r="KY87" s="27"/>
      <c r="KZ87" s="36"/>
      <c r="LA87" s="85"/>
      <c r="LB87" s="35"/>
      <c r="LC87" s="35"/>
      <c r="LD87" s="35"/>
      <c r="LE87" s="35"/>
      <c r="LF87" s="35"/>
      <c r="LG87" s="35"/>
      <c r="LH87" s="36"/>
      <c r="LI87" s="35"/>
      <c r="LJ87" s="35"/>
      <c r="LK87" s="35"/>
      <c r="LL87" s="35"/>
      <c r="LM87" s="35"/>
      <c r="LN87" s="35"/>
      <c r="LO87" s="35"/>
      <c r="LP87" s="85"/>
      <c r="LQ87" s="27"/>
      <c r="LR87" s="36"/>
      <c r="LS87" s="85"/>
      <c r="LT87" s="35"/>
      <c r="LU87" s="35"/>
      <c r="LV87" s="35"/>
      <c r="LW87" s="35"/>
      <c r="LX87" s="35"/>
      <c r="LY87" s="35"/>
      <c r="LZ87" s="36"/>
      <c r="MA87" s="35"/>
      <c r="MB87" s="35"/>
      <c r="MC87" s="35"/>
      <c r="MD87" s="35"/>
      <c r="ME87" s="35"/>
      <c r="MF87" s="35"/>
      <c r="MG87" s="35"/>
      <c r="MH87" s="85"/>
      <c r="MI87" s="27"/>
      <c r="MJ87" s="36"/>
      <c r="MK87" s="85"/>
      <c r="ML87" s="35"/>
      <c r="MM87" s="35"/>
      <c r="MN87" s="35"/>
      <c r="MO87" s="35"/>
      <c r="MP87" s="35"/>
      <c r="MQ87" s="35"/>
      <c r="MR87" s="36"/>
      <c r="MS87" s="35"/>
      <c r="MT87" s="35"/>
      <c r="MU87" s="35"/>
      <c r="MV87" s="35"/>
      <c r="MW87" s="35"/>
      <c r="MX87" s="35"/>
      <c r="MY87" s="35"/>
      <c r="MZ87" s="85"/>
      <c r="NA87" s="27"/>
      <c r="NB87" s="36"/>
      <c r="NC87" s="85"/>
      <c r="ND87" s="35"/>
      <c r="NE87" s="35">
        <v>2234421.0499999998</v>
      </c>
      <c r="NF87" s="35">
        <v>2122700</v>
      </c>
      <c r="NG87" s="35">
        <v>111721.05</v>
      </c>
      <c r="NH87" s="35">
        <v>2122700</v>
      </c>
      <c r="NI87" s="35"/>
      <c r="NJ87" s="36"/>
      <c r="NK87" s="35">
        <v>2234421.0499999998</v>
      </c>
      <c r="NL87" s="35">
        <v>2122700</v>
      </c>
      <c r="NM87" s="35"/>
      <c r="NN87" s="35">
        <v>111721.05</v>
      </c>
      <c r="NO87" s="35">
        <v>5</v>
      </c>
      <c r="NP87" s="35"/>
      <c r="NQ87" s="35"/>
      <c r="NR87" s="85">
        <v>2122700</v>
      </c>
      <c r="NS87" s="27"/>
      <c r="NT87" s="36">
        <v>2122700</v>
      </c>
      <c r="NU87" s="85">
        <v>2122700</v>
      </c>
      <c r="NV87" s="35"/>
      <c r="NW87" s="35"/>
      <c r="NX87" s="35"/>
      <c r="NY87" s="35"/>
      <c r="NZ87" s="35"/>
      <c r="OA87" s="35"/>
      <c r="OB87" s="36"/>
      <c r="OC87" s="35"/>
      <c r="OD87" s="35"/>
      <c r="OE87" s="35"/>
      <c r="OF87" s="35"/>
      <c r="OG87" s="35"/>
      <c r="OH87" s="35"/>
      <c r="OI87" s="35"/>
      <c r="OJ87" s="85"/>
      <c r="OK87" s="27"/>
      <c r="OL87" s="36"/>
      <c r="OM87" s="85"/>
      <c r="ON87" s="35"/>
      <c r="OO87" s="35"/>
      <c r="OP87" s="35"/>
      <c r="OQ87" s="35"/>
      <c r="OR87" s="35"/>
      <c r="OS87" s="35">
        <v>0</v>
      </c>
      <c r="OT87" s="36"/>
      <c r="OU87" s="35"/>
      <c r="OV87" s="35"/>
      <c r="OW87" s="35"/>
      <c r="OX87" s="35"/>
      <c r="OY87" s="35"/>
      <c r="OZ87" s="35">
        <v>0</v>
      </c>
      <c r="PA87" s="35"/>
      <c r="PB87" s="85"/>
      <c r="PC87" s="27"/>
      <c r="PD87" s="36"/>
      <c r="PE87" s="85"/>
      <c r="PF87" s="35"/>
      <c r="PG87" s="35"/>
      <c r="PH87" s="35"/>
      <c r="PI87" s="35"/>
      <c r="PJ87" s="35"/>
      <c r="PK87" s="35"/>
      <c r="PL87" s="36"/>
      <c r="PM87" s="35"/>
      <c r="PN87" s="35"/>
      <c r="PO87" s="35"/>
      <c r="PP87" s="35"/>
      <c r="PQ87" s="35"/>
      <c r="PR87" s="35"/>
      <c r="PS87" s="35"/>
      <c r="PT87" s="85"/>
      <c r="PU87" s="27"/>
      <c r="PV87" s="36"/>
      <c r="PW87" s="85"/>
      <c r="PX87" s="35"/>
      <c r="PY87" s="35"/>
      <c r="PZ87" s="35"/>
      <c r="QA87" s="35"/>
      <c r="QB87" s="35"/>
      <c r="QC87" s="35"/>
      <c r="QD87" s="36"/>
      <c r="QE87" s="35"/>
      <c r="QF87" s="35"/>
      <c r="QG87" s="35"/>
      <c r="QH87" s="35"/>
      <c r="QI87" s="35"/>
      <c r="QJ87" s="35"/>
      <c r="QK87" s="35"/>
      <c r="QL87" s="85"/>
      <c r="QM87" s="27"/>
      <c r="QN87" s="36"/>
      <c r="QO87" s="85"/>
      <c r="QP87" s="35"/>
      <c r="QQ87" s="35"/>
      <c r="QR87" s="35"/>
      <c r="QS87" s="35"/>
      <c r="QT87" s="35"/>
      <c r="QU87" s="35"/>
      <c r="QV87" s="36"/>
      <c r="QW87" s="35"/>
      <c r="QX87" s="35"/>
      <c r="QY87" s="35"/>
      <c r="QZ87" s="35"/>
      <c r="RA87" s="35"/>
      <c r="RB87" s="35"/>
      <c r="RC87" s="35"/>
      <c r="RD87" s="85"/>
      <c r="RE87" s="27"/>
      <c r="RF87" s="36"/>
      <c r="RG87" s="85"/>
      <c r="RH87" s="35"/>
      <c r="RI87" s="35"/>
      <c r="RJ87" s="35"/>
      <c r="RK87" s="35"/>
      <c r="RL87" s="35"/>
      <c r="RM87" s="35">
        <v>1580045.29</v>
      </c>
      <c r="RN87" s="36"/>
      <c r="RO87" s="35"/>
      <c r="RP87" s="35"/>
      <c r="RQ87" s="35"/>
      <c r="RR87" s="35"/>
      <c r="RS87" s="35"/>
      <c r="RT87" s="35">
        <v>1580045.29</v>
      </c>
      <c r="RU87" s="35"/>
      <c r="RV87" s="85"/>
      <c r="RW87" s="27"/>
      <c r="RX87" s="36"/>
      <c r="RY87" s="85"/>
      <c r="RZ87" s="35"/>
      <c r="SA87" s="35"/>
      <c r="SB87" s="35"/>
      <c r="SC87" s="35"/>
      <c r="SD87" s="35"/>
      <c r="SE87" s="35"/>
      <c r="SF87" s="36"/>
      <c r="SG87" s="35"/>
      <c r="SH87" s="35"/>
      <c r="SI87" s="35"/>
      <c r="SJ87" s="35"/>
      <c r="SK87" s="35"/>
      <c r="SL87" s="35"/>
      <c r="SM87" s="35"/>
      <c r="SN87" s="85"/>
      <c r="SO87" s="27"/>
      <c r="SP87" s="36"/>
      <c r="SQ87" s="85"/>
      <c r="SR87" s="35"/>
      <c r="SS87" s="35"/>
      <c r="ST87" s="35"/>
      <c r="SU87" s="35"/>
      <c r="SV87" s="35"/>
      <c r="SW87" s="35"/>
      <c r="SX87" s="36"/>
      <c r="SY87" s="35"/>
      <c r="SZ87" s="35"/>
      <c r="TA87" s="35"/>
      <c r="TB87" s="35"/>
      <c r="TC87" s="35"/>
      <c r="TD87" s="35"/>
      <c r="TE87" s="35"/>
      <c r="TF87" s="85"/>
      <c r="TG87" s="27"/>
      <c r="TH87" s="36"/>
      <c r="TI87" s="85"/>
      <c r="TJ87" s="35"/>
      <c r="TK87" s="35"/>
      <c r="TL87" s="35"/>
      <c r="TM87" s="35"/>
      <c r="TN87" s="35"/>
      <c r="TO87" s="35"/>
      <c r="TP87" s="36"/>
      <c r="TQ87" s="35"/>
      <c r="TR87" s="35"/>
      <c r="TS87" s="35"/>
      <c r="TT87" s="35"/>
      <c r="TU87" s="35"/>
      <c r="TV87" s="35"/>
      <c r="TW87" s="35"/>
      <c r="TX87" s="85"/>
      <c r="TY87" s="27"/>
      <c r="TZ87" s="36"/>
      <c r="UA87" s="85"/>
      <c r="UB87" s="35"/>
      <c r="UC87" s="35"/>
      <c r="UD87" s="35"/>
      <c r="UE87" s="35"/>
      <c r="UF87" s="35"/>
      <c r="UG87" s="35"/>
      <c r="UH87" s="36"/>
      <c r="UI87" s="35"/>
      <c r="UJ87" s="35"/>
      <c r="UK87" s="35"/>
      <c r="UL87" s="35"/>
      <c r="UM87" s="35"/>
      <c r="UN87" s="35"/>
      <c r="UO87" s="35"/>
      <c r="UP87" s="85"/>
      <c r="UQ87" s="27"/>
      <c r="UR87" s="36"/>
      <c r="US87" s="85"/>
    </row>
    <row r="88" spans="1:565" x14ac:dyDescent="0.3">
      <c r="A88" s="8" t="s">
        <v>199</v>
      </c>
      <c r="B88" s="168">
        <v>74</v>
      </c>
      <c r="C88" s="13" t="s">
        <v>201</v>
      </c>
      <c r="F88" s="36">
        <v>375314100</v>
      </c>
      <c r="G88" s="85"/>
      <c r="H88" s="35"/>
      <c r="I88" s="35">
        <v>6643369</v>
      </c>
      <c r="J88" s="35">
        <v>6311200</v>
      </c>
      <c r="K88" s="35">
        <v>332169</v>
      </c>
      <c r="L88" s="35">
        <v>6311200</v>
      </c>
      <c r="M88" s="35"/>
      <c r="N88" s="36"/>
      <c r="O88" s="35">
        <v>6643369</v>
      </c>
      <c r="P88" s="35">
        <v>6311200</v>
      </c>
      <c r="Q88" s="35"/>
      <c r="R88" s="35">
        <v>332169</v>
      </c>
      <c r="S88" s="35">
        <v>5.0000099999999996</v>
      </c>
      <c r="T88" s="35"/>
      <c r="U88" s="35"/>
      <c r="V88" s="85">
        <v>6311200</v>
      </c>
      <c r="W88" s="27"/>
      <c r="X88" s="36">
        <v>6311200</v>
      </c>
      <c r="Y88" s="85">
        <v>6311200</v>
      </c>
      <c r="Z88" s="35"/>
      <c r="AA88" s="35">
        <v>1322422</v>
      </c>
      <c r="AB88" s="35">
        <v>1256300</v>
      </c>
      <c r="AC88" s="35">
        <v>66122</v>
      </c>
      <c r="AD88" s="35">
        <v>1256300</v>
      </c>
      <c r="AE88" s="35"/>
      <c r="AF88" s="36"/>
      <c r="AG88" s="35">
        <v>1322422</v>
      </c>
      <c r="AH88" s="35">
        <v>1256300</v>
      </c>
      <c r="AI88" s="35"/>
      <c r="AJ88" s="35">
        <v>66122</v>
      </c>
      <c r="AK88" s="35">
        <v>5.00007</v>
      </c>
      <c r="AL88" s="35"/>
      <c r="AM88" s="35"/>
      <c r="AN88" s="85">
        <v>1256300</v>
      </c>
      <c r="AO88" s="27"/>
      <c r="AP88" s="36">
        <v>1256300</v>
      </c>
      <c r="AQ88" s="85">
        <v>1256300</v>
      </c>
      <c r="AR88" s="35"/>
      <c r="AS88" s="35">
        <v>194552422</v>
      </c>
      <c r="AT88" s="35">
        <v>184824800</v>
      </c>
      <c r="AU88" s="35">
        <v>9727622</v>
      </c>
      <c r="AV88" s="35">
        <v>183841489.40000001</v>
      </c>
      <c r="AW88" s="35">
        <v>605465.42000000004</v>
      </c>
      <c r="AX88" s="36"/>
      <c r="AY88" s="35">
        <v>193517357</v>
      </c>
      <c r="AZ88" s="35">
        <v>183841488.27000001</v>
      </c>
      <c r="BA88" s="35"/>
      <c r="BB88" s="35">
        <v>9675868.7300000004</v>
      </c>
      <c r="BC88" s="35">
        <v>5</v>
      </c>
      <c r="BD88" s="35">
        <v>605465.42000000004</v>
      </c>
      <c r="BE88" s="35">
        <v>1.1299999999999999</v>
      </c>
      <c r="BF88" s="85">
        <v>183841489.40000001</v>
      </c>
      <c r="BG88" s="27"/>
      <c r="BH88" s="36">
        <v>184824800</v>
      </c>
      <c r="BI88" s="85">
        <v>184824800</v>
      </c>
      <c r="BJ88" s="35"/>
      <c r="BK88" s="35">
        <v>96421.1</v>
      </c>
      <c r="BL88" s="35">
        <v>91600</v>
      </c>
      <c r="BM88" s="35">
        <v>4821.1000000000004</v>
      </c>
      <c r="BN88" s="35">
        <v>91600</v>
      </c>
      <c r="BO88" s="35"/>
      <c r="BP88" s="36"/>
      <c r="BQ88" s="35">
        <v>96421.1</v>
      </c>
      <c r="BR88" s="35">
        <v>91600</v>
      </c>
      <c r="BS88" s="35"/>
      <c r="BT88" s="35">
        <v>4821.1000000000004</v>
      </c>
      <c r="BU88" s="35">
        <v>5.0000499999999999</v>
      </c>
      <c r="BV88" s="35"/>
      <c r="BW88" s="35"/>
      <c r="BX88" s="85">
        <v>91600</v>
      </c>
      <c r="BY88" s="27"/>
      <c r="BZ88" s="36">
        <v>91600</v>
      </c>
      <c r="CA88" s="85">
        <v>91600</v>
      </c>
      <c r="CB88" s="35"/>
      <c r="CC88" s="35">
        <v>20599600</v>
      </c>
      <c r="CD88" s="35">
        <v>19569600</v>
      </c>
      <c r="CE88" s="35">
        <v>1030000</v>
      </c>
      <c r="CF88" s="35">
        <v>19569600</v>
      </c>
      <c r="CG88" s="35"/>
      <c r="CH88" s="36"/>
      <c r="CI88" s="35">
        <v>20599600</v>
      </c>
      <c r="CJ88" s="35">
        <v>19569600</v>
      </c>
      <c r="CK88" s="35"/>
      <c r="CL88" s="35">
        <v>1030000</v>
      </c>
      <c r="CM88" s="35">
        <v>5.0000999999999998</v>
      </c>
      <c r="CN88" s="35"/>
      <c r="CO88" s="35"/>
      <c r="CP88" s="85">
        <v>19569600</v>
      </c>
      <c r="CQ88" s="27"/>
      <c r="CR88" s="36">
        <v>19569600</v>
      </c>
      <c r="CS88" s="85">
        <v>19569600</v>
      </c>
      <c r="CT88" s="35"/>
      <c r="CU88" s="35"/>
      <c r="CV88" s="35"/>
      <c r="CW88" s="35"/>
      <c r="CX88" s="35"/>
      <c r="CY88" s="35"/>
      <c r="CZ88" s="36"/>
      <c r="DA88" s="35"/>
      <c r="DB88" s="35"/>
      <c r="DC88" s="35"/>
      <c r="DD88" s="35"/>
      <c r="DE88" s="35"/>
      <c r="DF88" s="35"/>
      <c r="DG88" s="35"/>
      <c r="DH88" s="85"/>
      <c r="DI88" s="27"/>
      <c r="DJ88" s="36"/>
      <c r="DK88" s="85"/>
      <c r="DL88" s="35"/>
      <c r="DM88" s="35"/>
      <c r="DN88" s="35"/>
      <c r="DO88" s="35"/>
      <c r="DP88" s="35"/>
      <c r="DQ88" s="35"/>
      <c r="DR88" s="36"/>
      <c r="DS88" s="35"/>
      <c r="DT88" s="35"/>
      <c r="DU88" s="35"/>
      <c r="DV88" s="35"/>
      <c r="DW88" s="35"/>
      <c r="DX88" s="35"/>
      <c r="DY88" s="35"/>
      <c r="DZ88" s="85"/>
      <c r="EA88" s="27"/>
      <c r="EB88" s="36"/>
      <c r="EC88" s="85"/>
      <c r="ED88" s="35"/>
      <c r="EE88" s="35">
        <v>77407373.739999995</v>
      </c>
      <c r="EF88" s="35">
        <v>76633300</v>
      </c>
      <c r="EG88" s="35">
        <v>774073.74</v>
      </c>
      <c r="EH88" s="35">
        <v>76633300</v>
      </c>
      <c r="EI88" s="35"/>
      <c r="EJ88" s="36"/>
      <c r="EK88" s="35">
        <v>77407373.739999995</v>
      </c>
      <c r="EL88" s="35">
        <v>76633300</v>
      </c>
      <c r="EM88" s="35"/>
      <c r="EN88" s="35">
        <v>774073.74</v>
      </c>
      <c r="EO88" s="35">
        <v>1</v>
      </c>
      <c r="EP88" s="35"/>
      <c r="EQ88" s="35"/>
      <c r="ER88" s="85">
        <v>76633300</v>
      </c>
      <c r="ES88" s="27"/>
      <c r="ET88" s="36">
        <v>76633300</v>
      </c>
      <c r="EU88" s="85">
        <v>76633300</v>
      </c>
      <c r="EV88" s="35"/>
      <c r="EW88" s="35">
        <v>74968211</v>
      </c>
      <c r="EX88" s="35">
        <v>71219800</v>
      </c>
      <c r="EY88" s="35">
        <v>3748411</v>
      </c>
      <c r="EZ88" s="35">
        <v>71219800</v>
      </c>
      <c r="FA88" s="35">
        <v>559522.59</v>
      </c>
      <c r="FB88" s="36"/>
      <c r="FC88" s="35">
        <v>74968211</v>
      </c>
      <c r="FD88" s="35">
        <v>71219800</v>
      </c>
      <c r="FE88" s="35"/>
      <c r="FF88" s="35">
        <v>3748411</v>
      </c>
      <c r="FG88" s="35">
        <v>5</v>
      </c>
      <c r="FH88" s="35">
        <v>559522.59</v>
      </c>
      <c r="FI88" s="35"/>
      <c r="FJ88" s="85">
        <v>71219800</v>
      </c>
      <c r="FK88" s="27"/>
      <c r="FL88" s="36">
        <v>71219800</v>
      </c>
      <c r="FM88" s="85">
        <v>71219800</v>
      </c>
      <c r="FN88" s="35"/>
      <c r="FO88" s="35"/>
      <c r="FP88" s="35"/>
      <c r="FQ88" s="35"/>
      <c r="FR88" s="35"/>
      <c r="FS88" s="35"/>
      <c r="FT88" s="36"/>
      <c r="FU88" s="35"/>
      <c r="FV88" s="35"/>
      <c r="FW88" s="35"/>
      <c r="FX88" s="35"/>
      <c r="FY88" s="35"/>
      <c r="FZ88" s="35"/>
      <c r="GA88" s="35"/>
      <c r="GB88" s="85"/>
      <c r="GC88" s="27"/>
      <c r="GD88" s="36"/>
      <c r="GE88" s="85"/>
      <c r="GF88" s="35"/>
      <c r="GG88" s="35"/>
      <c r="GH88" s="35"/>
      <c r="GI88" s="35"/>
      <c r="GJ88" s="35"/>
      <c r="GK88" s="35"/>
      <c r="GL88" s="36"/>
      <c r="GM88" s="35"/>
      <c r="GN88" s="35"/>
      <c r="GO88" s="35"/>
      <c r="GP88" s="35"/>
      <c r="GQ88" s="35"/>
      <c r="GR88" s="35"/>
      <c r="GS88" s="35"/>
      <c r="GT88" s="85"/>
      <c r="GU88" s="27"/>
      <c r="GV88" s="36"/>
      <c r="GW88" s="85"/>
      <c r="GX88" s="35"/>
      <c r="GY88" s="35"/>
      <c r="GZ88" s="35"/>
      <c r="HA88" s="35"/>
      <c r="HB88" s="35"/>
      <c r="HC88" s="35"/>
      <c r="HD88" s="36"/>
      <c r="HE88" s="35"/>
      <c r="HF88" s="35"/>
      <c r="HG88" s="35"/>
      <c r="HH88" s="35"/>
      <c r="HI88" s="35"/>
      <c r="HJ88" s="35"/>
      <c r="HK88" s="35"/>
      <c r="HL88" s="85"/>
      <c r="HM88" s="27"/>
      <c r="HN88" s="36"/>
      <c r="HO88" s="85"/>
      <c r="HP88" s="35"/>
      <c r="HQ88" s="35"/>
      <c r="HR88" s="35"/>
      <c r="HS88" s="35"/>
      <c r="HT88" s="35"/>
      <c r="HU88" s="35"/>
      <c r="HV88" s="36"/>
      <c r="HW88" s="35"/>
      <c r="HX88" s="35"/>
      <c r="HY88" s="35"/>
      <c r="HZ88" s="35"/>
      <c r="IA88" s="35"/>
      <c r="IB88" s="35"/>
      <c r="IC88" s="35"/>
      <c r="ID88" s="85"/>
      <c r="IE88" s="27"/>
      <c r="IF88" s="36"/>
      <c r="IG88" s="85"/>
      <c r="IH88" s="35"/>
      <c r="II88" s="35"/>
      <c r="IJ88" s="35"/>
      <c r="IK88" s="35"/>
      <c r="IL88" s="35"/>
      <c r="IM88" s="35"/>
      <c r="IN88" s="36"/>
      <c r="IO88" s="35"/>
      <c r="IP88" s="35"/>
      <c r="IQ88" s="35"/>
      <c r="IR88" s="35"/>
      <c r="IS88" s="35"/>
      <c r="IT88" s="35"/>
      <c r="IU88" s="35"/>
      <c r="IV88" s="85"/>
      <c r="IW88" s="27"/>
      <c r="IX88" s="36"/>
      <c r="IY88" s="85"/>
      <c r="IZ88" s="35"/>
      <c r="JA88" s="35">
        <v>6633400</v>
      </c>
      <c r="JB88" s="35">
        <v>2722200</v>
      </c>
      <c r="JC88" s="35">
        <v>3911200</v>
      </c>
      <c r="JD88" s="35">
        <v>2722088.46</v>
      </c>
      <c r="JE88" s="35"/>
      <c r="JF88" s="36"/>
      <c r="JG88" s="35">
        <v>6633288.46</v>
      </c>
      <c r="JH88" s="35">
        <v>2722088.46</v>
      </c>
      <c r="JI88" s="35"/>
      <c r="JJ88" s="35">
        <v>3911200</v>
      </c>
      <c r="JK88" s="35">
        <v>58.963209999999997</v>
      </c>
      <c r="JL88" s="35"/>
      <c r="JM88" s="35"/>
      <c r="JN88" s="85">
        <v>2722088.46</v>
      </c>
      <c r="JO88" s="27"/>
      <c r="JP88" s="36">
        <v>2722200</v>
      </c>
      <c r="JQ88" s="85">
        <v>2722200</v>
      </c>
      <c r="JR88" s="35"/>
      <c r="JS88" s="35"/>
      <c r="JT88" s="35"/>
      <c r="JU88" s="35"/>
      <c r="JV88" s="35"/>
      <c r="JW88" s="35"/>
      <c r="JX88" s="36"/>
      <c r="JY88" s="35"/>
      <c r="JZ88" s="35"/>
      <c r="KA88" s="35"/>
      <c r="KB88" s="35"/>
      <c r="KC88" s="35"/>
      <c r="KD88" s="35"/>
      <c r="KE88" s="35"/>
      <c r="KF88" s="85"/>
      <c r="KG88" s="27"/>
      <c r="KH88" s="36"/>
      <c r="KI88" s="85"/>
      <c r="KJ88" s="35"/>
      <c r="KK88" s="35">
        <v>2500000</v>
      </c>
      <c r="KL88" s="35">
        <v>1853300</v>
      </c>
      <c r="KM88" s="35">
        <v>646700</v>
      </c>
      <c r="KN88" s="35">
        <v>1853300</v>
      </c>
      <c r="KO88" s="35"/>
      <c r="KP88" s="36"/>
      <c r="KQ88" s="35">
        <v>2500000</v>
      </c>
      <c r="KR88" s="35">
        <v>1853300</v>
      </c>
      <c r="KS88" s="35"/>
      <c r="KT88" s="35">
        <v>646700</v>
      </c>
      <c r="KU88" s="35">
        <v>25.867999999999999</v>
      </c>
      <c r="KV88" s="35"/>
      <c r="KW88" s="35"/>
      <c r="KX88" s="85">
        <v>1853300</v>
      </c>
      <c r="KY88" s="27"/>
      <c r="KZ88" s="36">
        <v>1853300</v>
      </c>
      <c r="LA88" s="85">
        <v>1853300</v>
      </c>
      <c r="LB88" s="35"/>
      <c r="LC88" s="35"/>
      <c r="LD88" s="35"/>
      <c r="LE88" s="35"/>
      <c r="LF88" s="35"/>
      <c r="LG88" s="35"/>
      <c r="LH88" s="36"/>
      <c r="LI88" s="35"/>
      <c r="LJ88" s="35"/>
      <c r="LK88" s="35"/>
      <c r="LL88" s="35"/>
      <c r="LM88" s="35"/>
      <c r="LN88" s="35"/>
      <c r="LO88" s="35"/>
      <c r="LP88" s="85"/>
      <c r="LQ88" s="27"/>
      <c r="LR88" s="36"/>
      <c r="LS88" s="85"/>
      <c r="LT88" s="35"/>
      <c r="LU88" s="35"/>
      <c r="LV88" s="35"/>
      <c r="LW88" s="35"/>
      <c r="LX88" s="35"/>
      <c r="LY88" s="35"/>
      <c r="LZ88" s="36"/>
      <c r="MA88" s="35"/>
      <c r="MB88" s="35"/>
      <c r="MC88" s="35"/>
      <c r="MD88" s="35"/>
      <c r="ME88" s="35"/>
      <c r="MF88" s="35"/>
      <c r="MG88" s="35"/>
      <c r="MH88" s="85"/>
      <c r="MI88" s="27"/>
      <c r="MJ88" s="36"/>
      <c r="MK88" s="85"/>
      <c r="ML88" s="35"/>
      <c r="MM88" s="35"/>
      <c r="MN88" s="35"/>
      <c r="MO88" s="35"/>
      <c r="MP88" s="35"/>
      <c r="MQ88" s="35"/>
      <c r="MR88" s="36"/>
      <c r="MS88" s="35"/>
      <c r="MT88" s="35"/>
      <c r="MU88" s="35"/>
      <c r="MV88" s="35"/>
      <c r="MW88" s="35"/>
      <c r="MX88" s="35"/>
      <c r="MY88" s="35"/>
      <c r="MZ88" s="85"/>
      <c r="NA88" s="27"/>
      <c r="NB88" s="36"/>
      <c r="NC88" s="85"/>
      <c r="ND88" s="35"/>
      <c r="NE88" s="35">
        <v>1844600</v>
      </c>
      <c r="NF88" s="35">
        <v>923900</v>
      </c>
      <c r="NG88" s="35">
        <v>920700</v>
      </c>
      <c r="NH88" s="35">
        <v>923900</v>
      </c>
      <c r="NI88" s="35"/>
      <c r="NJ88" s="36"/>
      <c r="NK88" s="35">
        <v>1844600</v>
      </c>
      <c r="NL88" s="35">
        <v>923900</v>
      </c>
      <c r="NM88" s="35"/>
      <c r="NN88" s="35">
        <v>920700</v>
      </c>
      <c r="NO88" s="35">
        <v>49.913260000000001</v>
      </c>
      <c r="NP88" s="35"/>
      <c r="NQ88" s="35"/>
      <c r="NR88" s="85">
        <v>923900</v>
      </c>
      <c r="NS88" s="27"/>
      <c r="NT88" s="36">
        <v>923900</v>
      </c>
      <c r="NU88" s="85">
        <v>923900</v>
      </c>
      <c r="NV88" s="35"/>
      <c r="NW88" s="35"/>
      <c r="NX88" s="35"/>
      <c r="NY88" s="35"/>
      <c r="NZ88" s="35"/>
      <c r="OA88" s="35"/>
      <c r="OB88" s="36"/>
      <c r="OC88" s="35"/>
      <c r="OD88" s="35"/>
      <c r="OE88" s="35"/>
      <c r="OF88" s="35"/>
      <c r="OG88" s="35"/>
      <c r="OH88" s="35"/>
      <c r="OI88" s="35"/>
      <c r="OJ88" s="85"/>
      <c r="OK88" s="27"/>
      <c r="OL88" s="36"/>
      <c r="OM88" s="85"/>
      <c r="ON88" s="35"/>
      <c r="OO88" s="35"/>
      <c r="OP88" s="35"/>
      <c r="OQ88" s="35"/>
      <c r="OR88" s="35"/>
      <c r="OS88" s="35"/>
      <c r="OT88" s="36"/>
      <c r="OU88" s="35"/>
      <c r="OV88" s="35"/>
      <c r="OW88" s="35"/>
      <c r="OX88" s="35"/>
      <c r="OY88" s="35"/>
      <c r="OZ88" s="35"/>
      <c r="PA88" s="35"/>
      <c r="PB88" s="85"/>
      <c r="PC88" s="27"/>
      <c r="PD88" s="36"/>
      <c r="PE88" s="85"/>
      <c r="PF88" s="35"/>
      <c r="PG88" s="35"/>
      <c r="PH88" s="35"/>
      <c r="PI88" s="35"/>
      <c r="PJ88" s="35"/>
      <c r="PK88" s="35"/>
      <c r="PL88" s="36"/>
      <c r="PM88" s="35"/>
      <c r="PN88" s="35"/>
      <c r="PO88" s="35"/>
      <c r="PP88" s="35"/>
      <c r="PQ88" s="35"/>
      <c r="PR88" s="35"/>
      <c r="PS88" s="35"/>
      <c r="PT88" s="85"/>
      <c r="PU88" s="27"/>
      <c r="PV88" s="36"/>
      <c r="PW88" s="85"/>
      <c r="PX88" s="35"/>
      <c r="PY88" s="35"/>
      <c r="PZ88" s="35"/>
      <c r="QA88" s="35"/>
      <c r="QB88" s="35"/>
      <c r="QC88" s="35"/>
      <c r="QD88" s="36"/>
      <c r="QE88" s="35"/>
      <c r="QF88" s="35"/>
      <c r="QG88" s="35"/>
      <c r="QH88" s="35"/>
      <c r="QI88" s="35"/>
      <c r="QJ88" s="35"/>
      <c r="QK88" s="35"/>
      <c r="QL88" s="85"/>
      <c r="QM88" s="27"/>
      <c r="QN88" s="36"/>
      <c r="QO88" s="85"/>
      <c r="QP88" s="35"/>
      <c r="QQ88" s="35"/>
      <c r="QR88" s="35"/>
      <c r="QS88" s="35"/>
      <c r="QT88" s="35"/>
      <c r="QU88" s="35"/>
      <c r="QV88" s="36"/>
      <c r="QW88" s="35"/>
      <c r="QX88" s="35"/>
      <c r="QY88" s="35"/>
      <c r="QZ88" s="35"/>
      <c r="RA88" s="35"/>
      <c r="RB88" s="35"/>
      <c r="RC88" s="35"/>
      <c r="RD88" s="85"/>
      <c r="RE88" s="27"/>
      <c r="RF88" s="36"/>
      <c r="RG88" s="85"/>
      <c r="RH88" s="35"/>
      <c r="RI88" s="35"/>
      <c r="RJ88" s="35"/>
      <c r="RK88" s="35"/>
      <c r="RL88" s="35"/>
      <c r="RM88" s="35">
        <v>8011950.8399999999</v>
      </c>
      <c r="RN88" s="36"/>
      <c r="RO88" s="35"/>
      <c r="RP88" s="35"/>
      <c r="RQ88" s="35"/>
      <c r="RR88" s="35"/>
      <c r="RS88" s="35"/>
      <c r="RT88" s="35">
        <v>8011950.8399999999</v>
      </c>
      <c r="RU88" s="35"/>
      <c r="RV88" s="85"/>
      <c r="RW88" s="27"/>
      <c r="RX88" s="36"/>
      <c r="RY88" s="85"/>
      <c r="RZ88" s="35"/>
      <c r="SA88" s="35">
        <v>9908100</v>
      </c>
      <c r="SB88" s="35">
        <v>9908100</v>
      </c>
      <c r="SC88" s="35"/>
      <c r="SD88" s="35">
        <v>9908100</v>
      </c>
      <c r="SE88" s="35"/>
      <c r="SF88" s="36"/>
      <c r="SG88" s="35">
        <v>9908100</v>
      </c>
      <c r="SH88" s="35">
        <v>9908100</v>
      </c>
      <c r="SI88" s="35"/>
      <c r="SJ88" s="35"/>
      <c r="SK88" s="35"/>
      <c r="SL88" s="35"/>
      <c r="SM88" s="35"/>
      <c r="SN88" s="85">
        <v>9908100</v>
      </c>
      <c r="SO88" s="27"/>
      <c r="SP88" s="36">
        <v>9908100</v>
      </c>
      <c r="SQ88" s="85">
        <v>9908100</v>
      </c>
      <c r="SR88" s="35"/>
      <c r="SS88" s="35"/>
      <c r="ST88" s="35"/>
      <c r="SU88" s="35"/>
      <c r="SV88" s="35"/>
      <c r="SW88" s="35"/>
      <c r="SX88" s="36"/>
      <c r="SY88" s="35"/>
      <c r="SZ88" s="35"/>
      <c r="TA88" s="35"/>
      <c r="TB88" s="35"/>
      <c r="TC88" s="35"/>
      <c r="TD88" s="35"/>
      <c r="TE88" s="35"/>
      <c r="TF88" s="85"/>
      <c r="TG88" s="27"/>
      <c r="TH88" s="36"/>
      <c r="TI88" s="85"/>
      <c r="TJ88" s="35"/>
      <c r="TK88" s="35"/>
      <c r="TL88" s="35"/>
      <c r="TM88" s="35"/>
      <c r="TN88" s="35"/>
      <c r="TO88" s="35"/>
      <c r="TP88" s="36"/>
      <c r="TQ88" s="35"/>
      <c r="TR88" s="35"/>
      <c r="TS88" s="35"/>
      <c r="TT88" s="35"/>
      <c r="TU88" s="35"/>
      <c r="TV88" s="35"/>
      <c r="TW88" s="35"/>
      <c r="TX88" s="85"/>
      <c r="TY88" s="27"/>
      <c r="TZ88" s="36"/>
      <c r="UA88" s="85"/>
      <c r="UB88" s="35"/>
      <c r="UC88" s="35"/>
      <c r="UD88" s="35"/>
      <c r="UE88" s="35"/>
      <c r="UF88" s="35"/>
      <c r="UG88" s="35"/>
      <c r="UH88" s="36"/>
      <c r="UI88" s="35"/>
      <c r="UJ88" s="35"/>
      <c r="UK88" s="35"/>
      <c r="UL88" s="35"/>
      <c r="UM88" s="35"/>
      <c r="UN88" s="35"/>
      <c r="UO88" s="35"/>
      <c r="UP88" s="85"/>
      <c r="UQ88" s="27"/>
      <c r="UR88" s="36"/>
      <c r="US88" s="85"/>
    </row>
    <row r="89" spans="1:565" x14ac:dyDescent="0.3">
      <c r="A89" s="8" t="s">
        <v>202</v>
      </c>
      <c r="B89" s="168">
        <v>75</v>
      </c>
      <c r="C89" s="13" t="s">
        <v>204</v>
      </c>
      <c r="F89" s="36">
        <v>285480200</v>
      </c>
      <c r="G89" s="85"/>
      <c r="H89" s="35"/>
      <c r="I89" s="35">
        <v>45047000</v>
      </c>
      <c r="J89" s="35">
        <v>40991500</v>
      </c>
      <c r="K89" s="35">
        <v>4055500</v>
      </c>
      <c r="L89" s="35">
        <v>40991500</v>
      </c>
      <c r="M89" s="35">
        <v>224035.87</v>
      </c>
      <c r="N89" s="36"/>
      <c r="O89" s="35">
        <v>45047000</v>
      </c>
      <c r="P89" s="35">
        <v>40991500</v>
      </c>
      <c r="Q89" s="35"/>
      <c r="R89" s="35">
        <v>4055500</v>
      </c>
      <c r="S89" s="35">
        <v>9.0028199999999998</v>
      </c>
      <c r="T89" s="35">
        <v>224035.87</v>
      </c>
      <c r="U89" s="35"/>
      <c r="V89" s="85">
        <v>40991500</v>
      </c>
      <c r="W89" s="27"/>
      <c r="X89" s="36">
        <v>40991500</v>
      </c>
      <c r="Y89" s="85">
        <v>40991500</v>
      </c>
      <c r="Z89" s="35"/>
      <c r="AA89" s="35">
        <v>15805000</v>
      </c>
      <c r="AB89" s="35">
        <v>14381800</v>
      </c>
      <c r="AC89" s="35">
        <v>1423200</v>
      </c>
      <c r="AD89" s="35">
        <v>14381800</v>
      </c>
      <c r="AE89" s="35">
        <v>80679.05</v>
      </c>
      <c r="AF89" s="36"/>
      <c r="AG89" s="35">
        <v>15805000</v>
      </c>
      <c r="AH89" s="35">
        <v>14381800</v>
      </c>
      <c r="AI89" s="35"/>
      <c r="AJ89" s="35">
        <v>1423200</v>
      </c>
      <c r="AK89" s="35">
        <v>9.0047499999999996</v>
      </c>
      <c r="AL89" s="35">
        <v>80679.05</v>
      </c>
      <c r="AM89" s="35"/>
      <c r="AN89" s="85">
        <v>14381800</v>
      </c>
      <c r="AO89" s="27"/>
      <c r="AP89" s="36">
        <v>14381800</v>
      </c>
      <c r="AQ89" s="85">
        <v>14381800</v>
      </c>
      <c r="AR89" s="35"/>
      <c r="AS89" s="35">
        <v>167199700</v>
      </c>
      <c r="AT89" s="35">
        <v>152151700</v>
      </c>
      <c r="AU89" s="35">
        <v>15048000</v>
      </c>
      <c r="AV89" s="35">
        <v>152150134.63999999</v>
      </c>
      <c r="AW89" s="35">
        <v>3406214.31</v>
      </c>
      <c r="AX89" s="36"/>
      <c r="AY89" s="35">
        <v>167197979.87</v>
      </c>
      <c r="AZ89" s="35">
        <v>152150134.63999999</v>
      </c>
      <c r="BA89" s="35"/>
      <c r="BB89" s="35">
        <v>15047845.23</v>
      </c>
      <c r="BC89" s="35">
        <v>9.0000199999999992</v>
      </c>
      <c r="BD89" s="35">
        <v>3406214.31</v>
      </c>
      <c r="BE89" s="35"/>
      <c r="BF89" s="85">
        <v>152150134.63999999</v>
      </c>
      <c r="BG89" s="27"/>
      <c r="BH89" s="36">
        <v>152151700</v>
      </c>
      <c r="BI89" s="85">
        <v>152151700</v>
      </c>
      <c r="BJ89" s="35"/>
      <c r="BK89" s="35">
        <v>9101589</v>
      </c>
      <c r="BL89" s="35">
        <v>6322100</v>
      </c>
      <c r="BM89" s="35">
        <v>2779489</v>
      </c>
      <c r="BN89" s="35">
        <v>5507282.71</v>
      </c>
      <c r="BO89" s="35"/>
      <c r="BP89" s="36"/>
      <c r="BQ89" s="35">
        <v>7941249.3700000001</v>
      </c>
      <c r="BR89" s="35">
        <v>5507282.71</v>
      </c>
      <c r="BS89" s="35"/>
      <c r="BT89" s="35">
        <v>2433966.66</v>
      </c>
      <c r="BU89" s="35">
        <v>30.64967</v>
      </c>
      <c r="BV89" s="35"/>
      <c r="BW89" s="35"/>
      <c r="BX89" s="85">
        <v>5507282.71</v>
      </c>
      <c r="BY89" s="27"/>
      <c r="BZ89" s="36">
        <v>6322100</v>
      </c>
      <c r="CA89" s="85">
        <v>6322100</v>
      </c>
      <c r="CB89" s="35"/>
      <c r="CC89" s="35"/>
      <c r="CD89" s="35"/>
      <c r="CE89" s="35"/>
      <c r="CF89" s="35"/>
      <c r="CG89" s="35"/>
      <c r="CH89" s="36"/>
      <c r="CI89" s="35"/>
      <c r="CJ89" s="35"/>
      <c r="CK89" s="35"/>
      <c r="CL89" s="35"/>
      <c r="CM89" s="35"/>
      <c r="CN89" s="35"/>
      <c r="CO89" s="35"/>
      <c r="CP89" s="85"/>
      <c r="CQ89" s="27"/>
      <c r="CR89" s="36"/>
      <c r="CS89" s="85"/>
      <c r="CT89" s="35"/>
      <c r="CU89" s="35"/>
      <c r="CV89" s="35"/>
      <c r="CW89" s="35"/>
      <c r="CX89" s="35"/>
      <c r="CY89" s="35"/>
      <c r="CZ89" s="36"/>
      <c r="DA89" s="35"/>
      <c r="DB89" s="35"/>
      <c r="DC89" s="35"/>
      <c r="DD89" s="35"/>
      <c r="DE89" s="35"/>
      <c r="DF89" s="35"/>
      <c r="DG89" s="35"/>
      <c r="DH89" s="85"/>
      <c r="DI89" s="27"/>
      <c r="DJ89" s="36"/>
      <c r="DK89" s="85"/>
      <c r="DL89" s="35"/>
      <c r="DM89" s="35"/>
      <c r="DN89" s="35"/>
      <c r="DO89" s="35"/>
      <c r="DP89" s="35"/>
      <c r="DQ89" s="35"/>
      <c r="DR89" s="36"/>
      <c r="DS89" s="35"/>
      <c r="DT89" s="35"/>
      <c r="DU89" s="35"/>
      <c r="DV89" s="35"/>
      <c r="DW89" s="35"/>
      <c r="DX89" s="35"/>
      <c r="DY89" s="35"/>
      <c r="DZ89" s="85"/>
      <c r="EA89" s="27"/>
      <c r="EB89" s="36"/>
      <c r="EC89" s="85"/>
      <c r="ED89" s="35"/>
      <c r="EE89" s="35">
        <v>44454100</v>
      </c>
      <c r="EF89" s="35">
        <v>44009500</v>
      </c>
      <c r="EG89" s="35">
        <v>444600</v>
      </c>
      <c r="EH89" s="35">
        <v>44009500</v>
      </c>
      <c r="EI89" s="35"/>
      <c r="EJ89" s="36"/>
      <c r="EK89" s="35">
        <v>44454100</v>
      </c>
      <c r="EL89" s="35">
        <v>44009500</v>
      </c>
      <c r="EM89" s="35"/>
      <c r="EN89" s="35">
        <v>444600</v>
      </c>
      <c r="EO89" s="35">
        <v>1.00013</v>
      </c>
      <c r="EP89" s="35"/>
      <c r="EQ89" s="35"/>
      <c r="ER89" s="85">
        <v>44009500</v>
      </c>
      <c r="ES89" s="27"/>
      <c r="ET89" s="36">
        <v>44009500</v>
      </c>
      <c r="EU89" s="85">
        <v>44009500</v>
      </c>
      <c r="EV89" s="35"/>
      <c r="EW89" s="35">
        <v>20216000</v>
      </c>
      <c r="EX89" s="35">
        <v>18395600</v>
      </c>
      <c r="EY89" s="35">
        <v>1820400</v>
      </c>
      <c r="EZ89" s="35">
        <v>18388886.640000001</v>
      </c>
      <c r="FA89" s="35"/>
      <c r="FB89" s="36"/>
      <c r="FC89" s="35">
        <v>20208622.300000001</v>
      </c>
      <c r="FD89" s="35">
        <v>18388886.640000001</v>
      </c>
      <c r="FE89" s="35"/>
      <c r="FF89" s="35">
        <v>1819735.66</v>
      </c>
      <c r="FG89" s="35">
        <v>9.0047499999999996</v>
      </c>
      <c r="FH89" s="35"/>
      <c r="FI89" s="35"/>
      <c r="FJ89" s="85">
        <v>18388886.640000001</v>
      </c>
      <c r="FK89" s="27"/>
      <c r="FL89" s="36">
        <v>18395600</v>
      </c>
      <c r="FM89" s="85">
        <v>18395600</v>
      </c>
      <c r="FN89" s="35"/>
      <c r="FO89" s="35"/>
      <c r="FP89" s="35"/>
      <c r="FQ89" s="35"/>
      <c r="FR89" s="35"/>
      <c r="FS89" s="35">
        <v>15480.12</v>
      </c>
      <c r="FT89" s="36"/>
      <c r="FU89" s="35"/>
      <c r="FV89" s="35"/>
      <c r="FW89" s="35"/>
      <c r="FX89" s="35"/>
      <c r="FY89" s="35"/>
      <c r="FZ89" s="35">
        <v>15480.12</v>
      </c>
      <c r="GA89" s="35"/>
      <c r="GB89" s="85"/>
      <c r="GC89" s="27"/>
      <c r="GD89" s="36"/>
      <c r="GE89" s="85"/>
      <c r="GF89" s="35"/>
      <c r="GG89" s="35">
        <v>10141000</v>
      </c>
      <c r="GH89" s="35">
        <v>9228000</v>
      </c>
      <c r="GI89" s="35">
        <v>913000</v>
      </c>
      <c r="GJ89" s="35">
        <v>6575107.8899999997</v>
      </c>
      <c r="GK89" s="35"/>
      <c r="GL89" s="36"/>
      <c r="GM89" s="35">
        <v>7225636.0099999998</v>
      </c>
      <c r="GN89" s="35">
        <v>6575107.8899999997</v>
      </c>
      <c r="GO89" s="35"/>
      <c r="GP89" s="35">
        <v>650528.12</v>
      </c>
      <c r="GQ89" s="35">
        <v>9.0030599999999996</v>
      </c>
      <c r="GR89" s="35"/>
      <c r="GS89" s="35"/>
      <c r="GT89" s="85">
        <v>6575107.8899999997</v>
      </c>
      <c r="GU89" s="27"/>
      <c r="GV89" s="36">
        <v>9228000</v>
      </c>
      <c r="GW89" s="85">
        <v>9228000</v>
      </c>
      <c r="GX89" s="35"/>
      <c r="GY89" s="35"/>
      <c r="GZ89" s="35"/>
      <c r="HA89" s="35"/>
      <c r="HB89" s="35"/>
      <c r="HC89" s="35"/>
      <c r="HD89" s="36"/>
      <c r="HE89" s="35"/>
      <c r="HF89" s="35"/>
      <c r="HG89" s="35"/>
      <c r="HH89" s="35"/>
      <c r="HI89" s="35"/>
      <c r="HJ89" s="35"/>
      <c r="HK89" s="35"/>
      <c r="HL89" s="85"/>
      <c r="HM89" s="27"/>
      <c r="HN89" s="36"/>
      <c r="HO89" s="85"/>
      <c r="HP89" s="35"/>
      <c r="HQ89" s="35"/>
      <c r="HR89" s="35"/>
      <c r="HS89" s="35"/>
      <c r="HT89" s="35"/>
      <c r="HU89" s="35"/>
      <c r="HV89" s="36"/>
      <c r="HW89" s="35"/>
      <c r="HX89" s="35"/>
      <c r="HY89" s="35"/>
      <c r="HZ89" s="35"/>
      <c r="IA89" s="35"/>
      <c r="IB89" s="35"/>
      <c r="IC89" s="35"/>
      <c r="ID89" s="85"/>
      <c r="IE89" s="27"/>
      <c r="IF89" s="36"/>
      <c r="IG89" s="85"/>
      <c r="IH89" s="35"/>
      <c r="II89" s="35"/>
      <c r="IJ89" s="35"/>
      <c r="IK89" s="35"/>
      <c r="IL89" s="35"/>
      <c r="IM89" s="35"/>
      <c r="IN89" s="36"/>
      <c r="IO89" s="35"/>
      <c r="IP89" s="35"/>
      <c r="IQ89" s="35"/>
      <c r="IR89" s="35"/>
      <c r="IS89" s="35"/>
      <c r="IT89" s="35"/>
      <c r="IU89" s="35"/>
      <c r="IV89" s="85"/>
      <c r="IW89" s="27"/>
      <c r="IX89" s="36"/>
      <c r="IY89" s="85"/>
      <c r="IZ89" s="35"/>
      <c r="JA89" s="35"/>
      <c r="JB89" s="35"/>
      <c r="JC89" s="35"/>
      <c r="JD89" s="35"/>
      <c r="JE89" s="35"/>
      <c r="JF89" s="36"/>
      <c r="JG89" s="35"/>
      <c r="JH89" s="35"/>
      <c r="JI89" s="35"/>
      <c r="JJ89" s="35"/>
      <c r="JK89" s="35"/>
      <c r="JL89" s="35"/>
      <c r="JM89" s="35"/>
      <c r="JN89" s="85"/>
      <c r="JO89" s="27"/>
      <c r="JP89" s="36"/>
      <c r="JQ89" s="85"/>
      <c r="JR89" s="35"/>
      <c r="JS89" s="35"/>
      <c r="JT89" s="35"/>
      <c r="JU89" s="35"/>
      <c r="JV89" s="35"/>
      <c r="JW89" s="35"/>
      <c r="JX89" s="36"/>
      <c r="JY89" s="35"/>
      <c r="JZ89" s="35"/>
      <c r="KA89" s="35"/>
      <c r="KB89" s="35"/>
      <c r="KC89" s="35"/>
      <c r="KD89" s="35"/>
      <c r="KE89" s="35"/>
      <c r="KF89" s="85"/>
      <c r="KG89" s="27"/>
      <c r="KH89" s="36"/>
      <c r="KI89" s="85"/>
      <c r="KJ89" s="35"/>
      <c r="KK89" s="35"/>
      <c r="KL89" s="35"/>
      <c r="KM89" s="35"/>
      <c r="KN89" s="35"/>
      <c r="KO89" s="35"/>
      <c r="KP89" s="36"/>
      <c r="KQ89" s="35"/>
      <c r="KR89" s="35"/>
      <c r="KS89" s="35"/>
      <c r="KT89" s="35"/>
      <c r="KU89" s="35"/>
      <c r="KV89" s="35"/>
      <c r="KW89" s="35"/>
      <c r="KX89" s="85"/>
      <c r="KY89" s="27"/>
      <c r="KZ89" s="36"/>
      <c r="LA89" s="85"/>
      <c r="LB89" s="35"/>
      <c r="LC89" s="35"/>
      <c r="LD89" s="35"/>
      <c r="LE89" s="35"/>
      <c r="LF89" s="35"/>
      <c r="LG89" s="35"/>
      <c r="LH89" s="36"/>
      <c r="LI89" s="35"/>
      <c r="LJ89" s="35"/>
      <c r="LK89" s="35"/>
      <c r="LL89" s="35"/>
      <c r="LM89" s="35"/>
      <c r="LN89" s="35"/>
      <c r="LO89" s="35"/>
      <c r="LP89" s="85"/>
      <c r="LQ89" s="27"/>
      <c r="LR89" s="36"/>
      <c r="LS89" s="85"/>
      <c r="LT89" s="35"/>
      <c r="LU89" s="35"/>
      <c r="LV89" s="35"/>
      <c r="LW89" s="35"/>
      <c r="LX89" s="35"/>
      <c r="LY89" s="35"/>
      <c r="LZ89" s="36"/>
      <c r="MA89" s="35"/>
      <c r="MB89" s="35"/>
      <c r="MC89" s="35"/>
      <c r="MD89" s="35"/>
      <c r="ME89" s="35"/>
      <c r="MF89" s="35"/>
      <c r="MG89" s="35"/>
      <c r="MH89" s="85"/>
      <c r="MI89" s="27"/>
      <c r="MJ89" s="36"/>
      <c r="MK89" s="85"/>
      <c r="ML89" s="35"/>
      <c r="MM89" s="35"/>
      <c r="MN89" s="35"/>
      <c r="MO89" s="35"/>
      <c r="MP89" s="35"/>
      <c r="MQ89" s="35"/>
      <c r="MR89" s="36"/>
      <c r="MS89" s="35"/>
      <c r="MT89" s="35"/>
      <c r="MU89" s="35"/>
      <c r="MV89" s="35"/>
      <c r="MW89" s="35"/>
      <c r="MX89" s="35"/>
      <c r="MY89" s="35"/>
      <c r="MZ89" s="85"/>
      <c r="NA89" s="27"/>
      <c r="NB89" s="36"/>
      <c r="NC89" s="85"/>
      <c r="ND89" s="35"/>
      <c r="NE89" s="35"/>
      <c r="NF89" s="35"/>
      <c r="NG89" s="35"/>
      <c r="NH89" s="35"/>
      <c r="NI89" s="35"/>
      <c r="NJ89" s="36"/>
      <c r="NK89" s="35"/>
      <c r="NL89" s="35"/>
      <c r="NM89" s="35"/>
      <c r="NN89" s="35"/>
      <c r="NO89" s="35"/>
      <c r="NP89" s="35"/>
      <c r="NQ89" s="35"/>
      <c r="NR89" s="85"/>
      <c r="NS89" s="27"/>
      <c r="NT89" s="36"/>
      <c r="NU89" s="85"/>
      <c r="NV89" s="35"/>
      <c r="NW89" s="35"/>
      <c r="NX89" s="35"/>
      <c r="NY89" s="35"/>
      <c r="NZ89" s="35"/>
      <c r="OA89" s="35"/>
      <c r="OB89" s="36"/>
      <c r="OC89" s="35"/>
      <c r="OD89" s="35"/>
      <c r="OE89" s="35"/>
      <c r="OF89" s="35"/>
      <c r="OG89" s="35"/>
      <c r="OH89" s="35"/>
      <c r="OI89" s="35"/>
      <c r="OJ89" s="85"/>
      <c r="OK89" s="27"/>
      <c r="OL89" s="36"/>
      <c r="OM89" s="85"/>
      <c r="ON89" s="35"/>
      <c r="OO89" s="35"/>
      <c r="OP89" s="35"/>
      <c r="OQ89" s="35"/>
      <c r="OR89" s="35"/>
      <c r="OS89" s="35">
        <v>3411041.51</v>
      </c>
      <c r="OT89" s="36"/>
      <c r="OU89" s="35"/>
      <c r="OV89" s="35"/>
      <c r="OW89" s="35"/>
      <c r="OX89" s="35"/>
      <c r="OY89" s="35"/>
      <c r="OZ89" s="35">
        <v>3411041.51</v>
      </c>
      <c r="PA89" s="35"/>
      <c r="PB89" s="85"/>
      <c r="PC89" s="27"/>
      <c r="PD89" s="36"/>
      <c r="PE89" s="85"/>
      <c r="PF89" s="35"/>
      <c r="PG89" s="35"/>
      <c r="PH89" s="35"/>
      <c r="PI89" s="35"/>
      <c r="PJ89" s="35"/>
      <c r="PK89" s="35"/>
      <c r="PL89" s="36"/>
      <c r="PM89" s="35"/>
      <c r="PN89" s="35"/>
      <c r="PO89" s="35"/>
      <c r="PP89" s="35"/>
      <c r="PQ89" s="35"/>
      <c r="PR89" s="35"/>
      <c r="PS89" s="35"/>
      <c r="PT89" s="85"/>
      <c r="PU89" s="27"/>
      <c r="PV89" s="36"/>
      <c r="PW89" s="85"/>
      <c r="PX89" s="35"/>
      <c r="PY89" s="35"/>
      <c r="PZ89" s="35"/>
      <c r="QA89" s="35"/>
      <c r="QB89" s="35"/>
      <c r="QC89" s="35"/>
      <c r="QD89" s="36"/>
      <c r="QE89" s="35"/>
      <c r="QF89" s="35"/>
      <c r="QG89" s="35"/>
      <c r="QH89" s="35"/>
      <c r="QI89" s="35"/>
      <c r="QJ89" s="35"/>
      <c r="QK89" s="35"/>
      <c r="QL89" s="85"/>
      <c r="QM89" s="27"/>
      <c r="QN89" s="36"/>
      <c r="QO89" s="85"/>
      <c r="QP89" s="35"/>
      <c r="QQ89" s="35"/>
      <c r="QR89" s="35"/>
      <c r="QS89" s="35"/>
      <c r="QT89" s="35"/>
      <c r="QU89" s="35"/>
      <c r="QV89" s="36"/>
      <c r="QW89" s="35"/>
      <c r="QX89" s="35"/>
      <c r="QY89" s="35"/>
      <c r="QZ89" s="35"/>
      <c r="RA89" s="35"/>
      <c r="RB89" s="35"/>
      <c r="RC89" s="35"/>
      <c r="RD89" s="85"/>
      <c r="RE89" s="27"/>
      <c r="RF89" s="36"/>
      <c r="RG89" s="85"/>
      <c r="RH89" s="35"/>
      <c r="RI89" s="35"/>
      <c r="RJ89" s="35"/>
      <c r="RK89" s="35"/>
      <c r="RL89" s="35"/>
      <c r="RM89" s="35">
        <v>873844.18</v>
      </c>
      <c r="RN89" s="36"/>
      <c r="RO89" s="35"/>
      <c r="RP89" s="35"/>
      <c r="RQ89" s="35"/>
      <c r="RR89" s="35"/>
      <c r="RS89" s="35"/>
      <c r="RT89" s="35">
        <v>873844.18</v>
      </c>
      <c r="RU89" s="35"/>
      <c r="RV89" s="85"/>
      <c r="RW89" s="27"/>
      <c r="RX89" s="36"/>
      <c r="RY89" s="85"/>
      <c r="RZ89" s="35"/>
      <c r="SA89" s="35"/>
      <c r="SB89" s="35"/>
      <c r="SC89" s="35"/>
      <c r="SD89" s="35"/>
      <c r="SE89" s="35"/>
      <c r="SF89" s="36"/>
      <c r="SG89" s="35"/>
      <c r="SH89" s="35"/>
      <c r="SI89" s="35"/>
      <c r="SJ89" s="35"/>
      <c r="SK89" s="35"/>
      <c r="SL89" s="35"/>
      <c r="SM89" s="35"/>
      <c r="SN89" s="85"/>
      <c r="SO89" s="27"/>
      <c r="SP89" s="36"/>
      <c r="SQ89" s="85"/>
      <c r="SR89" s="35"/>
      <c r="SS89" s="35"/>
      <c r="ST89" s="35"/>
      <c r="SU89" s="35"/>
      <c r="SV89" s="35"/>
      <c r="SW89" s="35"/>
      <c r="SX89" s="36"/>
      <c r="SY89" s="35"/>
      <c r="SZ89" s="35"/>
      <c r="TA89" s="35"/>
      <c r="TB89" s="35"/>
      <c r="TC89" s="35"/>
      <c r="TD89" s="35"/>
      <c r="TE89" s="35"/>
      <c r="TF89" s="85"/>
      <c r="TG89" s="27"/>
      <c r="TH89" s="36"/>
      <c r="TI89" s="85"/>
      <c r="TJ89" s="35"/>
      <c r="TK89" s="35"/>
      <c r="TL89" s="35"/>
      <c r="TM89" s="35"/>
      <c r="TN89" s="35"/>
      <c r="TO89" s="35"/>
      <c r="TP89" s="36"/>
      <c r="TQ89" s="35"/>
      <c r="TR89" s="35"/>
      <c r="TS89" s="35"/>
      <c r="TT89" s="35"/>
      <c r="TU89" s="35"/>
      <c r="TV89" s="35"/>
      <c r="TW89" s="35"/>
      <c r="TX89" s="85"/>
      <c r="TY89" s="27"/>
      <c r="TZ89" s="36"/>
      <c r="UA89" s="85"/>
      <c r="UB89" s="35"/>
      <c r="UC89" s="35"/>
      <c r="UD89" s="35"/>
      <c r="UE89" s="35"/>
      <c r="UF89" s="35"/>
      <c r="UG89" s="35"/>
      <c r="UH89" s="36"/>
      <c r="UI89" s="35"/>
      <c r="UJ89" s="35"/>
      <c r="UK89" s="35"/>
      <c r="UL89" s="35"/>
      <c r="UM89" s="35"/>
      <c r="UN89" s="35"/>
      <c r="UO89" s="35"/>
      <c r="UP89" s="85"/>
      <c r="UQ89" s="27"/>
      <c r="UR89" s="36"/>
      <c r="US89" s="85"/>
    </row>
    <row r="90" spans="1:565" x14ac:dyDescent="0.3">
      <c r="A90" s="8" t="s">
        <v>205</v>
      </c>
      <c r="B90" s="168">
        <v>76</v>
      </c>
      <c r="C90" s="13" t="s">
        <v>207</v>
      </c>
      <c r="F90" s="36">
        <v>2879527500</v>
      </c>
      <c r="G90" s="85"/>
      <c r="H90" s="35"/>
      <c r="I90" s="35">
        <v>892555591.39999998</v>
      </c>
      <c r="J90" s="35">
        <v>830076700</v>
      </c>
      <c r="K90" s="35">
        <v>62478891.399999999</v>
      </c>
      <c r="L90" s="35">
        <v>830076700</v>
      </c>
      <c r="M90" s="35">
        <v>2117471.6</v>
      </c>
      <c r="N90" s="36"/>
      <c r="O90" s="35">
        <v>892555591.39999998</v>
      </c>
      <c r="P90" s="35">
        <v>830076700</v>
      </c>
      <c r="Q90" s="35"/>
      <c r="R90" s="35">
        <v>62478891.399999999</v>
      </c>
      <c r="S90" s="35">
        <v>7</v>
      </c>
      <c r="T90" s="35">
        <v>2105016.2999999998</v>
      </c>
      <c r="U90" s="35">
        <v>12455.3</v>
      </c>
      <c r="V90" s="85">
        <v>830076700</v>
      </c>
      <c r="W90" s="27"/>
      <c r="X90" s="36">
        <v>830076700</v>
      </c>
      <c r="Y90" s="85">
        <v>830076700</v>
      </c>
      <c r="Z90" s="35"/>
      <c r="AA90" s="35">
        <v>287472580.64999998</v>
      </c>
      <c r="AB90" s="35">
        <v>267349500</v>
      </c>
      <c r="AC90" s="35">
        <v>20123080.649999999</v>
      </c>
      <c r="AD90" s="35">
        <v>267349500</v>
      </c>
      <c r="AE90" s="35"/>
      <c r="AF90" s="36"/>
      <c r="AG90" s="35">
        <v>287472580.64999998</v>
      </c>
      <c r="AH90" s="35">
        <v>267349500</v>
      </c>
      <c r="AI90" s="35"/>
      <c r="AJ90" s="35">
        <v>20123080.649999999</v>
      </c>
      <c r="AK90" s="35">
        <v>7</v>
      </c>
      <c r="AL90" s="35"/>
      <c r="AM90" s="35"/>
      <c r="AN90" s="85">
        <v>267349500</v>
      </c>
      <c r="AO90" s="27"/>
      <c r="AP90" s="36">
        <v>267349500</v>
      </c>
      <c r="AQ90" s="85">
        <v>267349500</v>
      </c>
      <c r="AR90" s="35"/>
      <c r="AS90" s="35">
        <v>858406774.19000006</v>
      </c>
      <c r="AT90" s="35">
        <v>798318300</v>
      </c>
      <c r="AU90" s="35">
        <v>60088474.189999998</v>
      </c>
      <c r="AV90" s="35">
        <v>798318300</v>
      </c>
      <c r="AW90" s="35">
        <v>751030.38</v>
      </c>
      <c r="AX90" s="36"/>
      <c r="AY90" s="35">
        <v>858406774.19000006</v>
      </c>
      <c r="AZ90" s="35">
        <v>798318300</v>
      </c>
      <c r="BA90" s="35"/>
      <c r="BB90" s="35">
        <v>60088474.189999998</v>
      </c>
      <c r="BC90" s="35">
        <v>7</v>
      </c>
      <c r="BD90" s="35">
        <v>751030.38</v>
      </c>
      <c r="BE90" s="35"/>
      <c r="BF90" s="85">
        <v>798318300</v>
      </c>
      <c r="BG90" s="27"/>
      <c r="BH90" s="36">
        <v>798318300</v>
      </c>
      <c r="BI90" s="85">
        <v>798318300</v>
      </c>
      <c r="BJ90" s="35"/>
      <c r="BK90" s="35">
        <v>60000000</v>
      </c>
      <c r="BL90" s="35">
        <v>57000000</v>
      </c>
      <c r="BM90" s="35">
        <v>3000000</v>
      </c>
      <c r="BN90" s="35">
        <v>57000000</v>
      </c>
      <c r="BO90" s="35"/>
      <c r="BP90" s="36"/>
      <c r="BQ90" s="35">
        <v>60000000</v>
      </c>
      <c r="BR90" s="35">
        <v>57000000</v>
      </c>
      <c r="BS90" s="35"/>
      <c r="BT90" s="35">
        <v>3000000</v>
      </c>
      <c r="BU90" s="35">
        <v>5</v>
      </c>
      <c r="BV90" s="35"/>
      <c r="BW90" s="35"/>
      <c r="BX90" s="85">
        <v>57000000</v>
      </c>
      <c r="BY90" s="27"/>
      <c r="BZ90" s="36">
        <v>57000000</v>
      </c>
      <c r="CA90" s="85">
        <v>57000000</v>
      </c>
      <c r="CB90" s="35"/>
      <c r="CC90" s="35"/>
      <c r="CD90" s="35"/>
      <c r="CE90" s="35"/>
      <c r="CF90" s="35"/>
      <c r="CG90" s="35"/>
      <c r="CH90" s="36"/>
      <c r="CI90" s="35"/>
      <c r="CJ90" s="35"/>
      <c r="CK90" s="35"/>
      <c r="CL90" s="35"/>
      <c r="CM90" s="35"/>
      <c r="CN90" s="35"/>
      <c r="CO90" s="35"/>
      <c r="CP90" s="85"/>
      <c r="CQ90" s="27"/>
      <c r="CR90" s="36"/>
      <c r="CS90" s="85"/>
      <c r="CT90" s="35"/>
      <c r="CU90" s="35"/>
      <c r="CV90" s="35"/>
      <c r="CW90" s="35"/>
      <c r="CX90" s="35"/>
      <c r="CY90" s="35"/>
      <c r="CZ90" s="36"/>
      <c r="DA90" s="35"/>
      <c r="DB90" s="35"/>
      <c r="DC90" s="35"/>
      <c r="DD90" s="35"/>
      <c r="DE90" s="35"/>
      <c r="DF90" s="35"/>
      <c r="DG90" s="35"/>
      <c r="DH90" s="85"/>
      <c r="DI90" s="27"/>
      <c r="DJ90" s="36"/>
      <c r="DK90" s="85"/>
      <c r="DL90" s="35"/>
      <c r="DM90" s="35"/>
      <c r="DN90" s="35"/>
      <c r="DO90" s="35"/>
      <c r="DP90" s="35"/>
      <c r="DQ90" s="35"/>
      <c r="DR90" s="36"/>
      <c r="DS90" s="35"/>
      <c r="DT90" s="35"/>
      <c r="DU90" s="35"/>
      <c r="DV90" s="35"/>
      <c r="DW90" s="35"/>
      <c r="DX90" s="35"/>
      <c r="DY90" s="35"/>
      <c r="DZ90" s="85"/>
      <c r="EA90" s="27"/>
      <c r="EB90" s="36"/>
      <c r="EC90" s="85"/>
      <c r="ED90" s="35"/>
      <c r="EE90" s="35">
        <v>64348888.890000001</v>
      </c>
      <c r="EF90" s="35">
        <v>63705400</v>
      </c>
      <c r="EG90" s="35">
        <v>643488.89</v>
      </c>
      <c r="EH90" s="35">
        <v>63705400</v>
      </c>
      <c r="EI90" s="35"/>
      <c r="EJ90" s="36"/>
      <c r="EK90" s="35">
        <v>64348888.890000001</v>
      </c>
      <c r="EL90" s="35">
        <v>63705400</v>
      </c>
      <c r="EM90" s="35"/>
      <c r="EN90" s="35">
        <v>643488.89</v>
      </c>
      <c r="EO90" s="35">
        <v>1</v>
      </c>
      <c r="EP90" s="35"/>
      <c r="EQ90" s="35"/>
      <c r="ER90" s="85">
        <v>63705400</v>
      </c>
      <c r="ES90" s="27"/>
      <c r="ET90" s="36">
        <v>63705400</v>
      </c>
      <c r="EU90" s="85">
        <v>63705400</v>
      </c>
      <c r="EV90" s="35"/>
      <c r="EW90" s="35">
        <v>832306344.09000003</v>
      </c>
      <c r="EX90" s="35">
        <v>774044900</v>
      </c>
      <c r="EY90" s="35">
        <v>58261444.090000004</v>
      </c>
      <c r="EZ90" s="35">
        <v>774044899.73000002</v>
      </c>
      <c r="FA90" s="35">
        <v>975795.03</v>
      </c>
      <c r="FB90" s="36"/>
      <c r="FC90" s="35">
        <v>832284067.78999996</v>
      </c>
      <c r="FD90" s="35">
        <v>774024183.04999995</v>
      </c>
      <c r="FE90" s="35"/>
      <c r="FF90" s="35">
        <v>58259884.740000002</v>
      </c>
      <c r="FG90" s="35">
        <v>7</v>
      </c>
      <c r="FH90" s="35">
        <v>549677.4</v>
      </c>
      <c r="FI90" s="35">
        <v>446834.31</v>
      </c>
      <c r="FJ90" s="85">
        <v>774044899.73000002</v>
      </c>
      <c r="FK90" s="27"/>
      <c r="FL90" s="36">
        <v>774044900</v>
      </c>
      <c r="FM90" s="85">
        <v>774044900</v>
      </c>
      <c r="FN90" s="35"/>
      <c r="FO90" s="35"/>
      <c r="FP90" s="35"/>
      <c r="FQ90" s="35"/>
      <c r="FR90" s="35"/>
      <c r="FS90" s="35">
        <v>527642.39</v>
      </c>
      <c r="FT90" s="36"/>
      <c r="FU90" s="35"/>
      <c r="FV90" s="35"/>
      <c r="FW90" s="35"/>
      <c r="FX90" s="35"/>
      <c r="FY90" s="35"/>
      <c r="FZ90" s="35">
        <v>526098.89</v>
      </c>
      <c r="GA90" s="35">
        <v>1543.5</v>
      </c>
      <c r="GB90" s="85"/>
      <c r="GC90" s="27"/>
      <c r="GD90" s="36"/>
      <c r="GE90" s="85"/>
      <c r="GF90" s="35"/>
      <c r="GG90" s="35">
        <v>84261400</v>
      </c>
      <c r="GH90" s="35">
        <v>42130700</v>
      </c>
      <c r="GI90" s="35">
        <v>42130700</v>
      </c>
      <c r="GJ90" s="35">
        <v>41986692.969999999</v>
      </c>
      <c r="GK90" s="35"/>
      <c r="GL90" s="36"/>
      <c r="GM90" s="35">
        <v>83973385.900000006</v>
      </c>
      <c r="GN90" s="35">
        <v>41986692.960000001</v>
      </c>
      <c r="GO90" s="35"/>
      <c r="GP90" s="35">
        <v>41986692.939999998</v>
      </c>
      <c r="GQ90" s="35">
        <v>50</v>
      </c>
      <c r="GR90" s="35"/>
      <c r="GS90" s="35">
        <v>0.01</v>
      </c>
      <c r="GT90" s="85">
        <v>41986692.969999999</v>
      </c>
      <c r="GU90" s="27"/>
      <c r="GV90" s="36">
        <v>42130700</v>
      </c>
      <c r="GW90" s="85">
        <v>42130700</v>
      </c>
      <c r="GX90" s="35"/>
      <c r="GY90" s="35"/>
      <c r="GZ90" s="35"/>
      <c r="HA90" s="35"/>
      <c r="HB90" s="35"/>
      <c r="HC90" s="35">
        <v>635617.68999999994</v>
      </c>
      <c r="HD90" s="36"/>
      <c r="HE90" s="35"/>
      <c r="HF90" s="35"/>
      <c r="HG90" s="35"/>
      <c r="HH90" s="35"/>
      <c r="HI90" s="35"/>
      <c r="HJ90" s="35">
        <v>635617.68999999994</v>
      </c>
      <c r="HK90" s="35"/>
      <c r="HL90" s="85"/>
      <c r="HM90" s="27"/>
      <c r="HN90" s="36"/>
      <c r="HO90" s="85"/>
      <c r="HP90" s="35"/>
      <c r="HQ90" s="35"/>
      <c r="HR90" s="35"/>
      <c r="HS90" s="35"/>
      <c r="HT90" s="35"/>
      <c r="HU90" s="35"/>
      <c r="HV90" s="36"/>
      <c r="HW90" s="35"/>
      <c r="HX90" s="35"/>
      <c r="HY90" s="35"/>
      <c r="HZ90" s="35"/>
      <c r="IA90" s="35"/>
      <c r="IB90" s="35"/>
      <c r="IC90" s="35"/>
      <c r="ID90" s="85"/>
      <c r="IE90" s="27"/>
      <c r="IF90" s="36"/>
      <c r="IG90" s="85"/>
      <c r="IH90" s="35"/>
      <c r="II90" s="35"/>
      <c r="IJ90" s="35"/>
      <c r="IK90" s="35"/>
      <c r="IL90" s="35"/>
      <c r="IM90" s="35"/>
      <c r="IN90" s="36"/>
      <c r="IO90" s="35"/>
      <c r="IP90" s="35"/>
      <c r="IQ90" s="35"/>
      <c r="IR90" s="35"/>
      <c r="IS90" s="35"/>
      <c r="IT90" s="35"/>
      <c r="IU90" s="35"/>
      <c r="IV90" s="85"/>
      <c r="IW90" s="27"/>
      <c r="IX90" s="36"/>
      <c r="IY90" s="85"/>
      <c r="IZ90" s="35"/>
      <c r="JA90" s="35">
        <v>9944200</v>
      </c>
      <c r="JB90" s="35">
        <v>6772100</v>
      </c>
      <c r="JC90" s="35">
        <v>3172100</v>
      </c>
      <c r="JD90" s="35">
        <v>6772100</v>
      </c>
      <c r="JE90" s="35"/>
      <c r="JF90" s="36"/>
      <c r="JG90" s="35">
        <v>9944200</v>
      </c>
      <c r="JH90" s="35">
        <v>6772100</v>
      </c>
      <c r="JI90" s="35"/>
      <c r="JJ90" s="35">
        <v>3172100</v>
      </c>
      <c r="JK90" s="35">
        <v>31.899000000000001</v>
      </c>
      <c r="JL90" s="35"/>
      <c r="JM90" s="35"/>
      <c r="JN90" s="85">
        <v>6772100</v>
      </c>
      <c r="JO90" s="27"/>
      <c r="JP90" s="36">
        <v>6772100</v>
      </c>
      <c r="JQ90" s="85">
        <v>6772100</v>
      </c>
      <c r="JR90" s="35"/>
      <c r="JS90" s="35"/>
      <c r="JT90" s="35"/>
      <c r="JU90" s="35"/>
      <c r="JV90" s="35"/>
      <c r="JW90" s="35"/>
      <c r="JX90" s="36"/>
      <c r="JY90" s="35"/>
      <c r="JZ90" s="35"/>
      <c r="KA90" s="35"/>
      <c r="KB90" s="35"/>
      <c r="KC90" s="35"/>
      <c r="KD90" s="35"/>
      <c r="KE90" s="35"/>
      <c r="KF90" s="85"/>
      <c r="KG90" s="27"/>
      <c r="KH90" s="36"/>
      <c r="KI90" s="85"/>
      <c r="KJ90" s="35"/>
      <c r="KK90" s="35">
        <v>7729000</v>
      </c>
      <c r="KL90" s="35">
        <v>3864500</v>
      </c>
      <c r="KM90" s="35">
        <v>3864500</v>
      </c>
      <c r="KN90" s="35">
        <v>3864500</v>
      </c>
      <c r="KO90" s="35"/>
      <c r="KP90" s="36"/>
      <c r="KQ90" s="35">
        <v>7729000</v>
      </c>
      <c r="KR90" s="35">
        <v>3864500</v>
      </c>
      <c r="KS90" s="35"/>
      <c r="KT90" s="35">
        <v>3864500</v>
      </c>
      <c r="KU90" s="35">
        <v>50</v>
      </c>
      <c r="KV90" s="35"/>
      <c r="KW90" s="35"/>
      <c r="KX90" s="85">
        <v>3864500</v>
      </c>
      <c r="KY90" s="27"/>
      <c r="KZ90" s="36">
        <v>3864500</v>
      </c>
      <c r="LA90" s="85">
        <v>3864500</v>
      </c>
      <c r="LB90" s="35"/>
      <c r="LC90" s="35"/>
      <c r="LD90" s="35"/>
      <c r="LE90" s="35"/>
      <c r="LF90" s="35"/>
      <c r="LG90" s="35"/>
      <c r="LH90" s="36"/>
      <c r="LI90" s="35"/>
      <c r="LJ90" s="35"/>
      <c r="LK90" s="35"/>
      <c r="LL90" s="35"/>
      <c r="LM90" s="35"/>
      <c r="LN90" s="35"/>
      <c r="LO90" s="35"/>
      <c r="LP90" s="85"/>
      <c r="LQ90" s="27"/>
      <c r="LR90" s="36"/>
      <c r="LS90" s="85"/>
      <c r="LT90" s="35"/>
      <c r="LU90" s="35">
        <v>64051800</v>
      </c>
      <c r="LV90" s="35">
        <v>32025900</v>
      </c>
      <c r="LW90" s="35">
        <v>32025900</v>
      </c>
      <c r="LX90" s="35">
        <v>32025900</v>
      </c>
      <c r="LY90" s="35"/>
      <c r="LZ90" s="36"/>
      <c r="MA90" s="35">
        <v>64051800</v>
      </c>
      <c r="MB90" s="35">
        <v>32025900</v>
      </c>
      <c r="MC90" s="35"/>
      <c r="MD90" s="35">
        <v>32025900</v>
      </c>
      <c r="ME90" s="35">
        <v>50</v>
      </c>
      <c r="MF90" s="35"/>
      <c r="MG90" s="35"/>
      <c r="MH90" s="85">
        <v>32025900</v>
      </c>
      <c r="MI90" s="27"/>
      <c r="MJ90" s="36">
        <v>32025900</v>
      </c>
      <c r="MK90" s="85">
        <v>32025900</v>
      </c>
      <c r="ML90" s="35"/>
      <c r="MM90" s="35"/>
      <c r="MN90" s="35"/>
      <c r="MO90" s="35"/>
      <c r="MP90" s="35"/>
      <c r="MQ90" s="35"/>
      <c r="MR90" s="36"/>
      <c r="MS90" s="35"/>
      <c r="MT90" s="35"/>
      <c r="MU90" s="35"/>
      <c r="MV90" s="35"/>
      <c r="MW90" s="35"/>
      <c r="MX90" s="35"/>
      <c r="MY90" s="35"/>
      <c r="MZ90" s="85"/>
      <c r="NA90" s="27"/>
      <c r="NB90" s="36"/>
      <c r="NC90" s="85"/>
      <c r="ND90" s="35"/>
      <c r="NE90" s="35">
        <v>22622732.120000001</v>
      </c>
      <c r="NF90" s="35">
        <v>4239500</v>
      </c>
      <c r="NG90" s="35">
        <v>18383232.120000001</v>
      </c>
      <c r="NH90" s="35">
        <v>4239500</v>
      </c>
      <c r="NI90" s="35"/>
      <c r="NJ90" s="36"/>
      <c r="NK90" s="35">
        <v>22622732.120000001</v>
      </c>
      <c r="NL90" s="35">
        <v>4239500</v>
      </c>
      <c r="NM90" s="35"/>
      <c r="NN90" s="35">
        <v>18383232.120000001</v>
      </c>
      <c r="NO90" s="35">
        <v>81.260000000000005</v>
      </c>
      <c r="NP90" s="35"/>
      <c r="NQ90" s="35"/>
      <c r="NR90" s="85">
        <v>4239500</v>
      </c>
      <c r="NS90" s="27"/>
      <c r="NT90" s="36">
        <v>4239500</v>
      </c>
      <c r="NU90" s="85">
        <v>4239500</v>
      </c>
      <c r="NV90" s="35"/>
      <c r="NW90" s="35"/>
      <c r="NX90" s="35"/>
      <c r="NY90" s="35"/>
      <c r="NZ90" s="35"/>
      <c r="OA90" s="35">
        <v>368127.6</v>
      </c>
      <c r="OB90" s="36"/>
      <c r="OC90" s="35"/>
      <c r="OD90" s="35"/>
      <c r="OE90" s="35"/>
      <c r="OF90" s="35"/>
      <c r="OG90" s="35"/>
      <c r="OH90" s="35">
        <v>333600</v>
      </c>
      <c r="OI90" s="35">
        <v>34527.599999999999</v>
      </c>
      <c r="OJ90" s="85"/>
      <c r="OK90" s="27"/>
      <c r="OL90" s="36"/>
      <c r="OM90" s="85"/>
      <c r="ON90" s="35"/>
      <c r="OO90" s="35"/>
      <c r="OP90" s="35"/>
      <c r="OQ90" s="35"/>
      <c r="OR90" s="35"/>
      <c r="OS90" s="35">
        <v>6812253.8499999996</v>
      </c>
      <c r="OT90" s="36"/>
      <c r="OU90" s="35"/>
      <c r="OV90" s="35"/>
      <c r="OW90" s="35"/>
      <c r="OX90" s="35"/>
      <c r="OY90" s="35"/>
      <c r="OZ90" s="35">
        <v>6396928.7300000004</v>
      </c>
      <c r="PA90" s="35">
        <v>415325.12</v>
      </c>
      <c r="PB90" s="85"/>
      <c r="PC90" s="27"/>
      <c r="PD90" s="36"/>
      <c r="PE90" s="85"/>
      <c r="PF90" s="35"/>
      <c r="PG90" s="35"/>
      <c r="PH90" s="35"/>
      <c r="PI90" s="35"/>
      <c r="PJ90" s="35"/>
      <c r="PK90" s="35"/>
      <c r="PL90" s="36"/>
      <c r="PM90" s="35"/>
      <c r="PN90" s="35"/>
      <c r="PO90" s="35"/>
      <c r="PP90" s="35"/>
      <c r="PQ90" s="35"/>
      <c r="PR90" s="35"/>
      <c r="PS90" s="35"/>
      <c r="PT90" s="85"/>
      <c r="PU90" s="27"/>
      <c r="PV90" s="36"/>
      <c r="PW90" s="85"/>
      <c r="PX90" s="35"/>
      <c r="PY90" s="35"/>
      <c r="PZ90" s="35"/>
      <c r="QA90" s="35"/>
      <c r="QB90" s="35"/>
      <c r="QC90" s="35"/>
      <c r="QD90" s="36"/>
      <c r="QE90" s="35"/>
      <c r="QF90" s="35"/>
      <c r="QG90" s="35"/>
      <c r="QH90" s="35"/>
      <c r="QI90" s="35"/>
      <c r="QJ90" s="35"/>
      <c r="QK90" s="35"/>
      <c r="QL90" s="85"/>
      <c r="QM90" s="27"/>
      <c r="QN90" s="36"/>
      <c r="QO90" s="85"/>
      <c r="QP90" s="35"/>
      <c r="QQ90" s="35"/>
      <c r="QR90" s="35"/>
      <c r="QS90" s="35"/>
      <c r="QT90" s="35"/>
      <c r="QU90" s="35"/>
      <c r="QV90" s="36"/>
      <c r="QW90" s="35"/>
      <c r="QX90" s="35"/>
      <c r="QY90" s="35"/>
      <c r="QZ90" s="35"/>
      <c r="RA90" s="35"/>
      <c r="RB90" s="35"/>
      <c r="RC90" s="35"/>
      <c r="RD90" s="85"/>
      <c r="RE90" s="27"/>
      <c r="RF90" s="36"/>
      <c r="RG90" s="85"/>
      <c r="RH90" s="35"/>
      <c r="RI90" s="35"/>
      <c r="RJ90" s="35"/>
      <c r="RK90" s="35"/>
      <c r="RL90" s="35"/>
      <c r="RM90" s="35"/>
      <c r="RN90" s="36"/>
      <c r="RO90" s="35"/>
      <c r="RP90" s="35"/>
      <c r="RQ90" s="35"/>
      <c r="RR90" s="35"/>
      <c r="RS90" s="35"/>
      <c r="RT90" s="35"/>
      <c r="RU90" s="35"/>
      <c r="RV90" s="85"/>
      <c r="RW90" s="27"/>
      <c r="RX90" s="36"/>
      <c r="RY90" s="85"/>
      <c r="RZ90" s="35"/>
      <c r="SA90" s="35"/>
      <c r="SB90" s="35"/>
      <c r="SC90" s="35"/>
      <c r="SD90" s="35"/>
      <c r="SE90" s="35"/>
      <c r="SF90" s="36"/>
      <c r="SG90" s="35"/>
      <c r="SH90" s="35"/>
      <c r="SI90" s="35"/>
      <c r="SJ90" s="35"/>
      <c r="SK90" s="35"/>
      <c r="SL90" s="35"/>
      <c r="SM90" s="35"/>
      <c r="SN90" s="85"/>
      <c r="SO90" s="27"/>
      <c r="SP90" s="36"/>
      <c r="SQ90" s="85"/>
      <c r="SR90" s="35"/>
      <c r="SS90" s="35"/>
      <c r="ST90" s="35"/>
      <c r="SU90" s="35"/>
      <c r="SV90" s="35"/>
      <c r="SW90" s="35"/>
      <c r="SX90" s="36"/>
      <c r="SY90" s="35"/>
      <c r="SZ90" s="35"/>
      <c r="TA90" s="35"/>
      <c r="TB90" s="35"/>
      <c r="TC90" s="35"/>
      <c r="TD90" s="35"/>
      <c r="TE90" s="35"/>
      <c r="TF90" s="85"/>
      <c r="TG90" s="27"/>
      <c r="TH90" s="36"/>
      <c r="TI90" s="85"/>
      <c r="TJ90" s="35"/>
      <c r="TK90" s="35"/>
      <c r="TL90" s="35"/>
      <c r="TM90" s="35"/>
      <c r="TN90" s="35"/>
      <c r="TO90" s="35"/>
      <c r="TP90" s="36"/>
      <c r="TQ90" s="35"/>
      <c r="TR90" s="35"/>
      <c r="TS90" s="35"/>
      <c r="TT90" s="35"/>
      <c r="TU90" s="35"/>
      <c r="TV90" s="35"/>
      <c r="TW90" s="35"/>
      <c r="TX90" s="85"/>
      <c r="TY90" s="27"/>
      <c r="TZ90" s="36"/>
      <c r="UA90" s="85"/>
      <c r="UB90" s="35"/>
      <c r="UC90" s="35"/>
      <c r="UD90" s="35"/>
      <c r="UE90" s="35"/>
      <c r="UF90" s="35"/>
      <c r="UG90" s="35"/>
      <c r="UH90" s="36"/>
      <c r="UI90" s="35"/>
      <c r="UJ90" s="35"/>
      <c r="UK90" s="35"/>
      <c r="UL90" s="35"/>
      <c r="UM90" s="35"/>
      <c r="UN90" s="35"/>
      <c r="UO90" s="35"/>
      <c r="UP90" s="85"/>
      <c r="UQ90" s="27"/>
      <c r="UR90" s="36"/>
      <c r="US90" s="85"/>
    </row>
    <row r="91" spans="1:565" x14ac:dyDescent="0.3">
      <c r="A91" s="8" t="s">
        <v>211</v>
      </c>
      <c r="B91" s="168">
        <v>77</v>
      </c>
      <c r="C91" s="13" t="s">
        <v>213</v>
      </c>
      <c r="F91" s="36">
        <v>1063517800</v>
      </c>
      <c r="G91" s="85"/>
      <c r="H91" s="35"/>
      <c r="I91" s="35">
        <v>599776500</v>
      </c>
      <c r="J91" s="35">
        <v>233620000</v>
      </c>
      <c r="K91" s="35">
        <v>366156500</v>
      </c>
      <c r="L91" s="35">
        <v>233620000</v>
      </c>
      <c r="M91" s="35">
        <v>1490524.56</v>
      </c>
      <c r="N91" s="36"/>
      <c r="O91" s="35">
        <v>599776500</v>
      </c>
      <c r="P91" s="35">
        <v>233620000</v>
      </c>
      <c r="Q91" s="35"/>
      <c r="R91" s="35">
        <v>366156500</v>
      </c>
      <c r="S91" s="35">
        <v>61.048819999999999</v>
      </c>
      <c r="T91" s="35">
        <v>1490524.56</v>
      </c>
      <c r="U91" s="35"/>
      <c r="V91" s="85">
        <v>233620000</v>
      </c>
      <c r="W91" s="27"/>
      <c r="X91" s="36">
        <v>233620000</v>
      </c>
      <c r="Y91" s="85">
        <v>233620000</v>
      </c>
      <c r="Z91" s="35"/>
      <c r="AA91" s="35">
        <v>216159733.33000001</v>
      </c>
      <c r="AB91" s="35">
        <v>162119800</v>
      </c>
      <c r="AC91" s="35">
        <v>54039933.329999998</v>
      </c>
      <c r="AD91" s="35">
        <v>162119800</v>
      </c>
      <c r="AE91" s="35">
        <v>367134.44</v>
      </c>
      <c r="AF91" s="36"/>
      <c r="AG91" s="35">
        <v>216159733.33000001</v>
      </c>
      <c r="AH91" s="35">
        <v>162119800</v>
      </c>
      <c r="AI91" s="35"/>
      <c r="AJ91" s="35">
        <v>54039933.329999998</v>
      </c>
      <c r="AK91" s="35">
        <v>25</v>
      </c>
      <c r="AL91" s="35">
        <v>367134.44</v>
      </c>
      <c r="AM91" s="35"/>
      <c r="AN91" s="85">
        <v>162119800</v>
      </c>
      <c r="AO91" s="27"/>
      <c r="AP91" s="36">
        <v>162119800</v>
      </c>
      <c r="AQ91" s="85">
        <v>162119800</v>
      </c>
      <c r="AR91" s="35"/>
      <c r="AS91" s="35">
        <v>653832133.33000004</v>
      </c>
      <c r="AT91" s="35">
        <v>490374100</v>
      </c>
      <c r="AU91" s="35">
        <v>163458033.33000001</v>
      </c>
      <c r="AV91" s="35">
        <v>490373873.25999999</v>
      </c>
      <c r="AW91" s="35">
        <v>736134.11</v>
      </c>
      <c r="AX91" s="36"/>
      <c r="AY91" s="35">
        <v>653831830.84000003</v>
      </c>
      <c r="AZ91" s="35">
        <v>490373873.13</v>
      </c>
      <c r="BA91" s="35"/>
      <c r="BB91" s="35">
        <v>163457957.71000001</v>
      </c>
      <c r="BC91" s="35">
        <v>25</v>
      </c>
      <c r="BD91" s="35">
        <v>736134.11</v>
      </c>
      <c r="BE91" s="35">
        <v>0.13</v>
      </c>
      <c r="BF91" s="85">
        <v>490373873.25999999</v>
      </c>
      <c r="BG91" s="27"/>
      <c r="BH91" s="36">
        <v>490374100</v>
      </c>
      <c r="BI91" s="85">
        <v>490374100</v>
      </c>
      <c r="BJ91" s="35"/>
      <c r="BK91" s="35">
        <v>76623376.620000005</v>
      </c>
      <c r="BL91" s="35">
        <v>59000000</v>
      </c>
      <c r="BM91" s="35">
        <v>17623376.620000001</v>
      </c>
      <c r="BN91" s="35">
        <v>59000000</v>
      </c>
      <c r="BO91" s="35">
        <v>20463754.649999999</v>
      </c>
      <c r="BP91" s="36"/>
      <c r="BQ91" s="35">
        <v>76623376.620000005</v>
      </c>
      <c r="BR91" s="35">
        <v>59000000</v>
      </c>
      <c r="BS91" s="35"/>
      <c r="BT91" s="35">
        <v>17623376.620000001</v>
      </c>
      <c r="BU91" s="35">
        <v>23</v>
      </c>
      <c r="BV91" s="35">
        <v>20463754.649999999</v>
      </c>
      <c r="BW91" s="35"/>
      <c r="BX91" s="85">
        <v>59000000</v>
      </c>
      <c r="BY91" s="27"/>
      <c r="BZ91" s="36">
        <v>59000000</v>
      </c>
      <c r="CA91" s="85">
        <v>59000000</v>
      </c>
      <c r="CB91" s="35"/>
      <c r="CC91" s="35">
        <v>13301210.779999999</v>
      </c>
      <c r="CD91" s="35">
        <v>5383000</v>
      </c>
      <c r="CE91" s="35">
        <v>7918210.7800000003</v>
      </c>
      <c r="CF91" s="35">
        <v>5383000</v>
      </c>
      <c r="CG91" s="35"/>
      <c r="CH91" s="36"/>
      <c r="CI91" s="35">
        <v>13301210.779999999</v>
      </c>
      <c r="CJ91" s="35">
        <v>5383000</v>
      </c>
      <c r="CK91" s="35"/>
      <c r="CL91" s="35">
        <v>7918210.7800000003</v>
      </c>
      <c r="CM91" s="35">
        <v>59.53</v>
      </c>
      <c r="CN91" s="35"/>
      <c r="CO91" s="35"/>
      <c r="CP91" s="85">
        <v>5383000</v>
      </c>
      <c r="CQ91" s="27"/>
      <c r="CR91" s="36">
        <v>5383000</v>
      </c>
      <c r="CS91" s="85">
        <v>5383000</v>
      </c>
      <c r="CT91" s="35"/>
      <c r="CU91" s="35"/>
      <c r="CV91" s="35"/>
      <c r="CW91" s="35"/>
      <c r="CX91" s="35"/>
      <c r="CY91" s="35"/>
      <c r="CZ91" s="36"/>
      <c r="DA91" s="35"/>
      <c r="DB91" s="35"/>
      <c r="DC91" s="35"/>
      <c r="DD91" s="35"/>
      <c r="DE91" s="35"/>
      <c r="DF91" s="35"/>
      <c r="DG91" s="35"/>
      <c r="DH91" s="85"/>
      <c r="DI91" s="27"/>
      <c r="DJ91" s="36"/>
      <c r="DK91" s="85"/>
      <c r="DL91" s="35"/>
      <c r="DM91" s="35"/>
      <c r="DN91" s="35"/>
      <c r="DO91" s="35"/>
      <c r="DP91" s="35"/>
      <c r="DQ91" s="35"/>
      <c r="DR91" s="36"/>
      <c r="DS91" s="35"/>
      <c r="DT91" s="35"/>
      <c r="DU91" s="35"/>
      <c r="DV91" s="35"/>
      <c r="DW91" s="35"/>
      <c r="DX91" s="35"/>
      <c r="DY91" s="35"/>
      <c r="DZ91" s="85"/>
      <c r="EA91" s="27"/>
      <c r="EB91" s="36"/>
      <c r="EC91" s="85"/>
      <c r="ED91" s="35"/>
      <c r="EE91" s="35">
        <v>50758947.369999997</v>
      </c>
      <c r="EF91" s="35">
        <v>48221000</v>
      </c>
      <c r="EG91" s="35">
        <v>2537947.37</v>
      </c>
      <c r="EH91" s="35">
        <v>48221000</v>
      </c>
      <c r="EI91" s="35"/>
      <c r="EJ91" s="36"/>
      <c r="EK91" s="35">
        <v>50758947.369999997</v>
      </c>
      <c r="EL91" s="35">
        <v>48221000</v>
      </c>
      <c r="EM91" s="35"/>
      <c r="EN91" s="35">
        <v>2537947.37</v>
      </c>
      <c r="EO91" s="35">
        <v>5</v>
      </c>
      <c r="EP91" s="35"/>
      <c r="EQ91" s="35"/>
      <c r="ER91" s="85">
        <v>48221000</v>
      </c>
      <c r="ES91" s="27"/>
      <c r="ET91" s="36">
        <v>48221000</v>
      </c>
      <c r="EU91" s="85">
        <v>48221000</v>
      </c>
      <c r="EV91" s="35"/>
      <c r="EW91" s="35">
        <v>111085600</v>
      </c>
      <c r="EX91" s="35">
        <v>64799900</v>
      </c>
      <c r="EY91" s="35">
        <v>46285700</v>
      </c>
      <c r="EZ91" s="35">
        <v>64799899.960000001</v>
      </c>
      <c r="FA91" s="35">
        <v>403599.37</v>
      </c>
      <c r="FB91" s="36"/>
      <c r="FC91" s="35">
        <v>111085599.92</v>
      </c>
      <c r="FD91" s="35">
        <v>64799899.950000003</v>
      </c>
      <c r="FE91" s="35"/>
      <c r="FF91" s="35">
        <v>46285699.969999999</v>
      </c>
      <c r="FG91" s="35">
        <v>41.666699999999999</v>
      </c>
      <c r="FH91" s="35">
        <v>403599.37</v>
      </c>
      <c r="FI91" s="35">
        <v>0.01</v>
      </c>
      <c r="FJ91" s="85">
        <v>64799899.960000001</v>
      </c>
      <c r="FK91" s="27"/>
      <c r="FL91" s="36">
        <v>64799900</v>
      </c>
      <c r="FM91" s="85">
        <v>64799900</v>
      </c>
      <c r="FN91" s="35"/>
      <c r="FO91" s="35"/>
      <c r="FP91" s="35"/>
      <c r="FQ91" s="35"/>
      <c r="FR91" s="35"/>
      <c r="FS91" s="35">
        <v>536171.06999999995</v>
      </c>
      <c r="FT91" s="36"/>
      <c r="FU91" s="35"/>
      <c r="FV91" s="35"/>
      <c r="FW91" s="35"/>
      <c r="FX91" s="35"/>
      <c r="FY91" s="35"/>
      <c r="FZ91" s="35">
        <v>536171.06999999995</v>
      </c>
      <c r="GA91" s="35"/>
      <c r="GB91" s="85"/>
      <c r="GC91" s="27"/>
      <c r="GD91" s="36"/>
      <c r="GE91" s="85"/>
      <c r="GF91" s="35"/>
      <c r="GG91" s="35"/>
      <c r="GH91" s="35"/>
      <c r="GI91" s="35"/>
      <c r="GJ91" s="35"/>
      <c r="GK91" s="35"/>
      <c r="GL91" s="36"/>
      <c r="GM91" s="35"/>
      <c r="GN91" s="35"/>
      <c r="GO91" s="35"/>
      <c r="GP91" s="35"/>
      <c r="GQ91" s="35"/>
      <c r="GR91" s="35"/>
      <c r="GS91" s="35"/>
      <c r="GT91" s="85"/>
      <c r="GU91" s="27"/>
      <c r="GV91" s="36"/>
      <c r="GW91" s="85"/>
      <c r="GX91" s="35"/>
      <c r="GY91" s="35"/>
      <c r="GZ91" s="35"/>
      <c r="HA91" s="35"/>
      <c r="HB91" s="35"/>
      <c r="HC91" s="35"/>
      <c r="HD91" s="36"/>
      <c r="HE91" s="35"/>
      <c r="HF91" s="35"/>
      <c r="HG91" s="35"/>
      <c r="HH91" s="35"/>
      <c r="HI91" s="35"/>
      <c r="HJ91" s="35"/>
      <c r="HK91" s="35"/>
      <c r="HL91" s="85"/>
      <c r="HM91" s="27"/>
      <c r="HN91" s="36"/>
      <c r="HO91" s="85"/>
      <c r="HP91" s="35"/>
      <c r="HQ91" s="35"/>
      <c r="HR91" s="35"/>
      <c r="HS91" s="35"/>
      <c r="HT91" s="35"/>
      <c r="HU91" s="35"/>
      <c r="HV91" s="36"/>
      <c r="HW91" s="35"/>
      <c r="HX91" s="35"/>
      <c r="HY91" s="35"/>
      <c r="HZ91" s="35"/>
      <c r="IA91" s="35"/>
      <c r="IB91" s="35"/>
      <c r="IC91" s="35"/>
      <c r="ID91" s="85"/>
      <c r="IE91" s="27"/>
      <c r="IF91" s="36"/>
      <c r="IG91" s="85"/>
      <c r="IH91" s="35"/>
      <c r="II91" s="35"/>
      <c r="IJ91" s="35"/>
      <c r="IK91" s="35"/>
      <c r="IL91" s="35"/>
      <c r="IM91" s="35"/>
      <c r="IN91" s="36"/>
      <c r="IO91" s="35"/>
      <c r="IP91" s="35"/>
      <c r="IQ91" s="35"/>
      <c r="IR91" s="35"/>
      <c r="IS91" s="35"/>
      <c r="IT91" s="35"/>
      <c r="IU91" s="35"/>
      <c r="IV91" s="85"/>
      <c r="IW91" s="27"/>
      <c r="IX91" s="36"/>
      <c r="IY91" s="85"/>
      <c r="IZ91" s="35"/>
      <c r="JA91" s="35"/>
      <c r="JB91" s="35"/>
      <c r="JC91" s="35"/>
      <c r="JD91" s="35"/>
      <c r="JE91" s="35"/>
      <c r="JF91" s="36"/>
      <c r="JG91" s="35"/>
      <c r="JH91" s="35"/>
      <c r="JI91" s="35"/>
      <c r="JJ91" s="35"/>
      <c r="JK91" s="35"/>
      <c r="JL91" s="35"/>
      <c r="JM91" s="35"/>
      <c r="JN91" s="85"/>
      <c r="JO91" s="27"/>
      <c r="JP91" s="36"/>
      <c r="JQ91" s="85"/>
      <c r="JR91" s="35"/>
      <c r="JS91" s="35"/>
      <c r="JT91" s="35"/>
      <c r="JU91" s="35"/>
      <c r="JV91" s="35"/>
      <c r="JW91" s="35"/>
      <c r="JX91" s="36"/>
      <c r="JY91" s="35"/>
      <c r="JZ91" s="35"/>
      <c r="KA91" s="35"/>
      <c r="KB91" s="35"/>
      <c r="KC91" s="35"/>
      <c r="KD91" s="35"/>
      <c r="KE91" s="35"/>
      <c r="KF91" s="85"/>
      <c r="KG91" s="27"/>
      <c r="KH91" s="36"/>
      <c r="KI91" s="85"/>
      <c r="KJ91" s="35"/>
      <c r="KK91" s="35"/>
      <c r="KL91" s="35"/>
      <c r="KM91" s="35"/>
      <c r="KN91" s="35"/>
      <c r="KO91" s="35"/>
      <c r="KP91" s="36"/>
      <c r="KQ91" s="35"/>
      <c r="KR91" s="35"/>
      <c r="KS91" s="35"/>
      <c r="KT91" s="35"/>
      <c r="KU91" s="35"/>
      <c r="KV91" s="35"/>
      <c r="KW91" s="35"/>
      <c r="KX91" s="85"/>
      <c r="KY91" s="27"/>
      <c r="KZ91" s="36"/>
      <c r="LA91" s="85"/>
      <c r="LB91" s="35"/>
      <c r="LC91" s="35"/>
      <c r="LD91" s="35"/>
      <c r="LE91" s="35"/>
      <c r="LF91" s="35"/>
      <c r="LG91" s="35"/>
      <c r="LH91" s="36"/>
      <c r="LI91" s="35"/>
      <c r="LJ91" s="35"/>
      <c r="LK91" s="35"/>
      <c r="LL91" s="35"/>
      <c r="LM91" s="35"/>
      <c r="LN91" s="35"/>
      <c r="LO91" s="35"/>
      <c r="LP91" s="85"/>
      <c r="LQ91" s="27"/>
      <c r="LR91" s="36"/>
      <c r="LS91" s="85"/>
      <c r="LT91" s="35"/>
      <c r="LU91" s="35"/>
      <c r="LV91" s="35"/>
      <c r="LW91" s="35"/>
      <c r="LX91" s="35"/>
      <c r="LY91" s="35"/>
      <c r="LZ91" s="36"/>
      <c r="MA91" s="35"/>
      <c r="MB91" s="35"/>
      <c r="MC91" s="35"/>
      <c r="MD91" s="35"/>
      <c r="ME91" s="35"/>
      <c r="MF91" s="35"/>
      <c r="MG91" s="35"/>
      <c r="MH91" s="85"/>
      <c r="MI91" s="27"/>
      <c r="MJ91" s="36"/>
      <c r="MK91" s="85"/>
      <c r="ML91" s="35"/>
      <c r="MM91" s="35"/>
      <c r="MN91" s="35"/>
      <c r="MO91" s="35"/>
      <c r="MP91" s="35"/>
      <c r="MQ91" s="35"/>
      <c r="MR91" s="36"/>
      <c r="MS91" s="35"/>
      <c r="MT91" s="35"/>
      <c r="MU91" s="35"/>
      <c r="MV91" s="35"/>
      <c r="MW91" s="35"/>
      <c r="MX91" s="35"/>
      <c r="MY91" s="35"/>
      <c r="MZ91" s="85"/>
      <c r="NA91" s="27"/>
      <c r="NB91" s="36"/>
      <c r="NC91" s="85"/>
      <c r="ND91" s="35"/>
      <c r="NE91" s="35"/>
      <c r="NF91" s="35"/>
      <c r="NG91" s="35"/>
      <c r="NH91" s="35"/>
      <c r="NI91" s="35"/>
      <c r="NJ91" s="36"/>
      <c r="NK91" s="35"/>
      <c r="NL91" s="35"/>
      <c r="NM91" s="35"/>
      <c r="NN91" s="35"/>
      <c r="NO91" s="35"/>
      <c r="NP91" s="35"/>
      <c r="NQ91" s="35"/>
      <c r="NR91" s="85"/>
      <c r="NS91" s="27"/>
      <c r="NT91" s="36"/>
      <c r="NU91" s="85"/>
      <c r="NV91" s="35"/>
      <c r="NW91" s="35"/>
      <c r="NX91" s="35"/>
      <c r="NY91" s="35"/>
      <c r="NZ91" s="35"/>
      <c r="OA91" s="35"/>
      <c r="OB91" s="36"/>
      <c r="OC91" s="35"/>
      <c r="OD91" s="35"/>
      <c r="OE91" s="35"/>
      <c r="OF91" s="35"/>
      <c r="OG91" s="35"/>
      <c r="OH91" s="35"/>
      <c r="OI91" s="35"/>
      <c r="OJ91" s="85"/>
      <c r="OK91" s="27"/>
      <c r="OL91" s="36"/>
      <c r="OM91" s="85"/>
      <c r="ON91" s="35"/>
      <c r="OO91" s="35"/>
      <c r="OP91" s="35"/>
      <c r="OQ91" s="35"/>
      <c r="OR91" s="35"/>
      <c r="OS91" s="35">
        <v>2870081.18</v>
      </c>
      <c r="OT91" s="36"/>
      <c r="OU91" s="35"/>
      <c r="OV91" s="35"/>
      <c r="OW91" s="35"/>
      <c r="OX91" s="35"/>
      <c r="OY91" s="35"/>
      <c r="OZ91" s="35">
        <v>2870081.18</v>
      </c>
      <c r="PA91" s="35"/>
      <c r="PB91" s="85"/>
      <c r="PC91" s="27"/>
      <c r="PD91" s="36"/>
      <c r="PE91" s="85"/>
      <c r="PF91" s="35"/>
      <c r="PG91" s="35"/>
      <c r="PH91" s="35"/>
      <c r="PI91" s="35"/>
      <c r="PJ91" s="35"/>
      <c r="PK91" s="35"/>
      <c r="PL91" s="36"/>
      <c r="PM91" s="35"/>
      <c r="PN91" s="35"/>
      <c r="PO91" s="35"/>
      <c r="PP91" s="35"/>
      <c r="PQ91" s="35"/>
      <c r="PR91" s="35"/>
      <c r="PS91" s="35"/>
      <c r="PT91" s="85"/>
      <c r="PU91" s="27"/>
      <c r="PV91" s="36"/>
      <c r="PW91" s="85"/>
      <c r="PX91" s="35"/>
      <c r="PY91" s="35"/>
      <c r="PZ91" s="35"/>
      <c r="QA91" s="35"/>
      <c r="QB91" s="35"/>
      <c r="QC91" s="35"/>
      <c r="QD91" s="36"/>
      <c r="QE91" s="35"/>
      <c r="QF91" s="35"/>
      <c r="QG91" s="35"/>
      <c r="QH91" s="35"/>
      <c r="QI91" s="35"/>
      <c r="QJ91" s="35"/>
      <c r="QK91" s="35"/>
      <c r="QL91" s="85"/>
      <c r="QM91" s="27"/>
      <c r="QN91" s="36"/>
      <c r="QO91" s="85"/>
      <c r="QP91" s="35"/>
      <c r="QQ91" s="35"/>
      <c r="QR91" s="35"/>
      <c r="QS91" s="35"/>
      <c r="QT91" s="35"/>
      <c r="QU91" s="35"/>
      <c r="QV91" s="36"/>
      <c r="QW91" s="35"/>
      <c r="QX91" s="35"/>
      <c r="QY91" s="35"/>
      <c r="QZ91" s="35"/>
      <c r="RA91" s="35"/>
      <c r="RB91" s="35"/>
      <c r="RC91" s="35"/>
      <c r="RD91" s="85"/>
      <c r="RE91" s="27"/>
      <c r="RF91" s="36"/>
      <c r="RG91" s="85"/>
      <c r="RH91" s="35"/>
      <c r="RI91" s="35"/>
      <c r="RJ91" s="35"/>
      <c r="RK91" s="35"/>
      <c r="RL91" s="35"/>
      <c r="RM91" s="35">
        <v>9405</v>
      </c>
      <c r="RN91" s="36"/>
      <c r="RO91" s="35"/>
      <c r="RP91" s="35"/>
      <c r="RQ91" s="35"/>
      <c r="RR91" s="35"/>
      <c r="RS91" s="35"/>
      <c r="RT91" s="35">
        <v>9405</v>
      </c>
      <c r="RU91" s="35"/>
      <c r="RV91" s="85"/>
      <c r="RW91" s="27"/>
      <c r="RX91" s="36"/>
      <c r="RY91" s="85"/>
      <c r="RZ91" s="35"/>
      <c r="SA91" s="35"/>
      <c r="SB91" s="35"/>
      <c r="SC91" s="35"/>
      <c r="SD91" s="35"/>
      <c r="SE91" s="35"/>
      <c r="SF91" s="36"/>
      <c r="SG91" s="35"/>
      <c r="SH91" s="35"/>
      <c r="SI91" s="35"/>
      <c r="SJ91" s="35"/>
      <c r="SK91" s="35"/>
      <c r="SL91" s="35"/>
      <c r="SM91" s="35"/>
      <c r="SN91" s="85"/>
      <c r="SO91" s="27"/>
      <c r="SP91" s="36"/>
      <c r="SQ91" s="85"/>
      <c r="SR91" s="35"/>
      <c r="SS91" s="35"/>
      <c r="ST91" s="35"/>
      <c r="SU91" s="35"/>
      <c r="SV91" s="35"/>
      <c r="SW91" s="35"/>
      <c r="SX91" s="36"/>
      <c r="SY91" s="35"/>
      <c r="SZ91" s="35"/>
      <c r="TA91" s="35"/>
      <c r="TB91" s="35"/>
      <c r="TC91" s="35"/>
      <c r="TD91" s="35"/>
      <c r="TE91" s="35"/>
      <c r="TF91" s="85"/>
      <c r="TG91" s="27"/>
      <c r="TH91" s="36"/>
      <c r="TI91" s="85"/>
      <c r="TJ91" s="35"/>
      <c r="TK91" s="35"/>
      <c r="TL91" s="35"/>
      <c r="TM91" s="35"/>
      <c r="TN91" s="35"/>
      <c r="TO91" s="35"/>
      <c r="TP91" s="36"/>
      <c r="TQ91" s="35"/>
      <c r="TR91" s="35"/>
      <c r="TS91" s="35"/>
      <c r="TT91" s="35"/>
      <c r="TU91" s="35"/>
      <c r="TV91" s="35"/>
      <c r="TW91" s="35"/>
      <c r="TX91" s="85"/>
      <c r="TY91" s="27"/>
      <c r="TZ91" s="36"/>
      <c r="UA91" s="85"/>
      <c r="UB91" s="35"/>
      <c r="UC91" s="35"/>
      <c r="UD91" s="35"/>
      <c r="UE91" s="35"/>
      <c r="UF91" s="35"/>
      <c r="UG91" s="35"/>
      <c r="UH91" s="36"/>
      <c r="UI91" s="35"/>
      <c r="UJ91" s="35"/>
      <c r="UK91" s="35"/>
      <c r="UL91" s="35"/>
      <c r="UM91" s="35"/>
      <c r="UN91" s="35"/>
      <c r="UO91" s="35"/>
      <c r="UP91" s="85"/>
      <c r="UQ91" s="27"/>
      <c r="UR91" s="36"/>
      <c r="US91" s="85"/>
    </row>
    <row r="92" spans="1:565" x14ac:dyDescent="0.3">
      <c r="A92" s="8" t="s">
        <v>214</v>
      </c>
      <c r="B92" s="168">
        <v>78</v>
      </c>
      <c r="C92" s="13" t="s">
        <v>216</v>
      </c>
      <c r="F92" s="36">
        <v>1763629200</v>
      </c>
      <c r="G92" s="85"/>
      <c r="H92" s="35"/>
      <c r="I92" s="35">
        <v>143396800</v>
      </c>
      <c r="J92" s="35">
        <v>113283400</v>
      </c>
      <c r="K92" s="35">
        <v>30113400</v>
      </c>
      <c r="L92" s="35">
        <v>113283400</v>
      </c>
      <c r="M92" s="35"/>
      <c r="N92" s="36"/>
      <c r="O92" s="35">
        <v>143396800</v>
      </c>
      <c r="P92" s="35">
        <v>113283400</v>
      </c>
      <c r="Q92" s="35"/>
      <c r="R92" s="35">
        <v>30113400</v>
      </c>
      <c r="S92" s="35">
        <v>21.000050000000002</v>
      </c>
      <c r="T92" s="35"/>
      <c r="U92" s="35"/>
      <c r="V92" s="85">
        <v>113283400</v>
      </c>
      <c r="W92" s="27"/>
      <c r="X92" s="36">
        <v>113283400</v>
      </c>
      <c r="Y92" s="85">
        <v>113283400</v>
      </c>
      <c r="Z92" s="35"/>
      <c r="AA92" s="35">
        <v>95083200</v>
      </c>
      <c r="AB92" s="35">
        <v>75115700</v>
      </c>
      <c r="AC92" s="35">
        <v>19967500</v>
      </c>
      <c r="AD92" s="35">
        <v>75115700</v>
      </c>
      <c r="AE92" s="35"/>
      <c r="AF92" s="36"/>
      <c r="AG92" s="35">
        <v>95083200</v>
      </c>
      <c r="AH92" s="35">
        <v>75115700</v>
      </c>
      <c r="AI92" s="35"/>
      <c r="AJ92" s="35">
        <v>19967500</v>
      </c>
      <c r="AK92" s="35">
        <v>21.000029999999999</v>
      </c>
      <c r="AL92" s="35"/>
      <c r="AM92" s="35"/>
      <c r="AN92" s="85">
        <v>75115700</v>
      </c>
      <c r="AO92" s="27"/>
      <c r="AP92" s="36">
        <v>75115700</v>
      </c>
      <c r="AQ92" s="85">
        <v>75115700</v>
      </c>
      <c r="AR92" s="35"/>
      <c r="AS92" s="35">
        <v>669174200</v>
      </c>
      <c r="AT92" s="35">
        <v>528647600</v>
      </c>
      <c r="AU92" s="35">
        <v>140526600</v>
      </c>
      <c r="AV92" s="35">
        <v>528647600</v>
      </c>
      <c r="AW92" s="35">
        <v>1837419.68</v>
      </c>
      <c r="AX92" s="36"/>
      <c r="AY92" s="35">
        <v>669174200</v>
      </c>
      <c r="AZ92" s="35">
        <v>528647600</v>
      </c>
      <c r="BA92" s="35"/>
      <c r="BB92" s="35">
        <v>140526600</v>
      </c>
      <c r="BC92" s="35">
        <v>21</v>
      </c>
      <c r="BD92" s="35">
        <v>1837419.68</v>
      </c>
      <c r="BE92" s="35"/>
      <c r="BF92" s="85">
        <v>528647600</v>
      </c>
      <c r="BG92" s="27"/>
      <c r="BH92" s="36">
        <v>528647600</v>
      </c>
      <c r="BI92" s="85">
        <v>528647600</v>
      </c>
      <c r="BJ92" s="35"/>
      <c r="BK92" s="35">
        <v>31368500</v>
      </c>
      <c r="BL92" s="35">
        <v>29800000</v>
      </c>
      <c r="BM92" s="35">
        <v>1568500</v>
      </c>
      <c r="BN92" s="35">
        <v>29800000</v>
      </c>
      <c r="BO92" s="35"/>
      <c r="BP92" s="36"/>
      <c r="BQ92" s="35">
        <v>31368500</v>
      </c>
      <c r="BR92" s="35">
        <v>29800000</v>
      </c>
      <c r="BS92" s="35"/>
      <c r="BT92" s="35">
        <v>1568500</v>
      </c>
      <c r="BU92" s="35">
        <v>5.0002399999999998</v>
      </c>
      <c r="BV92" s="35"/>
      <c r="BW92" s="35"/>
      <c r="BX92" s="85">
        <v>29800000</v>
      </c>
      <c r="BY92" s="27"/>
      <c r="BZ92" s="36">
        <v>29800000</v>
      </c>
      <c r="CA92" s="85">
        <v>29800000</v>
      </c>
      <c r="CB92" s="35"/>
      <c r="CC92" s="35">
        <v>116365900</v>
      </c>
      <c r="CD92" s="35">
        <v>91929000</v>
      </c>
      <c r="CE92" s="35">
        <v>24436900</v>
      </c>
      <c r="CF92" s="35">
        <v>91929000</v>
      </c>
      <c r="CG92" s="35"/>
      <c r="CH92" s="36"/>
      <c r="CI92" s="35">
        <v>116365900</v>
      </c>
      <c r="CJ92" s="35">
        <v>91929000</v>
      </c>
      <c r="CK92" s="35"/>
      <c r="CL92" s="35">
        <v>24436900</v>
      </c>
      <c r="CM92" s="35">
        <v>21.000050000000002</v>
      </c>
      <c r="CN92" s="35"/>
      <c r="CO92" s="35"/>
      <c r="CP92" s="85">
        <v>91929000</v>
      </c>
      <c r="CQ92" s="27"/>
      <c r="CR92" s="36">
        <v>91929000</v>
      </c>
      <c r="CS92" s="85">
        <v>91929000</v>
      </c>
      <c r="CT92" s="35"/>
      <c r="CU92" s="35"/>
      <c r="CV92" s="35"/>
      <c r="CW92" s="35"/>
      <c r="CX92" s="35"/>
      <c r="CY92" s="35"/>
      <c r="CZ92" s="36"/>
      <c r="DA92" s="35"/>
      <c r="DB92" s="35"/>
      <c r="DC92" s="35"/>
      <c r="DD92" s="35"/>
      <c r="DE92" s="35"/>
      <c r="DF92" s="35"/>
      <c r="DG92" s="35"/>
      <c r="DH92" s="85"/>
      <c r="DI92" s="27"/>
      <c r="DJ92" s="36"/>
      <c r="DK92" s="85"/>
      <c r="DL92" s="35"/>
      <c r="DM92" s="35"/>
      <c r="DN92" s="35"/>
      <c r="DO92" s="35"/>
      <c r="DP92" s="35"/>
      <c r="DQ92" s="35"/>
      <c r="DR92" s="36"/>
      <c r="DS92" s="35"/>
      <c r="DT92" s="35"/>
      <c r="DU92" s="35"/>
      <c r="DV92" s="35"/>
      <c r="DW92" s="35"/>
      <c r="DX92" s="35"/>
      <c r="DY92" s="35"/>
      <c r="DZ92" s="85"/>
      <c r="EA92" s="27"/>
      <c r="EB92" s="36"/>
      <c r="EC92" s="85"/>
      <c r="ED92" s="35"/>
      <c r="EE92" s="35">
        <v>64083900</v>
      </c>
      <c r="EF92" s="35">
        <v>61520500</v>
      </c>
      <c r="EG92" s="35">
        <v>2563400</v>
      </c>
      <c r="EH92" s="35">
        <v>61520500</v>
      </c>
      <c r="EI92" s="35"/>
      <c r="EJ92" s="36"/>
      <c r="EK92" s="35">
        <v>64083900</v>
      </c>
      <c r="EL92" s="35">
        <v>61520500</v>
      </c>
      <c r="EM92" s="35"/>
      <c r="EN92" s="35">
        <v>2563400</v>
      </c>
      <c r="EO92" s="35">
        <v>4.00007</v>
      </c>
      <c r="EP92" s="35"/>
      <c r="EQ92" s="35"/>
      <c r="ER92" s="85">
        <v>61520500</v>
      </c>
      <c r="ES92" s="27"/>
      <c r="ET92" s="36">
        <v>61520500</v>
      </c>
      <c r="EU92" s="85">
        <v>61520500</v>
      </c>
      <c r="EV92" s="35"/>
      <c r="EW92" s="35">
        <v>395695200</v>
      </c>
      <c r="EX92" s="35">
        <v>312599200</v>
      </c>
      <c r="EY92" s="35">
        <v>83096000</v>
      </c>
      <c r="EZ92" s="35">
        <v>312599192.69</v>
      </c>
      <c r="FA92" s="35">
        <v>3665.6</v>
      </c>
      <c r="FB92" s="36"/>
      <c r="FC92" s="35">
        <v>395695190.75</v>
      </c>
      <c r="FD92" s="35">
        <v>312599192.69</v>
      </c>
      <c r="FE92" s="35"/>
      <c r="FF92" s="35">
        <v>83095998.060000002</v>
      </c>
      <c r="FG92" s="35">
        <v>21</v>
      </c>
      <c r="FH92" s="35">
        <v>3665.6</v>
      </c>
      <c r="FI92" s="35"/>
      <c r="FJ92" s="85">
        <v>312599192.69</v>
      </c>
      <c r="FK92" s="27"/>
      <c r="FL92" s="36">
        <v>312599200</v>
      </c>
      <c r="FM92" s="85">
        <v>312599200</v>
      </c>
      <c r="FN92" s="35"/>
      <c r="FO92" s="35"/>
      <c r="FP92" s="35"/>
      <c r="FQ92" s="35"/>
      <c r="FR92" s="35"/>
      <c r="FS92" s="35">
        <v>4203.53</v>
      </c>
      <c r="FT92" s="36"/>
      <c r="FU92" s="35"/>
      <c r="FV92" s="35"/>
      <c r="FW92" s="35"/>
      <c r="FX92" s="35"/>
      <c r="FY92" s="35"/>
      <c r="FZ92" s="35">
        <v>4203.53</v>
      </c>
      <c r="GA92" s="35"/>
      <c r="GB92" s="85"/>
      <c r="GC92" s="27"/>
      <c r="GD92" s="36"/>
      <c r="GE92" s="85"/>
      <c r="GF92" s="35"/>
      <c r="GG92" s="35">
        <v>37122278.5</v>
      </c>
      <c r="GH92" s="35">
        <v>29326600</v>
      </c>
      <c r="GI92" s="35">
        <v>7795678.5</v>
      </c>
      <c r="GJ92" s="35">
        <v>29326600</v>
      </c>
      <c r="GK92" s="35"/>
      <c r="GL92" s="36"/>
      <c r="GM92" s="35">
        <v>37122278.5</v>
      </c>
      <c r="GN92" s="35">
        <v>29326600</v>
      </c>
      <c r="GO92" s="35"/>
      <c r="GP92" s="35">
        <v>7795678.5</v>
      </c>
      <c r="GQ92" s="35">
        <v>21</v>
      </c>
      <c r="GR92" s="35"/>
      <c r="GS92" s="35"/>
      <c r="GT92" s="85">
        <v>29326600</v>
      </c>
      <c r="GU92" s="27"/>
      <c r="GV92" s="36">
        <v>29326600</v>
      </c>
      <c r="GW92" s="85">
        <v>29326600</v>
      </c>
      <c r="GX92" s="35"/>
      <c r="GY92" s="35"/>
      <c r="GZ92" s="35"/>
      <c r="HA92" s="35"/>
      <c r="HB92" s="35"/>
      <c r="HC92" s="35"/>
      <c r="HD92" s="36"/>
      <c r="HE92" s="35"/>
      <c r="HF92" s="35"/>
      <c r="HG92" s="35"/>
      <c r="HH92" s="35"/>
      <c r="HI92" s="35"/>
      <c r="HJ92" s="35"/>
      <c r="HK92" s="35"/>
      <c r="HL92" s="85"/>
      <c r="HM92" s="27"/>
      <c r="HN92" s="36"/>
      <c r="HO92" s="85"/>
      <c r="HP92" s="35"/>
      <c r="HQ92" s="35"/>
      <c r="HR92" s="35"/>
      <c r="HS92" s="35"/>
      <c r="HT92" s="35"/>
      <c r="HU92" s="35"/>
      <c r="HV92" s="36"/>
      <c r="HW92" s="35"/>
      <c r="HX92" s="35"/>
      <c r="HY92" s="35"/>
      <c r="HZ92" s="35"/>
      <c r="IA92" s="35"/>
      <c r="IB92" s="35"/>
      <c r="IC92" s="35"/>
      <c r="ID92" s="85"/>
      <c r="IE92" s="27"/>
      <c r="IF92" s="36"/>
      <c r="IG92" s="85"/>
      <c r="IH92" s="35"/>
      <c r="II92" s="35"/>
      <c r="IJ92" s="35"/>
      <c r="IK92" s="35"/>
      <c r="IL92" s="35"/>
      <c r="IM92" s="35"/>
      <c r="IN92" s="36"/>
      <c r="IO92" s="35"/>
      <c r="IP92" s="35"/>
      <c r="IQ92" s="35"/>
      <c r="IR92" s="35"/>
      <c r="IS92" s="35"/>
      <c r="IT92" s="35"/>
      <c r="IU92" s="35"/>
      <c r="IV92" s="85"/>
      <c r="IW92" s="27"/>
      <c r="IX92" s="36"/>
      <c r="IY92" s="85"/>
      <c r="IZ92" s="35"/>
      <c r="JA92" s="35">
        <v>4081518.99</v>
      </c>
      <c r="JB92" s="35">
        <v>3224400</v>
      </c>
      <c r="JC92" s="35">
        <v>857118.99</v>
      </c>
      <c r="JD92" s="35">
        <v>3073249.65</v>
      </c>
      <c r="JE92" s="35"/>
      <c r="JF92" s="36"/>
      <c r="JG92" s="35">
        <v>3890189.43</v>
      </c>
      <c r="JH92" s="35">
        <v>3073249.65</v>
      </c>
      <c r="JI92" s="35"/>
      <c r="JJ92" s="35">
        <v>816939.78</v>
      </c>
      <c r="JK92" s="35">
        <v>21</v>
      </c>
      <c r="JL92" s="35"/>
      <c r="JM92" s="35">
        <v>0</v>
      </c>
      <c r="JN92" s="85">
        <v>3073249.65</v>
      </c>
      <c r="JO92" s="27"/>
      <c r="JP92" s="36">
        <v>3224400</v>
      </c>
      <c r="JQ92" s="85">
        <v>3224400</v>
      </c>
      <c r="JR92" s="35"/>
      <c r="JS92" s="35"/>
      <c r="JT92" s="35"/>
      <c r="JU92" s="35"/>
      <c r="JV92" s="35"/>
      <c r="JW92" s="35"/>
      <c r="JX92" s="36"/>
      <c r="JY92" s="35"/>
      <c r="JZ92" s="35"/>
      <c r="KA92" s="35"/>
      <c r="KB92" s="35"/>
      <c r="KC92" s="35"/>
      <c r="KD92" s="35"/>
      <c r="KE92" s="35"/>
      <c r="KF92" s="85"/>
      <c r="KG92" s="27"/>
      <c r="KH92" s="36"/>
      <c r="KI92" s="85"/>
      <c r="KJ92" s="35"/>
      <c r="KK92" s="35">
        <v>3605822.8</v>
      </c>
      <c r="KL92" s="35">
        <v>2848600</v>
      </c>
      <c r="KM92" s="35">
        <v>757222.8</v>
      </c>
      <c r="KN92" s="35">
        <v>2848600</v>
      </c>
      <c r="KO92" s="35"/>
      <c r="KP92" s="36"/>
      <c r="KQ92" s="35">
        <v>3605822.8</v>
      </c>
      <c r="KR92" s="35">
        <v>2848600</v>
      </c>
      <c r="KS92" s="35"/>
      <c r="KT92" s="35">
        <v>757222.8</v>
      </c>
      <c r="KU92" s="35">
        <v>21</v>
      </c>
      <c r="KV92" s="35"/>
      <c r="KW92" s="35"/>
      <c r="KX92" s="85">
        <v>2848600</v>
      </c>
      <c r="KY92" s="27"/>
      <c r="KZ92" s="36">
        <v>2848600</v>
      </c>
      <c r="LA92" s="85">
        <v>2848600</v>
      </c>
      <c r="LB92" s="35"/>
      <c r="LC92" s="35"/>
      <c r="LD92" s="35"/>
      <c r="LE92" s="35"/>
      <c r="LF92" s="35"/>
      <c r="LG92" s="35"/>
      <c r="LH92" s="36"/>
      <c r="LI92" s="35"/>
      <c r="LJ92" s="35"/>
      <c r="LK92" s="35"/>
      <c r="LL92" s="35"/>
      <c r="LM92" s="35"/>
      <c r="LN92" s="35"/>
      <c r="LO92" s="35"/>
      <c r="LP92" s="85"/>
      <c r="LQ92" s="27"/>
      <c r="LR92" s="36"/>
      <c r="LS92" s="85"/>
      <c r="LT92" s="35"/>
      <c r="LU92" s="35"/>
      <c r="LV92" s="35"/>
      <c r="LW92" s="35"/>
      <c r="LX92" s="35"/>
      <c r="LY92" s="35"/>
      <c r="LZ92" s="36"/>
      <c r="MA92" s="35"/>
      <c r="MB92" s="35"/>
      <c r="MC92" s="35"/>
      <c r="MD92" s="35"/>
      <c r="ME92" s="35"/>
      <c r="MF92" s="35"/>
      <c r="MG92" s="35"/>
      <c r="MH92" s="85"/>
      <c r="MI92" s="27"/>
      <c r="MJ92" s="36"/>
      <c r="MK92" s="85"/>
      <c r="ML92" s="35"/>
      <c r="MM92" s="35"/>
      <c r="MN92" s="35"/>
      <c r="MO92" s="35"/>
      <c r="MP92" s="35"/>
      <c r="MQ92" s="35"/>
      <c r="MR92" s="36"/>
      <c r="MS92" s="35"/>
      <c r="MT92" s="35"/>
      <c r="MU92" s="35"/>
      <c r="MV92" s="35"/>
      <c r="MW92" s="35"/>
      <c r="MX92" s="35"/>
      <c r="MY92" s="35"/>
      <c r="MZ92" s="85"/>
      <c r="NA92" s="27"/>
      <c r="NB92" s="36"/>
      <c r="NC92" s="85"/>
      <c r="ND92" s="35"/>
      <c r="NE92" s="35">
        <v>5039240</v>
      </c>
      <c r="NF92" s="35">
        <v>3981000</v>
      </c>
      <c r="NG92" s="35">
        <v>1058240</v>
      </c>
      <c r="NH92" s="35">
        <v>3974309.91</v>
      </c>
      <c r="NI92" s="35"/>
      <c r="NJ92" s="36"/>
      <c r="NK92" s="35">
        <v>5030771.53</v>
      </c>
      <c r="NL92" s="35">
        <v>3974309.91</v>
      </c>
      <c r="NM92" s="35"/>
      <c r="NN92" s="35">
        <v>1056461.6200000001</v>
      </c>
      <c r="NO92" s="35">
        <v>20.99999</v>
      </c>
      <c r="NP92" s="35"/>
      <c r="NQ92" s="35"/>
      <c r="NR92" s="85">
        <v>3974309.91</v>
      </c>
      <c r="NS92" s="27"/>
      <c r="NT92" s="36">
        <v>3981000</v>
      </c>
      <c r="NU92" s="85">
        <v>3981000</v>
      </c>
      <c r="NV92" s="35"/>
      <c r="NW92" s="35"/>
      <c r="NX92" s="35"/>
      <c r="NY92" s="35"/>
      <c r="NZ92" s="35"/>
      <c r="OA92" s="35"/>
      <c r="OB92" s="36"/>
      <c r="OC92" s="35"/>
      <c r="OD92" s="35"/>
      <c r="OE92" s="35"/>
      <c r="OF92" s="35"/>
      <c r="OG92" s="35"/>
      <c r="OH92" s="35"/>
      <c r="OI92" s="35"/>
      <c r="OJ92" s="85"/>
      <c r="OK92" s="27"/>
      <c r="OL92" s="36"/>
      <c r="OM92" s="85"/>
      <c r="ON92" s="35"/>
      <c r="OO92" s="35"/>
      <c r="OP92" s="35"/>
      <c r="OQ92" s="35"/>
      <c r="OR92" s="35"/>
      <c r="OS92" s="35">
        <v>2445827.56</v>
      </c>
      <c r="OT92" s="36"/>
      <c r="OU92" s="35"/>
      <c r="OV92" s="35"/>
      <c r="OW92" s="35"/>
      <c r="OX92" s="35"/>
      <c r="OY92" s="35"/>
      <c r="OZ92" s="35">
        <v>265902.06</v>
      </c>
      <c r="PA92" s="35">
        <v>2179925.5</v>
      </c>
      <c r="PB92" s="85"/>
      <c r="PC92" s="27"/>
      <c r="PD92" s="36"/>
      <c r="PE92" s="85"/>
      <c r="PF92" s="35"/>
      <c r="PG92" s="35"/>
      <c r="PH92" s="35"/>
      <c r="PI92" s="35"/>
      <c r="PJ92" s="35"/>
      <c r="PK92" s="35"/>
      <c r="PL92" s="36"/>
      <c r="PM92" s="35"/>
      <c r="PN92" s="35"/>
      <c r="PO92" s="35"/>
      <c r="PP92" s="35"/>
      <c r="PQ92" s="35"/>
      <c r="PR92" s="35"/>
      <c r="PS92" s="35"/>
      <c r="PT92" s="85"/>
      <c r="PU92" s="27"/>
      <c r="PV92" s="36"/>
      <c r="PW92" s="85"/>
      <c r="PX92" s="35"/>
      <c r="PY92" s="35"/>
      <c r="PZ92" s="35"/>
      <c r="QA92" s="35"/>
      <c r="QB92" s="35"/>
      <c r="QC92" s="35"/>
      <c r="QD92" s="36"/>
      <c r="QE92" s="35"/>
      <c r="QF92" s="35"/>
      <c r="QG92" s="35"/>
      <c r="QH92" s="35"/>
      <c r="QI92" s="35"/>
      <c r="QJ92" s="35"/>
      <c r="QK92" s="35"/>
      <c r="QL92" s="85"/>
      <c r="QM92" s="27"/>
      <c r="QN92" s="36"/>
      <c r="QO92" s="85"/>
      <c r="QP92" s="35"/>
      <c r="QQ92" s="35"/>
      <c r="QR92" s="35"/>
      <c r="QS92" s="35"/>
      <c r="QT92" s="35"/>
      <c r="QU92" s="35"/>
      <c r="QV92" s="36"/>
      <c r="QW92" s="35"/>
      <c r="QX92" s="35"/>
      <c r="QY92" s="35"/>
      <c r="QZ92" s="35"/>
      <c r="RA92" s="35"/>
      <c r="RB92" s="35"/>
      <c r="RC92" s="35"/>
      <c r="RD92" s="85"/>
      <c r="RE92" s="27"/>
      <c r="RF92" s="36"/>
      <c r="RG92" s="85"/>
      <c r="RH92" s="35"/>
      <c r="RI92" s="35"/>
      <c r="RJ92" s="35"/>
      <c r="RK92" s="35"/>
      <c r="RL92" s="35"/>
      <c r="RM92" s="35"/>
      <c r="RN92" s="36"/>
      <c r="RO92" s="35"/>
      <c r="RP92" s="35"/>
      <c r="RQ92" s="35"/>
      <c r="RR92" s="35"/>
      <c r="RS92" s="35"/>
      <c r="RT92" s="35"/>
      <c r="RU92" s="35"/>
      <c r="RV92" s="85"/>
      <c r="RW92" s="27"/>
      <c r="RX92" s="36"/>
      <c r="RY92" s="85"/>
      <c r="RZ92" s="35"/>
      <c r="SA92" s="35"/>
      <c r="SB92" s="35"/>
      <c r="SC92" s="35"/>
      <c r="SD92" s="35"/>
      <c r="SE92" s="35"/>
      <c r="SF92" s="36"/>
      <c r="SG92" s="35"/>
      <c r="SH92" s="35"/>
      <c r="SI92" s="35"/>
      <c r="SJ92" s="35"/>
      <c r="SK92" s="35"/>
      <c r="SL92" s="35"/>
      <c r="SM92" s="35"/>
      <c r="SN92" s="85"/>
      <c r="SO92" s="27"/>
      <c r="SP92" s="36"/>
      <c r="SQ92" s="85"/>
      <c r="SR92" s="35"/>
      <c r="SS92" s="35"/>
      <c r="ST92" s="35"/>
      <c r="SU92" s="35"/>
      <c r="SV92" s="35"/>
      <c r="SW92" s="35"/>
      <c r="SX92" s="36"/>
      <c r="SY92" s="35"/>
      <c r="SZ92" s="35"/>
      <c r="TA92" s="35"/>
      <c r="TB92" s="35"/>
      <c r="TC92" s="35"/>
      <c r="TD92" s="35"/>
      <c r="TE92" s="35"/>
      <c r="TF92" s="85"/>
      <c r="TG92" s="27"/>
      <c r="TH92" s="36"/>
      <c r="TI92" s="85"/>
      <c r="TJ92" s="35"/>
      <c r="TK92" s="35">
        <v>511353200</v>
      </c>
      <c r="TL92" s="35">
        <v>511353200</v>
      </c>
      <c r="TM92" s="35"/>
      <c r="TN92" s="35">
        <v>511353200</v>
      </c>
      <c r="TO92" s="35"/>
      <c r="TP92" s="36"/>
      <c r="TQ92" s="35">
        <v>500648498.44999999</v>
      </c>
      <c r="TR92" s="35">
        <v>500648498.44999999</v>
      </c>
      <c r="TS92" s="35"/>
      <c r="TT92" s="35"/>
      <c r="TU92" s="35"/>
      <c r="TV92" s="35"/>
      <c r="TW92" s="35">
        <v>10704701.550000001</v>
      </c>
      <c r="TX92" s="85">
        <v>511353200</v>
      </c>
      <c r="TY92" s="27"/>
      <c r="TZ92" s="36">
        <v>511353200</v>
      </c>
      <c r="UA92" s="85">
        <v>511353200</v>
      </c>
      <c r="UB92" s="35"/>
      <c r="UC92" s="35"/>
      <c r="UD92" s="35"/>
      <c r="UE92" s="35"/>
      <c r="UF92" s="35"/>
      <c r="UG92" s="35"/>
      <c r="UH92" s="36"/>
      <c r="UI92" s="35"/>
      <c r="UJ92" s="35"/>
      <c r="UK92" s="35"/>
      <c r="UL92" s="35"/>
      <c r="UM92" s="35"/>
      <c r="UN92" s="35"/>
      <c r="UO92" s="35"/>
      <c r="UP92" s="85"/>
      <c r="UQ92" s="27"/>
      <c r="UR92" s="36"/>
      <c r="US92" s="85"/>
    </row>
    <row r="93" spans="1:565" x14ac:dyDescent="0.3">
      <c r="A93" s="8" t="s">
        <v>217</v>
      </c>
      <c r="B93" s="168">
        <v>79</v>
      </c>
      <c r="C93" s="13" t="s">
        <v>219</v>
      </c>
      <c r="F93" s="36">
        <v>700757300</v>
      </c>
      <c r="G93" s="85"/>
      <c r="H93" s="35"/>
      <c r="I93" s="35">
        <v>161087590.36000001</v>
      </c>
      <c r="J93" s="35">
        <v>133702700</v>
      </c>
      <c r="K93" s="35">
        <v>27384890.359999999</v>
      </c>
      <c r="L93" s="35">
        <v>133520634.53</v>
      </c>
      <c r="M93" s="35"/>
      <c r="N93" s="36"/>
      <c r="O93" s="35">
        <v>160868234.37</v>
      </c>
      <c r="P93" s="35">
        <v>133520634.53</v>
      </c>
      <c r="Q93" s="35"/>
      <c r="R93" s="35">
        <v>27347599.84</v>
      </c>
      <c r="S93" s="35">
        <v>17</v>
      </c>
      <c r="T93" s="35"/>
      <c r="U93" s="35"/>
      <c r="V93" s="85">
        <v>133520634.53</v>
      </c>
      <c r="W93" s="27"/>
      <c r="X93" s="36">
        <v>133702700</v>
      </c>
      <c r="Y93" s="85">
        <v>133702700</v>
      </c>
      <c r="Z93" s="35"/>
      <c r="AA93" s="35">
        <v>378133300</v>
      </c>
      <c r="AB93" s="35">
        <v>68133300</v>
      </c>
      <c r="AC93" s="35">
        <v>310000000</v>
      </c>
      <c r="AD93" s="35">
        <v>68133300</v>
      </c>
      <c r="AE93" s="35">
        <v>198937.29</v>
      </c>
      <c r="AF93" s="36"/>
      <c r="AG93" s="35">
        <v>378133300</v>
      </c>
      <c r="AH93" s="35">
        <v>68133300</v>
      </c>
      <c r="AI93" s="35"/>
      <c r="AJ93" s="35">
        <v>310000000</v>
      </c>
      <c r="AK93" s="35">
        <v>81.981669999999994</v>
      </c>
      <c r="AL93" s="35">
        <v>198937.29</v>
      </c>
      <c r="AM93" s="35"/>
      <c r="AN93" s="85">
        <v>68133300</v>
      </c>
      <c r="AO93" s="27"/>
      <c r="AP93" s="36">
        <v>68133300</v>
      </c>
      <c r="AQ93" s="85">
        <v>68133300</v>
      </c>
      <c r="AR93" s="35"/>
      <c r="AS93" s="35">
        <v>263314578.31999999</v>
      </c>
      <c r="AT93" s="35">
        <v>218551100</v>
      </c>
      <c r="AU93" s="35">
        <v>44763478.32</v>
      </c>
      <c r="AV93" s="35">
        <v>218551100</v>
      </c>
      <c r="AW93" s="35">
        <v>2843412.36</v>
      </c>
      <c r="AX93" s="36"/>
      <c r="AY93" s="35">
        <v>263314578.31999999</v>
      </c>
      <c r="AZ93" s="35">
        <v>218551100</v>
      </c>
      <c r="BA93" s="35"/>
      <c r="BB93" s="35">
        <v>44763478.32</v>
      </c>
      <c r="BC93" s="35">
        <v>17</v>
      </c>
      <c r="BD93" s="35">
        <v>2843412.36</v>
      </c>
      <c r="BE93" s="35"/>
      <c r="BF93" s="85">
        <v>218551100</v>
      </c>
      <c r="BG93" s="27"/>
      <c r="BH93" s="36">
        <v>218551100</v>
      </c>
      <c r="BI93" s="85">
        <v>218551100</v>
      </c>
      <c r="BJ93" s="35"/>
      <c r="BK93" s="35">
        <v>19714457.829999998</v>
      </c>
      <c r="BL93" s="35">
        <v>16363000</v>
      </c>
      <c r="BM93" s="35">
        <v>3351457.83</v>
      </c>
      <c r="BN93" s="35">
        <v>16093478.130000001</v>
      </c>
      <c r="BO93" s="35">
        <v>1568.38</v>
      </c>
      <c r="BP93" s="36"/>
      <c r="BQ93" s="35">
        <v>19389732.68</v>
      </c>
      <c r="BR93" s="35">
        <v>16093478.130000001</v>
      </c>
      <c r="BS93" s="35"/>
      <c r="BT93" s="35">
        <v>3296254.55</v>
      </c>
      <c r="BU93" s="35">
        <v>17</v>
      </c>
      <c r="BV93" s="35">
        <v>1568.38</v>
      </c>
      <c r="BW93" s="35"/>
      <c r="BX93" s="85">
        <v>16093478.130000001</v>
      </c>
      <c r="BY93" s="27"/>
      <c r="BZ93" s="36">
        <v>16363000</v>
      </c>
      <c r="CA93" s="85">
        <v>16363000</v>
      </c>
      <c r="CB93" s="35"/>
      <c r="CC93" s="35"/>
      <c r="CD93" s="35"/>
      <c r="CE93" s="35"/>
      <c r="CF93" s="35"/>
      <c r="CG93" s="35"/>
      <c r="CH93" s="36"/>
      <c r="CI93" s="35"/>
      <c r="CJ93" s="35"/>
      <c r="CK93" s="35"/>
      <c r="CL93" s="35"/>
      <c r="CM93" s="35"/>
      <c r="CN93" s="35"/>
      <c r="CO93" s="35"/>
      <c r="CP93" s="85"/>
      <c r="CQ93" s="27"/>
      <c r="CR93" s="36"/>
      <c r="CS93" s="85"/>
      <c r="CT93" s="35"/>
      <c r="CU93" s="35"/>
      <c r="CV93" s="35"/>
      <c r="CW93" s="35"/>
      <c r="CX93" s="35"/>
      <c r="CY93" s="35"/>
      <c r="CZ93" s="36"/>
      <c r="DA93" s="35"/>
      <c r="DB93" s="35"/>
      <c r="DC93" s="35"/>
      <c r="DD93" s="35"/>
      <c r="DE93" s="35"/>
      <c r="DF93" s="35"/>
      <c r="DG93" s="35"/>
      <c r="DH93" s="85"/>
      <c r="DI93" s="27"/>
      <c r="DJ93" s="36"/>
      <c r="DK93" s="85"/>
      <c r="DL93" s="35"/>
      <c r="DM93" s="35"/>
      <c r="DN93" s="35"/>
      <c r="DO93" s="35"/>
      <c r="DP93" s="35"/>
      <c r="DQ93" s="35"/>
      <c r="DR93" s="36"/>
      <c r="DS93" s="35"/>
      <c r="DT93" s="35"/>
      <c r="DU93" s="35"/>
      <c r="DV93" s="35"/>
      <c r="DW93" s="35"/>
      <c r="DX93" s="35"/>
      <c r="DY93" s="35"/>
      <c r="DZ93" s="85"/>
      <c r="EA93" s="27"/>
      <c r="EB93" s="36"/>
      <c r="EC93" s="85"/>
      <c r="ED93" s="35"/>
      <c r="EE93" s="35">
        <v>28888041.239999998</v>
      </c>
      <c r="EF93" s="35">
        <v>28021400</v>
      </c>
      <c r="EG93" s="35">
        <v>866641.24</v>
      </c>
      <c r="EH93" s="35">
        <v>28021400</v>
      </c>
      <c r="EI93" s="35"/>
      <c r="EJ93" s="36"/>
      <c r="EK93" s="35">
        <v>28888041.239999998</v>
      </c>
      <c r="EL93" s="35">
        <v>28021400</v>
      </c>
      <c r="EM93" s="35"/>
      <c r="EN93" s="35">
        <v>866641.24</v>
      </c>
      <c r="EO93" s="35">
        <v>3</v>
      </c>
      <c r="EP93" s="35"/>
      <c r="EQ93" s="35"/>
      <c r="ER93" s="85">
        <v>28021400</v>
      </c>
      <c r="ES93" s="27"/>
      <c r="ET93" s="36">
        <v>28021400</v>
      </c>
      <c r="EU93" s="85">
        <v>28021400</v>
      </c>
      <c r="EV93" s="35"/>
      <c r="EW93" s="35">
        <v>20320963.859999999</v>
      </c>
      <c r="EX93" s="35">
        <v>16866400</v>
      </c>
      <c r="EY93" s="35">
        <v>3454563.86</v>
      </c>
      <c r="EZ93" s="35">
        <v>16862856.02</v>
      </c>
      <c r="FA93" s="35">
        <v>451222.84</v>
      </c>
      <c r="FB93" s="36"/>
      <c r="FC93" s="35">
        <v>20316694</v>
      </c>
      <c r="FD93" s="35">
        <v>16862856.02</v>
      </c>
      <c r="FE93" s="35"/>
      <c r="FF93" s="35">
        <v>3453837.98</v>
      </c>
      <c r="FG93" s="35">
        <v>17</v>
      </c>
      <c r="FH93" s="35">
        <v>451222.84</v>
      </c>
      <c r="FI93" s="35"/>
      <c r="FJ93" s="85">
        <v>16862856.02</v>
      </c>
      <c r="FK93" s="27"/>
      <c r="FL93" s="36">
        <v>16866400</v>
      </c>
      <c r="FM93" s="85">
        <v>16866400</v>
      </c>
      <c r="FN93" s="35"/>
      <c r="FO93" s="35"/>
      <c r="FP93" s="35"/>
      <c r="FQ93" s="35"/>
      <c r="FR93" s="35"/>
      <c r="FS93" s="35"/>
      <c r="FT93" s="36"/>
      <c r="FU93" s="35"/>
      <c r="FV93" s="35"/>
      <c r="FW93" s="35"/>
      <c r="FX93" s="35"/>
      <c r="FY93" s="35"/>
      <c r="FZ93" s="35"/>
      <c r="GA93" s="35"/>
      <c r="GB93" s="85"/>
      <c r="GC93" s="27"/>
      <c r="GD93" s="36"/>
      <c r="GE93" s="85"/>
      <c r="GF93" s="35"/>
      <c r="GG93" s="35">
        <v>46109156.630000003</v>
      </c>
      <c r="GH93" s="35">
        <v>38270600</v>
      </c>
      <c r="GI93" s="35">
        <v>7838556.6299999999</v>
      </c>
      <c r="GJ93" s="35">
        <v>38270600</v>
      </c>
      <c r="GK93" s="35"/>
      <c r="GL93" s="36"/>
      <c r="GM93" s="35">
        <v>46109156.630000003</v>
      </c>
      <c r="GN93" s="35">
        <v>38270600</v>
      </c>
      <c r="GO93" s="35"/>
      <c r="GP93" s="35">
        <v>7838556.6299999999</v>
      </c>
      <c r="GQ93" s="35">
        <v>17</v>
      </c>
      <c r="GR93" s="35"/>
      <c r="GS93" s="35"/>
      <c r="GT93" s="85">
        <v>38270600</v>
      </c>
      <c r="GU93" s="27"/>
      <c r="GV93" s="36">
        <v>38270600</v>
      </c>
      <c r="GW93" s="85">
        <v>38270600</v>
      </c>
      <c r="GX93" s="35"/>
      <c r="GY93" s="35"/>
      <c r="GZ93" s="35"/>
      <c r="HA93" s="35"/>
      <c r="HB93" s="35"/>
      <c r="HC93" s="35"/>
      <c r="HD93" s="36"/>
      <c r="HE93" s="35"/>
      <c r="HF93" s="35"/>
      <c r="HG93" s="35"/>
      <c r="HH93" s="35"/>
      <c r="HI93" s="35"/>
      <c r="HJ93" s="35"/>
      <c r="HK93" s="35"/>
      <c r="HL93" s="85"/>
      <c r="HM93" s="27"/>
      <c r="HN93" s="36"/>
      <c r="HO93" s="85"/>
      <c r="HP93" s="35"/>
      <c r="HQ93" s="35">
        <v>215334939.75999999</v>
      </c>
      <c r="HR93" s="35">
        <v>178728000</v>
      </c>
      <c r="HS93" s="35">
        <v>36606939.759999998</v>
      </c>
      <c r="HT93" s="35">
        <v>65531566.950000003</v>
      </c>
      <c r="HU93" s="35"/>
      <c r="HV93" s="36"/>
      <c r="HW93" s="35">
        <v>78953695.120000005</v>
      </c>
      <c r="HX93" s="35">
        <v>65531566.950000003</v>
      </c>
      <c r="HY93" s="35"/>
      <c r="HZ93" s="35">
        <v>13422128.17</v>
      </c>
      <c r="IA93" s="35">
        <v>17</v>
      </c>
      <c r="IB93" s="35"/>
      <c r="IC93" s="35"/>
      <c r="ID93" s="85">
        <v>65531566.950000003</v>
      </c>
      <c r="IE93" s="27"/>
      <c r="IF93" s="36">
        <v>178728000</v>
      </c>
      <c r="IG93" s="85">
        <v>178728000</v>
      </c>
      <c r="IH93" s="35"/>
      <c r="II93" s="35"/>
      <c r="IJ93" s="35"/>
      <c r="IK93" s="35"/>
      <c r="IL93" s="35"/>
      <c r="IM93" s="35"/>
      <c r="IN93" s="36"/>
      <c r="IO93" s="35"/>
      <c r="IP93" s="35"/>
      <c r="IQ93" s="35"/>
      <c r="IR93" s="35"/>
      <c r="IS93" s="35"/>
      <c r="IT93" s="35"/>
      <c r="IU93" s="35"/>
      <c r="IV93" s="85"/>
      <c r="IW93" s="27"/>
      <c r="IX93" s="36"/>
      <c r="IY93" s="85"/>
      <c r="IZ93" s="35"/>
      <c r="JA93" s="35"/>
      <c r="JB93" s="35"/>
      <c r="JC93" s="35"/>
      <c r="JD93" s="35"/>
      <c r="JE93" s="35"/>
      <c r="JF93" s="36"/>
      <c r="JG93" s="35"/>
      <c r="JH93" s="35"/>
      <c r="JI93" s="35"/>
      <c r="JJ93" s="35"/>
      <c r="JK93" s="35"/>
      <c r="JL93" s="35"/>
      <c r="JM93" s="35"/>
      <c r="JN93" s="85"/>
      <c r="JO93" s="27"/>
      <c r="JP93" s="36"/>
      <c r="JQ93" s="85"/>
      <c r="JR93" s="35"/>
      <c r="JS93" s="35"/>
      <c r="JT93" s="35"/>
      <c r="JU93" s="35"/>
      <c r="JV93" s="35"/>
      <c r="JW93" s="35"/>
      <c r="JX93" s="36"/>
      <c r="JY93" s="35"/>
      <c r="JZ93" s="35"/>
      <c r="KA93" s="35"/>
      <c r="KB93" s="35"/>
      <c r="KC93" s="35"/>
      <c r="KD93" s="35"/>
      <c r="KE93" s="35"/>
      <c r="KF93" s="85"/>
      <c r="KG93" s="27"/>
      <c r="KH93" s="36"/>
      <c r="KI93" s="85"/>
      <c r="KJ93" s="35"/>
      <c r="KK93" s="35">
        <v>1801927.71</v>
      </c>
      <c r="KL93" s="35">
        <v>1495600</v>
      </c>
      <c r="KM93" s="35">
        <v>306327.71000000002</v>
      </c>
      <c r="KN93" s="35">
        <v>1495600</v>
      </c>
      <c r="KO93" s="35"/>
      <c r="KP93" s="36"/>
      <c r="KQ93" s="35">
        <v>1801927.71</v>
      </c>
      <c r="KR93" s="35">
        <v>1495600</v>
      </c>
      <c r="KS93" s="35"/>
      <c r="KT93" s="35">
        <v>306327.71000000002</v>
      </c>
      <c r="KU93" s="35">
        <v>17</v>
      </c>
      <c r="KV93" s="35"/>
      <c r="KW93" s="35"/>
      <c r="KX93" s="85">
        <v>1495600</v>
      </c>
      <c r="KY93" s="27"/>
      <c r="KZ93" s="36">
        <v>1495600</v>
      </c>
      <c r="LA93" s="85">
        <v>1495600</v>
      </c>
      <c r="LB93" s="35"/>
      <c r="LC93" s="35"/>
      <c r="LD93" s="35"/>
      <c r="LE93" s="35"/>
      <c r="LF93" s="35"/>
      <c r="LG93" s="35"/>
      <c r="LH93" s="36"/>
      <c r="LI93" s="35"/>
      <c r="LJ93" s="35"/>
      <c r="LK93" s="35"/>
      <c r="LL93" s="35"/>
      <c r="LM93" s="35"/>
      <c r="LN93" s="35"/>
      <c r="LO93" s="35"/>
      <c r="LP93" s="85"/>
      <c r="LQ93" s="27"/>
      <c r="LR93" s="36"/>
      <c r="LS93" s="85"/>
      <c r="LT93" s="35"/>
      <c r="LU93" s="35"/>
      <c r="LV93" s="35"/>
      <c r="LW93" s="35"/>
      <c r="LX93" s="35"/>
      <c r="LY93" s="35"/>
      <c r="LZ93" s="36"/>
      <c r="MA93" s="35"/>
      <c r="MB93" s="35"/>
      <c r="MC93" s="35"/>
      <c r="MD93" s="35"/>
      <c r="ME93" s="35"/>
      <c r="MF93" s="35"/>
      <c r="MG93" s="35"/>
      <c r="MH93" s="85"/>
      <c r="MI93" s="27"/>
      <c r="MJ93" s="36"/>
      <c r="MK93" s="85"/>
      <c r="ML93" s="35"/>
      <c r="MM93" s="35"/>
      <c r="MN93" s="35"/>
      <c r="MO93" s="35"/>
      <c r="MP93" s="35"/>
      <c r="MQ93" s="35"/>
      <c r="MR93" s="36"/>
      <c r="MS93" s="35"/>
      <c r="MT93" s="35"/>
      <c r="MU93" s="35"/>
      <c r="MV93" s="35"/>
      <c r="MW93" s="35"/>
      <c r="MX93" s="35"/>
      <c r="MY93" s="35"/>
      <c r="MZ93" s="85"/>
      <c r="NA93" s="27"/>
      <c r="NB93" s="36"/>
      <c r="NC93" s="85"/>
      <c r="ND93" s="35"/>
      <c r="NE93" s="35">
        <v>753253.01</v>
      </c>
      <c r="NF93" s="35">
        <v>625200</v>
      </c>
      <c r="NG93" s="35">
        <v>128053.01</v>
      </c>
      <c r="NH93" s="35">
        <v>625189.32999999996</v>
      </c>
      <c r="NI93" s="35"/>
      <c r="NJ93" s="36"/>
      <c r="NK93" s="35">
        <v>753240.15</v>
      </c>
      <c r="NL93" s="35">
        <v>625189.32999999996</v>
      </c>
      <c r="NM93" s="35"/>
      <c r="NN93" s="35">
        <v>128050.82</v>
      </c>
      <c r="NO93" s="35">
        <v>17</v>
      </c>
      <c r="NP93" s="35"/>
      <c r="NQ93" s="35"/>
      <c r="NR93" s="85">
        <v>625189.32999999996</v>
      </c>
      <c r="NS93" s="27"/>
      <c r="NT93" s="36">
        <v>625200</v>
      </c>
      <c r="NU93" s="85">
        <v>625200</v>
      </c>
      <c r="NV93" s="35"/>
      <c r="NW93" s="35"/>
      <c r="NX93" s="35"/>
      <c r="NY93" s="35"/>
      <c r="NZ93" s="35"/>
      <c r="OA93" s="35"/>
      <c r="OB93" s="36"/>
      <c r="OC93" s="35"/>
      <c r="OD93" s="35"/>
      <c r="OE93" s="35"/>
      <c r="OF93" s="35"/>
      <c r="OG93" s="35"/>
      <c r="OH93" s="35"/>
      <c r="OI93" s="35"/>
      <c r="OJ93" s="85"/>
      <c r="OK93" s="27"/>
      <c r="OL93" s="36"/>
      <c r="OM93" s="85"/>
      <c r="ON93" s="35"/>
      <c r="OO93" s="35"/>
      <c r="OP93" s="35"/>
      <c r="OQ93" s="35"/>
      <c r="OR93" s="35"/>
      <c r="OS93" s="35">
        <v>454589.03</v>
      </c>
      <c r="OT93" s="36"/>
      <c r="OU93" s="35"/>
      <c r="OV93" s="35"/>
      <c r="OW93" s="35"/>
      <c r="OX93" s="35"/>
      <c r="OY93" s="35"/>
      <c r="OZ93" s="35">
        <v>454589.03</v>
      </c>
      <c r="PA93" s="35"/>
      <c r="PB93" s="85"/>
      <c r="PC93" s="27"/>
      <c r="PD93" s="36"/>
      <c r="PE93" s="85"/>
      <c r="PF93" s="35"/>
      <c r="PG93" s="35"/>
      <c r="PH93" s="35"/>
      <c r="PI93" s="35"/>
      <c r="PJ93" s="35"/>
      <c r="PK93" s="35"/>
      <c r="PL93" s="36"/>
      <c r="PM93" s="35"/>
      <c r="PN93" s="35"/>
      <c r="PO93" s="35"/>
      <c r="PP93" s="35"/>
      <c r="PQ93" s="35"/>
      <c r="PR93" s="35"/>
      <c r="PS93" s="35"/>
      <c r="PT93" s="85"/>
      <c r="PU93" s="27"/>
      <c r="PV93" s="36"/>
      <c r="PW93" s="85"/>
      <c r="PX93" s="35"/>
      <c r="PY93" s="35"/>
      <c r="PZ93" s="35"/>
      <c r="QA93" s="35"/>
      <c r="QB93" s="35"/>
      <c r="QC93" s="35"/>
      <c r="QD93" s="36"/>
      <c r="QE93" s="35"/>
      <c r="QF93" s="35"/>
      <c r="QG93" s="35"/>
      <c r="QH93" s="35"/>
      <c r="QI93" s="35"/>
      <c r="QJ93" s="35"/>
      <c r="QK93" s="35"/>
      <c r="QL93" s="85"/>
      <c r="QM93" s="27"/>
      <c r="QN93" s="36"/>
      <c r="QO93" s="85"/>
      <c r="QP93" s="35"/>
      <c r="QQ93" s="35"/>
      <c r="QR93" s="35"/>
      <c r="QS93" s="35"/>
      <c r="QT93" s="35"/>
      <c r="QU93" s="35"/>
      <c r="QV93" s="36"/>
      <c r="QW93" s="35"/>
      <c r="QX93" s="35"/>
      <c r="QY93" s="35"/>
      <c r="QZ93" s="35"/>
      <c r="RA93" s="35"/>
      <c r="RB93" s="35"/>
      <c r="RC93" s="35"/>
      <c r="RD93" s="85"/>
      <c r="RE93" s="27"/>
      <c r="RF93" s="36"/>
      <c r="RG93" s="85"/>
      <c r="RH93" s="35"/>
      <c r="RI93" s="35"/>
      <c r="RJ93" s="35"/>
      <c r="RK93" s="35"/>
      <c r="RL93" s="35"/>
      <c r="RM93" s="35"/>
      <c r="RN93" s="36"/>
      <c r="RO93" s="35"/>
      <c r="RP93" s="35"/>
      <c r="RQ93" s="35"/>
      <c r="RR93" s="35"/>
      <c r="RS93" s="35"/>
      <c r="RT93" s="35"/>
      <c r="RU93" s="35"/>
      <c r="RV93" s="85"/>
      <c r="RW93" s="27"/>
      <c r="RX93" s="36"/>
      <c r="RY93" s="85"/>
      <c r="RZ93" s="35"/>
      <c r="SA93" s="35"/>
      <c r="SB93" s="35"/>
      <c r="SC93" s="35"/>
      <c r="SD93" s="35"/>
      <c r="SE93" s="35"/>
      <c r="SF93" s="36"/>
      <c r="SG93" s="35"/>
      <c r="SH93" s="35"/>
      <c r="SI93" s="35"/>
      <c r="SJ93" s="35"/>
      <c r="SK93" s="35"/>
      <c r="SL93" s="35"/>
      <c r="SM93" s="35"/>
      <c r="SN93" s="85"/>
      <c r="SO93" s="27"/>
      <c r="SP93" s="36"/>
      <c r="SQ93" s="85"/>
      <c r="SR93" s="35"/>
      <c r="SS93" s="35"/>
      <c r="ST93" s="35"/>
      <c r="SU93" s="35"/>
      <c r="SV93" s="35"/>
      <c r="SW93" s="35"/>
      <c r="SX93" s="36"/>
      <c r="SY93" s="35"/>
      <c r="SZ93" s="35"/>
      <c r="TA93" s="35"/>
      <c r="TB93" s="35"/>
      <c r="TC93" s="35"/>
      <c r="TD93" s="35"/>
      <c r="TE93" s="35"/>
      <c r="TF93" s="85"/>
      <c r="TG93" s="27"/>
      <c r="TH93" s="36"/>
      <c r="TI93" s="85"/>
      <c r="TJ93" s="35"/>
      <c r="TK93" s="35"/>
      <c r="TL93" s="35"/>
      <c r="TM93" s="35"/>
      <c r="TN93" s="35"/>
      <c r="TO93" s="35"/>
      <c r="TP93" s="36"/>
      <c r="TQ93" s="35"/>
      <c r="TR93" s="35"/>
      <c r="TS93" s="35"/>
      <c r="TT93" s="35"/>
      <c r="TU93" s="35"/>
      <c r="TV93" s="35"/>
      <c r="TW93" s="35"/>
      <c r="TX93" s="85"/>
      <c r="TY93" s="27"/>
      <c r="TZ93" s="36"/>
      <c r="UA93" s="85"/>
      <c r="UB93" s="35"/>
      <c r="UC93" s="35"/>
      <c r="UD93" s="35"/>
      <c r="UE93" s="35"/>
      <c r="UF93" s="35"/>
      <c r="UG93" s="35"/>
      <c r="UH93" s="36"/>
      <c r="UI93" s="35"/>
      <c r="UJ93" s="35"/>
      <c r="UK93" s="35"/>
      <c r="UL93" s="35"/>
      <c r="UM93" s="35"/>
      <c r="UN93" s="35"/>
      <c r="UO93" s="35"/>
      <c r="UP93" s="85"/>
      <c r="UQ93" s="27"/>
      <c r="UR93" s="36"/>
      <c r="US93" s="85"/>
    </row>
    <row r="94" spans="1:565" x14ac:dyDescent="0.3">
      <c r="A94" s="8" t="s">
        <v>220</v>
      </c>
      <c r="B94" s="168">
        <v>80</v>
      </c>
      <c r="C94" s="13" t="s">
        <v>222</v>
      </c>
      <c r="F94" s="36">
        <v>1358206200</v>
      </c>
      <c r="G94" s="85"/>
      <c r="H94" s="35"/>
      <c r="I94" s="35">
        <v>442495794.38999999</v>
      </c>
      <c r="J94" s="35">
        <v>345146700</v>
      </c>
      <c r="K94" s="35">
        <v>97349094.390000001</v>
      </c>
      <c r="L94" s="35">
        <v>342763703.95999998</v>
      </c>
      <c r="M94" s="35">
        <v>15637473.9</v>
      </c>
      <c r="N94" s="36"/>
      <c r="O94" s="35">
        <v>439440670.51999998</v>
      </c>
      <c r="P94" s="35">
        <v>342763703.95999998</v>
      </c>
      <c r="Q94" s="35"/>
      <c r="R94" s="35">
        <v>96676966.560000002</v>
      </c>
      <c r="S94" s="35">
        <v>22</v>
      </c>
      <c r="T94" s="35">
        <v>15637473.9</v>
      </c>
      <c r="U94" s="35"/>
      <c r="V94" s="85">
        <v>342763703.95999998</v>
      </c>
      <c r="W94" s="27"/>
      <c r="X94" s="36">
        <v>345146700</v>
      </c>
      <c r="Y94" s="85">
        <v>345146700</v>
      </c>
      <c r="Z94" s="35"/>
      <c r="AA94" s="35">
        <v>261983717.96000001</v>
      </c>
      <c r="AB94" s="35">
        <v>204347300</v>
      </c>
      <c r="AC94" s="35">
        <v>57636417.960000001</v>
      </c>
      <c r="AD94" s="35">
        <v>204347300</v>
      </c>
      <c r="AE94" s="35"/>
      <c r="AF94" s="36"/>
      <c r="AG94" s="35">
        <v>261983717.96000001</v>
      </c>
      <c r="AH94" s="35">
        <v>204347300</v>
      </c>
      <c r="AI94" s="35"/>
      <c r="AJ94" s="35">
        <v>57636417.960000001</v>
      </c>
      <c r="AK94" s="35">
        <v>22</v>
      </c>
      <c r="AL94" s="35"/>
      <c r="AM94" s="35"/>
      <c r="AN94" s="85">
        <v>204347300</v>
      </c>
      <c r="AO94" s="27"/>
      <c r="AP94" s="36">
        <v>204347300</v>
      </c>
      <c r="AQ94" s="85">
        <v>204347300</v>
      </c>
      <c r="AR94" s="35"/>
      <c r="AS94" s="35">
        <v>636551153.85000002</v>
      </c>
      <c r="AT94" s="35">
        <v>496509900</v>
      </c>
      <c r="AU94" s="35">
        <v>140041253.84999999</v>
      </c>
      <c r="AV94" s="35">
        <v>496263994.88999999</v>
      </c>
      <c r="AW94" s="35">
        <v>4347087.25</v>
      </c>
      <c r="AX94" s="36"/>
      <c r="AY94" s="35">
        <v>636235890.85000002</v>
      </c>
      <c r="AZ94" s="35">
        <v>496263994.88999999</v>
      </c>
      <c r="BA94" s="35"/>
      <c r="BB94" s="35">
        <v>139971895.96000001</v>
      </c>
      <c r="BC94" s="35">
        <v>22</v>
      </c>
      <c r="BD94" s="35">
        <v>4347087.25</v>
      </c>
      <c r="BE94" s="35"/>
      <c r="BF94" s="85">
        <v>496263994.88999999</v>
      </c>
      <c r="BG94" s="27"/>
      <c r="BH94" s="36">
        <v>496509900</v>
      </c>
      <c r="BI94" s="85">
        <v>496509900</v>
      </c>
      <c r="BJ94" s="35"/>
      <c r="BK94" s="35">
        <v>114662820.52</v>
      </c>
      <c r="BL94" s="35">
        <v>89437000</v>
      </c>
      <c r="BM94" s="35">
        <v>25225820.52</v>
      </c>
      <c r="BN94" s="35">
        <v>89437000</v>
      </c>
      <c r="BO94" s="35">
        <v>300685.8</v>
      </c>
      <c r="BP94" s="36"/>
      <c r="BQ94" s="35">
        <v>114662820.52</v>
      </c>
      <c r="BR94" s="35">
        <v>89437000</v>
      </c>
      <c r="BS94" s="35"/>
      <c r="BT94" s="35">
        <v>25225820.52</v>
      </c>
      <c r="BU94" s="35">
        <v>22</v>
      </c>
      <c r="BV94" s="35">
        <v>300685.8</v>
      </c>
      <c r="BW94" s="35"/>
      <c r="BX94" s="85">
        <v>89437000</v>
      </c>
      <c r="BY94" s="27"/>
      <c r="BZ94" s="36">
        <v>89437000</v>
      </c>
      <c r="CA94" s="85">
        <v>89437000</v>
      </c>
      <c r="CB94" s="35"/>
      <c r="CC94" s="35">
        <v>86273076.920000002</v>
      </c>
      <c r="CD94" s="35">
        <v>67293000</v>
      </c>
      <c r="CE94" s="35">
        <v>18980076.920000002</v>
      </c>
      <c r="CF94" s="35">
        <v>57974383.539999999</v>
      </c>
      <c r="CG94" s="35"/>
      <c r="CH94" s="36"/>
      <c r="CI94" s="35">
        <v>74326132.730000004</v>
      </c>
      <c r="CJ94" s="35">
        <v>57974383.539999999</v>
      </c>
      <c r="CK94" s="35"/>
      <c r="CL94" s="35">
        <v>16351749.189999999</v>
      </c>
      <c r="CM94" s="35">
        <v>22</v>
      </c>
      <c r="CN94" s="35"/>
      <c r="CO94" s="35"/>
      <c r="CP94" s="85">
        <v>57974383.539999999</v>
      </c>
      <c r="CQ94" s="27"/>
      <c r="CR94" s="36">
        <v>67293000</v>
      </c>
      <c r="CS94" s="85">
        <v>67293000</v>
      </c>
      <c r="CT94" s="35"/>
      <c r="CU94" s="35"/>
      <c r="CV94" s="35"/>
      <c r="CW94" s="35"/>
      <c r="CX94" s="35"/>
      <c r="CY94" s="35"/>
      <c r="CZ94" s="36"/>
      <c r="DA94" s="35"/>
      <c r="DB94" s="35"/>
      <c r="DC94" s="35"/>
      <c r="DD94" s="35"/>
      <c r="DE94" s="35"/>
      <c r="DF94" s="35"/>
      <c r="DG94" s="35"/>
      <c r="DH94" s="85"/>
      <c r="DI94" s="27"/>
      <c r="DJ94" s="36"/>
      <c r="DK94" s="85"/>
      <c r="DL94" s="35"/>
      <c r="DM94" s="35"/>
      <c r="DN94" s="35"/>
      <c r="DO94" s="35"/>
      <c r="DP94" s="35"/>
      <c r="DQ94" s="35">
        <v>5414913.7000000002</v>
      </c>
      <c r="DR94" s="36"/>
      <c r="DS94" s="35"/>
      <c r="DT94" s="35"/>
      <c r="DU94" s="35"/>
      <c r="DV94" s="35"/>
      <c r="DW94" s="35"/>
      <c r="DX94" s="35">
        <v>5414913.7000000002</v>
      </c>
      <c r="DY94" s="35"/>
      <c r="DZ94" s="85"/>
      <c r="EA94" s="27"/>
      <c r="EB94" s="36"/>
      <c r="EC94" s="85"/>
      <c r="ED94" s="35"/>
      <c r="EE94" s="35">
        <v>43908750</v>
      </c>
      <c r="EF94" s="35">
        <v>42152400</v>
      </c>
      <c r="EG94" s="35">
        <v>1756350</v>
      </c>
      <c r="EH94" s="35">
        <v>42152400</v>
      </c>
      <c r="EI94" s="35"/>
      <c r="EJ94" s="36"/>
      <c r="EK94" s="35">
        <v>43908750</v>
      </c>
      <c r="EL94" s="35">
        <v>42152400</v>
      </c>
      <c r="EM94" s="35"/>
      <c r="EN94" s="35">
        <v>1756350</v>
      </c>
      <c r="EO94" s="35">
        <v>4</v>
      </c>
      <c r="EP94" s="35"/>
      <c r="EQ94" s="35"/>
      <c r="ER94" s="85">
        <v>42152400</v>
      </c>
      <c r="ES94" s="27"/>
      <c r="ET94" s="36">
        <v>42152400</v>
      </c>
      <c r="EU94" s="85">
        <v>42152400</v>
      </c>
      <c r="EV94" s="35"/>
      <c r="EW94" s="35">
        <v>122009300</v>
      </c>
      <c r="EX94" s="35">
        <v>77594100</v>
      </c>
      <c r="EY94" s="35">
        <v>44415200</v>
      </c>
      <c r="EZ94" s="35">
        <v>76955778.180000007</v>
      </c>
      <c r="FA94" s="35">
        <v>7824.45</v>
      </c>
      <c r="FB94" s="36"/>
      <c r="FC94" s="35">
        <v>121005600</v>
      </c>
      <c r="FD94" s="35">
        <v>76955778.180000007</v>
      </c>
      <c r="FE94" s="35"/>
      <c r="FF94" s="35">
        <v>44049821.82</v>
      </c>
      <c r="FG94" s="35">
        <v>36.403129999999997</v>
      </c>
      <c r="FH94" s="35">
        <v>7824.45</v>
      </c>
      <c r="FI94" s="35"/>
      <c r="FJ94" s="85">
        <v>76955778.180000007</v>
      </c>
      <c r="FK94" s="27"/>
      <c r="FL94" s="36">
        <v>77594100</v>
      </c>
      <c r="FM94" s="85">
        <v>77594100</v>
      </c>
      <c r="FN94" s="35"/>
      <c r="FO94" s="35"/>
      <c r="FP94" s="35"/>
      <c r="FQ94" s="35"/>
      <c r="FR94" s="35"/>
      <c r="FS94" s="35">
        <v>1039409.78</v>
      </c>
      <c r="FT94" s="36"/>
      <c r="FU94" s="35"/>
      <c r="FV94" s="35"/>
      <c r="FW94" s="35"/>
      <c r="FX94" s="35"/>
      <c r="FY94" s="35"/>
      <c r="FZ94" s="35">
        <v>1039409.78</v>
      </c>
      <c r="GA94" s="35"/>
      <c r="GB94" s="85"/>
      <c r="GC94" s="27"/>
      <c r="GD94" s="36"/>
      <c r="GE94" s="85"/>
      <c r="GF94" s="35"/>
      <c r="GG94" s="35">
        <v>153025296.16</v>
      </c>
      <c r="GH94" s="35">
        <v>35725800</v>
      </c>
      <c r="GI94" s="35">
        <v>117299496.16</v>
      </c>
      <c r="GJ94" s="35">
        <v>35565696.549999997</v>
      </c>
      <c r="GK94" s="35"/>
      <c r="GL94" s="36"/>
      <c r="GM94" s="35">
        <v>151956275.97999999</v>
      </c>
      <c r="GN94" s="35">
        <v>35565696.549999997</v>
      </c>
      <c r="GO94" s="35"/>
      <c r="GP94" s="35">
        <v>116390579.43000001</v>
      </c>
      <c r="GQ94" s="35">
        <v>76.59478</v>
      </c>
      <c r="GR94" s="35"/>
      <c r="GS94" s="35"/>
      <c r="GT94" s="85">
        <v>35565696.549999997</v>
      </c>
      <c r="GU94" s="27"/>
      <c r="GV94" s="36">
        <v>35725800</v>
      </c>
      <c r="GW94" s="85">
        <v>35725800</v>
      </c>
      <c r="GX94" s="35"/>
      <c r="GY94" s="35"/>
      <c r="GZ94" s="35"/>
      <c r="HA94" s="35"/>
      <c r="HB94" s="35"/>
      <c r="HC94" s="35"/>
      <c r="HD94" s="36"/>
      <c r="HE94" s="35"/>
      <c r="HF94" s="35"/>
      <c r="HG94" s="35"/>
      <c r="HH94" s="35"/>
      <c r="HI94" s="35"/>
      <c r="HJ94" s="35"/>
      <c r="HK94" s="35"/>
      <c r="HL94" s="85"/>
      <c r="HM94" s="27"/>
      <c r="HN94" s="36"/>
      <c r="HO94" s="85"/>
      <c r="HP94" s="35"/>
      <c r="HQ94" s="35"/>
      <c r="HR94" s="35"/>
      <c r="HS94" s="35"/>
      <c r="HT94" s="35"/>
      <c r="HU94" s="35"/>
      <c r="HV94" s="36"/>
      <c r="HW94" s="35"/>
      <c r="HX94" s="35"/>
      <c r="HY94" s="35"/>
      <c r="HZ94" s="35"/>
      <c r="IA94" s="35"/>
      <c r="IB94" s="35"/>
      <c r="IC94" s="35"/>
      <c r="ID94" s="85"/>
      <c r="IE94" s="27"/>
      <c r="IF94" s="36"/>
      <c r="IG94" s="85"/>
      <c r="IH94" s="35"/>
      <c r="II94" s="35"/>
      <c r="IJ94" s="35"/>
      <c r="IK94" s="35"/>
      <c r="IL94" s="35"/>
      <c r="IM94" s="35"/>
      <c r="IN94" s="36"/>
      <c r="IO94" s="35"/>
      <c r="IP94" s="35"/>
      <c r="IQ94" s="35"/>
      <c r="IR94" s="35"/>
      <c r="IS94" s="35"/>
      <c r="IT94" s="35"/>
      <c r="IU94" s="35"/>
      <c r="IV94" s="85"/>
      <c r="IW94" s="27"/>
      <c r="IX94" s="36"/>
      <c r="IY94" s="85"/>
      <c r="IZ94" s="35"/>
      <c r="JA94" s="35"/>
      <c r="JB94" s="35"/>
      <c r="JC94" s="35"/>
      <c r="JD94" s="35"/>
      <c r="JE94" s="35"/>
      <c r="JF94" s="36"/>
      <c r="JG94" s="35"/>
      <c r="JH94" s="35"/>
      <c r="JI94" s="35"/>
      <c r="JJ94" s="35"/>
      <c r="JK94" s="35"/>
      <c r="JL94" s="35"/>
      <c r="JM94" s="35"/>
      <c r="JN94" s="85"/>
      <c r="JO94" s="27"/>
      <c r="JP94" s="36"/>
      <c r="JQ94" s="85"/>
      <c r="JR94" s="35"/>
      <c r="JS94" s="35"/>
      <c r="JT94" s="35"/>
      <c r="JU94" s="35"/>
      <c r="JV94" s="35"/>
      <c r="JW94" s="35"/>
      <c r="JX94" s="36"/>
      <c r="JY94" s="35"/>
      <c r="JZ94" s="35"/>
      <c r="KA94" s="35"/>
      <c r="KB94" s="35"/>
      <c r="KC94" s="35"/>
      <c r="KD94" s="35"/>
      <c r="KE94" s="35"/>
      <c r="KF94" s="85"/>
      <c r="KG94" s="27"/>
      <c r="KH94" s="36"/>
      <c r="KI94" s="85"/>
      <c r="KJ94" s="35"/>
      <c r="KK94" s="35"/>
      <c r="KL94" s="35"/>
      <c r="KM94" s="35"/>
      <c r="KN94" s="35"/>
      <c r="KO94" s="35"/>
      <c r="KP94" s="36"/>
      <c r="KQ94" s="35"/>
      <c r="KR94" s="35"/>
      <c r="KS94" s="35"/>
      <c r="KT94" s="35"/>
      <c r="KU94" s="35"/>
      <c r="KV94" s="35"/>
      <c r="KW94" s="35"/>
      <c r="KX94" s="85"/>
      <c r="KY94" s="27"/>
      <c r="KZ94" s="36"/>
      <c r="LA94" s="85"/>
      <c r="LB94" s="35"/>
      <c r="LC94" s="35"/>
      <c r="LD94" s="35"/>
      <c r="LE94" s="35"/>
      <c r="LF94" s="35"/>
      <c r="LG94" s="35"/>
      <c r="LH94" s="36"/>
      <c r="LI94" s="35"/>
      <c r="LJ94" s="35"/>
      <c r="LK94" s="35"/>
      <c r="LL94" s="35"/>
      <c r="LM94" s="35"/>
      <c r="LN94" s="35"/>
      <c r="LO94" s="35"/>
      <c r="LP94" s="85"/>
      <c r="LQ94" s="27"/>
      <c r="LR94" s="36"/>
      <c r="LS94" s="85"/>
      <c r="LT94" s="35"/>
      <c r="LU94" s="35"/>
      <c r="LV94" s="35"/>
      <c r="LW94" s="35"/>
      <c r="LX94" s="35"/>
      <c r="LY94" s="35"/>
      <c r="LZ94" s="36"/>
      <c r="MA94" s="35"/>
      <c r="MB94" s="35"/>
      <c r="MC94" s="35"/>
      <c r="MD94" s="35"/>
      <c r="ME94" s="35"/>
      <c r="MF94" s="35"/>
      <c r="MG94" s="35"/>
      <c r="MH94" s="85"/>
      <c r="MI94" s="27"/>
      <c r="MJ94" s="36"/>
      <c r="MK94" s="85"/>
      <c r="ML94" s="35"/>
      <c r="MM94" s="35"/>
      <c r="MN94" s="35"/>
      <c r="MO94" s="35"/>
      <c r="MP94" s="35"/>
      <c r="MQ94" s="35"/>
      <c r="MR94" s="36"/>
      <c r="MS94" s="35"/>
      <c r="MT94" s="35"/>
      <c r="MU94" s="35"/>
      <c r="MV94" s="35"/>
      <c r="MW94" s="35"/>
      <c r="MX94" s="35"/>
      <c r="MY94" s="35"/>
      <c r="MZ94" s="85"/>
      <c r="NA94" s="27"/>
      <c r="NB94" s="36"/>
      <c r="NC94" s="85"/>
      <c r="ND94" s="35"/>
      <c r="NE94" s="35"/>
      <c r="NF94" s="35"/>
      <c r="NG94" s="35"/>
      <c r="NH94" s="35"/>
      <c r="NI94" s="35"/>
      <c r="NJ94" s="36"/>
      <c r="NK94" s="35"/>
      <c r="NL94" s="35"/>
      <c r="NM94" s="35"/>
      <c r="NN94" s="35"/>
      <c r="NO94" s="35"/>
      <c r="NP94" s="35"/>
      <c r="NQ94" s="35"/>
      <c r="NR94" s="85"/>
      <c r="NS94" s="27"/>
      <c r="NT94" s="36"/>
      <c r="NU94" s="85"/>
      <c r="NV94" s="35"/>
      <c r="NW94" s="35"/>
      <c r="NX94" s="35"/>
      <c r="NY94" s="35"/>
      <c r="NZ94" s="35"/>
      <c r="OA94" s="35"/>
      <c r="OB94" s="36"/>
      <c r="OC94" s="35"/>
      <c r="OD94" s="35"/>
      <c r="OE94" s="35"/>
      <c r="OF94" s="35"/>
      <c r="OG94" s="35"/>
      <c r="OH94" s="35"/>
      <c r="OI94" s="35"/>
      <c r="OJ94" s="85"/>
      <c r="OK94" s="27"/>
      <c r="OL94" s="36"/>
      <c r="OM94" s="85"/>
      <c r="ON94" s="35"/>
      <c r="OO94" s="35"/>
      <c r="OP94" s="35"/>
      <c r="OQ94" s="35"/>
      <c r="OR94" s="35"/>
      <c r="OS94" s="35">
        <v>4115636</v>
      </c>
      <c r="OT94" s="36"/>
      <c r="OU94" s="35"/>
      <c r="OV94" s="35"/>
      <c r="OW94" s="35"/>
      <c r="OX94" s="35"/>
      <c r="OY94" s="35"/>
      <c r="OZ94" s="35">
        <v>4115636</v>
      </c>
      <c r="PA94" s="35"/>
      <c r="PB94" s="85"/>
      <c r="PC94" s="27"/>
      <c r="PD94" s="36"/>
      <c r="PE94" s="85"/>
      <c r="PF94" s="35"/>
      <c r="PG94" s="35"/>
      <c r="PH94" s="35"/>
      <c r="PI94" s="35"/>
      <c r="PJ94" s="35"/>
      <c r="PK94" s="35"/>
      <c r="PL94" s="36"/>
      <c r="PM94" s="35"/>
      <c r="PN94" s="35"/>
      <c r="PO94" s="35"/>
      <c r="PP94" s="35"/>
      <c r="PQ94" s="35"/>
      <c r="PR94" s="35"/>
      <c r="PS94" s="35"/>
      <c r="PT94" s="85"/>
      <c r="PU94" s="27"/>
      <c r="PV94" s="36"/>
      <c r="PW94" s="85"/>
      <c r="PX94" s="35"/>
      <c r="PY94" s="35"/>
      <c r="PZ94" s="35"/>
      <c r="QA94" s="35"/>
      <c r="QB94" s="35"/>
      <c r="QC94" s="35"/>
      <c r="QD94" s="36"/>
      <c r="QE94" s="35"/>
      <c r="QF94" s="35"/>
      <c r="QG94" s="35"/>
      <c r="QH94" s="35"/>
      <c r="QI94" s="35"/>
      <c r="QJ94" s="35"/>
      <c r="QK94" s="35"/>
      <c r="QL94" s="85"/>
      <c r="QM94" s="27"/>
      <c r="QN94" s="36"/>
      <c r="QO94" s="85"/>
      <c r="QP94" s="35"/>
      <c r="QQ94" s="35"/>
      <c r="QR94" s="35"/>
      <c r="QS94" s="35"/>
      <c r="QT94" s="35"/>
      <c r="QU94" s="35"/>
      <c r="QV94" s="36"/>
      <c r="QW94" s="35"/>
      <c r="QX94" s="35"/>
      <c r="QY94" s="35"/>
      <c r="QZ94" s="35"/>
      <c r="RA94" s="35"/>
      <c r="RB94" s="35"/>
      <c r="RC94" s="35"/>
      <c r="RD94" s="85"/>
      <c r="RE94" s="27"/>
      <c r="RF94" s="36"/>
      <c r="RG94" s="85"/>
      <c r="RH94" s="35"/>
      <c r="RI94" s="35"/>
      <c r="RJ94" s="35"/>
      <c r="RK94" s="35"/>
      <c r="RL94" s="35"/>
      <c r="RM94" s="35">
        <v>0</v>
      </c>
      <c r="RN94" s="36"/>
      <c r="RO94" s="35"/>
      <c r="RP94" s="35"/>
      <c r="RQ94" s="35"/>
      <c r="RR94" s="35"/>
      <c r="RS94" s="35"/>
      <c r="RT94" s="35">
        <v>0</v>
      </c>
      <c r="RU94" s="35"/>
      <c r="RV94" s="85"/>
      <c r="RW94" s="27"/>
      <c r="RX94" s="36"/>
      <c r="RY94" s="85"/>
      <c r="RZ94" s="35"/>
      <c r="SA94" s="35"/>
      <c r="SB94" s="35"/>
      <c r="SC94" s="35"/>
      <c r="SD94" s="35"/>
      <c r="SE94" s="35"/>
      <c r="SF94" s="36"/>
      <c r="SG94" s="35"/>
      <c r="SH94" s="35"/>
      <c r="SI94" s="35"/>
      <c r="SJ94" s="35"/>
      <c r="SK94" s="35"/>
      <c r="SL94" s="35"/>
      <c r="SM94" s="35"/>
      <c r="SN94" s="85"/>
      <c r="SO94" s="27"/>
      <c r="SP94" s="36"/>
      <c r="SQ94" s="85"/>
      <c r="SR94" s="35"/>
      <c r="SS94" s="35"/>
      <c r="ST94" s="35"/>
      <c r="SU94" s="35"/>
      <c r="SV94" s="35"/>
      <c r="SW94" s="35"/>
      <c r="SX94" s="36"/>
      <c r="SY94" s="35"/>
      <c r="SZ94" s="35"/>
      <c r="TA94" s="35"/>
      <c r="TB94" s="35"/>
      <c r="TC94" s="35"/>
      <c r="TD94" s="35"/>
      <c r="TE94" s="35"/>
      <c r="TF94" s="85"/>
      <c r="TG94" s="27"/>
      <c r="TH94" s="36"/>
      <c r="TI94" s="85"/>
      <c r="TJ94" s="35"/>
      <c r="TK94" s="35"/>
      <c r="TL94" s="35"/>
      <c r="TM94" s="35"/>
      <c r="TN94" s="35"/>
      <c r="TO94" s="35"/>
      <c r="TP94" s="36"/>
      <c r="TQ94" s="35"/>
      <c r="TR94" s="35"/>
      <c r="TS94" s="35"/>
      <c r="TT94" s="35"/>
      <c r="TU94" s="35"/>
      <c r="TV94" s="35"/>
      <c r="TW94" s="35"/>
      <c r="TX94" s="85"/>
      <c r="TY94" s="27"/>
      <c r="TZ94" s="36"/>
      <c r="UA94" s="85"/>
      <c r="UB94" s="35"/>
      <c r="UC94" s="35"/>
      <c r="UD94" s="35"/>
      <c r="UE94" s="35"/>
      <c r="UF94" s="35"/>
      <c r="UG94" s="35"/>
      <c r="UH94" s="36"/>
      <c r="UI94" s="35"/>
      <c r="UJ94" s="35"/>
      <c r="UK94" s="35"/>
      <c r="UL94" s="35"/>
      <c r="UM94" s="35"/>
      <c r="UN94" s="35"/>
      <c r="UO94" s="35"/>
      <c r="UP94" s="85"/>
      <c r="UQ94" s="27"/>
      <c r="UR94" s="36"/>
      <c r="US94" s="85"/>
    </row>
    <row r="95" spans="1:565" x14ac:dyDescent="0.3">
      <c r="A95" s="8" t="s">
        <v>223</v>
      </c>
      <c r="B95" s="168">
        <v>81</v>
      </c>
      <c r="C95" s="13" t="s">
        <v>225</v>
      </c>
      <c r="F95" s="36">
        <v>1508146400</v>
      </c>
      <c r="G95" s="85"/>
      <c r="H95" s="35"/>
      <c r="I95" s="35">
        <v>612071977</v>
      </c>
      <c r="J95" s="35">
        <v>526381900</v>
      </c>
      <c r="K95" s="35">
        <v>85690077</v>
      </c>
      <c r="L95" s="35">
        <v>526381900</v>
      </c>
      <c r="M95" s="35">
        <v>5477574.2699999996</v>
      </c>
      <c r="N95" s="36"/>
      <c r="O95" s="35">
        <v>612071977</v>
      </c>
      <c r="P95" s="35">
        <v>526381900</v>
      </c>
      <c r="Q95" s="35"/>
      <c r="R95" s="35">
        <v>85690077</v>
      </c>
      <c r="S95" s="35">
        <v>14</v>
      </c>
      <c r="T95" s="35">
        <v>5436181.7699999996</v>
      </c>
      <c r="U95" s="35">
        <v>41392.5</v>
      </c>
      <c r="V95" s="85">
        <v>526381900</v>
      </c>
      <c r="W95" s="27"/>
      <c r="X95" s="36">
        <v>526381900</v>
      </c>
      <c r="Y95" s="85">
        <v>526381900</v>
      </c>
      <c r="Z95" s="35"/>
      <c r="AA95" s="35">
        <v>127132559</v>
      </c>
      <c r="AB95" s="35">
        <v>109334000</v>
      </c>
      <c r="AC95" s="35">
        <v>17798559</v>
      </c>
      <c r="AD95" s="35">
        <v>109334000</v>
      </c>
      <c r="AE95" s="35">
        <v>210244.35</v>
      </c>
      <c r="AF95" s="36"/>
      <c r="AG95" s="35">
        <v>127132559</v>
      </c>
      <c r="AH95" s="35">
        <v>109334000</v>
      </c>
      <c r="AI95" s="35"/>
      <c r="AJ95" s="35">
        <v>17798559</v>
      </c>
      <c r="AK95" s="35">
        <v>14</v>
      </c>
      <c r="AL95" s="35">
        <v>210244.35</v>
      </c>
      <c r="AM95" s="35"/>
      <c r="AN95" s="85">
        <v>109334000</v>
      </c>
      <c r="AO95" s="27"/>
      <c r="AP95" s="36">
        <v>109334000</v>
      </c>
      <c r="AQ95" s="85">
        <v>109334000</v>
      </c>
      <c r="AR95" s="35"/>
      <c r="AS95" s="35">
        <v>603033954</v>
      </c>
      <c r="AT95" s="35">
        <v>518609200</v>
      </c>
      <c r="AU95" s="35">
        <v>84424754</v>
      </c>
      <c r="AV95" s="35">
        <v>518551007.16000003</v>
      </c>
      <c r="AW95" s="35">
        <v>3011612.67</v>
      </c>
      <c r="AX95" s="36"/>
      <c r="AY95" s="35">
        <v>602966287.75</v>
      </c>
      <c r="AZ95" s="35">
        <v>518551007.02999997</v>
      </c>
      <c r="BA95" s="35"/>
      <c r="BB95" s="35">
        <v>84415280.719999999</v>
      </c>
      <c r="BC95" s="35">
        <v>14</v>
      </c>
      <c r="BD95" s="35">
        <v>3011612.67</v>
      </c>
      <c r="BE95" s="35">
        <v>0.13</v>
      </c>
      <c r="BF95" s="85">
        <v>518551007.16000003</v>
      </c>
      <c r="BG95" s="27"/>
      <c r="BH95" s="36">
        <v>518609200</v>
      </c>
      <c r="BI95" s="85">
        <v>518609200</v>
      </c>
      <c r="BJ95" s="35"/>
      <c r="BK95" s="35">
        <v>136842106</v>
      </c>
      <c r="BL95" s="35">
        <v>130000000</v>
      </c>
      <c r="BM95" s="35">
        <v>6842106</v>
      </c>
      <c r="BN95" s="35">
        <v>130000000</v>
      </c>
      <c r="BO95" s="35"/>
      <c r="BP95" s="36"/>
      <c r="BQ95" s="35">
        <v>136842105.88999999</v>
      </c>
      <c r="BR95" s="35">
        <v>129999999.90000001</v>
      </c>
      <c r="BS95" s="35"/>
      <c r="BT95" s="35">
        <v>6842105.9900000002</v>
      </c>
      <c r="BU95" s="35">
        <v>5</v>
      </c>
      <c r="BV95" s="35"/>
      <c r="BW95" s="35">
        <v>0.1</v>
      </c>
      <c r="BX95" s="85">
        <v>130000000</v>
      </c>
      <c r="BY95" s="27"/>
      <c r="BZ95" s="36">
        <v>130000000</v>
      </c>
      <c r="CA95" s="85">
        <v>130000000</v>
      </c>
      <c r="CB95" s="35"/>
      <c r="CC95" s="35">
        <v>69020233</v>
      </c>
      <c r="CD95" s="35">
        <v>59357400</v>
      </c>
      <c r="CE95" s="35">
        <v>9662833</v>
      </c>
      <c r="CF95" s="35">
        <v>59357400</v>
      </c>
      <c r="CG95" s="35">
        <v>2707249.99</v>
      </c>
      <c r="CH95" s="36"/>
      <c r="CI95" s="35">
        <v>69020233</v>
      </c>
      <c r="CJ95" s="35">
        <v>59357400</v>
      </c>
      <c r="CK95" s="35"/>
      <c r="CL95" s="35">
        <v>9662833</v>
      </c>
      <c r="CM95" s="35">
        <v>14</v>
      </c>
      <c r="CN95" s="35">
        <v>2707249.99</v>
      </c>
      <c r="CO95" s="35"/>
      <c r="CP95" s="85">
        <v>59357400</v>
      </c>
      <c r="CQ95" s="27"/>
      <c r="CR95" s="36">
        <v>59357400</v>
      </c>
      <c r="CS95" s="85">
        <v>59357400</v>
      </c>
      <c r="CT95" s="35"/>
      <c r="CU95" s="35"/>
      <c r="CV95" s="35"/>
      <c r="CW95" s="35"/>
      <c r="CX95" s="35"/>
      <c r="CY95" s="35"/>
      <c r="CZ95" s="36"/>
      <c r="DA95" s="35"/>
      <c r="DB95" s="35"/>
      <c r="DC95" s="35"/>
      <c r="DD95" s="35"/>
      <c r="DE95" s="35"/>
      <c r="DF95" s="35"/>
      <c r="DG95" s="35"/>
      <c r="DH95" s="85"/>
      <c r="DI95" s="27"/>
      <c r="DJ95" s="36"/>
      <c r="DK95" s="85"/>
      <c r="DL95" s="35"/>
      <c r="DM95" s="35"/>
      <c r="DN95" s="35"/>
      <c r="DO95" s="35"/>
      <c r="DP95" s="35"/>
      <c r="DQ95" s="35"/>
      <c r="DR95" s="36"/>
      <c r="DS95" s="35"/>
      <c r="DT95" s="35"/>
      <c r="DU95" s="35"/>
      <c r="DV95" s="35"/>
      <c r="DW95" s="35"/>
      <c r="DX95" s="35"/>
      <c r="DY95" s="35"/>
      <c r="DZ95" s="85"/>
      <c r="EA95" s="27"/>
      <c r="EB95" s="36"/>
      <c r="EC95" s="85"/>
      <c r="ED95" s="35"/>
      <c r="EE95" s="35">
        <v>71515715</v>
      </c>
      <c r="EF95" s="35">
        <v>70085400</v>
      </c>
      <c r="EG95" s="35">
        <v>1430315</v>
      </c>
      <c r="EH95" s="35">
        <v>70084981.560000002</v>
      </c>
      <c r="EI95" s="35"/>
      <c r="EJ95" s="36"/>
      <c r="EK95" s="35">
        <v>71515288.019999996</v>
      </c>
      <c r="EL95" s="35">
        <v>70084981.560000002</v>
      </c>
      <c r="EM95" s="35"/>
      <c r="EN95" s="35">
        <v>1430306.46</v>
      </c>
      <c r="EO95" s="35">
        <v>2</v>
      </c>
      <c r="EP95" s="35"/>
      <c r="EQ95" s="35"/>
      <c r="ER95" s="85">
        <v>70084981.560000002</v>
      </c>
      <c r="ES95" s="27"/>
      <c r="ET95" s="36">
        <v>70085400</v>
      </c>
      <c r="EU95" s="85">
        <v>70085400</v>
      </c>
      <c r="EV95" s="35"/>
      <c r="EW95" s="35">
        <v>39395000</v>
      </c>
      <c r="EX95" s="35">
        <v>33879700</v>
      </c>
      <c r="EY95" s="35">
        <v>5515300</v>
      </c>
      <c r="EZ95" s="35">
        <v>33879700</v>
      </c>
      <c r="FA95" s="35"/>
      <c r="FB95" s="36"/>
      <c r="FC95" s="35">
        <v>39395000</v>
      </c>
      <c r="FD95" s="35">
        <v>33879700</v>
      </c>
      <c r="FE95" s="35"/>
      <c r="FF95" s="35">
        <v>5515300</v>
      </c>
      <c r="FG95" s="35">
        <v>14</v>
      </c>
      <c r="FH95" s="35"/>
      <c r="FI95" s="35"/>
      <c r="FJ95" s="85">
        <v>33879700</v>
      </c>
      <c r="FK95" s="27"/>
      <c r="FL95" s="36">
        <v>33879700</v>
      </c>
      <c r="FM95" s="85">
        <v>33879700</v>
      </c>
      <c r="FN95" s="35"/>
      <c r="FO95" s="35"/>
      <c r="FP95" s="35"/>
      <c r="FQ95" s="35"/>
      <c r="FR95" s="35"/>
      <c r="FS95" s="35"/>
      <c r="FT95" s="36"/>
      <c r="FU95" s="35"/>
      <c r="FV95" s="35"/>
      <c r="FW95" s="35"/>
      <c r="FX95" s="35"/>
      <c r="FY95" s="35"/>
      <c r="FZ95" s="35"/>
      <c r="GA95" s="35"/>
      <c r="GB95" s="85"/>
      <c r="GC95" s="27"/>
      <c r="GD95" s="36"/>
      <c r="GE95" s="85"/>
      <c r="GF95" s="35"/>
      <c r="GG95" s="35">
        <v>54510941</v>
      </c>
      <c r="GH95" s="35">
        <v>46879400</v>
      </c>
      <c r="GI95" s="35">
        <v>7631541</v>
      </c>
      <c r="GJ95" s="35">
        <v>44161209.82</v>
      </c>
      <c r="GK95" s="35">
        <v>604263.32999999996</v>
      </c>
      <c r="GL95" s="36"/>
      <c r="GM95" s="35">
        <v>51350254.109999999</v>
      </c>
      <c r="GN95" s="35">
        <v>44161209.82</v>
      </c>
      <c r="GO95" s="35"/>
      <c r="GP95" s="35">
        <v>7189044.29</v>
      </c>
      <c r="GQ95" s="35">
        <v>14.000019999999999</v>
      </c>
      <c r="GR95" s="35">
        <v>604263.32999999996</v>
      </c>
      <c r="GS95" s="35"/>
      <c r="GT95" s="85">
        <v>44161209.82</v>
      </c>
      <c r="GU95" s="27"/>
      <c r="GV95" s="36">
        <v>46879400</v>
      </c>
      <c r="GW95" s="85">
        <v>46879400</v>
      </c>
      <c r="GX95" s="35"/>
      <c r="GY95" s="35"/>
      <c r="GZ95" s="35"/>
      <c r="HA95" s="35"/>
      <c r="HB95" s="35"/>
      <c r="HC95" s="35"/>
      <c r="HD95" s="36"/>
      <c r="HE95" s="35"/>
      <c r="HF95" s="35"/>
      <c r="HG95" s="35"/>
      <c r="HH95" s="35"/>
      <c r="HI95" s="35"/>
      <c r="HJ95" s="35"/>
      <c r="HK95" s="35"/>
      <c r="HL95" s="85"/>
      <c r="HM95" s="27"/>
      <c r="HN95" s="36"/>
      <c r="HO95" s="85"/>
      <c r="HP95" s="35"/>
      <c r="HQ95" s="35"/>
      <c r="HR95" s="35"/>
      <c r="HS95" s="35"/>
      <c r="HT95" s="35"/>
      <c r="HU95" s="35"/>
      <c r="HV95" s="36"/>
      <c r="HW95" s="35"/>
      <c r="HX95" s="35"/>
      <c r="HY95" s="35"/>
      <c r="HZ95" s="35"/>
      <c r="IA95" s="35"/>
      <c r="IB95" s="35"/>
      <c r="IC95" s="35"/>
      <c r="ID95" s="85"/>
      <c r="IE95" s="27"/>
      <c r="IF95" s="36"/>
      <c r="IG95" s="85"/>
      <c r="IH95" s="35"/>
      <c r="II95" s="35"/>
      <c r="IJ95" s="35"/>
      <c r="IK95" s="35"/>
      <c r="IL95" s="35"/>
      <c r="IM95" s="35"/>
      <c r="IN95" s="36"/>
      <c r="IO95" s="35"/>
      <c r="IP95" s="35"/>
      <c r="IQ95" s="35"/>
      <c r="IR95" s="35"/>
      <c r="IS95" s="35"/>
      <c r="IT95" s="35"/>
      <c r="IU95" s="35"/>
      <c r="IV95" s="85"/>
      <c r="IW95" s="27"/>
      <c r="IX95" s="36"/>
      <c r="IY95" s="85"/>
      <c r="IZ95" s="35"/>
      <c r="JA95" s="35"/>
      <c r="JB95" s="35"/>
      <c r="JC95" s="35"/>
      <c r="JD95" s="35"/>
      <c r="JE95" s="35"/>
      <c r="JF95" s="36"/>
      <c r="JG95" s="35"/>
      <c r="JH95" s="35"/>
      <c r="JI95" s="35"/>
      <c r="JJ95" s="35"/>
      <c r="JK95" s="35"/>
      <c r="JL95" s="35"/>
      <c r="JM95" s="35"/>
      <c r="JN95" s="85"/>
      <c r="JO95" s="27"/>
      <c r="JP95" s="36"/>
      <c r="JQ95" s="85"/>
      <c r="JR95" s="35"/>
      <c r="JS95" s="35"/>
      <c r="JT95" s="35"/>
      <c r="JU95" s="35"/>
      <c r="JV95" s="35"/>
      <c r="JW95" s="35"/>
      <c r="JX95" s="36"/>
      <c r="JY95" s="35"/>
      <c r="JZ95" s="35"/>
      <c r="KA95" s="35"/>
      <c r="KB95" s="35"/>
      <c r="KC95" s="35"/>
      <c r="KD95" s="35"/>
      <c r="KE95" s="35"/>
      <c r="KF95" s="85"/>
      <c r="KG95" s="27"/>
      <c r="KH95" s="36"/>
      <c r="KI95" s="85"/>
      <c r="KJ95" s="35"/>
      <c r="KK95" s="35">
        <v>2181628</v>
      </c>
      <c r="KL95" s="35">
        <v>1876200</v>
      </c>
      <c r="KM95" s="35">
        <v>305428</v>
      </c>
      <c r="KN95" s="35">
        <v>1876200</v>
      </c>
      <c r="KO95" s="35"/>
      <c r="KP95" s="36"/>
      <c r="KQ95" s="35">
        <v>2181628</v>
      </c>
      <c r="KR95" s="35">
        <v>1876200</v>
      </c>
      <c r="KS95" s="35"/>
      <c r="KT95" s="35">
        <v>305428</v>
      </c>
      <c r="KU95" s="35">
        <v>14</v>
      </c>
      <c r="KV95" s="35"/>
      <c r="KW95" s="35"/>
      <c r="KX95" s="85">
        <v>1876200</v>
      </c>
      <c r="KY95" s="27"/>
      <c r="KZ95" s="36">
        <v>1876200</v>
      </c>
      <c r="LA95" s="85">
        <v>1876200</v>
      </c>
      <c r="LB95" s="35"/>
      <c r="LC95" s="35"/>
      <c r="LD95" s="35"/>
      <c r="LE95" s="35"/>
      <c r="LF95" s="35"/>
      <c r="LG95" s="35"/>
      <c r="LH95" s="36"/>
      <c r="LI95" s="35"/>
      <c r="LJ95" s="35"/>
      <c r="LK95" s="35"/>
      <c r="LL95" s="35"/>
      <c r="LM95" s="35"/>
      <c r="LN95" s="35"/>
      <c r="LO95" s="35"/>
      <c r="LP95" s="85"/>
      <c r="LQ95" s="27"/>
      <c r="LR95" s="36"/>
      <c r="LS95" s="85"/>
      <c r="LT95" s="35"/>
      <c r="LU95" s="35">
        <v>4948800</v>
      </c>
      <c r="LV95" s="35">
        <v>4219500</v>
      </c>
      <c r="LW95" s="35">
        <v>729300</v>
      </c>
      <c r="LX95" s="35">
        <v>3792451.02</v>
      </c>
      <c r="LY95" s="35"/>
      <c r="LZ95" s="36"/>
      <c r="MA95" s="35">
        <v>4447939.71</v>
      </c>
      <c r="MB95" s="35">
        <v>3792451.02</v>
      </c>
      <c r="MC95" s="35"/>
      <c r="MD95" s="35">
        <v>655488.68999999994</v>
      </c>
      <c r="ME95" s="35">
        <v>14.73691</v>
      </c>
      <c r="MF95" s="35"/>
      <c r="MG95" s="35"/>
      <c r="MH95" s="85">
        <v>3792451.02</v>
      </c>
      <c r="MI95" s="27"/>
      <c r="MJ95" s="36">
        <v>4219500</v>
      </c>
      <c r="MK95" s="85">
        <v>4219500</v>
      </c>
      <c r="ML95" s="35"/>
      <c r="MM95" s="35"/>
      <c r="MN95" s="35"/>
      <c r="MO95" s="35"/>
      <c r="MP95" s="35"/>
      <c r="MQ95" s="35"/>
      <c r="MR95" s="36"/>
      <c r="MS95" s="35"/>
      <c r="MT95" s="35"/>
      <c r="MU95" s="35"/>
      <c r="MV95" s="35"/>
      <c r="MW95" s="35"/>
      <c r="MX95" s="35"/>
      <c r="MY95" s="35"/>
      <c r="MZ95" s="85"/>
      <c r="NA95" s="27"/>
      <c r="NB95" s="36"/>
      <c r="NC95" s="85"/>
      <c r="ND95" s="35"/>
      <c r="NE95" s="35">
        <v>750931</v>
      </c>
      <c r="NF95" s="35">
        <v>645800</v>
      </c>
      <c r="NG95" s="35">
        <v>105131</v>
      </c>
      <c r="NH95" s="35">
        <v>645800</v>
      </c>
      <c r="NI95" s="35"/>
      <c r="NJ95" s="36"/>
      <c r="NK95" s="35">
        <v>750931</v>
      </c>
      <c r="NL95" s="35">
        <v>645800</v>
      </c>
      <c r="NM95" s="35"/>
      <c r="NN95" s="35">
        <v>105131</v>
      </c>
      <c r="NO95" s="35">
        <v>14.00009</v>
      </c>
      <c r="NP95" s="35"/>
      <c r="NQ95" s="35"/>
      <c r="NR95" s="85">
        <v>645800</v>
      </c>
      <c r="NS95" s="27"/>
      <c r="NT95" s="36">
        <v>645800</v>
      </c>
      <c r="NU95" s="85">
        <v>645800</v>
      </c>
      <c r="NV95" s="35"/>
      <c r="NW95" s="35"/>
      <c r="NX95" s="35"/>
      <c r="NY95" s="35"/>
      <c r="NZ95" s="35"/>
      <c r="OA95" s="35"/>
      <c r="OB95" s="36"/>
      <c r="OC95" s="35"/>
      <c r="OD95" s="35"/>
      <c r="OE95" s="35"/>
      <c r="OF95" s="35"/>
      <c r="OG95" s="35"/>
      <c r="OH95" s="35"/>
      <c r="OI95" s="35"/>
      <c r="OJ95" s="85"/>
      <c r="OK95" s="27"/>
      <c r="OL95" s="36"/>
      <c r="OM95" s="85"/>
      <c r="ON95" s="35"/>
      <c r="OO95" s="35"/>
      <c r="OP95" s="35"/>
      <c r="OQ95" s="35"/>
      <c r="OR95" s="35"/>
      <c r="OS95" s="35">
        <v>1687314.31</v>
      </c>
      <c r="OT95" s="36"/>
      <c r="OU95" s="35"/>
      <c r="OV95" s="35"/>
      <c r="OW95" s="35"/>
      <c r="OX95" s="35"/>
      <c r="OY95" s="35"/>
      <c r="OZ95" s="35">
        <v>1687314.31</v>
      </c>
      <c r="PA95" s="35"/>
      <c r="PB95" s="85"/>
      <c r="PC95" s="27"/>
      <c r="PD95" s="36"/>
      <c r="PE95" s="85"/>
      <c r="PF95" s="35"/>
      <c r="PG95" s="35"/>
      <c r="PH95" s="35"/>
      <c r="PI95" s="35"/>
      <c r="PJ95" s="35"/>
      <c r="PK95" s="35"/>
      <c r="PL95" s="36"/>
      <c r="PM95" s="35"/>
      <c r="PN95" s="35"/>
      <c r="PO95" s="35"/>
      <c r="PP95" s="35"/>
      <c r="PQ95" s="35"/>
      <c r="PR95" s="35"/>
      <c r="PS95" s="35"/>
      <c r="PT95" s="85"/>
      <c r="PU95" s="27"/>
      <c r="PV95" s="36"/>
      <c r="PW95" s="85"/>
      <c r="PX95" s="35"/>
      <c r="PY95" s="35"/>
      <c r="PZ95" s="35"/>
      <c r="QA95" s="35"/>
      <c r="QB95" s="35"/>
      <c r="QC95" s="35"/>
      <c r="QD95" s="36"/>
      <c r="QE95" s="35"/>
      <c r="QF95" s="35"/>
      <c r="QG95" s="35"/>
      <c r="QH95" s="35"/>
      <c r="QI95" s="35"/>
      <c r="QJ95" s="35"/>
      <c r="QK95" s="35"/>
      <c r="QL95" s="85"/>
      <c r="QM95" s="27"/>
      <c r="QN95" s="36"/>
      <c r="QO95" s="85"/>
      <c r="QP95" s="35"/>
      <c r="QQ95" s="35"/>
      <c r="QR95" s="35"/>
      <c r="QS95" s="35"/>
      <c r="QT95" s="35"/>
      <c r="QU95" s="35"/>
      <c r="QV95" s="36"/>
      <c r="QW95" s="35"/>
      <c r="QX95" s="35"/>
      <c r="QY95" s="35"/>
      <c r="QZ95" s="35"/>
      <c r="RA95" s="35"/>
      <c r="RB95" s="35"/>
      <c r="RC95" s="35"/>
      <c r="RD95" s="85"/>
      <c r="RE95" s="27"/>
      <c r="RF95" s="36"/>
      <c r="RG95" s="85"/>
      <c r="RH95" s="35"/>
      <c r="RI95" s="35"/>
      <c r="RJ95" s="35"/>
      <c r="RK95" s="35"/>
      <c r="RL95" s="35"/>
      <c r="RM95" s="35"/>
      <c r="RN95" s="36"/>
      <c r="RO95" s="35"/>
      <c r="RP95" s="35"/>
      <c r="RQ95" s="35"/>
      <c r="RR95" s="35"/>
      <c r="RS95" s="35"/>
      <c r="RT95" s="35"/>
      <c r="RU95" s="35"/>
      <c r="RV95" s="85"/>
      <c r="RW95" s="27"/>
      <c r="RX95" s="36"/>
      <c r="RY95" s="85"/>
      <c r="RZ95" s="35"/>
      <c r="SA95" s="35">
        <v>6877900</v>
      </c>
      <c r="SB95" s="35">
        <v>6877900</v>
      </c>
      <c r="SC95" s="35"/>
      <c r="SD95" s="35">
        <v>6877815</v>
      </c>
      <c r="SE95" s="35"/>
      <c r="SF95" s="36"/>
      <c r="SG95" s="35">
        <v>6877815</v>
      </c>
      <c r="SH95" s="35">
        <v>6877815</v>
      </c>
      <c r="SI95" s="35"/>
      <c r="SJ95" s="35"/>
      <c r="SK95" s="35"/>
      <c r="SL95" s="35"/>
      <c r="SM95" s="35"/>
      <c r="SN95" s="85">
        <v>6877815</v>
      </c>
      <c r="SO95" s="27"/>
      <c r="SP95" s="36">
        <v>6877900</v>
      </c>
      <c r="SQ95" s="85">
        <v>6877900</v>
      </c>
      <c r="SR95" s="35"/>
      <c r="SS95" s="35"/>
      <c r="ST95" s="35"/>
      <c r="SU95" s="35"/>
      <c r="SV95" s="35"/>
      <c r="SW95" s="35"/>
      <c r="SX95" s="36"/>
      <c r="SY95" s="35"/>
      <c r="SZ95" s="35"/>
      <c r="TA95" s="35"/>
      <c r="TB95" s="35"/>
      <c r="TC95" s="35"/>
      <c r="TD95" s="35"/>
      <c r="TE95" s="35"/>
      <c r="TF95" s="85"/>
      <c r="TG95" s="27"/>
      <c r="TH95" s="36"/>
      <c r="TI95" s="85"/>
      <c r="TJ95" s="35"/>
      <c r="TK95" s="35"/>
      <c r="TL95" s="35"/>
      <c r="TM95" s="35"/>
      <c r="TN95" s="35"/>
      <c r="TO95" s="35"/>
      <c r="TP95" s="36"/>
      <c r="TQ95" s="35"/>
      <c r="TR95" s="35"/>
      <c r="TS95" s="35"/>
      <c r="TT95" s="35"/>
      <c r="TU95" s="35"/>
      <c r="TV95" s="35"/>
      <c r="TW95" s="35"/>
      <c r="TX95" s="85"/>
      <c r="TY95" s="27"/>
      <c r="TZ95" s="36"/>
      <c r="UA95" s="85"/>
      <c r="UB95" s="35"/>
      <c r="UC95" s="35"/>
      <c r="UD95" s="35"/>
      <c r="UE95" s="35"/>
      <c r="UF95" s="35"/>
      <c r="UG95" s="35"/>
      <c r="UH95" s="36"/>
      <c r="UI95" s="35"/>
      <c r="UJ95" s="35"/>
      <c r="UK95" s="35"/>
      <c r="UL95" s="35"/>
      <c r="UM95" s="35"/>
      <c r="UN95" s="35"/>
      <c r="UO95" s="35"/>
      <c r="UP95" s="85"/>
      <c r="UQ95" s="27"/>
      <c r="UR95" s="36"/>
      <c r="US95" s="85"/>
    </row>
    <row r="96" spans="1:565" ht="15" thickBot="1" x14ac:dyDescent="0.35">
      <c r="A96" s="8" t="s">
        <v>226</v>
      </c>
      <c r="B96" s="168">
        <v>82</v>
      </c>
      <c r="C96" s="13" t="s">
        <v>228</v>
      </c>
      <c r="F96" s="36">
        <v>621747100</v>
      </c>
      <c r="G96" s="85"/>
      <c r="H96" s="35"/>
      <c r="I96" s="35">
        <v>87397228.920000002</v>
      </c>
      <c r="J96" s="35">
        <v>72539700</v>
      </c>
      <c r="K96" s="35">
        <v>14857528.92</v>
      </c>
      <c r="L96" s="35">
        <v>72539700</v>
      </c>
      <c r="M96" s="35"/>
      <c r="N96" s="36"/>
      <c r="O96" s="35">
        <v>87397228.920000002</v>
      </c>
      <c r="P96" s="35">
        <v>72539700</v>
      </c>
      <c r="Q96" s="35"/>
      <c r="R96" s="35">
        <v>14857528.92</v>
      </c>
      <c r="S96" s="35">
        <v>17</v>
      </c>
      <c r="T96" s="35"/>
      <c r="U96" s="35"/>
      <c r="V96" s="85">
        <v>72539700</v>
      </c>
      <c r="W96" s="27"/>
      <c r="X96" s="36">
        <v>72539700</v>
      </c>
      <c r="Y96" s="85">
        <v>72539700</v>
      </c>
      <c r="Z96" s="35"/>
      <c r="AA96" s="35">
        <v>46816626.509999998</v>
      </c>
      <c r="AB96" s="35">
        <v>38857800</v>
      </c>
      <c r="AC96" s="35">
        <v>7958826.5099999998</v>
      </c>
      <c r="AD96" s="35">
        <v>38857800</v>
      </c>
      <c r="AE96" s="35"/>
      <c r="AF96" s="36"/>
      <c r="AG96" s="35">
        <v>46816626.509999998</v>
      </c>
      <c r="AH96" s="35">
        <v>38857800</v>
      </c>
      <c r="AI96" s="35"/>
      <c r="AJ96" s="35">
        <v>7958826.5099999998</v>
      </c>
      <c r="AK96" s="35">
        <v>17</v>
      </c>
      <c r="AL96" s="35"/>
      <c r="AM96" s="35"/>
      <c r="AN96" s="85">
        <v>38857800</v>
      </c>
      <c r="AO96" s="27"/>
      <c r="AP96" s="36">
        <v>38857800</v>
      </c>
      <c r="AQ96" s="85">
        <v>38857800</v>
      </c>
      <c r="AR96" s="35"/>
      <c r="AS96" s="35">
        <v>226584096.38999999</v>
      </c>
      <c r="AT96" s="35">
        <v>188064800</v>
      </c>
      <c r="AU96" s="35">
        <v>38519296.390000001</v>
      </c>
      <c r="AV96" s="35">
        <v>188064800</v>
      </c>
      <c r="AW96" s="35"/>
      <c r="AX96" s="36"/>
      <c r="AY96" s="35">
        <v>226584096.38999999</v>
      </c>
      <c r="AZ96" s="35">
        <v>188064800</v>
      </c>
      <c r="BA96" s="35"/>
      <c r="BB96" s="35">
        <v>38519296.390000001</v>
      </c>
      <c r="BC96" s="35">
        <v>17</v>
      </c>
      <c r="BD96" s="35"/>
      <c r="BE96" s="35"/>
      <c r="BF96" s="85">
        <v>188064800</v>
      </c>
      <c r="BG96" s="27"/>
      <c r="BH96" s="36">
        <v>188064800</v>
      </c>
      <c r="BI96" s="85">
        <v>188064800</v>
      </c>
      <c r="BJ96" s="35"/>
      <c r="BK96" s="35">
        <v>159036144.58000001</v>
      </c>
      <c r="BL96" s="35">
        <v>132000000</v>
      </c>
      <c r="BM96" s="35">
        <v>27036144.579999998</v>
      </c>
      <c r="BN96" s="35">
        <v>132000000</v>
      </c>
      <c r="BO96" s="35"/>
      <c r="BP96" s="36"/>
      <c r="BQ96" s="35">
        <v>159036144.58000001</v>
      </c>
      <c r="BR96" s="35">
        <v>132000000</v>
      </c>
      <c r="BS96" s="35"/>
      <c r="BT96" s="35">
        <v>27036144.579999998</v>
      </c>
      <c r="BU96" s="35">
        <v>17</v>
      </c>
      <c r="BV96" s="35"/>
      <c r="BW96" s="35"/>
      <c r="BX96" s="85">
        <v>132000000</v>
      </c>
      <c r="BY96" s="27"/>
      <c r="BZ96" s="36">
        <v>132000000</v>
      </c>
      <c r="CA96" s="85">
        <v>132000000</v>
      </c>
      <c r="CB96" s="35"/>
      <c r="CC96" s="35">
        <v>10377108.43</v>
      </c>
      <c r="CD96" s="35">
        <v>8613000</v>
      </c>
      <c r="CE96" s="35">
        <v>1764108.43</v>
      </c>
      <c r="CF96" s="35">
        <v>8613000</v>
      </c>
      <c r="CG96" s="35"/>
      <c r="CH96" s="36"/>
      <c r="CI96" s="35">
        <v>10377108.43</v>
      </c>
      <c r="CJ96" s="35">
        <v>8613000</v>
      </c>
      <c r="CK96" s="35"/>
      <c r="CL96" s="35">
        <v>1764108.43</v>
      </c>
      <c r="CM96" s="35">
        <v>17</v>
      </c>
      <c r="CN96" s="35"/>
      <c r="CO96" s="35"/>
      <c r="CP96" s="85">
        <v>8613000</v>
      </c>
      <c r="CQ96" s="27"/>
      <c r="CR96" s="36">
        <v>8613000</v>
      </c>
      <c r="CS96" s="85">
        <v>8613000</v>
      </c>
      <c r="CT96" s="35"/>
      <c r="CU96" s="35"/>
      <c r="CV96" s="35"/>
      <c r="CW96" s="35"/>
      <c r="CX96" s="35"/>
      <c r="CY96" s="35"/>
      <c r="CZ96" s="36"/>
      <c r="DA96" s="35"/>
      <c r="DB96" s="35"/>
      <c r="DC96" s="35"/>
      <c r="DD96" s="35"/>
      <c r="DE96" s="35"/>
      <c r="DF96" s="35"/>
      <c r="DG96" s="35"/>
      <c r="DH96" s="85"/>
      <c r="DI96" s="27"/>
      <c r="DJ96" s="36"/>
      <c r="DK96" s="85"/>
      <c r="DL96" s="35"/>
      <c r="DM96" s="35">
        <v>60804958.700000003</v>
      </c>
      <c r="DN96" s="35">
        <v>43432200</v>
      </c>
      <c r="DO96" s="35">
        <v>17372758.699999999</v>
      </c>
      <c r="DP96" s="35">
        <v>43432200</v>
      </c>
      <c r="DQ96" s="35"/>
      <c r="DR96" s="36"/>
      <c r="DS96" s="35">
        <v>60804958.700000003</v>
      </c>
      <c r="DT96" s="35">
        <v>43432200</v>
      </c>
      <c r="DU96" s="35"/>
      <c r="DV96" s="35">
        <v>17372758.699999999</v>
      </c>
      <c r="DW96" s="35">
        <v>28.571290000000001</v>
      </c>
      <c r="DX96" s="35"/>
      <c r="DY96" s="35"/>
      <c r="DZ96" s="85">
        <v>43432200</v>
      </c>
      <c r="EA96" s="27"/>
      <c r="EB96" s="36">
        <v>43432200</v>
      </c>
      <c r="EC96" s="85">
        <v>43432200</v>
      </c>
      <c r="ED96" s="35"/>
      <c r="EE96" s="35">
        <v>26042783.510000002</v>
      </c>
      <c r="EF96" s="35">
        <v>25261500</v>
      </c>
      <c r="EG96" s="35">
        <v>781283.51</v>
      </c>
      <c r="EH96" s="35">
        <v>25261500</v>
      </c>
      <c r="EI96" s="35"/>
      <c r="EJ96" s="36"/>
      <c r="EK96" s="35">
        <v>26042783.510000002</v>
      </c>
      <c r="EL96" s="35">
        <v>25261500</v>
      </c>
      <c r="EM96" s="35"/>
      <c r="EN96" s="35">
        <v>781283.51</v>
      </c>
      <c r="EO96" s="35">
        <v>3</v>
      </c>
      <c r="EP96" s="35"/>
      <c r="EQ96" s="35"/>
      <c r="ER96" s="85">
        <v>25261500</v>
      </c>
      <c r="ES96" s="27"/>
      <c r="ET96" s="36">
        <v>25261500</v>
      </c>
      <c r="EU96" s="85">
        <v>25261500</v>
      </c>
      <c r="EV96" s="35"/>
      <c r="EW96" s="35">
        <v>63969277.109999999</v>
      </c>
      <c r="EX96" s="35">
        <v>53094500</v>
      </c>
      <c r="EY96" s="35">
        <v>10874777.109999999</v>
      </c>
      <c r="EZ96" s="35">
        <v>53094500</v>
      </c>
      <c r="FA96" s="35"/>
      <c r="FB96" s="36"/>
      <c r="FC96" s="35">
        <v>63969277.109999999</v>
      </c>
      <c r="FD96" s="35">
        <v>53094500</v>
      </c>
      <c r="FE96" s="35"/>
      <c r="FF96" s="35">
        <v>10874777.109999999</v>
      </c>
      <c r="FG96" s="35">
        <v>17</v>
      </c>
      <c r="FH96" s="35"/>
      <c r="FI96" s="35"/>
      <c r="FJ96" s="85">
        <v>53094500</v>
      </c>
      <c r="FK96" s="27"/>
      <c r="FL96" s="36">
        <v>53094500</v>
      </c>
      <c r="FM96" s="85">
        <v>53094500</v>
      </c>
      <c r="FN96" s="35"/>
      <c r="FO96" s="35"/>
      <c r="FP96" s="35"/>
      <c r="FQ96" s="35"/>
      <c r="FR96" s="35"/>
      <c r="FS96" s="35">
        <v>89597.51</v>
      </c>
      <c r="FT96" s="36"/>
      <c r="FU96" s="35"/>
      <c r="FV96" s="35"/>
      <c r="FW96" s="35"/>
      <c r="FX96" s="35"/>
      <c r="FY96" s="35"/>
      <c r="FZ96" s="35">
        <v>89597.51</v>
      </c>
      <c r="GA96" s="35"/>
      <c r="GB96" s="85"/>
      <c r="GC96" s="27"/>
      <c r="GD96" s="36"/>
      <c r="GE96" s="85"/>
      <c r="GF96" s="35"/>
      <c r="GG96" s="35">
        <v>43973493.969999999</v>
      </c>
      <c r="GH96" s="35">
        <v>36498000</v>
      </c>
      <c r="GI96" s="35">
        <v>7475493.9699999997</v>
      </c>
      <c r="GJ96" s="35">
        <v>36498000</v>
      </c>
      <c r="GK96" s="35"/>
      <c r="GL96" s="36"/>
      <c r="GM96" s="35">
        <v>43973493.969999999</v>
      </c>
      <c r="GN96" s="35">
        <v>36498000</v>
      </c>
      <c r="GO96" s="35"/>
      <c r="GP96" s="35">
        <v>7475493.9699999997</v>
      </c>
      <c r="GQ96" s="35">
        <v>17</v>
      </c>
      <c r="GR96" s="35"/>
      <c r="GS96" s="35"/>
      <c r="GT96" s="85">
        <v>36498000</v>
      </c>
      <c r="GU96" s="27"/>
      <c r="GV96" s="36">
        <v>36498000</v>
      </c>
      <c r="GW96" s="85">
        <v>36498000</v>
      </c>
      <c r="GX96" s="35"/>
      <c r="GY96" s="35"/>
      <c r="GZ96" s="35"/>
      <c r="HA96" s="35"/>
      <c r="HB96" s="35"/>
      <c r="HC96" s="35"/>
      <c r="HD96" s="36"/>
      <c r="HE96" s="35"/>
      <c r="HF96" s="35"/>
      <c r="HG96" s="35"/>
      <c r="HH96" s="35"/>
      <c r="HI96" s="35"/>
      <c r="HJ96" s="35"/>
      <c r="HK96" s="35"/>
      <c r="HL96" s="85"/>
      <c r="HM96" s="27"/>
      <c r="HN96" s="36"/>
      <c r="HO96" s="85"/>
      <c r="HP96" s="35"/>
      <c r="HQ96" s="35"/>
      <c r="HR96" s="35"/>
      <c r="HS96" s="35"/>
      <c r="HT96" s="35"/>
      <c r="HU96" s="35"/>
      <c r="HV96" s="36"/>
      <c r="HW96" s="35"/>
      <c r="HX96" s="35"/>
      <c r="HY96" s="35"/>
      <c r="HZ96" s="35"/>
      <c r="IA96" s="35"/>
      <c r="IB96" s="35"/>
      <c r="IC96" s="35"/>
      <c r="ID96" s="85"/>
      <c r="IE96" s="27"/>
      <c r="IF96" s="36"/>
      <c r="IG96" s="85"/>
      <c r="IH96" s="35"/>
      <c r="II96" s="35"/>
      <c r="IJ96" s="35"/>
      <c r="IK96" s="35"/>
      <c r="IL96" s="35"/>
      <c r="IM96" s="35"/>
      <c r="IN96" s="36"/>
      <c r="IO96" s="35"/>
      <c r="IP96" s="35"/>
      <c r="IQ96" s="35"/>
      <c r="IR96" s="35"/>
      <c r="IS96" s="35"/>
      <c r="IT96" s="35"/>
      <c r="IU96" s="35"/>
      <c r="IV96" s="85"/>
      <c r="IW96" s="27"/>
      <c r="IX96" s="36"/>
      <c r="IY96" s="85"/>
      <c r="IZ96" s="35"/>
      <c r="JA96" s="35"/>
      <c r="JB96" s="35"/>
      <c r="JC96" s="35"/>
      <c r="JD96" s="35"/>
      <c r="JE96" s="35"/>
      <c r="JF96" s="36"/>
      <c r="JG96" s="35"/>
      <c r="JH96" s="35"/>
      <c r="JI96" s="35"/>
      <c r="JJ96" s="35"/>
      <c r="JK96" s="35"/>
      <c r="JL96" s="35"/>
      <c r="JM96" s="35"/>
      <c r="JN96" s="85"/>
      <c r="JO96" s="27"/>
      <c r="JP96" s="36"/>
      <c r="JQ96" s="85"/>
      <c r="JR96" s="35"/>
      <c r="JS96" s="35"/>
      <c r="JT96" s="35"/>
      <c r="JU96" s="35"/>
      <c r="JV96" s="35"/>
      <c r="JW96" s="35"/>
      <c r="JX96" s="36"/>
      <c r="JY96" s="35"/>
      <c r="JZ96" s="35"/>
      <c r="KA96" s="35"/>
      <c r="KB96" s="35"/>
      <c r="KC96" s="35"/>
      <c r="KD96" s="35"/>
      <c r="KE96" s="35"/>
      <c r="KF96" s="85"/>
      <c r="KG96" s="27"/>
      <c r="KH96" s="36"/>
      <c r="KI96" s="85"/>
      <c r="KJ96" s="35"/>
      <c r="KK96" s="35"/>
      <c r="KL96" s="35"/>
      <c r="KM96" s="35"/>
      <c r="KN96" s="35"/>
      <c r="KO96" s="35"/>
      <c r="KP96" s="36"/>
      <c r="KQ96" s="35"/>
      <c r="KR96" s="35"/>
      <c r="KS96" s="35"/>
      <c r="KT96" s="35"/>
      <c r="KU96" s="35"/>
      <c r="KV96" s="35"/>
      <c r="KW96" s="35"/>
      <c r="KX96" s="85"/>
      <c r="KY96" s="27"/>
      <c r="KZ96" s="36"/>
      <c r="LA96" s="85"/>
      <c r="LB96" s="35"/>
      <c r="LC96" s="35"/>
      <c r="LD96" s="35"/>
      <c r="LE96" s="35"/>
      <c r="LF96" s="35"/>
      <c r="LG96" s="35"/>
      <c r="LH96" s="36"/>
      <c r="LI96" s="35"/>
      <c r="LJ96" s="35"/>
      <c r="LK96" s="35"/>
      <c r="LL96" s="35"/>
      <c r="LM96" s="35"/>
      <c r="LN96" s="35"/>
      <c r="LO96" s="35"/>
      <c r="LP96" s="85"/>
      <c r="LQ96" s="27"/>
      <c r="LR96" s="36"/>
      <c r="LS96" s="85"/>
      <c r="LT96" s="35"/>
      <c r="LU96" s="35">
        <v>26131325.300000001</v>
      </c>
      <c r="LV96" s="35">
        <v>21689000</v>
      </c>
      <c r="LW96" s="35">
        <v>4442325.3</v>
      </c>
      <c r="LX96" s="35">
        <v>21689000</v>
      </c>
      <c r="LY96" s="35"/>
      <c r="LZ96" s="36"/>
      <c r="MA96" s="35">
        <v>26131325.300000001</v>
      </c>
      <c r="MB96" s="35">
        <v>21689000</v>
      </c>
      <c r="MC96" s="35"/>
      <c r="MD96" s="35">
        <v>4442325.3</v>
      </c>
      <c r="ME96" s="35">
        <v>17</v>
      </c>
      <c r="MF96" s="35"/>
      <c r="MG96" s="35"/>
      <c r="MH96" s="85">
        <v>21689000</v>
      </c>
      <c r="MI96" s="27"/>
      <c r="MJ96" s="36">
        <v>21689000</v>
      </c>
      <c r="MK96" s="85">
        <v>21689000</v>
      </c>
      <c r="ML96" s="35"/>
      <c r="MM96" s="35"/>
      <c r="MN96" s="35"/>
      <c r="MO96" s="35"/>
      <c r="MP96" s="35"/>
      <c r="MQ96" s="35"/>
      <c r="MR96" s="36"/>
      <c r="MS96" s="35"/>
      <c r="MT96" s="35"/>
      <c r="MU96" s="35"/>
      <c r="MV96" s="35"/>
      <c r="MW96" s="35"/>
      <c r="MX96" s="35"/>
      <c r="MY96" s="35"/>
      <c r="MZ96" s="85"/>
      <c r="NA96" s="27"/>
      <c r="NB96" s="36"/>
      <c r="NC96" s="85"/>
      <c r="ND96" s="35"/>
      <c r="NE96" s="35">
        <v>2044096.39</v>
      </c>
      <c r="NF96" s="35">
        <v>1696600</v>
      </c>
      <c r="NG96" s="35">
        <v>347496.39</v>
      </c>
      <c r="NH96" s="35">
        <v>1696600</v>
      </c>
      <c r="NI96" s="35"/>
      <c r="NJ96" s="36"/>
      <c r="NK96" s="35">
        <v>2044096.39</v>
      </c>
      <c r="NL96" s="35">
        <v>1696600</v>
      </c>
      <c r="NM96" s="35"/>
      <c r="NN96" s="35">
        <v>347496.39</v>
      </c>
      <c r="NO96" s="35">
        <v>17</v>
      </c>
      <c r="NP96" s="35"/>
      <c r="NQ96" s="35"/>
      <c r="NR96" s="85">
        <v>1696600</v>
      </c>
      <c r="NS96" s="27"/>
      <c r="NT96" s="36">
        <v>1696600</v>
      </c>
      <c r="NU96" s="85">
        <v>1696600</v>
      </c>
      <c r="NV96" s="35"/>
      <c r="NW96" s="35"/>
      <c r="NX96" s="35"/>
      <c r="NY96" s="35"/>
      <c r="NZ96" s="35"/>
      <c r="OA96" s="35"/>
      <c r="OB96" s="36"/>
      <c r="OC96" s="35"/>
      <c r="OD96" s="35"/>
      <c r="OE96" s="35"/>
      <c r="OF96" s="35"/>
      <c r="OG96" s="35"/>
      <c r="OH96" s="35"/>
      <c r="OI96" s="35"/>
      <c r="OJ96" s="85"/>
      <c r="OK96" s="27"/>
      <c r="OL96" s="36"/>
      <c r="OM96" s="85"/>
      <c r="ON96" s="35"/>
      <c r="OO96" s="35"/>
      <c r="OP96" s="35"/>
      <c r="OQ96" s="35"/>
      <c r="OR96" s="35"/>
      <c r="OS96" s="35">
        <v>2070004.8</v>
      </c>
      <c r="OT96" s="36"/>
      <c r="OU96" s="35"/>
      <c r="OV96" s="35"/>
      <c r="OW96" s="35"/>
      <c r="OX96" s="35"/>
      <c r="OY96" s="35"/>
      <c r="OZ96" s="35">
        <v>2070004.8</v>
      </c>
      <c r="PA96" s="35"/>
      <c r="PB96" s="85"/>
      <c r="PC96" s="27"/>
      <c r="PD96" s="36"/>
      <c r="PE96" s="85"/>
      <c r="PF96" s="35"/>
      <c r="PG96" s="35"/>
      <c r="PH96" s="35"/>
      <c r="PI96" s="35"/>
      <c r="PJ96" s="35"/>
      <c r="PK96" s="35">
        <v>10309.36</v>
      </c>
      <c r="PL96" s="36"/>
      <c r="PM96" s="35"/>
      <c r="PN96" s="35"/>
      <c r="PO96" s="35"/>
      <c r="PP96" s="35"/>
      <c r="PQ96" s="35"/>
      <c r="PR96" s="35">
        <v>10309.36</v>
      </c>
      <c r="PS96" s="35"/>
      <c r="PT96" s="85"/>
      <c r="PU96" s="27"/>
      <c r="PV96" s="36"/>
      <c r="PW96" s="85"/>
      <c r="PX96" s="35"/>
      <c r="PY96" s="35"/>
      <c r="PZ96" s="35"/>
      <c r="QA96" s="35"/>
      <c r="QB96" s="35"/>
      <c r="QC96" s="35"/>
      <c r="QD96" s="36"/>
      <c r="QE96" s="35"/>
      <c r="QF96" s="35"/>
      <c r="QG96" s="35"/>
      <c r="QH96" s="35"/>
      <c r="QI96" s="35"/>
      <c r="QJ96" s="35"/>
      <c r="QK96" s="35"/>
      <c r="QL96" s="85"/>
      <c r="QM96" s="27"/>
      <c r="QN96" s="36"/>
      <c r="QO96" s="85"/>
      <c r="QP96" s="35"/>
      <c r="QQ96" s="35"/>
      <c r="QR96" s="35"/>
      <c r="QS96" s="35"/>
      <c r="QT96" s="35"/>
      <c r="QU96" s="35"/>
      <c r="QV96" s="36"/>
      <c r="QW96" s="35"/>
      <c r="QX96" s="35"/>
      <c r="QY96" s="35"/>
      <c r="QZ96" s="35"/>
      <c r="RA96" s="35"/>
      <c r="RB96" s="35"/>
      <c r="RC96" s="35"/>
      <c r="RD96" s="85"/>
      <c r="RE96" s="27"/>
      <c r="RF96" s="36"/>
      <c r="RG96" s="85"/>
      <c r="RH96" s="35"/>
      <c r="RI96" s="35"/>
      <c r="RJ96" s="35"/>
      <c r="RK96" s="35"/>
      <c r="RL96" s="35"/>
      <c r="RM96" s="35">
        <v>10406803.98</v>
      </c>
      <c r="RN96" s="36"/>
      <c r="RO96" s="35"/>
      <c r="RP96" s="35"/>
      <c r="RQ96" s="35"/>
      <c r="RR96" s="35"/>
      <c r="RS96" s="35"/>
      <c r="RT96" s="35">
        <v>10406803.98</v>
      </c>
      <c r="RU96" s="35"/>
      <c r="RV96" s="85"/>
      <c r="RW96" s="27"/>
      <c r="RX96" s="36"/>
      <c r="RY96" s="85"/>
      <c r="RZ96" s="35"/>
      <c r="SA96" s="35"/>
      <c r="SB96" s="35"/>
      <c r="SC96" s="35"/>
      <c r="SD96" s="35"/>
      <c r="SE96" s="35"/>
      <c r="SF96" s="36"/>
      <c r="SG96" s="35"/>
      <c r="SH96" s="35"/>
      <c r="SI96" s="35"/>
      <c r="SJ96" s="35"/>
      <c r="SK96" s="35"/>
      <c r="SL96" s="35"/>
      <c r="SM96" s="35"/>
      <c r="SN96" s="85"/>
      <c r="SO96" s="27"/>
      <c r="SP96" s="36"/>
      <c r="SQ96" s="85"/>
      <c r="SR96" s="35"/>
      <c r="SS96" s="35"/>
      <c r="ST96" s="35"/>
      <c r="SU96" s="35"/>
      <c r="SV96" s="35"/>
      <c r="SW96" s="35"/>
      <c r="SX96" s="36"/>
      <c r="SY96" s="35"/>
      <c r="SZ96" s="35"/>
      <c r="TA96" s="35"/>
      <c r="TB96" s="35"/>
      <c r="TC96" s="35"/>
      <c r="TD96" s="35"/>
      <c r="TE96" s="35"/>
      <c r="TF96" s="85"/>
      <c r="TG96" s="27"/>
      <c r="TH96" s="36"/>
      <c r="TI96" s="85"/>
      <c r="TJ96" s="35"/>
      <c r="TK96" s="35"/>
      <c r="TL96" s="35"/>
      <c r="TM96" s="35"/>
      <c r="TN96" s="35"/>
      <c r="TO96" s="35"/>
      <c r="TP96" s="36"/>
      <c r="TQ96" s="35"/>
      <c r="TR96" s="35"/>
      <c r="TS96" s="35"/>
      <c r="TT96" s="35"/>
      <c r="TU96" s="35"/>
      <c r="TV96" s="35"/>
      <c r="TW96" s="35"/>
      <c r="TX96" s="85"/>
      <c r="TY96" s="27"/>
      <c r="TZ96" s="36"/>
      <c r="UA96" s="85"/>
      <c r="UB96" s="35"/>
      <c r="UC96" s="35"/>
      <c r="UD96" s="35"/>
      <c r="UE96" s="35"/>
      <c r="UF96" s="35"/>
      <c r="UG96" s="35"/>
      <c r="UH96" s="36"/>
      <c r="UI96" s="35"/>
      <c r="UJ96" s="35"/>
      <c r="UK96" s="35"/>
      <c r="UL96" s="35"/>
      <c r="UM96" s="35"/>
      <c r="UN96" s="35"/>
      <c r="UO96" s="35"/>
      <c r="UP96" s="85"/>
      <c r="UQ96" s="27"/>
      <c r="UR96" s="36"/>
      <c r="US96" s="85"/>
    </row>
    <row r="97" spans="1:565" x14ac:dyDescent="0.3">
      <c r="A97" s="8" t="s">
        <v>229</v>
      </c>
      <c r="B97" s="168">
        <v>83</v>
      </c>
      <c r="C97" s="12" t="s">
        <v>231</v>
      </c>
      <c r="F97" s="32"/>
      <c r="G97" s="33"/>
      <c r="H97" s="32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86"/>
      <c r="Z97" s="32"/>
      <c r="AA97" s="33"/>
      <c r="AB97" s="33"/>
      <c r="AC97" s="33"/>
      <c r="AD97" s="33"/>
      <c r="AE97" s="33"/>
      <c r="AF97" s="33"/>
      <c r="AG97" s="33"/>
      <c r="AH97" s="33"/>
      <c r="AI97" s="33"/>
      <c r="AJ97" s="33"/>
      <c r="AK97" s="33"/>
      <c r="AL97" s="33"/>
      <c r="AM97" s="33"/>
      <c r="AN97" s="33"/>
      <c r="AO97" s="33"/>
      <c r="AP97" s="33"/>
      <c r="AQ97" s="86"/>
      <c r="AR97" s="32"/>
      <c r="AS97" s="33"/>
      <c r="AT97" s="33"/>
      <c r="AU97" s="33"/>
      <c r="AV97" s="33"/>
      <c r="AW97" s="33"/>
      <c r="AX97" s="33"/>
      <c r="AY97" s="33"/>
      <c r="AZ97" s="33"/>
      <c r="BA97" s="33"/>
      <c r="BB97" s="33"/>
      <c r="BC97" s="33"/>
      <c r="BD97" s="33"/>
      <c r="BE97" s="33"/>
      <c r="BF97" s="33"/>
      <c r="BG97" s="33"/>
      <c r="BH97" s="33"/>
      <c r="BI97" s="86"/>
      <c r="BJ97" s="148"/>
      <c r="BK97" s="33"/>
      <c r="BL97" s="33"/>
      <c r="BM97" s="33"/>
      <c r="BN97" s="33"/>
      <c r="BO97" s="33"/>
      <c r="BP97" s="33"/>
      <c r="BQ97" s="33"/>
      <c r="BR97" s="33"/>
      <c r="BS97" s="33"/>
      <c r="BT97" s="33"/>
      <c r="BU97" s="33"/>
      <c r="BV97" s="33"/>
      <c r="BW97" s="33"/>
      <c r="BX97" s="33"/>
      <c r="BY97" s="33"/>
      <c r="BZ97" s="33"/>
      <c r="CA97" s="86"/>
      <c r="CB97" s="32"/>
      <c r="CC97" s="33"/>
      <c r="CD97" s="33"/>
      <c r="CE97" s="33"/>
      <c r="CF97" s="33"/>
      <c r="CG97" s="33"/>
      <c r="CH97" s="33"/>
      <c r="CI97" s="33"/>
      <c r="CJ97" s="33"/>
      <c r="CK97" s="33"/>
      <c r="CL97" s="33"/>
      <c r="CM97" s="33"/>
      <c r="CN97" s="33"/>
      <c r="CO97" s="33"/>
      <c r="CP97" s="33"/>
      <c r="CQ97" s="33"/>
      <c r="CR97" s="33"/>
      <c r="CS97" s="86"/>
      <c r="CT97" s="148"/>
      <c r="CU97" s="33"/>
      <c r="CV97" s="33"/>
      <c r="CW97" s="33"/>
      <c r="CX97" s="33"/>
      <c r="CY97" s="33"/>
      <c r="CZ97" s="33"/>
      <c r="DA97" s="33"/>
      <c r="DB97" s="33"/>
      <c r="DC97" s="33"/>
      <c r="DD97" s="33"/>
      <c r="DE97" s="33"/>
      <c r="DF97" s="33"/>
      <c r="DG97" s="33"/>
      <c r="DH97" s="33"/>
      <c r="DI97" s="33"/>
      <c r="DJ97" s="33"/>
      <c r="DK97" s="86"/>
      <c r="DL97" s="148"/>
      <c r="DM97" s="33"/>
      <c r="DN97" s="33"/>
      <c r="DO97" s="33"/>
      <c r="DP97" s="33"/>
      <c r="DQ97" s="33"/>
      <c r="DR97" s="33"/>
      <c r="DS97" s="33"/>
      <c r="DT97" s="33"/>
      <c r="DU97" s="33"/>
      <c r="DV97" s="33"/>
      <c r="DW97" s="33"/>
      <c r="DX97" s="33"/>
      <c r="DY97" s="33"/>
      <c r="DZ97" s="33"/>
      <c r="EA97" s="33"/>
      <c r="EB97" s="33"/>
      <c r="EC97" s="86"/>
      <c r="ED97" s="148"/>
      <c r="EE97" s="33"/>
      <c r="EF97" s="33"/>
      <c r="EG97" s="33"/>
      <c r="EH97" s="33"/>
      <c r="EI97" s="33"/>
      <c r="EJ97" s="33"/>
      <c r="EK97" s="33"/>
      <c r="EL97" s="33"/>
      <c r="EM97" s="33"/>
      <c r="EN97" s="33"/>
      <c r="EO97" s="33"/>
      <c r="EP97" s="33"/>
      <c r="EQ97" s="33"/>
      <c r="ER97" s="33"/>
      <c r="ES97" s="33"/>
      <c r="ET97" s="33"/>
      <c r="EU97" s="86"/>
      <c r="EV97" s="32"/>
      <c r="EW97" s="33"/>
      <c r="EX97" s="33"/>
      <c r="EY97" s="33"/>
      <c r="EZ97" s="33"/>
      <c r="FA97" s="33"/>
      <c r="FB97" s="33"/>
      <c r="FC97" s="33"/>
      <c r="FD97" s="33"/>
      <c r="FE97" s="33"/>
      <c r="FF97" s="33"/>
      <c r="FG97" s="33"/>
      <c r="FH97" s="33"/>
      <c r="FI97" s="33"/>
      <c r="FJ97" s="33"/>
      <c r="FK97" s="33"/>
      <c r="FL97" s="33"/>
      <c r="FM97" s="86"/>
      <c r="FN97" s="148"/>
      <c r="FO97" s="33"/>
      <c r="FP97" s="33"/>
      <c r="FQ97" s="33"/>
      <c r="FR97" s="33"/>
      <c r="FS97" s="33"/>
      <c r="FT97" s="33"/>
      <c r="FU97" s="33"/>
      <c r="FV97" s="33"/>
      <c r="FW97" s="33"/>
      <c r="FX97" s="33"/>
      <c r="FY97" s="33"/>
      <c r="FZ97" s="33"/>
      <c r="GA97" s="33"/>
      <c r="GB97" s="33"/>
      <c r="GC97" s="33"/>
      <c r="GD97" s="33"/>
      <c r="GE97" s="86"/>
      <c r="GF97" s="32"/>
      <c r="GG97" s="33"/>
      <c r="GH97" s="33"/>
      <c r="GI97" s="33"/>
      <c r="GJ97" s="33"/>
      <c r="GK97" s="33"/>
      <c r="GL97" s="33"/>
      <c r="GM97" s="33"/>
      <c r="GN97" s="33"/>
      <c r="GO97" s="33"/>
      <c r="GP97" s="33"/>
      <c r="GQ97" s="33"/>
      <c r="GR97" s="33"/>
      <c r="GS97" s="33"/>
      <c r="GT97" s="33"/>
      <c r="GU97" s="33"/>
      <c r="GV97" s="33"/>
      <c r="GW97" s="86"/>
      <c r="GX97" s="148"/>
      <c r="GY97" s="33"/>
      <c r="GZ97" s="33"/>
      <c r="HA97" s="33"/>
      <c r="HB97" s="33"/>
      <c r="HC97" s="33"/>
      <c r="HD97" s="33"/>
      <c r="HE97" s="33"/>
      <c r="HF97" s="33"/>
      <c r="HG97" s="33"/>
      <c r="HH97" s="33"/>
      <c r="HI97" s="33"/>
      <c r="HJ97" s="33"/>
      <c r="HK97" s="33"/>
      <c r="HL97" s="33"/>
      <c r="HM97" s="33"/>
      <c r="HN97" s="33"/>
      <c r="HO97" s="86"/>
      <c r="HP97" s="148"/>
      <c r="HQ97" s="33"/>
      <c r="HR97" s="33"/>
      <c r="HS97" s="33"/>
      <c r="HT97" s="33"/>
      <c r="HU97" s="33"/>
      <c r="HV97" s="33"/>
      <c r="HW97" s="33"/>
      <c r="HX97" s="33"/>
      <c r="HY97" s="33"/>
      <c r="HZ97" s="33"/>
      <c r="IA97" s="33"/>
      <c r="IB97" s="33"/>
      <c r="IC97" s="33"/>
      <c r="ID97" s="33"/>
      <c r="IE97" s="33"/>
      <c r="IF97" s="33"/>
      <c r="IG97" s="86"/>
      <c r="IH97" s="148"/>
      <c r="II97" s="33"/>
      <c r="IJ97" s="33"/>
      <c r="IK97" s="33"/>
      <c r="IL97" s="33"/>
      <c r="IM97" s="33"/>
      <c r="IN97" s="33"/>
      <c r="IO97" s="33"/>
      <c r="IP97" s="33"/>
      <c r="IQ97" s="33"/>
      <c r="IR97" s="33"/>
      <c r="IS97" s="33"/>
      <c r="IT97" s="33"/>
      <c r="IU97" s="33"/>
      <c r="IV97" s="33"/>
      <c r="IW97" s="33"/>
      <c r="IX97" s="33"/>
      <c r="IY97" s="86"/>
      <c r="IZ97" s="148"/>
      <c r="JA97" s="33"/>
      <c r="JB97" s="33"/>
      <c r="JC97" s="33"/>
      <c r="JD97" s="33"/>
      <c r="JE97" s="33"/>
      <c r="JF97" s="33"/>
      <c r="JG97" s="33"/>
      <c r="JH97" s="33"/>
      <c r="JI97" s="33"/>
      <c r="JJ97" s="33"/>
      <c r="JK97" s="33"/>
      <c r="JL97" s="33"/>
      <c r="JM97" s="33"/>
      <c r="JN97" s="33"/>
      <c r="JO97" s="33"/>
      <c r="JP97" s="33"/>
      <c r="JQ97" s="86"/>
      <c r="JR97" s="148"/>
      <c r="JS97" s="33"/>
      <c r="JT97" s="33"/>
      <c r="JU97" s="33"/>
      <c r="JV97" s="33"/>
      <c r="JW97" s="33"/>
      <c r="JX97" s="33"/>
      <c r="JY97" s="33"/>
      <c r="JZ97" s="33"/>
      <c r="KA97" s="33"/>
      <c r="KB97" s="33"/>
      <c r="KC97" s="33"/>
      <c r="KD97" s="33"/>
      <c r="KE97" s="33"/>
      <c r="KF97" s="33"/>
      <c r="KG97" s="33"/>
      <c r="KH97" s="33"/>
      <c r="KI97" s="86"/>
      <c r="KJ97" s="148"/>
      <c r="KK97" s="33"/>
      <c r="KL97" s="33"/>
      <c r="KM97" s="33"/>
      <c r="KN97" s="33"/>
      <c r="KO97" s="33"/>
      <c r="KP97" s="33"/>
      <c r="KQ97" s="33"/>
      <c r="KR97" s="33"/>
      <c r="KS97" s="33"/>
      <c r="KT97" s="33"/>
      <c r="KU97" s="33"/>
      <c r="KV97" s="33"/>
      <c r="KW97" s="33"/>
      <c r="KX97" s="33"/>
      <c r="KY97" s="33"/>
      <c r="KZ97" s="33"/>
      <c r="LA97" s="86"/>
      <c r="LB97" s="148"/>
      <c r="LC97" s="33"/>
      <c r="LD97" s="33"/>
      <c r="LE97" s="33"/>
      <c r="LF97" s="33"/>
      <c r="LG97" s="33"/>
      <c r="LH97" s="33"/>
      <c r="LI97" s="33"/>
      <c r="LJ97" s="33"/>
      <c r="LK97" s="33"/>
      <c r="LL97" s="33"/>
      <c r="LM97" s="33"/>
      <c r="LN97" s="33"/>
      <c r="LO97" s="33"/>
      <c r="LP97" s="33"/>
      <c r="LQ97" s="33"/>
      <c r="LR97" s="33"/>
      <c r="LS97" s="86"/>
      <c r="LT97" s="148"/>
      <c r="LU97" s="33"/>
      <c r="LV97" s="33"/>
      <c r="LW97" s="33"/>
      <c r="LX97" s="33"/>
      <c r="LY97" s="33"/>
      <c r="LZ97" s="33"/>
      <c r="MA97" s="33"/>
      <c r="MB97" s="31"/>
      <c r="MC97" s="33"/>
      <c r="MD97" s="33"/>
      <c r="ME97" s="33"/>
      <c r="MF97" s="33"/>
      <c r="MG97" s="33"/>
      <c r="MH97" s="33"/>
      <c r="MI97" s="33"/>
      <c r="MJ97" s="33"/>
      <c r="MK97" s="86"/>
      <c r="ML97" s="148"/>
      <c r="MM97" s="33"/>
      <c r="MN97" s="33"/>
      <c r="MO97" s="33"/>
      <c r="MP97" s="33"/>
      <c r="MQ97" s="33"/>
      <c r="MR97" s="33"/>
      <c r="MS97" s="33"/>
      <c r="MT97" s="33"/>
      <c r="MU97" s="33"/>
      <c r="MV97" s="33"/>
      <c r="MW97" s="33"/>
      <c r="MX97" s="33"/>
      <c r="MY97" s="33"/>
      <c r="MZ97" s="33"/>
      <c r="NA97" s="33"/>
      <c r="NB97" s="33"/>
      <c r="NC97" s="86"/>
      <c r="ND97" s="32"/>
      <c r="NE97" s="33"/>
      <c r="NF97" s="33"/>
      <c r="NG97" s="33"/>
      <c r="NH97" s="33"/>
      <c r="NI97" s="33"/>
      <c r="NJ97" s="33"/>
      <c r="NK97" s="33"/>
      <c r="NL97" s="33"/>
      <c r="NM97" s="33"/>
      <c r="NN97" s="33"/>
      <c r="NO97" s="33"/>
      <c r="NP97" s="33"/>
      <c r="NQ97" s="33"/>
      <c r="NR97" s="33"/>
      <c r="NS97" s="33"/>
      <c r="NT97" s="33"/>
      <c r="NU97" s="86"/>
      <c r="NV97" s="148"/>
      <c r="NW97" s="33"/>
      <c r="NX97" s="33"/>
      <c r="NY97" s="33"/>
      <c r="NZ97" s="33"/>
      <c r="OA97" s="33"/>
      <c r="OB97" s="33"/>
      <c r="OC97" s="33"/>
      <c r="OD97" s="33"/>
      <c r="OE97" s="33"/>
      <c r="OF97" s="33"/>
      <c r="OG97" s="33"/>
      <c r="OH97" s="33"/>
      <c r="OI97" s="33"/>
      <c r="OJ97" s="33"/>
      <c r="OK97" s="33"/>
      <c r="OL97" s="33"/>
      <c r="OM97" s="86"/>
      <c r="ON97" s="32"/>
      <c r="OO97" s="33"/>
      <c r="OP97" s="33"/>
      <c r="OQ97" s="33"/>
      <c r="OR97" s="33"/>
      <c r="OS97" s="33"/>
      <c r="OT97" s="33"/>
      <c r="OU97" s="33"/>
      <c r="OV97" s="33"/>
      <c r="OW97" s="33"/>
      <c r="OX97" s="33"/>
      <c r="OY97" s="33"/>
      <c r="OZ97" s="33"/>
      <c r="PA97" s="33"/>
      <c r="PB97" s="33"/>
      <c r="PC97" s="33"/>
      <c r="PD97" s="33"/>
      <c r="PE97" s="86"/>
      <c r="PF97" s="148"/>
      <c r="PG97" s="33"/>
      <c r="PH97" s="33"/>
      <c r="PI97" s="33"/>
      <c r="PJ97" s="33"/>
      <c r="PK97" s="33"/>
      <c r="PL97" s="33"/>
      <c r="PM97" s="33"/>
      <c r="PN97" s="31"/>
      <c r="PO97" s="33"/>
      <c r="PP97" s="33"/>
      <c r="PQ97" s="33"/>
      <c r="PR97" s="33"/>
      <c r="PS97" s="33"/>
      <c r="PT97" s="33"/>
      <c r="PU97" s="33"/>
      <c r="PV97" s="33"/>
      <c r="PW97" s="86"/>
      <c r="PX97" s="148"/>
      <c r="PY97" s="33"/>
      <c r="PZ97" s="33"/>
      <c r="QA97" s="33"/>
      <c r="QB97" s="33"/>
      <c r="QC97" s="33"/>
      <c r="QD97" s="33"/>
      <c r="QE97" s="33"/>
      <c r="QF97" s="31"/>
      <c r="QG97" s="33"/>
      <c r="QH97" s="33"/>
      <c r="QI97" s="33"/>
      <c r="QJ97" s="33"/>
      <c r="QK97" s="33"/>
      <c r="QL97" s="33"/>
      <c r="QM97" s="33"/>
      <c r="QN97" s="33"/>
      <c r="QO97" s="86"/>
      <c r="QP97" s="148"/>
      <c r="QQ97" s="33"/>
      <c r="QR97" s="33"/>
      <c r="QS97" s="33"/>
      <c r="QT97" s="33"/>
      <c r="QU97" s="33"/>
      <c r="QV97" s="33"/>
      <c r="QW97" s="33"/>
      <c r="QX97" s="31"/>
      <c r="QY97" s="33"/>
      <c r="QZ97" s="33"/>
      <c r="RA97" s="33"/>
      <c r="RB97" s="33"/>
      <c r="RC97" s="33"/>
      <c r="RD97" s="33"/>
      <c r="RE97" s="33"/>
      <c r="RF97" s="33"/>
      <c r="RG97" s="86"/>
      <c r="RH97" s="148"/>
      <c r="RI97" s="33"/>
      <c r="RJ97" s="33"/>
      <c r="RK97" s="33"/>
      <c r="RL97" s="33"/>
      <c r="RM97" s="33"/>
      <c r="RN97" s="33"/>
      <c r="RO97" s="33"/>
      <c r="RP97" s="31"/>
      <c r="RQ97" s="33"/>
      <c r="RR97" s="33"/>
      <c r="RS97" s="33"/>
      <c r="RT97" s="33"/>
      <c r="RU97" s="33"/>
      <c r="RV97" s="33"/>
      <c r="RW97" s="33"/>
      <c r="RX97" s="33"/>
      <c r="RY97" s="86"/>
      <c r="RZ97" s="148"/>
      <c r="SA97" s="33"/>
      <c r="SB97" s="33"/>
      <c r="SC97" s="33"/>
      <c r="SD97" s="33"/>
      <c r="SE97" s="33"/>
      <c r="SF97" s="33"/>
      <c r="SG97" s="33"/>
      <c r="SH97" s="31"/>
      <c r="SI97" s="33"/>
      <c r="SJ97" s="33"/>
      <c r="SK97" s="33"/>
      <c r="SL97" s="33"/>
      <c r="SM97" s="33"/>
      <c r="SN97" s="33"/>
      <c r="SO97" s="33"/>
      <c r="SP97" s="33"/>
      <c r="SQ97" s="86"/>
      <c r="SR97" s="148"/>
      <c r="SS97" s="33"/>
      <c r="ST97" s="33"/>
      <c r="SU97" s="33"/>
      <c r="SV97" s="33"/>
      <c r="SW97" s="33"/>
      <c r="SX97" s="33"/>
      <c r="SY97" s="33"/>
      <c r="SZ97" s="31"/>
      <c r="TA97" s="33"/>
      <c r="TB97" s="33"/>
      <c r="TC97" s="33"/>
      <c r="TD97" s="33"/>
      <c r="TE97" s="33"/>
      <c r="TF97" s="33"/>
      <c r="TG97" s="33"/>
      <c r="TH97" s="33"/>
      <c r="TI97" s="86"/>
      <c r="TJ97" s="148"/>
      <c r="TK97" s="33"/>
      <c r="TL97" s="33"/>
      <c r="TM97" s="33"/>
      <c r="TN97" s="33"/>
      <c r="TO97" s="33"/>
      <c r="TP97" s="33"/>
      <c r="TQ97" s="33"/>
      <c r="TR97" s="31"/>
      <c r="TS97" s="33"/>
      <c r="TT97" s="33"/>
      <c r="TU97" s="33"/>
      <c r="TV97" s="33"/>
      <c r="TW97" s="33"/>
      <c r="TX97" s="33"/>
      <c r="TY97" s="33"/>
      <c r="TZ97" s="33"/>
      <c r="UA97" s="86"/>
      <c r="UB97" s="148"/>
      <c r="UC97" s="33"/>
      <c r="UD97" s="33"/>
      <c r="UE97" s="33"/>
      <c r="UF97" s="33"/>
      <c r="UG97" s="33"/>
      <c r="UH97" s="33"/>
      <c r="UI97" s="33"/>
      <c r="UJ97" s="31"/>
      <c r="UK97" s="33"/>
      <c r="UL97" s="33"/>
      <c r="UM97" s="33"/>
      <c r="UN97" s="33"/>
      <c r="UO97" s="33"/>
      <c r="UP97" s="33"/>
      <c r="UQ97" s="33"/>
      <c r="UR97" s="33"/>
      <c r="US97" s="86"/>
    </row>
    <row r="98" spans="1:565" s="126" customFormat="1" x14ac:dyDescent="0.3">
      <c r="A98" s="8" t="s">
        <v>196</v>
      </c>
      <c r="B98" s="168">
        <v>84</v>
      </c>
      <c r="C98" s="13" t="s">
        <v>198</v>
      </c>
      <c r="D98"/>
      <c r="E98"/>
      <c r="F98" s="36">
        <v>405690700</v>
      </c>
      <c r="G98" s="85"/>
      <c r="H98" s="35"/>
      <c r="I98" s="35">
        <v>34987021.280000001</v>
      </c>
      <c r="J98" s="35">
        <v>32887800</v>
      </c>
      <c r="K98" s="35">
        <v>2099221.2799999998</v>
      </c>
      <c r="L98" s="35">
        <v>32887800</v>
      </c>
      <c r="M98" s="35">
        <v>642051.61</v>
      </c>
      <c r="N98" s="36"/>
      <c r="O98" s="35">
        <v>34987021.280000001</v>
      </c>
      <c r="P98" s="35">
        <v>32887800</v>
      </c>
      <c r="Q98" s="35"/>
      <c r="R98" s="35">
        <v>2099221.2799999998</v>
      </c>
      <c r="S98" s="35">
        <v>6</v>
      </c>
      <c r="T98" s="35">
        <v>642051.61</v>
      </c>
      <c r="U98" s="35"/>
      <c r="V98" s="85">
        <v>32887800</v>
      </c>
      <c r="W98" s="27"/>
      <c r="X98" s="36">
        <v>32887800</v>
      </c>
      <c r="Y98" s="85">
        <v>32887800</v>
      </c>
      <c r="Z98" s="35"/>
      <c r="AA98" s="35">
        <v>4792021.28</v>
      </c>
      <c r="AB98" s="35">
        <v>4504500</v>
      </c>
      <c r="AC98" s="35">
        <v>287521.28000000003</v>
      </c>
      <c r="AD98" s="35">
        <v>4504500</v>
      </c>
      <c r="AE98" s="35"/>
      <c r="AF98" s="36"/>
      <c r="AG98" s="35">
        <v>4792021.28</v>
      </c>
      <c r="AH98" s="35">
        <v>4504500</v>
      </c>
      <c r="AI98" s="35"/>
      <c r="AJ98" s="35">
        <v>287521.28000000003</v>
      </c>
      <c r="AK98" s="35">
        <v>6</v>
      </c>
      <c r="AL98" s="35"/>
      <c r="AM98" s="35"/>
      <c r="AN98" s="85">
        <v>4504500</v>
      </c>
      <c r="AO98" s="27"/>
      <c r="AP98" s="36">
        <v>4504500</v>
      </c>
      <c r="AQ98" s="85">
        <v>4504500</v>
      </c>
      <c r="AR98" s="35"/>
      <c r="AS98" s="35">
        <v>242677340.43000001</v>
      </c>
      <c r="AT98" s="35">
        <v>228116700</v>
      </c>
      <c r="AU98" s="35">
        <v>14560640.43</v>
      </c>
      <c r="AV98" s="35">
        <v>228116700</v>
      </c>
      <c r="AW98" s="35">
        <v>13453.55</v>
      </c>
      <c r="AX98" s="36"/>
      <c r="AY98" s="35">
        <v>242677340.43000001</v>
      </c>
      <c r="AZ98" s="35">
        <v>228116700</v>
      </c>
      <c r="BA98" s="35"/>
      <c r="BB98" s="35">
        <v>14560640.43</v>
      </c>
      <c r="BC98" s="35">
        <v>6</v>
      </c>
      <c r="BD98" s="35">
        <v>13453.55</v>
      </c>
      <c r="BE98" s="35"/>
      <c r="BF98" s="85">
        <v>228116700</v>
      </c>
      <c r="BG98" s="27"/>
      <c r="BH98" s="36">
        <v>228116700</v>
      </c>
      <c r="BI98" s="85">
        <v>228116700</v>
      </c>
      <c r="BJ98" s="35"/>
      <c r="BK98" s="35">
        <v>22038936.170000002</v>
      </c>
      <c r="BL98" s="35">
        <v>20716600</v>
      </c>
      <c r="BM98" s="35">
        <v>1322336.17</v>
      </c>
      <c r="BN98" s="35">
        <v>20716600</v>
      </c>
      <c r="BO98" s="35"/>
      <c r="BP98" s="36"/>
      <c r="BQ98" s="35">
        <v>22038936.170000002</v>
      </c>
      <c r="BR98" s="35">
        <v>20716600</v>
      </c>
      <c r="BS98" s="35"/>
      <c r="BT98" s="35">
        <v>1322336.17</v>
      </c>
      <c r="BU98" s="35">
        <v>6</v>
      </c>
      <c r="BV98" s="35"/>
      <c r="BW98" s="35"/>
      <c r="BX98" s="85">
        <v>20716600</v>
      </c>
      <c r="BY98" s="27"/>
      <c r="BZ98" s="36">
        <v>20716600</v>
      </c>
      <c r="CA98" s="85">
        <v>20716600</v>
      </c>
      <c r="CB98" s="35"/>
      <c r="CC98" s="35">
        <v>38765957.439999998</v>
      </c>
      <c r="CD98" s="35">
        <v>36440000</v>
      </c>
      <c r="CE98" s="35">
        <v>2325957.44</v>
      </c>
      <c r="CF98" s="35">
        <v>36440000</v>
      </c>
      <c r="CG98" s="35"/>
      <c r="CH98" s="36"/>
      <c r="CI98" s="35">
        <v>38765957.439999998</v>
      </c>
      <c r="CJ98" s="35">
        <v>36440000</v>
      </c>
      <c r="CK98" s="35"/>
      <c r="CL98" s="35">
        <v>2325957.44</v>
      </c>
      <c r="CM98" s="35">
        <v>6</v>
      </c>
      <c r="CN98" s="35"/>
      <c r="CO98" s="35"/>
      <c r="CP98" s="85">
        <v>36440000</v>
      </c>
      <c r="CQ98" s="27"/>
      <c r="CR98" s="36">
        <v>36440000</v>
      </c>
      <c r="CS98" s="85">
        <v>36440000</v>
      </c>
      <c r="CT98" s="35"/>
      <c r="CU98" s="35"/>
      <c r="CV98" s="35"/>
      <c r="CW98" s="35"/>
      <c r="CX98" s="35"/>
      <c r="CY98" s="35"/>
      <c r="CZ98" s="36"/>
      <c r="DA98" s="35"/>
      <c r="DB98" s="35"/>
      <c r="DC98" s="35"/>
      <c r="DD98" s="35"/>
      <c r="DE98" s="35"/>
      <c r="DF98" s="35"/>
      <c r="DG98" s="35"/>
      <c r="DH98" s="85"/>
      <c r="DI98" s="27"/>
      <c r="DJ98" s="36"/>
      <c r="DK98" s="85"/>
      <c r="DL98" s="35"/>
      <c r="DM98" s="35"/>
      <c r="DN98" s="35"/>
      <c r="DO98" s="35"/>
      <c r="DP98" s="35"/>
      <c r="DQ98" s="35"/>
      <c r="DR98" s="36"/>
      <c r="DS98" s="35"/>
      <c r="DT98" s="35"/>
      <c r="DU98" s="35"/>
      <c r="DV98" s="35"/>
      <c r="DW98" s="35"/>
      <c r="DX98" s="35"/>
      <c r="DY98" s="35"/>
      <c r="DZ98" s="85"/>
      <c r="EA98" s="27"/>
      <c r="EB98" s="36"/>
      <c r="EC98" s="85"/>
      <c r="ED98" s="35"/>
      <c r="EE98" s="35">
        <v>60500816.329999998</v>
      </c>
      <c r="EF98" s="35">
        <v>59290800</v>
      </c>
      <c r="EG98" s="35">
        <v>1210016.33</v>
      </c>
      <c r="EH98" s="35">
        <v>59290122.990000002</v>
      </c>
      <c r="EI98" s="35"/>
      <c r="EJ98" s="36"/>
      <c r="EK98" s="35">
        <v>60500125.5</v>
      </c>
      <c r="EL98" s="35">
        <v>59290122.990000002</v>
      </c>
      <c r="EM98" s="35"/>
      <c r="EN98" s="35">
        <v>1210002.51</v>
      </c>
      <c r="EO98" s="35">
        <v>2</v>
      </c>
      <c r="EP98" s="35"/>
      <c r="EQ98" s="35"/>
      <c r="ER98" s="85">
        <v>59290122.990000002</v>
      </c>
      <c r="ES98" s="27"/>
      <c r="ET98" s="36">
        <v>59290800</v>
      </c>
      <c r="EU98" s="85">
        <v>59290800</v>
      </c>
      <c r="EV98" s="35"/>
      <c r="EW98" s="35">
        <v>10304574.470000001</v>
      </c>
      <c r="EX98" s="35">
        <v>9686300</v>
      </c>
      <c r="EY98" s="35">
        <v>618274.47</v>
      </c>
      <c r="EZ98" s="35">
        <v>9686300</v>
      </c>
      <c r="FA98" s="35"/>
      <c r="FB98" s="36"/>
      <c r="FC98" s="35">
        <v>10304574.470000001</v>
      </c>
      <c r="FD98" s="35">
        <v>9686300</v>
      </c>
      <c r="FE98" s="35"/>
      <c r="FF98" s="35">
        <v>618274.47</v>
      </c>
      <c r="FG98" s="35">
        <v>6</v>
      </c>
      <c r="FH98" s="35"/>
      <c r="FI98" s="35"/>
      <c r="FJ98" s="85">
        <v>9686300</v>
      </c>
      <c r="FK98" s="27"/>
      <c r="FL98" s="36">
        <v>9686300</v>
      </c>
      <c r="FM98" s="85">
        <v>9686300</v>
      </c>
      <c r="FN98" s="35"/>
      <c r="FO98" s="35"/>
      <c r="FP98" s="35"/>
      <c r="FQ98" s="35"/>
      <c r="FR98" s="35"/>
      <c r="FS98" s="35">
        <v>30763.75</v>
      </c>
      <c r="FT98" s="36"/>
      <c r="FU98" s="35"/>
      <c r="FV98" s="35"/>
      <c r="FW98" s="35"/>
      <c r="FX98" s="35"/>
      <c r="FY98" s="35"/>
      <c r="FZ98" s="35">
        <v>30763.75</v>
      </c>
      <c r="GA98" s="35"/>
      <c r="GB98" s="85"/>
      <c r="GC98" s="27"/>
      <c r="GD98" s="36"/>
      <c r="GE98" s="85"/>
      <c r="GF98" s="35"/>
      <c r="GG98" s="35"/>
      <c r="GH98" s="35"/>
      <c r="GI98" s="35"/>
      <c r="GJ98" s="35"/>
      <c r="GK98" s="35"/>
      <c r="GL98" s="36"/>
      <c r="GM98" s="35"/>
      <c r="GN98" s="35"/>
      <c r="GO98" s="35"/>
      <c r="GP98" s="35"/>
      <c r="GQ98" s="35"/>
      <c r="GR98" s="35"/>
      <c r="GS98" s="35"/>
      <c r="GT98" s="85"/>
      <c r="GU98" s="27"/>
      <c r="GV98" s="36"/>
      <c r="GW98" s="85"/>
      <c r="GX98" s="35"/>
      <c r="GY98" s="35"/>
      <c r="GZ98" s="35"/>
      <c r="HA98" s="35"/>
      <c r="HB98" s="35"/>
      <c r="HC98" s="35"/>
      <c r="HD98" s="36"/>
      <c r="HE98" s="35"/>
      <c r="HF98" s="35"/>
      <c r="HG98" s="35"/>
      <c r="HH98" s="35"/>
      <c r="HI98" s="35"/>
      <c r="HJ98" s="35"/>
      <c r="HK98" s="35"/>
      <c r="HL98" s="85"/>
      <c r="HM98" s="27"/>
      <c r="HN98" s="36"/>
      <c r="HO98" s="85"/>
      <c r="HP98" s="35"/>
      <c r="HQ98" s="35"/>
      <c r="HR98" s="35"/>
      <c r="HS98" s="35"/>
      <c r="HT98" s="35"/>
      <c r="HU98" s="35"/>
      <c r="HV98" s="36"/>
      <c r="HW98" s="35"/>
      <c r="HX98" s="35"/>
      <c r="HY98" s="35"/>
      <c r="HZ98" s="35"/>
      <c r="IA98" s="35"/>
      <c r="IB98" s="35"/>
      <c r="IC98" s="35"/>
      <c r="ID98" s="85"/>
      <c r="IE98" s="27"/>
      <c r="IF98" s="36"/>
      <c r="IG98" s="85"/>
      <c r="IH98" s="35"/>
      <c r="II98" s="35"/>
      <c r="IJ98" s="35"/>
      <c r="IK98" s="35"/>
      <c r="IL98" s="35"/>
      <c r="IM98" s="35"/>
      <c r="IN98" s="36"/>
      <c r="IO98" s="35"/>
      <c r="IP98" s="35"/>
      <c r="IQ98" s="35"/>
      <c r="IR98" s="35"/>
      <c r="IS98" s="35"/>
      <c r="IT98" s="35"/>
      <c r="IU98" s="35"/>
      <c r="IV98" s="85"/>
      <c r="IW98" s="27"/>
      <c r="IX98" s="36"/>
      <c r="IY98" s="85"/>
      <c r="IZ98" s="35"/>
      <c r="JA98" s="35">
        <v>3916900</v>
      </c>
      <c r="JB98" s="35">
        <v>3681900</v>
      </c>
      <c r="JC98" s="35">
        <v>235000</v>
      </c>
      <c r="JD98" s="35">
        <v>3681900</v>
      </c>
      <c r="JE98" s="35"/>
      <c r="JF98" s="36"/>
      <c r="JG98" s="35">
        <v>3916900</v>
      </c>
      <c r="JH98" s="35">
        <v>3681900</v>
      </c>
      <c r="JI98" s="35"/>
      <c r="JJ98" s="35">
        <v>235000</v>
      </c>
      <c r="JK98" s="35">
        <v>5.9996400000000003</v>
      </c>
      <c r="JL98" s="35"/>
      <c r="JM98" s="35"/>
      <c r="JN98" s="85">
        <v>3681900</v>
      </c>
      <c r="JO98" s="27"/>
      <c r="JP98" s="36">
        <v>3681900</v>
      </c>
      <c r="JQ98" s="85">
        <v>3681900</v>
      </c>
      <c r="JR98" s="35"/>
      <c r="JS98" s="35"/>
      <c r="JT98" s="35"/>
      <c r="JU98" s="35"/>
      <c r="JV98" s="35"/>
      <c r="JW98" s="35"/>
      <c r="JX98" s="36"/>
      <c r="JY98" s="35"/>
      <c r="JZ98" s="35"/>
      <c r="KA98" s="35"/>
      <c r="KB98" s="35"/>
      <c r="KC98" s="35"/>
      <c r="KD98" s="35"/>
      <c r="KE98" s="35"/>
      <c r="KF98" s="85"/>
      <c r="KG98" s="27"/>
      <c r="KH98" s="36"/>
      <c r="KI98" s="85"/>
      <c r="KJ98" s="35"/>
      <c r="KK98" s="35">
        <v>2992500</v>
      </c>
      <c r="KL98" s="35">
        <v>2812900</v>
      </c>
      <c r="KM98" s="35">
        <v>179600</v>
      </c>
      <c r="KN98" s="35">
        <v>2812900</v>
      </c>
      <c r="KO98" s="35"/>
      <c r="KP98" s="36"/>
      <c r="KQ98" s="35">
        <v>2992500</v>
      </c>
      <c r="KR98" s="35">
        <v>2812900</v>
      </c>
      <c r="KS98" s="35"/>
      <c r="KT98" s="35">
        <v>179600</v>
      </c>
      <c r="KU98" s="35">
        <v>6.0016699999999998</v>
      </c>
      <c r="KV98" s="35"/>
      <c r="KW98" s="35"/>
      <c r="KX98" s="85">
        <v>2812900</v>
      </c>
      <c r="KY98" s="27"/>
      <c r="KZ98" s="36">
        <v>2812900</v>
      </c>
      <c r="LA98" s="85">
        <v>2812900</v>
      </c>
      <c r="LB98" s="35"/>
      <c r="LC98" s="35"/>
      <c r="LD98" s="35"/>
      <c r="LE98" s="35"/>
      <c r="LF98" s="35"/>
      <c r="LG98" s="35"/>
      <c r="LH98" s="36"/>
      <c r="LI98" s="35"/>
      <c r="LJ98" s="35"/>
      <c r="LK98" s="35"/>
      <c r="LL98" s="35"/>
      <c r="LM98" s="35"/>
      <c r="LN98" s="35"/>
      <c r="LO98" s="35"/>
      <c r="LP98" s="85"/>
      <c r="LQ98" s="27"/>
      <c r="LR98" s="36"/>
      <c r="LS98" s="85"/>
      <c r="LT98" s="35"/>
      <c r="LU98" s="35">
        <v>7590000</v>
      </c>
      <c r="LV98" s="35">
        <v>7134600</v>
      </c>
      <c r="LW98" s="35">
        <v>455400</v>
      </c>
      <c r="LX98" s="35">
        <v>7077613.1600000001</v>
      </c>
      <c r="LY98" s="35"/>
      <c r="LZ98" s="36"/>
      <c r="MA98" s="35">
        <v>7529375.71</v>
      </c>
      <c r="MB98" s="35">
        <v>7077613.1600000001</v>
      </c>
      <c r="MC98" s="35"/>
      <c r="MD98" s="35">
        <v>451762.55</v>
      </c>
      <c r="ME98" s="35">
        <v>6</v>
      </c>
      <c r="MF98" s="35"/>
      <c r="MG98" s="35"/>
      <c r="MH98" s="85">
        <v>7077613.1600000001</v>
      </c>
      <c r="MI98" s="27"/>
      <c r="MJ98" s="36">
        <v>7134600</v>
      </c>
      <c r="MK98" s="85">
        <v>7134600</v>
      </c>
      <c r="ML98" s="35"/>
      <c r="MM98" s="35"/>
      <c r="MN98" s="35"/>
      <c r="MO98" s="35"/>
      <c r="MP98" s="35"/>
      <c r="MQ98" s="35"/>
      <c r="MR98" s="36"/>
      <c r="MS98" s="35"/>
      <c r="MT98" s="35"/>
      <c r="MU98" s="35"/>
      <c r="MV98" s="35"/>
      <c r="MW98" s="35"/>
      <c r="MX98" s="35"/>
      <c r="MY98" s="35"/>
      <c r="MZ98" s="85"/>
      <c r="NA98" s="27"/>
      <c r="NB98" s="36"/>
      <c r="NC98" s="85"/>
      <c r="ND98" s="35"/>
      <c r="NE98" s="35">
        <v>445319.15</v>
      </c>
      <c r="NF98" s="35">
        <v>418600</v>
      </c>
      <c r="NG98" s="35">
        <v>26719.15</v>
      </c>
      <c r="NH98" s="35">
        <v>418600</v>
      </c>
      <c r="NI98" s="35"/>
      <c r="NJ98" s="36"/>
      <c r="NK98" s="35">
        <v>445319.15</v>
      </c>
      <c r="NL98" s="35">
        <v>418600</v>
      </c>
      <c r="NM98" s="35"/>
      <c r="NN98" s="35">
        <v>26719.15</v>
      </c>
      <c r="NO98" s="35">
        <v>6</v>
      </c>
      <c r="NP98" s="35"/>
      <c r="NQ98" s="35"/>
      <c r="NR98" s="85">
        <v>418600</v>
      </c>
      <c r="NS98" s="27"/>
      <c r="NT98" s="36">
        <v>418600</v>
      </c>
      <c r="NU98" s="85">
        <v>418600</v>
      </c>
      <c r="NV98" s="35"/>
      <c r="NW98" s="35"/>
      <c r="NX98" s="35"/>
      <c r="NY98" s="35"/>
      <c r="NZ98" s="35"/>
      <c r="OA98" s="35"/>
      <c r="OB98" s="36"/>
      <c r="OC98" s="35"/>
      <c r="OD98" s="35"/>
      <c r="OE98" s="35"/>
      <c r="OF98" s="35"/>
      <c r="OG98" s="35"/>
      <c r="OH98" s="35"/>
      <c r="OI98" s="35"/>
      <c r="OJ98" s="85"/>
      <c r="OK98" s="27"/>
      <c r="OL98" s="36"/>
      <c r="OM98" s="85"/>
      <c r="ON98" s="35"/>
      <c r="OO98" s="35"/>
      <c r="OP98" s="35"/>
      <c r="OQ98" s="35"/>
      <c r="OR98" s="35"/>
      <c r="OS98" s="35">
        <v>6641.9</v>
      </c>
      <c r="OT98" s="36"/>
      <c r="OU98" s="35"/>
      <c r="OV98" s="35"/>
      <c r="OW98" s="35"/>
      <c r="OX98" s="35"/>
      <c r="OY98" s="35"/>
      <c r="OZ98" s="35">
        <v>6641.9</v>
      </c>
      <c r="PA98" s="35"/>
      <c r="PB98" s="85"/>
      <c r="PC98" s="27"/>
      <c r="PD98" s="36"/>
      <c r="PE98" s="85"/>
      <c r="PF98" s="35"/>
      <c r="PG98" s="35"/>
      <c r="PH98" s="35"/>
      <c r="PI98" s="35"/>
      <c r="PJ98" s="35"/>
      <c r="PK98" s="35"/>
      <c r="PL98" s="36"/>
      <c r="PM98" s="35"/>
      <c r="PN98" s="35"/>
      <c r="PO98" s="35"/>
      <c r="PP98" s="35"/>
      <c r="PQ98" s="35"/>
      <c r="PR98" s="35"/>
      <c r="PS98" s="35"/>
      <c r="PT98" s="85"/>
      <c r="PU98" s="27"/>
      <c r="PV98" s="36"/>
      <c r="PW98" s="85"/>
      <c r="PX98" s="35"/>
      <c r="PY98" s="35"/>
      <c r="PZ98" s="35"/>
      <c r="QA98" s="35"/>
      <c r="QB98" s="35"/>
      <c r="QC98" s="35"/>
      <c r="QD98" s="36"/>
      <c r="QE98" s="35"/>
      <c r="QF98" s="35"/>
      <c r="QG98" s="35"/>
      <c r="QH98" s="35"/>
      <c r="QI98" s="35"/>
      <c r="QJ98" s="35"/>
      <c r="QK98" s="35"/>
      <c r="QL98" s="85"/>
      <c r="QM98" s="27"/>
      <c r="QN98" s="36"/>
      <c r="QO98" s="85"/>
      <c r="QP98" s="35"/>
      <c r="QQ98" s="35"/>
      <c r="QR98" s="35"/>
      <c r="QS98" s="35"/>
      <c r="QT98" s="35"/>
      <c r="QU98" s="35"/>
      <c r="QV98" s="36"/>
      <c r="QW98" s="35"/>
      <c r="QX98" s="35"/>
      <c r="QY98" s="35"/>
      <c r="QZ98" s="35"/>
      <c r="RA98" s="35"/>
      <c r="RB98" s="35"/>
      <c r="RC98" s="35"/>
      <c r="RD98" s="85"/>
      <c r="RE98" s="27"/>
      <c r="RF98" s="36"/>
      <c r="RG98" s="85"/>
      <c r="RH98" s="35"/>
      <c r="RI98" s="35"/>
      <c r="RJ98" s="35"/>
      <c r="RK98" s="35"/>
      <c r="RL98" s="35"/>
      <c r="RM98" s="35"/>
      <c r="RN98" s="36"/>
      <c r="RO98" s="35"/>
      <c r="RP98" s="35"/>
      <c r="RQ98" s="35"/>
      <c r="RR98" s="35"/>
      <c r="RS98" s="35"/>
      <c r="RT98" s="35"/>
      <c r="RU98" s="35"/>
      <c r="RV98" s="85"/>
      <c r="RW98" s="27"/>
      <c r="RX98" s="36"/>
      <c r="RY98" s="85"/>
      <c r="RZ98" s="35"/>
      <c r="SA98" s="35"/>
      <c r="SB98" s="35"/>
      <c r="SC98" s="35"/>
      <c r="SD98" s="35"/>
      <c r="SE98" s="35"/>
      <c r="SF98" s="36"/>
      <c r="SG98" s="35"/>
      <c r="SH98" s="35"/>
      <c r="SI98" s="35"/>
      <c r="SJ98" s="35"/>
      <c r="SK98" s="35"/>
      <c r="SL98" s="35"/>
      <c r="SM98" s="35"/>
      <c r="SN98" s="85"/>
      <c r="SO98" s="27"/>
      <c r="SP98" s="36"/>
      <c r="SQ98" s="85"/>
      <c r="SR98" s="35"/>
      <c r="SS98" s="35"/>
      <c r="ST98" s="35"/>
      <c r="SU98" s="35"/>
      <c r="SV98" s="35"/>
      <c r="SW98" s="35"/>
      <c r="SX98" s="36"/>
      <c r="SY98" s="35"/>
      <c r="SZ98" s="35"/>
      <c r="TA98" s="35"/>
      <c r="TB98" s="35"/>
      <c r="TC98" s="35"/>
      <c r="TD98" s="35"/>
      <c r="TE98" s="35"/>
      <c r="TF98" s="85"/>
      <c r="TG98" s="27"/>
      <c r="TH98" s="36"/>
      <c r="TI98" s="85"/>
      <c r="TJ98" s="35"/>
      <c r="TK98" s="35"/>
      <c r="TL98" s="35"/>
      <c r="TM98" s="35"/>
      <c r="TN98" s="35"/>
      <c r="TO98" s="35"/>
      <c r="TP98" s="36"/>
      <c r="TQ98" s="35"/>
      <c r="TR98" s="35"/>
      <c r="TS98" s="35"/>
      <c r="TT98" s="35"/>
      <c r="TU98" s="35"/>
      <c r="TV98" s="35"/>
      <c r="TW98" s="35"/>
      <c r="TX98" s="85"/>
      <c r="TY98" s="27"/>
      <c r="TZ98" s="36"/>
      <c r="UA98" s="85"/>
      <c r="UB98" s="35"/>
      <c r="UC98" s="35"/>
      <c r="UD98" s="35"/>
      <c r="UE98" s="35"/>
      <c r="UF98" s="35"/>
      <c r="UG98" s="35"/>
      <c r="UH98" s="36"/>
      <c r="UI98" s="35"/>
      <c r="UJ98" s="35"/>
      <c r="UK98" s="35"/>
      <c r="UL98" s="35"/>
      <c r="UM98" s="35"/>
      <c r="UN98" s="35"/>
      <c r="UO98" s="35"/>
      <c r="UP98" s="85"/>
      <c r="UQ98" s="27"/>
      <c r="UR98" s="36"/>
      <c r="US98" s="85"/>
    </row>
    <row r="99" spans="1:565" x14ac:dyDescent="0.3">
      <c r="A99" s="8" t="s">
        <v>232</v>
      </c>
      <c r="B99" s="168">
        <v>85</v>
      </c>
      <c r="C99" s="13" t="s">
        <v>234</v>
      </c>
      <c r="F99" s="36">
        <v>1363353900</v>
      </c>
      <c r="G99" s="85"/>
      <c r="H99" s="35"/>
      <c r="I99" s="35">
        <v>25860435</v>
      </c>
      <c r="J99" s="35">
        <v>23791600</v>
      </c>
      <c r="K99" s="35">
        <v>2068835</v>
      </c>
      <c r="L99" s="35">
        <v>23791600</v>
      </c>
      <c r="M99" s="35"/>
      <c r="N99" s="36"/>
      <c r="O99" s="35">
        <v>25860435</v>
      </c>
      <c r="P99" s="35">
        <v>23791600</v>
      </c>
      <c r="Q99" s="35"/>
      <c r="R99" s="35">
        <v>2068835</v>
      </c>
      <c r="S99" s="35">
        <v>8</v>
      </c>
      <c r="T99" s="35"/>
      <c r="U99" s="35"/>
      <c r="V99" s="85">
        <v>23791600</v>
      </c>
      <c r="W99" s="27"/>
      <c r="X99" s="36">
        <v>23791600</v>
      </c>
      <c r="Y99" s="85">
        <v>23791600</v>
      </c>
      <c r="Z99" s="35"/>
      <c r="AA99" s="35">
        <v>44468044</v>
      </c>
      <c r="AB99" s="35">
        <v>40910600</v>
      </c>
      <c r="AC99" s="35">
        <v>3557444</v>
      </c>
      <c r="AD99" s="35">
        <v>40910600</v>
      </c>
      <c r="AE99" s="35"/>
      <c r="AF99" s="36"/>
      <c r="AG99" s="35">
        <v>44468044</v>
      </c>
      <c r="AH99" s="35">
        <v>40910600</v>
      </c>
      <c r="AI99" s="35"/>
      <c r="AJ99" s="35">
        <v>3557444</v>
      </c>
      <c r="AK99" s="35">
        <v>8</v>
      </c>
      <c r="AL99" s="35"/>
      <c r="AM99" s="35"/>
      <c r="AN99" s="85">
        <v>40910600</v>
      </c>
      <c r="AO99" s="27"/>
      <c r="AP99" s="36">
        <v>40910600</v>
      </c>
      <c r="AQ99" s="85">
        <v>40910600</v>
      </c>
      <c r="AR99" s="35"/>
      <c r="AS99" s="35">
        <v>480989520</v>
      </c>
      <c r="AT99" s="35">
        <v>442510300</v>
      </c>
      <c r="AU99" s="35">
        <v>38479220</v>
      </c>
      <c r="AV99" s="35">
        <v>438811857.75</v>
      </c>
      <c r="AW99" s="35"/>
      <c r="AX99" s="36"/>
      <c r="AY99" s="35">
        <v>476839997.77999997</v>
      </c>
      <c r="AZ99" s="35">
        <v>438692740.06</v>
      </c>
      <c r="BA99" s="35"/>
      <c r="BB99" s="35">
        <v>38147257.719999999</v>
      </c>
      <c r="BC99" s="35">
        <v>8.0000099999999996</v>
      </c>
      <c r="BD99" s="35"/>
      <c r="BE99" s="35">
        <v>119117.69</v>
      </c>
      <c r="BF99" s="85">
        <v>438811857.75</v>
      </c>
      <c r="BG99" s="27"/>
      <c r="BH99" s="36">
        <v>442510300</v>
      </c>
      <c r="BI99" s="85">
        <v>442510300</v>
      </c>
      <c r="BJ99" s="35"/>
      <c r="BK99" s="35">
        <v>1523036.86</v>
      </c>
      <c r="BL99" s="35">
        <v>1066500</v>
      </c>
      <c r="BM99" s="35">
        <v>456536.86</v>
      </c>
      <c r="BN99" s="35">
        <v>1066500</v>
      </c>
      <c r="BO99" s="35"/>
      <c r="BP99" s="36"/>
      <c r="BQ99" s="35">
        <v>1523036.86</v>
      </c>
      <c r="BR99" s="35">
        <v>1066500</v>
      </c>
      <c r="BS99" s="35"/>
      <c r="BT99" s="35">
        <v>456536.86</v>
      </c>
      <c r="BU99" s="35">
        <v>29.975429999999999</v>
      </c>
      <c r="BV99" s="35"/>
      <c r="BW99" s="35"/>
      <c r="BX99" s="85">
        <v>1066500</v>
      </c>
      <c r="BY99" s="27"/>
      <c r="BZ99" s="36">
        <v>1066500</v>
      </c>
      <c r="CA99" s="85">
        <v>1066500</v>
      </c>
      <c r="CB99" s="35"/>
      <c r="CC99" s="35">
        <v>106583400</v>
      </c>
      <c r="CD99" s="35">
        <v>83438400</v>
      </c>
      <c r="CE99" s="35">
        <v>23145000</v>
      </c>
      <c r="CF99" s="35">
        <v>83438399.989999995</v>
      </c>
      <c r="CG99" s="35"/>
      <c r="CH99" s="36"/>
      <c r="CI99" s="35">
        <v>106583399.98999999</v>
      </c>
      <c r="CJ99" s="35">
        <v>83438399.989999995</v>
      </c>
      <c r="CK99" s="35"/>
      <c r="CL99" s="35">
        <v>23145000</v>
      </c>
      <c r="CM99" s="35">
        <v>21.715389999999999</v>
      </c>
      <c r="CN99" s="35"/>
      <c r="CO99" s="35">
        <v>0</v>
      </c>
      <c r="CP99" s="85">
        <v>83438399.989999995</v>
      </c>
      <c r="CQ99" s="27"/>
      <c r="CR99" s="36">
        <v>83438400</v>
      </c>
      <c r="CS99" s="85">
        <v>83438400</v>
      </c>
      <c r="CT99" s="35"/>
      <c r="CU99" s="35"/>
      <c r="CV99" s="35"/>
      <c r="CW99" s="35"/>
      <c r="CX99" s="35"/>
      <c r="CY99" s="35"/>
      <c r="CZ99" s="36"/>
      <c r="DA99" s="35"/>
      <c r="DB99" s="35"/>
      <c r="DC99" s="35"/>
      <c r="DD99" s="35"/>
      <c r="DE99" s="35"/>
      <c r="DF99" s="35"/>
      <c r="DG99" s="35"/>
      <c r="DH99" s="85"/>
      <c r="DI99" s="27"/>
      <c r="DJ99" s="36"/>
      <c r="DK99" s="85"/>
      <c r="DL99" s="35"/>
      <c r="DM99" s="35">
        <v>28317531.760000002</v>
      </c>
      <c r="DN99" s="35">
        <v>28314700</v>
      </c>
      <c r="DO99" s="35">
        <v>2831.76</v>
      </c>
      <c r="DP99" s="35">
        <v>28314700</v>
      </c>
      <c r="DQ99" s="35"/>
      <c r="DR99" s="36"/>
      <c r="DS99" s="35">
        <v>28317531.760000002</v>
      </c>
      <c r="DT99" s="35">
        <v>28314700</v>
      </c>
      <c r="DU99" s="35"/>
      <c r="DV99" s="35">
        <v>2831.76</v>
      </c>
      <c r="DW99" s="35">
        <v>0.01</v>
      </c>
      <c r="DX99" s="35"/>
      <c r="DY99" s="35"/>
      <c r="DZ99" s="85">
        <v>28314700</v>
      </c>
      <c r="EA99" s="27"/>
      <c r="EB99" s="36">
        <v>28314700</v>
      </c>
      <c r="EC99" s="85">
        <v>28314700</v>
      </c>
      <c r="ED99" s="35"/>
      <c r="EE99" s="35">
        <v>96823939.400000006</v>
      </c>
      <c r="EF99" s="35">
        <v>95855700</v>
      </c>
      <c r="EG99" s="35">
        <v>968239.4</v>
      </c>
      <c r="EH99" s="35">
        <v>95855700</v>
      </c>
      <c r="EI99" s="35"/>
      <c r="EJ99" s="36"/>
      <c r="EK99" s="35">
        <v>96823939.400000006</v>
      </c>
      <c r="EL99" s="35">
        <v>95855700</v>
      </c>
      <c r="EM99" s="35"/>
      <c r="EN99" s="35">
        <v>968239.4</v>
      </c>
      <c r="EO99" s="35">
        <v>1</v>
      </c>
      <c r="EP99" s="35"/>
      <c r="EQ99" s="35"/>
      <c r="ER99" s="85">
        <v>95855700</v>
      </c>
      <c r="ES99" s="27"/>
      <c r="ET99" s="36">
        <v>95855700</v>
      </c>
      <c r="EU99" s="85">
        <v>95855700</v>
      </c>
      <c r="EV99" s="35"/>
      <c r="EW99" s="35">
        <v>509319674</v>
      </c>
      <c r="EX99" s="35">
        <v>468574100</v>
      </c>
      <c r="EY99" s="35">
        <v>40745574</v>
      </c>
      <c r="EZ99" s="35">
        <v>468574100</v>
      </c>
      <c r="FA99" s="35"/>
      <c r="FB99" s="36"/>
      <c r="FC99" s="35">
        <v>509319674</v>
      </c>
      <c r="FD99" s="35">
        <v>468574100</v>
      </c>
      <c r="FE99" s="35"/>
      <c r="FF99" s="35">
        <v>40745574</v>
      </c>
      <c r="FG99" s="35">
        <v>8</v>
      </c>
      <c r="FH99" s="35"/>
      <c r="FI99" s="35"/>
      <c r="FJ99" s="85">
        <v>468574100</v>
      </c>
      <c r="FK99" s="27"/>
      <c r="FL99" s="36">
        <v>468574100</v>
      </c>
      <c r="FM99" s="85">
        <v>468574100</v>
      </c>
      <c r="FN99" s="35"/>
      <c r="FO99" s="35"/>
      <c r="FP99" s="35"/>
      <c r="FQ99" s="35"/>
      <c r="FR99" s="35"/>
      <c r="FS99" s="35"/>
      <c r="FT99" s="36"/>
      <c r="FU99" s="35"/>
      <c r="FV99" s="35"/>
      <c r="FW99" s="35"/>
      <c r="FX99" s="35"/>
      <c r="FY99" s="35"/>
      <c r="FZ99" s="35"/>
      <c r="GA99" s="35"/>
      <c r="GB99" s="85"/>
      <c r="GC99" s="27"/>
      <c r="GD99" s="36"/>
      <c r="GE99" s="85"/>
      <c r="GF99" s="35"/>
      <c r="GG99" s="35">
        <v>80244397.530000001</v>
      </c>
      <c r="GH99" s="35">
        <v>69362200</v>
      </c>
      <c r="GI99" s="35">
        <v>10882197.529999999</v>
      </c>
      <c r="GJ99" s="35">
        <v>69362200</v>
      </c>
      <c r="GK99" s="35"/>
      <c r="GL99" s="36"/>
      <c r="GM99" s="35">
        <v>80244397.530000001</v>
      </c>
      <c r="GN99" s="35">
        <v>69362200</v>
      </c>
      <c r="GO99" s="35"/>
      <c r="GP99" s="35">
        <v>10882197.529999999</v>
      </c>
      <c r="GQ99" s="35">
        <v>13.56132</v>
      </c>
      <c r="GR99" s="35"/>
      <c r="GS99" s="35"/>
      <c r="GT99" s="85">
        <v>69362200</v>
      </c>
      <c r="GU99" s="27"/>
      <c r="GV99" s="36">
        <v>69362200</v>
      </c>
      <c r="GW99" s="85">
        <v>69362200</v>
      </c>
      <c r="GX99" s="35"/>
      <c r="GY99" s="35"/>
      <c r="GZ99" s="35"/>
      <c r="HA99" s="35"/>
      <c r="HB99" s="35"/>
      <c r="HC99" s="35"/>
      <c r="HD99" s="36"/>
      <c r="HE99" s="35"/>
      <c r="HF99" s="35"/>
      <c r="HG99" s="35"/>
      <c r="HH99" s="35"/>
      <c r="HI99" s="35"/>
      <c r="HJ99" s="35"/>
      <c r="HK99" s="35"/>
      <c r="HL99" s="85"/>
      <c r="HM99" s="27"/>
      <c r="HN99" s="36"/>
      <c r="HO99" s="85"/>
      <c r="HP99" s="35"/>
      <c r="HQ99" s="35"/>
      <c r="HR99" s="35"/>
      <c r="HS99" s="35"/>
      <c r="HT99" s="35"/>
      <c r="HU99" s="35"/>
      <c r="HV99" s="36"/>
      <c r="HW99" s="35"/>
      <c r="HX99" s="35"/>
      <c r="HY99" s="35"/>
      <c r="HZ99" s="35"/>
      <c r="IA99" s="35"/>
      <c r="IB99" s="35"/>
      <c r="IC99" s="35"/>
      <c r="ID99" s="85"/>
      <c r="IE99" s="27"/>
      <c r="IF99" s="36"/>
      <c r="IG99" s="85"/>
      <c r="IH99" s="35"/>
      <c r="II99" s="35"/>
      <c r="IJ99" s="35"/>
      <c r="IK99" s="35"/>
      <c r="IL99" s="35"/>
      <c r="IM99" s="35"/>
      <c r="IN99" s="36"/>
      <c r="IO99" s="35"/>
      <c r="IP99" s="35"/>
      <c r="IQ99" s="35"/>
      <c r="IR99" s="35"/>
      <c r="IS99" s="35"/>
      <c r="IT99" s="35"/>
      <c r="IU99" s="35"/>
      <c r="IV99" s="85"/>
      <c r="IW99" s="27"/>
      <c r="IX99" s="36"/>
      <c r="IY99" s="85"/>
      <c r="IZ99" s="35"/>
      <c r="JA99" s="35">
        <v>6950000</v>
      </c>
      <c r="JB99" s="35">
        <v>5371300</v>
      </c>
      <c r="JC99" s="35">
        <v>1578700</v>
      </c>
      <c r="JD99" s="35">
        <v>5371300</v>
      </c>
      <c r="JE99" s="35"/>
      <c r="JF99" s="36"/>
      <c r="JG99" s="35">
        <v>6950000</v>
      </c>
      <c r="JH99" s="35">
        <v>5371300</v>
      </c>
      <c r="JI99" s="35"/>
      <c r="JJ99" s="35">
        <v>1578700</v>
      </c>
      <c r="JK99" s="35">
        <v>22.715109999999999</v>
      </c>
      <c r="JL99" s="35"/>
      <c r="JM99" s="35"/>
      <c r="JN99" s="85">
        <v>5371300</v>
      </c>
      <c r="JO99" s="27"/>
      <c r="JP99" s="36">
        <v>5371300</v>
      </c>
      <c r="JQ99" s="85">
        <v>5371300</v>
      </c>
      <c r="JR99" s="35"/>
      <c r="JS99" s="35"/>
      <c r="JT99" s="35"/>
      <c r="JU99" s="35"/>
      <c r="JV99" s="35"/>
      <c r="JW99" s="35"/>
      <c r="JX99" s="36"/>
      <c r="JY99" s="35"/>
      <c r="JZ99" s="35"/>
      <c r="KA99" s="35"/>
      <c r="KB99" s="35"/>
      <c r="KC99" s="35"/>
      <c r="KD99" s="35"/>
      <c r="KE99" s="35"/>
      <c r="KF99" s="85"/>
      <c r="KG99" s="27"/>
      <c r="KH99" s="36"/>
      <c r="KI99" s="85"/>
      <c r="KJ99" s="35"/>
      <c r="KK99" s="35"/>
      <c r="KL99" s="35"/>
      <c r="KM99" s="35"/>
      <c r="KN99" s="35"/>
      <c r="KO99" s="35"/>
      <c r="KP99" s="36"/>
      <c r="KQ99" s="35"/>
      <c r="KR99" s="35"/>
      <c r="KS99" s="35"/>
      <c r="KT99" s="35"/>
      <c r="KU99" s="35"/>
      <c r="KV99" s="35"/>
      <c r="KW99" s="35"/>
      <c r="KX99" s="85"/>
      <c r="KY99" s="27"/>
      <c r="KZ99" s="36"/>
      <c r="LA99" s="85"/>
      <c r="LB99" s="35"/>
      <c r="LC99" s="35"/>
      <c r="LD99" s="35"/>
      <c r="LE99" s="35"/>
      <c r="LF99" s="35"/>
      <c r="LG99" s="35"/>
      <c r="LH99" s="36"/>
      <c r="LI99" s="35"/>
      <c r="LJ99" s="35"/>
      <c r="LK99" s="35"/>
      <c r="LL99" s="35"/>
      <c r="LM99" s="35"/>
      <c r="LN99" s="35"/>
      <c r="LO99" s="35"/>
      <c r="LP99" s="85"/>
      <c r="LQ99" s="27"/>
      <c r="LR99" s="36"/>
      <c r="LS99" s="85"/>
      <c r="LT99" s="35"/>
      <c r="LU99" s="35">
        <v>111030108.7</v>
      </c>
      <c r="LV99" s="35">
        <v>102147700</v>
      </c>
      <c r="LW99" s="35">
        <v>8882408.6999999993</v>
      </c>
      <c r="LX99" s="35">
        <v>101470407.94</v>
      </c>
      <c r="LY99" s="35"/>
      <c r="LZ99" s="36"/>
      <c r="MA99" s="35">
        <v>110293921.69</v>
      </c>
      <c r="MB99" s="35">
        <v>101470407.94</v>
      </c>
      <c r="MC99" s="35"/>
      <c r="MD99" s="35">
        <v>8823513.75</v>
      </c>
      <c r="ME99" s="35">
        <v>8</v>
      </c>
      <c r="MF99" s="35"/>
      <c r="MG99" s="35">
        <v>0</v>
      </c>
      <c r="MH99" s="85">
        <v>101470407.94</v>
      </c>
      <c r="MI99" s="27"/>
      <c r="MJ99" s="36">
        <v>102147700</v>
      </c>
      <c r="MK99" s="85">
        <v>102147700</v>
      </c>
      <c r="ML99" s="35"/>
      <c r="MM99" s="35"/>
      <c r="MN99" s="35"/>
      <c r="MO99" s="35"/>
      <c r="MP99" s="35"/>
      <c r="MQ99" s="35"/>
      <c r="MR99" s="36"/>
      <c r="MS99" s="35"/>
      <c r="MT99" s="35"/>
      <c r="MU99" s="35"/>
      <c r="MV99" s="35"/>
      <c r="MW99" s="35"/>
      <c r="MX99" s="35"/>
      <c r="MY99" s="35"/>
      <c r="MZ99" s="85"/>
      <c r="NA99" s="27"/>
      <c r="NB99" s="36"/>
      <c r="NC99" s="85"/>
      <c r="ND99" s="35"/>
      <c r="NE99" s="35">
        <v>9010800</v>
      </c>
      <c r="NF99" s="35">
        <v>2010800</v>
      </c>
      <c r="NG99" s="35">
        <v>7000000</v>
      </c>
      <c r="NH99" s="35">
        <v>1865315.58</v>
      </c>
      <c r="NI99" s="35"/>
      <c r="NJ99" s="36"/>
      <c r="NK99" s="35">
        <v>8358855</v>
      </c>
      <c r="NL99" s="35">
        <v>1865315.58</v>
      </c>
      <c r="NM99" s="35"/>
      <c r="NN99" s="35">
        <v>6493539.4199999999</v>
      </c>
      <c r="NO99" s="35">
        <v>77.684560000000005</v>
      </c>
      <c r="NP99" s="35"/>
      <c r="NQ99" s="35">
        <v>0</v>
      </c>
      <c r="NR99" s="85">
        <v>1865315.58</v>
      </c>
      <c r="NS99" s="27"/>
      <c r="NT99" s="36">
        <v>2010800</v>
      </c>
      <c r="NU99" s="85">
        <v>2010800</v>
      </c>
      <c r="NV99" s="35"/>
      <c r="NW99" s="35"/>
      <c r="NX99" s="35"/>
      <c r="NY99" s="35"/>
      <c r="NZ99" s="35"/>
      <c r="OA99" s="35"/>
      <c r="OB99" s="36"/>
      <c r="OC99" s="35"/>
      <c r="OD99" s="35"/>
      <c r="OE99" s="35"/>
      <c r="OF99" s="35"/>
      <c r="OG99" s="35"/>
      <c r="OH99" s="35"/>
      <c r="OI99" s="35"/>
      <c r="OJ99" s="85"/>
      <c r="OK99" s="27"/>
      <c r="OL99" s="36"/>
      <c r="OM99" s="85"/>
      <c r="ON99" s="35"/>
      <c r="OO99" s="35"/>
      <c r="OP99" s="35"/>
      <c r="OQ99" s="35"/>
      <c r="OR99" s="35"/>
      <c r="OS99" s="35"/>
      <c r="OT99" s="36"/>
      <c r="OU99" s="35"/>
      <c r="OV99" s="35"/>
      <c r="OW99" s="35"/>
      <c r="OX99" s="35"/>
      <c r="OY99" s="35"/>
      <c r="OZ99" s="35"/>
      <c r="PA99" s="35"/>
      <c r="PB99" s="85"/>
      <c r="PC99" s="27"/>
      <c r="PD99" s="36"/>
      <c r="PE99" s="85"/>
      <c r="PF99" s="35"/>
      <c r="PG99" s="35"/>
      <c r="PH99" s="35"/>
      <c r="PI99" s="35"/>
      <c r="PJ99" s="35"/>
      <c r="PK99" s="35"/>
      <c r="PL99" s="36"/>
      <c r="PM99" s="35"/>
      <c r="PN99" s="35"/>
      <c r="PO99" s="35"/>
      <c r="PP99" s="35"/>
      <c r="PQ99" s="35"/>
      <c r="PR99" s="35"/>
      <c r="PS99" s="35"/>
      <c r="PT99" s="85"/>
      <c r="PU99" s="27"/>
      <c r="PV99" s="36"/>
      <c r="PW99" s="85"/>
      <c r="PX99" s="35"/>
      <c r="PY99" s="35"/>
      <c r="PZ99" s="35"/>
      <c r="QA99" s="35"/>
      <c r="QB99" s="35"/>
      <c r="QC99" s="35"/>
      <c r="QD99" s="36"/>
      <c r="QE99" s="35"/>
      <c r="QF99" s="35"/>
      <c r="QG99" s="35"/>
      <c r="QH99" s="35"/>
      <c r="QI99" s="35"/>
      <c r="QJ99" s="35"/>
      <c r="QK99" s="35"/>
      <c r="QL99" s="85"/>
      <c r="QM99" s="27"/>
      <c r="QN99" s="36"/>
      <c r="QO99" s="85"/>
      <c r="QP99" s="35"/>
      <c r="QQ99" s="35"/>
      <c r="QR99" s="35"/>
      <c r="QS99" s="35"/>
      <c r="QT99" s="35"/>
      <c r="QU99" s="35"/>
      <c r="QV99" s="36"/>
      <c r="QW99" s="35"/>
      <c r="QX99" s="35"/>
      <c r="QY99" s="35"/>
      <c r="QZ99" s="35"/>
      <c r="RA99" s="35"/>
      <c r="RB99" s="35"/>
      <c r="RC99" s="35"/>
      <c r="RD99" s="85"/>
      <c r="RE99" s="27"/>
      <c r="RF99" s="36"/>
      <c r="RG99" s="85"/>
      <c r="RH99" s="35"/>
      <c r="RI99" s="35"/>
      <c r="RJ99" s="35"/>
      <c r="RK99" s="35"/>
      <c r="RL99" s="35"/>
      <c r="RM99" s="35"/>
      <c r="RN99" s="36"/>
      <c r="RO99" s="35"/>
      <c r="RP99" s="35"/>
      <c r="RQ99" s="35"/>
      <c r="RR99" s="35"/>
      <c r="RS99" s="35"/>
      <c r="RT99" s="35"/>
      <c r="RU99" s="35"/>
      <c r="RV99" s="85"/>
      <c r="RW99" s="27"/>
      <c r="RX99" s="36"/>
      <c r="RY99" s="85"/>
      <c r="RZ99" s="35"/>
      <c r="SA99" s="35"/>
      <c r="SB99" s="35"/>
      <c r="SC99" s="35"/>
      <c r="SD99" s="35"/>
      <c r="SE99" s="35"/>
      <c r="SF99" s="36"/>
      <c r="SG99" s="35"/>
      <c r="SH99" s="35"/>
      <c r="SI99" s="35"/>
      <c r="SJ99" s="35"/>
      <c r="SK99" s="35"/>
      <c r="SL99" s="35"/>
      <c r="SM99" s="35"/>
      <c r="SN99" s="85"/>
      <c r="SO99" s="27"/>
      <c r="SP99" s="36"/>
      <c r="SQ99" s="85"/>
      <c r="SR99" s="35"/>
      <c r="SS99" s="35"/>
      <c r="ST99" s="35"/>
      <c r="SU99" s="35"/>
      <c r="SV99" s="35"/>
      <c r="SW99" s="35"/>
      <c r="SX99" s="36"/>
      <c r="SY99" s="35"/>
      <c r="SZ99" s="35"/>
      <c r="TA99" s="35"/>
      <c r="TB99" s="35"/>
      <c r="TC99" s="35"/>
      <c r="TD99" s="35"/>
      <c r="TE99" s="35"/>
      <c r="TF99" s="85"/>
      <c r="TG99" s="27"/>
      <c r="TH99" s="36"/>
      <c r="TI99" s="85"/>
      <c r="TJ99" s="35"/>
      <c r="TK99" s="35"/>
      <c r="TL99" s="35"/>
      <c r="TM99" s="35"/>
      <c r="TN99" s="35"/>
      <c r="TO99" s="35"/>
      <c r="TP99" s="36"/>
      <c r="TQ99" s="35"/>
      <c r="TR99" s="35"/>
      <c r="TS99" s="35"/>
      <c r="TT99" s="35"/>
      <c r="TU99" s="35"/>
      <c r="TV99" s="35"/>
      <c r="TW99" s="35"/>
      <c r="TX99" s="85"/>
      <c r="TY99" s="27"/>
      <c r="TZ99" s="36"/>
      <c r="UA99" s="85"/>
      <c r="UB99" s="35"/>
      <c r="UC99" s="35"/>
      <c r="UD99" s="35"/>
      <c r="UE99" s="35"/>
      <c r="UF99" s="35"/>
      <c r="UG99" s="35"/>
      <c r="UH99" s="36"/>
      <c r="UI99" s="35"/>
      <c r="UJ99" s="35"/>
      <c r="UK99" s="35"/>
      <c r="UL99" s="35"/>
      <c r="UM99" s="35"/>
      <c r="UN99" s="35"/>
      <c r="UO99" s="35"/>
      <c r="UP99" s="85"/>
      <c r="UQ99" s="27"/>
      <c r="UR99" s="36"/>
      <c r="US99" s="85"/>
    </row>
    <row r="100" spans="1:565" x14ac:dyDescent="0.3">
      <c r="A100" s="8" t="s">
        <v>208</v>
      </c>
      <c r="B100" s="168">
        <v>86</v>
      </c>
      <c r="C100" s="13" t="s">
        <v>210</v>
      </c>
      <c r="F100" s="36">
        <v>1523522000</v>
      </c>
      <c r="G100" s="85"/>
      <c r="H100" s="35"/>
      <c r="I100" s="35">
        <v>37145638.299999997</v>
      </c>
      <c r="J100" s="35">
        <v>34916900</v>
      </c>
      <c r="K100" s="35">
        <v>2228738.2999999998</v>
      </c>
      <c r="L100" s="35">
        <v>34916900</v>
      </c>
      <c r="M100" s="35">
        <v>265473.48</v>
      </c>
      <c r="N100" s="36"/>
      <c r="O100" s="35">
        <v>36948212.240000002</v>
      </c>
      <c r="P100" s="35">
        <v>34731319.5</v>
      </c>
      <c r="Q100" s="35"/>
      <c r="R100" s="35">
        <v>2216892.7400000002</v>
      </c>
      <c r="S100" s="35">
        <v>6</v>
      </c>
      <c r="T100" s="35">
        <v>265473.48</v>
      </c>
      <c r="U100" s="35">
        <v>185580.5</v>
      </c>
      <c r="V100" s="85">
        <v>34916900</v>
      </c>
      <c r="W100" s="27"/>
      <c r="X100" s="36">
        <v>34916900</v>
      </c>
      <c r="Y100" s="85">
        <v>34916900</v>
      </c>
      <c r="Z100" s="35"/>
      <c r="AA100" s="35">
        <v>1775000</v>
      </c>
      <c r="AB100" s="35">
        <v>1668500</v>
      </c>
      <c r="AC100" s="35">
        <v>106500</v>
      </c>
      <c r="AD100" s="35">
        <v>1668500</v>
      </c>
      <c r="AE100" s="35"/>
      <c r="AF100" s="36"/>
      <c r="AG100" s="35">
        <v>1775000</v>
      </c>
      <c r="AH100" s="35">
        <v>1668500</v>
      </c>
      <c r="AI100" s="35"/>
      <c r="AJ100" s="35">
        <v>106500</v>
      </c>
      <c r="AK100" s="35">
        <v>6</v>
      </c>
      <c r="AL100" s="35"/>
      <c r="AM100" s="35"/>
      <c r="AN100" s="85">
        <v>1668500</v>
      </c>
      <c r="AO100" s="27"/>
      <c r="AP100" s="36">
        <v>1668500</v>
      </c>
      <c r="AQ100" s="85">
        <v>1668500</v>
      </c>
      <c r="AR100" s="35"/>
      <c r="AS100" s="35">
        <v>397891702.13</v>
      </c>
      <c r="AT100" s="35">
        <v>374018200</v>
      </c>
      <c r="AU100" s="35">
        <v>23873502.129999999</v>
      </c>
      <c r="AV100" s="35">
        <v>374018200</v>
      </c>
      <c r="AW100" s="35">
        <v>121632.27</v>
      </c>
      <c r="AX100" s="36"/>
      <c r="AY100" s="35">
        <v>397891702.13</v>
      </c>
      <c r="AZ100" s="35">
        <v>374018200</v>
      </c>
      <c r="BA100" s="35"/>
      <c r="BB100" s="35">
        <v>23873502.129999999</v>
      </c>
      <c r="BC100" s="35">
        <v>6</v>
      </c>
      <c r="BD100" s="35">
        <v>121632.27</v>
      </c>
      <c r="BE100" s="35"/>
      <c r="BF100" s="85">
        <v>374018200</v>
      </c>
      <c r="BG100" s="27"/>
      <c r="BH100" s="36">
        <v>374018200</v>
      </c>
      <c r="BI100" s="85">
        <v>374018200</v>
      </c>
      <c r="BJ100" s="35"/>
      <c r="BK100" s="35">
        <v>661808.51</v>
      </c>
      <c r="BL100" s="35">
        <v>622100</v>
      </c>
      <c r="BM100" s="35">
        <v>39708.51</v>
      </c>
      <c r="BN100" s="35">
        <v>590300.04</v>
      </c>
      <c r="BO100" s="35"/>
      <c r="BP100" s="36"/>
      <c r="BQ100" s="35">
        <v>627978.76</v>
      </c>
      <c r="BR100" s="35">
        <v>590300.04</v>
      </c>
      <c r="BS100" s="35"/>
      <c r="BT100" s="35">
        <v>37678.720000000001</v>
      </c>
      <c r="BU100" s="35">
        <v>6</v>
      </c>
      <c r="BV100" s="35"/>
      <c r="BW100" s="35"/>
      <c r="BX100" s="85">
        <v>590300.04</v>
      </c>
      <c r="BY100" s="27"/>
      <c r="BZ100" s="36">
        <v>622100</v>
      </c>
      <c r="CA100" s="85">
        <v>622100</v>
      </c>
      <c r="CB100" s="35"/>
      <c r="CC100" s="35">
        <v>66486170.210000001</v>
      </c>
      <c r="CD100" s="35">
        <v>62497000</v>
      </c>
      <c r="CE100" s="35">
        <v>3989170.21</v>
      </c>
      <c r="CF100" s="35">
        <v>62497000</v>
      </c>
      <c r="CG100" s="35"/>
      <c r="CH100" s="36"/>
      <c r="CI100" s="35">
        <v>66486170.210000001</v>
      </c>
      <c r="CJ100" s="35">
        <v>62497000</v>
      </c>
      <c r="CK100" s="35"/>
      <c r="CL100" s="35">
        <v>3989170.21</v>
      </c>
      <c r="CM100" s="35">
        <v>6</v>
      </c>
      <c r="CN100" s="35"/>
      <c r="CO100" s="35"/>
      <c r="CP100" s="85">
        <v>62497000</v>
      </c>
      <c r="CQ100" s="27"/>
      <c r="CR100" s="36">
        <v>62497000</v>
      </c>
      <c r="CS100" s="85">
        <v>62497000</v>
      </c>
      <c r="CT100" s="35"/>
      <c r="CU100" s="35"/>
      <c r="CV100" s="35"/>
      <c r="CW100" s="35"/>
      <c r="CX100" s="35"/>
      <c r="CY100" s="35"/>
      <c r="CZ100" s="36"/>
      <c r="DA100" s="35"/>
      <c r="DB100" s="35"/>
      <c r="DC100" s="35"/>
      <c r="DD100" s="35"/>
      <c r="DE100" s="35"/>
      <c r="DF100" s="35"/>
      <c r="DG100" s="35"/>
      <c r="DH100" s="85"/>
      <c r="DI100" s="27"/>
      <c r="DJ100" s="36"/>
      <c r="DK100" s="85"/>
      <c r="DL100" s="35"/>
      <c r="DM100" s="35"/>
      <c r="DN100" s="35"/>
      <c r="DO100" s="35"/>
      <c r="DP100" s="35"/>
      <c r="DQ100" s="35"/>
      <c r="DR100" s="36"/>
      <c r="DS100" s="35"/>
      <c r="DT100" s="35"/>
      <c r="DU100" s="35"/>
      <c r="DV100" s="35"/>
      <c r="DW100" s="35"/>
      <c r="DX100" s="35"/>
      <c r="DY100" s="35"/>
      <c r="DZ100" s="85"/>
      <c r="EA100" s="27"/>
      <c r="EB100" s="36"/>
      <c r="EC100" s="85"/>
      <c r="ED100" s="35"/>
      <c r="EE100" s="35">
        <v>52104183.670000002</v>
      </c>
      <c r="EF100" s="35">
        <v>51062100</v>
      </c>
      <c r="EG100" s="35">
        <v>1042083.67</v>
      </c>
      <c r="EH100" s="35">
        <v>51062100</v>
      </c>
      <c r="EI100" s="35"/>
      <c r="EJ100" s="36"/>
      <c r="EK100" s="35">
        <v>52104183.670000002</v>
      </c>
      <c r="EL100" s="35">
        <v>51062100</v>
      </c>
      <c r="EM100" s="35"/>
      <c r="EN100" s="35">
        <v>1042083.67</v>
      </c>
      <c r="EO100" s="35">
        <v>2</v>
      </c>
      <c r="EP100" s="35"/>
      <c r="EQ100" s="35"/>
      <c r="ER100" s="85">
        <v>51062100</v>
      </c>
      <c r="ES100" s="27"/>
      <c r="ET100" s="36">
        <v>51062100</v>
      </c>
      <c r="EU100" s="85">
        <v>51062100</v>
      </c>
      <c r="EV100" s="35"/>
      <c r="EW100" s="35">
        <v>75843511.980000004</v>
      </c>
      <c r="EX100" s="35">
        <v>71292900</v>
      </c>
      <c r="EY100" s="35">
        <v>4550611.9800000004</v>
      </c>
      <c r="EZ100" s="35">
        <v>71292900</v>
      </c>
      <c r="FA100" s="35">
        <v>123174.31</v>
      </c>
      <c r="FB100" s="36"/>
      <c r="FC100" s="35">
        <v>75843511.980000004</v>
      </c>
      <c r="FD100" s="35">
        <v>71292900</v>
      </c>
      <c r="FE100" s="35"/>
      <c r="FF100" s="35">
        <v>4550611.9800000004</v>
      </c>
      <c r="FG100" s="35">
        <v>6</v>
      </c>
      <c r="FH100" s="35">
        <v>123174.31</v>
      </c>
      <c r="FI100" s="35"/>
      <c r="FJ100" s="85">
        <v>71292900</v>
      </c>
      <c r="FK100" s="27"/>
      <c r="FL100" s="36">
        <v>71292900</v>
      </c>
      <c r="FM100" s="85">
        <v>71292900</v>
      </c>
      <c r="FN100" s="35"/>
      <c r="FO100" s="35"/>
      <c r="FP100" s="35"/>
      <c r="FQ100" s="35"/>
      <c r="FR100" s="35"/>
      <c r="FS100" s="35">
        <v>451730.26</v>
      </c>
      <c r="FT100" s="36"/>
      <c r="FU100" s="35"/>
      <c r="FV100" s="35"/>
      <c r="FW100" s="35"/>
      <c r="FX100" s="35"/>
      <c r="FY100" s="35"/>
      <c r="FZ100" s="35">
        <v>451730.26</v>
      </c>
      <c r="GA100" s="35"/>
      <c r="GB100" s="85"/>
      <c r="GC100" s="27"/>
      <c r="GD100" s="36"/>
      <c r="GE100" s="85"/>
      <c r="GF100" s="35"/>
      <c r="GG100" s="35"/>
      <c r="GH100" s="35"/>
      <c r="GI100" s="35"/>
      <c r="GJ100" s="35"/>
      <c r="GK100" s="35"/>
      <c r="GL100" s="36"/>
      <c r="GM100" s="35"/>
      <c r="GN100" s="35"/>
      <c r="GO100" s="35"/>
      <c r="GP100" s="35"/>
      <c r="GQ100" s="35"/>
      <c r="GR100" s="35"/>
      <c r="GS100" s="35"/>
      <c r="GT100" s="85"/>
      <c r="GU100" s="27"/>
      <c r="GV100" s="36"/>
      <c r="GW100" s="85"/>
      <c r="GX100" s="35"/>
      <c r="GY100" s="35"/>
      <c r="GZ100" s="35"/>
      <c r="HA100" s="35"/>
      <c r="HB100" s="35"/>
      <c r="HC100" s="35"/>
      <c r="HD100" s="36"/>
      <c r="HE100" s="35"/>
      <c r="HF100" s="35"/>
      <c r="HG100" s="35"/>
      <c r="HH100" s="35"/>
      <c r="HI100" s="35"/>
      <c r="HJ100" s="35"/>
      <c r="HK100" s="35"/>
      <c r="HL100" s="85"/>
      <c r="HM100" s="27"/>
      <c r="HN100" s="36"/>
      <c r="HO100" s="85"/>
      <c r="HP100" s="35"/>
      <c r="HQ100" s="35"/>
      <c r="HR100" s="35"/>
      <c r="HS100" s="35"/>
      <c r="HT100" s="35"/>
      <c r="HU100" s="35"/>
      <c r="HV100" s="36"/>
      <c r="HW100" s="35"/>
      <c r="HX100" s="35"/>
      <c r="HY100" s="35"/>
      <c r="HZ100" s="35"/>
      <c r="IA100" s="35"/>
      <c r="IB100" s="35"/>
      <c r="IC100" s="35"/>
      <c r="ID100" s="85"/>
      <c r="IE100" s="27"/>
      <c r="IF100" s="36"/>
      <c r="IG100" s="85"/>
      <c r="IH100" s="35"/>
      <c r="II100" s="35"/>
      <c r="IJ100" s="35"/>
      <c r="IK100" s="35"/>
      <c r="IL100" s="35"/>
      <c r="IM100" s="35"/>
      <c r="IN100" s="36"/>
      <c r="IO100" s="35"/>
      <c r="IP100" s="35"/>
      <c r="IQ100" s="35"/>
      <c r="IR100" s="35"/>
      <c r="IS100" s="35"/>
      <c r="IT100" s="35"/>
      <c r="IU100" s="35"/>
      <c r="IV100" s="85"/>
      <c r="IW100" s="27"/>
      <c r="IX100" s="36"/>
      <c r="IY100" s="85"/>
      <c r="IZ100" s="35"/>
      <c r="JA100" s="35">
        <v>6400000</v>
      </c>
      <c r="JB100" s="35">
        <v>1400000</v>
      </c>
      <c r="JC100" s="35">
        <v>5000000</v>
      </c>
      <c r="JD100" s="35">
        <v>1400000</v>
      </c>
      <c r="JE100" s="35"/>
      <c r="JF100" s="36"/>
      <c r="JG100" s="35">
        <v>6400000</v>
      </c>
      <c r="JH100" s="35">
        <v>1400000</v>
      </c>
      <c r="JI100" s="35"/>
      <c r="JJ100" s="35">
        <v>5000000</v>
      </c>
      <c r="JK100" s="35">
        <v>78.125</v>
      </c>
      <c r="JL100" s="35"/>
      <c r="JM100" s="35"/>
      <c r="JN100" s="85">
        <v>1400000</v>
      </c>
      <c r="JO100" s="27"/>
      <c r="JP100" s="36">
        <v>2800000</v>
      </c>
      <c r="JQ100" s="85">
        <v>2800000</v>
      </c>
      <c r="JR100" s="35"/>
      <c r="JS100" s="35"/>
      <c r="JT100" s="35"/>
      <c r="JU100" s="35"/>
      <c r="JV100" s="35"/>
      <c r="JW100" s="35"/>
      <c r="JX100" s="36"/>
      <c r="JY100" s="35"/>
      <c r="JZ100" s="35"/>
      <c r="KA100" s="35"/>
      <c r="KB100" s="35"/>
      <c r="KC100" s="35"/>
      <c r="KD100" s="35"/>
      <c r="KE100" s="35"/>
      <c r="KF100" s="85"/>
      <c r="KG100" s="27"/>
      <c r="KH100" s="36"/>
      <c r="KI100" s="85"/>
      <c r="KJ100" s="35"/>
      <c r="KK100" s="35">
        <v>3260500</v>
      </c>
      <c r="KL100" s="35">
        <v>2771600</v>
      </c>
      <c r="KM100" s="35">
        <v>488900</v>
      </c>
      <c r="KN100" s="35">
        <v>2771600</v>
      </c>
      <c r="KO100" s="35"/>
      <c r="KP100" s="36"/>
      <c r="KQ100" s="35">
        <v>3260500</v>
      </c>
      <c r="KR100" s="35">
        <v>2771600</v>
      </c>
      <c r="KS100" s="35"/>
      <c r="KT100" s="35">
        <v>488900</v>
      </c>
      <c r="KU100" s="35">
        <v>14.994630000000001</v>
      </c>
      <c r="KV100" s="35"/>
      <c r="KW100" s="35"/>
      <c r="KX100" s="85">
        <v>2771600</v>
      </c>
      <c r="KY100" s="27"/>
      <c r="KZ100" s="36">
        <v>2771600</v>
      </c>
      <c r="LA100" s="85">
        <v>2771600</v>
      </c>
      <c r="LB100" s="35"/>
      <c r="LC100" s="35"/>
      <c r="LD100" s="35"/>
      <c r="LE100" s="35"/>
      <c r="LF100" s="35"/>
      <c r="LG100" s="35"/>
      <c r="LH100" s="36"/>
      <c r="LI100" s="35"/>
      <c r="LJ100" s="35"/>
      <c r="LK100" s="35"/>
      <c r="LL100" s="35"/>
      <c r="LM100" s="35"/>
      <c r="LN100" s="35"/>
      <c r="LO100" s="35"/>
      <c r="LP100" s="85"/>
      <c r="LQ100" s="27"/>
      <c r="LR100" s="36"/>
      <c r="LS100" s="85"/>
      <c r="LT100" s="35"/>
      <c r="LU100" s="35"/>
      <c r="LV100" s="35"/>
      <c r="LW100" s="35"/>
      <c r="LX100" s="35"/>
      <c r="LY100" s="35"/>
      <c r="LZ100" s="36"/>
      <c r="MA100" s="35"/>
      <c r="MB100" s="35"/>
      <c r="MC100" s="35"/>
      <c r="MD100" s="35"/>
      <c r="ME100" s="35"/>
      <c r="MF100" s="35"/>
      <c r="MG100" s="35"/>
      <c r="MH100" s="85"/>
      <c r="MI100" s="27"/>
      <c r="MJ100" s="36"/>
      <c r="MK100" s="85"/>
      <c r="ML100" s="35"/>
      <c r="MM100" s="35"/>
      <c r="MN100" s="35"/>
      <c r="MO100" s="35"/>
      <c r="MP100" s="35"/>
      <c r="MQ100" s="35"/>
      <c r="MR100" s="36"/>
      <c r="MS100" s="35"/>
      <c r="MT100" s="35"/>
      <c r="MU100" s="35"/>
      <c r="MV100" s="35"/>
      <c r="MW100" s="35"/>
      <c r="MX100" s="35"/>
      <c r="MY100" s="35"/>
      <c r="MZ100" s="85"/>
      <c r="NA100" s="27"/>
      <c r="NB100" s="36"/>
      <c r="NC100" s="85"/>
      <c r="ND100" s="35"/>
      <c r="NE100" s="35">
        <v>1429306</v>
      </c>
      <c r="NF100" s="35">
        <v>1308500</v>
      </c>
      <c r="NG100" s="35">
        <v>120806</v>
      </c>
      <c r="NH100" s="35">
        <v>1308500</v>
      </c>
      <c r="NI100" s="35"/>
      <c r="NJ100" s="36"/>
      <c r="NK100" s="35">
        <v>1429306</v>
      </c>
      <c r="NL100" s="35">
        <v>1308500</v>
      </c>
      <c r="NM100" s="35"/>
      <c r="NN100" s="35">
        <v>120806</v>
      </c>
      <c r="NO100" s="35">
        <v>8.4520700000000009</v>
      </c>
      <c r="NP100" s="35"/>
      <c r="NQ100" s="35"/>
      <c r="NR100" s="85">
        <v>1308500</v>
      </c>
      <c r="NS100" s="27"/>
      <c r="NT100" s="36">
        <v>1308500</v>
      </c>
      <c r="NU100" s="85">
        <v>1308500</v>
      </c>
      <c r="NV100" s="35"/>
      <c r="NW100" s="35"/>
      <c r="NX100" s="35"/>
      <c r="NY100" s="35"/>
      <c r="NZ100" s="35"/>
      <c r="OA100" s="35"/>
      <c r="OB100" s="36"/>
      <c r="OC100" s="35"/>
      <c r="OD100" s="35"/>
      <c r="OE100" s="35"/>
      <c r="OF100" s="35"/>
      <c r="OG100" s="35"/>
      <c r="OH100" s="35"/>
      <c r="OI100" s="35"/>
      <c r="OJ100" s="85"/>
      <c r="OK100" s="27"/>
      <c r="OL100" s="36"/>
      <c r="OM100" s="85"/>
      <c r="ON100" s="35"/>
      <c r="OO100" s="35"/>
      <c r="OP100" s="35"/>
      <c r="OQ100" s="35"/>
      <c r="OR100" s="35"/>
      <c r="OS100" s="35">
        <v>161555.12</v>
      </c>
      <c r="OT100" s="36"/>
      <c r="OU100" s="35"/>
      <c r="OV100" s="35"/>
      <c r="OW100" s="35"/>
      <c r="OX100" s="35"/>
      <c r="OY100" s="35"/>
      <c r="OZ100" s="35">
        <v>161555.12</v>
      </c>
      <c r="PA100" s="35"/>
      <c r="PB100" s="85"/>
      <c r="PC100" s="27"/>
      <c r="PD100" s="36"/>
      <c r="PE100" s="85"/>
      <c r="PF100" s="35"/>
      <c r="PG100" s="35"/>
      <c r="PH100" s="35"/>
      <c r="PI100" s="35"/>
      <c r="PJ100" s="35"/>
      <c r="PK100" s="35">
        <v>2444.9699999999998</v>
      </c>
      <c r="PL100" s="36"/>
      <c r="PM100" s="35"/>
      <c r="PN100" s="35"/>
      <c r="PO100" s="35"/>
      <c r="PP100" s="35"/>
      <c r="PQ100" s="35"/>
      <c r="PR100" s="35">
        <v>2444.9699999999998</v>
      </c>
      <c r="PS100" s="35"/>
      <c r="PT100" s="85"/>
      <c r="PU100" s="27"/>
      <c r="PV100" s="36"/>
      <c r="PW100" s="85"/>
      <c r="PX100" s="35"/>
      <c r="PY100" s="35"/>
      <c r="PZ100" s="35"/>
      <c r="QA100" s="35"/>
      <c r="QB100" s="35"/>
      <c r="QC100" s="35"/>
      <c r="QD100" s="36"/>
      <c r="QE100" s="35"/>
      <c r="QF100" s="35"/>
      <c r="QG100" s="35"/>
      <c r="QH100" s="35"/>
      <c r="QI100" s="35"/>
      <c r="QJ100" s="35"/>
      <c r="QK100" s="35"/>
      <c r="QL100" s="85"/>
      <c r="QM100" s="27"/>
      <c r="QN100" s="36"/>
      <c r="QO100" s="85"/>
      <c r="QP100" s="35"/>
      <c r="QQ100" s="35"/>
      <c r="QR100" s="35"/>
      <c r="QS100" s="35"/>
      <c r="QT100" s="35"/>
      <c r="QU100" s="35"/>
      <c r="QV100" s="36"/>
      <c r="QW100" s="35"/>
      <c r="QX100" s="35"/>
      <c r="QY100" s="35"/>
      <c r="QZ100" s="35"/>
      <c r="RA100" s="35"/>
      <c r="RB100" s="35"/>
      <c r="RC100" s="35"/>
      <c r="RD100" s="85"/>
      <c r="RE100" s="27"/>
      <c r="RF100" s="36"/>
      <c r="RG100" s="85"/>
      <c r="RH100" s="35"/>
      <c r="RI100" s="35"/>
      <c r="RJ100" s="35"/>
      <c r="RK100" s="35"/>
      <c r="RL100" s="35"/>
      <c r="RM100" s="35">
        <v>2196223.37</v>
      </c>
      <c r="RN100" s="36"/>
      <c r="RO100" s="35"/>
      <c r="RP100" s="35"/>
      <c r="RQ100" s="35"/>
      <c r="RR100" s="35"/>
      <c r="RS100" s="35"/>
      <c r="RT100" s="35">
        <v>2196223.37</v>
      </c>
      <c r="RU100" s="35"/>
      <c r="RV100" s="85"/>
      <c r="RW100" s="27"/>
      <c r="RX100" s="36"/>
      <c r="RY100" s="85"/>
      <c r="RZ100" s="35"/>
      <c r="SA100" s="35"/>
      <c r="SB100" s="35"/>
      <c r="SC100" s="35"/>
      <c r="SD100" s="35"/>
      <c r="SE100" s="35"/>
      <c r="SF100" s="36"/>
      <c r="SG100" s="35"/>
      <c r="SH100" s="35"/>
      <c r="SI100" s="35"/>
      <c r="SJ100" s="35"/>
      <c r="SK100" s="35"/>
      <c r="SL100" s="35"/>
      <c r="SM100" s="35"/>
      <c r="SN100" s="85"/>
      <c r="SO100" s="27"/>
      <c r="SP100" s="36"/>
      <c r="SQ100" s="85"/>
      <c r="SR100" s="35"/>
      <c r="SS100" s="35">
        <v>820909700</v>
      </c>
      <c r="ST100" s="35">
        <v>820909700</v>
      </c>
      <c r="SU100" s="35"/>
      <c r="SV100" s="35">
        <v>820909700</v>
      </c>
      <c r="SW100" s="35"/>
      <c r="SX100" s="36"/>
      <c r="SY100" s="35">
        <v>804062945.33000004</v>
      </c>
      <c r="SZ100" s="35">
        <v>804062945.33000004</v>
      </c>
      <c r="TA100" s="35"/>
      <c r="TB100" s="35"/>
      <c r="TC100" s="35"/>
      <c r="TD100" s="35"/>
      <c r="TE100" s="35">
        <v>16846754.670000002</v>
      </c>
      <c r="TF100" s="85">
        <v>820909700</v>
      </c>
      <c r="TG100" s="27"/>
      <c r="TH100" s="36">
        <v>820909700</v>
      </c>
      <c r="TI100" s="85">
        <v>820909700</v>
      </c>
      <c r="TJ100" s="35"/>
      <c r="TK100" s="35"/>
      <c r="TL100" s="35"/>
      <c r="TM100" s="35"/>
      <c r="TN100" s="35"/>
      <c r="TO100" s="35"/>
      <c r="TP100" s="36"/>
      <c r="TQ100" s="35"/>
      <c r="TR100" s="35"/>
      <c r="TS100" s="35"/>
      <c r="TT100" s="35"/>
      <c r="TU100" s="35"/>
      <c r="TV100" s="35"/>
      <c r="TW100" s="35"/>
      <c r="TX100" s="85"/>
      <c r="TY100" s="27"/>
      <c r="TZ100" s="36"/>
      <c r="UA100" s="85"/>
      <c r="UB100" s="35"/>
      <c r="UC100" s="35">
        <v>99654500</v>
      </c>
      <c r="UD100" s="35">
        <v>99654500</v>
      </c>
      <c r="UE100" s="35"/>
      <c r="UF100" s="35">
        <v>99654410</v>
      </c>
      <c r="UG100" s="35"/>
      <c r="UH100" s="36"/>
      <c r="UI100" s="35">
        <v>99654410</v>
      </c>
      <c r="UJ100" s="35">
        <v>99654410</v>
      </c>
      <c r="UK100" s="35"/>
      <c r="UL100" s="35"/>
      <c r="UM100" s="35"/>
      <c r="UN100" s="35"/>
      <c r="UO100" s="35"/>
      <c r="UP100" s="85">
        <v>99654410</v>
      </c>
      <c r="UQ100" s="27"/>
      <c r="UR100" s="36">
        <v>99654500</v>
      </c>
      <c r="US100" s="85">
        <v>99654500</v>
      </c>
    </row>
    <row r="101" spans="1:565" x14ac:dyDescent="0.3">
      <c r="A101" s="8" t="s">
        <v>235</v>
      </c>
      <c r="B101" s="168">
        <v>87</v>
      </c>
      <c r="C101" s="13" t="s">
        <v>237</v>
      </c>
      <c r="F101" s="36">
        <v>198995600</v>
      </c>
      <c r="G101" s="85"/>
      <c r="H101" s="35"/>
      <c r="I101" s="35">
        <v>6712315.79</v>
      </c>
      <c r="J101" s="35">
        <v>6376700</v>
      </c>
      <c r="K101" s="35">
        <v>335615.79</v>
      </c>
      <c r="L101" s="35">
        <v>6376700</v>
      </c>
      <c r="M101" s="35">
        <v>61218.98</v>
      </c>
      <c r="N101" s="36"/>
      <c r="O101" s="35">
        <v>6712315.79</v>
      </c>
      <c r="P101" s="35">
        <v>6376700</v>
      </c>
      <c r="Q101" s="35"/>
      <c r="R101" s="35">
        <v>335615.79</v>
      </c>
      <c r="S101" s="35">
        <v>5</v>
      </c>
      <c r="T101" s="35">
        <v>61218.98</v>
      </c>
      <c r="U101" s="35"/>
      <c r="V101" s="85">
        <v>6376700</v>
      </c>
      <c r="W101" s="27"/>
      <c r="X101" s="36">
        <v>6376700</v>
      </c>
      <c r="Y101" s="85">
        <v>6376700</v>
      </c>
      <c r="Z101" s="35"/>
      <c r="AA101" s="35">
        <v>6866736.8399999999</v>
      </c>
      <c r="AB101" s="35">
        <v>6523400</v>
      </c>
      <c r="AC101" s="35">
        <v>343336.84</v>
      </c>
      <c r="AD101" s="35">
        <v>6523400</v>
      </c>
      <c r="AE101" s="35"/>
      <c r="AF101" s="36"/>
      <c r="AG101" s="35">
        <v>6866736.8399999999</v>
      </c>
      <c r="AH101" s="35">
        <v>6523400</v>
      </c>
      <c r="AI101" s="35"/>
      <c r="AJ101" s="35">
        <v>343336.84</v>
      </c>
      <c r="AK101" s="35">
        <v>5</v>
      </c>
      <c r="AL101" s="35"/>
      <c r="AM101" s="35"/>
      <c r="AN101" s="85">
        <v>6523400</v>
      </c>
      <c r="AO101" s="27"/>
      <c r="AP101" s="36">
        <v>6523400</v>
      </c>
      <c r="AQ101" s="85">
        <v>6523400</v>
      </c>
      <c r="AR101" s="35"/>
      <c r="AS101" s="35">
        <v>85135640</v>
      </c>
      <c r="AT101" s="35">
        <v>80860600</v>
      </c>
      <c r="AU101" s="35">
        <v>4275040</v>
      </c>
      <c r="AV101" s="35">
        <v>80860600</v>
      </c>
      <c r="AW101" s="35">
        <v>4582.26</v>
      </c>
      <c r="AX101" s="36"/>
      <c r="AY101" s="35">
        <v>85135640</v>
      </c>
      <c r="AZ101" s="35">
        <v>80860600</v>
      </c>
      <c r="BA101" s="35"/>
      <c r="BB101" s="35">
        <v>4275040</v>
      </c>
      <c r="BC101" s="35">
        <v>5.0214499999999997</v>
      </c>
      <c r="BD101" s="35">
        <v>4582.26</v>
      </c>
      <c r="BE101" s="35"/>
      <c r="BF101" s="85">
        <v>80860600</v>
      </c>
      <c r="BG101" s="27"/>
      <c r="BH101" s="36">
        <v>80860600</v>
      </c>
      <c r="BI101" s="85">
        <v>80860600</v>
      </c>
      <c r="BJ101" s="35"/>
      <c r="BK101" s="35">
        <v>45983368.420000002</v>
      </c>
      <c r="BL101" s="35">
        <v>43684200</v>
      </c>
      <c r="BM101" s="35">
        <v>2299168.42</v>
      </c>
      <c r="BN101" s="35">
        <v>43644755.75</v>
      </c>
      <c r="BO101" s="35"/>
      <c r="BP101" s="36"/>
      <c r="BQ101" s="35">
        <v>45941848.149999999</v>
      </c>
      <c r="BR101" s="35">
        <v>43644755.740000002</v>
      </c>
      <c r="BS101" s="35"/>
      <c r="BT101" s="35">
        <v>2297092.41</v>
      </c>
      <c r="BU101" s="35">
        <v>5</v>
      </c>
      <c r="BV101" s="35"/>
      <c r="BW101" s="35">
        <v>0.01</v>
      </c>
      <c r="BX101" s="85">
        <v>43644755.75</v>
      </c>
      <c r="BY101" s="27"/>
      <c r="BZ101" s="36">
        <v>43684200</v>
      </c>
      <c r="CA101" s="85">
        <v>43684200</v>
      </c>
      <c r="CB101" s="35"/>
      <c r="CC101" s="35"/>
      <c r="CD101" s="35"/>
      <c r="CE101" s="35"/>
      <c r="CF101" s="35"/>
      <c r="CG101" s="35"/>
      <c r="CH101" s="36"/>
      <c r="CI101" s="35"/>
      <c r="CJ101" s="35"/>
      <c r="CK101" s="35"/>
      <c r="CL101" s="35"/>
      <c r="CM101" s="35"/>
      <c r="CN101" s="35"/>
      <c r="CO101" s="35"/>
      <c r="CP101" s="85"/>
      <c r="CQ101" s="27"/>
      <c r="CR101" s="36"/>
      <c r="CS101" s="85"/>
      <c r="CT101" s="35"/>
      <c r="CU101" s="35"/>
      <c r="CV101" s="35"/>
      <c r="CW101" s="35"/>
      <c r="CX101" s="35"/>
      <c r="CY101" s="35"/>
      <c r="CZ101" s="36"/>
      <c r="DA101" s="35"/>
      <c r="DB101" s="35"/>
      <c r="DC101" s="35"/>
      <c r="DD101" s="35"/>
      <c r="DE101" s="35"/>
      <c r="DF101" s="35"/>
      <c r="DG101" s="35"/>
      <c r="DH101" s="85"/>
      <c r="DI101" s="27"/>
      <c r="DJ101" s="36"/>
      <c r="DK101" s="85"/>
      <c r="DL101" s="35"/>
      <c r="DM101" s="35"/>
      <c r="DN101" s="35"/>
      <c r="DO101" s="35"/>
      <c r="DP101" s="35"/>
      <c r="DQ101" s="35"/>
      <c r="DR101" s="36"/>
      <c r="DS101" s="35"/>
      <c r="DT101" s="35"/>
      <c r="DU101" s="35"/>
      <c r="DV101" s="35"/>
      <c r="DW101" s="35"/>
      <c r="DX101" s="35"/>
      <c r="DY101" s="35"/>
      <c r="DZ101" s="85"/>
      <c r="EA101" s="27"/>
      <c r="EB101" s="36"/>
      <c r="EC101" s="85"/>
      <c r="ED101" s="35"/>
      <c r="EE101" s="35">
        <v>16870000</v>
      </c>
      <c r="EF101" s="35">
        <v>16052300</v>
      </c>
      <c r="EG101" s="35">
        <v>817700</v>
      </c>
      <c r="EH101" s="35">
        <v>16052300</v>
      </c>
      <c r="EI101" s="35"/>
      <c r="EJ101" s="36"/>
      <c r="EK101" s="35">
        <v>16870000</v>
      </c>
      <c r="EL101" s="35">
        <v>16052300</v>
      </c>
      <c r="EM101" s="35"/>
      <c r="EN101" s="35">
        <v>817700</v>
      </c>
      <c r="EO101" s="35">
        <v>4.8470700000000004</v>
      </c>
      <c r="EP101" s="35"/>
      <c r="EQ101" s="35"/>
      <c r="ER101" s="85">
        <v>16052300</v>
      </c>
      <c r="ES101" s="27"/>
      <c r="ET101" s="36">
        <v>16052300</v>
      </c>
      <c r="EU101" s="85">
        <v>16052300</v>
      </c>
      <c r="EV101" s="35"/>
      <c r="EW101" s="35">
        <v>47893053</v>
      </c>
      <c r="EX101" s="35">
        <v>45498400</v>
      </c>
      <c r="EY101" s="35">
        <v>2394653</v>
      </c>
      <c r="EZ101" s="35">
        <v>45498400</v>
      </c>
      <c r="FA101" s="35"/>
      <c r="FB101" s="36"/>
      <c r="FC101" s="35">
        <v>47893053</v>
      </c>
      <c r="FD101" s="35">
        <v>45498400</v>
      </c>
      <c r="FE101" s="35"/>
      <c r="FF101" s="35">
        <v>2394653</v>
      </c>
      <c r="FG101" s="35">
        <v>5</v>
      </c>
      <c r="FH101" s="35"/>
      <c r="FI101" s="35"/>
      <c r="FJ101" s="85">
        <v>45498400</v>
      </c>
      <c r="FK101" s="27"/>
      <c r="FL101" s="36">
        <v>45498400</v>
      </c>
      <c r="FM101" s="85">
        <v>45498400</v>
      </c>
      <c r="FN101" s="35"/>
      <c r="FO101" s="35"/>
      <c r="FP101" s="35"/>
      <c r="FQ101" s="35"/>
      <c r="FR101" s="35"/>
      <c r="FS101" s="35"/>
      <c r="FT101" s="36"/>
      <c r="FU101" s="35"/>
      <c r="FV101" s="35"/>
      <c r="FW101" s="35"/>
      <c r="FX101" s="35"/>
      <c r="FY101" s="35"/>
      <c r="FZ101" s="35"/>
      <c r="GA101" s="35"/>
      <c r="GB101" s="85"/>
      <c r="GC101" s="27"/>
      <c r="GD101" s="36"/>
      <c r="GE101" s="85"/>
      <c r="GF101" s="35"/>
      <c r="GG101" s="35"/>
      <c r="GH101" s="35"/>
      <c r="GI101" s="35"/>
      <c r="GJ101" s="35"/>
      <c r="GK101" s="35"/>
      <c r="GL101" s="36"/>
      <c r="GM101" s="35"/>
      <c r="GN101" s="35"/>
      <c r="GO101" s="35"/>
      <c r="GP101" s="35"/>
      <c r="GQ101" s="35"/>
      <c r="GR101" s="35"/>
      <c r="GS101" s="35"/>
      <c r="GT101" s="85"/>
      <c r="GU101" s="27"/>
      <c r="GV101" s="36"/>
      <c r="GW101" s="85"/>
      <c r="GX101" s="35"/>
      <c r="GY101" s="35"/>
      <c r="GZ101" s="35"/>
      <c r="HA101" s="35"/>
      <c r="HB101" s="35"/>
      <c r="HC101" s="35"/>
      <c r="HD101" s="36"/>
      <c r="HE101" s="35"/>
      <c r="HF101" s="35"/>
      <c r="HG101" s="35"/>
      <c r="HH101" s="35"/>
      <c r="HI101" s="35"/>
      <c r="HJ101" s="35"/>
      <c r="HK101" s="35"/>
      <c r="HL101" s="85"/>
      <c r="HM101" s="27"/>
      <c r="HN101" s="36"/>
      <c r="HO101" s="85"/>
      <c r="HP101" s="35"/>
      <c r="HQ101" s="35"/>
      <c r="HR101" s="35"/>
      <c r="HS101" s="35"/>
      <c r="HT101" s="35"/>
      <c r="HU101" s="35"/>
      <c r="HV101" s="36"/>
      <c r="HW101" s="35"/>
      <c r="HX101" s="35"/>
      <c r="HY101" s="35"/>
      <c r="HZ101" s="35"/>
      <c r="IA101" s="35"/>
      <c r="IB101" s="35"/>
      <c r="IC101" s="35"/>
      <c r="ID101" s="85"/>
      <c r="IE101" s="27"/>
      <c r="IF101" s="36"/>
      <c r="IG101" s="85"/>
      <c r="IH101" s="35"/>
      <c r="II101" s="35"/>
      <c r="IJ101" s="35"/>
      <c r="IK101" s="35"/>
      <c r="IL101" s="35"/>
      <c r="IM101" s="35"/>
      <c r="IN101" s="36"/>
      <c r="IO101" s="35"/>
      <c r="IP101" s="35"/>
      <c r="IQ101" s="35"/>
      <c r="IR101" s="35"/>
      <c r="IS101" s="35"/>
      <c r="IT101" s="35"/>
      <c r="IU101" s="35"/>
      <c r="IV101" s="85"/>
      <c r="IW101" s="27"/>
      <c r="IX101" s="36"/>
      <c r="IY101" s="85"/>
      <c r="IZ101" s="35"/>
      <c r="JA101" s="35"/>
      <c r="JB101" s="35"/>
      <c r="JC101" s="35"/>
      <c r="JD101" s="35"/>
      <c r="JE101" s="35"/>
      <c r="JF101" s="36"/>
      <c r="JG101" s="35"/>
      <c r="JH101" s="35"/>
      <c r="JI101" s="35"/>
      <c r="JJ101" s="35"/>
      <c r="JK101" s="35"/>
      <c r="JL101" s="35"/>
      <c r="JM101" s="35"/>
      <c r="JN101" s="85"/>
      <c r="JO101" s="27"/>
      <c r="JP101" s="36"/>
      <c r="JQ101" s="85"/>
      <c r="JR101" s="35"/>
      <c r="JS101" s="35"/>
      <c r="JT101" s="35"/>
      <c r="JU101" s="35"/>
      <c r="JV101" s="35"/>
      <c r="JW101" s="35"/>
      <c r="JX101" s="36"/>
      <c r="JY101" s="35"/>
      <c r="JZ101" s="35"/>
      <c r="KA101" s="35"/>
      <c r="KB101" s="35"/>
      <c r="KC101" s="35"/>
      <c r="KD101" s="35"/>
      <c r="KE101" s="35"/>
      <c r="KF101" s="85"/>
      <c r="KG101" s="27"/>
      <c r="KH101" s="36"/>
      <c r="KI101" s="85"/>
      <c r="KJ101" s="35"/>
      <c r="KK101" s="35"/>
      <c r="KL101" s="35"/>
      <c r="KM101" s="35"/>
      <c r="KN101" s="35"/>
      <c r="KO101" s="35"/>
      <c r="KP101" s="36"/>
      <c r="KQ101" s="35"/>
      <c r="KR101" s="35"/>
      <c r="KS101" s="35"/>
      <c r="KT101" s="35"/>
      <c r="KU101" s="35"/>
      <c r="KV101" s="35"/>
      <c r="KW101" s="35"/>
      <c r="KX101" s="85"/>
      <c r="KY101" s="27"/>
      <c r="KZ101" s="36"/>
      <c r="LA101" s="85"/>
      <c r="LB101" s="35"/>
      <c r="LC101" s="35"/>
      <c r="LD101" s="35"/>
      <c r="LE101" s="35"/>
      <c r="LF101" s="35"/>
      <c r="LG101" s="35"/>
      <c r="LH101" s="36"/>
      <c r="LI101" s="35"/>
      <c r="LJ101" s="35"/>
      <c r="LK101" s="35"/>
      <c r="LL101" s="35"/>
      <c r="LM101" s="35"/>
      <c r="LN101" s="35"/>
      <c r="LO101" s="35"/>
      <c r="LP101" s="85"/>
      <c r="LQ101" s="27"/>
      <c r="LR101" s="36"/>
      <c r="LS101" s="85"/>
      <c r="LT101" s="35"/>
      <c r="LU101" s="35"/>
      <c r="LV101" s="35"/>
      <c r="LW101" s="35"/>
      <c r="LX101" s="35"/>
      <c r="LY101" s="35"/>
      <c r="LZ101" s="36"/>
      <c r="MA101" s="35"/>
      <c r="MB101" s="35"/>
      <c r="MC101" s="35"/>
      <c r="MD101" s="35"/>
      <c r="ME101" s="35"/>
      <c r="MF101" s="35"/>
      <c r="MG101" s="35"/>
      <c r="MH101" s="85"/>
      <c r="MI101" s="27"/>
      <c r="MJ101" s="36"/>
      <c r="MK101" s="85"/>
      <c r="ML101" s="35"/>
      <c r="MM101" s="35"/>
      <c r="MN101" s="35"/>
      <c r="MO101" s="35"/>
      <c r="MP101" s="35"/>
      <c r="MQ101" s="35"/>
      <c r="MR101" s="36"/>
      <c r="MS101" s="35"/>
      <c r="MT101" s="35"/>
      <c r="MU101" s="35"/>
      <c r="MV101" s="35"/>
      <c r="MW101" s="35"/>
      <c r="MX101" s="35"/>
      <c r="MY101" s="35"/>
      <c r="MZ101" s="85"/>
      <c r="NA101" s="27"/>
      <c r="NB101" s="36"/>
      <c r="NC101" s="85"/>
      <c r="ND101" s="35"/>
      <c r="NE101" s="35"/>
      <c r="NF101" s="35"/>
      <c r="NG101" s="35"/>
      <c r="NH101" s="35"/>
      <c r="NI101" s="35"/>
      <c r="NJ101" s="36"/>
      <c r="NK101" s="35"/>
      <c r="NL101" s="35"/>
      <c r="NM101" s="35"/>
      <c r="NN101" s="35"/>
      <c r="NO101" s="35"/>
      <c r="NP101" s="35"/>
      <c r="NQ101" s="35"/>
      <c r="NR101" s="85"/>
      <c r="NS101" s="27"/>
      <c r="NT101" s="36"/>
      <c r="NU101" s="85"/>
      <c r="NV101" s="35"/>
      <c r="NW101" s="35"/>
      <c r="NX101" s="35"/>
      <c r="NY101" s="35"/>
      <c r="NZ101" s="35"/>
      <c r="OA101" s="35"/>
      <c r="OB101" s="36"/>
      <c r="OC101" s="35"/>
      <c r="OD101" s="35"/>
      <c r="OE101" s="35"/>
      <c r="OF101" s="35"/>
      <c r="OG101" s="35"/>
      <c r="OH101" s="35"/>
      <c r="OI101" s="35"/>
      <c r="OJ101" s="85"/>
      <c r="OK101" s="27"/>
      <c r="OL101" s="36"/>
      <c r="OM101" s="85"/>
      <c r="ON101" s="35"/>
      <c r="OO101" s="35"/>
      <c r="OP101" s="35"/>
      <c r="OQ101" s="35"/>
      <c r="OR101" s="35"/>
      <c r="OS101" s="35">
        <v>239525.27</v>
      </c>
      <c r="OT101" s="36"/>
      <c r="OU101" s="35"/>
      <c r="OV101" s="35"/>
      <c r="OW101" s="35"/>
      <c r="OX101" s="35"/>
      <c r="OY101" s="35"/>
      <c r="OZ101" s="35">
        <v>239525.27</v>
      </c>
      <c r="PA101" s="35">
        <v>0</v>
      </c>
      <c r="PB101" s="85"/>
      <c r="PC101" s="27"/>
      <c r="PD101" s="36"/>
      <c r="PE101" s="85"/>
      <c r="PF101" s="35"/>
      <c r="PG101" s="35"/>
      <c r="PH101" s="35"/>
      <c r="PI101" s="35"/>
      <c r="PJ101" s="35"/>
      <c r="PK101" s="35"/>
      <c r="PL101" s="36"/>
      <c r="PM101" s="35"/>
      <c r="PN101" s="35"/>
      <c r="PO101" s="35"/>
      <c r="PP101" s="35"/>
      <c r="PQ101" s="35"/>
      <c r="PR101" s="35"/>
      <c r="PS101" s="35"/>
      <c r="PT101" s="85"/>
      <c r="PU101" s="27"/>
      <c r="PV101" s="36"/>
      <c r="PW101" s="85"/>
      <c r="PX101" s="35"/>
      <c r="PY101" s="35"/>
      <c r="PZ101" s="35"/>
      <c r="QA101" s="35"/>
      <c r="QB101" s="35"/>
      <c r="QC101" s="35"/>
      <c r="QD101" s="36"/>
      <c r="QE101" s="35"/>
      <c r="QF101" s="35"/>
      <c r="QG101" s="35"/>
      <c r="QH101" s="35"/>
      <c r="QI101" s="35"/>
      <c r="QJ101" s="35"/>
      <c r="QK101" s="35"/>
      <c r="QL101" s="85"/>
      <c r="QM101" s="27"/>
      <c r="QN101" s="36"/>
      <c r="QO101" s="85"/>
      <c r="QP101" s="35"/>
      <c r="QQ101" s="35"/>
      <c r="QR101" s="35"/>
      <c r="QS101" s="35"/>
      <c r="QT101" s="35"/>
      <c r="QU101" s="35"/>
      <c r="QV101" s="36"/>
      <c r="QW101" s="35"/>
      <c r="QX101" s="35"/>
      <c r="QY101" s="35"/>
      <c r="QZ101" s="35"/>
      <c r="RA101" s="35"/>
      <c r="RB101" s="35"/>
      <c r="RC101" s="35"/>
      <c r="RD101" s="85"/>
      <c r="RE101" s="27"/>
      <c r="RF101" s="36"/>
      <c r="RG101" s="85"/>
      <c r="RH101" s="35"/>
      <c r="RI101" s="35"/>
      <c r="RJ101" s="35"/>
      <c r="RK101" s="35"/>
      <c r="RL101" s="35"/>
      <c r="RM101" s="35">
        <v>386255.97</v>
      </c>
      <c r="RN101" s="36"/>
      <c r="RO101" s="35"/>
      <c r="RP101" s="35"/>
      <c r="RQ101" s="35"/>
      <c r="RR101" s="35"/>
      <c r="RS101" s="35"/>
      <c r="RT101" s="35">
        <v>386255.97</v>
      </c>
      <c r="RU101" s="35">
        <v>0</v>
      </c>
      <c r="RV101" s="85"/>
      <c r="RW101" s="27"/>
      <c r="RX101" s="36"/>
      <c r="RY101" s="85"/>
      <c r="RZ101" s="35"/>
      <c r="SA101" s="35"/>
      <c r="SB101" s="35"/>
      <c r="SC101" s="35"/>
      <c r="SD101" s="35"/>
      <c r="SE101" s="35"/>
      <c r="SF101" s="36"/>
      <c r="SG101" s="35"/>
      <c r="SH101" s="35"/>
      <c r="SI101" s="35"/>
      <c r="SJ101" s="35"/>
      <c r="SK101" s="35"/>
      <c r="SL101" s="35"/>
      <c r="SM101" s="35"/>
      <c r="SN101" s="85"/>
      <c r="SO101" s="27"/>
      <c r="SP101" s="36"/>
      <c r="SQ101" s="85"/>
      <c r="SR101" s="35"/>
      <c r="SS101" s="35"/>
      <c r="ST101" s="35"/>
      <c r="SU101" s="35"/>
      <c r="SV101" s="35"/>
      <c r="SW101" s="35"/>
      <c r="SX101" s="36"/>
      <c r="SY101" s="35"/>
      <c r="SZ101" s="35"/>
      <c r="TA101" s="35"/>
      <c r="TB101" s="35"/>
      <c r="TC101" s="35"/>
      <c r="TD101" s="35"/>
      <c r="TE101" s="35"/>
      <c r="TF101" s="85"/>
      <c r="TG101" s="27"/>
      <c r="TH101" s="36"/>
      <c r="TI101" s="85"/>
      <c r="TJ101" s="35"/>
      <c r="TK101" s="35"/>
      <c r="TL101" s="35"/>
      <c r="TM101" s="35"/>
      <c r="TN101" s="35"/>
      <c r="TO101" s="35"/>
      <c r="TP101" s="36"/>
      <c r="TQ101" s="35"/>
      <c r="TR101" s="35"/>
      <c r="TS101" s="35"/>
      <c r="TT101" s="35"/>
      <c r="TU101" s="35"/>
      <c r="TV101" s="35"/>
      <c r="TW101" s="35"/>
      <c r="TX101" s="85"/>
      <c r="TY101" s="27"/>
      <c r="TZ101" s="36"/>
      <c r="UA101" s="85"/>
      <c r="UB101" s="35"/>
      <c r="UC101" s="35"/>
      <c r="UD101" s="35"/>
      <c r="UE101" s="35"/>
      <c r="UF101" s="35"/>
      <c r="UG101" s="35"/>
      <c r="UH101" s="36"/>
      <c r="UI101" s="35"/>
      <c r="UJ101" s="35"/>
      <c r="UK101" s="35"/>
      <c r="UL101" s="35"/>
      <c r="UM101" s="35"/>
      <c r="UN101" s="35"/>
      <c r="UO101" s="35"/>
      <c r="UP101" s="85"/>
      <c r="UQ101" s="27"/>
      <c r="UR101" s="36"/>
      <c r="US101" s="85"/>
    </row>
    <row r="102" spans="1:565" x14ac:dyDescent="0.3">
      <c r="A102" s="8" t="s">
        <v>238</v>
      </c>
      <c r="B102" s="168">
        <v>88</v>
      </c>
      <c r="C102" s="13" t="s">
        <v>240</v>
      </c>
      <c r="F102" s="36">
        <v>1738108000</v>
      </c>
      <c r="G102" s="85"/>
      <c r="H102" s="35"/>
      <c r="I102" s="35">
        <v>87707613.640000001</v>
      </c>
      <c r="J102" s="35">
        <v>77182700</v>
      </c>
      <c r="K102" s="35">
        <v>10524913.640000001</v>
      </c>
      <c r="L102" s="35">
        <v>77182700</v>
      </c>
      <c r="M102" s="35">
        <v>4325408.5199999996</v>
      </c>
      <c r="N102" s="36"/>
      <c r="O102" s="35">
        <v>87707613.640000001</v>
      </c>
      <c r="P102" s="35">
        <v>77182700</v>
      </c>
      <c r="Q102" s="35"/>
      <c r="R102" s="35">
        <v>10524913.640000001</v>
      </c>
      <c r="S102" s="35">
        <v>12</v>
      </c>
      <c r="T102" s="35">
        <v>4325408.5199999996</v>
      </c>
      <c r="U102" s="35">
        <v>0</v>
      </c>
      <c r="V102" s="85">
        <v>77182700</v>
      </c>
      <c r="W102" s="27"/>
      <c r="X102" s="36">
        <v>77182700</v>
      </c>
      <c r="Y102" s="85">
        <v>77182700</v>
      </c>
      <c r="Z102" s="35"/>
      <c r="AA102" s="35">
        <v>43515000</v>
      </c>
      <c r="AB102" s="35">
        <v>38293200</v>
      </c>
      <c r="AC102" s="35">
        <v>5221800</v>
      </c>
      <c r="AD102" s="35">
        <v>38293200</v>
      </c>
      <c r="AE102" s="35"/>
      <c r="AF102" s="36"/>
      <c r="AG102" s="35">
        <v>43515000</v>
      </c>
      <c r="AH102" s="35">
        <v>38293200</v>
      </c>
      <c r="AI102" s="35"/>
      <c r="AJ102" s="35">
        <v>5221800</v>
      </c>
      <c r="AK102" s="35">
        <v>12</v>
      </c>
      <c r="AL102" s="35"/>
      <c r="AM102" s="35"/>
      <c r="AN102" s="85">
        <v>38293200</v>
      </c>
      <c r="AO102" s="27"/>
      <c r="AP102" s="36">
        <v>38293200</v>
      </c>
      <c r="AQ102" s="85">
        <v>38293200</v>
      </c>
      <c r="AR102" s="35"/>
      <c r="AS102" s="35">
        <v>266244431.81999999</v>
      </c>
      <c r="AT102" s="35">
        <v>234295100</v>
      </c>
      <c r="AU102" s="35">
        <v>31949331.82</v>
      </c>
      <c r="AV102" s="35">
        <v>234095945.83000001</v>
      </c>
      <c r="AW102" s="35">
        <v>2276359.0499999998</v>
      </c>
      <c r="AX102" s="36"/>
      <c r="AY102" s="35">
        <v>266018120.31999999</v>
      </c>
      <c r="AZ102" s="35">
        <v>234095945.83000001</v>
      </c>
      <c r="BA102" s="35"/>
      <c r="BB102" s="35">
        <v>31922174.489999998</v>
      </c>
      <c r="BC102" s="35">
        <v>12</v>
      </c>
      <c r="BD102" s="35">
        <v>2276359.0499999998</v>
      </c>
      <c r="BE102" s="35">
        <v>0</v>
      </c>
      <c r="BF102" s="85">
        <v>234095945.83000001</v>
      </c>
      <c r="BG102" s="27"/>
      <c r="BH102" s="36">
        <v>234295100</v>
      </c>
      <c r="BI102" s="85">
        <v>234295100</v>
      </c>
      <c r="BJ102" s="35"/>
      <c r="BK102" s="35">
        <v>937827515.80999994</v>
      </c>
      <c r="BL102" s="35">
        <v>719709000</v>
      </c>
      <c r="BM102" s="35">
        <v>218118515.81</v>
      </c>
      <c r="BN102" s="35">
        <v>719592939.13999999</v>
      </c>
      <c r="BO102" s="35"/>
      <c r="BP102" s="36"/>
      <c r="BQ102" s="35">
        <v>937676630.64999998</v>
      </c>
      <c r="BR102" s="35">
        <v>719592939.13999999</v>
      </c>
      <c r="BS102" s="35"/>
      <c r="BT102" s="35">
        <v>218083691.50999999</v>
      </c>
      <c r="BU102" s="35">
        <v>23.25788</v>
      </c>
      <c r="BV102" s="35"/>
      <c r="BW102" s="35"/>
      <c r="BX102" s="85">
        <v>719592939.13999999</v>
      </c>
      <c r="BY102" s="27"/>
      <c r="BZ102" s="36">
        <v>719709000</v>
      </c>
      <c r="CA102" s="85">
        <v>719709000</v>
      </c>
      <c r="CB102" s="35"/>
      <c r="CC102" s="35">
        <v>53750000</v>
      </c>
      <c r="CD102" s="35">
        <v>47300000</v>
      </c>
      <c r="CE102" s="35">
        <v>6450000</v>
      </c>
      <c r="CF102" s="35">
        <v>47300000</v>
      </c>
      <c r="CG102" s="35"/>
      <c r="CH102" s="36"/>
      <c r="CI102" s="35">
        <v>53750000</v>
      </c>
      <c r="CJ102" s="35">
        <v>47300000</v>
      </c>
      <c r="CK102" s="35"/>
      <c r="CL102" s="35">
        <v>6450000</v>
      </c>
      <c r="CM102" s="35">
        <v>12</v>
      </c>
      <c r="CN102" s="35"/>
      <c r="CO102" s="35"/>
      <c r="CP102" s="85">
        <v>47300000</v>
      </c>
      <c r="CQ102" s="27"/>
      <c r="CR102" s="36">
        <v>47300000</v>
      </c>
      <c r="CS102" s="85">
        <v>47300000</v>
      </c>
      <c r="CT102" s="35"/>
      <c r="CU102" s="35"/>
      <c r="CV102" s="35"/>
      <c r="CW102" s="35"/>
      <c r="CX102" s="35"/>
      <c r="CY102" s="35"/>
      <c r="CZ102" s="36"/>
      <c r="DA102" s="35"/>
      <c r="DB102" s="35"/>
      <c r="DC102" s="35"/>
      <c r="DD102" s="35"/>
      <c r="DE102" s="35"/>
      <c r="DF102" s="35"/>
      <c r="DG102" s="35"/>
      <c r="DH102" s="85"/>
      <c r="DI102" s="27"/>
      <c r="DJ102" s="36"/>
      <c r="DK102" s="85"/>
      <c r="DL102" s="35"/>
      <c r="DM102" s="35">
        <v>109961900</v>
      </c>
      <c r="DN102" s="35">
        <v>104961900</v>
      </c>
      <c r="DO102" s="35">
        <v>5000000</v>
      </c>
      <c r="DP102" s="35">
        <v>104961896.48999999</v>
      </c>
      <c r="DQ102" s="35"/>
      <c r="DR102" s="36"/>
      <c r="DS102" s="35">
        <v>109961896.31999999</v>
      </c>
      <c r="DT102" s="35">
        <v>104961896.48999999</v>
      </c>
      <c r="DU102" s="35"/>
      <c r="DV102" s="35">
        <v>4999999.83</v>
      </c>
      <c r="DW102" s="35">
        <v>4.5470300000000003</v>
      </c>
      <c r="DX102" s="35"/>
      <c r="DY102" s="35"/>
      <c r="DZ102" s="85">
        <v>104961896.48999999</v>
      </c>
      <c r="EA102" s="27"/>
      <c r="EB102" s="36">
        <v>104961900</v>
      </c>
      <c r="EC102" s="85">
        <v>104961900</v>
      </c>
      <c r="ED102" s="35"/>
      <c r="EE102" s="35">
        <v>32952857.140000001</v>
      </c>
      <c r="EF102" s="35">
        <v>32293800</v>
      </c>
      <c r="EG102" s="35">
        <v>659057.14</v>
      </c>
      <c r="EH102" s="35">
        <v>32293800</v>
      </c>
      <c r="EI102" s="35"/>
      <c r="EJ102" s="36"/>
      <c r="EK102" s="35">
        <v>32952857.140000001</v>
      </c>
      <c r="EL102" s="35">
        <v>32293800</v>
      </c>
      <c r="EM102" s="35"/>
      <c r="EN102" s="35">
        <v>659057.14</v>
      </c>
      <c r="EO102" s="35">
        <v>2</v>
      </c>
      <c r="EP102" s="35"/>
      <c r="EQ102" s="35"/>
      <c r="ER102" s="85">
        <v>32293800</v>
      </c>
      <c r="ES102" s="27"/>
      <c r="ET102" s="36">
        <v>32293800</v>
      </c>
      <c r="EU102" s="85">
        <v>32293800</v>
      </c>
      <c r="EV102" s="35"/>
      <c r="EW102" s="35">
        <v>89400113.640000001</v>
      </c>
      <c r="EX102" s="35">
        <v>78672100</v>
      </c>
      <c r="EY102" s="35">
        <v>10728013.640000001</v>
      </c>
      <c r="EZ102" s="35">
        <v>78672100</v>
      </c>
      <c r="FA102" s="35">
        <v>749.27</v>
      </c>
      <c r="FB102" s="36"/>
      <c r="FC102" s="35">
        <v>89400113.640000001</v>
      </c>
      <c r="FD102" s="35">
        <v>78672100</v>
      </c>
      <c r="FE102" s="35"/>
      <c r="FF102" s="35">
        <v>10728013.640000001</v>
      </c>
      <c r="FG102" s="35">
        <v>12</v>
      </c>
      <c r="FH102" s="35">
        <v>749.27</v>
      </c>
      <c r="FI102" s="35">
        <v>0</v>
      </c>
      <c r="FJ102" s="85">
        <v>78672100</v>
      </c>
      <c r="FK102" s="27"/>
      <c r="FL102" s="36">
        <v>78672100</v>
      </c>
      <c r="FM102" s="85">
        <v>78672100</v>
      </c>
      <c r="FN102" s="35"/>
      <c r="FO102" s="35"/>
      <c r="FP102" s="35"/>
      <c r="FQ102" s="35"/>
      <c r="FR102" s="35"/>
      <c r="FS102" s="35">
        <v>96065.46</v>
      </c>
      <c r="FT102" s="36"/>
      <c r="FU102" s="35"/>
      <c r="FV102" s="35"/>
      <c r="FW102" s="35"/>
      <c r="FX102" s="35"/>
      <c r="FY102" s="35"/>
      <c r="FZ102" s="35">
        <v>96065.46</v>
      </c>
      <c r="GA102" s="35">
        <v>0</v>
      </c>
      <c r="GB102" s="85"/>
      <c r="GC102" s="27"/>
      <c r="GD102" s="36"/>
      <c r="GE102" s="85"/>
      <c r="GF102" s="35"/>
      <c r="GG102" s="35"/>
      <c r="GH102" s="35"/>
      <c r="GI102" s="35"/>
      <c r="GJ102" s="35"/>
      <c r="GK102" s="35"/>
      <c r="GL102" s="36"/>
      <c r="GM102" s="35"/>
      <c r="GN102" s="35"/>
      <c r="GO102" s="35"/>
      <c r="GP102" s="35"/>
      <c r="GQ102" s="35"/>
      <c r="GR102" s="35"/>
      <c r="GS102" s="35"/>
      <c r="GT102" s="85"/>
      <c r="GU102" s="27"/>
      <c r="GV102" s="36"/>
      <c r="GW102" s="85"/>
      <c r="GX102" s="35"/>
      <c r="GY102" s="35"/>
      <c r="GZ102" s="35"/>
      <c r="HA102" s="35"/>
      <c r="HB102" s="35"/>
      <c r="HC102" s="35"/>
      <c r="HD102" s="36"/>
      <c r="HE102" s="35"/>
      <c r="HF102" s="35"/>
      <c r="HG102" s="35"/>
      <c r="HH102" s="35"/>
      <c r="HI102" s="35"/>
      <c r="HJ102" s="35"/>
      <c r="HK102" s="35"/>
      <c r="HL102" s="85"/>
      <c r="HM102" s="27"/>
      <c r="HN102" s="36"/>
      <c r="HO102" s="85"/>
      <c r="HP102" s="35"/>
      <c r="HQ102" s="35"/>
      <c r="HR102" s="35"/>
      <c r="HS102" s="35"/>
      <c r="HT102" s="35"/>
      <c r="HU102" s="35"/>
      <c r="HV102" s="36"/>
      <c r="HW102" s="35"/>
      <c r="HX102" s="35"/>
      <c r="HY102" s="35"/>
      <c r="HZ102" s="35"/>
      <c r="IA102" s="35"/>
      <c r="IB102" s="35"/>
      <c r="IC102" s="35"/>
      <c r="ID102" s="85"/>
      <c r="IE102" s="27"/>
      <c r="IF102" s="36"/>
      <c r="IG102" s="85"/>
      <c r="IH102" s="35"/>
      <c r="II102" s="35"/>
      <c r="IJ102" s="35"/>
      <c r="IK102" s="35"/>
      <c r="IL102" s="35"/>
      <c r="IM102" s="35"/>
      <c r="IN102" s="36"/>
      <c r="IO102" s="35"/>
      <c r="IP102" s="35"/>
      <c r="IQ102" s="35"/>
      <c r="IR102" s="35"/>
      <c r="IS102" s="35"/>
      <c r="IT102" s="35"/>
      <c r="IU102" s="35"/>
      <c r="IV102" s="85"/>
      <c r="IW102" s="27"/>
      <c r="IX102" s="36"/>
      <c r="IY102" s="85"/>
      <c r="IZ102" s="35"/>
      <c r="JA102" s="35"/>
      <c r="JB102" s="35"/>
      <c r="JC102" s="35"/>
      <c r="JD102" s="35"/>
      <c r="JE102" s="35"/>
      <c r="JF102" s="36"/>
      <c r="JG102" s="35"/>
      <c r="JH102" s="35"/>
      <c r="JI102" s="35"/>
      <c r="JJ102" s="35"/>
      <c r="JK102" s="35"/>
      <c r="JL102" s="35"/>
      <c r="JM102" s="35"/>
      <c r="JN102" s="85"/>
      <c r="JO102" s="27"/>
      <c r="JP102" s="36"/>
      <c r="JQ102" s="85"/>
      <c r="JR102" s="35"/>
      <c r="JS102" s="35"/>
      <c r="JT102" s="35"/>
      <c r="JU102" s="35"/>
      <c r="JV102" s="35"/>
      <c r="JW102" s="35"/>
      <c r="JX102" s="36"/>
      <c r="JY102" s="35"/>
      <c r="JZ102" s="35"/>
      <c r="KA102" s="35"/>
      <c r="KB102" s="35"/>
      <c r="KC102" s="35"/>
      <c r="KD102" s="35"/>
      <c r="KE102" s="35"/>
      <c r="KF102" s="85"/>
      <c r="KG102" s="27"/>
      <c r="KH102" s="36"/>
      <c r="KI102" s="85"/>
      <c r="KJ102" s="35"/>
      <c r="KK102" s="35"/>
      <c r="KL102" s="35"/>
      <c r="KM102" s="35"/>
      <c r="KN102" s="35"/>
      <c r="KO102" s="35"/>
      <c r="KP102" s="36"/>
      <c r="KQ102" s="35"/>
      <c r="KR102" s="35"/>
      <c r="KS102" s="35"/>
      <c r="KT102" s="35"/>
      <c r="KU102" s="35"/>
      <c r="KV102" s="35"/>
      <c r="KW102" s="35"/>
      <c r="KX102" s="85"/>
      <c r="KY102" s="27"/>
      <c r="KZ102" s="36"/>
      <c r="LA102" s="85"/>
      <c r="LB102" s="35"/>
      <c r="LC102" s="35"/>
      <c r="LD102" s="35"/>
      <c r="LE102" s="35"/>
      <c r="LF102" s="35"/>
      <c r="LG102" s="35"/>
      <c r="LH102" s="36"/>
      <c r="LI102" s="35"/>
      <c r="LJ102" s="35"/>
      <c r="LK102" s="35"/>
      <c r="LL102" s="35"/>
      <c r="LM102" s="35"/>
      <c r="LN102" s="35"/>
      <c r="LO102" s="35"/>
      <c r="LP102" s="85"/>
      <c r="LQ102" s="27"/>
      <c r="LR102" s="36"/>
      <c r="LS102" s="85"/>
      <c r="LT102" s="35"/>
      <c r="LU102" s="35"/>
      <c r="LV102" s="35"/>
      <c r="LW102" s="35"/>
      <c r="LX102" s="35"/>
      <c r="LY102" s="35"/>
      <c r="LZ102" s="36"/>
      <c r="MA102" s="35"/>
      <c r="MB102" s="35"/>
      <c r="MC102" s="35"/>
      <c r="MD102" s="35"/>
      <c r="ME102" s="35"/>
      <c r="MF102" s="35"/>
      <c r="MG102" s="35"/>
      <c r="MH102" s="85"/>
      <c r="MI102" s="27"/>
      <c r="MJ102" s="36"/>
      <c r="MK102" s="85"/>
      <c r="ML102" s="35"/>
      <c r="MM102" s="35"/>
      <c r="MN102" s="35"/>
      <c r="MO102" s="35"/>
      <c r="MP102" s="35"/>
      <c r="MQ102" s="35"/>
      <c r="MR102" s="36"/>
      <c r="MS102" s="35"/>
      <c r="MT102" s="35"/>
      <c r="MU102" s="35"/>
      <c r="MV102" s="35"/>
      <c r="MW102" s="35"/>
      <c r="MX102" s="35"/>
      <c r="MY102" s="35"/>
      <c r="MZ102" s="85"/>
      <c r="NA102" s="27"/>
      <c r="NB102" s="36"/>
      <c r="NC102" s="85"/>
      <c r="ND102" s="35"/>
      <c r="NE102" s="35"/>
      <c r="NF102" s="35"/>
      <c r="NG102" s="35"/>
      <c r="NH102" s="35"/>
      <c r="NI102" s="35"/>
      <c r="NJ102" s="36"/>
      <c r="NK102" s="35"/>
      <c r="NL102" s="35"/>
      <c r="NM102" s="35"/>
      <c r="NN102" s="35"/>
      <c r="NO102" s="35"/>
      <c r="NP102" s="35"/>
      <c r="NQ102" s="35"/>
      <c r="NR102" s="85"/>
      <c r="NS102" s="27"/>
      <c r="NT102" s="36"/>
      <c r="NU102" s="85"/>
      <c r="NV102" s="35"/>
      <c r="NW102" s="35"/>
      <c r="NX102" s="35"/>
      <c r="NY102" s="35"/>
      <c r="NZ102" s="35"/>
      <c r="OA102" s="35"/>
      <c r="OB102" s="36"/>
      <c r="OC102" s="35"/>
      <c r="OD102" s="35"/>
      <c r="OE102" s="35"/>
      <c r="OF102" s="35"/>
      <c r="OG102" s="35"/>
      <c r="OH102" s="35"/>
      <c r="OI102" s="35"/>
      <c r="OJ102" s="85"/>
      <c r="OK102" s="27"/>
      <c r="OL102" s="36"/>
      <c r="OM102" s="85"/>
      <c r="ON102" s="35"/>
      <c r="OO102" s="35"/>
      <c r="OP102" s="35"/>
      <c r="OQ102" s="35"/>
      <c r="OR102" s="35"/>
      <c r="OS102" s="35">
        <v>1120488.3899999999</v>
      </c>
      <c r="OT102" s="36"/>
      <c r="OU102" s="35"/>
      <c r="OV102" s="35"/>
      <c r="OW102" s="35"/>
      <c r="OX102" s="35"/>
      <c r="OY102" s="35"/>
      <c r="OZ102" s="35">
        <v>1120488.3899999999</v>
      </c>
      <c r="PA102" s="35">
        <v>0</v>
      </c>
      <c r="PB102" s="85"/>
      <c r="PC102" s="27"/>
      <c r="PD102" s="36"/>
      <c r="PE102" s="85"/>
      <c r="PF102" s="35"/>
      <c r="PG102" s="35"/>
      <c r="PH102" s="35"/>
      <c r="PI102" s="35"/>
      <c r="PJ102" s="35"/>
      <c r="PK102" s="35"/>
      <c r="PL102" s="36"/>
      <c r="PM102" s="35"/>
      <c r="PN102" s="35"/>
      <c r="PO102" s="35"/>
      <c r="PP102" s="35"/>
      <c r="PQ102" s="35"/>
      <c r="PR102" s="35"/>
      <c r="PS102" s="35"/>
      <c r="PT102" s="85"/>
      <c r="PU102" s="27"/>
      <c r="PV102" s="36"/>
      <c r="PW102" s="85"/>
      <c r="PX102" s="35"/>
      <c r="PY102" s="35"/>
      <c r="PZ102" s="35"/>
      <c r="QA102" s="35"/>
      <c r="QB102" s="35"/>
      <c r="QC102" s="35"/>
      <c r="QD102" s="36"/>
      <c r="QE102" s="35"/>
      <c r="QF102" s="35"/>
      <c r="QG102" s="35"/>
      <c r="QH102" s="35"/>
      <c r="QI102" s="35"/>
      <c r="QJ102" s="35"/>
      <c r="QK102" s="35"/>
      <c r="QL102" s="85"/>
      <c r="QM102" s="27"/>
      <c r="QN102" s="36"/>
      <c r="QO102" s="85"/>
      <c r="QP102" s="35"/>
      <c r="QQ102" s="35"/>
      <c r="QR102" s="35"/>
      <c r="QS102" s="35"/>
      <c r="QT102" s="35"/>
      <c r="QU102" s="35"/>
      <c r="QV102" s="36"/>
      <c r="QW102" s="35"/>
      <c r="QX102" s="35"/>
      <c r="QY102" s="35"/>
      <c r="QZ102" s="35"/>
      <c r="RA102" s="35"/>
      <c r="RB102" s="35"/>
      <c r="RC102" s="35"/>
      <c r="RD102" s="85"/>
      <c r="RE102" s="27"/>
      <c r="RF102" s="36"/>
      <c r="RG102" s="85"/>
      <c r="RH102" s="35"/>
      <c r="RI102" s="35"/>
      <c r="RJ102" s="35"/>
      <c r="RK102" s="35"/>
      <c r="RL102" s="35"/>
      <c r="RM102" s="35">
        <v>194504.67</v>
      </c>
      <c r="RN102" s="36"/>
      <c r="RO102" s="35"/>
      <c r="RP102" s="35"/>
      <c r="RQ102" s="35"/>
      <c r="RR102" s="35"/>
      <c r="RS102" s="35"/>
      <c r="RT102" s="35">
        <v>194504.67</v>
      </c>
      <c r="RU102" s="35">
        <v>0</v>
      </c>
      <c r="RV102" s="85"/>
      <c r="RW102" s="27"/>
      <c r="RX102" s="36"/>
      <c r="RY102" s="85"/>
      <c r="RZ102" s="35"/>
      <c r="SA102" s="35"/>
      <c r="SB102" s="35"/>
      <c r="SC102" s="35"/>
      <c r="SD102" s="35"/>
      <c r="SE102" s="35"/>
      <c r="SF102" s="36"/>
      <c r="SG102" s="35"/>
      <c r="SH102" s="35"/>
      <c r="SI102" s="35"/>
      <c r="SJ102" s="35"/>
      <c r="SK102" s="35"/>
      <c r="SL102" s="35"/>
      <c r="SM102" s="35"/>
      <c r="SN102" s="85"/>
      <c r="SO102" s="27"/>
      <c r="SP102" s="36"/>
      <c r="SQ102" s="85"/>
      <c r="SR102" s="35"/>
      <c r="SS102" s="35"/>
      <c r="ST102" s="35"/>
      <c r="SU102" s="35"/>
      <c r="SV102" s="35"/>
      <c r="SW102" s="35"/>
      <c r="SX102" s="36"/>
      <c r="SY102" s="35"/>
      <c r="SZ102" s="35"/>
      <c r="TA102" s="35"/>
      <c r="TB102" s="35"/>
      <c r="TC102" s="35"/>
      <c r="TD102" s="35"/>
      <c r="TE102" s="35"/>
      <c r="TF102" s="85"/>
      <c r="TG102" s="27"/>
      <c r="TH102" s="36"/>
      <c r="TI102" s="85"/>
      <c r="TJ102" s="35"/>
      <c r="TK102" s="35">
        <v>405400200</v>
      </c>
      <c r="TL102" s="35">
        <v>405400200</v>
      </c>
      <c r="TM102" s="35"/>
      <c r="TN102" s="35">
        <v>403521503.77999997</v>
      </c>
      <c r="TO102" s="35"/>
      <c r="TP102" s="36"/>
      <c r="TQ102" s="35">
        <v>403521503.77999997</v>
      </c>
      <c r="TR102" s="35">
        <v>403521503.77999997</v>
      </c>
      <c r="TS102" s="35"/>
      <c r="TT102" s="35"/>
      <c r="TU102" s="35"/>
      <c r="TV102" s="35"/>
      <c r="TW102" s="35"/>
      <c r="TX102" s="85">
        <v>403521503.77999997</v>
      </c>
      <c r="TY102" s="27"/>
      <c r="TZ102" s="36">
        <v>405400200</v>
      </c>
      <c r="UA102" s="85">
        <v>405400200</v>
      </c>
      <c r="UB102" s="35"/>
      <c r="UC102" s="35"/>
      <c r="UD102" s="35"/>
      <c r="UE102" s="35"/>
      <c r="UF102" s="35"/>
      <c r="UG102" s="35"/>
      <c r="UH102" s="36"/>
      <c r="UI102" s="35"/>
      <c r="UJ102" s="35"/>
      <c r="UK102" s="35"/>
      <c r="UL102" s="35"/>
      <c r="UM102" s="35"/>
      <c r="UN102" s="35"/>
      <c r="UO102" s="35"/>
      <c r="UP102" s="85"/>
      <c r="UQ102" s="27"/>
      <c r="UR102" s="36"/>
      <c r="US102" s="85"/>
    </row>
    <row r="103" spans="1:565" x14ac:dyDescent="0.3">
      <c r="A103" s="8" t="s">
        <v>241</v>
      </c>
      <c r="B103" s="168">
        <v>89</v>
      </c>
      <c r="C103" s="13" t="s">
        <v>243</v>
      </c>
      <c r="F103" s="36">
        <v>429466900</v>
      </c>
      <c r="G103" s="85"/>
      <c r="H103" s="35"/>
      <c r="I103" s="35">
        <v>12107150</v>
      </c>
      <c r="J103" s="35">
        <v>10170000</v>
      </c>
      <c r="K103" s="35">
        <v>1937150</v>
      </c>
      <c r="L103" s="35">
        <v>10166806.960000001</v>
      </c>
      <c r="M103" s="35">
        <v>97811.05</v>
      </c>
      <c r="N103" s="36"/>
      <c r="O103" s="35">
        <v>12103348.74</v>
      </c>
      <c r="P103" s="35">
        <v>10166806.960000001</v>
      </c>
      <c r="Q103" s="35"/>
      <c r="R103" s="35">
        <v>1936541.78</v>
      </c>
      <c r="S103" s="35">
        <v>16.000050000000002</v>
      </c>
      <c r="T103" s="35">
        <v>97811.05</v>
      </c>
      <c r="U103" s="35"/>
      <c r="V103" s="85">
        <v>10166806.960000001</v>
      </c>
      <c r="W103" s="27"/>
      <c r="X103" s="36">
        <v>10170000</v>
      </c>
      <c r="Y103" s="85">
        <v>10170000</v>
      </c>
      <c r="Z103" s="35"/>
      <c r="AA103" s="35">
        <v>7621080</v>
      </c>
      <c r="AB103" s="35">
        <v>6401700</v>
      </c>
      <c r="AC103" s="35">
        <v>1219380</v>
      </c>
      <c r="AD103" s="35">
        <v>6401700</v>
      </c>
      <c r="AE103" s="35">
        <v>189264.04</v>
      </c>
      <c r="AF103" s="36"/>
      <c r="AG103" s="35">
        <v>7621080</v>
      </c>
      <c r="AH103" s="35">
        <v>6401700</v>
      </c>
      <c r="AI103" s="35"/>
      <c r="AJ103" s="35">
        <v>1219380</v>
      </c>
      <c r="AK103" s="35">
        <v>16.00009</v>
      </c>
      <c r="AL103" s="35">
        <v>189264.04</v>
      </c>
      <c r="AM103" s="35"/>
      <c r="AN103" s="85">
        <v>6401700</v>
      </c>
      <c r="AO103" s="27"/>
      <c r="AP103" s="36">
        <v>6401700</v>
      </c>
      <c r="AQ103" s="85">
        <v>6401700</v>
      </c>
      <c r="AR103" s="35"/>
      <c r="AS103" s="35">
        <v>102610330</v>
      </c>
      <c r="AT103" s="35">
        <v>86192300</v>
      </c>
      <c r="AU103" s="35">
        <v>16418030</v>
      </c>
      <c r="AV103" s="35">
        <v>84338760.680000007</v>
      </c>
      <c r="AW103" s="35">
        <v>312779.90999999997</v>
      </c>
      <c r="AX103" s="36"/>
      <c r="AY103" s="35">
        <v>100403725.91</v>
      </c>
      <c r="AZ103" s="35">
        <v>84338760.680000007</v>
      </c>
      <c r="BA103" s="35"/>
      <c r="BB103" s="35">
        <v>16064965.23</v>
      </c>
      <c r="BC103" s="35">
        <v>16.00037</v>
      </c>
      <c r="BD103" s="35">
        <v>312779.90999999997</v>
      </c>
      <c r="BE103" s="35"/>
      <c r="BF103" s="85">
        <v>84338760.680000007</v>
      </c>
      <c r="BG103" s="27"/>
      <c r="BH103" s="36">
        <v>86192300</v>
      </c>
      <c r="BI103" s="85">
        <v>86192300</v>
      </c>
      <c r="BJ103" s="35"/>
      <c r="BK103" s="35">
        <v>768460</v>
      </c>
      <c r="BL103" s="35">
        <v>645500</v>
      </c>
      <c r="BM103" s="35">
        <v>122960</v>
      </c>
      <c r="BN103" s="35">
        <v>636761.77</v>
      </c>
      <c r="BO103" s="35">
        <v>38135.35</v>
      </c>
      <c r="BP103" s="36"/>
      <c r="BQ103" s="35">
        <v>758057.24</v>
      </c>
      <c r="BR103" s="35">
        <v>636761.77</v>
      </c>
      <c r="BS103" s="35"/>
      <c r="BT103" s="35">
        <v>121295.47</v>
      </c>
      <c r="BU103" s="35">
        <v>16.000830000000001</v>
      </c>
      <c r="BV103" s="35">
        <v>38135.35</v>
      </c>
      <c r="BW103" s="35"/>
      <c r="BX103" s="85">
        <v>636761.77</v>
      </c>
      <c r="BY103" s="27"/>
      <c r="BZ103" s="36">
        <v>645500</v>
      </c>
      <c r="CA103" s="85">
        <v>645500</v>
      </c>
      <c r="CB103" s="35"/>
      <c r="CC103" s="35">
        <v>22828580</v>
      </c>
      <c r="CD103" s="35">
        <v>19176000</v>
      </c>
      <c r="CE103" s="35">
        <v>3652580</v>
      </c>
      <c r="CF103" s="35">
        <v>19175975.84</v>
      </c>
      <c r="CG103" s="35"/>
      <c r="CH103" s="36"/>
      <c r="CI103" s="35">
        <v>22828551.239999998</v>
      </c>
      <c r="CJ103" s="35">
        <v>19175975.84</v>
      </c>
      <c r="CK103" s="35"/>
      <c r="CL103" s="35">
        <v>3652575.4</v>
      </c>
      <c r="CM103" s="35">
        <v>16.000029999999999</v>
      </c>
      <c r="CN103" s="35"/>
      <c r="CO103" s="35"/>
      <c r="CP103" s="85">
        <v>19175975.84</v>
      </c>
      <c r="CQ103" s="27"/>
      <c r="CR103" s="36">
        <v>19176000</v>
      </c>
      <c r="CS103" s="85">
        <v>19176000</v>
      </c>
      <c r="CT103" s="35"/>
      <c r="CU103" s="35"/>
      <c r="CV103" s="35"/>
      <c r="CW103" s="35"/>
      <c r="CX103" s="35"/>
      <c r="CY103" s="35"/>
      <c r="CZ103" s="36"/>
      <c r="DA103" s="35"/>
      <c r="DB103" s="35"/>
      <c r="DC103" s="35"/>
      <c r="DD103" s="35"/>
      <c r="DE103" s="35"/>
      <c r="DF103" s="35"/>
      <c r="DG103" s="35"/>
      <c r="DH103" s="85"/>
      <c r="DI103" s="27"/>
      <c r="DJ103" s="36"/>
      <c r="DK103" s="85"/>
      <c r="DL103" s="35"/>
      <c r="DM103" s="35"/>
      <c r="DN103" s="35"/>
      <c r="DO103" s="35"/>
      <c r="DP103" s="35"/>
      <c r="DQ103" s="35"/>
      <c r="DR103" s="36"/>
      <c r="DS103" s="35"/>
      <c r="DT103" s="35"/>
      <c r="DU103" s="35"/>
      <c r="DV103" s="35"/>
      <c r="DW103" s="35"/>
      <c r="DX103" s="35"/>
      <c r="DY103" s="35"/>
      <c r="DZ103" s="85"/>
      <c r="EA103" s="27"/>
      <c r="EB103" s="36"/>
      <c r="EC103" s="85"/>
      <c r="ED103" s="35"/>
      <c r="EE103" s="35">
        <v>32452800</v>
      </c>
      <c r="EF103" s="35">
        <v>31479200</v>
      </c>
      <c r="EG103" s="35">
        <v>973600</v>
      </c>
      <c r="EH103" s="35">
        <v>31479184.190000001</v>
      </c>
      <c r="EI103" s="35"/>
      <c r="EJ103" s="36"/>
      <c r="EK103" s="35">
        <v>32452783.699999999</v>
      </c>
      <c r="EL103" s="35">
        <v>31479184.190000001</v>
      </c>
      <c r="EM103" s="35"/>
      <c r="EN103" s="35">
        <v>973599.51</v>
      </c>
      <c r="EO103" s="35">
        <v>3.0000499999999999</v>
      </c>
      <c r="EP103" s="35"/>
      <c r="EQ103" s="35"/>
      <c r="ER103" s="85">
        <v>31479184.190000001</v>
      </c>
      <c r="ES103" s="27"/>
      <c r="ET103" s="36">
        <v>31479200</v>
      </c>
      <c r="EU103" s="85">
        <v>31479200</v>
      </c>
      <c r="EV103" s="35"/>
      <c r="EW103" s="35">
        <v>53129200</v>
      </c>
      <c r="EX103" s="35">
        <v>44628500</v>
      </c>
      <c r="EY103" s="35">
        <v>8500700</v>
      </c>
      <c r="EZ103" s="35">
        <v>44628500</v>
      </c>
      <c r="FA103" s="35"/>
      <c r="FB103" s="36"/>
      <c r="FC103" s="35">
        <v>53129199.969999999</v>
      </c>
      <c r="FD103" s="35">
        <v>44628499.969999999</v>
      </c>
      <c r="FE103" s="35"/>
      <c r="FF103" s="35">
        <v>8500700</v>
      </c>
      <c r="FG103" s="35">
        <v>16.000050000000002</v>
      </c>
      <c r="FH103" s="35"/>
      <c r="FI103" s="35">
        <v>0.03</v>
      </c>
      <c r="FJ103" s="85">
        <v>44628500</v>
      </c>
      <c r="FK103" s="27"/>
      <c r="FL103" s="36">
        <v>44628500</v>
      </c>
      <c r="FM103" s="85">
        <v>44628500</v>
      </c>
      <c r="FN103" s="35"/>
      <c r="FO103" s="35"/>
      <c r="FP103" s="35"/>
      <c r="FQ103" s="35"/>
      <c r="FR103" s="35"/>
      <c r="FS103" s="35"/>
      <c r="FT103" s="36"/>
      <c r="FU103" s="35"/>
      <c r="FV103" s="35"/>
      <c r="FW103" s="35"/>
      <c r="FX103" s="35"/>
      <c r="FY103" s="35"/>
      <c r="FZ103" s="35"/>
      <c r="GA103" s="35"/>
      <c r="GB103" s="85"/>
      <c r="GC103" s="27"/>
      <c r="GD103" s="36"/>
      <c r="GE103" s="85"/>
      <c r="GF103" s="35"/>
      <c r="GG103" s="35"/>
      <c r="GH103" s="35"/>
      <c r="GI103" s="35"/>
      <c r="GJ103" s="35"/>
      <c r="GK103" s="35"/>
      <c r="GL103" s="36"/>
      <c r="GM103" s="35"/>
      <c r="GN103" s="35"/>
      <c r="GO103" s="35"/>
      <c r="GP103" s="35"/>
      <c r="GQ103" s="35"/>
      <c r="GR103" s="35"/>
      <c r="GS103" s="35"/>
      <c r="GT103" s="85"/>
      <c r="GU103" s="27"/>
      <c r="GV103" s="36"/>
      <c r="GW103" s="85"/>
      <c r="GX103" s="35"/>
      <c r="GY103" s="35"/>
      <c r="GZ103" s="35"/>
      <c r="HA103" s="35"/>
      <c r="HB103" s="35"/>
      <c r="HC103" s="35"/>
      <c r="HD103" s="36"/>
      <c r="HE103" s="35"/>
      <c r="HF103" s="35"/>
      <c r="HG103" s="35"/>
      <c r="HH103" s="35"/>
      <c r="HI103" s="35"/>
      <c r="HJ103" s="35"/>
      <c r="HK103" s="35"/>
      <c r="HL103" s="85"/>
      <c r="HM103" s="27"/>
      <c r="HN103" s="36"/>
      <c r="HO103" s="85"/>
      <c r="HP103" s="35"/>
      <c r="HQ103" s="35"/>
      <c r="HR103" s="35"/>
      <c r="HS103" s="35"/>
      <c r="HT103" s="35"/>
      <c r="HU103" s="35"/>
      <c r="HV103" s="36"/>
      <c r="HW103" s="35"/>
      <c r="HX103" s="35"/>
      <c r="HY103" s="35"/>
      <c r="HZ103" s="35"/>
      <c r="IA103" s="35"/>
      <c r="IB103" s="35"/>
      <c r="IC103" s="35"/>
      <c r="ID103" s="85"/>
      <c r="IE103" s="27"/>
      <c r="IF103" s="36"/>
      <c r="IG103" s="85"/>
      <c r="IH103" s="35"/>
      <c r="II103" s="35"/>
      <c r="IJ103" s="35"/>
      <c r="IK103" s="35"/>
      <c r="IL103" s="35"/>
      <c r="IM103" s="35"/>
      <c r="IN103" s="36"/>
      <c r="IO103" s="35"/>
      <c r="IP103" s="35"/>
      <c r="IQ103" s="35"/>
      <c r="IR103" s="35"/>
      <c r="IS103" s="35"/>
      <c r="IT103" s="35"/>
      <c r="IU103" s="35"/>
      <c r="IV103" s="85"/>
      <c r="IW103" s="27"/>
      <c r="IX103" s="36"/>
      <c r="IY103" s="85"/>
      <c r="IZ103" s="35"/>
      <c r="JA103" s="35"/>
      <c r="JB103" s="35"/>
      <c r="JC103" s="35"/>
      <c r="JD103" s="35"/>
      <c r="JE103" s="35"/>
      <c r="JF103" s="36"/>
      <c r="JG103" s="35"/>
      <c r="JH103" s="35"/>
      <c r="JI103" s="35"/>
      <c r="JJ103" s="35"/>
      <c r="JK103" s="35"/>
      <c r="JL103" s="35"/>
      <c r="JM103" s="35"/>
      <c r="JN103" s="85"/>
      <c r="JO103" s="27"/>
      <c r="JP103" s="36"/>
      <c r="JQ103" s="85"/>
      <c r="JR103" s="35"/>
      <c r="JS103" s="35"/>
      <c r="JT103" s="35"/>
      <c r="JU103" s="35"/>
      <c r="JV103" s="35"/>
      <c r="JW103" s="35"/>
      <c r="JX103" s="36"/>
      <c r="JY103" s="35"/>
      <c r="JZ103" s="35"/>
      <c r="KA103" s="35"/>
      <c r="KB103" s="35"/>
      <c r="KC103" s="35"/>
      <c r="KD103" s="35"/>
      <c r="KE103" s="35"/>
      <c r="KF103" s="85"/>
      <c r="KG103" s="27"/>
      <c r="KH103" s="36"/>
      <c r="KI103" s="85"/>
      <c r="KJ103" s="35"/>
      <c r="KK103" s="35"/>
      <c r="KL103" s="35"/>
      <c r="KM103" s="35"/>
      <c r="KN103" s="35"/>
      <c r="KO103" s="35"/>
      <c r="KP103" s="36"/>
      <c r="KQ103" s="35"/>
      <c r="KR103" s="35"/>
      <c r="KS103" s="35"/>
      <c r="KT103" s="35"/>
      <c r="KU103" s="35"/>
      <c r="KV103" s="35"/>
      <c r="KW103" s="35"/>
      <c r="KX103" s="85"/>
      <c r="KY103" s="27"/>
      <c r="KZ103" s="36"/>
      <c r="LA103" s="85"/>
      <c r="LB103" s="35"/>
      <c r="LC103" s="35"/>
      <c r="LD103" s="35"/>
      <c r="LE103" s="35"/>
      <c r="LF103" s="35"/>
      <c r="LG103" s="35"/>
      <c r="LH103" s="36"/>
      <c r="LI103" s="35"/>
      <c r="LJ103" s="35"/>
      <c r="LK103" s="35"/>
      <c r="LL103" s="35"/>
      <c r="LM103" s="35"/>
      <c r="LN103" s="35"/>
      <c r="LO103" s="35"/>
      <c r="LP103" s="85"/>
      <c r="LQ103" s="27"/>
      <c r="LR103" s="36"/>
      <c r="LS103" s="85"/>
      <c r="LT103" s="35"/>
      <c r="LU103" s="35">
        <v>28768000</v>
      </c>
      <c r="LV103" s="35">
        <v>24165100</v>
      </c>
      <c r="LW103" s="35">
        <v>4602900</v>
      </c>
      <c r="LX103" s="35">
        <v>24165100</v>
      </c>
      <c r="LY103" s="35"/>
      <c r="LZ103" s="36"/>
      <c r="MA103" s="35">
        <v>28768000</v>
      </c>
      <c r="MB103" s="35">
        <v>24165100</v>
      </c>
      <c r="MC103" s="35"/>
      <c r="MD103" s="35">
        <v>4602900</v>
      </c>
      <c r="ME103" s="35">
        <v>16.000070000000001</v>
      </c>
      <c r="MF103" s="35"/>
      <c r="MG103" s="35"/>
      <c r="MH103" s="85">
        <v>24165100</v>
      </c>
      <c r="MI103" s="27"/>
      <c r="MJ103" s="36">
        <v>24165100</v>
      </c>
      <c r="MK103" s="85">
        <v>24165100</v>
      </c>
      <c r="ML103" s="35"/>
      <c r="MM103" s="35"/>
      <c r="MN103" s="35"/>
      <c r="MO103" s="35"/>
      <c r="MP103" s="35"/>
      <c r="MQ103" s="35"/>
      <c r="MR103" s="36"/>
      <c r="MS103" s="35"/>
      <c r="MT103" s="35"/>
      <c r="MU103" s="35"/>
      <c r="MV103" s="35"/>
      <c r="MW103" s="35"/>
      <c r="MX103" s="35"/>
      <c r="MY103" s="35"/>
      <c r="MZ103" s="85"/>
      <c r="NA103" s="27"/>
      <c r="NB103" s="36"/>
      <c r="NC103" s="85"/>
      <c r="ND103" s="35"/>
      <c r="NE103" s="35">
        <v>2000000</v>
      </c>
      <c r="NF103" s="35">
        <v>1442100</v>
      </c>
      <c r="NG103" s="35">
        <v>557900</v>
      </c>
      <c r="NH103" s="35">
        <v>1442100</v>
      </c>
      <c r="NI103" s="35"/>
      <c r="NJ103" s="36"/>
      <c r="NK103" s="35">
        <v>2000000</v>
      </c>
      <c r="NL103" s="35">
        <v>1442100</v>
      </c>
      <c r="NM103" s="35"/>
      <c r="NN103" s="35">
        <v>557900</v>
      </c>
      <c r="NO103" s="35">
        <v>27.895</v>
      </c>
      <c r="NP103" s="35"/>
      <c r="NQ103" s="35"/>
      <c r="NR103" s="85">
        <v>1442100</v>
      </c>
      <c r="NS103" s="27"/>
      <c r="NT103" s="36">
        <v>1442100</v>
      </c>
      <c r="NU103" s="85">
        <v>1442100</v>
      </c>
      <c r="NV103" s="35"/>
      <c r="NW103" s="35"/>
      <c r="NX103" s="35"/>
      <c r="NY103" s="35"/>
      <c r="NZ103" s="35"/>
      <c r="OA103" s="35"/>
      <c r="OB103" s="36"/>
      <c r="OC103" s="35"/>
      <c r="OD103" s="35"/>
      <c r="OE103" s="35"/>
      <c r="OF103" s="35"/>
      <c r="OG103" s="35"/>
      <c r="OH103" s="35"/>
      <c r="OI103" s="35"/>
      <c r="OJ103" s="85"/>
      <c r="OK103" s="27"/>
      <c r="OL103" s="36"/>
      <c r="OM103" s="85"/>
      <c r="ON103" s="35"/>
      <c r="OO103" s="35"/>
      <c r="OP103" s="35"/>
      <c r="OQ103" s="35"/>
      <c r="OR103" s="35"/>
      <c r="OS103" s="35"/>
      <c r="OT103" s="36"/>
      <c r="OU103" s="35"/>
      <c r="OV103" s="35"/>
      <c r="OW103" s="35"/>
      <c r="OX103" s="35"/>
      <c r="OY103" s="35"/>
      <c r="OZ103" s="35"/>
      <c r="PA103" s="35"/>
      <c r="PB103" s="85"/>
      <c r="PC103" s="27"/>
      <c r="PD103" s="36"/>
      <c r="PE103" s="85"/>
      <c r="PF103" s="35"/>
      <c r="PG103" s="35"/>
      <c r="PH103" s="35"/>
      <c r="PI103" s="35"/>
      <c r="PJ103" s="35"/>
      <c r="PK103" s="35"/>
      <c r="PL103" s="36"/>
      <c r="PM103" s="35"/>
      <c r="PN103" s="35"/>
      <c r="PO103" s="35"/>
      <c r="PP103" s="35"/>
      <c r="PQ103" s="35"/>
      <c r="PR103" s="35"/>
      <c r="PS103" s="35"/>
      <c r="PT103" s="85"/>
      <c r="PU103" s="27"/>
      <c r="PV103" s="36"/>
      <c r="PW103" s="85"/>
      <c r="PX103" s="35"/>
      <c r="PY103" s="35"/>
      <c r="PZ103" s="35"/>
      <c r="QA103" s="35"/>
      <c r="QB103" s="35"/>
      <c r="QC103" s="35"/>
      <c r="QD103" s="36"/>
      <c r="QE103" s="35"/>
      <c r="QF103" s="35"/>
      <c r="QG103" s="35"/>
      <c r="QH103" s="35"/>
      <c r="QI103" s="35"/>
      <c r="QJ103" s="35"/>
      <c r="QK103" s="35"/>
      <c r="QL103" s="85"/>
      <c r="QM103" s="27"/>
      <c r="QN103" s="36"/>
      <c r="QO103" s="85"/>
      <c r="QP103" s="35"/>
      <c r="QQ103" s="35"/>
      <c r="QR103" s="35"/>
      <c r="QS103" s="35"/>
      <c r="QT103" s="35"/>
      <c r="QU103" s="35"/>
      <c r="QV103" s="36"/>
      <c r="QW103" s="35"/>
      <c r="QX103" s="35"/>
      <c r="QY103" s="35"/>
      <c r="QZ103" s="35"/>
      <c r="RA103" s="35"/>
      <c r="RB103" s="35"/>
      <c r="RC103" s="35"/>
      <c r="RD103" s="85"/>
      <c r="RE103" s="27"/>
      <c r="RF103" s="36"/>
      <c r="RG103" s="85"/>
      <c r="RH103" s="35"/>
      <c r="RI103" s="35"/>
      <c r="RJ103" s="35"/>
      <c r="RK103" s="35"/>
      <c r="RL103" s="35"/>
      <c r="RM103" s="35"/>
      <c r="RN103" s="36"/>
      <c r="RO103" s="35"/>
      <c r="RP103" s="35"/>
      <c r="RQ103" s="35"/>
      <c r="RR103" s="35"/>
      <c r="RS103" s="35"/>
      <c r="RT103" s="35"/>
      <c r="RU103" s="35"/>
      <c r="RV103" s="85"/>
      <c r="RW103" s="27"/>
      <c r="RX103" s="36"/>
      <c r="RY103" s="85"/>
      <c r="RZ103" s="35"/>
      <c r="SA103" s="35"/>
      <c r="SB103" s="35"/>
      <c r="SC103" s="35"/>
      <c r="SD103" s="35"/>
      <c r="SE103" s="35"/>
      <c r="SF103" s="36"/>
      <c r="SG103" s="35"/>
      <c r="SH103" s="35"/>
      <c r="SI103" s="35"/>
      <c r="SJ103" s="35"/>
      <c r="SK103" s="35"/>
      <c r="SL103" s="35"/>
      <c r="SM103" s="35"/>
      <c r="SN103" s="85"/>
      <c r="SO103" s="27"/>
      <c r="SP103" s="36"/>
      <c r="SQ103" s="85"/>
      <c r="SR103" s="35"/>
      <c r="SS103" s="35"/>
      <c r="ST103" s="35"/>
      <c r="SU103" s="35"/>
      <c r="SV103" s="35"/>
      <c r="SW103" s="35"/>
      <c r="SX103" s="36"/>
      <c r="SY103" s="35"/>
      <c r="SZ103" s="35"/>
      <c r="TA103" s="35"/>
      <c r="TB103" s="35"/>
      <c r="TC103" s="35"/>
      <c r="TD103" s="35"/>
      <c r="TE103" s="35"/>
      <c r="TF103" s="85"/>
      <c r="TG103" s="27"/>
      <c r="TH103" s="36"/>
      <c r="TI103" s="85"/>
      <c r="TJ103" s="35"/>
      <c r="TK103" s="35">
        <v>205166500</v>
      </c>
      <c r="TL103" s="35">
        <v>205166500</v>
      </c>
      <c r="TM103" s="35"/>
      <c r="TN103" s="35">
        <v>198768779.65000001</v>
      </c>
      <c r="TO103" s="35"/>
      <c r="TP103" s="36"/>
      <c r="TQ103" s="35">
        <v>198768779.65000001</v>
      </c>
      <c r="TR103" s="35">
        <v>198768779.65000001</v>
      </c>
      <c r="TS103" s="35"/>
      <c r="TT103" s="35"/>
      <c r="TU103" s="35"/>
      <c r="TV103" s="35"/>
      <c r="TW103" s="35"/>
      <c r="TX103" s="85">
        <v>198768779.65000001</v>
      </c>
      <c r="TY103" s="27"/>
      <c r="TZ103" s="36">
        <v>205166500</v>
      </c>
      <c r="UA103" s="85">
        <v>205166500</v>
      </c>
      <c r="UB103" s="35"/>
      <c r="UC103" s="35"/>
      <c r="UD103" s="35"/>
      <c r="UE103" s="35"/>
      <c r="UF103" s="35"/>
      <c r="UG103" s="35"/>
      <c r="UH103" s="36"/>
      <c r="UI103" s="35"/>
      <c r="UJ103" s="35"/>
      <c r="UK103" s="35"/>
      <c r="UL103" s="35"/>
      <c r="UM103" s="35"/>
      <c r="UN103" s="35"/>
      <c r="UO103" s="35"/>
      <c r="UP103" s="85"/>
      <c r="UQ103" s="27"/>
      <c r="UR103" s="36"/>
      <c r="US103" s="85"/>
    </row>
    <row r="104" spans="1:565" x14ac:dyDescent="0.3">
      <c r="A104" s="8" t="s">
        <v>244</v>
      </c>
      <c r="B104" s="168">
        <v>90</v>
      </c>
      <c r="C104" s="13" t="s">
        <v>246</v>
      </c>
      <c r="F104" s="36">
        <v>4649377800</v>
      </c>
      <c r="G104" s="85"/>
      <c r="H104" s="35"/>
      <c r="I104" s="35">
        <v>71583764.709999993</v>
      </c>
      <c r="J104" s="35">
        <v>60846200</v>
      </c>
      <c r="K104" s="35">
        <v>10737564.710000001</v>
      </c>
      <c r="L104" s="35">
        <v>60846200</v>
      </c>
      <c r="M104" s="35">
        <v>3194</v>
      </c>
      <c r="N104" s="36"/>
      <c r="O104" s="35">
        <v>71583764.709999993</v>
      </c>
      <c r="P104" s="35">
        <v>60846200</v>
      </c>
      <c r="Q104" s="35"/>
      <c r="R104" s="35">
        <v>10737564.710000001</v>
      </c>
      <c r="S104" s="35">
        <v>15</v>
      </c>
      <c r="T104" s="35">
        <v>3194</v>
      </c>
      <c r="U104" s="35"/>
      <c r="V104" s="85">
        <v>60846200</v>
      </c>
      <c r="W104" s="27"/>
      <c r="X104" s="36">
        <v>60846200</v>
      </c>
      <c r="Y104" s="85">
        <v>60846200</v>
      </c>
      <c r="Z104" s="35"/>
      <c r="AA104" s="35">
        <v>23997411.760000002</v>
      </c>
      <c r="AB104" s="35">
        <v>20397800</v>
      </c>
      <c r="AC104" s="35">
        <v>3599611.76</v>
      </c>
      <c r="AD104" s="35">
        <v>20397800</v>
      </c>
      <c r="AE104" s="35">
        <v>82266.75</v>
      </c>
      <c r="AF104" s="36"/>
      <c r="AG104" s="35">
        <v>23997411.760000002</v>
      </c>
      <c r="AH104" s="35">
        <v>20397800</v>
      </c>
      <c r="AI104" s="35"/>
      <c r="AJ104" s="35">
        <v>3599611.76</v>
      </c>
      <c r="AK104" s="35">
        <v>15</v>
      </c>
      <c r="AL104" s="35">
        <v>82266.75</v>
      </c>
      <c r="AM104" s="35"/>
      <c r="AN104" s="85">
        <v>20397800</v>
      </c>
      <c r="AO104" s="27"/>
      <c r="AP104" s="36">
        <v>20397800</v>
      </c>
      <c r="AQ104" s="85">
        <v>20397800</v>
      </c>
      <c r="AR104" s="35"/>
      <c r="AS104" s="35">
        <v>373116470.88</v>
      </c>
      <c r="AT104" s="35">
        <v>317149000</v>
      </c>
      <c r="AU104" s="35">
        <v>55967470.880000003</v>
      </c>
      <c r="AV104" s="35">
        <v>302778548.24000001</v>
      </c>
      <c r="AW104" s="35">
        <v>12806018.439999999</v>
      </c>
      <c r="AX104" s="36"/>
      <c r="AY104" s="35">
        <v>356210056.99000001</v>
      </c>
      <c r="AZ104" s="35">
        <v>302778548.24000001</v>
      </c>
      <c r="BA104" s="35"/>
      <c r="BB104" s="35">
        <v>53431508.75</v>
      </c>
      <c r="BC104" s="35">
        <v>15</v>
      </c>
      <c r="BD104" s="35">
        <v>12806018.439999999</v>
      </c>
      <c r="BE104" s="35"/>
      <c r="BF104" s="85">
        <v>302778548.24000001</v>
      </c>
      <c r="BG104" s="27"/>
      <c r="BH104" s="36">
        <v>317149000</v>
      </c>
      <c r="BI104" s="85">
        <v>317149000</v>
      </c>
      <c r="BJ104" s="35"/>
      <c r="BK104" s="35">
        <v>152927150.00999999</v>
      </c>
      <c r="BL104" s="35">
        <v>104441800</v>
      </c>
      <c r="BM104" s="35">
        <v>48485350.009999998</v>
      </c>
      <c r="BN104" s="35">
        <v>104383543.23</v>
      </c>
      <c r="BO104" s="35">
        <v>1187751.42</v>
      </c>
      <c r="BP104" s="36"/>
      <c r="BQ104" s="35">
        <v>152839764.88999999</v>
      </c>
      <c r="BR104" s="35">
        <v>104383543.23</v>
      </c>
      <c r="BS104" s="35"/>
      <c r="BT104" s="35">
        <v>48456221.659999996</v>
      </c>
      <c r="BU104" s="35">
        <v>31.703939999999999</v>
      </c>
      <c r="BV104" s="35">
        <v>1187751.42</v>
      </c>
      <c r="BW104" s="35"/>
      <c r="BX104" s="85">
        <v>104383543.23</v>
      </c>
      <c r="BY104" s="27"/>
      <c r="BZ104" s="36">
        <v>104441800</v>
      </c>
      <c r="CA104" s="85">
        <v>104441800</v>
      </c>
      <c r="CB104" s="35"/>
      <c r="CC104" s="35">
        <v>54156470.590000004</v>
      </c>
      <c r="CD104" s="35">
        <v>46033000</v>
      </c>
      <c r="CE104" s="35">
        <v>8123470.5899999999</v>
      </c>
      <c r="CF104" s="35">
        <v>46033000</v>
      </c>
      <c r="CG104" s="35">
        <v>92738.82</v>
      </c>
      <c r="CH104" s="36"/>
      <c r="CI104" s="35">
        <v>54156470.590000004</v>
      </c>
      <c r="CJ104" s="35">
        <v>46033000</v>
      </c>
      <c r="CK104" s="35"/>
      <c r="CL104" s="35">
        <v>8123470.5899999999</v>
      </c>
      <c r="CM104" s="35">
        <v>15</v>
      </c>
      <c r="CN104" s="35">
        <v>92738.82</v>
      </c>
      <c r="CO104" s="35"/>
      <c r="CP104" s="85">
        <v>46033000</v>
      </c>
      <c r="CQ104" s="27"/>
      <c r="CR104" s="36">
        <v>46033000</v>
      </c>
      <c r="CS104" s="85">
        <v>46033000</v>
      </c>
      <c r="CT104" s="35"/>
      <c r="CU104" s="35">
        <v>124243298.97</v>
      </c>
      <c r="CV104" s="35">
        <v>120516000</v>
      </c>
      <c r="CW104" s="35">
        <v>3727298.97</v>
      </c>
      <c r="CX104" s="35">
        <v>120516000</v>
      </c>
      <c r="CY104" s="35"/>
      <c r="CZ104" s="36"/>
      <c r="DA104" s="35">
        <v>124243298.97</v>
      </c>
      <c r="DB104" s="35">
        <v>120516000</v>
      </c>
      <c r="DC104" s="35"/>
      <c r="DD104" s="35">
        <v>3727298.97</v>
      </c>
      <c r="DE104" s="35">
        <v>3</v>
      </c>
      <c r="DF104" s="35"/>
      <c r="DG104" s="35"/>
      <c r="DH104" s="85">
        <v>120516000</v>
      </c>
      <c r="DI104" s="27"/>
      <c r="DJ104" s="36">
        <v>120516000</v>
      </c>
      <c r="DK104" s="85">
        <v>120516000</v>
      </c>
      <c r="DL104" s="35"/>
      <c r="DM104" s="35"/>
      <c r="DN104" s="35"/>
      <c r="DO104" s="35"/>
      <c r="DP104" s="35"/>
      <c r="DQ104" s="35"/>
      <c r="DR104" s="36"/>
      <c r="DS104" s="35"/>
      <c r="DT104" s="35"/>
      <c r="DU104" s="35"/>
      <c r="DV104" s="35"/>
      <c r="DW104" s="35"/>
      <c r="DX104" s="35"/>
      <c r="DY104" s="35"/>
      <c r="DZ104" s="85"/>
      <c r="EA104" s="27"/>
      <c r="EB104" s="36"/>
      <c r="EC104" s="85"/>
      <c r="ED104" s="35"/>
      <c r="EE104" s="35">
        <v>37181958.759999998</v>
      </c>
      <c r="EF104" s="35">
        <v>36066500</v>
      </c>
      <c r="EG104" s="35">
        <v>1115458.76</v>
      </c>
      <c r="EH104" s="35">
        <v>36066500</v>
      </c>
      <c r="EI104" s="35"/>
      <c r="EJ104" s="36"/>
      <c r="EK104" s="35">
        <v>37181958.759999998</v>
      </c>
      <c r="EL104" s="35">
        <v>36066500</v>
      </c>
      <c r="EM104" s="35"/>
      <c r="EN104" s="35">
        <v>1115458.76</v>
      </c>
      <c r="EO104" s="35">
        <v>3</v>
      </c>
      <c r="EP104" s="35"/>
      <c r="EQ104" s="35"/>
      <c r="ER104" s="85">
        <v>36066500</v>
      </c>
      <c r="ES104" s="27"/>
      <c r="ET104" s="36">
        <v>36066500</v>
      </c>
      <c r="EU104" s="85">
        <v>36066500</v>
      </c>
      <c r="EV104" s="35"/>
      <c r="EW104" s="35">
        <v>12632685</v>
      </c>
      <c r="EX104" s="35">
        <v>8042100</v>
      </c>
      <c r="EY104" s="35">
        <v>4590585</v>
      </c>
      <c r="EZ104" s="35">
        <v>8042100</v>
      </c>
      <c r="FA104" s="35">
        <v>65.930000000000007</v>
      </c>
      <c r="FB104" s="36"/>
      <c r="FC104" s="35">
        <v>12576154.1</v>
      </c>
      <c r="FD104" s="35">
        <v>8006111.8499999996</v>
      </c>
      <c r="FE104" s="35"/>
      <c r="FF104" s="35">
        <v>4570042.25</v>
      </c>
      <c r="FG104" s="35">
        <v>36.338949999999997</v>
      </c>
      <c r="FH104" s="35">
        <v>65.930000000000007</v>
      </c>
      <c r="FI104" s="35">
        <v>35988.15</v>
      </c>
      <c r="FJ104" s="85">
        <v>8042100</v>
      </c>
      <c r="FK104" s="27"/>
      <c r="FL104" s="36">
        <v>8042100</v>
      </c>
      <c r="FM104" s="85">
        <v>8042100</v>
      </c>
      <c r="FN104" s="35"/>
      <c r="FO104" s="35"/>
      <c r="FP104" s="35"/>
      <c r="FQ104" s="35"/>
      <c r="FR104" s="35"/>
      <c r="FS104" s="35">
        <v>719004.07</v>
      </c>
      <c r="FT104" s="36"/>
      <c r="FU104" s="35"/>
      <c r="FV104" s="35"/>
      <c r="FW104" s="35"/>
      <c r="FX104" s="35"/>
      <c r="FY104" s="35"/>
      <c r="FZ104" s="35">
        <v>719004.07</v>
      </c>
      <c r="GA104" s="35"/>
      <c r="GB104" s="85"/>
      <c r="GC104" s="27"/>
      <c r="GD104" s="36"/>
      <c r="GE104" s="85"/>
      <c r="GF104" s="35"/>
      <c r="GG104" s="35"/>
      <c r="GH104" s="35"/>
      <c r="GI104" s="35"/>
      <c r="GJ104" s="35"/>
      <c r="GK104" s="35"/>
      <c r="GL104" s="36"/>
      <c r="GM104" s="35"/>
      <c r="GN104" s="35"/>
      <c r="GO104" s="35"/>
      <c r="GP104" s="35"/>
      <c r="GQ104" s="35"/>
      <c r="GR104" s="35"/>
      <c r="GS104" s="35"/>
      <c r="GT104" s="85"/>
      <c r="GU104" s="27"/>
      <c r="GV104" s="36"/>
      <c r="GW104" s="85"/>
      <c r="GX104" s="35"/>
      <c r="GY104" s="35"/>
      <c r="GZ104" s="35"/>
      <c r="HA104" s="35"/>
      <c r="HB104" s="35"/>
      <c r="HC104" s="35"/>
      <c r="HD104" s="36"/>
      <c r="HE104" s="35"/>
      <c r="HF104" s="35"/>
      <c r="HG104" s="35"/>
      <c r="HH104" s="35"/>
      <c r="HI104" s="35"/>
      <c r="HJ104" s="35"/>
      <c r="HK104" s="35"/>
      <c r="HL104" s="85"/>
      <c r="HM104" s="27"/>
      <c r="HN104" s="36"/>
      <c r="HO104" s="85"/>
      <c r="HP104" s="35"/>
      <c r="HQ104" s="35"/>
      <c r="HR104" s="35"/>
      <c r="HS104" s="35"/>
      <c r="HT104" s="35"/>
      <c r="HU104" s="35"/>
      <c r="HV104" s="36"/>
      <c r="HW104" s="35"/>
      <c r="HX104" s="35"/>
      <c r="HY104" s="35"/>
      <c r="HZ104" s="35"/>
      <c r="IA104" s="35"/>
      <c r="IB104" s="35"/>
      <c r="IC104" s="35"/>
      <c r="ID104" s="85"/>
      <c r="IE104" s="27"/>
      <c r="IF104" s="36"/>
      <c r="IG104" s="85"/>
      <c r="IH104" s="35"/>
      <c r="II104" s="35"/>
      <c r="IJ104" s="35"/>
      <c r="IK104" s="35"/>
      <c r="IL104" s="35"/>
      <c r="IM104" s="35"/>
      <c r="IN104" s="36"/>
      <c r="IO104" s="35"/>
      <c r="IP104" s="35"/>
      <c r="IQ104" s="35"/>
      <c r="IR104" s="35"/>
      <c r="IS104" s="35"/>
      <c r="IT104" s="35"/>
      <c r="IU104" s="35"/>
      <c r="IV104" s="85"/>
      <c r="IW104" s="27"/>
      <c r="IX104" s="36"/>
      <c r="IY104" s="85"/>
      <c r="IZ104" s="35"/>
      <c r="JA104" s="35"/>
      <c r="JB104" s="35"/>
      <c r="JC104" s="35"/>
      <c r="JD104" s="35"/>
      <c r="JE104" s="35"/>
      <c r="JF104" s="36"/>
      <c r="JG104" s="35"/>
      <c r="JH104" s="35"/>
      <c r="JI104" s="35"/>
      <c r="JJ104" s="35"/>
      <c r="JK104" s="35"/>
      <c r="JL104" s="35"/>
      <c r="JM104" s="35"/>
      <c r="JN104" s="85"/>
      <c r="JO104" s="27"/>
      <c r="JP104" s="36"/>
      <c r="JQ104" s="85"/>
      <c r="JR104" s="35"/>
      <c r="JS104" s="35"/>
      <c r="JT104" s="35"/>
      <c r="JU104" s="35"/>
      <c r="JV104" s="35"/>
      <c r="JW104" s="35"/>
      <c r="JX104" s="36"/>
      <c r="JY104" s="35"/>
      <c r="JZ104" s="35"/>
      <c r="KA104" s="35"/>
      <c r="KB104" s="35"/>
      <c r="KC104" s="35"/>
      <c r="KD104" s="35"/>
      <c r="KE104" s="35"/>
      <c r="KF104" s="85"/>
      <c r="KG104" s="27"/>
      <c r="KH104" s="36"/>
      <c r="KI104" s="85"/>
      <c r="KJ104" s="35"/>
      <c r="KK104" s="35">
        <v>4829536</v>
      </c>
      <c r="KL104" s="35">
        <v>2247200</v>
      </c>
      <c r="KM104" s="35">
        <v>2582336</v>
      </c>
      <c r="KN104" s="35">
        <v>2247200</v>
      </c>
      <c r="KO104" s="35"/>
      <c r="KP104" s="36"/>
      <c r="KQ104" s="35">
        <v>4829536</v>
      </c>
      <c r="KR104" s="35">
        <v>2247200</v>
      </c>
      <c r="KS104" s="35"/>
      <c r="KT104" s="35">
        <v>2582336</v>
      </c>
      <c r="KU104" s="35">
        <v>53.469650000000001</v>
      </c>
      <c r="KV104" s="35"/>
      <c r="KW104" s="35"/>
      <c r="KX104" s="85">
        <v>2247200</v>
      </c>
      <c r="KY104" s="27"/>
      <c r="KZ104" s="36">
        <v>2247200</v>
      </c>
      <c r="LA104" s="85">
        <v>2247200</v>
      </c>
      <c r="LB104" s="35"/>
      <c r="LC104" s="35"/>
      <c r="LD104" s="35"/>
      <c r="LE104" s="35"/>
      <c r="LF104" s="35"/>
      <c r="LG104" s="35"/>
      <c r="LH104" s="36"/>
      <c r="LI104" s="35"/>
      <c r="LJ104" s="35"/>
      <c r="LK104" s="35"/>
      <c r="LL104" s="35"/>
      <c r="LM104" s="35"/>
      <c r="LN104" s="35"/>
      <c r="LO104" s="35"/>
      <c r="LP104" s="85"/>
      <c r="LQ104" s="27"/>
      <c r="LR104" s="36"/>
      <c r="LS104" s="85"/>
      <c r="LT104" s="35"/>
      <c r="LU104" s="35"/>
      <c r="LV104" s="35"/>
      <c r="LW104" s="35"/>
      <c r="LX104" s="35"/>
      <c r="LY104" s="35"/>
      <c r="LZ104" s="36"/>
      <c r="MA104" s="35"/>
      <c r="MB104" s="35"/>
      <c r="MC104" s="35"/>
      <c r="MD104" s="35"/>
      <c r="ME104" s="35"/>
      <c r="MF104" s="35"/>
      <c r="MG104" s="35"/>
      <c r="MH104" s="85"/>
      <c r="MI104" s="27"/>
      <c r="MJ104" s="36"/>
      <c r="MK104" s="85"/>
      <c r="ML104" s="35"/>
      <c r="MM104" s="35"/>
      <c r="MN104" s="35"/>
      <c r="MO104" s="35"/>
      <c r="MP104" s="35"/>
      <c r="MQ104" s="35"/>
      <c r="MR104" s="36"/>
      <c r="MS104" s="35"/>
      <c r="MT104" s="35"/>
      <c r="MU104" s="35"/>
      <c r="MV104" s="35"/>
      <c r="MW104" s="35"/>
      <c r="MX104" s="35"/>
      <c r="MY104" s="35"/>
      <c r="MZ104" s="85"/>
      <c r="NA104" s="27"/>
      <c r="NB104" s="36"/>
      <c r="NC104" s="85"/>
      <c r="ND104" s="35"/>
      <c r="NE104" s="35">
        <v>867354</v>
      </c>
      <c r="NF104" s="35">
        <v>521000</v>
      </c>
      <c r="NG104" s="35">
        <v>346354</v>
      </c>
      <c r="NH104" s="35">
        <v>521000</v>
      </c>
      <c r="NI104" s="35"/>
      <c r="NJ104" s="36"/>
      <c r="NK104" s="35">
        <v>867354</v>
      </c>
      <c r="NL104" s="35">
        <v>521000</v>
      </c>
      <c r="NM104" s="35"/>
      <c r="NN104" s="35">
        <v>346354</v>
      </c>
      <c r="NO104" s="35">
        <v>39.932250000000003</v>
      </c>
      <c r="NP104" s="35"/>
      <c r="NQ104" s="35"/>
      <c r="NR104" s="85">
        <v>521000</v>
      </c>
      <c r="NS104" s="27"/>
      <c r="NT104" s="36">
        <v>521000</v>
      </c>
      <c r="NU104" s="85">
        <v>521000</v>
      </c>
      <c r="NV104" s="35"/>
      <c r="NW104" s="35"/>
      <c r="NX104" s="35"/>
      <c r="NY104" s="35"/>
      <c r="NZ104" s="35"/>
      <c r="OA104" s="35"/>
      <c r="OB104" s="36"/>
      <c r="OC104" s="35"/>
      <c r="OD104" s="35"/>
      <c r="OE104" s="35"/>
      <c r="OF104" s="35"/>
      <c r="OG104" s="35"/>
      <c r="OH104" s="35"/>
      <c r="OI104" s="35"/>
      <c r="OJ104" s="85"/>
      <c r="OK104" s="27"/>
      <c r="OL104" s="36"/>
      <c r="OM104" s="85"/>
      <c r="ON104" s="35"/>
      <c r="OO104" s="35"/>
      <c r="OP104" s="35"/>
      <c r="OQ104" s="35"/>
      <c r="OR104" s="35"/>
      <c r="OS104" s="35">
        <v>52563.13</v>
      </c>
      <c r="OT104" s="36"/>
      <c r="OU104" s="35"/>
      <c r="OV104" s="35"/>
      <c r="OW104" s="35"/>
      <c r="OX104" s="35"/>
      <c r="OY104" s="35"/>
      <c r="OZ104" s="35">
        <v>52563.13</v>
      </c>
      <c r="PA104" s="35"/>
      <c r="PB104" s="85"/>
      <c r="PC104" s="27"/>
      <c r="PD104" s="36"/>
      <c r="PE104" s="85"/>
      <c r="PF104" s="35"/>
      <c r="PG104" s="35"/>
      <c r="PH104" s="35"/>
      <c r="PI104" s="35"/>
      <c r="PJ104" s="35"/>
      <c r="PK104" s="35"/>
      <c r="PL104" s="36"/>
      <c r="PM104" s="35"/>
      <c r="PN104" s="35"/>
      <c r="PO104" s="35"/>
      <c r="PP104" s="35"/>
      <c r="PQ104" s="35"/>
      <c r="PR104" s="35"/>
      <c r="PS104" s="35"/>
      <c r="PT104" s="85"/>
      <c r="PU104" s="27"/>
      <c r="PV104" s="36"/>
      <c r="PW104" s="85"/>
      <c r="PX104" s="35"/>
      <c r="PY104" s="35"/>
      <c r="PZ104" s="35"/>
      <c r="QA104" s="35"/>
      <c r="QB104" s="35"/>
      <c r="QC104" s="35"/>
      <c r="QD104" s="36"/>
      <c r="QE104" s="35"/>
      <c r="QF104" s="35"/>
      <c r="QG104" s="35"/>
      <c r="QH104" s="35"/>
      <c r="QI104" s="35"/>
      <c r="QJ104" s="35"/>
      <c r="QK104" s="35"/>
      <c r="QL104" s="85"/>
      <c r="QM104" s="27"/>
      <c r="QN104" s="36"/>
      <c r="QO104" s="85"/>
      <c r="QP104" s="35"/>
      <c r="QQ104" s="35"/>
      <c r="QR104" s="35"/>
      <c r="QS104" s="35"/>
      <c r="QT104" s="35"/>
      <c r="QU104" s="35"/>
      <c r="QV104" s="36"/>
      <c r="QW104" s="35"/>
      <c r="QX104" s="35"/>
      <c r="QY104" s="35"/>
      <c r="QZ104" s="35"/>
      <c r="RA104" s="35"/>
      <c r="RB104" s="35"/>
      <c r="RC104" s="35"/>
      <c r="RD104" s="85"/>
      <c r="RE104" s="27"/>
      <c r="RF104" s="36"/>
      <c r="RG104" s="85"/>
      <c r="RH104" s="35"/>
      <c r="RI104" s="35"/>
      <c r="RJ104" s="35"/>
      <c r="RK104" s="35"/>
      <c r="RL104" s="35"/>
      <c r="RM104" s="35">
        <v>218072.2</v>
      </c>
      <c r="RN104" s="36"/>
      <c r="RO104" s="35"/>
      <c r="RP104" s="35"/>
      <c r="RQ104" s="35"/>
      <c r="RR104" s="35"/>
      <c r="RS104" s="35"/>
      <c r="RT104" s="35">
        <v>218072.2</v>
      </c>
      <c r="RU104" s="35"/>
      <c r="RV104" s="85"/>
      <c r="RW104" s="27"/>
      <c r="RX104" s="36"/>
      <c r="RY104" s="85"/>
      <c r="RZ104" s="35"/>
      <c r="SA104" s="35"/>
      <c r="SB104" s="35"/>
      <c r="SC104" s="35"/>
      <c r="SD104" s="35"/>
      <c r="SE104" s="35"/>
      <c r="SF104" s="36"/>
      <c r="SG104" s="35"/>
      <c r="SH104" s="35"/>
      <c r="SI104" s="35"/>
      <c r="SJ104" s="35"/>
      <c r="SK104" s="35"/>
      <c r="SL104" s="35"/>
      <c r="SM104" s="35"/>
      <c r="SN104" s="85"/>
      <c r="SO104" s="27"/>
      <c r="SP104" s="36"/>
      <c r="SQ104" s="85"/>
      <c r="SR104" s="35"/>
      <c r="SS104" s="35"/>
      <c r="ST104" s="35"/>
      <c r="SU104" s="35"/>
      <c r="SV104" s="35"/>
      <c r="SW104" s="35"/>
      <c r="SX104" s="36"/>
      <c r="SY104" s="35"/>
      <c r="SZ104" s="35"/>
      <c r="TA104" s="35"/>
      <c r="TB104" s="35"/>
      <c r="TC104" s="35"/>
      <c r="TD104" s="35"/>
      <c r="TE104" s="35"/>
      <c r="TF104" s="85"/>
      <c r="TG104" s="27"/>
      <c r="TH104" s="36"/>
      <c r="TI104" s="85"/>
      <c r="TJ104" s="35"/>
      <c r="TK104" s="35">
        <v>3933117200</v>
      </c>
      <c r="TL104" s="35">
        <v>3933117200</v>
      </c>
      <c r="TM104" s="35"/>
      <c r="TN104" s="35">
        <v>3624987216.0899997</v>
      </c>
      <c r="TO104" s="35"/>
      <c r="TP104" s="36"/>
      <c r="TQ104" s="35">
        <v>3624987216.0899997</v>
      </c>
      <c r="TR104" s="35">
        <v>3624987216.0899997</v>
      </c>
      <c r="TS104" s="35"/>
      <c r="TT104" s="35"/>
      <c r="TU104" s="35"/>
      <c r="TV104" s="35"/>
      <c r="TW104" s="35"/>
      <c r="TX104" s="85">
        <v>3624987216.0899997</v>
      </c>
      <c r="TY104" s="27"/>
      <c r="TZ104" s="36">
        <v>3933117200</v>
      </c>
      <c r="UA104" s="85">
        <v>3933117200</v>
      </c>
      <c r="UB104" s="35"/>
      <c r="UC104" s="35"/>
      <c r="UD104" s="35"/>
      <c r="UE104" s="35"/>
      <c r="UF104" s="35"/>
      <c r="UG104" s="35"/>
      <c r="UH104" s="36"/>
      <c r="UI104" s="35"/>
      <c r="UJ104" s="35"/>
      <c r="UK104" s="35"/>
      <c r="UL104" s="35"/>
      <c r="UM104" s="35"/>
      <c r="UN104" s="35"/>
      <c r="UO104" s="35"/>
      <c r="UP104" s="85"/>
      <c r="UQ104" s="27"/>
      <c r="UR104" s="36"/>
      <c r="US104" s="85"/>
    </row>
    <row r="105" spans="1:565" x14ac:dyDescent="0.3">
      <c r="A105" s="8" t="s">
        <v>247</v>
      </c>
      <c r="B105" s="168">
        <v>91</v>
      </c>
      <c r="C105" s="13" t="s">
        <v>249</v>
      </c>
      <c r="F105" s="36">
        <v>55401200</v>
      </c>
      <c r="G105" s="85"/>
      <c r="H105" s="35"/>
      <c r="I105" s="35">
        <v>1986600</v>
      </c>
      <c r="J105" s="35">
        <v>1807800</v>
      </c>
      <c r="K105" s="35">
        <v>178800</v>
      </c>
      <c r="L105" s="35">
        <v>1807800</v>
      </c>
      <c r="M105" s="35"/>
      <c r="N105" s="36"/>
      <c r="O105" s="35">
        <v>1986600</v>
      </c>
      <c r="P105" s="35">
        <v>1807800</v>
      </c>
      <c r="Q105" s="35"/>
      <c r="R105" s="35">
        <v>178800</v>
      </c>
      <c r="S105" s="35">
        <v>9.0002999999999993</v>
      </c>
      <c r="T105" s="35"/>
      <c r="U105" s="35"/>
      <c r="V105" s="85">
        <v>1807800</v>
      </c>
      <c r="W105" s="27"/>
      <c r="X105" s="36">
        <v>1807800</v>
      </c>
      <c r="Y105" s="85">
        <v>1807800</v>
      </c>
      <c r="Z105" s="35"/>
      <c r="AA105" s="35">
        <v>1967200</v>
      </c>
      <c r="AB105" s="35">
        <v>1790100</v>
      </c>
      <c r="AC105" s="35">
        <v>177100</v>
      </c>
      <c r="AD105" s="35">
        <v>1790100</v>
      </c>
      <c r="AE105" s="35"/>
      <c r="AF105" s="36"/>
      <c r="AG105" s="35">
        <v>1967200</v>
      </c>
      <c r="AH105" s="35">
        <v>1790100</v>
      </c>
      <c r="AI105" s="35"/>
      <c r="AJ105" s="35">
        <v>177100</v>
      </c>
      <c r="AK105" s="35">
        <v>9.0026399999999995</v>
      </c>
      <c r="AL105" s="35"/>
      <c r="AM105" s="35"/>
      <c r="AN105" s="85">
        <v>1790100</v>
      </c>
      <c r="AO105" s="27"/>
      <c r="AP105" s="36">
        <v>1790100</v>
      </c>
      <c r="AQ105" s="85">
        <v>1790100</v>
      </c>
      <c r="AR105" s="35"/>
      <c r="AS105" s="35">
        <v>32076400</v>
      </c>
      <c r="AT105" s="35">
        <v>29189500</v>
      </c>
      <c r="AU105" s="35">
        <v>2886900</v>
      </c>
      <c r="AV105" s="35">
        <v>29189500</v>
      </c>
      <c r="AW105" s="35">
        <v>194379.23</v>
      </c>
      <c r="AX105" s="36"/>
      <c r="AY105" s="35">
        <v>32076400</v>
      </c>
      <c r="AZ105" s="35">
        <v>29189500</v>
      </c>
      <c r="BA105" s="35"/>
      <c r="BB105" s="35">
        <v>2886900</v>
      </c>
      <c r="BC105" s="35">
        <v>9.0000699999999991</v>
      </c>
      <c r="BD105" s="35">
        <v>194379.23</v>
      </c>
      <c r="BE105" s="35"/>
      <c r="BF105" s="85">
        <v>29189500</v>
      </c>
      <c r="BG105" s="27"/>
      <c r="BH105" s="36">
        <v>29189500</v>
      </c>
      <c r="BI105" s="85">
        <v>29189500</v>
      </c>
      <c r="BJ105" s="35"/>
      <c r="BK105" s="35"/>
      <c r="BL105" s="35"/>
      <c r="BM105" s="35"/>
      <c r="BN105" s="35"/>
      <c r="BO105" s="35"/>
      <c r="BP105" s="36"/>
      <c r="BQ105" s="35"/>
      <c r="BR105" s="35"/>
      <c r="BS105" s="35"/>
      <c r="BT105" s="35"/>
      <c r="BU105" s="35"/>
      <c r="BV105" s="35"/>
      <c r="BW105" s="35"/>
      <c r="BX105" s="85"/>
      <c r="BY105" s="27"/>
      <c r="BZ105" s="36"/>
      <c r="CA105" s="85"/>
      <c r="CB105" s="35"/>
      <c r="CC105" s="35">
        <v>14431868.130000001</v>
      </c>
      <c r="CD105" s="35">
        <v>13133000</v>
      </c>
      <c r="CE105" s="35">
        <v>1298868.1299999999</v>
      </c>
      <c r="CF105" s="35">
        <v>13133000</v>
      </c>
      <c r="CG105" s="35"/>
      <c r="CH105" s="36"/>
      <c r="CI105" s="35">
        <v>14431868.130000001</v>
      </c>
      <c r="CJ105" s="35">
        <v>13133000</v>
      </c>
      <c r="CK105" s="35"/>
      <c r="CL105" s="35">
        <v>1298868.1299999999</v>
      </c>
      <c r="CM105" s="35">
        <v>9</v>
      </c>
      <c r="CN105" s="35"/>
      <c r="CO105" s="35"/>
      <c r="CP105" s="85">
        <v>13133000</v>
      </c>
      <c r="CQ105" s="27"/>
      <c r="CR105" s="36">
        <v>13133000</v>
      </c>
      <c r="CS105" s="85">
        <v>13133000</v>
      </c>
      <c r="CT105" s="35"/>
      <c r="CU105" s="35"/>
      <c r="CV105" s="35"/>
      <c r="CW105" s="35"/>
      <c r="CX105" s="35"/>
      <c r="CY105" s="35"/>
      <c r="CZ105" s="36"/>
      <c r="DA105" s="35"/>
      <c r="DB105" s="35"/>
      <c r="DC105" s="35"/>
      <c r="DD105" s="35"/>
      <c r="DE105" s="35"/>
      <c r="DF105" s="35"/>
      <c r="DG105" s="35"/>
      <c r="DH105" s="85"/>
      <c r="DI105" s="27"/>
      <c r="DJ105" s="36"/>
      <c r="DK105" s="85"/>
      <c r="DL105" s="35"/>
      <c r="DM105" s="35"/>
      <c r="DN105" s="35"/>
      <c r="DO105" s="35"/>
      <c r="DP105" s="35"/>
      <c r="DQ105" s="35"/>
      <c r="DR105" s="36"/>
      <c r="DS105" s="35"/>
      <c r="DT105" s="35"/>
      <c r="DU105" s="35"/>
      <c r="DV105" s="35"/>
      <c r="DW105" s="35"/>
      <c r="DX105" s="35"/>
      <c r="DY105" s="35"/>
      <c r="DZ105" s="85"/>
      <c r="EA105" s="27"/>
      <c r="EB105" s="36"/>
      <c r="EC105" s="85"/>
      <c r="ED105" s="35"/>
      <c r="EE105" s="35">
        <v>9674285.7200000007</v>
      </c>
      <c r="EF105" s="35">
        <v>9480800</v>
      </c>
      <c r="EG105" s="35">
        <v>193485.72</v>
      </c>
      <c r="EH105" s="35">
        <v>9480800</v>
      </c>
      <c r="EI105" s="35"/>
      <c r="EJ105" s="36"/>
      <c r="EK105" s="35">
        <v>9674285.7200000007</v>
      </c>
      <c r="EL105" s="35">
        <v>9480800</v>
      </c>
      <c r="EM105" s="35"/>
      <c r="EN105" s="35">
        <v>193485.72</v>
      </c>
      <c r="EO105" s="35">
        <v>2</v>
      </c>
      <c r="EP105" s="35"/>
      <c r="EQ105" s="35"/>
      <c r="ER105" s="85">
        <v>9480800</v>
      </c>
      <c r="ES105" s="27"/>
      <c r="ET105" s="36">
        <v>9480800</v>
      </c>
      <c r="EU105" s="85">
        <v>9480800</v>
      </c>
      <c r="EV105" s="35"/>
      <c r="EW105" s="35"/>
      <c r="EX105" s="35"/>
      <c r="EY105" s="35"/>
      <c r="EZ105" s="35"/>
      <c r="FA105" s="35"/>
      <c r="FB105" s="36"/>
      <c r="FC105" s="35"/>
      <c r="FD105" s="35"/>
      <c r="FE105" s="35"/>
      <c r="FF105" s="35"/>
      <c r="FG105" s="35"/>
      <c r="FH105" s="35"/>
      <c r="FI105" s="35"/>
      <c r="FJ105" s="85"/>
      <c r="FK105" s="27"/>
      <c r="FL105" s="36"/>
      <c r="FM105" s="85"/>
      <c r="FN105" s="35"/>
      <c r="FO105" s="35"/>
      <c r="FP105" s="35"/>
      <c r="FQ105" s="35"/>
      <c r="FR105" s="35"/>
      <c r="FS105" s="35"/>
      <c r="FT105" s="36"/>
      <c r="FU105" s="35"/>
      <c r="FV105" s="35"/>
      <c r="FW105" s="35"/>
      <c r="FX105" s="35"/>
      <c r="FY105" s="35"/>
      <c r="FZ105" s="35"/>
      <c r="GA105" s="35"/>
      <c r="GB105" s="85"/>
      <c r="GC105" s="27"/>
      <c r="GD105" s="36"/>
      <c r="GE105" s="85"/>
      <c r="GF105" s="35"/>
      <c r="GG105" s="35"/>
      <c r="GH105" s="35"/>
      <c r="GI105" s="35"/>
      <c r="GJ105" s="35"/>
      <c r="GK105" s="35"/>
      <c r="GL105" s="36"/>
      <c r="GM105" s="35"/>
      <c r="GN105" s="35"/>
      <c r="GO105" s="35"/>
      <c r="GP105" s="35"/>
      <c r="GQ105" s="35"/>
      <c r="GR105" s="35"/>
      <c r="GS105" s="35"/>
      <c r="GT105" s="85"/>
      <c r="GU105" s="27"/>
      <c r="GV105" s="36"/>
      <c r="GW105" s="85"/>
      <c r="GX105" s="35"/>
      <c r="GY105" s="35"/>
      <c r="GZ105" s="35"/>
      <c r="HA105" s="35"/>
      <c r="HB105" s="35"/>
      <c r="HC105" s="35"/>
      <c r="HD105" s="36"/>
      <c r="HE105" s="35"/>
      <c r="HF105" s="35"/>
      <c r="HG105" s="35"/>
      <c r="HH105" s="35"/>
      <c r="HI105" s="35"/>
      <c r="HJ105" s="35"/>
      <c r="HK105" s="35"/>
      <c r="HL105" s="85"/>
      <c r="HM105" s="27"/>
      <c r="HN105" s="36"/>
      <c r="HO105" s="85"/>
      <c r="HP105" s="35"/>
      <c r="HQ105" s="35"/>
      <c r="HR105" s="35"/>
      <c r="HS105" s="35"/>
      <c r="HT105" s="35"/>
      <c r="HU105" s="35"/>
      <c r="HV105" s="36"/>
      <c r="HW105" s="35"/>
      <c r="HX105" s="35"/>
      <c r="HY105" s="35"/>
      <c r="HZ105" s="35"/>
      <c r="IA105" s="35"/>
      <c r="IB105" s="35"/>
      <c r="IC105" s="35"/>
      <c r="ID105" s="85"/>
      <c r="IE105" s="27"/>
      <c r="IF105" s="36"/>
      <c r="IG105" s="85"/>
      <c r="IH105" s="35"/>
      <c r="II105" s="35"/>
      <c r="IJ105" s="35"/>
      <c r="IK105" s="35"/>
      <c r="IL105" s="35"/>
      <c r="IM105" s="35"/>
      <c r="IN105" s="36"/>
      <c r="IO105" s="35"/>
      <c r="IP105" s="35"/>
      <c r="IQ105" s="35"/>
      <c r="IR105" s="35"/>
      <c r="IS105" s="35"/>
      <c r="IT105" s="35"/>
      <c r="IU105" s="35"/>
      <c r="IV105" s="85"/>
      <c r="IW105" s="27"/>
      <c r="IX105" s="36"/>
      <c r="IY105" s="85"/>
      <c r="IZ105" s="35"/>
      <c r="JA105" s="35"/>
      <c r="JB105" s="35"/>
      <c r="JC105" s="35"/>
      <c r="JD105" s="35"/>
      <c r="JE105" s="35"/>
      <c r="JF105" s="36"/>
      <c r="JG105" s="35"/>
      <c r="JH105" s="35"/>
      <c r="JI105" s="35"/>
      <c r="JJ105" s="35"/>
      <c r="JK105" s="35"/>
      <c r="JL105" s="35"/>
      <c r="JM105" s="35"/>
      <c r="JN105" s="85"/>
      <c r="JO105" s="27"/>
      <c r="JP105" s="36"/>
      <c r="JQ105" s="85"/>
      <c r="JR105" s="35"/>
      <c r="JS105" s="35"/>
      <c r="JT105" s="35"/>
      <c r="JU105" s="35"/>
      <c r="JV105" s="35"/>
      <c r="JW105" s="35"/>
      <c r="JX105" s="36"/>
      <c r="JY105" s="35"/>
      <c r="JZ105" s="35"/>
      <c r="KA105" s="35"/>
      <c r="KB105" s="35"/>
      <c r="KC105" s="35"/>
      <c r="KD105" s="35"/>
      <c r="KE105" s="35"/>
      <c r="KF105" s="85"/>
      <c r="KG105" s="27"/>
      <c r="KH105" s="36"/>
      <c r="KI105" s="85"/>
      <c r="KJ105" s="35"/>
      <c r="KK105" s="35"/>
      <c r="KL105" s="35"/>
      <c r="KM105" s="35"/>
      <c r="KN105" s="35"/>
      <c r="KO105" s="35"/>
      <c r="KP105" s="36"/>
      <c r="KQ105" s="35"/>
      <c r="KR105" s="35"/>
      <c r="KS105" s="35"/>
      <c r="KT105" s="35"/>
      <c r="KU105" s="35"/>
      <c r="KV105" s="35"/>
      <c r="KW105" s="35"/>
      <c r="KX105" s="85"/>
      <c r="KY105" s="27"/>
      <c r="KZ105" s="36"/>
      <c r="LA105" s="85"/>
      <c r="LB105" s="35"/>
      <c r="LC105" s="35"/>
      <c r="LD105" s="35"/>
      <c r="LE105" s="35"/>
      <c r="LF105" s="35"/>
      <c r="LG105" s="35"/>
      <c r="LH105" s="36"/>
      <c r="LI105" s="35"/>
      <c r="LJ105" s="35"/>
      <c r="LK105" s="35"/>
      <c r="LL105" s="35"/>
      <c r="LM105" s="35"/>
      <c r="LN105" s="35"/>
      <c r="LO105" s="35"/>
      <c r="LP105" s="85"/>
      <c r="LQ105" s="27"/>
      <c r="LR105" s="36"/>
      <c r="LS105" s="85"/>
      <c r="LT105" s="35"/>
      <c r="LU105" s="35"/>
      <c r="LV105" s="35"/>
      <c r="LW105" s="35"/>
      <c r="LX105" s="35"/>
      <c r="LY105" s="35"/>
      <c r="LZ105" s="36"/>
      <c r="MA105" s="35"/>
      <c r="MB105" s="35"/>
      <c r="MC105" s="35"/>
      <c r="MD105" s="35"/>
      <c r="ME105" s="35"/>
      <c r="MF105" s="35"/>
      <c r="MG105" s="35"/>
      <c r="MH105" s="85"/>
      <c r="MI105" s="27"/>
      <c r="MJ105" s="36"/>
      <c r="MK105" s="85"/>
      <c r="ML105" s="35"/>
      <c r="MM105" s="35"/>
      <c r="MN105" s="35"/>
      <c r="MO105" s="35"/>
      <c r="MP105" s="35"/>
      <c r="MQ105" s="35"/>
      <c r="MR105" s="36"/>
      <c r="MS105" s="35"/>
      <c r="MT105" s="35"/>
      <c r="MU105" s="35"/>
      <c r="MV105" s="35"/>
      <c r="MW105" s="35"/>
      <c r="MX105" s="35"/>
      <c r="MY105" s="35"/>
      <c r="MZ105" s="85"/>
      <c r="NA105" s="27"/>
      <c r="NB105" s="36"/>
      <c r="NC105" s="85"/>
      <c r="ND105" s="35"/>
      <c r="NE105" s="35"/>
      <c r="NF105" s="35"/>
      <c r="NG105" s="35"/>
      <c r="NH105" s="35"/>
      <c r="NI105" s="35"/>
      <c r="NJ105" s="36"/>
      <c r="NK105" s="35"/>
      <c r="NL105" s="35"/>
      <c r="NM105" s="35"/>
      <c r="NN105" s="35"/>
      <c r="NO105" s="35"/>
      <c r="NP105" s="35"/>
      <c r="NQ105" s="35"/>
      <c r="NR105" s="85"/>
      <c r="NS105" s="27"/>
      <c r="NT105" s="36"/>
      <c r="NU105" s="85"/>
      <c r="NV105" s="35"/>
      <c r="NW105" s="35"/>
      <c r="NX105" s="35"/>
      <c r="NY105" s="35"/>
      <c r="NZ105" s="35"/>
      <c r="OA105" s="35"/>
      <c r="OB105" s="36"/>
      <c r="OC105" s="35"/>
      <c r="OD105" s="35"/>
      <c r="OE105" s="35"/>
      <c r="OF105" s="35"/>
      <c r="OG105" s="35"/>
      <c r="OH105" s="35"/>
      <c r="OI105" s="35"/>
      <c r="OJ105" s="85"/>
      <c r="OK105" s="27"/>
      <c r="OL105" s="36"/>
      <c r="OM105" s="85"/>
      <c r="ON105" s="35"/>
      <c r="OO105" s="35"/>
      <c r="OP105" s="35"/>
      <c r="OQ105" s="35"/>
      <c r="OR105" s="35"/>
      <c r="OS105" s="35">
        <v>257057.98</v>
      </c>
      <c r="OT105" s="36"/>
      <c r="OU105" s="35"/>
      <c r="OV105" s="35"/>
      <c r="OW105" s="35"/>
      <c r="OX105" s="35"/>
      <c r="OY105" s="35"/>
      <c r="OZ105" s="35">
        <v>257057.98</v>
      </c>
      <c r="PA105" s="35">
        <v>0</v>
      </c>
      <c r="PB105" s="85"/>
      <c r="PC105" s="27"/>
      <c r="PD105" s="36"/>
      <c r="PE105" s="85"/>
      <c r="PF105" s="35"/>
      <c r="PG105" s="35"/>
      <c r="PH105" s="35"/>
      <c r="PI105" s="35"/>
      <c r="PJ105" s="35"/>
      <c r="PK105" s="35"/>
      <c r="PL105" s="36"/>
      <c r="PM105" s="35"/>
      <c r="PN105" s="35"/>
      <c r="PO105" s="35"/>
      <c r="PP105" s="35"/>
      <c r="PQ105" s="35"/>
      <c r="PR105" s="35"/>
      <c r="PS105" s="35"/>
      <c r="PT105" s="85"/>
      <c r="PU105" s="27"/>
      <c r="PV105" s="36"/>
      <c r="PW105" s="85"/>
      <c r="PX105" s="35"/>
      <c r="PY105" s="35"/>
      <c r="PZ105" s="35"/>
      <c r="QA105" s="35"/>
      <c r="QB105" s="35"/>
      <c r="QC105" s="35"/>
      <c r="QD105" s="36"/>
      <c r="QE105" s="35"/>
      <c r="QF105" s="35"/>
      <c r="QG105" s="35"/>
      <c r="QH105" s="35"/>
      <c r="QI105" s="35"/>
      <c r="QJ105" s="35"/>
      <c r="QK105" s="35"/>
      <c r="QL105" s="85"/>
      <c r="QM105" s="27"/>
      <c r="QN105" s="36"/>
      <c r="QO105" s="85"/>
      <c r="QP105" s="35"/>
      <c r="QQ105" s="35"/>
      <c r="QR105" s="35"/>
      <c r="QS105" s="35"/>
      <c r="QT105" s="35"/>
      <c r="QU105" s="35"/>
      <c r="QV105" s="36"/>
      <c r="QW105" s="35"/>
      <c r="QX105" s="35"/>
      <c r="QY105" s="35"/>
      <c r="QZ105" s="35"/>
      <c r="RA105" s="35"/>
      <c r="RB105" s="35"/>
      <c r="RC105" s="35"/>
      <c r="RD105" s="85"/>
      <c r="RE105" s="27"/>
      <c r="RF105" s="36"/>
      <c r="RG105" s="85"/>
      <c r="RH105" s="35"/>
      <c r="RI105" s="35"/>
      <c r="RJ105" s="35"/>
      <c r="RK105" s="35"/>
      <c r="RL105" s="35"/>
      <c r="RM105" s="35">
        <v>210883.46</v>
      </c>
      <c r="RN105" s="36"/>
      <c r="RO105" s="35"/>
      <c r="RP105" s="35"/>
      <c r="RQ105" s="35"/>
      <c r="RR105" s="35"/>
      <c r="RS105" s="35"/>
      <c r="RT105" s="35">
        <v>210883.46</v>
      </c>
      <c r="RU105" s="35"/>
      <c r="RV105" s="85"/>
      <c r="RW105" s="27"/>
      <c r="RX105" s="36"/>
      <c r="RY105" s="85"/>
      <c r="RZ105" s="35"/>
      <c r="SA105" s="35"/>
      <c r="SB105" s="35"/>
      <c r="SC105" s="35"/>
      <c r="SD105" s="35"/>
      <c r="SE105" s="35"/>
      <c r="SF105" s="36"/>
      <c r="SG105" s="35"/>
      <c r="SH105" s="35"/>
      <c r="SI105" s="35"/>
      <c r="SJ105" s="35"/>
      <c r="SK105" s="35"/>
      <c r="SL105" s="35"/>
      <c r="SM105" s="35"/>
      <c r="SN105" s="85"/>
      <c r="SO105" s="27"/>
      <c r="SP105" s="36"/>
      <c r="SQ105" s="85"/>
      <c r="SR105" s="35"/>
      <c r="SS105" s="35"/>
      <c r="ST105" s="35"/>
      <c r="SU105" s="35"/>
      <c r="SV105" s="35"/>
      <c r="SW105" s="35"/>
      <c r="SX105" s="36"/>
      <c r="SY105" s="35"/>
      <c r="SZ105" s="35"/>
      <c r="TA105" s="35"/>
      <c r="TB105" s="35"/>
      <c r="TC105" s="35"/>
      <c r="TD105" s="35"/>
      <c r="TE105" s="35"/>
      <c r="TF105" s="85"/>
      <c r="TG105" s="27"/>
      <c r="TH105" s="36"/>
      <c r="TI105" s="85"/>
      <c r="TJ105" s="35"/>
      <c r="TK105" s="35"/>
      <c r="TL105" s="35"/>
      <c r="TM105" s="35"/>
      <c r="TN105" s="35"/>
      <c r="TO105" s="35"/>
      <c r="TP105" s="36"/>
      <c r="TQ105" s="35"/>
      <c r="TR105" s="35"/>
      <c r="TS105" s="35"/>
      <c r="TT105" s="35"/>
      <c r="TU105" s="35"/>
      <c r="TV105" s="35"/>
      <c r="TW105" s="35"/>
      <c r="TX105" s="85"/>
      <c r="TY105" s="27"/>
      <c r="TZ105" s="36"/>
      <c r="UA105" s="85"/>
      <c r="UB105" s="35"/>
      <c r="UC105" s="35"/>
      <c r="UD105" s="35"/>
      <c r="UE105" s="35"/>
      <c r="UF105" s="35"/>
      <c r="UG105" s="35"/>
      <c r="UH105" s="36"/>
      <c r="UI105" s="35"/>
      <c r="UJ105" s="35"/>
      <c r="UK105" s="35"/>
      <c r="UL105" s="35"/>
      <c r="UM105" s="35"/>
      <c r="UN105" s="35"/>
      <c r="UO105" s="35"/>
      <c r="UP105" s="85"/>
      <c r="UQ105" s="27"/>
      <c r="UR105" s="36"/>
      <c r="US105" s="85"/>
    </row>
    <row r="106" spans="1:565" x14ac:dyDescent="0.3">
      <c r="A106" s="8" t="s">
        <v>250</v>
      </c>
      <c r="B106" s="168">
        <v>92</v>
      </c>
      <c r="C106" s="13" t="s">
        <v>252</v>
      </c>
      <c r="F106" s="36">
        <v>82914900</v>
      </c>
      <c r="G106" s="85"/>
      <c r="H106" s="35"/>
      <c r="I106" s="35">
        <v>15627441.9</v>
      </c>
      <c r="J106" s="35">
        <v>6719800</v>
      </c>
      <c r="K106" s="35">
        <v>8907641.9000000004</v>
      </c>
      <c r="L106" s="35">
        <v>6719800</v>
      </c>
      <c r="M106" s="35">
        <v>29928.27</v>
      </c>
      <c r="N106" s="36"/>
      <c r="O106" s="35">
        <v>15627441.9</v>
      </c>
      <c r="P106" s="35">
        <v>6719800</v>
      </c>
      <c r="Q106" s="35"/>
      <c r="R106" s="35">
        <v>8907641.9000000004</v>
      </c>
      <c r="S106" s="35">
        <v>57</v>
      </c>
      <c r="T106" s="35">
        <v>29928.27</v>
      </c>
      <c r="U106" s="35"/>
      <c r="V106" s="85">
        <v>6719800</v>
      </c>
      <c r="W106" s="27"/>
      <c r="X106" s="36">
        <v>6719800</v>
      </c>
      <c r="Y106" s="85">
        <v>6719800</v>
      </c>
      <c r="Z106" s="35"/>
      <c r="AA106" s="35">
        <v>15780700</v>
      </c>
      <c r="AB106" s="35">
        <v>6785700</v>
      </c>
      <c r="AC106" s="35">
        <v>8995000</v>
      </c>
      <c r="AD106" s="35">
        <v>6785700</v>
      </c>
      <c r="AE106" s="35"/>
      <c r="AF106" s="36"/>
      <c r="AG106" s="35">
        <v>15780700</v>
      </c>
      <c r="AH106" s="35">
        <v>6785700</v>
      </c>
      <c r="AI106" s="35"/>
      <c r="AJ106" s="35">
        <v>8995000</v>
      </c>
      <c r="AK106" s="35">
        <v>57.000010000000003</v>
      </c>
      <c r="AL106" s="35"/>
      <c r="AM106" s="35"/>
      <c r="AN106" s="85">
        <v>6785700</v>
      </c>
      <c r="AO106" s="27"/>
      <c r="AP106" s="36">
        <v>6785700</v>
      </c>
      <c r="AQ106" s="85">
        <v>6785700</v>
      </c>
      <c r="AR106" s="35"/>
      <c r="AS106" s="35">
        <v>79111628</v>
      </c>
      <c r="AT106" s="35">
        <v>34018000</v>
      </c>
      <c r="AU106" s="35">
        <v>45093628</v>
      </c>
      <c r="AV106" s="35">
        <v>34018000</v>
      </c>
      <c r="AW106" s="35"/>
      <c r="AX106" s="36"/>
      <c r="AY106" s="35">
        <v>79111628</v>
      </c>
      <c r="AZ106" s="35">
        <v>34018000</v>
      </c>
      <c r="BA106" s="35"/>
      <c r="BB106" s="35">
        <v>45093628</v>
      </c>
      <c r="BC106" s="35">
        <v>57</v>
      </c>
      <c r="BD106" s="35"/>
      <c r="BE106" s="35"/>
      <c r="BF106" s="85">
        <v>34018000</v>
      </c>
      <c r="BG106" s="27"/>
      <c r="BH106" s="36">
        <v>34018000</v>
      </c>
      <c r="BI106" s="85">
        <v>34018000</v>
      </c>
      <c r="BJ106" s="35"/>
      <c r="BK106" s="35">
        <v>3485125</v>
      </c>
      <c r="BL106" s="35">
        <v>2788100</v>
      </c>
      <c r="BM106" s="35">
        <v>697025</v>
      </c>
      <c r="BN106" s="35">
        <v>2788062.64</v>
      </c>
      <c r="BO106" s="35"/>
      <c r="BP106" s="36"/>
      <c r="BQ106" s="35">
        <v>3485078.3</v>
      </c>
      <c r="BR106" s="35">
        <v>2788062.64</v>
      </c>
      <c r="BS106" s="35"/>
      <c r="BT106" s="35">
        <v>697015.66</v>
      </c>
      <c r="BU106" s="35">
        <v>20</v>
      </c>
      <c r="BV106" s="35"/>
      <c r="BW106" s="35"/>
      <c r="BX106" s="85">
        <v>2788062.64</v>
      </c>
      <c r="BY106" s="27"/>
      <c r="BZ106" s="36">
        <v>2788100</v>
      </c>
      <c r="CA106" s="85">
        <v>2788100</v>
      </c>
      <c r="CB106" s="35"/>
      <c r="CC106" s="35">
        <v>45830300</v>
      </c>
      <c r="CD106" s="35">
        <v>19707000</v>
      </c>
      <c r="CE106" s="35">
        <v>26123300</v>
      </c>
      <c r="CF106" s="35">
        <v>19707000</v>
      </c>
      <c r="CG106" s="35"/>
      <c r="CH106" s="36"/>
      <c r="CI106" s="35">
        <v>45830300</v>
      </c>
      <c r="CJ106" s="35">
        <v>19707000</v>
      </c>
      <c r="CK106" s="35"/>
      <c r="CL106" s="35">
        <v>26123300</v>
      </c>
      <c r="CM106" s="35">
        <v>57.000059999999998</v>
      </c>
      <c r="CN106" s="35"/>
      <c r="CO106" s="35"/>
      <c r="CP106" s="85">
        <v>19707000</v>
      </c>
      <c r="CQ106" s="27"/>
      <c r="CR106" s="36">
        <v>19707000</v>
      </c>
      <c r="CS106" s="85">
        <v>19707000</v>
      </c>
      <c r="CT106" s="35"/>
      <c r="CU106" s="35"/>
      <c r="CV106" s="35"/>
      <c r="CW106" s="35"/>
      <c r="CX106" s="35"/>
      <c r="CY106" s="35"/>
      <c r="CZ106" s="36"/>
      <c r="DA106" s="35"/>
      <c r="DB106" s="35"/>
      <c r="DC106" s="35"/>
      <c r="DD106" s="35"/>
      <c r="DE106" s="35"/>
      <c r="DF106" s="35"/>
      <c r="DG106" s="35"/>
      <c r="DH106" s="85"/>
      <c r="DI106" s="27"/>
      <c r="DJ106" s="36"/>
      <c r="DK106" s="85"/>
      <c r="DL106" s="35"/>
      <c r="DM106" s="35"/>
      <c r="DN106" s="35"/>
      <c r="DO106" s="35"/>
      <c r="DP106" s="35"/>
      <c r="DQ106" s="35"/>
      <c r="DR106" s="36"/>
      <c r="DS106" s="35"/>
      <c r="DT106" s="35"/>
      <c r="DU106" s="35"/>
      <c r="DV106" s="35"/>
      <c r="DW106" s="35"/>
      <c r="DX106" s="35"/>
      <c r="DY106" s="35"/>
      <c r="DZ106" s="85"/>
      <c r="EA106" s="27"/>
      <c r="EB106" s="36"/>
      <c r="EC106" s="85"/>
      <c r="ED106" s="35"/>
      <c r="EE106" s="35">
        <v>15750700</v>
      </c>
      <c r="EF106" s="35">
        <v>9292900</v>
      </c>
      <c r="EG106" s="35">
        <v>6457800</v>
      </c>
      <c r="EH106" s="35">
        <v>9292900</v>
      </c>
      <c r="EI106" s="35"/>
      <c r="EJ106" s="36"/>
      <c r="EK106" s="35">
        <v>15750700</v>
      </c>
      <c r="EL106" s="35">
        <v>9292900</v>
      </c>
      <c r="EM106" s="35"/>
      <c r="EN106" s="35">
        <v>6457800</v>
      </c>
      <c r="EO106" s="35">
        <v>41.000079999999997</v>
      </c>
      <c r="EP106" s="35"/>
      <c r="EQ106" s="35"/>
      <c r="ER106" s="85">
        <v>9292900</v>
      </c>
      <c r="ES106" s="27"/>
      <c r="ET106" s="36">
        <v>9292900</v>
      </c>
      <c r="EU106" s="85">
        <v>9292900</v>
      </c>
      <c r="EV106" s="35"/>
      <c r="EW106" s="35">
        <v>8380000</v>
      </c>
      <c r="EX106" s="35">
        <v>3603400</v>
      </c>
      <c r="EY106" s="35">
        <v>4776600</v>
      </c>
      <c r="EZ106" s="35">
        <v>3603400</v>
      </c>
      <c r="FA106" s="35"/>
      <c r="FB106" s="36"/>
      <c r="FC106" s="35">
        <v>8379999.9900000002</v>
      </c>
      <c r="FD106" s="35">
        <v>3603400</v>
      </c>
      <c r="FE106" s="35"/>
      <c r="FF106" s="35">
        <v>4776599.99</v>
      </c>
      <c r="FG106" s="35">
        <v>57</v>
      </c>
      <c r="FH106" s="35"/>
      <c r="FI106" s="35"/>
      <c r="FJ106" s="85">
        <v>3603400</v>
      </c>
      <c r="FK106" s="27"/>
      <c r="FL106" s="36">
        <v>3603400</v>
      </c>
      <c r="FM106" s="85">
        <v>3603400</v>
      </c>
      <c r="FN106" s="35"/>
      <c r="FO106" s="35"/>
      <c r="FP106" s="35"/>
      <c r="FQ106" s="35"/>
      <c r="FR106" s="35"/>
      <c r="FS106" s="35"/>
      <c r="FT106" s="36"/>
      <c r="FU106" s="35"/>
      <c r="FV106" s="35"/>
      <c r="FW106" s="35"/>
      <c r="FX106" s="35"/>
      <c r="FY106" s="35"/>
      <c r="FZ106" s="35"/>
      <c r="GA106" s="35"/>
      <c r="GB106" s="85"/>
      <c r="GC106" s="27"/>
      <c r="GD106" s="36"/>
      <c r="GE106" s="85"/>
      <c r="GF106" s="35"/>
      <c r="GG106" s="35"/>
      <c r="GH106" s="35"/>
      <c r="GI106" s="35"/>
      <c r="GJ106" s="35"/>
      <c r="GK106" s="35"/>
      <c r="GL106" s="36"/>
      <c r="GM106" s="35"/>
      <c r="GN106" s="35"/>
      <c r="GO106" s="35"/>
      <c r="GP106" s="35"/>
      <c r="GQ106" s="35"/>
      <c r="GR106" s="35"/>
      <c r="GS106" s="35"/>
      <c r="GT106" s="85"/>
      <c r="GU106" s="27"/>
      <c r="GV106" s="36"/>
      <c r="GW106" s="85"/>
      <c r="GX106" s="35"/>
      <c r="GY106" s="35"/>
      <c r="GZ106" s="35"/>
      <c r="HA106" s="35"/>
      <c r="HB106" s="35"/>
      <c r="HC106" s="35"/>
      <c r="HD106" s="36"/>
      <c r="HE106" s="35"/>
      <c r="HF106" s="35"/>
      <c r="HG106" s="35"/>
      <c r="HH106" s="35"/>
      <c r="HI106" s="35"/>
      <c r="HJ106" s="35"/>
      <c r="HK106" s="35"/>
      <c r="HL106" s="85"/>
      <c r="HM106" s="27"/>
      <c r="HN106" s="36"/>
      <c r="HO106" s="85"/>
      <c r="HP106" s="35"/>
      <c r="HQ106" s="35"/>
      <c r="HR106" s="35"/>
      <c r="HS106" s="35"/>
      <c r="HT106" s="35"/>
      <c r="HU106" s="35"/>
      <c r="HV106" s="36"/>
      <c r="HW106" s="35"/>
      <c r="HX106" s="35"/>
      <c r="HY106" s="35"/>
      <c r="HZ106" s="35"/>
      <c r="IA106" s="35"/>
      <c r="IB106" s="35"/>
      <c r="IC106" s="35"/>
      <c r="ID106" s="85"/>
      <c r="IE106" s="27"/>
      <c r="IF106" s="36"/>
      <c r="IG106" s="85"/>
      <c r="IH106" s="35"/>
      <c r="II106" s="35"/>
      <c r="IJ106" s="35"/>
      <c r="IK106" s="35"/>
      <c r="IL106" s="35"/>
      <c r="IM106" s="35"/>
      <c r="IN106" s="36"/>
      <c r="IO106" s="35"/>
      <c r="IP106" s="35"/>
      <c r="IQ106" s="35"/>
      <c r="IR106" s="35"/>
      <c r="IS106" s="35"/>
      <c r="IT106" s="35"/>
      <c r="IU106" s="35"/>
      <c r="IV106" s="85"/>
      <c r="IW106" s="27"/>
      <c r="IX106" s="36"/>
      <c r="IY106" s="85"/>
      <c r="IZ106" s="35"/>
      <c r="JA106" s="35"/>
      <c r="JB106" s="35"/>
      <c r="JC106" s="35"/>
      <c r="JD106" s="35"/>
      <c r="JE106" s="35"/>
      <c r="JF106" s="36"/>
      <c r="JG106" s="35"/>
      <c r="JH106" s="35"/>
      <c r="JI106" s="35"/>
      <c r="JJ106" s="35"/>
      <c r="JK106" s="35"/>
      <c r="JL106" s="35"/>
      <c r="JM106" s="35"/>
      <c r="JN106" s="85"/>
      <c r="JO106" s="27"/>
      <c r="JP106" s="36"/>
      <c r="JQ106" s="85"/>
      <c r="JR106" s="35"/>
      <c r="JS106" s="35"/>
      <c r="JT106" s="35"/>
      <c r="JU106" s="35"/>
      <c r="JV106" s="35"/>
      <c r="JW106" s="35"/>
      <c r="JX106" s="36"/>
      <c r="JY106" s="35"/>
      <c r="JZ106" s="35"/>
      <c r="KA106" s="35"/>
      <c r="KB106" s="35"/>
      <c r="KC106" s="35"/>
      <c r="KD106" s="35"/>
      <c r="KE106" s="35"/>
      <c r="KF106" s="85"/>
      <c r="KG106" s="27"/>
      <c r="KH106" s="36"/>
      <c r="KI106" s="85"/>
      <c r="KJ106" s="35"/>
      <c r="KK106" s="35"/>
      <c r="KL106" s="35"/>
      <c r="KM106" s="35"/>
      <c r="KN106" s="35"/>
      <c r="KO106" s="35"/>
      <c r="KP106" s="36"/>
      <c r="KQ106" s="35"/>
      <c r="KR106" s="35"/>
      <c r="KS106" s="35"/>
      <c r="KT106" s="35"/>
      <c r="KU106" s="35"/>
      <c r="KV106" s="35"/>
      <c r="KW106" s="35"/>
      <c r="KX106" s="85"/>
      <c r="KY106" s="27"/>
      <c r="KZ106" s="36"/>
      <c r="LA106" s="85"/>
      <c r="LB106" s="35"/>
      <c r="LC106" s="35"/>
      <c r="LD106" s="35"/>
      <c r="LE106" s="35"/>
      <c r="LF106" s="35"/>
      <c r="LG106" s="35"/>
      <c r="LH106" s="36"/>
      <c r="LI106" s="35"/>
      <c r="LJ106" s="35"/>
      <c r="LK106" s="35"/>
      <c r="LL106" s="35"/>
      <c r="LM106" s="35"/>
      <c r="LN106" s="35"/>
      <c r="LO106" s="35"/>
      <c r="LP106" s="85"/>
      <c r="LQ106" s="27"/>
      <c r="LR106" s="36"/>
      <c r="LS106" s="85"/>
      <c r="LT106" s="35"/>
      <c r="LU106" s="35"/>
      <c r="LV106" s="35"/>
      <c r="LW106" s="35"/>
      <c r="LX106" s="35"/>
      <c r="LY106" s="35"/>
      <c r="LZ106" s="36"/>
      <c r="MA106" s="35"/>
      <c r="MB106" s="35"/>
      <c r="MC106" s="35"/>
      <c r="MD106" s="35"/>
      <c r="ME106" s="35"/>
      <c r="MF106" s="35"/>
      <c r="MG106" s="35"/>
      <c r="MH106" s="85"/>
      <c r="MI106" s="27"/>
      <c r="MJ106" s="36"/>
      <c r="MK106" s="85"/>
      <c r="ML106" s="35"/>
      <c r="MM106" s="35"/>
      <c r="MN106" s="35"/>
      <c r="MO106" s="35"/>
      <c r="MP106" s="35"/>
      <c r="MQ106" s="35"/>
      <c r="MR106" s="36"/>
      <c r="MS106" s="35"/>
      <c r="MT106" s="35"/>
      <c r="MU106" s="35"/>
      <c r="MV106" s="35"/>
      <c r="MW106" s="35"/>
      <c r="MX106" s="35"/>
      <c r="MY106" s="35"/>
      <c r="MZ106" s="85"/>
      <c r="NA106" s="27"/>
      <c r="NB106" s="36"/>
      <c r="NC106" s="85"/>
      <c r="ND106" s="35"/>
      <c r="NE106" s="35"/>
      <c r="NF106" s="35"/>
      <c r="NG106" s="35"/>
      <c r="NH106" s="35"/>
      <c r="NI106" s="35"/>
      <c r="NJ106" s="36"/>
      <c r="NK106" s="35"/>
      <c r="NL106" s="35"/>
      <c r="NM106" s="35"/>
      <c r="NN106" s="35"/>
      <c r="NO106" s="35"/>
      <c r="NP106" s="35"/>
      <c r="NQ106" s="35"/>
      <c r="NR106" s="85"/>
      <c r="NS106" s="27"/>
      <c r="NT106" s="36"/>
      <c r="NU106" s="85"/>
      <c r="NV106" s="35"/>
      <c r="NW106" s="35"/>
      <c r="NX106" s="35"/>
      <c r="NY106" s="35"/>
      <c r="NZ106" s="35"/>
      <c r="OA106" s="35"/>
      <c r="OB106" s="36"/>
      <c r="OC106" s="35"/>
      <c r="OD106" s="35"/>
      <c r="OE106" s="35"/>
      <c r="OF106" s="35"/>
      <c r="OG106" s="35"/>
      <c r="OH106" s="35"/>
      <c r="OI106" s="35"/>
      <c r="OJ106" s="85"/>
      <c r="OK106" s="27"/>
      <c r="OL106" s="36"/>
      <c r="OM106" s="85"/>
      <c r="ON106" s="35"/>
      <c r="OO106" s="35"/>
      <c r="OP106" s="35"/>
      <c r="OQ106" s="35"/>
      <c r="OR106" s="35"/>
      <c r="OS106" s="35"/>
      <c r="OT106" s="36"/>
      <c r="OU106" s="35"/>
      <c r="OV106" s="35"/>
      <c r="OW106" s="35"/>
      <c r="OX106" s="35"/>
      <c r="OY106" s="35"/>
      <c r="OZ106" s="35"/>
      <c r="PA106" s="35"/>
      <c r="PB106" s="85"/>
      <c r="PC106" s="27"/>
      <c r="PD106" s="36"/>
      <c r="PE106" s="85"/>
      <c r="PF106" s="35"/>
      <c r="PG106" s="35"/>
      <c r="PH106" s="35"/>
      <c r="PI106" s="35"/>
      <c r="PJ106" s="35"/>
      <c r="PK106" s="35"/>
      <c r="PL106" s="36"/>
      <c r="PM106" s="35"/>
      <c r="PN106" s="35"/>
      <c r="PO106" s="35"/>
      <c r="PP106" s="35"/>
      <c r="PQ106" s="35"/>
      <c r="PR106" s="35"/>
      <c r="PS106" s="35"/>
      <c r="PT106" s="85"/>
      <c r="PU106" s="27"/>
      <c r="PV106" s="36"/>
      <c r="PW106" s="85"/>
      <c r="PX106" s="35"/>
      <c r="PY106" s="35"/>
      <c r="PZ106" s="35"/>
      <c r="QA106" s="35"/>
      <c r="QB106" s="35"/>
      <c r="QC106" s="35"/>
      <c r="QD106" s="36"/>
      <c r="QE106" s="35"/>
      <c r="QF106" s="35"/>
      <c r="QG106" s="35"/>
      <c r="QH106" s="35"/>
      <c r="QI106" s="35"/>
      <c r="QJ106" s="35"/>
      <c r="QK106" s="35"/>
      <c r="QL106" s="85"/>
      <c r="QM106" s="27"/>
      <c r="QN106" s="36"/>
      <c r="QO106" s="85"/>
      <c r="QP106" s="35"/>
      <c r="QQ106" s="35"/>
      <c r="QR106" s="35"/>
      <c r="QS106" s="35"/>
      <c r="QT106" s="35"/>
      <c r="QU106" s="35"/>
      <c r="QV106" s="36"/>
      <c r="QW106" s="35"/>
      <c r="QX106" s="35"/>
      <c r="QY106" s="35"/>
      <c r="QZ106" s="35"/>
      <c r="RA106" s="35"/>
      <c r="RB106" s="35"/>
      <c r="RC106" s="35"/>
      <c r="RD106" s="85"/>
      <c r="RE106" s="27"/>
      <c r="RF106" s="36"/>
      <c r="RG106" s="85"/>
      <c r="RH106" s="35"/>
      <c r="RI106" s="35"/>
      <c r="RJ106" s="35"/>
      <c r="RK106" s="35"/>
      <c r="RL106" s="35"/>
      <c r="RM106" s="35"/>
      <c r="RN106" s="36"/>
      <c r="RO106" s="35"/>
      <c r="RP106" s="35"/>
      <c r="RQ106" s="35"/>
      <c r="RR106" s="35"/>
      <c r="RS106" s="35"/>
      <c r="RT106" s="35"/>
      <c r="RU106" s="35"/>
      <c r="RV106" s="85"/>
      <c r="RW106" s="27"/>
      <c r="RX106" s="36"/>
      <c r="RY106" s="85"/>
      <c r="RZ106" s="35"/>
      <c r="SA106" s="35"/>
      <c r="SB106" s="35"/>
      <c r="SC106" s="35"/>
      <c r="SD106" s="35"/>
      <c r="SE106" s="35"/>
      <c r="SF106" s="36"/>
      <c r="SG106" s="35"/>
      <c r="SH106" s="35"/>
      <c r="SI106" s="35"/>
      <c r="SJ106" s="35"/>
      <c r="SK106" s="35"/>
      <c r="SL106" s="35"/>
      <c r="SM106" s="35"/>
      <c r="SN106" s="85"/>
      <c r="SO106" s="27"/>
      <c r="SP106" s="36"/>
      <c r="SQ106" s="85"/>
      <c r="SR106" s="35"/>
      <c r="SS106" s="35"/>
      <c r="ST106" s="35"/>
      <c r="SU106" s="35"/>
      <c r="SV106" s="35"/>
      <c r="SW106" s="35"/>
      <c r="SX106" s="36"/>
      <c r="SY106" s="35"/>
      <c r="SZ106" s="35"/>
      <c r="TA106" s="35"/>
      <c r="TB106" s="35"/>
      <c r="TC106" s="35"/>
      <c r="TD106" s="35"/>
      <c r="TE106" s="35"/>
      <c r="TF106" s="85"/>
      <c r="TG106" s="27"/>
      <c r="TH106" s="36"/>
      <c r="TI106" s="85"/>
      <c r="TJ106" s="35"/>
      <c r="TK106" s="35"/>
      <c r="TL106" s="35"/>
      <c r="TM106" s="35"/>
      <c r="TN106" s="35"/>
      <c r="TO106" s="35"/>
      <c r="TP106" s="36"/>
      <c r="TQ106" s="35"/>
      <c r="TR106" s="35"/>
      <c r="TS106" s="35"/>
      <c r="TT106" s="35"/>
      <c r="TU106" s="35"/>
      <c r="TV106" s="35"/>
      <c r="TW106" s="35"/>
      <c r="TX106" s="85"/>
      <c r="TY106" s="27"/>
      <c r="TZ106" s="36"/>
      <c r="UA106" s="85"/>
      <c r="UB106" s="35"/>
      <c r="UC106" s="35"/>
      <c r="UD106" s="35"/>
      <c r="UE106" s="35"/>
      <c r="UF106" s="35"/>
      <c r="UG106" s="35"/>
      <c r="UH106" s="36"/>
      <c r="UI106" s="35"/>
      <c r="UJ106" s="35"/>
      <c r="UK106" s="35"/>
      <c r="UL106" s="35"/>
      <c r="UM106" s="35"/>
      <c r="UN106" s="35"/>
      <c r="UO106" s="35"/>
      <c r="UP106" s="85"/>
      <c r="UQ106" s="27"/>
      <c r="UR106" s="36"/>
      <c r="US106" s="85"/>
    </row>
    <row r="107" spans="1:565" x14ac:dyDescent="0.3">
      <c r="A107" s="8" t="s">
        <v>253</v>
      </c>
      <c r="B107" s="168">
        <v>93</v>
      </c>
      <c r="C107" s="13" t="s">
        <v>254</v>
      </c>
      <c r="F107" s="36">
        <v>485843000</v>
      </c>
      <c r="G107" s="85"/>
      <c r="H107" s="35"/>
      <c r="I107" s="35">
        <v>4518000</v>
      </c>
      <c r="J107" s="35">
        <v>4066200</v>
      </c>
      <c r="K107" s="35">
        <v>451800</v>
      </c>
      <c r="L107" s="35">
        <v>4065865.89</v>
      </c>
      <c r="M107" s="35"/>
      <c r="N107" s="36"/>
      <c r="O107" s="35">
        <v>4517628.7699999996</v>
      </c>
      <c r="P107" s="35">
        <v>4065865.89</v>
      </c>
      <c r="Q107" s="35"/>
      <c r="R107" s="35">
        <v>451762.88</v>
      </c>
      <c r="S107" s="35">
        <v>10</v>
      </c>
      <c r="T107" s="35"/>
      <c r="U107" s="35"/>
      <c r="V107" s="85">
        <v>4065865.89</v>
      </c>
      <c r="W107" s="27"/>
      <c r="X107" s="36">
        <v>4066200</v>
      </c>
      <c r="Y107" s="85">
        <v>4066200</v>
      </c>
      <c r="Z107" s="35"/>
      <c r="AA107" s="35">
        <v>772555.56</v>
      </c>
      <c r="AB107" s="35">
        <v>695300</v>
      </c>
      <c r="AC107" s="35">
        <v>77255.56</v>
      </c>
      <c r="AD107" s="35">
        <v>624813.93999999994</v>
      </c>
      <c r="AE107" s="35"/>
      <c r="AF107" s="36"/>
      <c r="AG107" s="35">
        <v>694237.2</v>
      </c>
      <c r="AH107" s="35">
        <v>624813.93999999994</v>
      </c>
      <c r="AI107" s="35"/>
      <c r="AJ107" s="35">
        <v>69423.259999999995</v>
      </c>
      <c r="AK107" s="35">
        <v>9.9999300000000009</v>
      </c>
      <c r="AL107" s="35"/>
      <c r="AM107" s="35">
        <v>0</v>
      </c>
      <c r="AN107" s="85">
        <v>624813.93999999994</v>
      </c>
      <c r="AO107" s="27"/>
      <c r="AP107" s="36">
        <v>695300</v>
      </c>
      <c r="AQ107" s="85">
        <v>695300</v>
      </c>
      <c r="AR107" s="35"/>
      <c r="AS107" s="35">
        <v>23794900</v>
      </c>
      <c r="AT107" s="35">
        <v>21415400</v>
      </c>
      <c r="AU107" s="35">
        <v>2379500</v>
      </c>
      <c r="AV107" s="35">
        <v>21285538.920000002</v>
      </c>
      <c r="AW107" s="35">
        <v>1729792.89</v>
      </c>
      <c r="AX107" s="36"/>
      <c r="AY107" s="35">
        <v>23650609.84</v>
      </c>
      <c r="AZ107" s="35">
        <v>21285538.920000002</v>
      </c>
      <c r="BA107" s="35"/>
      <c r="BB107" s="35">
        <v>2365070.92</v>
      </c>
      <c r="BC107" s="35">
        <v>10.00004</v>
      </c>
      <c r="BD107" s="35">
        <v>1729792.89</v>
      </c>
      <c r="BE107" s="35"/>
      <c r="BF107" s="85">
        <v>21285538.920000002</v>
      </c>
      <c r="BG107" s="27"/>
      <c r="BH107" s="36">
        <v>21415400</v>
      </c>
      <c r="BI107" s="85">
        <v>21415400</v>
      </c>
      <c r="BJ107" s="35"/>
      <c r="BK107" s="35">
        <v>4060777.78</v>
      </c>
      <c r="BL107" s="35">
        <v>3654700</v>
      </c>
      <c r="BM107" s="35">
        <v>406077.78</v>
      </c>
      <c r="BN107" s="35">
        <v>2650646.91</v>
      </c>
      <c r="BO107" s="35">
        <v>7491.2</v>
      </c>
      <c r="BP107" s="36"/>
      <c r="BQ107" s="35">
        <v>2907933.76</v>
      </c>
      <c r="BR107" s="35">
        <v>2617140.87</v>
      </c>
      <c r="BS107" s="35"/>
      <c r="BT107" s="35">
        <v>290792.89</v>
      </c>
      <c r="BU107" s="35">
        <v>9.9999800000000008</v>
      </c>
      <c r="BV107" s="35">
        <v>7491.2</v>
      </c>
      <c r="BW107" s="35">
        <v>33506.04</v>
      </c>
      <c r="BX107" s="85">
        <v>2650646.91</v>
      </c>
      <c r="BY107" s="27"/>
      <c r="BZ107" s="36">
        <v>3654700</v>
      </c>
      <c r="CA107" s="85">
        <v>3654700</v>
      </c>
      <c r="CB107" s="35"/>
      <c r="CC107" s="35">
        <v>5800000</v>
      </c>
      <c r="CD107" s="35">
        <v>5220000</v>
      </c>
      <c r="CE107" s="35">
        <v>580000</v>
      </c>
      <c r="CF107" s="35">
        <v>4099049.44</v>
      </c>
      <c r="CG107" s="35"/>
      <c r="CH107" s="36"/>
      <c r="CI107" s="35">
        <v>4554499.37</v>
      </c>
      <c r="CJ107" s="35">
        <v>4099049.44</v>
      </c>
      <c r="CK107" s="35"/>
      <c r="CL107" s="35">
        <v>455449.93</v>
      </c>
      <c r="CM107" s="35">
        <v>10</v>
      </c>
      <c r="CN107" s="35"/>
      <c r="CO107" s="35"/>
      <c r="CP107" s="85">
        <v>4099049.44</v>
      </c>
      <c r="CQ107" s="27"/>
      <c r="CR107" s="36">
        <v>5220000</v>
      </c>
      <c r="CS107" s="85">
        <v>5220000</v>
      </c>
      <c r="CT107" s="35"/>
      <c r="CU107" s="35"/>
      <c r="CV107" s="35"/>
      <c r="CW107" s="35"/>
      <c r="CX107" s="35"/>
      <c r="CY107" s="35"/>
      <c r="CZ107" s="36"/>
      <c r="DA107" s="35"/>
      <c r="DB107" s="35"/>
      <c r="DC107" s="35"/>
      <c r="DD107" s="35"/>
      <c r="DE107" s="35"/>
      <c r="DF107" s="35"/>
      <c r="DG107" s="35"/>
      <c r="DH107" s="85"/>
      <c r="DI107" s="27"/>
      <c r="DJ107" s="36"/>
      <c r="DK107" s="85"/>
      <c r="DL107" s="35"/>
      <c r="DM107" s="35"/>
      <c r="DN107" s="35"/>
      <c r="DO107" s="35"/>
      <c r="DP107" s="35"/>
      <c r="DQ107" s="35"/>
      <c r="DR107" s="36"/>
      <c r="DS107" s="35"/>
      <c r="DT107" s="35"/>
      <c r="DU107" s="35"/>
      <c r="DV107" s="35"/>
      <c r="DW107" s="35"/>
      <c r="DX107" s="35"/>
      <c r="DY107" s="35"/>
      <c r="DZ107" s="85"/>
      <c r="EA107" s="27"/>
      <c r="EB107" s="36"/>
      <c r="EC107" s="85"/>
      <c r="ED107" s="35"/>
      <c r="EE107" s="35">
        <v>8165700</v>
      </c>
      <c r="EF107" s="35">
        <v>8084000</v>
      </c>
      <c r="EG107" s="35">
        <v>81700</v>
      </c>
      <c r="EH107" s="35">
        <v>8083956.9900000002</v>
      </c>
      <c r="EI107" s="35"/>
      <c r="EJ107" s="36"/>
      <c r="EK107" s="35">
        <v>8165656.5599999996</v>
      </c>
      <c r="EL107" s="35">
        <v>8083956.9900000002</v>
      </c>
      <c r="EM107" s="35"/>
      <c r="EN107" s="35">
        <v>81699.570000000007</v>
      </c>
      <c r="EO107" s="35">
        <v>1.0005299999999999</v>
      </c>
      <c r="EP107" s="35"/>
      <c r="EQ107" s="35"/>
      <c r="ER107" s="85">
        <v>8083956.9900000002</v>
      </c>
      <c r="ES107" s="27"/>
      <c r="ET107" s="36">
        <v>8084000</v>
      </c>
      <c r="EU107" s="85">
        <v>8084000</v>
      </c>
      <c r="EV107" s="35"/>
      <c r="EW107" s="35">
        <v>6209555.5599999996</v>
      </c>
      <c r="EX107" s="35">
        <v>5588600</v>
      </c>
      <c r="EY107" s="35">
        <v>620955.56000000006</v>
      </c>
      <c r="EZ107" s="35">
        <v>5538595.3300000001</v>
      </c>
      <c r="FA107" s="35"/>
      <c r="FB107" s="36"/>
      <c r="FC107" s="35">
        <v>6153994.8200000003</v>
      </c>
      <c r="FD107" s="35">
        <v>5538595.3300000001</v>
      </c>
      <c r="FE107" s="35"/>
      <c r="FF107" s="35">
        <v>615399.49</v>
      </c>
      <c r="FG107" s="35">
        <v>10</v>
      </c>
      <c r="FH107" s="35"/>
      <c r="FI107" s="35"/>
      <c r="FJ107" s="85">
        <v>5538595.3300000001</v>
      </c>
      <c r="FK107" s="27"/>
      <c r="FL107" s="36">
        <v>5588600</v>
      </c>
      <c r="FM107" s="85">
        <v>5588600</v>
      </c>
      <c r="FN107" s="35"/>
      <c r="FO107" s="35"/>
      <c r="FP107" s="35"/>
      <c r="FQ107" s="35"/>
      <c r="FR107" s="35"/>
      <c r="FS107" s="35"/>
      <c r="FT107" s="36"/>
      <c r="FU107" s="35"/>
      <c r="FV107" s="35"/>
      <c r="FW107" s="35"/>
      <c r="FX107" s="35"/>
      <c r="FY107" s="35"/>
      <c r="FZ107" s="35"/>
      <c r="GA107" s="35"/>
      <c r="GB107" s="85"/>
      <c r="GC107" s="27"/>
      <c r="GD107" s="36"/>
      <c r="GE107" s="85"/>
      <c r="GF107" s="35"/>
      <c r="GG107" s="35"/>
      <c r="GH107" s="35"/>
      <c r="GI107" s="35"/>
      <c r="GJ107" s="35"/>
      <c r="GK107" s="35"/>
      <c r="GL107" s="36"/>
      <c r="GM107" s="35"/>
      <c r="GN107" s="35"/>
      <c r="GO107" s="35"/>
      <c r="GP107" s="35"/>
      <c r="GQ107" s="35"/>
      <c r="GR107" s="35"/>
      <c r="GS107" s="35"/>
      <c r="GT107" s="85"/>
      <c r="GU107" s="27"/>
      <c r="GV107" s="36"/>
      <c r="GW107" s="85"/>
      <c r="GX107" s="35"/>
      <c r="GY107" s="35"/>
      <c r="GZ107" s="35"/>
      <c r="HA107" s="35"/>
      <c r="HB107" s="35"/>
      <c r="HC107" s="35"/>
      <c r="HD107" s="36"/>
      <c r="HE107" s="35"/>
      <c r="HF107" s="35"/>
      <c r="HG107" s="35"/>
      <c r="HH107" s="35"/>
      <c r="HI107" s="35"/>
      <c r="HJ107" s="35"/>
      <c r="HK107" s="35"/>
      <c r="HL107" s="85"/>
      <c r="HM107" s="27"/>
      <c r="HN107" s="36"/>
      <c r="HO107" s="85"/>
      <c r="HP107" s="35"/>
      <c r="HQ107" s="35"/>
      <c r="HR107" s="35"/>
      <c r="HS107" s="35"/>
      <c r="HT107" s="35"/>
      <c r="HU107" s="35"/>
      <c r="HV107" s="36"/>
      <c r="HW107" s="35"/>
      <c r="HX107" s="35"/>
      <c r="HY107" s="35"/>
      <c r="HZ107" s="35"/>
      <c r="IA107" s="35"/>
      <c r="IB107" s="35"/>
      <c r="IC107" s="35"/>
      <c r="ID107" s="85"/>
      <c r="IE107" s="27"/>
      <c r="IF107" s="36"/>
      <c r="IG107" s="85"/>
      <c r="IH107" s="35"/>
      <c r="II107" s="35"/>
      <c r="IJ107" s="35"/>
      <c r="IK107" s="35"/>
      <c r="IL107" s="35"/>
      <c r="IM107" s="35"/>
      <c r="IN107" s="36"/>
      <c r="IO107" s="35"/>
      <c r="IP107" s="35"/>
      <c r="IQ107" s="35"/>
      <c r="IR107" s="35"/>
      <c r="IS107" s="35"/>
      <c r="IT107" s="35"/>
      <c r="IU107" s="35"/>
      <c r="IV107" s="85"/>
      <c r="IW107" s="27"/>
      <c r="IX107" s="36"/>
      <c r="IY107" s="85"/>
      <c r="IZ107" s="35"/>
      <c r="JA107" s="35"/>
      <c r="JB107" s="35"/>
      <c r="JC107" s="35"/>
      <c r="JD107" s="35"/>
      <c r="JE107" s="35"/>
      <c r="JF107" s="36"/>
      <c r="JG107" s="35"/>
      <c r="JH107" s="35"/>
      <c r="JI107" s="35"/>
      <c r="JJ107" s="35"/>
      <c r="JK107" s="35"/>
      <c r="JL107" s="35"/>
      <c r="JM107" s="35"/>
      <c r="JN107" s="85"/>
      <c r="JO107" s="27"/>
      <c r="JP107" s="36">
        <v>2129300</v>
      </c>
      <c r="JQ107" s="85">
        <v>2129300</v>
      </c>
      <c r="JR107" s="35"/>
      <c r="JS107" s="35"/>
      <c r="JT107" s="35"/>
      <c r="JU107" s="35"/>
      <c r="JV107" s="35"/>
      <c r="JW107" s="35"/>
      <c r="JX107" s="36"/>
      <c r="JY107" s="35"/>
      <c r="JZ107" s="35"/>
      <c r="KA107" s="35"/>
      <c r="KB107" s="35"/>
      <c r="KC107" s="35"/>
      <c r="KD107" s="35"/>
      <c r="KE107" s="35"/>
      <c r="KF107" s="85"/>
      <c r="KG107" s="27"/>
      <c r="KH107" s="36"/>
      <c r="KI107" s="85"/>
      <c r="KJ107" s="35"/>
      <c r="KK107" s="35"/>
      <c r="KL107" s="35"/>
      <c r="KM107" s="35"/>
      <c r="KN107" s="35"/>
      <c r="KO107" s="35"/>
      <c r="KP107" s="36"/>
      <c r="KQ107" s="35"/>
      <c r="KR107" s="35"/>
      <c r="KS107" s="35"/>
      <c r="KT107" s="35"/>
      <c r="KU107" s="35"/>
      <c r="KV107" s="35"/>
      <c r="KW107" s="35"/>
      <c r="KX107" s="85"/>
      <c r="KY107" s="27"/>
      <c r="KZ107" s="36"/>
      <c r="LA107" s="85"/>
      <c r="LB107" s="35"/>
      <c r="LC107" s="35"/>
      <c r="LD107" s="35"/>
      <c r="LE107" s="35"/>
      <c r="LF107" s="35"/>
      <c r="LG107" s="35"/>
      <c r="LH107" s="36"/>
      <c r="LI107" s="35"/>
      <c r="LJ107" s="35"/>
      <c r="LK107" s="35"/>
      <c r="LL107" s="35"/>
      <c r="LM107" s="35"/>
      <c r="LN107" s="35"/>
      <c r="LO107" s="35"/>
      <c r="LP107" s="85"/>
      <c r="LQ107" s="27"/>
      <c r="LR107" s="36"/>
      <c r="LS107" s="85"/>
      <c r="LT107" s="35"/>
      <c r="LU107" s="35"/>
      <c r="LV107" s="35"/>
      <c r="LW107" s="35"/>
      <c r="LX107" s="35"/>
      <c r="LY107" s="35"/>
      <c r="LZ107" s="36"/>
      <c r="MA107" s="35"/>
      <c r="MB107" s="35"/>
      <c r="MC107" s="35"/>
      <c r="MD107" s="35"/>
      <c r="ME107" s="35"/>
      <c r="MF107" s="35"/>
      <c r="MG107" s="35"/>
      <c r="MH107" s="85"/>
      <c r="MI107" s="27"/>
      <c r="MJ107" s="36"/>
      <c r="MK107" s="85"/>
      <c r="ML107" s="35"/>
      <c r="MM107" s="35"/>
      <c r="MN107" s="35"/>
      <c r="MO107" s="35"/>
      <c r="MP107" s="35"/>
      <c r="MQ107" s="35"/>
      <c r="MR107" s="36"/>
      <c r="MS107" s="35"/>
      <c r="MT107" s="35"/>
      <c r="MU107" s="35"/>
      <c r="MV107" s="35"/>
      <c r="MW107" s="35"/>
      <c r="MX107" s="35"/>
      <c r="MY107" s="35"/>
      <c r="MZ107" s="85"/>
      <c r="NA107" s="27"/>
      <c r="NB107" s="36"/>
      <c r="NC107" s="85"/>
      <c r="ND107" s="35"/>
      <c r="NE107" s="35">
        <v>502222.22</v>
      </c>
      <c r="NF107" s="35">
        <v>452000</v>
      </c>
      <c r="NG107" s="35">
        <v>50222.22</v>
      </c>
      <c r="NH107" s="35">
        <v>452000</v>
      </c>
      <c r="NI107" s="35"/>
      <c r="NJ107" s="36"/>
      <c r="NK107" s="35">
        <v>502222.22</v>
      </c>
      <c r="NL107" s="35">
        <v>452000</v>
      </c>
      <c r="NM107" s="35"/>
      <c r="NN107" s="35">
        <v>50222.22</v>
      </c>
      <c r="NO107" s="35">
        <v>10</v>
      </c>
      <c r="NP107" s="35"/>
      <c r="NQ107" s="35"/>
      <c r="NR107" s="85">
        <v>452000</v>
      </c>
      <c r="NS107" s="27"/>
      <c r="NT107" s="36">
        <v>452000</v>
      </c>
      <c r="NU107" s="85">
        <v>452000</v>
      </c>
      <c r="NV107" s="35"/>
      <c r="NW107" s="35"/>
      <c r="NX107" s="35"/>
      <c r="NY107" s="35"/>
      <c r="NZ107" s="35"/>
      <c r="OA107" s="35"/>
      <c r="OB107" s="36"/>
      <c r="OC107" s="35"/>
      <c r="OD107" s="35"/>
      <c r="OE107" s="35"/>
      <c r="OF107" s="35"/>
      <c r="OG107" s="35"/>
      <c r="OH107" s="35"/>
      <c r="OI107" s="35"/>
      <c r="OJ107" s="85"/>
      <c r="OK107" s="27"/>
      <c r="OL107" s="36"/>
      <c r="OM107" s="85"/>
      <c r="ON107" s="35"/>
      <c r="OO107" s="35"/>
      <c r="OP107" s="35"/>
      <c r="OQ107" s="35"/>
      <c r="OR107" s="35"/>
      <c r="OS107" s="35">
        <v>29281.7</v>
      </c>
      <c r="OT107" s="36"/>
      <c r="OU107" s="35"/>
      <c r="OV107" s="35"/>
      <c r="OW107" s="35"/>
      <c r="OX107" s="35"/>
      <c r="OY107" s="35"/>
      <c r="OZ107" s="35">
        <v>29281.7</v>
      </c>
      <c r="PA107" s="35"/>
      <c r="PB107" s="85"/>
      <c r="PC107" s="27"/>
      <c r="PD107" s="36"/>
      <c r="PE107" s="85"/>
      <c r="PF107" s="35"/>
      <c r="PG107" s="35"/>
      <c r="PH107" s="35"/>
      <c r="PI107" s="35"/>
      <c r="PJ107" s="35"/>
      <c r="PK107" s="35"/>
      <c r="PL107" s="36"/>
      <c r="PM107" s="35"/>
      <c r="PN107" s="35"/>
      <c r="PO107" s="35"/>
      <c r="PP107" s="35"/>
      <c r="PQ107" s="35"/>
      <c r="PR107" s="35"/>
      <c r="PS107" s="35"/>
      <c r="PT107" s="85"/>
      <c r="PU107" s="27"/>
      <c r="PV107" s="36"/>
      <c r="PW107" s="85"/>
      <c r="PX107" s="35"/>
      <c r="PY107" s="35"/>
      <c r="PZ107" s="35"/>
      <c r="QA107" s="35"/>
      <c r="QB107" s="35"/>
      <c r="QC107" s="35"/>
      <c r="QD107" s="36"/>
      <c r="QE107" s="35"/>
      <c r="QF107" s="35"/>
      <c r="QG107" s="35"/>
      <c r="QH107" s="35"/>
      <c r="QI107" s="35"/>
      <c r="QJ107" s="35"/>
      <c r="QK107" s="35"/>
      <c r="QL107" s="85"/>
      <c r="QM107" s="27"/>
      <c r="QN107" s="36"/>
      <c r="QO107" s="85"/>
      <c r="QP107" s="35"/>
      <c r="QQ107" s="35"/>
      <c r="QR107" s="35"/>
      <c r="QS107" s="35"/>
      <c r="QT107" s="35"/>
      <c r="QU107" s="35"/>
      <c r="QV107" s="36"/>
      <c r="QW107" s="35"/>
      <c r="QX107" s="35"/>
      <c r="QY107" s="35"/>
      <c r="QZ107" s="35"/>
      <c r="RA107" s="35"/>
      <c r="RB107" s="35"/>
      <c r="RC107" s="35"/>
      <c r="RD107" s="85"/>
      <c r="RE107" s="27"/>
      <c r="RF107" s="36"/>
      <c r="RG107" s="85"/>
      <c r="RH107" s="35"/>
      <c r="RI107" s="35"/>
      <c r="RJ107" s="35"/>
      <c r="RK107" s="35"/>
      <c r="RL107" s="35"/>
      <c r="RM107" s="35">
        <v>6527.88</v>
      </c>
      <c r="RN107" s="36"/>
      <c r="RO107" s="35"/>
      <c r="RP107" s="35"/>
      <c r="RQ107" s="35"/>
      <c r="RR107" s="35"/>
      <c r="RS107" s="35"/>
      <c r="RT107" s="35">
        <v>6527.88</v>
      </c>
      <c r="RU107" s="35"/>
      <c r="RV107" s="85"/>
      <c r="RW107" s="27"/>
      <c r="RX107" s="36"/>
      <c r="RY107" s="85"/>
      <c r="RZ107" s="35"/>
      <c r="SA107" s="35"/>
      <c r="SB107" s="35"/>
      <c r="SC107" s="35"/>
      <c r="SD107" s="35"/>
      <c r="SE107" s="35"/>
      <c r="SF107" s="36"/>
      <c r="SG107" s="35"/>
      <c r="SH107" s="35"/>
      <c r="SI107" s="35"/>
      <c r="SJ107" s="35"/>
      <c r="SK107" s="35"/>
      <c r="SL107" s="35"/>
      <c r="SM107" s="35"/>
      <c r="SN107" s="85"/>
      <c r="SO107" s="27"/>
      <c r="SP107" s="36"/>
      <c r="SQ107" s="85"/>
      <c r="SR107" s="35"/>
      <c r="SS107" s="35"/>
      <c r="ST107" s="35"/>
      <c r="SU107" s="35"/>
      <c r="SV107" s="35"/>
      <c r="SW107" s="35"/>
      <c r="SX107" s="36"/>
      <c r="SY107" s="35"/>
      <c r="SZ107" s="35"/>
      <c r="TA107" s="35"/>
      <c r="TB107" s="35"/>
      <c r="TC107" s="35"/>
      <c r="TD107" s="35"/>
      <c r="TE107" s="35"/>
      <c r="TF107" s="85"/>
      <c r="TG107" s="27"/>
      <c r="TH107" s="36"/>
      <c r="TI107" s="85"/>
      <c r="TJ107" s="35"/>
      <c r="TK107" s="35">
        <v>434537500</v>
      </c>
      <c r="TL107" s="35">
        <v>434537500</v>
      </c>
      <c r="TM107" s="35"/>
      <c r="TN107" s="35">
        <v>407809024.23000002</v>
      </c>
      <c r="TO107" s="35"/>
      <c r="TP107" s="36"/>
      <c r="TQ107" s="35">
        <v>407800494.86000001</v>
      </c>
      <c r="TR107" s="35">
        <v>407800494.86000001</v>
      </c>
      <c r="TS107" s="35"/>
      <c r="TT107" s="35"/>
      <c r="TU107" s="35"/>
      <c r="TV107" s="35"/>
      <c r="TW107" s="35">
        <v>8529.3700000000008</v>
      </c>
      <c r="TX107" s="85">
        <v>407809024.23000002</v>
      </c>
      <c r="TY107" s="27"/>
      <c r="TZ107" s="36">
        <v>434537500</v>
      </c>
      <c r="UA107" s="85">
        <v>434537500</v>
      </c>
      <c r="UB107" s="35"/>
      <c r="UC107" s="35"/>
      <c r="UD107" s="35"/>
      <c r="UE107" s="35"/>
      <c r="UF107" s="35"/>
      <c r="UG107" s="35"/>
      <c r="UH107" s="36"/>
      <c r="UI107" s="35"/>
      <c r="UJ107" s="35"/>
      <c r="UK107" s="35"/>
      <c r="UL107" s="35"/>
      <c r="UM107" s="35"/>
      <c r="UN107" s="35"/>
      <c r="UO107" s="35"/>
      <c r="UP107" s="85"/>
      <c r="UQ107" s="27"/>
      <c r="UR107" s="36">
        <v>0</v>
      </c>
      <c r="US107" s="85"/>
    </row>
    <row r="108" spans="1:565" ht="15" thickBot="1" x14ac:dyDescent="0.35">
      <c r="A108" s="19" t="s">
        <v>255</v>
      </c>
      <c r="B108" s="168">
        <v>94</v>
      </c>
      <c r="C108" s="20" t="s">
        <v>256</v>
      </c>
      <c r="F108" s="36">
        <v>77508500</v>
      </c>
      <c r="G108" s="85"/>
      <c r="H108" s="35"/>
      <c r="I108" s="35"/>
      <c r="J108" s="35"/>
      <c r="K108" s="35"/>
      <c r="L108" s="35"/>
      <c r="M108" s="35"/>
      <c r="N108" s="36"/>
      <c r="O108" s="35"/>
      <c r="P108" s="35"/>
      <c r="Q108" s="35"/>
      <c r="R108" s="35"/>
      <c r="S108" s="35"/>
      <c r="T108" s="35"/>
      <c r="U108" s="35"/>
      <c r="V108" s="85"/>
      <c r="W108" s="29"/>
      <c r="X108" s="36"/>
      <c r="Y108" s="85"/>
      <c r="Z108" s="35"/>
      <c r="AA108" s="35"/>
      <c r="AB108" s="35"/>
      <c r="AC108" s="35"/>
      <c r="AD108" s="35"/>
      <c r="AE108" s="35"/>
      <c r="AF108" s="36"/>
      <c r="AG108" s="35"/>
      <c r="AH108" s="35"/>
      <c r="AI108" s="35"/>
      <c r="AJ108" s="35"/>
      <c r="AK108" s="35"/>
      <c r="AL108" s="35"/>
      <c r="AM108" s="35"/>
      <c r="AN108" s="85"/>
      <c r="AO108" s="29"/>
      <c r="AP108" s="36"/>
      <c r="AQ108" s="85"/>
      <c r="AR108" s="35"/>
      <c r="AS108" s="35">
        <v>71943587</v>
      </c>
      <c r="AT108" s="35">
        <v>66188100</v>
      </c>
      <c r="AU108" s="35">
        <v>5755487</v>
      </c>
      <c r="AV108" s="35">
        <v>66188100</v>
      </c>
      <c r="AW108" s="35">
        <v>1201297.23</v>
      </c>
      <c r="AX108" s="36"/>
      <c r="AY108" s="35">
        <v>71943586.980000004</v>
      </c>
      <c r="AZ108" s="35">
        <v>66188100</v>
      </c>
      <c r="BA108" s="35"/>
      <c r="BB108" s="35">
        <v>5755486.9800000004</v>
      </c>
      <c r="BC108" s="35">
        <v>8</v>
      </c>
      <c r="BD108" s="35">
        <v>1201297.23</v>
      </c>
      <c r="BE108" s="35"/>
      <c r="BF108" s="85">
        <v>66188100</v>
      </c>
      <c r="BG108" s="29"/>
      <c r="BH108" s="36">
        <v>66188100</v>
      </c>
      <c r="BI108" s="85">
        <v>66188100</v>
      </c>
      <c r="BJ108" s="35"/>
      <c r="BK108" s="35"/>
      <c r="BL108" s="35"/>
      <c r="BM108" s="35"/>
      <c r="BN108" s="35"/>
      <c r="BO108" s="35"/>
      <c r="BP108" s="36"/>
      <c r="BQ108" s="35"/>
      <c r="BR108" s="35"/>
      <c r="BS108" s="35"/>
      <c r="BT108" s="35"/>
      <c r="BU108" s="35"/>
      <c r="BV108" s="35"/>
      <c r="BW108" s="35"/>
      <c r="BX108" s="85"/>
      <c r="BY108" s="29"/>
      <c r="BZ108" s="36"/>
      <c r="CA108" s="85"/>
      <c r="CB108" s="35"/>
      <c r="CC108" s="35"/>
      <c r="CD108" s="35"/>
      <c r="CE108" s="35"/>
      <c r="CF108" s="35"/>
      <c r="CG108" s="35"/>
      <c r="CH108" s="36"/>
      <c r="CI108" s="35"/>
      <c r="CJ108" s="35"/>
      <c r="CK108" s="35"/>
      <c r="CL108" s="35"/>
      <c r="CM108" s="35"/>
      <c r="CN108" s="35"/>
      <c r="CO108" s="35"/>
      <c r="CP108" s="85"/>
      <c r="CQ108" s="29"/>
      <c r="CR108" s="36"/>
      <c r="CS108" s="85"/>
      <c r="CT108" s="35"/>
      <c r="CU108" s="35"/>
      <c r="CV108" s="35"/>
      <c r="CW108" s="35"/>
      <c r="CX108" s="35"/>
      <c r="CY108" s="35"/>
      <c r="CZ108" s="36"/>
      <c r="DA108" s="35"/>
      <c r="DB108" s="35"/>
      <c r="DC108" s="35"/>
      <c r="DD108" s="35"/>
      <c r="DE108" s="35"/>
      <c r="DF108" s="35"/>
      <c r="DG108" s="35"/>
      <c r="DH108" s="85"/>
      <c r="DI108" s="29"/>
      <c r="DJ108" s="36"/>
      <c r="DK108" s="85"/>
      <c r="DL108" s="35"/>
      <c r="DM108" s="35"/>
      <c r="DN108" s="35"/>
      <c r="DO108" s="35"/>
      <c r="DP108" s="35"/>
      <c r="DQ108" s="35"/>
      <c r="DR108" s="36"/>
      <c r="DS108" s="35"/>
      <c r="DT108" s="35"/>
      <c r="DU108" s="35"/>
      <c r="DV108" s="35"/>
      <c r="DW108" s="35"/>
      <c r="DX108" s="35"/>
      <c r="DY108" s="35"/>
      <c r="DZ108" s="85"/>
      <c r="EA108" s="29"/>
      <c r="EB108" s="36"/>
      <c r="EC108" s="85"/>
      <c r="ED108" s="35"/>
      <c r="EE108" s="35">
        <v>8549183.6699999999</v>
      </c>
      <c r="EF108" s="35">
        <v>8378200</v>
      </c>
      <c r="EG108" s="35">
        <v>170983.67</v>
      </c>
      <c r="EH108" s="35">
        <v>8378200</v>
      </c>
      <c r="EI108" s="35"/>
      <c r="EJ108" s="36"/>
      <c r="EK108" s="35">
        <v>8549183.6699999999</v>
      </c>
      <c r="EL108" s="35">
        <v>8378200</v>
      </c>
      <c r="EM108" s="35"/>
      <c r="EN108" s="35">
        <v>170983.67</v>
      </c>
      <c r="EO108" s="35">
        <v>2</v>
      </c>
      <c r="EP108" s="35"/>
      <c r="EQ108" s="35"/>
      <c r="ER108" s="85">
        <v>8378200</v>
      </c>
      <c r="ES108" s="29"/>
      <c r="ET108" s="36">
        <v>8378200</v>
      </c>
      <c r="EU108" s="85">
        <v>8378200</v>
      </c>
      <c r="EV108" s="35"/>
      <c r="EW108" s="35">
        <v>3198100</v>
      </c>
      <c r="EX108" s="35">
        <v>2942200</v>
      </c>
      <c r="EY108" s="35">
        <v>255900</v>
      </c>
      <c r="EZ108" s="35">
        <v>2942199.99</v>
      </c>
      <c r="FA108" s="35">
        <v>1217398.7</v>
      </c>
      <c r="FB108" s="36"/>
      <c r="FC108" s="35">
        <v>3198099.99</v>
      </c>
      <c r="FD108" s="35">
        <v>2942199.99</v>
      </c>
      <c r="FE108" s="35"/>
      <c r="FF108" s="35">
        <v>255900</v>
      </c>
      <c r="FG108" s="35">
        <v>8.0016300000000005</v>
      </c>
      <c r="FH108" s="35">
        <v>1217398.7</v>
      </c>
      <c r="FI108" s="35"/>
      <c r="FJ108" s="85">
        <v>2942199.99</v>
      </c>
      <c r="FK108" s="29"/>
      <c r="FL108" s="36">
        <v>2942200</v>
      </c>
      <c r="FM108" s="85">
        <v>2942200</v>
      </c>
      <c r="FN108" s="35"/>
      <c r="FO108" s="35"/>
      <c r="FP108" s="35"/>
      <c r="FQ108" s="35"/>
      <c r="FR108" s="35"/>
      <c r="FS108" s="35"/>
      <c r="FT108" s="36"/>
      <c r="FU108" s="35"/>
      <c r="FV108" s="35"/>
      <c r="FW108" s="35"/>
      <c r="FX108" s="35"/>
      <c r="FY108" s="35"/>
      <c r="FZ108" s="35"/>
      <c r="GA108" s="35"/>
      <c r="GB108" s="85"/>
      <c r="GC108" s="29"/>
      <c r="GD108" s="36"/>
      <c r="GE108" s="85"/>
      <c r="GF108" s="35"/>
      <c r="GG108" s="35"/>
      <c r="GH108" s="35"/>
      <c r="GI108" s="35"/>
      <c r="GJ108" s="35"/>
      <c r="GK108" s="35"/>
      <c r="GL108" s="36"/>
      <c r="GM108" s="35"/>
      <c r="GN108" s="35"/>
      <c r="GO108" s="35"/>
      <c r="GP108" s="35"/>
      <c r="GQ108" s="35"/>
      <c r="GR108" s="35"/>
      <c r="GS108" s="35"/>
      <c r="GT108" s="85"/>
      <c r="GU108" s="29"/>
      <c r="GV108" s="36"/>
      <c r="GW108" s="85"/>
      <c r="GX108" s="35"/>
      <c r="GY108" s="35"/>
      <c r="GZ108" s="35"/>
      <c r="HA108" s="35"/>
      <c r="HB108" s="35"/>
      <c r="HC108" s="35"/>
      <c r="HD108" s="36"/>
      <c r="HE108" s="35"/>
      <c r="HF108" s="35"/>
      <c r="HG108" s="35"/>
      <c r="HH108" s="35"/>
      <c r="HI108" s="35"/>
      <c r="HJ108" s="35"/>
      <c r="HK108" s="35"/>
      <c r="HL108" s="85"/>
      <c r="HM108" s="29"/>
      <c r="HN108" s="36"/>
      <c r="HO108" s="85"/>
      <c r="HP108" s="35"/>
      <c r="HQ108" s="35"/>
      <c r="HR108" s="35"/>
      <c r="HS108" s="35"/>
      <c r="HT108" s="35"/>
      <c r="HU108" s="35"/>
      <c r="HV108" s="36"/>
      <c r="HW108" s="35"/>
      <c r="HX108" s="35"/>
      <c r="HY108" s="35"/>
      <c r="HZ108" s="35"/>
      <c r="IA108" s="35"/>
      <c r="IB108" s="35"/>
      <c r="IC108" s="35"/>
      <c r="ID108" s="85"/>
      <c r="IE108" s="29"/>
      <c r="IF108" s="36"/>
      <c r="IG108" s="85"/>
      <c r="IH108" s="35"/>
      <c r="II108" s="35"/>
      <c r="IJ108" s="35"/>
      <c r="IK108" s="35"/>
      <c r="IL108" s="35"/>
      <c r="IM108" s="35"/>
      <c r="IN108" s="36"/>
      <c r="IO108" s="35"/>
      <c r="IP108" s="35"/>
      <c r="IQ108" s="35"/>
      <c r="IR108" s="35"/>
      <c r="IS108" s="35"/>
      <c r="IT108" s="35"/>
      <c r="IU108" s="35"/>
      <c r="IV108" s="85"/>
      <c r="IW108" s="29"/>
      <c r="IX108" s="36"/>
      <c r="IY108" s="85"/>
      <c r="IZ108" s="35"/>
      <c r="JA108" s="35"/>
      <c r="JB108" s="35"/>
      <c r="JC108" s="35"/>
      <c r="JD108" s="35"/>
      <c r="JE108" s="35"/>
      <c r="JF108" s="36"/>
      <c r="JG108" s="35"/>
      <c r="JH108" s="35"/>
      <c r="JI108" s="35"/>
      <c r="JJ108" s="35"/>
      <c r="JK108" s="35"/>
      <c r="JL108" s="35"/>
      <c r="JM108" s="35"/>
      <c r="JN108" s="85"/>
      <c r="JO108" s="29"/>
      <c r="JP108" s="36"/>
      <c r="JQ108" s="85"/>
      <c r="JR108" s="35"/>
      <c r="JS108" s="35"/>
      <c r="JT108" s="35"/>
      <c r="JU108" s="35"/>
      <c r="JV108" s="35"/>
      <c r="JW108" s="35"/>
      <c r="JX108" s="36"/>
      <c r="JY108" s="35"/>
      <c r="JZ108" s="35"/>
      <c r="KA108" s="35"/>
      <c r="KB108" s="35"/>
      <c r="KC108" s="35"/>
      <c r="KD108" s="35"/>
      <c r="KE108" s="35"/>
      <c r="KF108" s="85"/>
      <c r="KG108" s="29"/>
      <c r="KH108" s="36"/>
      <c r="KI108" s="85"/>
      <c r="KJ108" s="35"/>
      <c r="KK108" s="35"/>
      <c r="KL108" s="35"/>
      <c r="KM108" s="35"/>
      <c r="KN108" s="35"/>
      <c r="KO108" s="35"/>
      <c r="KP108" s="36"/>
      <c r="KQ108" s="35"/>
      <c r="KR108" s="35"/>
      <c r="KS108" s="35"/>
      <c r="KT108" s="35"/>
      <c r="KU108" s="35"/>
      <c r="KV108" s="35"/>
      <c r="KW108" s="35"/>
      <c r="KX108" s="85"/>
      <c r="KY108" s="29"/>
      <c r="KZ108" s="36"/>
      <c r="LA108" s="85"/>
      <c r="LB108" s="35"/>
      <c r="LC108" s="35"/>
      <c r="LD108" s="35"/>
      <c r="LE108" s="35"/>
      <c r="LF108" s="35"/>
      <c r="LG108" s="35"/>
      <c r="LH108" s="36"/>
      <c r="LI108" s="35"/>
      <c r="LJ108" s="35"/>
      <c r="LK108" s="35"/>
      <c r="LL108" s="35"/>
      <c r="LM108" s="35"/>
      <c r="LN108" s="35"/>
      <c r="LO108" s="35"/>
      <c r="LP108" s="85"/>
      <c r="LQ108" s="29"/>
      <c r="LR108" s="36"/>
      <c r="LS108" s="85"/>
      <c r="LT108" s="35"/>
      <c r="LU108" s="35"/>
      <c r="LV108" s="35"/>
      <c r="LW108" s="35"/>
      <c r="LX108" s="35"/>
      <c r="LY108" s="35"/>
      <c r="LZ108" s="36"/>
      <c r="MA108" s="35"/>
      <c r="MB108" s="35"/>
      <c r="MC108" s="35"/>
      <c r="MD108" s="35"/>
      <c r="ME108" s="35"/>
      <c r="MF108" s="35"/>
      <c r="MG108" s="35"/>
      <c r="MH108" s="85"/>
      <c r="MI108" s="29"/>
      <c r="MJ108" s="36"/>
      <c r="MK108" s="85"/>
      <c r="ML108" s="35"/>
      <c r="MM108" s="35"/>
      <c r="MN108" s="35"/>
      <c r="MO108" s="35"/>
      <c r="MP108" s="35"/>
      <c r="MQ108" s="35"/>
      <c r="MR108" s="36"/>
      <c r="MS108" s="35"/>
      <c r="MT108" s="35"/>
      <c r="MU108" s="35"/>
      <c r="MV108" s="35"/>
      <c r="MW108" s="35"/>
      <c r="MX108" s="35"/>
      <c r="MY108" s="35"/>
      <c r="MZ108" s="85"/>
      <c r="NA108" s="29"/>
      <c r="NB108" s="36"/>
      <c r="NC108" s="85"/>
      <c r="ND108" s="35"/>
      <c r="NE108" s="35"/>
      <c r="NF108" s="35"/>
      <c r="NG108" s="35"/>
      <c r="NH108" s="35"/>
      <c r="NI108" s="35"/>
      <c r="NJ108" s="36"/>
      <c r="NK108" s="35"/>
      <c r="NL108" s="35"/>
      <c r="NM108" s="35"/>
      <c r="NN108" s="35"/>
      <c r="NO108" s="35"/>
      <c r="NP108" s="35"/>
      <c r="NQ108" s="35"/>
      <c r="NR108" s="85"/>
      <c r="NS108" s="29"/>
      <c r="NT108" s="36"/>
      <c r="NU108" s="85"/>
      <c r="NV108" s="35"/>
      <c r="NW108" s="35"/>
      <c r="NX108" s="35"/>
      <c r="NY108" s="35"/>
      <c r="NZ108" s="35"/>
      <c r="OA108" s="35"/>
      <c r="OB108" s="36"/>
      <c r="OC108" s="35"/>
      <c r="OD108" s="35"/>
      <c r="OE108" s="35"/>
      <c r="OF108" s="35"/>
      <c r="OG108" s="35"/>
      <c r="OH108" s="35"/>
      <c r="OI108" s="35"/>
      <c r="OJ108" s="85"/>
      <c r="OK108" s="29"/>
      <c r="OL108" s="36"/>
      <c r="OM108" s="85"/>
      <c r="ON108" s="35"/>
      <c r="OO108" s="35"/>
      <c r="OP108" s="35"/>
      <c r="OQ108" s="35"/>
      <c r="OR108" s="35"/>
      <c r="OS108" s="35"/>
      <c r="OT108" s="36"/>
      <c r="OU108" s="35"/>
      <c r="OV108" s="35"/>
      <c r="OW108" s="35"/>
      <c r="OX108" s="35"/>
      <c r="OY108" s="35"/>
      <c r="OZ108" s="35"/>
      <c r="PA108" s="35"/>
      <c r="PB108" s="85"/>
      <c r="PC108" s="29"/>
      <c r="PD108" s="36"/>
      <c r="PE108" s="85"/>
      <c r="PF108" s="35"/>
      <c r="PG108" s="35"/>
      <c r="PH108" s="35"/>
      <c r="PI108" s="35"/>
      <c r="PJ108" s="35"/>
      <c r="PK108" s="35"/>
      <c r="PL108" s="36"/>
      <c r="PM108" s="35"/>
      <c r="PN108" s="35"/>
      <c r="PO108" s="35"/>
      <c r="PP108" s="35"/>
      <c r="PQ108" s="35"/>
      <c r="PR108" s="35"/>
      <c r="PS108" s="35"/>
      <c r="PT108" s="85"/>
      <c r="PU108" s="29"/>
      <c r="PV108" s="36"/>
      <c r="PW108" s="85"/>
      <c r="PX108" s="35"/>
      <c r="PY108" s="35"/>
      <c r="PZ108" s="35"/>
      <c r="QA108" s="35"/>
      <c r="QB108" s="35"/>
      <c r="QC108" s="35"/>
      <c r="QD108" s="36"/>
      <c r="QE108" s="35"/>
      <c r="QF108" s="35"/>
      <c r="QG108" s="35"/>
      <c r="QH108" s="35"/>
      <c r="QI108" s="35"/>
      <c r="QJ108" s="35"/>
      <c r="QK108" s="35"/>
      <c r="QL108" s="85"/>
      <c r="QM108" s="29"/>
      <c r="QN108" s="36"/>
      <c r="QO108" s="85"/>
      <c r="QP108" s="35"/>
      <c r="QQ108" s="35"/>
      <c r="QR108" s="35"/>
      <c r="QS108" s="35"/>
      <c r="QT108" s="35"/>
      <c r="QU108" s="35"/>
      <c r="QV108" s="36"/>
      <c r="QW108" s="35"/>
      <c r="QX108" s="35"/>
      <c r="QY108" s="35"/>
      <c r="QZ108" s="35"/>
      <c r="RA108" s="35"/>
      <c r="RB108" s="35"/>
      <c r="RC108" s="35"/>
      <c r="RD108" s="85"/>
      <c r="RE108" s="29"/>
      <c r="RF108" s="36"/>
      <c r="RG108" s="85"/>
      <c r="RH108" s="35"/>
      <c r="RI108" s="35"/>
      <c r="RJ108" s="35"/>
      <c r="RK108" s="35"/>
      <c r="RL108" s="35"/>
      <c r="RM108" s="35"/>
      <c r="RN108" s="36"/>
      <c r="RO108" s="35"/>
      <c r="RP108" s="35"/>
      <c r="RQ108" s="35"/>
      <c r="RR108" s="35"/>
      <c r="RS108" s="35"/>
      <c r="RT108" s="35"/>
      <c r="RU108" s="35"/>
      <c r="RV108" s="85"/>
      <c r="RW108" s="29"/>
      <c r="RX108" s="36"/>
      <c r="RY108" s="85"/>
      <c r="RZ108" s="35"/>
      <c r="SA108" s="35"/>
      <c r="SB108" s="35"/>
      <c r="SC108" s="35"/>
      <c r="SD108" s="35"/>
      <c r="SE108" s="35"/>
      <c r="SF108" s="36"/>
      <c r="SG108" s="35"/>
      <c r="SH108" s="35"/>
      <c r="SI108" s="35"/>
      <c r="SJ108" s="35"/>
      <c r="SK108" s="35"/>
      <c r="SL108" s="35"/>
      <c r="SM108" s="35"/>
      <c r="SN108" s="85"/>
      <c r="SO108" s="29"/>
      <c r="SP108" s="36"/>
      <c r="SQ108" s="85"/>
      <c r="SR108" s="35"/>
      <c r="SS108" s="35"/>
      <c r="ST108" s="35"/>
      <c r="SU108" s="35"/>
      <c r="SV108" s="35"/>
      <c r="SW108" s="35"/>
      <c r="SX108" s="36"/>
      <c r="SY108" s="35"/>
      <c r="SZ108" s="35"/>
      <c r="TA108" s="35"/>
      <c r="TB108" s="35"/>
      <c r="TC108" s="35"/>
      <c r="TD108" s="35"/>
      <c r="TE108" s="35"/>
      <c r="TF108" s="85"/>
      <c r="TG108" s="29"/>
      <c r="TH108" s="36"/>
      <c r="TI108" s="85"/>
      <c r="TJ108" s="35"/>
      <c r="TK108" s="35"/>
      <c r="TL108" s="35"/>
      <c r="TM108" s="35"/>
      <c r="TN108" s="35"/>
      <c r="TO108" s="35"/>
      <c r="TP108" s="36"/>
      <c r="TQ108" s="35"/>
      <c r="TR108" s="35"/>
      <c r="TS108" s="35"/>
      <c r="TT108" s="35"/>
      <c r="TU108" s="35"/>
      <c r="TV108" s="35"/>
      <c r="TW108" s="35"/>
      <c r="TX108" s="85"/>
      <c r="TY108" s="29"/>
      <c r="TZ108" s="36"/>
      <c r="UA108" s="85"/>
      <c r="UB108" s="35"/>
      <c r="UC108" s="35"/>
      <c r="UD108" s="35"/>
      <c r="UE108" s="35"/>
      <c r="UF108" s="35"/>
      <c r="UG108" s="35"/>
      <c r="UH108" s="36"/>
      <c r="UI108" s="35"/>
      <c r="UJ108" s="35"/>
      <c r="UK108" s="35"/>
      <c r="UL108" s="35"/>
      <c r="UM108" s="35"/>
      <c r="UN108" s="35"/>
      <c r="UO108" s="35"/>
      <c r="UP108" s="85"/>
      <c r="UQ108" s="29"/>
      <c r="UR108" s="36"/>
      <c r="US108" s="85"/>
    </row>
    <row r="109" spans="1:565" x14ac:dyDescent="0.3"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Z109" s="126"/>
      <c r="AA109" s="126"/>
      <c r="AB109" s="126"/>
      <c r="AC109" s="126"/>
      <c r="AD109" s="126"/>
      <c r="AE109" s="126"/>
      <c r="AF109" s="126"/>
      <c r="AG109" s="126"/>
      <c r="AH109" s="126"/>
      <c r="AI109" s="126"/>
      <c r="AJ109" s="126"/>
      <c r="AK109" s="126"/>
      <c r="AL109" s="126"/>
      <c r="AM109" s="126"/>
      <c r="AN109" s="126"/>
      <c r="AO109" s="126"/>
      <c r="AP109" s="126"/>
      <c r="AQ109" s="126"/>
      <c r="AR109" s="126"/>
      <c r="AS109" s="126"/>
      <c r="AT109" s="126"/>
      <c r="AU109" s="126"/>
      <c r="AV109" s="126"/>
      <c r="AW109" s="126"/>
      <c r="AX109" s="126"/>
      <c r="AY109" s="126"/>
      <c r="AZ109" s="126"/>
      <c r="BA109" s="126"/>
      <c r="BB109" s="126"/>
      <c r="BC109" s="126"/>
      <c r="BD109" s="126"/>
      <c r="BE109" s="126"/>
      <c r="BF109" s="126"/>
      <c r="BG109" s="126"/>
      <c r="BH109" s="126"/>
      <c r="BI109" s="126"/>
      <c r="CB109" s="126"/>
      <c r="CC109" s="126"/>
      <c r="CD109" s="126"/>
      <c r="CE109" s="126"/>
      <c r="CF109" s="126"/>
      <c r="CG109" s="126"/>
      <c r="CH109" s="126"/>
      <c r="CI109" s="126"/>
      <c r="CJ109" s="126"/>
      <c r="CK109" s="126"/>
      <c r="CL109" s="126"/>
      <c r="CM109" s="126"/>
      <c r="CN109" s="126"/>
      <c r="CO109" s="126"/>
      <c r="CP109" s="126"/>
      <c r="CQ109" s="126"/>
      <c r="CR109" s="126"/>
      <c r="CS109" s="126"/>
      <c r="ED109" s="126"/>
      <c r="EE109" s="126"/>
      <c r="EF109" s="126"/>
      <c r="EG109" s="126"/>
      <c r="EH109" s="126"/>
      <c r="EI109" s="126"/>
      <c r="EJ109" s="126"/>
      <c r="EK109" s="126"/>
      <c r="EL109" s="126"/>
      <c r="EM109" s="126"/>
      <c r="EN109" s="126"/>
      <c r="EO109" s="126"/>
      <c r="EP109" s="126"/>
      <c r="EQ109" s="126"/>
      <c r="ER109" s="126"/>
      <c r="ES109" s="126"/>
      <c r="ET109" s="126"/>
      <c r="EU109" s="126"/>
      <c r="EV109" s="126"/>
      <c r="EW109" s="126"/>
      <c r="EX109" s="126"/>
      <c r="EY109" s="126"/>
      <c r="EZ109" s="126"/>
      <c r="FA109" s="126"/>
      <c r="FB109" s="126"/>
      <c r="FC109" s="126"/>
      <c r="FD109" s="126"/>
      <c r="FE109" s="126"/>
      <c r="FF109" s="126"/>
      <c r="FG109" s="126"/>
      <c r="FH109" s="126"/>
      <c r="FI109" s="126"/>
      <c r="FJ109" s="126"/>
      <c r="FK109" s="126"/>
      <c r="FL109" s="126"/>
      <c r="FM109" s="126"/>
      <c r="GF109" s="126"/>
      <c r="GG109" s="126"/>
      <c r="GH109" s="126"/>
      <c r="GI109" s="126"/>
      <c r="GJ109" s="126"/>
      <c r="GK109" s="126"/>
      <c r="GL109" s="126"/>
      <c r="GM109" s="126"/>
      <c r="GN109" s="126"/>
      <c r="GO109" s="126"/>
      <c r="GP109" s="126"/>
      <c r="GQ109" s="126"/>
      <c r="GR109" s="126"/>
      <c r="GS109" s="126"/>
      <c r="GT109" s="126"/>
      <c r="GU109" s="126"/>
      <c r="GV109" s="126"/>
      <c r="GW109" s="126"/>
      <c r="ND109" s="126"/>
      <c r="NE109" s="126"/>
      <c r="NF109" s="126"/>
      <c r="NG109" s="126"/>
      <c r="NH109" s="126"/>
      <c r="NI109" s="126"/>
      <c r="NJ109" s="126"/>
      <c r="NK109" s="126"/>
      <c r="NL109" s="126"/>
      <c r="NM109" s="126"/>
      <c r="NN109" s="126"/>
      <c r="NO109" s="126"/>
      <c r="NP109" s="126"/>
      <c r="NQ109" s="126"/>
      <c r="NR109" s="126"/>
      <c r="NS109" s="126"/>
      <c r="NT109" s="126"/>
      <c r="NU109" s="126"/>
      <c r="ON109" s="126"/>
      <c r="OO109" s="126"/>
      <c r="OP109" s="126"/>
      <c r="OQ109" s="126"/>
      <c r="OR109" s="126"/>
      <c r="OS109" s="126"/>
      <c r="OT109" s="126"/>
      <c r="OU109" s="126"/>
      <c r="OV109" s="126"/>
      <c r="OW109" s="126"/>
      <c r="OX109" s="126"/>
      <c r="OY109" s="126"/>
      <c r="OZ109" s="126"/>
      <c r="PA109" s="126"/>
      <c r="PB109" s="126"/>
      <c r="PC109" s="126"/>
      <c r="PD109" s="126"/>
      <c r="PE109" s="126"/>
      <c r="PF109" s="126"/>
      <c r="PG109" s="126"/>
      <c r="PH109" s="126"/>
      <c r="PI109" s="126"/>
      <c r="PJ109" s="126"/>
      <c r="PK109" s="126"/>
      <c r="PL109" s="126"/>
      <c r="PM109" s="126"/>
      <c r="PN109" s="126"/>
      <c r="PO109" s="126"/>
      <c r="PP109" s="126"/>
      <c r="PQ109" s="126"/>
      <c r="PR109" s="126"/>
      <c r="PS109" s="126"/>
      <c r="PT109" s="126"/>
      <c r="PU109" s="126"/>
      <c r="PV109" s="126"/>
      <c r="PW109" s="126"/>
      <c r="PX109" s="126"/>
      <c r="PY109" s="126"/>
      <c r="PZ109" s="126"/>
      <c r="QA109" s="126"/>
      <c r="QB109" s="126"/>
      <c r="QC109" s="126"/>
      <c r="QD109" s="126"/>
      <c r="QE109" s="126"/>
      <c r="QF109" s="126"/>
      <c r="QG109" s="126"/>
      <c r="QH109" s="126"/>
      <c r="QI109" s="126"/>
      <c r="QJ109" s="126"/>
      <c r="QK109" s="126"/>
      <c r="QL109" s="126"/>
      <c r="QM109" s="126"/>
      <c r="QN109" s="126"/>
      <c r="QO109" s="126"/>
      <c r="QP109" s="126"/>
      <c r="QQ109" s="126"/>
      <c r="QR109" s="126"/>
      <c r="QS109" s="126"/>
      <c r="QT109" s="126"/>
      <c r="QU109" s="126"/>
      <c r="QV109" s="126"/>
      <c r="QW109" s="126"/>
      <c r="QX109" s="126"/>
      <c r="QY109" s="126"/>
      <c r="QZ109" s="126"/>
      <c r="RA109" s="126"/>
      <c r="RB109" s="126"/>
      <c r="RC109" s="126"/>
      <c r="RD109" s="126"/>
      <c r="RE109" s="126"/>
      <c r="RF109" s="126"/>
      <c r="RG109" s="126"/>
      <c r="RH109" s="126"/>
      <c r="RI109" s="126"/>
      <c r="RJ109" s="126"/>
      <c r="RK109" s="126"/>
      <c r="RL109" s="126"/>
      <c r="RM109" s="126"/>
      <c r="RN109" s="126"/>
      <c r="RO109" s="126"/>
      <c r="RP109" s="126"/>
      <c r="RQ109" s="126"/>
      <c r="RR109" s="126"/>
      <c r="RS109" s="126"/>
      <c r="RT109" s="126"/>
      <c r="RU109" s="126"/>
      <c r="RV109" s="126"/>
      <c r="RW109" s="126"/>
      <c r="RX109" s="126"/>
      <c r="RY109" s="126"/>
      <c r="RZ109" s="126"/>
      <c r="SA109" s="126"/>
      <c r="SB109" s="126"/>
      <c r="SC109" s="126"/>
      <c r="SD109" s="126"/>
      <c r="SE109" s="126"/>
      <c r="SF109" s="126"/>
      <c r="SG109" s="126"/>
      <c r="SH109" s="126"/>
      <c r="SI109" s="126"/>
      <c r="SJ109" s="126"/>
      <c r="SK109" s="126"/>
      <c r="SL109" s="126"/>
      <c r="SM109" s="126"/>
      <c r="SN109" s="126"/>
      <c r="SO109" s="126"/>
      <c r="SP109" s="126"/>
      <c r="SQ109" s="126"/>
      <c r="SR109" s="126"/>
      <c r="SS109" s="126"/>
      <c r="ST109" s="126"/>
      <c r="SU109" s="126"/>
      <c r="SV109" s="126"/>
      <c r="SW109" s="126"/>
      <c r="SX109" s="126"/>
      <c r="SY109" s="126"/>
      <c r="SZ109" s="126"/>
      <c r="TA109" s="126"/>
      <c r="TB109" s="126"/>
      <c r="TC109" s="126"/>
      <c r="TD109" s="126"/>
      <c r="TE109" s="126"/>
      <c r="TF109" s="126"/>
      <c r="TG109" s="126"/>
      <c r="TH109" s="126"/>
      <c r="TI109" s="126"/>
      <c r="TJ109" s="126"/>
      <c r="TK109" s="126"/>
      <c r="TL109" s="126"/>
      <c r="TM109" s="126"/>
      <c r="TN109" s="126"/>
      <c r="TO109" s="126"/>
      <c r="TP109" s="126"/>
      <c r="TQ109" s="126"/>
      <c r="TR109" s="126"/>
      <c r="TS109" s="126"/>
      <c r="TT109" s="126"/>
      <c r="TU109" s="126"/>
      <c r="TV109" s="126"/>
      <c r="TW109" s="126"/>
      <c r="TX109" s="126"/>
      <c r="TY109" s="126"/>
      <c r="TZ109" s="126"/>
      <c r="UA109" s="126"/>
      <c r="UB109" s="126"/>
      <c r="UC109" s="126"/>
      <c r="UD109" s="126"/>
      <c r="UE109" s="126"/>
      <c r="UF109" s="126"/>
      <c r="UG109" s="126"/>
      <c r="UH109" s="126"/>
      <c r="UI109" s="126"/>
      <c r="UJ109" s="126"/>
      <c r="UK109" s="126"/>
      <c r="UL109" s="126"/>
      <c r="UM109" s="126"/>
      <c r="UN109" s="126"/>
      <c r="UO109" s="126"/>
      <c r="UP109" s="126"/>
      <c r="UQ109" s="126"/>
      <c r="UR109" s="126"/>
      <c r="US109" s="126"/>
    </row>
    <row r="115" spans="1:1" x14ac:dyDescent="0.3">
      <c r="A115" s="159"/>
    </row>
  </sheetData>
  <mergeCells count="593">
    <mergeCell ref="TJ6:UA6"/>
    <mergeCell ref="TJ7:TJ12"/>
    <mergeCell ref="TK7:TK12"/>
    <mergeCell ref="TL7:TL12"/>
    <mergeCell ref="TM7:TM12"/>
    <mergeCell ref="TN7:TN12"/>
    <mergeCell ref="TO7:TO12"/>
    <mergeCell ref="TP7:TP12"/>
    <mergeCell ref="TQ7:TQ12"/>
    <mergeCell ref="TR7:TR12"/>
    <mergeCell ref="TS7:TS12"/>
    <mergeCell ref="TT7:TT12"/>
    <mergeCell ref="TU7:TU12"/>
    <mergeCell ref="TV7:TV12"/>
    <mergeCell ref="TW7:TW12"/>
    <mergeCell ref="TX7:TX12"/>
    <mergeCell ref="TY7:TY12"/>
    <mergeCell ref="TZ7:TZ12"/>
    <mergeCell ref="UA7:UA12"/>
    <mergeCell ref="SR6:TI6"/>
    <mergeCell ref="SR7:SR12"/>
    <mergeCell ref="SS7:SS12"/>
    <mergeCell ref="ST7:ST12"/>
    <mergeCell ref="SU7:SU12"/>
    <mergeCell ref="SV7:SV12"/>
    <mergeCell ref="SW7:SW12"/>
    <mergeCell ref="SX7:SX12"/>
    <mergeCell ref="SY7:SY12"/>
    <mergeCell ref="SZ7:SZ12"/>
    <mergeCell ref="TA7:TA12"/>
    <mergeCell ref="TB7:TB12"/>
    <mergeCell ref="TC7:TC12"/>
    <mergeCell ref="TD7:TD12"/>
    <mergeCell ref="TE7:TE12"/>
    <mergeCell ref="TF7:TF12"/>
    <mergeCell ref="TG7:TG12"/>
    <mergeCell ref="TH7:TH12"/>
    <mergeCell ref="TI7:TI12"/>
    <mergeCell ref="RZ6:SQ6"/>
    <mergeCell ref="RZ7:RZ12"/>
    <mergeCell ref="SA7:SA12"/>
    <mergeCell ref="SB7:SB12"/>
    <mergeCell ref="SC7:SC12"/>
    <mergeCell ref="SD7:SD12"/>
    <mergeCell ref="SE7:SE12"/>
    <mergeCell ref="SF7:SF12"/>
    <mergeCell ref="SG7:SG12"/>
    <mergeCell ref="SH7:SH12"/>
    <mergeCell ref="SI7:SI12"/>
    <mergeCell ref="SJ7:SJ12"/>
    <mergeCell ref="SK7:SK12"/>
    <mergeCell ref="SL7:SL12"/>
    <mergeCell ref="SM7:SM12"/>
    <mergeCell ref="SN7:SN12"/>
    <mergeCell ref="SO7:SO12"/>
    <mergeCell ref="SP7:SP12"/>
    <mergeCell ref="SQ7:SQ12"/>
    <mergeCell ref="RH6:RY6"/>
    <mergeCell ref="RH7:RH12"/>
    <mergeCell ref="RI7:RI12"/>
    <mergeCell ref="RJ7:RJ12"/>
    <mergeCell ref="RK7:RK12"/>
    <mergeCell ref="RL7:RL12"/>
    <mergeCell ref="RM7:RM12"/>
    <mergeCell ref="RN7:RN12"/>
    <mergeCell ref="RO7:RO12"/>
    <mergeCell ref="RP7:RP12"/>
    <mergeCell ref="RQ7:RQ12"/>
    <mergeCell ref="RR7:RR12"/>
    <mergeCell ref="RS7:RS12"/>
    <mergeCell ref="RT7:RT12"/>
    <mergeCell ref="RU7:RU12"/>
    <mergeCell ref="RV7:RV12"/>
    <mergeCell ref="RW7:RW12"/>
    <mergeCell ref="RX7:RX12"/>
    <mergeCell ref="RY7:RY12"/>
    <mergeCell ref="QP6:RG6"/>
    <mergeCell ref="QP7:QP12"/>
    <mergeCell ref="QQ7:QQ12"/>
    <mergeCell ref="QR7:QR12"/>
    <mergeCell ref="QS7:QS12"/>
    <mergeCell ref="QT7:QT12"/>
    <mergeCell ref="QU7:QU12"/>
    <mergeCell ref="QV7:QV12"/>
    <mergeCell ref="QW7:QW12"/>
    <mergeCell ref="QX7:QX12"/>
    <mergeCell ref="QY7:QY12"/>
    <mergeCell ref="QZ7:QZ12"/>
    <mergeCell ref="RA7:RA12"/>
    <mergeCell ref="RB7:RB12"/>
    <mergeCell ref="RC7:RC12"/>
    <mergeCell ref="RD7:RD12"/>
    <mergeCell ref="RE7:RE12"/>
    <mergeCell ref="RF7:RF12"/>
    <mergeCell ref="RG7:RG12"/>
    <mergeCell ref="DL6:EC6"/>
    <mergeCell ref="DL7:DL12"/>
    <mergeCell ref="DM7:DM12"/>
    <mergeCell ref="DN7:DN12"/>
    <mergeCell ref="DO7:DO12"/>
    <mergeCell ref="DP7:DP12"/>
    <mergeCell ref="DQ7:DQ12"/>
    <mergeCell ref="DR7:DR12"/>
    <mergeCell ref="DS7:DS12"/>
    <mergeCell ref="DT7:DT12"/>
    <mergeCell ref="DU7:DU12"/>
    <mergeCell ref="DV7:DV12"/>
    <mergeCell ref="DW7:DW12"/>
    <mergeCell ref="DX7:DX12"/>
    <mergeCell ref="DY7:DY12"/>
    <mergeCell ref="DZ7:DZ12"/>
    <mergeCell ref="EA7:EA12"/>
    <mergeCell ref="EB7:EB12"/>
    <mergeCell ref="EC7:EC12"/>
    <mergeCell ref="BJ6:CA6"/>
    <mergeCell ref="BJ7:BJ12"/>
    <mergeCell ref="BK7:BK12"/>
    <mergeCell ref="BL7:BL12"/>
    <mergeCell ref="BM7:BM12"/>
    <mergeCell ref="BN7:BN12"/>
    <mergeCell ref="BO7:BO12"/>
    <mergeCell ref="BP7:BP12"/>
    <mergeCell ref="BQ7:BQ12"/>
    <mergeCell ref="BR7:BR12"/>
    <mergeCell ref="BS7:BS12"/>
    <mergeCell ref="BT7:BT12"/>
    <mergeCell ref="BU7:BU12"/>
    <mergeCell ref="BV7:BV12"/>
    <mergeCell ref="BW7:BW12"/>
    <mergeCell ref="BX7:BX12"/>
    <mergeCell ref="BY7:BY12"/>
    <mergeCell ref="BZ7:BZ12"/>
    <mergeCell ref="CA7:CA12"/>
    <mergeCell ref="LB6:LS6"/>
    <mergeCell ref="LB7:LB12"/>
    <mergeCell ref="LC7:LC12"/>
    <mergeCell ref="LD7:LD12"/>
    <mergeCell ref="LE7:LE12"/>
    <mergeCell ref="LF7:LF12"/>
    <mergeCell ref="LG7:LG12"/>
    <mergeCell ref="LH7:LH12"/>
    <mergeCell ref="LI7:LI12"/>
    <mergeCell ref="LJ7:LJ12"/>
    <mergeCell ref="LK7:LK12"/>
    <mergeCell ref="LL7:LL12"/>
    <mergeCell ref="LM7:LM12"/>
    <mergeCell ref="LN7:LN12"/>
    <mergeCell ref="LO7:LO12"/>
    <mergeCell ref="LP7:LP12"/>
    <mergeCell ref="LQ7:LQ12"/>
    <mergeCell ref="LR7:LR12"/>
    <mergeCell ref="LS7:LS12"/>
    <mergeCell ref="KJ6:LA6"/>
    <mergeCell ref="KJ7:KJ12"/>
    <mergeCell ref="KK7:KK12"/>
    <mergeCell ref="KL7:KL12"/>
    <mergeCell ref="KM7:KM12"/>
    <mergeCell ref="KN7:KN12"/>
    <mergeCell ref="KO7:KO12"/>
    <mergeCell ref="KP7:KP12"/>
    <mergeCell ref="KQ7:KQ12"/>
    <mergeCell ref="KR7:KR12"/>
    <mergeCell ref="KS7:KS12"/>
    <mergeCell ref="KT7:KT12"/>
    <mergeCell ref="KU7:KU12"/>
    <mergeCell ref="KV7:KV12"/>
    <mergeCell ref="KW7:KW12"/>
    <mergeCell ref="KX7:KX12"/>
    <mergeCell ref="KY7:KY12"/>
    <mergeCell ref="KZ7:KZ12"/>
    <mergeCell ref="LA7:LA12"/>
    <mergeCell ref="JR6:KI6"/>
    <mergeCell ref="JR7:JR12"/>
    <mergeCell ref="JS7:JS12"/>
    <mergeCell ref="JT7:JT12"/>
    <mergeCell ref="JU7:JU12"/>
    <mergeCell ref="JV7:JV12"/>
    <mergeCell ref="JW7:JW12"/>
    <mergeCell ref="JX7:JX12"/>
    <mergeCell ref="JY7:JY12"/>
    <mergeCell ref="JZ7:JZ12"/>
    <mergeCell ref="KA7:KA12"/>
    <mergeCell ref="KB7:KB12"/>
    <mergeCell ref="KC7:KC12"/>
    <mergeCell ref="KD7:KD12"/>
    <mergeCell ref="KE7:KE12"/>
    <mergeCell ref="KF7:KF12"/>
    <mergeCell ref="KG7:KG12"/>
    <mergeCell ref="KH7:KH12"/>
    <mergeCell ref="KI7:KI12"/>
    <mergeCell ref="IY7:IY12"/>
    <mergeCell ref="IZ6:JQ6"/>
    <mergeCell ref="IZ7:IZ12"/>
    <mergeCell ref="JA7:JA12"/>
    <mergeCell ref="JB7:JB12"/>
    <mergeCell ref="JC7:JC12"/>
    <mergeCell ref="JD7:JD12"/>
    <mergeCell ref="JE7:JE12"/>
    <mergeCell ref="JF7:JF12"/>
    <mergeCell ref="JG7:JG12"/>
    <mergeCell ref="JH7:JH12"/>
    <mergeCell ref="JI7:JI12"/>
    <mergeCell ref="JJ7:JJ12"/>
    <mergeCell ref="JK7:JK12"/>
    <mergeCell ref="JL7:JL12"/>
    <mergeCell ref="JM7:JM12"/>
    <mergeCell ref="JN7:JN12"/>
    <mergeCell ref="JO7:JO12"/>
    <mergeCell ref="JP7:JP12"/>
    <mergeCell ref="JQ7:JQ12"/>
    <mergeCell ref="IF7:IF12"/>
    <mergeCell ref="IG7:IG12"/>
    <mergeCell ref="GX6:HO6"/>
    <mergeCell ref="GX7:GX12"/>
    <mergeCell ref="GY7:GY12"/>
    <mergeCell ref="GZ7:GZ12"/>
    <mergeCell ref="IH6:IY6"/>
    <mergeCell ref="IH7:IH12"/>
    <mergeCell ref="II7:II12"/>
    <mergeCell ref="IJ7:IJ12"/>
    <mergeCell ref="IK7:IK12"/>
    <mergeCell ref="IL7:IL12"/>
    <mergeCell ref="IM7:IM12"/>
    <mergeCell ref="IN7:IN12"/>
    <mergeCell ref="IO7:IO12"/>
    <mergeCell ref="IP7:IP12"/>
    <mergeCell ref="IQ7:IQ12"/>
    <mergeCell ref="IR7:IR12"/>
    <mergeCell ref="IS7:IS12"/>
    <mergeCell ref="IT7:IT12"/>
    <mergeCell ref="IU7:IU12"/>
    <mergeCell ref="IV7:IV12"/>
    <mergeCell ref="IW7:IW12"/>
    <mergeCell ref="IX7:IX12"/>
    <mergeCell ref="HD7:HD12"/>
    <mergeCell ref="HE7:HE12"/>
    <mergeCell ref="HF7:HF12"/>
    <mergeCell ref="HG7:HG12"/>
    <mergeCell ref="HH7:HH12"/>
    <mergeCell ref="HI7:HI12"/>
    <mergeCell ref="GF6:GW6"/>
    <mergeCell ref="HP6:IG6"/>
    <mergeCell ref="HP7:HP12"/>
    <mergeCell ref="HQ7:HQ12"/>
    <mergeCell ref="HR7:HR12"/>
    <mergeCell ref="HS7:HS12"/>
    <mergeCell ref="HT7:HT12"/>
    <mergeCell ref="HU7:HU12"/>
    <mergeCell ref="HV7:HV12"/>
    <mergeCell ref="HW7:HW12"/>
    <mergeCell ref="HX7:HX12"/>
    <mergeCell ref="HY7:HY12"/>
    <mergeCell ref="HZ7:HZ12"/>
    <mergeCell ref="IA7:IA12"/>
    <mergeCell ref="IB7:IB12"/>
    <mergeCell ref="IC7:IC12"/>
    <mergeCell ref="ID7:ID12"/>
    <mergeCell ref="IE7:IE12"/>
    <mergeCell ref="HM7:HM12"/>
    <mergeCell ref="HN7:HN12"/>
    <mergeCell ref="HO7:HO12"/>
    <mergeCell ref="FN6:GE6"/>
    <mergeCell ref="FN7:FN12"/>
    <mergeCell ref="FO7:FO12"/>
    <mergeCell ref="FP7:FP12"/>
    <mergeCell ref="FQ7:FQ12"/>
    <mergeCell ref="FR7:FR12"/>
    <mergeCell ref="FS7:FS12"/>
    <mergeCell ref="FT7:FT12"/>
    <mergeCell ref="FU7:FU12"/>
    <mergeCell ref="FV7:FV12"/>
    <mergeCell ref="FW7:FW12"/>
    <mergeCell ref="FX7:FX12"/>
    <mergeCell ref="FY7:FY12"/>
    <mergeCell ref="FZ7:FZ12"/>
    <mergeCell ref="GA7:GA12"/>
    <mergeCell ref="GB7:GB12"/>
    <mergeCell ref="GC7:GC12"/>
    <mergeCell ref="GD7:GD12"/>
    <mergeCell ref="HA7:HA12"/>
    <mergeCell ref="HB7:HB12"/>
    <mergeCell ref="HC7:HC12"/>
    <mergeCell ref="PD7:PD12"/>
    <mergeCell ref="OO7:OO12"/>
    <mergeCell ref="OP7:OP12"/>
    <mergeCell ref="OQ7:OQ12"/>
    <mergeCell ref="OR7:OR12"/>
    <mergeCell ref="B6:B12"/>
    <mergeCell ref="C6:C12"/>
    <mergeCell ref="F7:F12"/>
    <mergeCell ref="G7:G12"/>
    <mergeCell ref="ON6:PE6"/>
    <mergeCell ref="PE7:PE12"/>
    <mergeCell ref="NE7:NE12"/>
    <mergeCell ref="NF7:NF12"/>
    <mergeCell ref="NG7:NG12"/>
    <mergeCell ref="NH7:NH12"/>
    <mergeCell ref="NI7:NI12"/>
    <mergeCell ref="NJ7:NJ12"/>
    <mergeCell ref="NK7:NK12"/>
    <mergeCell ref="NL7:NL12"/>
    <mergeCell ref="NM7:NM12"/>
    <mergeCell ref="NN7:NN12"/>
    <mergeCell ref="HJ7:HJ12"/>
    <mergeCell ref="HK7:HK12"/>
    <mergeCell ref="HL7:HL12"/>
    <mergeCell ref="NO7:NO12"/>
    <mergeCell ref="ED6:EU6"/>
    <mergeCell ref="EV6:FM6"/>
    <mergeCell ref="EV7:EV12"/>
    <mergeCell ref="EW7:EW12"/>
    <mergeCell ref="EX7:EX12"/>
    <mergeCell ref="EY7:EY12"/>
    <mergeCell ref="EZ7:EZ12"/>
    <mergeCell ref="FA7:FA12"/>
    <mergeCell ref="FB7:FB12"/>
    <mergeCell ref="FC7:FC12"/>
    <mergeCell ref="FD7:FD12"/>
    <mergeCell ref="FE7:FE12"/>
    <mergeCell ref="FF7:FF12"/>
    <mergeCell ref="FG7:FG12"/>
    <mergeCell ref="FH7:FH12"/>
    <mergeCell ref="FI7:FI12"/>
    <mergeCell ref="FJ7:FJ12"/>
    <mergeCell ref="FK7:FK12"/>
    <mergeCell ref="FL7:FL12"/>
    <mergeCell ref="FM7:FM12"/>
    <mergeCell ref="ND6:NU6"/>
    <mergeCell ref="ND7:ND12"/>
    <mergeCell ref="ML6:NC6"/>
    <mergeCell ref="Z6:AQ6"/>
    <mergeCell ref="Z7:Z12"/>
    <mergeCell ref="AR6:BI6"/>
    <mergeCell ref="AR7:AR12"/>
    <mergeCell ref="AS7:AS12"/>
    <mergeCell ref="AT7:AT12"/>
    <mergeCell ref="AU7:AU12"/>
    <mergeCell ref="AV7:AV12"/>
    <mergeCell ref="AW7:AW12"/>
    <mergeCell ref="AX7:AX12"/>
    <mergeCell ref="AY7:AY12"/>
    <mergeCell ref="AZ7:AZ12"/>
    <mergeCell ref="BA7:BA12"/>
    <mergeCell ref="BB7:BB12"/>
    <mergeCell ref="BC7:BC12"/>
    <mergeCell ref="BD7:BD12"/>
    <mergeCell ref="BE7:BE12"/>
    <mergeCell ref="BF7:BF12"/>
    <mergeCell ref="BG7:BG12"/>
    <mergeCell ref="BH7:BH12"/>
    <mergeCell ref="BI7:BI12"/>
    <mergeCell ref="AH7:AH12"/>
    <mergeCell ref="AI7:AI12"/>
    <mergeCell ref="AA7:AA12"/>
    <mergeCell ref="H6:Y6"/>
    <mergeCell ref="H7:H12"/>
    <mergeCell ref="I7:I12"/>
    <mergeCell ref="J7:J12"/>
    <mergeCell ref="K7:K12"/>
    <mergeCell ref="L7:L12"/>
    <mergeCell ref="M7:M12"/>
    <mergeCell ref="N7:N12"/>
    <mergeCell ref="O7:O12"/>
    <mergeCell ref="P7:P12"/>
    <mergeCell ref="Q7:Q12"/>
    <mergeCell ref="R7:R12"/>
    <mergeCell ref="S7:S12"/>
    <mergeCell ref="T7:T12"/>
    <mergeCell ref="U7:U12"/>
    <mergeCell ref="V7:V12"/>
    <mergeCell ref="W7:W12"/>
    <mergeCell ref="X7:X12"/>
    <mergeCell ref="Y7:Y12"/>
    <mergeCell ref="MR7:MR12"/>
    <mergeCell ref="NP7:NP12"/>
    <mergeCell ref="NQ7:NQ12"/>
    <mergeCell ref="CB6:CS6"/>
    <mergeCell ref="CB7:CB12"/>
    <mergeCell ref="CC7:CC12"/>
    <mergeCell ref="CD7:CD12"/>
    <mergeCell ref="CE7:CE12"/>
    <mergeCell ref="CF7:CF12"/>
    <mergeCell ref="CG7:CG12"/>
    <mergeCell ref="CH7:CH12"/>
    <mergeCell ref="CI7:CI12"/>
    <mergeCell ref="CJ7:CJ12"/>
    <mergeCell ref="CK7:CK12"/>
    <mergeCell ref="CL7:CL12"/>
    <mergeCell ref="CM7:CM12"/>
    <mergeCell ref="CN7:CN12"/>
    <mergeCell ref="CO7:CO12"/>
    <mergeCell ref="CP7:CP12"/>
    <mergeCell ref="CT6:DK6"/>
    <mergeCell ref="CT7:CT12"/>
    <mergeCell ref="CU7:CU12"/>
    <mergeCell ref="CV7:CV12"/>
    <mergeCell ref="CW7:CW12"/>
    <mergeCell ref="NV6:OM6"/>
    <mergeCell ref="NV7:NV12"/>
    <mergeCell ref="NW7:NW12"/>
    <mergeCell ref="NX7:NX12"/>
    <mergeCell ref="NY7:NY12"/>
    <mergeCell ref="NZ7:NZ12"/>
    <mergeCell ref="OA7:OA12"/>
    <mergeCell ref="OB7:OB12"/>
    <mergeCell ref="OC7:OC12"/>
    <mergeCell ref="OD7:OD12"/>
    <mergeCell ref="OE7:OE12"/>
    <mergeCell ref="OF7:OF12"/>
    <mergeCell ref="OG7:OG12"/>
    <mergeCell ref="OH7:OH12"/>
    <mergeCell ref="OI7:OI12"/>
    <mergeCell ref="OJ7:OJ12"/>
    <mergeCell ref="OK7:OK12"/>
    <mergeCell ref="OL7:OL12"/>
    <mergeCell ref="OM7:OM12"/>
    <mergeCell ref="LT6:MK6"/>
    <mergeCell ref="LT7:LT12"/>
    <mergeCell ref="LU7:LU12"/>
    <mergeCell ref="LV7:LV12"/>
    <mergeCell ref="LW7:LW12"/>
    <mergeCell ref="LX7:LX12"/>
    <mergeCell ref="LY7:LY12"/>
    <mergeCell ref="LZ7:LZ12"/>
    <mergeCell ref="MA7:MA12"/>
    <mergeCell ref="MB7:MB12"/>
    <mergeCell ref="MC7:MC12"/>
    <mergeCell ref="MD7:MD12"/>
    <mergeCell ref="ME7:ME12"/>
    <mergeCell ref="MF7:MF12"/>
    <mergeCell ref="MG7:MG12"/>
    <mergeCell ref="MH7:MH12"/>
    <mergeCell ref="MI7:MI12"/>
    <mergeCell ref="MJ7:MJ12"/>
    <mergeCell ref="MK7:MK12"/>
    <mergeCell ref="AB7:AB12"/>
    <mergeCell ref="AC7:AC12"/>
    <mergeCell ref="AD7:AD12"/>
    <mergeCell ref="AE7:AE12"/>
    <mergeCell ref="AF7:AF12"/>
    <mergeCell ref="AG7:AG12"/>
    <mergeCell ref="GO7:GO12"/>
    <mergeCell ref="GP7:GP12"/>
    <mergeCell ref="DC7:DC12"/>
    <mergeCell ref="DD7:DD12"/>
    <mergeCell ref="DE7:DE12"/>
    <mergeCell ref="DF7:DF12"/>
    <mergeCell ref="DG7:DG12"/>
    <mergeCell ref="CX7:CX12"/>
    <mergeCell ref="CY7:CY12"/>
    <mergeCell ref="CZ7:CZ12"/>
    <mergeCell ref="DA7:DA12"/>
    <mergeCell ref="DB7:DB12"/>
    <mergeCell ref="GF7:GF12"/>
    <mergeCell ref="GG7:GG12"/>
    <mergeCell ref="GH7:GH12"/>
    <mergeCell ref="GI7:GI12"/>
    <mergeCell ref="GJ7:GJ12"/>
    <mergeCell ref="DH7:DH12"/>
    <mergeCell ref="AJ7:AJ12"/>
    <mergeCell ref="AK7:AK12"/>
    <mergeCell ref="AL7:AL12"/>
    <mergeCell ref="AM7:AM12"/>
    <mergeCell ref="AN7:AN12"/>
    <mergeCell ref="AO7:AO12"/>
    <mergeCell ref="AP7:AP12"/>
    <mergeCell ref="AQ7:AQ12"/>
    <mergeCell ref="GQ7:GQ12"/>
    <mergeCell ref="GK7:GK12"/>
    <mergeCell ref="GL7:GL12"/>
    <mergeCell ref="ED7:ED12"/>
    <mergeCell ref="CQ7:CQ12"/>
    <mergeCell ref="CR7:CR12"/>
    <mergeCell ref="CS7:CS12"/>
    <mergeCell ref="GE7:GE12"/>
    <mergeCell ref="GM7:GM12"/>
    <mergeCell ref="GN7:GN12"/>
    <mergeCell ref="EE7:EE12"/>
    <mergeCell ref="EF7:EF12"/>
    <mergeCell ref="EG7:EG12"/>
    <mergeCell ref="EH7:EH12"/>
    <mergeCell ref="EI7:EI12"/>
    <mergeCell ref="EJ7:EJ12"/>
    <mergeCell ref="OU7:OU12"/>
    <mergeCell ref="ON7:ON12"/>
    <mergeCell ref="DI7:DI12"/>
    <mergeCell ref="DJ7:DJ12"/>
    <mergeCell ref="DK7:DK12"/>
    <mergeCell ref="MS7:MS12"/>
    <mergeCell ref="MT7:MT12"/>
    <mergeCell ref="MU7:MU12"/>
    <mergeCell ref="GR7:GR12"/>
    <mergeCell ref="GS7:GS12"/>
    <mergeCell ref="GT7:GT12"/>
    <mergeCell ref="GU7:GU12"/>
    <mergeCell ref="GV7:GV12"/>
    <mergeCell ref="GW7:GW12"/>
    <mergeCell ref="NR7:NR12"/>
    <mergeCell ref="NS7:NS12"/>
    <mergeCell ref="NT7:NT12"/>
    <mergeCell ref="NU7:NU12"/>
    <mergeCell ref="ML7:ML12"/>
    <mergeCell ref="MM7:MM12"/>
    <mergeCell ref="MN7:MN12"/>
    <mergeCell ref="MO7:MO12"/>
    <mergeCell ref="MP7:MP12"/>
    <mergeCell ref="MQ7:MQ12"/>
    <mergeCell ref="EK7:EK12"/>
    <mergeCell ref="EL7:EL12"/>
    <mergeCell ref="EM7:EM12"/>
    <mergeCell ref="PF6:PW6"/>
    <mergeCell ref="PF7:PF12"/>
    <mergeCell ref="PG7:PG12"/>
    <mergeCell ref="PH7:PH12"/>
    <mergeCell ref="PI7:PI12"/>
    <mergeCell ref="PJ7:PJ12"/>
    <mergeCell ref="PK7:PK12"/>
    <mergeCell ref="PL7:PL12"/>
    <mergeCell ref="PM7:PM12"/>
    <mergeCell ref="PN7:PN12"/>
    <mergeCell ref="PO7:PO12"/>
    <mergeCell ref="PP7:PP12"/>
    <mergeCell ref="PQ7:PQ12"/>
    <mergeCell ref="PR7:PR12"/>
    <mergeCell ref="PS7:PS12"/>
    <mergeCell ref="PT7:PT12"/>
    <mergeCell ref="PU7:PU12"/>
    <mergeCell ref="PV7:PV12"/>
    <mergeCell ref="PW7:PW12"/>
    <mergeCell ref="EN7:EN12"/>
    <mergeCell ref="EO7:EO12"/>
    <mergeCell ref="EP7:EP12"/>
    <mergeCell ref="EQ7:EQ12"/>
    <mergeCell ref="ER7:ER12"/>
    <mergeCell ref="ES7:ES12"/>
    <mergeCell ref="ET7:ET12"/>
    <mergeCell ref="EU7:EU12"/>
    <mergeCell ref="PA7:PA12"/>
    <mergeCell ref="PB7:PB12"/>
    <mergeCell ref="PC7:PC12"/>
    <mergeCell ref="MV7:MV12"/>
    <mergeCell ref="MW7:MW12"/>
    <mergeCell ref="MX7:MX12"/>
    <mergeCell ref="MY7:MY12"/>
    <mergeCell ref="MZ7:MZ12"/>
    <mergeCell ref="NA7:NA12"/>
    <mergeCell ref="NB7:NB12"/>
    <mergeCell ref="NC7:NC12"/>
    <mergeCell ref="OZ7:OZ12"/>
    <mergeCell ref="OS7:OS12"/>
    <mergeCell ref="OV7:OV12"/>
    <mergeCell ref="OW7:OW12"/>
    <mergeCell ref="OX7:OX12"/>
    <mergeCell ref="OY7:OY12"/>
    <mergeCell ref="OT7:OT12"/>
    <mergeCell ref="PX6:QO6"/>
    <mergeCell ref="PX7:PX12"/>
    <mergeCell ref="PY7:PY12"/>
    <mergeCell ref="PZ7:PZ12"/>
    <mergeCell ref="QA7:QA12"/>
    <mergeCell ref="QB7:QB12"/>
    <mergeCell ref="QC7:QC12"/>
    <mergeCell ref="QD7:QD12"/>
    <mergeCell ref="QE7:QE12"/>
    <mergeCell ref="QF7:QF12"/>
    <mergeCell ref="QG7:QG12"/>
    <mergeCell ref="QH7:QH12"/>
    <mergeCell ref="QI7:QI12"/>
    <mergeCell ref="QJ7:QJ12"/>
    <mergeCell ref="QK7:QK12"/>
    <mergeCell ref="QL7:QL12"/>
    <mergeCell ref="QM7:QM12"/>
    <mergeCell ref="QN7:QN12"/>
    <mergeCell ref="QO7:QO12"/>
    <mergeCell ref="UB6:US6"/>
    <mergeCell ref="UB7:UB12"/>
    <mergeCell ref="UC7:UC12"/>
    <mergeCell ref="UD7:UD12"/>
    <mergeCell ref="UE7:UE12"/>
    <mergeCell ref="UF7:UF12"/>
    <mergeCell ref="UG7:UG12"/>
    <mergeCell ref="UH7:UH12"/>
    <mergeCell ref="UI7:UI12"/>
    <mergeCell ref="UJ7:UJ12"/>
    <mergeCell ref="UK7:UK12"/>
    <mergeCell ref="UL7:UL12"/>
    <mergeCell ref="UM7:UM12"/>
    <mergeCell ref="UN7:UN12"/>
    <mergeCell ref="UO7:UO12"/>
    <mergeCell ref="UP7:UP12"/>
    <mergeCell ref="UQ7:UQ12"/>
    <mergeCell ref="UR7:UR12"/>
    <mergeCell ref="US7:US12"/>
  </mergeCells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/>
  <dimension ref="A1:BG109"/>
  <sheetViews>
    <sheetView view="pageBreakPreview" topLeftCell="AK4" zoomScale="60" zoomScaleNormal="55" workbookViewId="0">
      <selection activeCell="BA24" sqref="BA24"/>
    </sheetView>
  </sheetViews>
  <sheetFormatPr defaultRowHeight="14.4" outlineLevelCol="1" x14ac:dyDescent="0.3"/>
  <cols>
    <col min="1" max="1" width="15.33203125" hidden="1" customWidth="1"/>
    <col min="2" max="2" width="5" customWidth="1"/>
    <col min="3" max="3" width="29.88671875" customWidth="1"/>
    <col min="4" max="4" width="12.5546875" hidden="1" customWidth="1"/>
    <col min="5" max="5" width="26.44140625" hidden="1" customWidth="1"/>
    <col min="6" max="6" width="24" customWidth="1"/>
    <col min="7" max="7" width="18.6640625" customWidth="1"/>
    <col min="8" max="9" width="18.6640625" customWidth="1" outlineLevel="1"/>
    <col min="10" max="10" width="18.6640625" customWidth="1"/>
    <col min="11" max="13" width="18.6640625" hidden="1" customWidth="1"/>
    <col min="14" max="19" width="18.6640625" customWidth="1"/>
    <col min="20" max="23" width="18.6640625" customWidth="1" outlineLevel="1"/>
    <col min="24" max="25" width="18.6640625" customWidth="1"/>
    <col min="26" max="27" width="18.6640625" customWidth="1" outlineLevel="1"/>
    <col min="28" max="28" width="18.6640625" customWidth="1"/>
    <col min="29" max="31" width="18.6640625" hidden="1" customWidth="1"/>
    <col min="32" max="37" width="18.6640625" customWidth="1"/>
    <col min="38" max="41" width="18.6640625" customWidth="1" outlineLevel="1"/>
    <col min="42" max="43" width="18.6640625" customWidth="1"/>
    <col min="44" max="45" width="18.6640625" customWidth="1" outlineLevel="1"/>
    <col min="46" max="46" width="18.6640625" customWidth="1"/>
    <col min="47" max="49" width="18.6640625" hidden="1" customWidth="1"/>
    <col min="50" max="55" width="18.6640625" customWidth="1"/>
    <col min="56" max="59" width="18.6640625" customWidth="1" outlineLevel="1"/>
  </cols>
  <sheetData>
    <row r="1" spans="1:59" ht="15.6" x14ac:dyDescent="0.3">
      <c r="C1" s="1" t="s">
        <v>279</v>
      </c>
      <c r="G1" s="37">
        <v>1</v>
      </c>
      <c r="Y1" s="37"/>
      <c r="AQ1" s="37"/>
    </row>
    <row r="2" spans="1:59" ht="17.399999999999999" x14ac:dyDescent="0.3">
      <c r="G2" s="319" t="s">
        <v>280</v>
      </c>
      <c r="H2" s="319"/>
      <c r="I2" s="319"/>
      <c r="J2" s="319"/>
      <c r="K2" s="319"/>
      <c r="L2" s="319"/>
      <c r="M2" s="319"/>
      <c r="N2" s="319"/>
      <c r="O2" s="319"/>
      <c r="P2" s="319"/>
      <c r="Q2" s="319"/>
      <c r="Y2" s="319"/>
      <c r="Z2" s="319"/>
      <c r="AA2" s="319"/>
      <c r="AB2" s="319"/>
      <c r="AC2" s="319"/>
      <c r="AD2" s="319"/>
      <c r="AE2" s="319"/>
      <c r="AF2" s="319"/>
      <c r="AG2" s="319"/>
      <c r="AH2" s="319"/>
      <c r="AI2" s="319"/>
      <c r="AQ2" s="319"/>
      <c r="AR2" s="319"/>
      <c r="AS2" s="319"/>
      <c r="AT2" s="319"/>
      <c r="AU2" s="319"/>
      <c r="AV2" s="319"/>
      <c r="AW2" s="319"/>
      <c r="AX2" s="319"/>
      <c r="AY2" s="319"/>
      <c r="AZ2" s="319"/>
      <c r="BA2" s="319"/>
    </row>
    <row r="3" spans="1:59" ht="21" customHeight="1" x14ac:dyDescent="0.35">
      <c r="B3" s="2"/>
      <c r="C3" s="2"/>
      <c r="D3" s="320" t="s">
        <v>281</v>
      </c>
      <c r="E3" s="320"/>
      <c r="F3" s="320"/>
      <c r="G3" s="320"/>
      <c r="H3" s="320"/>
      <c r="I3" s="320"/>
      <c r="J3" s="320"/>
      <c r="K3" s="320"/>
      <c r="L3" s="320"/>
      <c r="M3" s="320"/>
      <c r="N3" s="320"/>
      <c r="O3" s="320"/>
      <c r="P3" s="320"/>
      <c r="Q3" s="320"/>
      <c r="R3" s="38"/>
      <c r="S3" s="38"/>
      <c r="T3" s="38"/>
      <c r="U3" s="38"/>
      <c r="AJ3" s="38"/>
      <c r="AK3" s="38"/>
      <c r="AL3" s="38"/>
      <c r="AM3" s="38"/>
      <c r="BB3" s="38"/>
      <c r="BC3" s="38"/>
      <c r="BD3" s="38"/>
      <c r="BE3" s="38"/>
    </row>
    <row r="4" spans="1:59" ht="24" customHeight="1" x14ac:dyDescent="0.35">
      <c r="B4" s="2"/>
      <c r="C4" s="2"/>
      <c r="D4" s="39"/>
      <c r="E4" s="40"/>
      <c r="F4" s="40"/>
      <c r="G4" s="321" t="s">
        <v>282</v>
      </c>
      <c r="H4" s="321"/>
      <c r="I4" s="321"/>
      <c r="J4" s="321"/>
      <c r="K4" s="321"/>
      <c r="L4" s="321"/>
      <c r="M4" s="321"/>
      <c r="N4" s="321"/>
      <c r="O4" s="321"/>
      <c r="P4" s="321"/>
      <c r="Q4" s="321"/>
      <c r="R4" s="38"/>
      <c r="S4" s="38"/>
      <c r="T4" s="38"/>
      <c r="U4" s="38"/>
      <c r="Y4" s="321"/>
      <c r="Z4" s="321"/>
      <c r="AA4" s="321"/>
      <c r="AB4" s="321"/>
      <c r="AC4" s="321"/>
      <c r="AD4" s="321"/>
      <c r="AE4" s="321"/>
      <c r="AF4" s="321"/>
      <c r="AG4" s="321"/>
      <c r="AH4" s="321"/>
      <c r="AI4" s="321"/>
      <c r="AJ4" s="38"/>
      <c r="AK4" s="38"/>
      <c r="AL4" s="38"/>
      <c r="AM4" s="38"/>
      <c r="AQ4" s="321"/>
      <c r="AR4" s="321"/>
      <c r="AS4" s="321"/>
      <c r="AT4" s="321"/>
      <c r="AU4" s="321"/>
      <c r="AV4" s="321"/>
      <c r="AW4" s="321"/>
      <c r="AX4" s="321"/>
      <c r="AY4" s="321"/>
      <c r="AZ4" s="321"/>
      <c r="BA4" s="321"/>
      <c r="BB4" s="38"/>
      <c r="BC4" s="38"/>
      <c r="BD4" s="38"/>
      <c r="BE4" s="38"/>
    </row>
    <row r="5" spans="1:59" ht="32.25" customHeight="1" x14ac:dyDescent="0.35">
      <c r="B5" s="2"/>
      <c r="C5" s="2"/>
      <c r="D5" s="2"/>
      <c r="E5" s="2"/>
      <c r="F5" s="2"/>
      <c r="G5" s="41" t="s">
        <v>283</v>
      </c>
      <c r="H5" s="322" t="str">
        <f>date</f>
        <v>Декабрь 2019 г.</v>
      </c>
      <c r="I5" s="322"/>
      <c r="J5" s="82"/>
      <c r="K5" s="42"/>
      <c r="L5" s="43"/>
      <c r="M5" s="43"/>
      <c r="N5" s="43"/>
      <c r="Y5" s="41"/>
      <c r="Z5" s="322"/>
      <c r="AA5" s="322"/>
      <c r="AB5" s="82"/>
      <c r="AC5" s="42"/>
      <c r="AD5" s="43"/>
      <c r="AE5" s="43"/>
      <c r="AF5" s="43"/>
      <c r="AQ5" s="41"/>
      <c r="AR5" s="322"/>
      <c r="AS5" s="322"/>
      <c r="AT5" s="82"/>
      <c r="AU5" s="42"/>
      <c r="AV5" s="43"/>
      <c r="AW5" s="43"/>
      <c r="AX5" s="43"/>
    </row>
    <row r="6" spans="1:59" ht="15" customHeight="1" thickBot="1" x14ac:dyDescent="0.35">
      <c r="C6" s="44" t="str">
        <f>IF(G1=1000,"в тыс. руб.",IF(G1=1000000,"в млн. руб.",(IF(G1=1,"в рублях"," "))))</f>
        <v>в рублях</v>
      </c>
      <c r="D6" s="4"/>
      <c r="E6" s="4"/>
      <c r="F6" s="4"/>
      <c r="V6" s="76"/>
      <c r="W6" s="76"/>
      <c r="X6" s="76"/>
      <c r="AN6" s="76"/>
      <c r="AO6" s="76"/>
      <c r="AP6" s="76"/>
      <c r="BF6" s="76"/>
      <c r="BG6" s="76"/>
    </row>
    <row r="7" spans="1:59" ht="30" customHeight="1" x14ac:dyDescent="0.3">
      <c r="A7" s="5"/>
      <c r="B7" s="323" t="s">
        <v>284</v>
      </c>
      <c r="C7" s="323" t="s">
        <v>285</v>
      </c>
      <c r="D7" s="323"/>
      <c r="E7" s="324" t="s">
        <v>286</v>
      </c>
      <c r="F7" s="310" t="s">
        <v>307</v>
      </c>
      <c r="G7" s="311"/>
      <c r="H7" s="311"/>
      <c r="I7" s="311"/>
      <c r="J7" s="311"/>
      <c r="K7" s="311"/>
      <c r="L7" s="311"/>
      <c r="M7" s="311"/>
      <c r="N7" s="311"/>
      <c r="O7" s="311"/>
      <c r="P7" s="311"/>
      <c r="Q7" s="311"/>
      <c r="R7" s="311"/>
      <c r="S7" s="311"/>
      <c r="T7" s="311"/>
      <c r="U7" s="311"/>
      <c r="V7" s="311"/>
      <c r="W7" s="312"/>
      <c r="X7" s="303" t="s">
        <v>308</v>
      </c>
      <c r="Y7" s="304"/>
      <c r="Z7" s="304"/>
      <c r="AA7" s="304"/>
      <c r="AB7" s="304"/>
      <c r="AC7" s="304"/>
      <c r="AD7" s="304"/>
      <c r="AE7" s="304"/>
      <c r="AF7" s="304"/>
      <c r="AG7" s="304"/>
      <c r="AH7" s="304"/>
      <c r="AI7" s="304"/>
      <c r="AJ7" s="304"/>
      <c r="AK7" s="304"/>
      <c r="AL7" s="304"/>
      <c r="AM7" s="304"/>
      <c r="AN7" s="304"/>
      <c r="AO7" s="305"/>
      <c r="AP7" s="309" t="s">
        <v>310</v>
      </c>
      <c r="AQ7" s="304"/>
      <c r="AR7" s="304"/>
      <c r="AS7" s="304"/>
      <c r="AT7" s="304"/>
      <c r="AU7" s="304"/>
      <c r="AV7" s="304"/>
      <c r="AW7" s="304"/>
      <c r="AX7" s="304"/>
      <c r="AY7" s="304"/>
      <c r="AZ7" s="304"/>
      <c r="BA7" s="304"/>
      <c r="BB7" s="304"/>
      <c r="BC7" s="304"/>
      <c r="BD7" s="304"/>
      <c r="BE7" s="304"/>
      <c r="BF7" s="304"/>
      <c r="BG7" s="305"/>
    </row>
    <row r="8" spans="1:59" ht="18.75" customHeight="1" thickBot="1" x14ac:dyDescent="0.35">
      <c r="A8" s="6"/>
      <c r="B8" s="323"/>
      <c r="C8" s="323"/>
      <c r="D8" s="323"/>
      <c r="E8" s="324"/>
      <c r="F8" s="313"/>
      <c r="G8" s="314"/>
      <c r="H8" s="314"/>
      <c r="I8" s="314"/>
      <c r="J8" s="314"/>
      <c r="K8" s="314"/>
      <c r="L8" s="314"/>
      <c r="M8" s="314"/>
      <c r="N8" s="314"/>
      <c r="O8" s="314"/>
      <c r="P8" s="314"/>
      <c r="Q8" s="314"/>
      <c r="R8" s="314"/>
      <c r="S8" s="314"/>
      <c r="T8" s="314"/>
      <c r="U8" s="314"/>
      <c r="V8" s="314"/>
      <c r="W8" s="315"/>
      <c r="X8" s="306" t="s">
        <v>309</v>
      </c>
      <c r="Y8" s="307"/>
      <c r="Z8" s="307"/>
      <c r="AA8" s="307"/>
      <c r="AB8" s="307"/>
      <c r="AC8" s="307"/>
      <c r="AD8" s="307"/>
      <c r="AE8" s="307"/>
      <c r="AF8" s="307"/>
      <c r="AG8" s="307"/>
      <c r="AH8" s="307"/>
      <c r="AI8" s="307"/>
      <c r="AJ8" s="307"/>
      <c r="AK8" s="307"/>
      <c r="AL8" s="307"/>
      <c r="AM8" s="307"/>
      <c r="AN8" s="307"/>
      <c r="AO8" s="308"/>
      <c r="AP8" s="306" t="s">
        <v>311</v>
      </c>
      <c r="AQ8" s="307"/>
      <c r="AR8" s="307"/>
      <c r="AS8" s="307"/>
      <c r="AT8" s="307"/>
      <c r="AU8" s="307"/>
      <c r="AV8" s="307"/>
      <c r="AW8" s="307"/>
      <c r="AX8" s="307"/>
      <c r="AY8" s="307"/>
      <c r="AZ8" s="307"/>
      <c r="BA8" s="307"/>
      <c r="BB8" s="307"/>
      <c r="BC8" s="307"/>
      <c r="BD8" s="307"/>
      <c r="BE8" s="307"/>
      <c r="BF8" s="307"/>
      <c r="BG8" s="308"/>
    </row>
    <row r="9" spans="1:59" ht="31.5" customHeight="1" x14ac:dyDescent="0.3">
      <c r="A9" s="6"/>
      <c r="B9" s="323"/>
      <c r="C9" s="323"/>
      <c r="D9" s="323"/>
      <c r="E9" s="325"/>
      <c r="F9" s="301" t="s">
        <v>315</v>
      </c>
      <c r="G9" s="302" t="s">
        <v>314</v>
      </c>
      <c r="H9" s="302" t="s">
        <v>287</v>
      </c>
      <c r="I9" s="302"/>
      <c r="J9" s="302"/>
      <c r="K9" s="302" t="s">
        <v>312</v>
      </c>
      <c r="L9" s="302" t="s">
        <v>262</v>
      </c>
      <c r="M9" s="302" t="s">
        <v>272</v>
      </c>
      <c r="N9" s="302" t="s">
        <v>288</v>
      </c>
      <c r="O9" s="302"/>
      <c r="P9" s="302"/>
      <c r="Q9" s="302"/>
      <c r="R9" s="317" t="s">
        <v>289</v>
      </c>
      <c r="S9" s="317"/>
      <c r="T9" s="302" t="s">
        <v>290</v>
      </c>
      <c r="U9" s="302" t="s">
        <v>266</v>
      </c>
      <c r="V9" s="302" t="s">
        <v>291</v>
      </c>
      <c r="W9" s="316" t="s">
        <v>302</v>
      </c>
      <c r="X9" s="301" t="s">
        <v>315</v>
      </c>
      <c r="Y9" s="302" t="s">
        <v>314</v>
      </c>
      <c r="Z9" s="302" t="s">
        <v>287</v>
      </c>
      <c r="AA9" s="302"/>
      <c r="AB9" s="302"/>
      <c r="AC9" s="302" t="s">
        <v>312</v>
      </c>
      <c r="AD9" s="302" t="s">
        <v>262</v>
      </c>
      <c r="AE9" s="302" t="s">
        <v>272</v>
      </c>
      <c r="AF9" s="302" t="s">
        <v>288</v>
      </c>
      <c r="AG9" s="302"/>
      <c r="AH9" s="302"/>
      <c r="AI9" s="302"/>
      <c r="AJ9" s="317" t="s">
        <v>289</v>
      </c>
      <c r="AK9" s="317"/>
      <c r="AL9" s="302" t="s">
        <v>290</v>
      </c>
      <c r="AM9" s="302" t="s">
        <v>266</v>
      </c>
      <c r="AN9" s="302" t="s">
        <v>291</v>
      </c>
      <c r="AO9" s="316" t="s">
        <v>302</v>
      </c>
      <c r="AP9" s="301" t="s">
        <v>315</v>
      </c>
      <c r="AQ9" s="302" t="s">
        <v>314</v>
      </c>
      <c r="AR9" s="302" t="s">
        <v>287</v>
      </c>
      <c r="AS9" s="302"/>
      <c r="AT9" s="302"/>
      <c r="AU9" s="302" t="s">
        <v>312</v>
      </c>
      <c r="AV9" s="302" t="s">
        <v>262</v>
      </c>
      <c r="AW9" s="302" t="s">
        <v>272</v>
      </c>
      <c r="AX9" s="302" t="s">
        <v>288</v>
      </c>
      <c r="AY9" s="302"/>
      <c r="AZ9" s="302"/>
      <c r="BA9" s="302"/>
      <c r="BB9" s="317" t="s">
        <v>289</v>
      </c>
      <c r="BC9" s="317"/>
      <c r="BD9" s="302" t="s">
        <v>290</v>
      </c>
      <c r="BE9" s="302" t="s">
        <v>266</v>
      </c>
      <c r="BF9" s="302" t="s">
        <v>291</v>
      </c>
      <c r="BG9" s="316" t="s">
        <v>302</v>
      </c>
    </row>
    <row r="10" spans="1:59" ht="24" customHeight="1" x14ac:dyDescent="0.3">
      <c r="A10" s="6"/>
      <c r="B10" s="323"/>
      <c r="C10" s="323"/>
      <c r="D10" s="323"/>
      <c r="E10" s="325"/>
      <c r="F10" s="265"/>
      <c r="G10" s="269"/>
      <c r="H10" s="269" t="s">
        <v>292</v>
      </c>
      <c r="I10" s="269" t="s">
        <v>293</v>
      </c>
      <c r="J10" s="269"/>
      <c r="K10" s="269"/>
      <c r="L10" s="269"/>
      <c r="M10" s="269"/>
      <c r="N10" s="269" t="s">
        <v>292</v>
      </c>
      <c r="O10" s="269" t="s">
        <v>294</v>
      </c>
      <c r="P10" s="269"/>
      <c r="Q10" s="269"/>
      <c r="R10" s="318"/>
      <c r="S10" s="318"/>
      <c r="T10" s="269"/>
      <c r="U10" s="269"/>
      <c r="V10" s="269"/>
      <c r="W10" s="269"/>
      <c r="X10" s="265"/>
      <c r="Y10" s="269"/>
      <c r="Z10" s="269" t="s">
        <v>292</v>
      </c>
      <c r="AA10" s="269" t="s">
        <v>293</v>
      </c>
      <c r="AB10" s="269"/>
      <c r="AC10" s="269"/>
      <c r="AD10" s="269"/>
      <c r="AE10" s="269"/>
      <c r="AF10" s="269" t="s">
        <v>292</v>
      </c>
      <c r="AG10" s="269" t="s">
        <v>294</v>
      </c>
      <c r="AH10" s="269"/>
      <c r="AI10" s="269"/>
      <c r="AJ10" s="318"/>
      <c r="AK10" s="318"/>
      <c r="AL10" s="269"/>
      <c r="AM10" s="269"/>
      <c r="AN10" s="269"/>
      <c r="AO10" s="269"/>
      <c r="AP10" s="265"/>
      <c r="AQ10" s="269"/>
      <c r="AR10" s="269" t="s">
        <v>292</v>
      </c>
      <c r="AS10" s="269" t="s">
        <v>293</v>
      </c>
      <c r="AT10" s="269"/>
      <c r="AU10" s="269"/>
      <c r="AV10" s="269"/>
      <c r="AW10" s="269"/>
      <c r="AX10" s="269" t="s">
        <v>292</v>
      </c>
      <c r="AY10" s="269" t="s">
        <v>294</v>
      </c>
      <c r="AZ10" s="269"/>
      <c r="BA10" s="269"/>
      <c r="BB10" s="318"/>
      <c r="BC10" s="318"/>
      <c r="BD10" s="269"/>
      <c r="BE10" s="269"/>
      <c r="BF10" s="269"/>
      <c r="BG10" s="269"/>
    </row>
    <row r="11" spans="1:59" ht="82.5" customHeight="1" x14ac:dyDescent="0.3">
      <c r="A11" s="6"/>
      <c r="B11" s="323"/>
      <c r="C11" s="323"/>
      <c r="D11" s="323"/>
      <c r="E11" s="325"/>
      <c r="F11" s="302"/>
      <c r="G11" s="269"/>
      <c r="H11" s="269"/>
      <c r="I11" s="81" t="s">
        <v>259</v>
      </c>
      <c r="J11" s="81" t="s">
        <v>260</v>
      </c>
      <c r="K11" s="269"/>
      <c r="L11" s="269"/>
      <c r="M11" s="269"/>
      <c r="N11" s="269"/>
      <c r="O11" s="81" t="s">
        <v>264</v>
      </c>
      <c r="P11" s="81" t="s">
        <v>303</v>
      </c>
      <c r="Q11" s="81" t="s">
        <v>260</v>
      </c>
      <c r="R11" s="84" t="s">
        <v>316</v>
      </c>
      <c r="S11" s="81" t="s">
        <v>295</v>
      </c>
      <c r="T11" s="269"/>
      <c r="U11" s="269"/>
      <c r="V11" s="269"/>
      <c r="W11" s="269"/>
      <c r="X11" s="302"/>
      <c r="Y11" s="269"/>
      <c r="Z11" s="269"/>
      <c r="AA11" s="81" t="s">
        <v>259</v>
      </c>
      <c r="AB11" s="81" t="s">
        <v>260</v>
      </c>
      <c r="AC11" s="269"/>
      <c r="AD11" s="269"/>
      <c r="AE11" s="269"/>
      <c r="AF11" s="269"/>
      <c r="AG11" s="81" t="s">
        <v>264</v>
      </c>
      <c r="AH11" s="81" t="s">
        <v>303</v>
      </c>
      <c r="AI11" s="81" t="s">
        <v>260</v>
      </c>
      <c r="AJ11" s="84" t="s">
        <v>316</v>
      </c>
      <c r="AK11" s="81" t="s">
        <v>295</v>
      </c>
      <c r="AL11" s="269"/>
      <c r="AM11" s="269"/>
      <c r="AN11" s="269"/>
      <c r="AO11" s="269"/>
      <c r="AP11" s="302"/>
      <c r="AQ11" s="269"/>
      <c r="AR11" s="269"/>
      <c r="AS11" s="81" t="s">
        <v>259</v>
      </c>
      <c r="AT11" s="81" t="s">
        <v>260</v>
      </c>
      <c r="AU11" s="269"/>
      <c r="AV11" s="269"/>
      <c r="AW11" s="269"/>
      <c r="AX11" s="269"/>
      <c r="AY11" s="81" t="s">
        <v>264</v>
      </c>
      <c r="AZ11" s="81" t="s">
        <v>303</v>
      </c>
      <c r="BA11" s="81" t="s">
        <v>260</v>
      </c>
      <c r="BB11" s="84" t="s">
        <v>316</v>
      </c>
      <c r="BC11" s="81" t="s">
        <v>295</v>
      </c>
      <c r="BD11" s="269"/>
      <c r="BE11" s="269"/>
      <c r="BF11" s="269"/>
      <c r="BG11" s="269"/>
    </row>
    <row r="12" spans="1:59" ht="67.5" customHeight="1" thickBot="1" x14ac:dyDescent="0.35">
      <c r="A12" s="45"/>
      <c r="B12" s="46">
        <v>1</v>
      </c>
      <c r="C12" s="46">
        <v>2</v>
      </c>
      <c r="D12" s="46">
        <v>3</v>
      </c>
      <c r="E12" s="46">
        <v>4</v>
      </c>
      <c r="F12" s="46"/>
      <c r="G12" s="46">
        <v>5</v>
      </c>
      <c r="H12" s="46">
        <v>6</v>
      </c>
      <c r="I12" s="46">
        <v>7</v>
      </c>
      <c r="J12" s="46">
        <v>8</v>
      </c>
      <c r="K12" s="46">
        <v>9</v>
      </c>
      <c r="L12" s="46">
        <v>10</v>
      </c>
      <c r="M12" s="46">
        <v>11</v>
      </c>
      <c r="N12" s="46">
        <v>12</v>
      </c>
      <c r="O12" s="46">
        <v>13</v>
      </c>
      <c r="P12" s="46">
        <v>14</v>
      </c>
      <c r="Q12" s="46">
        <v>15</v>
      </c>
      <c r="R12" s="46"/>
      <c r="S12" s="46"/>
      <c r="T12" s="81" t="s">
        <v>304</v>
      </c>
      <c r="U12" s="81">
        <v>17</v>
      </c>
      <c r="V12" s="81" t="s">
        <v>305</v>
      </c>
      <c r="W12" s="77" t="s">
        <v>306</v>
      </c>
      <c r="X12" s="77"/>
      <c r="Y12" s="46">
        <v>5</v>
      </c>
      <c r="Z12" s="46">
        <v>6</v>
      </c>
      <c r="AA12" s="46">
        <v>7</v>
      </c>
      <c r="AB12" s="46">
        <v>8</v>
      </c>
      <c r="AC12" s="46">
        <v>9</v>
      </c>
      <c r="AD12" s="46">
        <v>10</v>
      </c>
      <c r="AE12" s="46">
        <v>11</v>
      </c>
      <c r="AF12" s="46">
        <v>12</v>
      </c>
      <c r="AG12" s="46">
        <v>13</v>
      </c>
      <c r="AH12" s="46">
        <v>14</v>
      </c>
      <c r="AI12" s="46">
        <v>15</v>
      </c>
      <c r="AJ12" s="46"/>
      <c r="AK12" s="46"/>
      <c r="AL12" s="81" t="s">
        <v>304</v>
      </c>
      <c r="AM12" s="81">
        <v>17</v>
      </c>
      <c r="AN12" s="81" t="s">
        <v>305</v>
      </c>
      <c r="AO12" s="77" t="s">
        <v>306</v>
      </c>
      <c r="AP12" s="77"/>
      <c r="AQ12" s="46">
        <v>5</v>
      </c>
      <c r="AR12" s="46">
        <v>6</v>
      </c>
      <c r="AS12" s="46">
        <v>7</v>
      </c>
      <c r="AT12" s="46">
        <v>8</v>
      </c>
      <c r="AU12" s="46">
        <v>9</v>
      </c>
      <c r="AV12" s="46">
        <v>10</v>
      </c>
      <c r="AW12" s="46">
        <v>11</v>
      </c>
      <c r="AX12" s="46">
        <v>12</v>
      </c>
      <c r="AY12" s="46">
        <v>13</v>
      </c>
      <c r="AZ12" s="46">
        <v>14</v>
      </c>
      <c r="BA12" s="46">
        <v>15</v>
      </c>
      <c r="BB12" s="46"/>
      <c r="BC12" s="46"/>
      <c r="BD12" s="81" t="s">
        <v>304</v>
      </c>
      <c r="BE12" s="81">
        <v>17</v>
      </c>
      <c r="BF12" s="81" t="s">
        <v>305</v>
      </c>
      <c r="BG12" s="77" t="s">
        <v>306</v>
      </c>
    </row>
    <row r="13" spans="1:59" ht="15" hidden="1" customHeight="1" x14ac:dyDescent="0.3">
      <c r="A13" s="6"/>
      <c r="B13" s="47"/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8"/>
      <c r="R13" s="48"/>
      <c r="S13" s="48"/>
      <c r="T13" s="78"/>
      <c r="U13" s="78"/>
      <c r="V13" s="79"/>
      <c r="W13" s="78"/>
      <c r="X13" s="78"/>
      <c r="Y13" s="47"/>
      <c r="Z13" s="47"/>
      <c r="AA13" s="47"/>
      <c r="AB13" s="47"/>
      <c r="AC13" s="47"/>
      <c r="AD13" s="47"/>
      <c r="AE13" s="47"/>
      <c r="AF13" s="47"/>
      <c r="AG13" s="47"/>
      <c r="AH13" s="47"/>
      <c r="AI13" s="48"/>
      <c r="AJ13" s="48"/>
      <c r="AK13" s="48"/>
      <c r="AL13" s="78"/>
      <c r="AM13" s="78"/>
      <c r="AN13" s="79"/>
      <c r="AO13" s="78"/>
      <c r="AP13" s="78"/>
      <c r="AQ13" s="47"/>
      <c r="AR13" s="47"/>
      <c r="AS13" s="47"/>
      <c r="AT13" s="47"/>
      <c r="AU13" s="47"/>
      <c r="AV13" s="47"/>
      <c r="AW13" s="47"/>
      <c r="AX13" s="47"/>
      <c r="AY13" s="47"/>
      <c r="AZ13" s="47"/>
      <c r="BA13" s="48"/>
      <c r="BB13" s="48"/>
      <c r="BC13" s="48"/>
      <c r="BD13" s="78"/>
      <c r="BE13" s="78"/>
      <c r="BF13" s="79"/>
      <c r="BG13" s="78"/>
    </row>
    <row r="14" spans="1:59" s="54" customFormat="1" ht="15.6" x14ac:dyDescent="0.3">
      <c r="A14" s="49" t="s">
        <v>1</v>
      </c>
      <c r="B14" s="50" t="s">
        <v>2</v>
      </c>
      <c r="C14" s="51" t="s">
        <v>3</v>
      </c>
      <c r="D14" s="51"/>
      <c r="E14" s="52"/>
      <c r="F14" s="53" t="e">
        <f>F16+F35+F47+F54+F62+F77+F84+F97+F107</f>
        <v>#NAME?</v>
      </c>
      <c r="G14" s="53" t="e">
        <f t="shared" ref="G14:Q14" si="0">G16+G35+G47+G54+G62+G77+G84+G97+G107</f>
        <v>#NAME?</v>
      </c>
      <c r="H14" s="53" t="e">
        <f t="shared" si="0"/>
        <v>#NAME?</v>
      </c>
      <c r="I14" s="53" t="e">
        <f t="shared" si="0"/>
        <v>#NAME?</v>
      </c>
      <c r="J14" s="53" t="e">
        <f t="shared" si="0"/>
        <v>#NAME?</v>
      </c>
      <c r="K14" s="53" t="e">
        <f t="shared" si="0"/>
        <v>#NAME?</v>
      </c>
      <c r="L14" s="53" t="e">
        <f t="shared" si="0"/>
        <v>#NAME?</v>
      </c>
      <c r="M14" s="53" t="e">
        <f t="shared" si="0"/>
        <v>#NAME?</v>
      </c>
      <c r="N14" s="53" t="e">
        <f t="shared" si="0"/>
        <v>#NAME?</v>
      </c>
      <c r="O14" s="53" t="e">
        <f t="shared" si="0"/>
        <v>#NAME?</v>
      </c>
      <c r="P14" s="53" t="e">
        <f t="shared" si="0"/>
        <v>#NAME?</v>
      </c>
      <c r="Q14" s="53" t="e">
        <f t="shared" si="0"/>
        <v>#NAME?</v>
      </c>
      <c r="R14" s="53" t="e">
        <f>IF(F14+G14=0," ",O14/(F14+G14+M14)*100)</f>
        <v>#NAME?</v>
      </c>
      <c r="S14" s="53" t="e">
        <f>IF(J14=0," ",Q14/J14*100)</f>
        <v>#NAME?</v>
      </c>
      <c r="T14" s="53" t="e">
        <f>IF(N14=0,0,Q14/N14*100)</f>
        <v>#NAME?</v>
      </c>
      <c r="U14" s="53" t="e">
        <f>U16+U35+U47+U54+U62+U77+U84+U97+U107</f>
        <v>#NAME?</v>
      </c>
      <c r="V14" s="53" t="e">
        <f t="shared" ref="V14:AI14" si="1">V16+V35+V47+V54+V62+V77+V84+V97+V107</f>
        <v>#NAME?</v>
      </c>
      <c r="W14" s="53" t="e">
        <f t="shared" si="1"/>
        <v>#NAME?</v>
      </c>
      <c r="X14" s="53" t="e">
        <f t="shared" si="1"/>
        <v>#NAME?</v>
      </c>
      <c r="Y14" s="53" t="e">
        <f t="shared" si="1"/>
        <v>#NAME?</v>
      </c>
      <c r="Z14" s="53" t="e">
        <f t="shared" si="1"/>
        <v>#NAME?</v>
      </c>
      <c r="AA14" s="53" t="e">
        <f t="shared" si="1"/>
        <v>#NAME?</v>
      </c>
      <c r="AB14" s="53" t="e">
        <f t="shared" si="1"/>
        <v>#NAME?</v>
      </c>
      <c r="AC14" s="53" t="e">
        <f t="shared" si="1"/>
        <v>#NAME?</v>
      </c>
      <c r="AD14" s="53" t="e">
        <f t="shared" si="1"/>
        <v>#NAME?</v>
      </c>
      <c r="AE14" s="53" t="e">
        <f t="shared" si="1"/>
        <v>#NAME?</v>
      </c>
      <c r="AF14" s="53" t="e">
        <f t="shared" si="1"/>
        <v>#NAME?</v>
      </c>
      <c r="AG14" s="53" t="e">
        <f t="shared" si="1"/>
        <v>#NAME?</v>
      </c>
      <c r="AH14" s="53" t="e">
        <f t="shared" si="1"/>
        <v>#NAME?</v>
      </c>
      <c r="AI14" s="53" t="e">
        <f t="shared" si="1"/>
        <v>#NAME?</v>
      </c>
      <c r="AJ14" s="53" t="e">
        <f>IF(X14+Y14=0," ",AG14/(X14+Y14+AE14)*100)</f>
        <v>#NAME?</v>
      </c>
      <c r="AK14" s="53" t="e">
        <f>IF(AB14=0," ",AI14/AB14*100)</f>
        <v>#NAME?</v>
      </c>
      <c r="AL14" s="53" t="e">
        <f>IF(AF14=0,0,AI14/AF14*100)</f>
        <v>#NAME?</v>
      </c>
      <c r="AM14" s="53" t="e">
        <f>AM16+AM35+AM47+AM54+AM62+AM77+AM84+AM97+AM107</f>
        <v>#NAME?</v>
      </c>
      <c r="AN14" s="53" t="e">
        <f t="shared" ref="AN14:BA14" si="2">AN16+AN35+AN47+AN54+AN62+AN77+AN84+AN97+AN107</f>
        <v>#NAME?</v>
      </c>
      <c r="AO14" s="53" t="e">
        <f t="shared" si="2"/>
        <v>#NAME?</v>
      </c>
      <c r="AP14" s="53" t="e">
        <f t="shared" si="2"/>
        <v>#NAME?</v>
      </c>
      <c r="AQ14" s="53" t="e">
        <f t="shared" si="2"/>
        <v>#NAME?</v>
      </c>
      <c r="AR14" s="53" t="e">
        <f t="shared" si="2"/>
        <v>#NAME?</v>
      </c>
      <c r="AS14" s="53" t="e">
        <f t="shared" si="2"/>
        <v>#NAME?</v>
      </c>
      <c r="AT14" s="53" t="e">
        <f t="shared" si="2"/>
        <v>#NAME?</v>
      </c>
      <c r="AU14" s="53" t="e">
        <f t="shared" si="2"/>
        <v>#NAME?</v>
      </c>
      <c r="AV14" s="53" t="e">
        <f t="shared" si="2"/>
        <v>#NAME?</v>
      </c>
      <c r="AW14" s="53" t="e">
        <f t="shared" si="2"/>
        <v>#NAME?</v>
      </c>
      <c r="AX14" s="53" t="e">
        <f t="shared" si="2"/>
        <v>#NAME?</v>
      </c>
      <c r="AY14" s="53" t="e">
        <f t="shared" si="2"/>
        <v>#NAME?</v>
      </c>
      <c r="AZ14" s="53" t="e">
        <f t="shared" si="2"/>
        <v>#NAME?</v>
      </c>
      <c r="BA14" s="53" t="e">
        <f t="shared" si="2"/>
        <v>#NAME?</v>
      </c>
      <c r="BB14" s="53" t="e">
        <f>IF(AP14+AQ14=0," ",AY14/(AP14+AQ14+AW14)*100)</f>
        <v>#NAME?</v>
      </c>
      <c r="BC14" s="53" t="e">
        <f>IF(AT14=0," ",BA14/AT14*100)</f>
        <v>#NAME?</v>
      </c>
      <c r="BD14" s="53" t="e">
        <f>IF(AX14=0,0,BA14/AX14*100)</f>
        <v>#NAME?</v>
      </c>
      <c r="BE14" s="53" t="e">
        <f>BE16+BE35+BE47+BE54+BE62+BE77+BE84+BE97+BE107</f>
        <v>#NAME?</v>
      </c>
      <c r="BF14" s="53" t="e">
        <f>BF16+BF35+BF47+BF54+BF62+BF77+BF84+BF97+BF107</f>
        <v>#NAME?</v>
      </c>
      <c r="BG14" s="53" t="e">
        <f>BG16+BG35+BG47+BG54+BG62+BG77+BG84+BG97+BG107</f>
        <v>#NAME?</v>
      </c>
    </row>
    <row r="15" spans="1:59" s="54" customFormat="1" ht="31.2" x14ac:dyDescent="0.3">
      <c r="A15" s="49"/>
      <c r="B15" s="50"/>
      <c r="C15" s="55" t="s">
        <v>296</v>
      </c>
      <c r="D15" s="51"/>
      <c r="E15" s="52"/>
      <c r="F15" s="52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80"/>
      <c r="X15" s="80"/>
      <c r="Y15" s="53"/>
      <c r="Z15" s="53"/>
      <c r="AA15" s="8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80"/>
      <c r="AP15" s="80"/>
      <c r="AQ15" s="53"/>
      <c r="AR15" s="53"/>
      <c r="AS15" s="83"/>
      <c r="AT15" s="53"/>
      <c r="AU15" s="53"/>
      <c r="AV15" s="53"/>
      <c r="AW15" s="53"/>
      <c r="AX15" s="53"/>
      <c r="AY15" s="53"/>
      <c r="AZ15" s="53"/>
      <c r="BA15" s="53"/>
      <c r="BB15" s="53"/>
      <c r="BC15" s="53"/>
      <c r="BD15" s="53"/>
      <c r="BE15" s="53"/>
      <c r="BF15" s="53"/>
      <c r="BG15" s="80"/>
    </row>
    <row r="16" spans="1:59" s="62" customFormat="1" ht="15.6" x14ac:dyDescent="0.3">
      <c r="A16" s="56" t="s">
        <v>5</v>
      </c>
      <c r="B16" s="57" t="s">
        <v>6</v>
      </c>
      <c r="C16" s="58" t="s">
        <v>7</v>
      </c>
      <c r="D16" s="59"/>
      <c r="E16" s="60"/>
      <c r="F16" s="61" t="e">
        <f t="shared" ref="F16:Q16" si="3">SUM(F17:F34)</f>
        <v>#NAME?</v>
      </c>
      <c r="G16" s="61" t="e">
        <f t="shared" si="3"/>
        <v>#NAME?</v>
      </c>
      <c r="H16" s="61" t="e">
        <f t="shared" si="3"/>
        <v>#NAME?</v>
      </c>
      <c r="I16" s="61" t="e">
        <f t="shared" si="3"/>
        <v>#NAME?</v>
      </c>
      <c r="J16" s="61" t="e">
        <f t="shared" si="3"/>
        <v>#NAME?</v>
      </c>
      <c r="K16" s="61" t="e">
        <f t="shared" si="3"/>
        <v>#NAME?</v>
      </c>
      <c r="L16" s="61" t="e">
        <f t="shared" si="3"/>
        <v>#NAME?</v>
      </c>
      <c r="M16" s="61" t="e">
        <f>SUM(M17:M34)</f>
        <v>#NAME?</v>
      </c>
      <c r="N16" s="61" t="e">
        <f t="shared" si="3"/>
        <v>#NAME?</v>
      </c>
      <c r="O16" s="61" t="e">
        <f t="shared" si="3"/>
        <v>#NAME?</v>
      </c>
      <c r="P16" s="61" t="e">
        <f t="shared" si="3"/>
        <v>#NAME?</v>
      </c>
      <c r="Q16" s="61" t="e">
        <f t="shared" si="3"/>
        <v>#NAME?</v>
      </c>
      <c r="R16" s="61" t="e">
        <f>IF(F16+G16=0," ",O16/(F16+G16+M16)*100)</f>
        <v>#NAME?</v>
      </c>
      <c r="S16" s="61" t="e">
        <f t="shared" ref="S16:S79" si="4">IF(J16=0," ",Q16/J16*100)</f>
        <v>#NAME?</v>
      </c>
      <c r="T16" s="61" t="e">
        <f t="shared" ref="T16:T79" si="5">IF(N16=0,0,Q16/N16*100)</f>
        <v>#NAME?</v>
      </c>
      <c r="U16" s="61" t="e">
        <f>SUM(U17:U34)</f>
        <v>#NAME?</v>
      </c>
      <c r="V16" s="61" t="e">
        <f>SUM(V17:V34)</f>
        <v>#NAME?</v>
      </c>
      <c r="W16" s="61" t="e">
        <f>SUM(W17:W34)</f>
        <v>#NAME?</v>
      </c>
      <c r="X16" s="61" t="e">
        <f t="shared" ref="X16:AD16" si="6">SUM(X17:X34)</f>
        <v>#NAME?</v>
      </c>
      <c r="Y16" s="61" t="e">
        <f t="shared" si="6"/>
        <v>#NAME?</v>
      </c>
      <c r="Z16" s="61" t="e">
        <f t="shared" si="6"/>
        <v>#NAME?</v>
      </c>
      <c r="AA16" s="61" t="e">
        <f t="shared" si="6"/>
        <v>#NAME?</v>
      </c>
      <c r="AB16" s="61" t="e">
        <f t="shared" si="6"/>
        <v>#NAME?</v>
      </c>
      <c r="AC16" s="61" t="e">
        <f t="shared" si="6"/>
        <v>#NAME?</v>
      </c>
      <c r="AD16" s="61" t="e">
        <f t="shared" si="6"/>
        <v>#NAME?</v>
      </c>
      <c r="AE16" s="61" t="e">
        <f>SUM(AE17:AE34)</f>
        <v>#NAME?</v>
      </c>
      <c r="AF16" s="61" t="e">
        <f>SUM(AF17:AF34)</f>
        <v>#NAME?</v>
      </c>
      <c r="AG16" s="61" t="e">
        <f>SUM(AG17:AG34)</f>
        <v>#NAME?</v>
      </c>
      <c r="AH16" s="61" t="e">
        <f>SUM(AH17:AH34)</f>
        <v>#NAME?</v>
      </c>
      <c r="AI16" s="61" t="e">
        <f>SUM(AI17:AI34)</f>
        <v>#NAME?</v>
      </c>
      <c r="AJ16" s="61" t="e">
        <f>IF(X16+Y16=0," ",AG16/(X16+Y16+AE16)*100)</f>
        <v>#NAME?</v>
      </c>
      <c r="AK16" s="61" t="e">
        <f t="shared" ref="AK16:AK79" si="7">IF(AB16=0," ",AI16/AB16*100)</f>
        <v>#NAME?</v>
      </c>
      <c r="AL16" s="61" t="e">
        <f t="shared" ref="AL16:AL79" si="8">IF(AF16=0,0,AI16/AF16*100)</f>
        <v>#NAME?</v>
      </c>
      <c r="AM16" s="61" t="e">
        <f>SUM(AM17:AM34)</f>
        <v>#NAME?</v>
      </c>
      <c r="AN16" s="61" t="e">
        <f>SUM(AN17:AN34)</f>
        <v>#NAME?</v>
      </c>
      <c r="AO16" s="61" t="e">
        <f>SUM(AO17:AO34)</f>
        <v>#NAME?</v>
      </c>
      <c r="AP16" s="61" t="e">
        <f>SUM(AP17:AP34)</f>
        <v>#NAME?</v>
      </c>
      <c r="AQ16" s="61" t="e">
        <f t="shared" ref="AQ16:AV16" si="9">SUM(AQ17:AQ34)</f>
        <v>#NAME?</v>
      </c>
      <c r="AR16" s="61" t="e">
        <f t="shared" si="9"/>
        <v>#NAME?</v>
      </c>
      <c r="AS16" s="61" t="e">
        <f t="shared" si="9"/>
        <v>#NAME?</v>
      </c>
      <c r="AT16" s="61" t="e">
        <f t="shared" si="9"/>
        <v>#NAME?</v>
      </c>
      <c r="AU16" s="61" t="e">
        <f t="shared" si="9"/>
        <v>#NAME?</v>
      </c>
      <c r="AV16" s="61" t="e">
        <f t="shared" si="9"/>
        <v>#NAME?</v>
      </c>
      <c r="AW16" s="61" t="e">
        <f>SUM(AW17:AW34)</f>
        <v>#NAME?</v>
      </c>
      <c r="AX16" s="61" t="e">
        <f>SUM(AX17:AX34)</f>
        <v>#NAME?</v>
      </c>
      <c r="AY16" s="61" t="e">
        <f>SUM(AY17:AY34)</f>
        <v>#NAME?</v>
      </c>
      <c r="AZ16" s="61" t="e">
        <f>SUM(AZ17:AZ34)</f>
        <v>#NAME?</v>
      </c>
      <c r="BA16" s="61" t="e">
        <f>SUM(BA17:BA34)</f>
        <v>#NAME?</v>
      </c>
      <c r="BB16" s="61" t="e">
        <f>IF(AP16+AQ16=0," ",AY16/(AP16+AQ16+AW16)*100)</f>
        <v>#NAME?</v>
      </c>
      <c r="BC16" s="61" t="e">
        <f t="shared" ref="BC16:BC79" si="10">IF(AT16=0," ",BA16/AT16*100)</f>
        <v>#NAME?</v>
      </c>
      <c r="BD16" s="61" t="e">
        <f t="shared" ref="BD16:BD79" si="11">IF(AX16=0,0,BA16/AX16*100)</f>
        <v>#NAME?</v>
      </c>
      <c r="BE16" s="61" t="e">
        <f>SUM(BE17:BE34)</f>
        <v>#NAME?</v>
      </c>
      <c r="BF16" s="61" t="e">
        <f>SUM(BF17:BF34)</f>
        <v>#NAME?</v>
      </c>
      <c r="BG16" s="61" t="e">
        <f>SUM(BG17:BG34)</f>
        <v>#NAME?</v>
      </c>
    </row>
    <row r="17" spans="1:59" ht="15.6" x14ac:dyDescent="0.3">
      <c r="A17" s="8" t="s">
        <v>8</v>
      </c>
      <c r="B17" s="11" t="s">
        <v>9</v>
      </c>
      <c r="C17" s="63" t="s">
        <v>10</v>
      </c>
      <c r="D17" s="64"/>
      <c r="E17" s="65"/>
      <c r="F17" s="66" t="e">
        <f>X17+AP17</f>
        <v>#NAME?</v>
      </c>
      <c r="G17" s="66" t="e">
        <f>Y17+AQ17</f>
        <v>#NAME?</v>
      </c>
      <c r="H17" s="66" t="e">
        <f>I17+J17</f>
        <v>#NAME?</v>
      </c>
      <c r="I17" s="66" t="e">
        <f>AA17+AS17</f>
        <v>#NAME?</v>
      </c>
      <c r="J17" s="66" t="e">
        <f>AB17+AT17</f>
        <v>#NAME?</v>
      </c>
      <c r="K17" s="66" t="e">
        <f>AC17+AU17</f>
        <v>#NAME?</v>
      </c>
      <c r="L17" s="66" t="e">
        <f>AD17+AV17</f>
        <v>#NAME?</v>
      </c>
      <c r="M17" s="66" t="e">
        <f>AE17+AW17</f>
        <v>#NAME?</v>
      </c>
      <c r="N17" s="66" t="e">
        <f>O17+Q17</f>
        <v>#NAME?</v>
      </c>
      <c r="O17" s="66" t="e">
        <f>AG17+AY17</f>
        <v>#NAME?</v>
      </c>
      <c r="P17" s="66" t="e">
        <f>AH17+AZ17</f>
        <v>#NAME?</v>
      </c>
      <c r="Q17" s="66" t="e">
        <f>AI17+BA17</f>
        <v>#NAME?</v>
      </c>
      <c r="R17" s="67" t="e">
        <f>IF(F17+G17=0," ",O17/(F17+G17+M17)*100)</f>
        <v>#NAME?</v>
      </c>
      <c r="S17" s="67" t="e">
        <f t="shared" si="4"/>
        <v>#NAME?</v>
      </c>
      <c r="T17" s="67" t="e">
        <f t="shared" si="5"/>
        <v>#NAME?</v>
      </c>
      <c r="U17" s="67" t="e">
        <f>AM17+BE17</f>
        <v>#NAME?</v>
      </c>
      <c r="V17" s="67" t="e">
        <f>(G17+K17+L17-O17-U17)</f>
        <v>#NAME?</v>
      </c>
      <c r="W17" s="67" t="e">
        <f>(I17-O17)</f>
        <v>#NAME?</v>
      </c>
      <c r="X17" s="66" t="e">
        <f t="shared" ref="X17:X34" si="12">КОЛ4020/$G$1</f>
        <v>#NAME?</v>
      </c>
      <c r="Y17" s="66" t="e">
        <f t="shared" ref="Y17:Y34" si="13">КОЛ4005/$G$1</f>
        <v>#NAME?</v>
      </c>
      <c r="Z17" s="66" t="e">
        <f>AA17+AB17</f>
        <v>#NAME?</v>
      </c>
      <c r="AA17" s="66" t="e">
        <f t="shared" ref="AA17:AA34" si="14">КОЛ4007/$G$1</f>
        <v>#NAME?</v>
      </c>
      <c r="AB17" s="66" t="e">
        <f t="shared" ref="AB17:AB34" si="15">КОЛ4008/$G$1</f>
        <v>#NAME?</v>
      </c>
      <c r="AC17" s="66" t="e">
        <f t="shared" ref="AC17:AC34" si="16">КОЛ4009/$G$1</f>
        <v>#NAME?</v>
      </c>
      <c r="AD17" s="66" t="e">
        <f t="shared" ref="AD17:AD34" si="17">КОЛ4010/$G$1</f>
        <v>#NAME?</v>
      </c>
      <c r="AE17" s="66" t="e">
        <f t="shared" ref="AE17:AE34" si="18">КОЛ4011/$G$1</f>
        <v>#NAME?</v>
      </c>
      <c r="AF17" s="66" t="e">
        <f>AG17+AI17</f>
        <v>#NAME?</v>
      </c>
      <c r="AG17" s="66" t="e">
        <f t="shared" ref="AG17:AG34" si="19">КОЛ4013/$G$1</f>
        <v>#NAME?</v>
      </c>
      <c r="AH17" s="66" t="e">
        <f t="shared" ref="AH17:AH34" si="20">КОЛ4014/$G$1</f>
        <v>#NAME?</v>
      </c>
      <c r="AI17" s="66" t="e">
        <f t="shared" ref="AI17:AI34" si="21">КОЛ4015/$G$1</f>
        <v>#NAME?</v>
      </c>
      <c r="AJ17" s="67" t="e">
        <f>IF(X17+Y17=0," ",AG17/(X17+Y17+AE17)*100)</f>
        <v>#NAME?</v>
      </c>
      <c r="AK17" s="67" t="e">
        <f t="shared" si="7"/>
        <v>#NAME?</v>
      </c>
      <c r="AL17" s="67" t="e">
        <f t="shared" si="8"/>
        <v>#NAME?</v>
      </c>
      <c r="AM17" s="67" t="e">
        <f t="shared" ref="AM17:AM34" si="22">КОЛ4017/$G$1</f>
        <v>#NAME?</v>
      </c>
      <c r="AN17" s="67" t="e">
        <f>(Y17+AC17+AD17-AG17-AM17)</f>
        <v>#NAME?</v>
      </c>
      <c r="AO17" s="67" t="e">
        <f>(AA17-AG17)</f>
        <v>#NAME?</v>
      </c>
      <c r="AP17" s="66" t="e">
        <f t="shared" ref="AP17:AP34" si="23">КОЛ4120/$G$1</f>
        <v>#NAME?</v>
      </c>
      <c r="AQ17" s="66" t="e">
        <f t="shared" ref="AQ17:AQ34" si="24">КОЛ4105/$G$1</f>
        <v>#NAME?</v>
      </c>
      <c r="AR17" s="66" t="e">
        <f>AS17+AT17</f>
        <v>#NAME?</v>
      </c>
      <c r="AS17" s="66" t="e">
        <f t="shared" ref="AS17:AS34" si="25">КОЛ4107/$G$1</f>
        <v>#NAME?</v>
      </c>
      <c r="AT17" s="66" t="e">
        <f t="shared" ref="AT17:AT34" si="26">КОЛ4108/$G$1</f>
        <v>#NAME?</v>
      </c>
      <c r="AU17" s="66" t="e">
        <f t="shared" ref="AU17:AU34" si="27">КОЛ4109/$G$1</f>
        <v>#NAME?</v>
      </c>
      <c r="AV17" s="66" t="e">
        <f t="shared" ref="AV17:AV34" si="28">КОЛ4110/$G$1</f>
        <v>#NAME?</v>
      </c>
      <c r="AW17" s="66" t="e">
        <f t="shared" ref="AW17:AW34" si="29">КОЛ4111/$G$1</f>
        <v>#NAME?</v>
      </c>
      <c r="AX17" s="66" t="e">
        <f>AY17+BA17</f>
        <v>#NAME?</v>
      </c>
      <c r="AY17" s="66" t="e">
        <f t="shared" ref="AY17:AY34" si="30">КОЛ4113/$G$1</f>
        <v>#NAME?</v>
      </c>
      <c r="AZ17" s="66" t="e">
        <f t="shared" ref="AZ17:AZ34" si="31">КОЛ4114/$G$1</f>
        <v>#NAME?</v>
      </c>
      <c r="BA17" s="66" t="e">
        <f t="shared" ref="BA17:BA34" si="32">КОЛ4115/$G$1</f>
        <v>#NAME?</v>
      </c>
      <c r="BB17" s="67" t="e">
        <f>IF(AP17+AQ17=0," ",AY17/(AP17+AQ17+AW17)*100)</f>
        <v>#NAME?</v>
      </c>
      <c r="BC17" s="67" t="e">
        <f t="shared" si="10"/>
        <v>#NAME?</v>
      </c>
      <c r="BD17" s="67" t="e">
        <f t="shared" si="11"/>
        <v>#NAME?</v>
      </c>
      <c r="BE17" s="67" t="e">
        <f t="shared" ref="BE17:BE34" si="33">КОЛ4117/$G$1</f>
        <v>#NAME?</v>
      </c>
      <c r="BF17" s="67" t="e">
        <f>(AQ17+AU17+AV17-AY17-BE17)</f>
        <v>#NAME?</v>
      </c>
      <c r="BG17" s="67" t="e">
        <f>(AS17-AY17)</f>
        <v>#NAME?</v>
      </c>
    </row>
    <row r="18" spans="1:59" ht="15.6" x14ac:dyDescent="0.3">
      <c r="A18" s="8" t="s">
        <v>11</v>
      </c>
      <c r="B18" s="11" t="s">
        <v>12</v>
      </c>
      <c r="C18" s="63" t="s">
        <v>13</v>
      </c>
      <c r="D18" s="64"/>
      <c r="E18" s="65"/>
      <c r="F18" s="66" t="e">
        <f t="shared" ref="F18:F34" si="34">X18+AP18</f>
        <v>#NAME?</v>
      </c>
      <c r="G18" s="66" t="e">
        <f t="shared" ref="G18:G34" si="35">Y18+AQ18</f>
        <v>#NAME?</v>
      </c>
      <c r="H18" s="66" t="e">
        <f t="shared" ref="H18:H34" si="36">I18+J18</f>
        <v>#NAME?</v>
      </c>
      <c r="I18" s="66" t="e">
        <f t="shared" ref="I18:I34" si="37">AA18+AS18</f>
        <v>#NAME?</v>
      </c>
      <c r="J18" s="66" t="e">
        <f t="shared" ref="J18:J34" si="38">AB18+AT18</f>
        <v>#NAME?</v>
      </c>
      <c r="K18" s="66" t="e">
        <f t="shared" ref="K18:K34" si="39">AC18+AU18</f>
        <v>#NAME?</v>
      </c>
      <c r="L18" s="66" t="e">
        <f t="shared" ref="L18:L34" si="40">AD18+AV18</f>
        <v>#NAME?</v>
      </c>
      <c r="M18" s="66" t="e">
        <f t="shared" ref="M18:M34" si="41">AE18+AW18</f>
        <v>#NAME?</v>
      </c>
      <c r="N18" s="66" t="e">
        <f t="shared" ref="N18:N34" si="42">O18+Q18</f>
        <v>#NAME?</v>
      </c>
      <c r="O18" s="66" t="e">
        <f t="shared" ref="O18:O34" si="43">AG18+AY18</f>
        <v>#NAME?</v>
      </c>
      <c r="P18" s="66" t="e">
        <f t="shared" ref="P18:P34" si="44">AH18+AZ18</f>
        <v>#NAME?</v>
      </c>
      <c r="Q18" s="66" t="e">
        <f t="shared" ref="Q18:Q34" si="45">AI18+BA18</f>
        <v>#NAME?</v>
      </c>
      <c r="R18" s="67" t="e">
        <f t="shared" ref="R18:R81" si="46">IF(F18+G18=0," ",O18/(F18+G18+M18)*100)</f>
        <v>#NAME?</v>
      </c>
      <c r="S18" s="67" t="e">
        <f t="shared" si="4"/>
        <v>#NAME?</v>
      </c>
      <c r="T18" s="67" t="e">
        <f t="shared" si="5"/>
        <v>#NAME?</v>
      </c>
      <c r="U18" s="67" t="e">
        <f t="shared" ref="U18:U34" si="47">AM18+BE18</f>
        <v>#NAME?</v>
      </c>
      <c r="V18" s="67" t="e">
        <f t="shared" ref="V18:V34" si="48">(G18+K18+L18-O18-U18)</f>
        <v>#NAME?</v>
      </c>
      <c r="W18" s="67" t="e">
        <f t="shared" ref="W18:W34" si="49">(I18-O18)</f>
        <v>#NAME?</v>
      </c>
      <c r="X18" s="66" t="e">
        <f t="shared" si="12"/>
        <v>#NAME?</v>
      </c>
      <c r="Y18" s="66" t="e">
        <f t="shared" si="13"/>
        <v>#NAME?</v>
      </c>
      <c r="Z18" s="66" t="e">
        <f t="shared" ref="Z18:Z34" si="50">AA18+AB18</f>
        <v>#NAME?</v>
      </c>
      <c r="AA18" s="66" t="e">
        <f t="shared" si="14"/>
        <v>#NAME?</v>
      </c>
      <c r="AB18" s="66" t="e">
        <f t="shared" si="15"/>
        <v>#NAME?</v>
      </c>
      <c r="AC18" s="66" t="e">
        <f t="shared" si="16"/>
        <v>#NAME?</v>
      </c>
      <c r="AD18" s="66" t="e">
        <f t="shared" si="17"/>
        <v>#NAME?</v>
      </c>
      <c r="AE18" s="66" t="e">
        <f t="shared" si="18"/>
        <v>#NAME?</v>
      </c>
      <c r="AF18" s="66" t="e">
        <f t="shared" ref="AF18:AF34" si="51">AG18+AI18</f>
        <v>#NAME?</v>
      </c>
      <c r="AG18" s="66" t="e">
        <f t="shared" si="19"/>
        <v>#NAME?</v>
      </c>
      <c r="AH18" s="66" t="e">
        <f t="shared" si="20"/>
        <v>#NAME?</v>
      </c>
      <c r="AI18" s="66" t="e">
        <f t="shared" si="21"/>
        <v>#NAME?</v>
      </c>
      <c r="AJ18" s="67" t="e">
        <f t="shared" ref="AJ18:AJ81" si="52">IF(X18+Y18=0," ",AG18/(X18+Y18+AE18)*100)</f>
        <v>#NAME?</v>
      </c>
      <c r="AK18" s="67" t="e">
        <f t="shared" si="7"/>
        <v>#NAME?</v>
      </c>
      <c r="AL18" s="67" t="e">
        <f t="shared" si="8"/>
        <v>#NAME?</v>
      </c>
      <c r="AM18" s="67" t="e">
        <f t="shared" si="22"/>
        <v>#NAME?</v>
      </c>
      <c r="AN18" s="67" t="e">
        <f t="shared" ref="AN18:AN34" si="53">(Y18+AC18+AD18-AG18-AM18)</f>
        <v>#NAME?</v>
      </c>
      <c r="AO18" s="67" t="e">
        <f t="shared" ref="AO18:AO34" si="54">(AA18-AG18)</f>
        <v>#NAME?</v>
      </c>
      <c r="AP18" s="66" t="e">
        <f t="shared" si="23"/>
        <v>#NAME?</v>
      </c>
      <c r="AQ18" s="66" t="e">
        <f t="shared" si="24"/>
        <v>#NAME?</v>
      </c>
      <c r="AR18" s="66" t="e">
        <f t="shared" ref="AR18:AR34" si="55">AS18+AT18</f>
        <v>#NAME?</v>
      </c>
      <c r="AS18" s="66" t="e">
        <f t="shared" si="25"/>
        <v>#NAME?</v>
      </c>
      <c r="AT18" s="66" t="e">
        <f t="shared" si="26"/>
        <v>#NAME?</v>
      </c>
      <c r="AU18" s="66" t="e">
        <f t="shared" si="27"/>
        <v>#NAME?</v>
      </c>
      <c r="AV18" s="66" t="e">
        <f t="shared" si="28"/>
        <v>#NAME?</v>
      </c>
      <c r="AW18" s="66" t="e">
        <f t="shared" si="29"/>
        <v>#NAME?</v>
      </c>
      <c r="AX18" s="66" t="e">
        <f t="shared" ref="AX18:AX34" si="56">AY18+BA18</f>
        <v>#NAME?</v>
      </c>
      <c r="AY18" s="66" t="e">
        <f t="shared" si="30"/>
        <v>#NAME?</v>
      </c>
      <c r="AZ18" s="66" t="e">
        <f t="shared" si="31"/>
        <v>#NAME?</v>
      </c>
      <c r="BA18" s="66" t="e">
        <f t="shared" si="32"/>
        <v>#NAME?</v>
      </c>
      <c r="BB18" s="67" t="e">
        <f t="shared" ref="BB18:BB81" si="57">IF(AP18+AQ18=0," ",AY18/(AP18+AQ18+AW18)*100)</f>
        <v>#NAME?</v>
      </c>
      <c r="BC18" s="67" t="e">
        <f t="shared" si="10"/>
        <v>#NAME?</v>
      </c>
      <c r="BD18" s="67" t="e">
        <f t="shared" si="11"/>
        <v>#NAME?</v>
      </c>
      <c r="BE18" s="67" t="e">
        <f t="shared" si="33"/>
        <v>#NAME?</v>
      </c>
      <c r="BF18" s="67" t="e">
        <f t="shared" ref="BF18:BF34" si="58">(AQ18+AU18+AV18-AY18-BE18)</f>
        <v>#NAME?</v>
      </c>
      <c r="BG18" s="67" t="e">
        <f t="shared" ref="BG18:BG34" si="59">(AS18-AY18)</f>
        <v>#NAME?</v>
      </c>
    </row>
    <row r="19" spans="1:59" ht="15.6" x14ac:dyDescent="0.3">
      <c r="A19" s="8" t="s">
        <v>14</v>
      </c>
      <c r="B19" s="11" t="s">
        <v>15</v>
      </c>
      <c r="C19" s="63" t="s">
        <v>16</v>
      </c>
      <c r="D19" s="64"/>
      <c r="E19" s="65"/>
      <c r="F19" s="66" t="e">
        <f t="shared" si="34"/>
        <v>#NAME?</v>
      </c>
      <c r="G19" s="66" t="e">
        <f t="shared" si="35"/>
        <v>#NAME?</v>
      </c>
      <c r="H19" s="66" t="e">
        <f t="shared" si="36"/>
        <v>#NAME?</v>
      </c>
      <c r="I19" s="66" t="e">
        <f t="shared" si="37"/>
        <v>#NAME?</v>
      </c>
      <c r="J19" s="66" t="e">
        <f t="shared" si="38"/>
        <v>#NAME?</v>
      </c>
      <c r="K19" s="66" t="e">
        <f t="shared" si="39"/>
        <v>#NAME?</v>
      </c>
      <c r="L19" s="66" t="e">
        <f t="shared" si="40"/>
        <v>#NAME?</v>
      </c>
      <c r="M19" s="66" t="e">
        <f t="shared" si="41"/>
        <v>#NAME?</v>
      </c>
      <c r="N19" s="66" t="e">
        <f t="shared" si="42"/>
        <v>#NAME?</v>
      </c>
      <c r="O19" s="66" t="e">
        <f t="shared" si="43"/>
        <v>#NAME?</v>
      </c>
      <c r="P19" s="66" t="e">
        <f t="shared" si="44"/>
        <v>#NAME?</v>
      </c>
      <c r="Q19" s="66" t="e">
        <f t="shared" si="45"/>
        <v>#NAME?</v>
      </c>
      <c r="R19" s="67" t="e">
        <f t="shared" si="46"/>
        <v>#NAME?</v>
      </c>
      <c r="S19" s="67" t="e">
        <f t="shared" si="4"/>
        <v>#NAME?</v>
      </c>
      <c r="T19" s="67" t="e">
        <f t="shared" si="5"/>
        <v>#NAME?</v>
      </c>
      <c r="U19" s="67" t="e">
        <f t="shared" si="47"/>
        <v>#NAME?</v>
      </c>
      <c r="V19" s="67" t="e">
        <f t="shared" si="48"/>
        <v>#NAME?</v>
      </c>
      <c r="W19" s="67" t="e">
        <f t="shared" si="49"/>
        <v>#NAME?</v>
      </c>
      <c r="X19" s="66" t="e">
        <f t="shared" si="12"/>
        <v>#NAME?</v>
      </c>
      <c r="Y19" s="66" t="e">
        <f t="shared" si="13"/>
        <v>#NAME?</v>
      </c>
      <c r="Z19" s="66" t="e">
        <f t="shared" si="50"/>
        <v>#NAME?</v>
      </c>
      <c r="AA19" s="66" t="e">
        <f t="shared" si="14"/>
        <v>#NAME?</v>
      </c>
      <c r="AB19" s="66" t="e">
        <f t="shared" si="15"/>
        <v>#NAME?</v>
      </c>
      <c r="AC19" s="66" t="e">
        <f t="shared" si="16"/>
        <v>#NAME?</v>
      </c>
      <c r="AD19" s="66" t="e">
        <f t="shared" si="17"/>
        <v>#NAME?</v>
      </c>
      <c r="AE19" s="66" t="e">
        <f t="shared" si="18"/>
        <v>#NAME?</v>
      </c>
      <c r="AF19" s="66" t="e">
        <f t="shared" si="51"/>
        <v>#NAME?</v>
      </c>
      <c r="AG19" s="66" t="e">
        <f t="shared" si="19"/>
        <v>#NAME?</v>
      </c>
      <c r="AH19" s="66" t="e">
        <f t="shared" si="20"/>
        <v>#NAME?</v>
      </c>
      <c r="AI19" s="66" t="e">
        <f t="shared" si="21"/>
        <v>#NAME?</v>
      </c>
      <c r="AJ19" s="67" t="e">
        <f t="shared" si="52"/>
        <v>#NAME?</v>
      </c>
      <c r="AK19" s="67" t="e">
        <f t="shared" si="7"/>
        <v>#NAME?</v>
      </c>
      <c r="AL19" s="67" t="e">
        <f t="shared" si="8"/>
        <v>#NAME?</v>
      </c>
      <c r="AM19" s="67" t="e">
        <f t="shared" si="22"/>
        <v>#NAME?</v>
      </c>
      <c r="AN19" s="67" t="e">
        <f t="shared" si="53"/>
        <v>#NAME?</v>
      </c>
      <c r="AO19" s="67" t="e">
        <f t="shared" si="54"/>
        <v>#NAME?</v>
      </c>
      <c r="AP19" s="66" t="e">
        <f t="shared" si="23"/>
        <v>#NAME?</v>
      </c>
      <c r="AQ19" s="66" t="e">
        <f t="shared" si="24"/>
        <v>#NAME?</v>
      </c>
      <c r="AR19" s="66" t="e">
        <f t="shared" si="55"/>
        <v>#NAME?</v>
      </c>
      <c r="AS19" s="66" t="e">
        <f t="shared" si="25"/>
        <v>#NAME?</v>
      </c>
      <c r="AT19" s="66" t="e">
        <f t="shared" si="26"/>
        <v>#NAME?</v>
      </c>
      <c r="AU19" s="66" t="e">
        <f t="shared" si="27"/>
        <v>#NAME?</v>
      </c>
      <c r="AV19" s="66" t="e">
        <f t="shared" si="28"/>
        <v>#NAME?</v>
      </c>
      <c r="AW19" s="66" t="e">
        <f t="shared" si="29"/>
        <v>#NAME?</v>
      </c>
      <c r="AX19" s="66" t="e">
        <f t="shared" si="56"/>
        <v>#NAME?</v>
      </c>
      <c r="AY19" s="66" t="e">
        <f t="shared" si="30"/>
        <v>#NAME?</v>
      </c>
      <c r="AZ19" s="66" t="e">
        <f t="shared" si="31"/>
        <v>#NAME?</v>
      </c>
      <c r="BA19" s="66" t="e">
        <f t="shared" si="32"/>
        <v>#NAME?</v>
      </c>
      <c r="BB19" s="67" t="e">
        <f t="shared" si="57"/>
        <v>#NAME?</v>
      </c>
      <c r="BC19" s="67" t="e">
        <f t="shared" si="10"/>
        <v>#NAME?</v>
      </c>
      <c r="BD19" s="67" t="e">
        <f t="shared" si="11"/>
        <v>#NAME?</v>
      </c>
      <c r="BE19" s="67" t="e">
        <f t="shared" si="33"/>
        <v>#NAME?</v>
      </c>
      <c r="BF19" s="67" t="e">
        <f t="shared" si="58"/>
        <v>#NAME?</v>
      </c>
      <c r="BG19" s="67" t="e">
        <f t="shared" si="59"/>
        <v>#NAME?</v>
      </c>
    </row>
    <row r="20" spans="1:59" ht="15.6" x14ac:dyDescent="0.3">
      <c r="A20" s="8" t="s">
        <v>17</v>
      </c>
      <c r="B20" s="11" t="s">
        <v>18</v>
      </c>
      <c r="C20" s="63" t="s">
        <v>19</v>
      </c>
      <c r="D20" s="64"/>
      <c r="E20" s="65"/>
      <c r="F20" s="66" t="e">
        <f t="shared" si="34"/>
        <v>#NAME?</v>
      </c>
      <c r="G20" s="66" t="e">
        <f t="shared" si="35"/>
        <v>#NAME?</v>
      </c>
      <c r="H20" s="66" t="e">
        <f t="shared" si="36"/>
        <v>#NAME?</v>
      </c>
      <c r="I20" s="66" t="e">
        <f t="shared" si="37"/>
        <v>#NAME?</v>
      </c>
      <c r="J20" s="66" t="e">
        <f t="shared" si="38"/>
        <v>#NAME?</v>
      </c>
      <c r="K20" s="66" t="e">
        <f t="shared" si="39"/>
        <v>#NAME?</v>
      </c>
      <c r="L20" s="66" t="e">
        <f t="shared" si="40"/>
        <v>#NAME?</v>
      </c>
      <c r="M20" s="66" t="e">
        <f t="shared" si="41"/>
        <v>#NAME?</v>
      </c>
      <c r="N20" s="66" t="e">
        <f t="shared" si="42"/>
        <v>#NAME?</v>
      </c>
      <c r="O20" s="66" t="e">
        <f t="shared" si="43"/>
        <v>#NAME?</v>
      </c>
      <c r="P20" s="66" t="e">
        <f t="shared" si="44"/>
        <v>#NAME?</v>
      </c>
      <c r="Q20" s="66" t="e">
        <f t="shared" si="45"/>
        <v>#NAME?</v>
      </c>
      <c r="R20" s="67" t="e">
        <f t="shared" si="46"/>
        <v>#NAME?</v>
      </c>
      <c r="S20" s="67" t="e">
        <f t="shared" si="4"/>
        <v>#NAME?</v>
      </c>
      <c r="T20" s="67" t="e">
        <f t="shared" si="5"/>
        <v>#NAME?</v>
      </c>
      <c r="U20" s="67" t="e">
        <f t="shared" si="47"/>
        <v>#NAME?</v>
      </c>
      <c r="V20" s="67" t="e">
        <f t="shared" si="48"/>
        <v>#NAME?</v>
      </c>
      <c r="W20" s="67" t="e">
        <f t="shared" si="49"/>
        <v>#NAME?</v>
      </c>
      <c r="X20" s="66" t="e">
        <f t="shared" si="12"/>
        <v>#NAME?</v>
      </c>
      <c r="Y20" s="66" t="e">
        <f t="shared" si="13"/>
        <v>#NAME?</v>
      </c>
      <c r="Z20" s="66" t="e">
        <f t="shared" si="50"/>
        <v>#NAME?</v>
      </c>
      <c r="AA20" s="66" t="e">
        <f t="shared" si="14"/>
        <v>#NAME?</v>
      </c>
      <c r="AB20" s="66" t="e">
        <f t="shared" si="15"/>
        <v>#NAME?</v>
      </c>
      <c r="AC20" s="66" t="e">
        <f t="shared" si="16"/>
        <v>#NAME?</v>
      </c>
      <c r="AD20" s="66" t="e">
        <f t="shared" si="17"/>
        <v>#NAME?</v>
      </c>
      <c r="AE20" s="66" t="e">
        <f t="shared" si="18"/>
        <v>#NAME?</v>
      </c>
      <c r="AF20" s="66" t="e">
        <f t="shared" si="51"/>
        <v>#NAME?</v>
      </c>
      <c r="AG20" s="66" t="e">
        <f t="shared" si="19"/>
        <v>#NAME?</v>
      </c>
      <c r="AH20" s="66" t="e">
        <f t="shared" si="20"/>
        <v>#NAME?</v>
      </c>
      <c r="AI20" s="66" t="e">
        <f t="shared" si="21"/>
        <v>#NAME?</v>
      </c>
      <c r="AJ20" s="67" t="e">
        <f t="shared" si="52"/>
        <v>#NAME?</v>
      </c>
      <c r="AK20" s="67" t="e">
        <f t="shared" si="7"/>
        <v>#NAME?</v>
      </c>
      <c r="AL20" s="67" t="e">
        <f t="shared" si="8"/>
        <v>#NAME?</v>
      </c>
      <c r="AM20" s="67" t="e">
        <f t="shared" si="22"/>
        <v>#NAME?</v>
      </c>
      <c r="AN20" s="67" t="e">
        <f t="shared" si="53"/>
        <v>#NAME?</v>
      </c>
      <c r="AO20" s="67" t="e">
        <f t="shared" si="54"/>
        <v>#NAME?</v>
      </c>
      <c r="AP20" s="66" t="e">
        <f t="shared" si="23"/>
        <v>#NAME?</v>
      </c>
      <c r="AQ20" s="66" t="e">
        <f t="shared" si="24"/>
        <v>#NAME?</v>
      </c>
      <c r="AR20" s="66" t="e">
        <f t="shared" si="55"/>
        <v>#NAME?</v>
      </c>
      <c r="AS20" s="66" t="e">
        <f t="shared" si="25"/>
        <v>#NAME?</v>
      </c>
      <c r="AT20" s="66" t="e">
        <f t="shared" si="26"/>
        <v>#NAME?</v>
      </c>
      <c r="AU20" s="66" t="e">
        <f t="shared" si="27"/>
        <v>#NAME?</v>
      </c>
      <c r="AV20" s="66" t="e">
        <f t="shared" si="28"/>
        <v>#NAME?</v>
      </c>
      <c r="AW20" s="66" t="e">
        <f t="shared" si="29"/>
        <v>#NAME?</v>
      </c>
      <c r="AX20" s="66" t="e">
        <f t="shared" si="56"/>
        <v>#NAME?</v>
      </c>
      <c r="AY20" s="66" t="e">
        <f t="shared" si="30"/>
        <v>#NAME?</v>
      </c>
      <c r="AZ20" s="66" t="e">
        <f t="shared" si="31"/>
        <v>#NAME?</v>
      </c>
      <c r="BA20" s="66" t="e">
        <f t="shared" si="32"/>
        <v>#NAME?</v>
      </c>
      <c r="BB20" s="67" t="e">
        <f t="shared" si="57"/>
        <v>#NAME?</v>
      </c>
      <c r="BC20" s="67" t="e">
        <f t="shared" si="10"/>
        <v>#NAME?</v>
      </c>
      <c r="BD20" s="67" t="e">
        <f t="shared" si="11"/>
        <v>#NAME?</v>
      </c>
      <c r="BE20" s="67" t="e">
        <f t="shared" si="33"/>
        <v>#NAME?</v>
      </c>
      <c r="BF20" s="67" t="e">
        <f t="shared" si="58"/>
        <v>#NAME?</v>
      </c>
      <c r="BG20" s="67" t="e">
        <f t="shared" si="59"/>
        <v>#NAME?</v>
      </c>
    </row>
    <row r="21" spans="1:59" ht="15.6" x14ac:dyDescent="0.3">
      <c r="A21" s="8" t="s">
        <v>20</v>
      </c>
      <c r="B21" s="11" t="s">
        <v>21</v>
      </c>
      <c r="C21" s="63" t="s">
        <v>22</v>
      </c>
      <c r="D21" s="64"/>
      <c r="E21" s="65"/>
      <c r="F21" s="66" t="e">
        <f t="shared" si="34"/>
        <v>#NAME?</v>
      </c>
      <c r="G21" s="66" t="e">
        <f t="shared" si="35"/>
        <v>#NAME?</v>
      </c>
      <c r="H21" s="66" t="e">
        <f t="shared" si="36"/>
        <v>#NAME?</v>
      </c>
      <c r="I21" s="66" t="e">
        <f t="shared" si="37"/>
        <v>#NAME?</v>
      </c>
      <c r="J21" s="66" t="e">
        <f t="shared" si="38"/>
        <v>#NAME?</v>
      </c>
      <c r="K21" s="66" t="e">
        <f t="shared" si="39"/>
        <v>#NAME?</v>
      </c>
      <c r="L21" s="66" t="e">
        <f t="shared" si="40"/>
        <v>#NAME?</v>
      </c>
      <c r="M21" s="66" t="e">
        <f t="shared" si="41"/>
        <v>#NAME?</v>
      </c>
      <c r="N21" s="66" t="e">
        <f t="shared" si="42"/>
        <v>#NAME?</v>
      </c>
      <c r="O21" s="66" t="e">
        <f t="shared" si="43"/>
        <v>#NAME?</v>
      </c>
      <c r="P21" s="66" t="e">
        <f t="shared" si="44"/>
        <v>#NAME?</v>
      </c>
      <c r="Q21" s="66" t="e">
        <f t="shared" si="45"/>
        <v>#NAME?</v>
      </c>
      <c r="R21" s="67" t="e">
        <f t="shared" si="46"/>
        <v>#NAME?</v>
      </c>
      <c r="S21" s="67" t="e">
        <f t="shared" si="4"/>
        <v>#NAME?</v>
      </c>
      <c r="T21" s="67" t="e">
        <f t="shared" si="5"/>
        <v>#NAME?</v>
      </c>
      <c r="U21" s="67" t="e">
        <f t="shared" si="47"/>
        <v>#NAME?</v>
      </c>
      <c r="V21" s="67" t="e">
        <f t="shared" si="48"/>
        <v>#NAME?</v>
      </c>
      <c r="W21" s="67" t="e">
        <f t="shared" si="49"/>
        <v>#NAME?</v>
      </c>
      <c r="X21" s="66" t="e">
        <f t="shared" si="12"/>
        <v>#NAME?</v>
      </c>
      <c r="Y21" s="66" t="e">
        <f t="shared" si="13"/>
        <v>#NAME?</v>
      </c>
      <c r="Z21" s="66" t="e">
        <f t="shared" si="50"/>
        <v>#NAME?</v>
      </c>
      <c r="AA21" s="66" t="e">
        <f t="shared" si="14"/>
        <v>#NAME?</v>
      </c>
      <c r="AB21" s="66" t="e">
        <f t="shared" si="15"/>
        <v>#NAME?</v>
      </c>
      <c r="AC21" s="66" t="e">
        <f t="shared" si="16"/>
        <v>#NAME?</v>
      </c>
      <c r="AD21" s="66" t="e">
        <f t="shared" si="17"/>
        <v>#NAME?</v>
      </c>
      <c r="AE21" s="66" t="e">
        <f t="shared" si="18"/>
        <v>#NAME?</v>
      </c>
      <c r="AF21" s="66" t="e">
        <f t="shared" si="51"/>
        <v>#NAME?</v>
      </c>
      <c r="AG21" s="66" t="e">
        <f t="shared" si="19"/>
        <v>#NAME?</v>
      </c>
      <c r="AH21" s="66" t="e">
        <f t="shared" si="20"/>
        <v>#NAME?</v>
      </c>
      <c r="AI21" s="66" t="e">
        <f t="shared" si="21"/>
        <v>#NAME?</v>
      </c>
      <c r="AJ21" s="67" t="e">
        <f t="shared" si="52"/>
        <v>#NAME?</v>
      </c>
      <c r="AK21" s="67" t="e">
        <f t="shared" si="7"/>
        <v>#NAME?</v>
      </c>
      <c r="AL21" s="67" t="e">
        <f t="shared" si="8"/>
        <v>#NAME?</v>
      </c>
      <c r="AM21" s="67" t="e">
        <f t="shared" si="22"/>
        <v>#NAME?</v>
      </c>
      <c r="AN21" s="67" t="e">
        <f t="shared" si="53"/>
        <v>#NAME?</v>
      </c>
      <c r="AO21" s="67" t="e">
        <f t="shared" si="54"/>
        <v>#NAME?</v>
      </c>
      <c r="AP21" s="66" t="e">
        <f t="shared" si="23"/>
        <v>#NAME?</v>
      </c>
      <c r="AQ21" s="66" t="e">
        <f t="shared" si="24"/>
        <v>#NAME?</v>
      </c>
      <c r="AR21" s="66" t="e">
        <f t="shared" si="55"/>
        <v>#NAME?</v>
      </c>
      <c r="AS21" s="66" t="e">
        <f t="shared" si="25"/>
        <v>#NAME?</v>
      </c>
      <c r="AT21" s="66" t="e">
        <f t="shared" si="26"/>
        <v>#NAME?</v>
      </c>
      <c r="AU21" s="66" t="e">
        <f t="shared" si="27"/>
        <v>#NAME?</v>
      </c>
      <c r="AV21" s="66" t="e">
        <f t="shared" si="28"/>
        <v>#NAME?</v>
      </c>
      <c r="AW21" s="66" t="e">
        <f t="shared" si="29"/>
        <v>#NAME?</v>
      </c>
      <c r="AX21" s="66" t="e">
        <f t="shared" si="56"/>
        <v>#NAME?</v>
      </c>
      <c r="AY21" s="66" t="e">
        <f t="shared" si="30"/>
        <v>#NAME?</v>
      </c>
      <c r="AZ21" s="66" t="e">
        <f t="shared" si="31"/>
        <v>#NAME?</v>
      </c>
      <c r="BA21" s="66" t="e">
        <f t="shared" si="32"/>
        <v>#NAME?</v>
      </c>
      <c r="BB21" s="67" t="e">
        <f t="shared" si="57"/>
        <v>#NAME?</v>
      </c>
      <c r="BC21" s="67" t="e">
        <f t="shared" si="10"/>
        <v>#NAME?</v>
      </c>
      <c r="BD21" s="67" t="e">
        <f t="shared" si="11"/>
        <v>#NAME?</v>
      </c>
      <c r="BE21" s="67" t="e">
        <f t="shared" si="33"/>
        <v>#NAME?</v>
      </c>
      <c r="BF21" s="67" t="e">
        <f t="shared" si="58"/>
        <v>#NAME?</v>
      </c>
      <c r="BG21" s="67" t="e">
        <f t="shared" si="59"/>
        <v>#NAME?</v>
      </c>
    </row>
    <row r="22" spans="1:59" ht="15.6" x14ac:dyDescent="0.3">
      <c r="A22" s="8" t="s">
        <v>23</v>
      </c>
      <c r="B22" s="11" t="s">
        <v>24</v>
      </c>
      <c r="C22" s="63" t="s">
        <v>25</v>
      </c>
      <c r="D22" s="64"/>
      <c r="E22" s="65"/>
      <c r="F22" s="66" t="e">
        <f t="shared" si="34"/>
        <v>#NAME?</v>
      </c>
      <c r="G22" s="66" t="e">
        <f t="shared" si="35"/>
        <v>#NAME?</v>
      </c>
      <c r="H22" s="66" t="e">
        <f t="shared" si="36"/>
        <v>#NAME?</v>
      </c>
      <c r="I22" s="66" t="e">
        <f t="shared" si="37"/>
        <v>#NAME?</v>
      </c>
      <c r="J22" s="66" t="e">
        <f t="shared" si="38"/>
        <v>#NAME?</v>
      </c>
      <c r="K22" s="66" t="e">
        <f t="shared" si="39"/>
        <v>#NAME?</v>
      </c>
      <c r="L22" s="66" t="e">
        <f t="shared" si="40"/>
        <v>#NAME?</v>
      </c>
      <c r="M22" s="66" t="e">
        <f t="shared" si="41"/>
        <v>#NAME?</v>
      </c>
      <c r="N22" s="66" t="e">
        <f t="shared" si="42"/>
        <v>#NAME?</v>
      </c>
      <c r="O22" s="66" t="e">
        <f t="shared" si="43"/>
        <v>#NAME?</v>
      </c>
      <c r="P22" s="66" t="e">
        <f t="shared" si="44"/>
        <v>#NAME?</v>
      </c>
      <c r="Q22" s="66" t="e">
        <f t="shared" si="45"/>
        <v>#NAME?</v>
      </c>
      <c r="R22" s="67" t="e">
        <f t="shared" si="46"/>
        <v>#NAME?</v>
      </c>
      <c r="S22" s="67" t="e">
        <f t="shared" si="4"/>
        <v>#NAME?</v>
      </c>
      <c r="T22" s="67" t="e">
        <f t="shared" si="5"/>
        <v>#NAME?</v>
      </c>
      <c r="U22" s="67" t="e">
        <f t="shared" si="47"/>
        <v>#NAME?</v>
      </c>
      <c r="V22" s="67" t="e">
        <f t="shared" si="48"/>
        <v>#NAME?</v>
      </c>
      <c r="W22" s="67" t="e">
        <f t="shared" si="49"/>
        <v>#NAME?</v>
      </c>
      <c r="X22" s="66" t="e">
        <f t="shared" si="12"/>
        <v>#NAME?</v>
      </c>
      <c r="Y22" s="66" t="e">
        <f t="shared" si="13"/>
        <v>#NAME?</v>
      </c>
      <c r="Z22" s="66" t="e">
        <f t="shared" si="50"/>
        <v>#NAME?</v>
      </c>
      <c r="AA22" s="66" t="e">
        <f t="shared" si="14"/>
        <v>#NAME?</v>
      </c>
      <c r="AB22" s="66" t="e">
        <f t="shared" si="15"/>
        <v>#NAME?</v>
      </c>
      <c r="AC22" s="66" t="e">
        <f t="shared" si="16"/>
        <v>#NAME?</v>
      </c>
      <c r="AD22" s="66" t="e">
        <f t="shared" si="17"/>
        <v>#NAME?</v>
      </c>
      <c r="AE22" s="66" t="e">
        <f t="shared" si="18"/>
        <v>#NAME?</v>
      </c>
      <c r="AF22" s="66" t="e">
        <f t="shared" si="51"/>
        <v>#NAME?</v>
      </c>
      <c r="AG22" s="66" t="e">
        <f t="shared" si="19"/>
        <v>#NAME?</v>
      </c>
      <c r="AH22" s="66" t="e">
        <f t="shared" si="20"/>
        <v>#NAME?</v>
      </c>
      <c r="AI22" s="66" t="e">
        <f t="shared" si="21"/>
        <v>#NAME?</v>
      </c>
      <c r="AJ22" s="67" t="e">
        <f t="shared" si="52"/>
        <v>#NAME?</v>
      </c>
      <c r="AK22" s="67" t="e">
        <f t="shared" si="7"/>
        <v>#NAME?</v>
      </c>
      <c r="AL22" s="67" t="e">
        <f t="shared" si="8"/>
        <v>#NAME?</v>
      </c>
      <c r="AM22" s="67" t="e">
        <f t="shared" si="22"/>
        <v>#NAME?</v>
      </c>
      <c r="AN22" s="67" t="e">
        <f t="shared" si="53"/>
        <v>#NAME?</v>
      </c>
      <c r="AO22" s="67" t="e">
        <f t="shared" si="54"/>
        <v>#NAME?</v>
      </c>
      <c r="AP22" s="66" t="e">
        <f t="shared" si="23"/>
        <v>#NAME?</v>
      </c>
      <c r="AQ22" s="66" t="e">
        <f t="shared" si="24"/>
        <v>#NAME?</v>
      </c>
      <c r="AR22" s="66" t="e">
        <f t="shared" si="55"/>
        <v>#NAME?</v>
      </c>
      <c r="AS22" s="66" t="e">
        <f t="shared" si="25"/>
        <v>#NAME?</v>
      </c>
      <c r="AT22" s="66" t="e">
        <f t="shared" si="26"/>
        <v>#NAME?</v>
      </c>
      <c r="AU22" s="66" t="e">
        <f t="shared" si="27"/>
        <v>#NAME?</v>
      </c>
      <c r="AV22" s="66" t="e">
        <f t="shared" si="28"/>
        <v>#NAME?</v>
      </c>
      <c r="AW22" s="66" t="e">
        <f t="shared" si="29"/>
        <v>#NAME?</v>
      </c>
      <c r="AX22" s="66" t="e">
        <f t="shared" si="56"/>
        <v>#NAME?</v>
      </c>
      <c r="AY22" s="66" t="e">
        <f t="shared" si="30"/>
        <v>#NAME?</v>
      </c>
      <c r="AZ22" s="66" t="e">
        <f t="shared" si="31"/>
        <v>#NAME?</v>
      </c>
      <c r="BA22" s="66" t="e">
        <f t="shared" si="32"/>
        <v>#NAME?</v>
      </c>
      <c r="BB22" s="67" t="e">
        <f t="shared" si="57"/>
        <v>#NAME?</v>
      </c>
      <c r="BC22" s="67" t="e">
        <f t="shared" si="10"/>
        <v>#NAME?</v>
      </c>
      <c r="BD22" s="67" t="e">
        <f t="shared" si="11"/>
        <v>#NAME?</v>
      </c>
      <c r="BE22" s="67" t="e">
        <f t="shared" si="33"/>
        <v>#NAME?</v>
      </c>
      <c r="BF22" s="67" t="e">
        <f t="shared" si="58"/>
        <v>#NAME?</v>
      </c>
      <c r="BG22" s="67" t="e">
        <f t="shared" si="59"/>
        <v>#NAME?</v>
      </c>
    </row>
    <row r="23" spans="1:59" ht="15.6" x14ac:dyDescent="0.3">
      <c r="A23" s="8" t="s">
        <v>26</v>
      </c>
      <c r="B23" s="11" t="s">
        <v>27</v>
      </c>
      <c r="C23" s="63" t="s">
        <v>28</v>
      </c>
      <c r="D23" s="64"/>
      <c r="E23" s="65"/>
      <c r="F23" s="66" t="e">
        <f t="shared" si="34"/>
        <v>#NAME?</v>
      </c>
      <c r="G23" s="66" t="e">
        <f t="shared" si="35"/>
        <v>#NAME?</v>
      </c>
      <c r="H23" s="66" t="e">
        <f t="shared" si="36"/>
        <v>#NAME?</v>
      </c>
      <c r="I23" s="66" t="e">
        <f t="shared" si="37"/>
        <v>#NAME?</v>
      </c>
      <c r="J23" s="66" t="e">
        <f t="shared" si="38"/>
        <v>#NAME?</v>
      </c>
      <c r="K23" s="66" t="e">
        <f t="shared" si="39"/>
        <v>#NAME?</v>
      </c>
      <c r="L23" s="66" t="e">
        <f t="shared" si="40"/>
        <v>#NAME?</v>
      </c>
      <c r="M23" s="66" t="e">
        <f t="shared" si="41"/>
        <v>#NAME?</v>
      </c>
      <c r="N23" s="66" t="e">
        <f t="shared" si="42"/>
        <v>#NAME?</v>
      </c>
      <c r="O23" s="66" t="e">
        <f t="shared" si="43"/>
        <v>#NAME?</v>
      </c>
      <c r="P23" s="66" t="e">
        <f t="shared" si="44"/>
        <v>#NAME?</v>
      </c>
      <c r="Q23" s="66" t="e">
        <f t="shared" si="45"/>
        <v>#NAME?</v>
      </c>
      <c r="R23" s="67" t="e">
        <f t="shared" si="46"/>
        <v>#NAME?</v>
      </c>
      <c r="S23" s="67" t="e">
        <f t="shared" si="4"/>
        <v>#NAME?</v>
      </c>
      <c r="T23" s="67" t="e">
        <f t="shared" si="5"/>
        <v>#NAME?</v>
      </c>
      <c r="U23" s="67" t="e">
        <f t="shared" si="47"/>
        <v>#NAME?</v>
      </c>
      <c r="V23" s="67" t="e">
        <f t="shared" si="48"/>
        <v>#NAME?</v>
      </c>
      <c r="W23" s="67" t="e">
        <f t="shared" si="49"/>
        <v>#NAME?</v>
      </c>
      <c r="X23" s="66" t="e">
        <f t="shared" si="12"/>
        <v>#NAME?</v>
      </c>
      <c r="Y23" s="66" t="e">
        <f t="shared" si="13"/>
        <v>#NAME?</v>
      </c>
      <c r="Z23" s="66" t="e">
        <f t="shared" si="50"/>
        <v>#NAME?</v>
      </c>
      <c r="AA23" s="66" t="e">
        <f t="shared" si="14"/>
        <v>#NAME?</v>
      </c>
      <c r="AB23" s="66" t="e">
        <f t="shared" si="15"/>
        <v>#NAME?</v>
      </c>
      <c r="AC23" s="66" t="e">
        <f t="shared" si="16"/>
        <v>#NAME?</v>
      </c>
      <c r="AD23" s="66" t="e">
        <f t="shared" si="17"/>
        <v>#NAME?</v>
      </c>
      <c r="AE23" s="66" t="e">
        <f t="shared" si="18"/>
        <v>#NAME?</v>
      </c>
      <c r="AF23" s="66" t="e">
        <f t="shared" si="51"/>
        <v>#NAME?</v>
      </c>
      <c r="AG23" s="66" t="e">
        <f t="shared" si="19"/>
        <v>#NAME?</v>
      </c>
      <c r="AH23" s="66" t="e">
        <f t="shared" si="20"/>
        <v>#NAME?</v>
      </c>
      <c r="AI23" s="66" t="e">
        <f t="shared" si="21"/>
        <v>#NAME?</v>
      </c>
      <c r="AJ23" s="67" t="e">
        <f t="shared" si="52"/>
        <v>#NAME?</v>
      </c>
      <c r="AK23" s="67" t="e">
        <f t="shared" si="7"/>
        <v>#NAME?</v>
      </c>
      <c r="AL23" s="67" t="e">
        <f t="shared" si="8"/>
        <v>#NAME?</v>
      </c>
      <c r="AM23" s="67" t="e">
        <f t="shared" si="22"/>
        <v>#NAME?</v>
      </c>
      <c r="AN23" s="67" t="e">
        <f t="shared" si="53"/>
        <v>#NAME?</v>
      </c>
      <c r="AO23" s="67" t="e">
        <f t="shared" si="54"/>
        <v>#NAME?</v>
      </c>
      <c r="AP23" s="66" t="e">
        <f t="shared" si="23"/>
        <v>#NAME?</v>
      </c>
      <c r="AQ23" s="66" t="e">
        <f t="shared" si="24"/>
        <v>#NAME?</v>
      </c>
      <c r="AR23" s="66" t="e">
        <f t="shared" si="55"/>
        <v>#NAME?</v>
      </c>
      <c r="AS23" s="66" t="e">
        <f t="shared" si="25"/>
        <v>#NAME?</v>
      </c>
      <c r="AT23" s="66" t="e">
        <f t="shared" si="26"/>
        <v>#NAME?</v>
      </c>
      <c r="AU23" s="66" t="e">
        <f t="shared" si="27"/>
        <v>#NAME?</v>
      </c>
      <c r="AV23" s="66" t="e">
        <f t="shared" si="28"/>
        <v>#NAME?</v>
      </c>
      <c r="AW23" s="66" t="e">
        <f t="shared" si="29"/>
        <v>#NAME?</v>
      </c>
      <c r="AX23" s="66" t="e">
        <f t="shared" si="56"/>
        <v>#NAME?</v>
      </c>
      <c r="AY23" s="66" t="e">
        <f t="shared" si="30"/>
        <v>#NAME?</v>
      </c>
      <c r="AZ23" s="66" t="e">
        <f t="shared" si="31"/>
        <v>#NAME?</v>
      </c>
      <c r="BA23" s="66" t="e">
        <f t="shared" si="32"/>
        <v>#NAME?</v>
      </c>
      <c r="BB23" s="67" t="e">
        <f t="shared" si="57"/>
        <v>#NAME?</v>
      </c>
      <c r="BC23" s="67" t="e">
        <f t="shared" si="10"/>
        <v>#NAME?</v>
      </c>
      <c r="BD23" s="67" t="e">
        <f t="shared" si="11"/>
        <v>#NAME?</v>
      </c>
      <c r="BE23" s="67" t="e">
        <f t="shared" si="33"/>
        <v>#NAME?</v>
      </c>
      <c r="BF23" s="67" t="e">
        <f t="shared" si="58"/>
        <v>#NAME?</v>
      </c>
      <c r="BG23" s="67" t="e">
        <f t="shared" si="59"/>
        <v>#NAME?</v>
      </c>
    </row>
    <row r="24" spans="1:59" ht="15.6" x14ac:dyDescent="0.3">
      <c r="A24" s="8" t="s">
        <v>29</v>
      </c>
      <c r="B24" s="11" t="s">
        <v>30</v>
      </c>
      <c r="C24" s="63" t="s">
        <v>31</v>
      </c>
      <c r="D24" s="64"/>
      <c r="E24" s="65"/>
      <c r="F24" s="66" t="e">
        <f t="shared" si="34"/>
        <v>#NAME?</v>
      </c>
      <c r="G24" s="66" t="e">
        <f t="shared" si="35"/>
        <v>#NAME?</v>
      </c>
      <c r="H24" s="66" t="e">
        <f t="shared" si="36"/>
        <v>#NAME?</v>
      </c>
      <c r="I24" s="66" t="e">
        <f t="shared" si="37"/>
        <v>#NAME?</v>
      </c>
      <c r="J24" s="66" t="e">
        <f t="shared" si="38"/>
        <v>#NAME?</v>
      </c>
      <c r="K24" s="66" t="e">
        <f t="shared" si="39"/>
        <v>#NAME?</v>
      </c>
      <c r="L24" s="66" t="e">
        <f t="shared" si="40"/>
        <v>#NAME?</v>
      </c>
      <c r="M24" s="66" t="e">
        <f t="shared" si="41"/>
        <v>#NAME?</v>
      </c>
      <c r="N24" s="66" t="e">
        <f t="shared" si="42"/>
        <v>#NAME?</v>
      </c>
      <c r="O24" s="66" t="e">
        <f t="shared" si="43"/>
        <v>#NAME?</v>
      </c>
      <c r="P24" s="66" t="e">
        <f t="shared" si="44"/>
        <v>#NAME?</v>
      </c>
      <c r="Q24" s="66" t="e">
        <f t="shared" si="45"/>
        <v>#NAME?</v>
      </c>
      <c r="R24" s="67" t="e">
        <f t="shared" si="46"/>
        <v>#NAME?</v>
      </c>
      <c r="S24" s="67" t="e">
        <f t="shared" si="4"/>
        <v>#NAME?</v>
      </c>
      <c r="T24" s="67" t="e">
        <f t="shared" si="5"/>
        <v>#NAME?</v>
      </c>
      <c r="U24" s="67" t="e">
        <f t="shared" si="47"/>
        <v>#NAME?</v>
      </c>
      <c r="V24" s="67" t="e">
        <f t="shared" si="48"/>
        <v>#NAME?</v>
      </c>
      <c r="W24" s="67" t="e">
        <f t="shared" si="49"/>
        <v>#NAME?</v>
      </c>
      <c r="X24" s="66" t="e">
        <f t="shared" si="12"/>
        <v>#NAME?</v>
      </c>
      <c r="Y24" s="66" t="e">
        <f t="shared" si="13"/>
        <v>#NAME?</v>
      </c>
      <c r="Z24" s="66" t="e">
        <f t="shared" si="50"/>
        <v>#NAME?</v>
      </c>
      <c r="AA24" s="66" t="e">
        <f t="shared" si="14"/>
        <v>#NAME?</v>
      </c>
      <c r="AB24" s="66" t="e">
        <f t="shared" si="15"/>
        <v>#NAME?</v>
      </c>
      <c r="AC24" s="66" t="e">
        <f t="shared" si="16"/>
        <v>#NAME?</v>
      </c>
      <c r="AD24" s="66" t="e">
        <f t="shared" si="17"/>
        <v>#NAME?</v>
      </c>
      <c r="AE24" s="66" t="e">
        <f t="shared" si="18"/>
        <v>#NAME?</v>
      </c>
      <c r="AF24" s="66" t="e">
        <f t="shared" si="51"/>
        <v>#NAME?</v>
      </c>
      <c r="AG24" s="66" t="e">
        <f t="shared" si="19"/>
        <v>#NAME?</v>
      </c>
      <c r="AH24" s="66" t="e">
        <f t="shared" si="20"/>
        <v>#NAME?</v>
      </c>
      <c r="AI24" s="66" t="e">
        <f t="shared" si="21"/>
        <v>#NAME?</v>
      </c>
      <c r="AJ24" s="67" t="e">
        <f t="shared" si="52"/>
        <v>#NAME?</v>
      </c>
      <c r="AK24" s="67" t="e">
        <f t="shared" si="7"/>
        <v>#NAME?</v>
      </c>
      <c r="AL24" s="67" t="e">
        <f t="shared" si="8"/>
        <v>#NAME?</v>
      </c>
      <c r="AM24" s="67" t="e">
        <f t="shared" si="22"/>
        <v>#NAME?</v>
      </c>
      <c r="AN24" s="67" t="e">
        <f t="shared" si="53"/>
        <v>#NAME?</v>
      </c>
      <c r="AO24" s="67" t="e">
        <f t="shared" si="54"/>
        <v>#NAME?</v>
      </c>
      <c r="AP24" s="66" t="e">
        <f t="shared" si="23"/>
        <v>#NAME?</v>
      </c>
      <c r="AQ24" s="66" t="e">
        <f t="shared" si="24"/>
        <v>#NAME?</v>
      </c>
      <c r="AR24" s="66" t="e">
        <f t="shared" si="55"/>
        <v>#NAME?</v>
      </c>
      <c r="AS24" s="66" t="e">
        <f t="shared" si="25"/>
        <v>#NAME?</v>
      </c>
      <c r="AT24" s="66" t="e">
        <f t="shared" si="26"/>
        <v>#NAME?</v>
      </c>
      <c r="AU24" s="66" t="e">
        <f t="shared" si="27"/>
        <v>#NAME?</v>
      </c>
      <c r="AV24" s="66" t="e">
        <f t="shared" si="28"/>
        <v>#NAME?</v>
      </c>
      <c r="AW24" s="66" t="e">
        <f t="shared" si="29"/>
        <v>#NAME?</v>
      </c>
      <c r="AX24" s="66" t="e">
        <f t="shared" si="56"/>
        <v>#NAME?</v>
      </c>
      <c r="AY24" s="66" t="e">
        <f t="shared" si="30"/>
        <v>#NAME?</v>
      </c>
      <c r="AZ24" s="66" t="e">
        <f t="shared" si="31"/>
        <v>#NAME?</v>
      </c>
      <c r="BA24" s="66" t="e">
        <f t="shared" si="32"/>
        <v>#NAME?</v>
      </c>
      <c r="BB24" s="67" t="e">
        <f t="shared" si="57"/>
        <v>#NAME?</v>
      </c>
      <c r="BC24" s="67" t="e">
        <f t="shared" si="10"/>
        <v>#NAME?</v>
      </c>
      <c r="BD24" s="67" t="e">
        <f t="shared" si="11"/>
        <v>#NAME?</v>
      </c>
      <c r="BE24" s="67" t="e">
        <f t="shared" si="33"/>
        <v>#NAME?</v>
      </c>
      <c r="BF24" s="67" t="e">
        <f t="shared" si="58"/>
        <v>#NAME?</v>
      </c>
      <c r="BG24" s="67" t="e">
        <f t="shared" si="59"/>
        <v>#NAME?</v>
      </c>
    </row>
    <row r="25" spans="1:59" ht="15.6" x14ac:dyDescent="0.3">
      <c r="A25" s="8" t="s">
        <v>32</v>
      </c>
      <c r="B25" s="11" t="s">
        <v>33</v>
      </c>
      <c r="C25" s="63" t="s">
        <v>34</v>
      </c>
      <c r="D25" s="64"/>
      <c r="E25" s="65"/>
      <c r="F25" s="66" t="e">
        <f t="shared" si="34"/>
        <v>#NAME?</v>
      </c>
      <c r="G25" s="66" t="e">
        <f t="shared" si="35"/>
        <v>#NAME?</v>
      </c>
      <c r="H25" s="66" t="e">
        <f t="shared" si="36"/>
        <v>#NAME?</v>
      </c>
      <c r="I25" s="66" t="e">
        <f t="shared" si="37"/>
        <v>#NAME?</v>
      </c>
      <c r="J25" s="66" t="e">
        <f t="shared" si="38"/>
        <v>#NAME?</v>
      </c>
      <c r="K25" s="66" t="e">
        <f t="shared" si="39"/>
        <v>#NAME?</v>
      </c>
      <c r="L25" s="66" t="e">
        <f t="shared" si="40"/>
        <v>#NAME?</v>
      </c>
      <c r="M25" s="66" t="e">
        <f t="shared" si="41"/>
        <v>#NAME?</v>
      </c>
      <c r="N25" s="66" t="e">
        <f t="shared" si="42"/>
        <v>#NAME?</v>
      </c>
      <c r="O25" s="66" t="e">
        <f t="shared" si="43"/>
        <v>#NAME?</v>
      </c>
      <c r="P25" s="66" t="e">
        <f t="shared" si="44"/>
        <v>#NAME?</v>
      </c>
      <c r="Q25" s="66" t="e">
        <f t="shared" si="45"/>
        <v>#NAME?</v>
      </c>
      <c r="R25" s="67" t="e">
        <f t="shared" si="46"/>
        <v>#NAME?</v>
      </c>
      <c r="S25" s="67" t="e">
        <f t="shared" si="4"/>
        <v>#NAME?</v>
      </c>
      <c r="T25" s="67" t="e">
        <f t="shared" si="5"/>
        <v>#NAME?</v>
      </c>
      <c r="U25" s="67" t="e">
        <f t="shared" si="47"/>
        <v>#NAME?</v>
      </c>
      <c r="V25" s="67" t="e">
        <f t="shared" si="48"/>
        <v>#NAME?</v>
      </c>
      <c r="W25" s="67" t="e">
        <f t="shared" si="49"/>
        <v>#NAME?</v>
      </c>
      <c r="X25" s="66" t="e">
        <f t="shared" si="12"/>
        <v>#NAME?</v>
      </c>
      <c r="Y25" s="66" t="e">
        <f t="shared" si="13"/>
        <v>#NAME?</v>
      </c>
      <c r="Z25" s="66" t="e">
        <f t="shared" si="50"/>
        <v>#NAME?</v>
      </c>
      <c r="AA25" s="66" t="e">
        <f t="shared" si="14"/>
        <v>#NAME?</v>
      </c>
      <c r="AB25" s="66" t="e">
        <f t="shared" si="15"/>
        <v>#NAME?</v>
      </c>
      <c r="AC25" s="66" t="e">
        <f t="shared" si="16"/>
        <v>#NAME?</v>
      </c>
      <c r="AD25" s="66" t="e">
        <f t="shared" si="17"/>
        <v>#NAME?</v>
      </c>
      <c r="AE25" s="66" t="e">
        <f t="shared" si="18"/>
        <v>#NAME?</v>
      </c>
      <c r="AF25" s="66" t="e">
        <f t="shared" si="51"/>
        <v>#NAME?</v>
      </c>
      <c r="AG25" s="66" t="e">
        <f t="shared" si="19"/>
        <v>#NAME?</v>
      </c>
      <c r="AH25" s="66" t="e">
        <f t="shared" si="20"/>
        <v>#NAME?</v>
      </c>
      <c r="AI25" s="66" t="e">
        <f t="shared" si="21"/>
        <v>#NAME?</v>
      </c>
      <c r="AJ25" s="67" t="e">
        <f t="shared" si="52"/>
        <v>#NAME?</v>
      </c>
      <c r="AK25" s="67" t="e">
        <f t="shared" si="7"/>
        <v>#NAME?</v>
      </c>
      <c r="AL25" s="67" t="e">
        <f t="shared" si="8"/>
        <v>#NAME?</v>
      </c>
      <c r="AM25" s="67" t="e">
        <f t="shared" si="22"/>
        <v>#NAME?</v>
      </c>
      <c r="AN25" s="67" t="e">
        <f t="shared" si="53"/>
        <v>#NAME?</v>
      </c>
      <c r="AO25" s="67" t="e">
        <f t="shared" si="54"/>
        <v>#NAME?</v>
      </c>
      <c r="AP25" s="66" t="e">
        <f t="shared" si="23"/>
        <v>#NAME?</v>
      </c>
      <c r="AQ25" s="66" t="e">
        <f t="shared" si="24"/>
        <v>#NAME?</v>
      </c>
      <c r="AR25" s="66" t="e">
        <f t="shared" si="55"/>
        <v>#NAME?</v>
      </c>
      <c r="AS25" s="66" t="e">
        <f t="shared" si="25"/>
        <v>#NAME?</v>
      </c>
      <c r="AT25" s="66" t="e">
        <f t="shared" si="26"/>
        <v>#NAME?</v>
      </c>
      <c r="AU25" s="66" t="e">
        <f t="shared" si="27"/>
        <v>#NAME?</v>
      </c>
      <c r="AV25" s="66" t="e">
        <f t="shared" si="28"/>
        <v>#NAME?</v>
      </c>
      <c r="AW25" s="66" t="e">
        <f t="shared" si="29"/>
        <v>#NAME?</v>
      </c>
      <c r="AX25" s="66" t="e">
        <f t="shared" si="56"/>
        <v>#NAME?</v>
      </c>
      <c r="AY25" s="66" t="e">
        <f t="shared" si="30"/>
        <v>#NAME?</v>
      </c>
      <c r="AZ25" s="66" t="e">
        <f t="shared" si="31"/>
        <v>#NAME?</v>
      </c>
      <c r="BA25" s="66" t="e">
        <f t="shared" si="32"/>
        <v>#NAME?</v>
      </c>
      <c r="BB25" s="67" t="e">
        <f t="shared" si="57"/>
        <v>#NAME?</v>
      </c>
      <c r="BC25" s="67" t="e">
        <f t="shared" si="10"/>
        <v>#NAME?</v>
      </c>
      <c r="BD25" s="67" t="e">
        <f t="shared" si="11"/>
        <v>#NAME?</v>
      </c>
      <c r="BE25" s="67" t="e">
        <f t="shared" si="33"/>
        <v>#NAME?</v>
      </c>
      <c r="BF25" s="67" t="e">
        <f t="shared" si="58"/>
        <v>#NAME?</v>
      </c>
      <c r="BG25" s="67" t="e">
        <f t="shared" si="59"/>
        <v>#NAME?</v>
      </c>
    </row>
    <row r="26" spans="1:59" ht="15.6" x14ac:dyDescent="0.3">
      <c r="A26" s="8" t="s">
        <v>35</v>
      </c>
      <c r="B26" s="11" t="s">
        <v>36</v>
      </c>
      <c r="C26" s="63" t="s">
        <v>37</v>
      </c>
      <c r="D26" s="64"/>
      <c r="E26" s="65"/>
      <c r="F26" s="66" t="e">
        <f t="shared" si="34"/>
        <v>#NAME?</v>
      </c>
      <c r="G26" s="66" t="e">
        <f t="shared" si="35"/>
        <v>#NAME?</v>
      </c>
      <c r="H26" s="66" t="e">
        <f t="shared" si="36"/>
        <v>#NAME?</v>
      </c>
      <c r="I26" s="66" t="e">
        <f t="shared" si="37"/>
        <v>#NAME?</v>
      </c>
      <c r="J26" s="66" t="e">
        <f t="shared" si="38"/>
        <v>#NAME?</v>
      </c>
      <c r="K26" s="66" t="e">
        <f t="shared" si="39"/>
        <v>#NAME?</v>
      </c>
      <c r="L26" s="66" t="e">
        <f t="shared" si="40"/>
        <v>#NAME?</v>
      </c>
      <c r="M26" s="66" t="e">
        <f t="shared" si="41"/>
        <v>#NAME?</v>
      </c>
      <c r="N26" s="66" t="e">
        <f t="shared" si="42"/>
        <v>#NAME?</v>
      </c>
      <c r="O26" s="66" t="e">
        <f t="shared" si="43"/>
        <v>#NAME?</v>
      </c>
      <c r="P26" s="66" t="e">
        <f t="shared" si="44"/>
        <v>#NAME?</v>
      </c>
      <c r="Q26" s="66" t="e">
        <f t="shared" si="45"/>
        <v>#NAME?</v>
      </c>
      <c r="R26" s="67" t="e">
        <f t="shared" si="46"/>
        <v>#NAME?</v>
      </c>
      <c r="S26" s="67" t="e">
        <f t="shared" si="4"/>
        <v>#NAME?</v>
      </c>
      <c r="T26" s="67" t="e">
        <f t="shared" si="5"/>
        <v>#NAME?</v>
      </c>
      <c r="U26" s="67" t="e">
        <f t="shared" si="47"/>
        <v>#NAME?</v>
      </c>
      <c r="V26" s="67" t="e">
        <f t="shared" si="48"/>
        <v>#NAME?</v>
      </c>
      <c r="W26" s="67" t="e">
        <f t="shared" si="49"/>
        <v>#NAME?</v>
      </c>
      <c r="X26" s="66" t="e">
        <f t="shared" si="12"/>
        <v>#NAME?</v>
      </c>
      <c r="Y26" s="66" t="e">
        <f t="shared" si="13"/>
        <v>#NAME?</v>
      </c>
      <c r="Z26" s="66" t="e">
        <f t="shared" si="50"/>
        <v>#NAME?</v>
      </c>
      <c r="AA26" s="66" t="e">
        <f t="shared" si="14"/>
        <v>#NAME?</v>
      </c>
      <c r="AB26" s="66" t="e">
        <f t="shared" si="15"/>
        <v>#NAME?</v>
      </c>
      <c r="AC26" s="66" t="e">
        <f t="shared" si="16"/>
        <v>#NAME?</v>
      </c>
      <c r="AD26" s="66" t="e">
        <f t="shared" si="17"/>
        <v>#NAME?</v>
      </c>
      <c r="AE26" s="66" t="e">
        <f t="shared" si="18"/>
        <v>#NAME?</v>
      </c>
      <c r="AF26" s="66" t="e">
        <f t="shared" si="51"/>
        <v>#NAME?</v>
      </c>
      <c r="AG26" s="66" t="e">
        <f t="shared" si="19"/>
        <v>#NAME?</v>
      </c>
      <c r="AH26" s="66" t="e">
        <f t="shared" si="20"/>
        <v>#NAME?</v>
      </c>
      <c r="AI26" s="66" t="e">
        <f t="shared" si="21"/>
        <v>#NAME?</v>
      </c>
      <c r="AJ26" s="67" t="e">
        <f t="shared" si="52"/>
        <v>#NAME?</v>
      </c>
      <c r="AK26" s="67" t="e">
        <f t="shared" si="7"/>
        <v>#NAME?</v>
      </c>
      <c r="AL26" s="67" t="e">
        <f t="shared" si="8"/>
        <v>#NAME?</v>
      </c>
      <c r="AM26" s="67" t="e">
        <f t="shared" si="22"/>
        <v>#NAME?</v>
      </c>
      <c r="AN26" s="67" t="e">
        <f t="shared" si="53"/>
        <v>#NAME?</v>
      </c>
      <c r="AO26" s="67" t="e">
        <f t="shared" si="54"/>
        <v>#NAME?</v>
      </c>
      <c r="AP26" s="66" t="e">
        <f t="shared" si="23"/>
        <v>#NAME?</v>
      </c>
      <c r="AQ26" s="66" t="e">
        <f t="shared" si="24"/>
        <v>#NAME?</v>
      </c>
      <c r="AR26" s="66" t="e">
        <f t="shared" si="55"/>
        <v>#NAME?</v>
      </c>
      <c r="AS26" s="66" t="e">
        <f t="shared" si="25"/>
        <v>#NAME?</v>
      </c>
      <c r="AT26" s="66" t="e">
        <f t="shared" si="26"/>
        <v>#NAME?</v>
      </c>
      <c r="AU26" s="66" t="e">
        <f t="shared" si="27"/>
        <v>#NAME?</v>
      </c>
      <c r="AV26" s="66" t="e">
        <f t="shared" si="28"/>
        <v>#NAME?</v>
      </c>
      <c r="AW26" s="66" t="e">
        <f t="shared" si="29"/>
        <v>#NAME?</v>
      </c>
      <c r="AX26" s="66" t="e">
        <f t="shared" si="56"/>
        <v>#NAME?</v>
      </c>
      <c r="AY26" s="66" t="e">
        <f t="shared" si="30"/>
        <v>#NAME?</v>
      </c>
      <c r="AZ26" s="66" t="e">
        <f t="shared" si="31"/>
        <v>#NAME?</v>
      </c>
      <c r="BA26" s="66" t="e">
        <f t="shared" si="32"/>
        <v>#NAME?</v>
      </c>
      <c r="BB26" s="67" t="e">
        <f t="shared" si="57"/>
        <v>#NAME?</v>
      </c>
      <c r="BC26" s="67" t="e">
        <f t="shared" si="10"/>
        <v>#NAME?</v>
      </c>
      <c r="BD26" s="67" t="e">
        <f t="shared" si="11"/>
        <v>#NAME?</v>
      </c>
      <c r="BE26" s="67" t="e">
        <f t="shared" si="33"/>
        <v>#NAME?</v>
      </c>
      <c r="BF26" s="67" t="e">
        <f t="shared" si="58"/>
        <v>#NAME?</v>
      </c>
      <c r="BG26" s="67" t="e">
        <f t="shared" si="59"/>
        <v>#NAME?</v>
      </c>
    </row>
    <row r="27" spans="1:59" ht="15.6" x14ac:dyDescent="0.3">
      <c r="A27" s="8" t="s">
        <v>38</v>
      </c>
      <c r="B27" s="11" t="s">
        <v>39</v>
      </c>
      <c r="C27" s="63" t="s">
        <v>297</v>
      </c>
      <c r="D27" s="64"/>
      <c r="E27" s="65"/>
      <c r="F27" s="66" t="e">
        <f t="shared" si="34"/>
        <v>#NAME?</v>
      </c>
      <c r="G27" s="66" t="e">
        <f t="shared" si="35"/>
        <v>#NAME?</v>
      </c>
      <c r="H27" s="66" t="e">
        <f t="shared" si="36"/>
        <v>#NAME?</v>
      </c>
      <c r="I27" s="66" t="e">
        <f t="shared" si="37"/>
        <v>#NAME?</v>
      </c>
      <c r="J27" s="66" t="e">
        <f t="shared" si="38"/>
        <v>#NAME?</v>
      </c>
      <c r="K27" s="66" t="e">
        <f t="shared" si="39"/>
        <v>#NAME?</v>
      </c>
      <c r="L27" s="66" t="e">
        <f t="shared" si="40"/>
        <v>#NAME?</v>
      </c>
      <c r="M27" s="66" t="e">
        <f t="shared" si="41"/>
        <v>#NAME?</v>
      </c>
      <c r="N27" s="66" t="e">
        <f t="shared" si="42"/>
        <v>#NAME?</v>
      </c>
      <c r="O27" s="66" t="e">
        <f t="shared" si="43"/>
        <v>#NAME?</v>
      </c>
      <c r="P27" s="66" t="e">
        <f t="shared" si="44"/>
        <v>#NAME?</v>
      </c>
      <c r="Q27" s="66" t="e">
        <f t="shared" si="45"/>
        <v>#NAME?</v>
      </c>
      <c r="R27" s="67" t="e">
        <f t="shared" si="46"/>
        <v>#NAME?</v>
      </c>
      <c r="S27" s="67" t="e">
        <f t="shared" si="4"/>
        <v>#NAME?</v>
      </c>
      <c r="T27" s="67" t="e">
        <f t="shared" si="5"/>
        <v>#NAME?</v>
      </c>
      <c r="U27" s="67" t="e">
        <f t="shared" si="47"/>
        <v>#NAME?</v>
      </c>
      <c r="V27" s="67" t="e">
        <f t="shared" si="48"/>
        <v>#NAME?</v>
      </c>
      <c r="W27" s="67" t="e">
        <f t="shared" si="49"/>
        <v>#NAME?</v>
      </c>
      <c r="X27" s="66" t="e">
        <f t="shared" si="12"/>
        <v>#NAME?</v>
      </c>
      <c r="Y27" s="66" t="e">
        <f t="shared" si="13"/>
        <v>#NAME?</v>
      </c>
      <c r="Z27" s="66" t="e">
        <f t="shared" si="50"/>
        <v>#NAME?</v>
      </c>
      <c r="AA27" s="66" t="e">
        <f t="shared" si="14"/>
        <v>#NAME?</v>
      </c>
      <c r="AB27" s="66" t="e">
        <f t="shared" si="15"/>
        <v>#NAME?</v>
      </c>
      <c r="AC27" s="66" t="e">
        <f t="shared" si="16"/>
        <v>#NAME?</v>
      </c>
      <c r="AD27" s="66" t="e">
        <f t="shared" si="17"/>
        <v>#NAME?</v>
      </c>
      <c r="AE27" s="66" t="e">
        <f t="shared" si="18"/>
        <v>#NAME?</v>
      </c>
      <c r="AF27" s="66" t="e">
        <f t="shared" si="51"/>
        <v>#NAME?</v>
      </c>
      <c r="AG27" s="66" t="e">
        <f t="shared" si="19"/>
        <v>#NAME?</v>
      </c>
      <c r="AH27" s="66" t="e">
        <f t="shared" si="20"/>
        <v>#NAME?</v>
      </c>
      <c r="AI27" s="66" t="e">
        <f t="shared" si="21"/>
        <v>#NAME?</v>
      </c>
      <c r="AJ27" s="67" t="e">
        <f t="shared" si="52"/>
        <v>#NAME?</v>
      </c>
      <c r="AK27" s="67" t="e">
        <f t="shared" si="7"/>
        <v>#NAME?</v>
      </c>
      <c r="AL27" s="67" t="e">
        <f t="shared" si="8"/>
        <v>#NAME?</v>
      </c>
      <c r="AM27" s="67" t="e">
        <f t="shared" si="22"/>
        <v>#NAME?</v>
      </c>
      <c r="AN27" s="67" t="e">
        <f t="shared" si="53"/>
        <v>#NAME?</v>
      </c>
      <c r="AO27" s="67" t="e">
        <f t="shared" si="54"/>
        <v>#NAME?</v>
      </c>
      <c r="AP27" s="66" t="e">
        <f t="shared" si="23"/>
        <v>#NAME?</v>
      </c>
      <c r="AQ27" s="66" t="e">
        <f t="shared" si="24"/>
        <v>#NAME?</v>
      </c>
      <c r="AR27" s="66" t="e">
        <f t="shared" si="55"/>
        <v>#NAME?</v>
      </c>
      <c r="AS27" s="66" t="e">
        <f t="shared" si="25"/>
        <v>#NAME?</v>
      </c>
      <c r="AT27" s="66" t="e">
        <f t="shared" si="26"/>
        <v>#NAME?</v>
      </c>
      <c r="AU27" s="66" t="e">
        <f t="shared" si="27"/>
        <v>#NAME?</v>
      </c>
      <c r="AV27" s="66" t="e">
        <f t="shared" si="28"/>
        <v>#NAME?</v>
      </c>
      <c r="AW27" s="66" t="e">
        <f t="shared" si="29"/>
        <v>#NAME?</v>
      </c>
      <c r="AX27" s="66" t="e">
        <f t="shared" si="56"/>
        <v>#NAME?</v>
      </c>
      <c r="AY27" s="66" t="e">
        <f t="shared" si="30"/>
        <v>#NAME?</v>
      </c>
      <c r="AZ27" s="66" t="e">
        <f t="shared" si="31"/>
        <v>#NAME?</v>
      </c>
      <c r="BA27" s="66" t="e">
        <f t="shared" si="32"/>
        <v>#NAME?</v>
      </c>
      <c r="BB27" s="67" t="e">
        <f t="shared" si="57"/>
        <v>#NAME?</v>
      </c>
      <c r="BC27" s="67" t="e">
        <f t="shared" si="10"/>
        <v>#NAME?</v>
      </c>
      <c r="BD27" s="67" t="e">
        <f t="shared" si="11"/>
        <v>#NAME?</v>
      </c>
      <c r="BE27" s="67" t="e">
        <f t="shared" si="33"/>
        <v>#NAME?</v>
      </c>
      <c r="BF27" s="67" t="e">
        <f t="shared" si="58"/>
        <v>#NAME?</v>
      </c>
      <c r="BG27" s="67" t="e">
        <f t="shared" si="59"/>
        <v>#NAME?</v>
      </c>
    </row>
    <row r="28" spans="1:59" ht="15.6" x14ac:dyDescent="0.3">
      <c r="A28" s="8" t="s">
        <v>40</v>
      </c>
      <c r="B28" s="11" t="s">
        <v>41</v>
      </c>
      <c r="C28" s="63" t="s">
        <v>42</v>
      </c>
      <c r="D28" s="64"/>
      <c r="E28" s="65"/>
      <c r="F28" s="66" t="e">
        <f t="shared" si="34"/>
        <v>#NAME?</v>
      </c>
      <c r="G28" s="66" t="e">
        <f t="shared" si="35"/>
        <v>#NAME?</v>
      </c>
      <c r="H28" s="66" t="e">
        <f t="shared" si="36"/>
        <v>#NAME?</v>
      </c>
      <c r="I28" s="66" t="e">
        <f t="shared" si="37"/>
        <v>#NAME?</v>
      </c>
      <c r="J28" s="66" t="e">
        <f t="shared" si="38"/>
        <v>#NAME?</v>
      </c>
      <c r="K28" s="66" t="e">
        <f t="shared" si="39"/>
        <v>#NAME?</v>
      </c>
      <c r="L28" s="66" t="e">
        <f t="shared" si="40"/>
        <v>#NAME?</v>
      </c>
      <c r="M28" s="66" t="e">
        <f t="shared" si="41"/>
        <v>#NAME?</v>
      </c>
      <c r="N28" s="66" t="e">
        <f t="shared" si="42"/>
        <v>#NAME?</v>
      </c>
      <c r="O28" s="66" t="e">
        <f t="shared" si="43"/>
        <v>#NAME?</v>
      </c>
      <c r="P28" s="66" t="e">
        <f t="shared" si="44"/>
        <v>#NAME?</v>
      </c>
      <c r="Q28" s="66" t="e">
        <f t="shared" si="45"/>
        <v>#NAME?</v>
      </c>
      <c r="R28" s="67" t="e">
        <f t="shared" si="46"/>
        <v>#NAME?</v>
      </c>
      <c r="S28" s="67" t="e">
        <f t="shared" si="4"/>
        <v>#NAME?</v>
      </c>
      <c r="T28" s="67" t="e">
        <f t="shared" si="5"/>
        <v>#NAME?</v>
      </c>
      <c r="U28" s="67" t="e">
        <f t="shared" si="47"/>
        <v>#NAME?</v>
      </c>
      <c r="V28" s="67" t="e">
        <f t="shared" si="48"/>
        <v>#NAME?</v>
      </c>
      <c r="W28" s="67" t="e">
        <f t="shared" si="49"/>
        <v>#NAME?</v>
      </c>
      <c r="X28" s="66" t="e">
        <f t="shared" si="12"/>
        <v>#NAME?</v>
      </c>
      <c r="Y28" s="66" t="e">
        <f t="shared" si="13"/>
        <v>#NAME?</v>
      </c>
      <c r="Z28" s="66" t="e">
        <f t="shared" si="50"/>
        <v>#NAME?</v>
      </c>
      <c r="AA28" s="66" t="e">
        <f t="shared" si="14"/>
        <v>#NAME?</v>
      </c>
      <c r="AB28" s="66" t="e">
        <f t="shared" si="15"/>
        <v>#NAME?</v>
      </c>
      <c r="AC28" s="66" t="e">
        <f t="shared" si="16"/>
        <v>#NAME?</v>
      </c>
      <c r="AD28" s="66" t="e">
        <f t="shared" si="17"/>
        <v>#NAME?</v>
      </c>
      <c r="AE28" s="66" t="e">
        <f t="shared" si="18"/>
        <v>#NAME?</v>
      </c>
      <c r="AF28" s="66" t="e">
        <f t="shared" si="51"/>
        <v>#NAME?</v>
      </c>
      <c r="AG28" s="66" t="e">
        <f t="shared" si="19"/>
        <v>#NAME?</v>
      </c>
      <c r="AH28" s="66" t="e">
        <f t="shared" si="20"/>
        <v>#NAME?</v>
      </c>
      <c r="AI28" s="66" t="e">
        <f t="shared" si="21"/>
        <v>#NAME?</v>
      </c>
      <c r="AJ28" s="67" t="e">
        <f t="shared" si="52"/>
        <v>#NAME?</v>
      </c>
      <c r="AK28" s="67" t="e">
        <f t="shared" si="7"/>
        <v>#NAME?</v>
      </c>
      <c r="AL28" s="67" t="e">
        <f t="shared" si="8"/>
        <v>#NAME?</v>
      </c>
      <c r="AM28" s="67" t="e">
        <f t="shared" si="22"/>
        <v>#NAME?</v>
      </c>
      <c r="AN28" s="67" t="e">
        <f t="shared" si="53"/>
        <v>#NAME?</v>
      </c>
      <c r="AO28" s="67" t="e">
        <f t="shared" si="54"/>
        <v>#NAME?</v>
      </c>
      <c r="AP28" s="66" t="e">
        <f t="shared" si="23"/>
        <v>#NAME?</v>
      </c>
      <c r="AQ28" s="66" t="e">
        <f t="shared" si="24"/>
        <v>#NAME?</v>
      </c>
      <c r="AR28" s="66" t="e">
        <f t="shared" si="55"/>
        <v>#NAME?</v>
      </c>
      <c r="AS28" s="66" t="e">
        <f t="shared" si="25"/>
        <v>#NAME?</v>
      </c>
      <c r="AT28" s="66" t="e">
        <f t="shared" si="26"/>
        <v>#NAME?</v>
      </c>
      <c r="AU28" s="66" t="e">
        <f t="shared" si="27"/>
        <v>#NAME?</v>
      </c>
      <c r="AV28" s="66" t="e">
        <f t="shared" si="28"/>
        <v>#NAME?</v>
      </c>
      <c r="AW28" s="66" t="e">
        <f t="shared" si="29"/>
        <v>#NAME?</v>
      </c>
      <c r="AX28" s="66" t="e">
        <f t="shared" si="56"/>
        <v>#NAME?</v>
      </c>
      <c r="AY28" s="66" t="e">
        <f t="shared" si="30"/>
        <v>#NAME?</v>
      </c>
      <c r="AZ28" s="66" t="e">
        <f t="shared" si="31"/>
        <v>#NAME?</v>
      </c>
      <c r="BA28" s="66" t="e">
        <f t="shared" si="32"/>
        <v>#NAME?</v>
      </c>
      <c r="BB28" s="67" t="e">
        <f t="shared" si="57"/>
        <v>#NAME?</v>
      </c>
      <c r="BC28" s="67" t="e">
        <f t="shared" si="10"/>
        <v>#NAME?</v>
      </c>
      <c r="BD28" s="67" t="e">
        <f t="shared" si="11"/>
        <v>#NAME?</v>
      </c>
      <c r="BE28" s="67" t="e">
        <f t="shared" si="33"/>
        <v>#NAME?</v>
      </c>
      <c r="BF28" s="67" t="e">
        <f t="shared" si="58"/>
        <v>#NAME?</v>
      </c>
      <c r="BG28" s="67" t="e">
        <f t="shared" si="59"/>
        <v>#NAME?</v>
      </c>
    </row>
    <row r="29" spans="1:59" ht="15.6" x14ac:dyDescent="0.3">
      <c r="A29" s="8" t="s">
        <v>43</v>
      </c>
      <c r="B29" s="11" t="s">
        <v>44</v>
      </c>
      <c r="C29" s="63" t="s">
        <v>45</v>
      </c>
      <c r="D29" s="64"/>
      <c r="E29" s="65"/>
      <c r="F29" s="66" t="e">
        <f t="shared" si="34"/>
        <v>#NAME?</v>
      </c>
      <c r="G29" s="66" t="e">
        <f t="shared" si="35"/>
        <v>#NAME?</v>
      </c>
      <c r="H29" s="66" t="e">
        <f t="shared" si="36"/>
        <v>#NAME?</v>
      </c>
      <c r="I29" s="66" t="e">
        <f t="shared" si="37"/>
        <v>#NAME?</v>
      </c>
      <c r="J29" s="66" t="e">
        <f t="shared" si="38"/>
        <v>#NAME?</v>
      </c>
      <c r="K29" s="66" t="e">
        <f t="shared" si="39"/>
        <v>#NAME?</v>
      </c>
      <c r="L29" s="66" t="e">
        <f t="shared" si="40"/>
        <v>#NAME?</v>
      </c>
      <c r="M29" s="66" t="e">
        <f t="shared" si="41"/>
        <v>#NAME?</v>
      </c>
      <c r="N29" s="66" t="e">
        <f t="shared" si="42"/>
        <v>#NAME?</v>
      </c>
      <c r="O29" s="66" t="e">
        <f t="shared" si="43"/>
        <v>#NAME?</v>
      </c>
      <c r="P29" s="66" t="e">
        <f t="shared" si="44"/>
        <v>#NAME?</v>
      </c>
      <c r="Q29" s="66" t="e">
        <f t="shared" si="45"/>
        <v>#NAME?</v>
      </c>
      <c r="R29" s="67" t="e">
        <f t="shared" si="46"/>
        <v>#NAME?</v>
      </c>
      <c r="S29" s="67" t="e">
        <f t="shared" si="4"/>
        <v>#NAME?</v>
      </c>
      <c r="T29" s="67" t="e">
        <f t="shared" si="5"/>
        <v>#NAME?</v>
      </c>
      <c r="U29" s="67" t="e">
        <f t="shared" si="47"/>
        <v>#NAME?</v>
      </c>
      <c r="V29" s="67" t="e">
        <f t="shared" si="48"/>
        <v>#NAME?</v>
      </c>
      <c r="W29" s="67" t="e">
        <f t="shared" si="49"/>
        <v>#NAME?</v>
      </c>
      <c r="X29" s="66" t="e">
        <f t="shared" si="12"/>
        <v>#NAME?</v>
      </c>
      <c r="Y29" s="66" t="e">
        <f t="shared" si="13"/>
        <v>#NAME?</v>
      </c>
      <c r="Z29" s="66" t="e">
        <f t="shared" si="50"/>
        <v>#NAME?</v>
      </c>
      <c r="AA29" s="66" t="e">
        <f t="shared" si="14"/>
        <v>#NAME?</v>
      </c>
      <c r="AB29" s="66" t="e">
        <f t="shared" si="15"/>
        <v>#NAME?</v>
      </c>
      <c r="AC29" s="66" t="e">
        <f t="shared" si="16"/>
        <v>#NAME?</v>
      </c>
      <c r="AD29" s="66" t="e">
        <f t="shared" si="17"/>
        <v>#NAME?</v>
      </c>
      <c r="AE29" s="66" t="e">
        <f t="shared" si="18"/>
        <v>#NAME?</v>
      </c>
      <c r="AF29" s="66" t="e">
        <f t="shared" si="51"/>
        <v>#NAME?</v>
      </c>
      <c r="AG29" s="66" t="e">
        <f t="shared" si="19"/>
        <v>#NAME?</v>
      </c>
      <c r="AH29" s="66" t="e">
        <f t="shared" si="20"/>
        <v>#NAME?</v>
      </c>
      <c r="AI29" s="66" t="e">
        <f t="shared" si="21"/>
        <v>#NAME?</v>
      </c>
      <c r="AJ29" s="67" t="e">
        <f t="shared" si="52"/>
        <v>#NAME?</v>
      </c>
      <c r="AK29" s="67" t="e">
        <f t="shared" si="7"/>
        <v>#NAME?</v>
      </c>
      <c r="AL29" s="67" t="e">
        <f t="shared" si="8"/>
        <v>#NAME?</v>
      </c>
      <c r="AM29" s="67" t="e">
        <f t="shared" si="22"/>
        <v>#NAME?</v>
      </c>
      <c r="AN29" s="67" t="e">
        <f t="shared" si="53"/>
        <v>#NAME?</v>
      </c>
      <c r="AO29" s="67" t="e">
        <f t="shared" si="54"/>
        <v>#NAME?</v>
      </c>
      <c r="AP29" s="66" t="e">
        <f t="shared" si="23"/>
        <v>#NAME?</v>
      </c>
      <c r="AQ29" s="66" t="e">
        <f t="shared" si="24"/>
        <v>#NAME?</v>
      </c>
      <c r="AR29" s="66" t="e">
        <f t="shared" si="55"/>
        <v>#NAME?</v>
      </c>
      <c r="AS29" s="66" t="e">
        <f t="shared" si="25"/>
        <v>#NAME?</v>
      </c>
      <c r="AT29" s="66" t="e">
        <f t="shared" si="26"/>
        <v>#NAME?</v>
      </c>
      <c r="AU29" s="66" t="e">
        <f t="shared" si="27"/>
        <v>#NAME?</v>
      </c>
      <c r="AV29" s="66" t="e">
        <f t="shared" si="28"/>
        <v>#NAME?</v>
      </c>
      <c r="AW29" s="66" t="e">
        <f t="shared" si="29"/>
        <v>#NAME?</v>
      </c>
      <c r="AX29" s="66" t="e">
        <f t="shared" si="56"/>
        <v>#NAME?</v>
      </c>
      <c r="AY29" s="66" t="e">
        <f t="shared" si="30"/>
        <v>#NAME?</v>
      </c>
      <c r="AZ29" s="66" t="e">
        <f t="shared" si="31"/>
        <v>#NAME?</v>
      </c>
      <c r="BA29" s="66" t="e">
        <f t="shared" si="32"/>
        <v>#NAME?</v>
      </c>
      <c r="BB29" s="67" t="e">
        <f t="shared" si="57"/>
        <v>#NAME?</v>
      </c>
      <c r="BC29" s="67" t="e">
        <f t="shared" si="10"/>
        <v>#NAME?</v>
      </c>
      <c r="BD29" s="67" t="e">
        <f t="shared" si="11"/>
        <v>#NAME?</v>
      </c>
      <c r="BE29" s="67" t="e">
        <f t="shared" si="33"/>
        <v>#NAME?</v>
      </c>
      <c r="BF29" s="67" t="e">
        <f t="shared" si="58"/>
        <v>#NAME?</v>
      </c>
      <c r="BG29" s="67" t="e">
        <f t="shared" si="59"/>
        <v>#NAME?</v>
      </c>
    </row>
    <row r="30" spans="1:59" ht="15.6" x14ac:dyDescent="0.3">
      <c r="A30" s="8" t="s">
        <v>46</v>
      </c>
      <c r="B30" s="11" t="s">
        <v>47</v>
      </c>
      <c r="C30" s="63" t="s">
        <v>48</v>
      </c>
      <c r="D30" s="64"/>
      <c r="E30" s="65"/>
      <c r="F30" s="66" t="e">
        <f t="shared" si="34"/>
        <v>#NAME?</v>
      </c>
      <c r="G30" s="66" t="e">
        <f t="shared" si="35"/>
        <v>#NAME?</v>
      </c>
      <c r="H30" s="66" t="e">
        <f t="shared" si="36"/>
        <v>#NAME?</v>
      </c>
      <c r="I30" s="66" t="e">
        <f t="shared" si="37"/>
        <v>#NAME?</v>
      </c>
      <c r="J30" s="66" t="e">
        <f t="shared" si="38"/>
        <v>#NAME?</v>
      </c>
      <c r="K30" s="66" t="e">
        <f t="shared" si="39"/>
        <v>#NAME?</v>
      </c>
      <c r="L30" s="66" t="e">
        <f t="shared" si="40"/>
        <v>#NAME?</v>
      </c>
      <c r="M30" s="66" t="e">
        <f t="shared" si="41"/>
        <v>#NAME?</v>
      </c>
      <c r="N30" s="66" t="e">
        <f t="shared" si="42"/>
        <v>#NAME?</v>
      </c>
      <c r="O30" s="66" t="e">
        <f t="shared" si="43"/>
        <v>#NAME?</v>
      </c>
      <c r="P30" s="66" t="e">
        <f t="shared" si="44"/>
        <v>#NAME?</v>
      </c>
      <c r="Q30" s="66" t="e">
        <f t="shared" si="45"/>
        <v>#NAME?</v>
      </c>
      <c r="R30" s="67" t="e">
        <f t="shared" si="46"/>
        <v>#NAME?</v>
      </c>
      <c r="S30" s="67" t="e">
        <f t="shared" si="4"/>
        <v>#NAME?</v>
      </c>
      <c r="T30" s="67" t="e">
        <f t="shared" si="5"/>
        <v>#NAME?</v>
      </c>
      <c r="U30" s="67" t="e">
        <f t="shared" si="47"/>
        <v>#NAME?</v>
      </c>
      <c r="V30" s="67" t="e">
        <f t="shared" si="48"/>
        <v>#NAME?</v>
      </c>
      <c r="W30" s="67" t="e">
        <f t="shared" si="49"/>
        <v>#NAME?</v>
      </c>
      <c r="X30" s="66" t="e">
        <f t="shared" si="12"/>
        <v>#NAME?</v>
      </c>
      <c r="Y30" s="66" t="e">
        <f t="shared" si="13"/>
        <v>#NAME?</v>
      </c>
      <c r="Z30" s="66" t="e">
        <f t="shared" si="50"/>
        <v>#NAME?</v>
      </c>
      <c r="AA30" s="66" t="e">
        <f t="shared" si="14"/>
        <v>#NAME?</v>
      </c>
      <c r="AB30" s="66" t="e">
        <f t="shared" si="15"/>
        <v>#NAME?</v>
      </c>
      <c r="AC30" s="66" t="e">
        <f t="shared" si="16"/>
        <v>#NAME?</v>
      </c>
      <c r="AD30" s="66" t="e">
        <f t="shared" si="17"/>
        <v>#NAME?</v>
      </c>
      <c r="AE30" s="66" t="e">
        <f t="shared" si="18"/>
        <v>#NAME?</v>
      </c>
      <c r="AF30" s="66" t="e">
        <f t="shared" si="51"/>
        <v>#NAME?</v>
      </c>
      <c r="AG30" s="66" t="e">
        <f t="shared" si="19"/>
        <v>#NAME?</v>
      </c>
      <c r="AH30" s="66" t="e">
        <f t="shared" si="20"/>
        <v>#NAME?</v>
      </c>
      <c r="AI30" s="66" t="e">
        <f t="shared" si="21"/>
        <v>#NAME?</v>
      </c>
      <c r="AJ30" s="67" t="e">
        <f t="shared" si="52"/>
        <v>#NAME?</v>
      </c>
      <c r="AK30" s="67" t="e">
        <f t="shared" si="7"/>
        <v>#NAME?</v>
      </c>
      <c r="AL30" s="67" t="e">
        <f t="shared" si="8"/>
        <v>#NAME?</v>
      </c>
      <c r="AM30" s="67" t="e">
        <f t="shared" si="22"/>
        <v>#NAME?</v>
      </c>
      <c r="AN30" s="67" t="e">
        <f t="shared" si="53"/>
        <v>#NAME?</v>
      </c>
      <c r="AO30" s="67" t="e">
        <f t="shared" si="54"/>
        <v>#NAME?</v>
      </c>
      <c r="AP30" s="66" t="e">
        <f t="shared" si="23"/>
        <v>#NAME?</v>
      </c>
      <c r="AQ30" s="66" t="e">
        <f t="shared" si="24"/>
        <v>#NAME?</v>
      </c>
      <c r="AR30" s="66" t="e">
        <f t="shared" si="55"/>
        <v>#NAME?</v>
      </c>
      <c r="AS30" s="66" t="e">
        <f t="shared" si="25"/>
        <v>#NAME?</v>
      </c>
      <c r="AT30" s="66" t="e">
        <f t="shared" si="26"/>
        <v>#NAME?</v>
      </c>
      <c r="AU30" s="66" t="e">
        <f t="shared" si="27"/>
        <v>#NAME?</v>
      </c>
      <c r="AV30" s="66" t="e">
        <f t="shared" si="28"/>
        <v>#NAME?</v>
      </c>
      <c r="AW30" s="66" t="e">
        <f t="shared" si="29"/>
        <v>#NAME?</v>
      </c>
      <c r="AX30" s="66" t="e">
        <f t="shared" si="56"/>
        <v>#NAME?</v>
      </c>
      <c r="AY30" s="66" t="e">
        <f t="shared" si="30"/>
        <v>#NAME?</v>
      </c>
      <c r="AZ30" s="66" t="e">
        <f t="shared" si="31"/>
        <v>#NAME?</v>
      </c>
      <c r="BA30" s="66" t="e">
        <f t="shared" si="32"/>
        <v>#NAME?</v>
      </c>
      <c r="BB30" s="67" t="e">
        <f t="shared" si="57"/>
        <v>#NAME?</v>
      </c>
      <c r="BC30" s="67" t="e">
        <f t="shared" si="10"/>
        <v>#NAME?</v>
      </c>
      <c r="BD30" s="67" t="e">
        <f t="shared" si="11"/>
        <v>#NAME?</v>
      </c>
      <c r="BE30" s="67" t="e">
        <f t="shared" si="33"/>
        <v>#NAME?</v>
      </c>
      <c r="BF30" s="67" t="e">
        <f t="shared" si="58"/>
        <v>#NAME?</v>
      </c>
      <c r="BG30" s="67" t="e">
        <f t="shared" si="59"/>
        <v>#NAME?</v>
      </c>
    </row>
    <row r="31" spans="1:59" ht="15.6" x14ac:dyDescent="0.3">
      <c r="A31" s="8" t="s">
        <v>49</v>
      </c>
      <c r="B31" s="11" t="s">
        <v>50</v>
      </c>
      <c r="C31" s="63" t="s">
        <v>51</v>
      </c>
      <c r="D31" s="64"/>
      <c r="E31" s="65"/>
      <c r="F31" s="66" t="e">
        <f t="shared" si="34"/>
        <v>#NAME?</v>
      </c>
      <c r="G31" s="66" t="e">
        <f t="shared" si="35"/>
        <v>#NAME?</v>
      </c>
      <c r="H31" s="66" t="e">
        <f t="shared" si="36"/>
        <v>#NAME?</v>
      </c>
      <c r="I31" s="66" t="e">
        <f t="shared" si="37"/>
        <v>#NAME?</v>
      </c>
      <c r="J31" s="66" t="e">
        <f t="shared" si="38"/>
        <v>#NAME?</v>
      </c>
      <c r="K31" s="66" t="e">
        <f t="shared" si="39"/>
        <v>#NAME?</v>
      </c>
      <c r="L31" s="66" t="e">
        <f t="shared" si="40"/>
        <v>#NAME?</v>
      </c>
      <c r="M31" s="66" t="e">
        <f t="shared" si="41"/>
        <v>#NAME?</v>
      </c>
      <c r="N31" s="66" t="e">
        <f t="shared" si="42"/>
        <v>#NAME?</v>
      </c>
      <c r="O31" s="66" t="e">
        <f t="shared" si="43"/>
        <v>#NAME?</v>
      </c>
      <c r="P31" s="66" t="e">
        <f t="shared" si="44"/>
        <v>#NAME?</v>
      </c>
      <c r="Q31" s="66" t="e">
        <f t="shared" si="45"/>
        <v>#NAME?</v>
      </c>
      <c r="R31" s="67" t="e">
        <f t="shared" si="46"/>
        <v>#NAME?</v>
      </c>
      <c r="S31" s="67" t="e">
        <f t="shared" si="4"/>
        <v>#NAME?</v>
      </c>
      <c r="T31" s="67" t="e">
        <f t="shared" si="5"/>
        <v>#NAME?</v>
      </c>
      <c r="U31" s="67" t="e">
        <f t="shared" si="47"/>
        <v>#NAME?</v>
      </c>
      <c r="V31" s="67" t="e">
        <f t="shared" si="48"/>
        <v>#NAME?</v>
      </c>
      <c r="W31" s="67" t="e">
        <f t="shared" si="49"/>
        <v>#NAME?</v>
      </c>
      <c r="X31" s="66" t="e">
        <f t="shared" si="12"/>
        <v>#NAME?</v>
      </c>
      <c r="Y31" s="66" t="e">
        <f t="shared" si="13"/>
        <v>#NAME?</v>
      </c>
      <c r="Z31" s="66" t="e">
        <f t="shared" si="50"/>
        <v>#NAME?</v>
      </c>
      <c r="AA31" s="66" t="e">
        <f t="shared" si="14"/>
        <v>#NAME?</v>
      </c>
      <c r="AB31" s="66" t="e">
        <f t="shared" si="15"/>
        <v>#NAME?</v>
      </c>
      <c r="AC31" s="66" t="e">
        <f t="shared" si="16"/>
        <v>#NAME?</v>
      </c>
      <c r="AD31" s="66" t="e">
        <f t="shared" si="17"/>
        <v>#NAME?</v>
      </c>
      <c r="AE31" s="66" t="e">
        <f t="shared" si="18"/>
        <v>#NAME?</v>
      </c>
      <c r="AF31" s="66" t="e">
        <f t="shared" si="51"/>
        <v>#NAME?</v>
      </c>
      <c r="AG31" s="66" t="e">
        <f t="shared" si="19"/>
        <v>#NAME?</v>
      </c>
      <c r="AH31" s="66" t="e">
        <f t="shared" si="20"/>
        <v>#NAME?</v>
      </c>
      <c r="AI31" s="66" t="e">
        <f t="shared" si="21"/>
        <v>#NAME?</v>
      </c>
      <c r="AJ31" s="67" t="e">
        <f t="shared" si="52"/>
        <v>#NAME?</v>
      </c>
      <c r="AK31" s="67" t="e">
        <f t="shared" si="7"/>
        <v>#NAME?</v>
      </c>
      <c r="AL31" s="67" t="e">
        <f t="shared" si="8"/>
        <v>#NAME?</v>
      </c>
      <c r="AM31" s="67" t="e">
        <f t="shared" si="22"/>
        <v>#NAME?</v>
      </c>
      <c r="AN31" s="67" t="e">
        <f t="shared" si="53"/>
        <v>#NAME?</v>
      </c>
      <c r="AO31" s="67" t="e">
        <f t="shared" si="54"/>
        <v>#NAME?</v>
      </c>
      <c r="AP31" s="66" t="e">
        <f t="shared" si="23"/>
        <v>#NAME?</v>
      </c>
      <c r="AQ31" s="66" t="e">
        <f t="shared" si="24"/>
        <v>#NAME?</v>
      </c>
      <c r="AR31" s="66" t="e">
        <f t="shared" si="55"/>
        <v>#NAME?</v>
      </c>
      <c r="AS31" s="66" t="e">
        <f t="shared" si="25"/>
        <v>#NAME?</v>
      </c>
      <c r="AT31" s="66" t="e">
        <f t="shared" si="26"/>
        <v>#NAME?</v>
      </c>
      <c r="AU31" s="66" t="e">
        <f t="shared" si="27"/>
        <v>#NAME?</v>
      </c>
      <c r="AV31" s="66" t="e">
        <f t="shared" si="28"/>
        <v>#NAME?</v>
      </c>
      <c r="AW31" s="66" t="e">
        <f t="shared" si="29"/>
        <v>#NAME?</v>
      </c>
      <c r="AX31" s="66" t="e">
        <f t="shared" si="56"/>
        <v>#NAME?</v>
      </c>
      <c r="AY31" s="66" t="e">
        <f t="shared" si="30"/>
        <v>#NAME?</v>
      </c>
      <c r="AZ31" s="66" t="e">
        <f t="shared" si="31"/>
        <v>#NAME?</v>
      </c>
      <c r="BA31" s="66" t="e">
        <f t="shared" si="32"/>
        <v>#NAME?</v>
      </c>
      <c r="BB31" s="67" t="e">
        <f t="shared" si="57"/>
        <v>#NAME?</v>
      </c>
      <c r="BC31" s="67" t="e">
        <f t="shared" si="10"/>
        <v>#NAME?</v>
      </c>
      <c r="BD31" s="67" t="e">
        <f t="shared" si="11"/>
        <v>#NAME?</v>
      </c>
      <c r="BE31" s="67" t="e">
        <f t="shared" si="33"/>
        <v>#NAME?</v>
      </c>
      <c r="BF31" s="67" t="e">
        <f t="shared" si="58"/>
        <v>#NAME?</v>
      </c>
      <c r="BG31" s="67" t="e">
        <f t="shared" si="59"/>
        <v>#NAME?</v>
      </c>
    </row>
    <row r="32" spans="1:59" ht="15.6" x14ac:dyDescent="0.3">
      <c r="A32" s="8" t="s">
        <v>52</v>
      </c>
      <c r="B32" s="11" t="s">
        <v>53</v>
      </c>
      <c r="C32" s="63" t="s">
        <v>54</v>
      </c>
      <c r="D32" s="64"/>
      <c r="E32" s="65"/>
      <c r="F32" s="66" t="e">
        <f t="shared" si="34"/>
        <v>#NAME?</v>
      </c>
      <c r="G32" s="66" t="e">
        <f t="shared" si="35"/>
        <v>#NAME?</v>
      </c>
      <c r="H32" s="66" t="e">
        <f t="shared" si="36"/>
        <v>#NAME?</v>
      </c>
      <c r="I32" s="66" t="e">
        <f t="shared" si="37"/>
        <v>#NAME?</v>
      </c>
      <c r="J32" s="66" t="e">
        <f t="shared" si="38"/>
        <v>#NAME?</v>
      </c>
      <c r="K32" s="66" t="e">
        <f t="shared" si="39"/>
        <v>#NAME?</v>
      </c>
      <c r="L32" s="66" t="e">
        <f t="shared" si="40"/>
        <v>#NAME?</v>
      </c>
      <c r="M32" s="66" t="e">
        <f t="shared" si="41"/>
        <v>#NAME?</v>
      </c>
      <c r="N32" s="66" t="e">
        <f t="shared" si="42"/>
        <v>#NAME?</v>
      </c>
      <c r="O32" s="66" t="e">
        <f t="shared" si="43"/>
        <v>#NAME?</v>
      </c>
      <c r="P32" s="66" t="e">
        <f t="shared" si="44"/>
        <v>#NAME?</v>
      </c>
      <c r="Q32" s="66" t="e">
        <f t="shared" si="45"/>
        <v>#NAME?</v>
      </c>
      <c r="R32" s="67" t="e">
        <f t="shared" si="46"/>
        <v>#NAME?</v>
      </c>
      <c r="S32" s="67" t="e">
        <f t="shared" si="4"/>
        <v>#NAME?</v>
      </c>
      <c r="T32" s="67" t="e">
        <f t="shared" si="5"/>
        <v>#NAME?</v>
      </c>
      <c r="U32" s="67" t="e">
        <f t="shared" si="47"/>
        <v>#NAME?</v>
      </c>
      <c r="V32" s="67" t="e">
        <f t="shared" si="48"/>
        <v>#NAME?</v>
      </c>
      <c r="W32" s="67" t="e">
        <f t="shared" si="49"/>
        <v>#NAME?</v>
      </c>
      <c r="X32" s="66" t="e">
        <f t="shared" si="12"/>
        <v>#NAME?</v>
      </c>
      <c r="Y32" s="66" t="e">
        <f t="shared" si="13"/>
        <v>#NAME?</v>
      </c>
      <c r="Z32" s="66" t="e">
        <f t="shared" si="50"/>
        <v>#NAME?</v>
      </c>
      <c r="AA32" s="66" t="e">
        <f t="shared" si="14"/>
        <v>#NAME?</v>
      </c>
      <c r="AB32" s="66" t="e">
        <f t="shared" si="15"/>
        <v>#NAME?</v>
      </c>
      <c r="AC32" s="66" t="e">
        <f t="shared" si="16"/>
        <v>#NAME?</v>
      </c>
      <c r="AD32" s="66" t="e">
        <f t="shared" si="17"/>
        <v>#NAME?</v>
      </c>
      <c r="AE32" s="66" t="e">
        <f t="shared" si="18"/>
        <v>#NAME?</v>
      </c>
      <c r="AF32" s="66" t="e">
        <f t="shared" si="51"/>
        <v>#NAME?</v>
      </c>
      <c r="AG32" s="66" t="e">
        <f t="shared" si="19"/>
        <v>#NAME?</v>
      </c>
      <c r="AH32" s="66" t="e">
        <f t="shared" si="20"/>
        <v>#NAME?</v>
      </c>
      <c r="AI32" s="66" t="e">
        <f t="shared" si="21"/>
        <v>#NAME?</v>
      </c>
      <c r="AJ32" s="67" t="e">
        <f t="shared" si="52"/>
        <v>#NAME?</v>
      </c>
      <c r="AK32" s="67" t="e">
        <f t="shared" si="7"/>
        <v>#NAME?</v>
      </c>
      <c r="AL32" s="67" t="e">
        <f t="shared" si="8"/>
        <v>#NAME?</v>
      </c>
      <c r="AM32" s="67" t="e">
        <f t="shared" si="22"/>
        <v>#NAME?</v>
      </c>
      <c r="AN32" s="67" t="e">
        <f t="shared" si="53"/>
        <v>#NAME?</v>
      </c>
      <c r="AO32" s="67" t="e">
        <f t="shared" si="54"/>
        <v>#NAME?</v>
      </c>
      <c r="AP32" s="66" t="e">
        <f t="shared" si="23"/>
        <v>#NAME?</v>
      </c>
      <c r="AQ32" s="66" t="e">
        <f t="shared" si="24"/>
        <v>#NAME?</v>
      </c>
      <c r="AR32" s="66" t="e">
        <f t="shared" si="55"/>
        <v>#NAME?</v>
      </c>
      <c r="AS32" s="66" t="e">
        <f t="shared" si="25"/>
        <v>#NAME?</v>
      </c>
      <c r="AT32" s="66" t="e">
        <f t="shared" si="26"/>
        <v>#NAME?</v>
      </c>
      <c r="AU32" s="66" t="e">
        <f t="shared" si="27"/>
        <v>#NAME?</v>
      </c>
      <c r="AV32" s="66" t="e">
        <f t="shared" si="28"/>
        <v>#NAME?</v>
      </c>
      <c r="AW32" s="66" t="e">
        <f t="shared" si="29"/>
        <v>#NAME?</v>
      </c>
      <c r="AX32" s="66" t="e">
        <f t="shared" si="56"/>
        <v>#NAME?</v>
      </c>
      <c r="AY32" s="66" t="e">
        <f t="shared" si="30"/>
        <v>#NAME?</v>
      </c>
      <c r="AZ32" s="66" t="e">
        <f t="shared" si="31"/>
        <v>#NAME?</v>
      </c>
      <c r="BA32" s="66" t="e">
        <f t="shared" si="32"/>
        <v>#NAME?</v>
      </c>
      <c r="BB32" s="67" t="e">
        <f t="shared" si="57"/>
        <v>#NAME?</v>
      </c>
      <c r="BC32" s="67" t="e">
        <f t="shared" si="10"/>
        <v>#NAME?</v>
      </c>
      <c r="BD32" s="67" t="e">
        <f t="shared" si="11"/>
        <v>#NAME?</v>
      </c>
      <c r="BE32" s="67" t="e">
        <f t="shared" si="33"/>
        <v>#NAME?</v>
      </c>
      <c r="BF32" s="67" t="e">
        <f t="shared" si="58"/>
        <v>#NAME?</v>
      </c>
      <c r="BG32" s="67" t="e">
        <f t="shared" si="59"/>
        <v>#NAME?</v>
      </c>
    </row>
    <row r="33" spans="1:59" ht="15.6" x14ac:dyDescent="0.3">
      <c r="A33" s="8" t="s">
        <v>55</v>
      </c>
      <c r="B33" s="11" t="s">
        <v>56</v>
      </c>
      <c r="C33" s="63" t="s">
        <v>57</v>
      </c>
      <c r="D33" s="64"/>
      <c r="E33" s="65"/>
      <c r="F33" s="66" t="e">
        <f t="shared" si="34"/>
        <v>#NAME?</v>
      </c>
      <c r="G33" s="66" t="e">
        <f t="shared" si="35"/>
        <v>#NAME?</v>
      </c>
      <c r="H33" s="66" t="e">
        <f t="shared" si="36"/>
        <v>#NAME?</v>
      </c>
      <c r="I33" s="66" t="e">
        <f t="shared" si="37"/>
        <v>#NAME?</v>
      </c>
      <c r="J33" s="66" t="e">
        <f t="shared" si="38"/>
        <v>#NAME?</v>
      </c>
      <c r="K33" s="66" t="e">
        <f t="shared" si="39"/>
        <v>#NAME?</v>
      </c>
      <c r="L33" s="66" t="e">
        <f t="shared" si="40"/>
        <v>#NAME?</v>
      </c>
      <c r="M33" s="66" t="e">
        <f t="shared" si="41"/>
        <v>#NAME?</v>
      </c>
      <c r="N33" s="66" t="e">
        <f t="shared" si="42"/>
        <v>#NAME?</v>
      </c>
      <c r="O33" s="66" t="e">
        <f t="shared" si="43"/>
        <v>#NAME?</v>
      </c>
      <c r="P33" s="66" t="e">
        <f t="shared" si="44"/>
        <v>#NAME?</v>
      </c>
      <c r="Q33" s="66" t="e">
        <f t="shared" si="45"/>
        <v>#NAME?</v>
      </c>
      <c r="R33" s="67" t="e">
        <f t="shared" si="46"/>
        <v>#NAME?</v>
      </c>
      <c r="S33" s="67" t="e">
        <f t="shared" si="4"/>
        <v>#NAME?</v>
      </c>
      <c r="T33" s="67" t="e">
        <f t="shared" si="5"/>
        <v>#NAME?</v>
      </c>
      <c r="U33" s="67" t="e">
        <f t="shared" si="47"/>
        <v>#NAME?</v>
      </c>
      <c r="V33" s="67" t="e">
        <f t="shared" si="48"/>
        <v>#NAME?</v>
      </c>
      <c r="W33" s="67" t="e">
        <f t="shared" si="49"/>
        <v>#NAME?</v>
      </c>
      <c r="X33" s="66" t="e">
        <f t="shared" si="12"/>
        <v>#NAME?</v>
      </c>
      <c r="Y33" s="66" t="e">
        <f t="shared" si="13"/>
        <v>#NAME?</v>
      </c>
      <c r="Z33" s="66" t="e">
        <f t="shared" si="50"/>
        <v>#NAME?</v>
      </c>
      <c r="AA33" s="66" t="e">
        <f t="shared" si="14"/>
        <v>#NAME?</v>
      </c>
      <c r="AB33" s="66" t="e">
        <f t="shared" si="15"/>
        <v>#NAME?</v>
      </c>
      <c r="AC33" s="66" t="e">
        <f t="shared" si="16"/>
        <v>#NAME?</v>
      </c>
      <c r="AD33" s="66" t="e">
        <f t="shared" si="17"/>
        <v>#NAME?</v>
      </c>
      <c r="AE33" s="66" t="e">
        <f t="shared" si="18"/>
        <v>#NAME?</v>
      </c>
      <c r="AF33" s="66" t="e">
        <f t="shared" si="51"/>
        <v>#NAME?</v>
      </c>
      <c r="AG33" s="66" t="e">
        <f t="shared" si="19"/>
        <v>#NAME?</v>
      </c>
      <c r="AH33" s="66" t="e">
        <f t="shared" si="20"/>
        <v>#NAME?</v>
      </c>
      <c r="AI33" s="66" t="e">
        <f t="shared" si="21"/>
        <v>#NAME?</v>
      </c>
      <c r="AJ33" s="67" t="e">
        <f t="shared" si="52"/>
        <v>#NAME?</v>
      </c>
      <c r="AK33" s="67" t="e">
        <f t="shared" si="7"/>
        <v>#NAME?</v>
      </c>
      <c r="AL33" s="67" t="e">
        <f t="shared" si="8"/>
        <v>#NAME?</v>
      </c>
      <c r="AM33" s="67" t="e">
        <f t="shared" si="22"/>
        <v>#NAME?</v>
      </c>
      <c r="AN33" s="67" t="e">
        <f t="shared" si="53"/>
        <v>#NAME?</v>
      </c>
      <c r="AO33" s="67" t="e">
        <f t="shared" si="54"/>
        <v>#NAME?</v>
      </c>
      <c r="AP33" s="66" t="e">
        <f t="shared" si="23"/>
        <v>#NAME?</v>
      </c>
      <c r="AQ33" s="66" t="e">
        <f t="shared" si="24"/>
        <v>#NAME?</v>
      </c>
      <c r="AR33" s="66" t="e">
        <f t="shared" si="55"/>
        <v>#NAME?</v>
      </c>
      <c r="AS33" s="66" t="e">
        <f t="shared" si="25"/>
        <v>#NAME?</v>
      </c>
      <c r="AT33" s="66" t="e">
        <f t="shared" si="26"/>
        <v>#NAME?</v>
      </c>
      <c r="AU33" s="66" t="e">
        <f t="shared" si="27"/>
        <v>#NAME?</v>
      </c>
      <c r="AV33" s="66" t="e">
        <f t="shared" si="28"/>
        <v>#NAME?</v>
      </c>
      <c r="AW33" s="66" t="e">
        <f t="shared" si="29"/>
        <v>#NAME?</v>
      </c>
      <c r="AX33" s="66" t="e">
        <f t="shared" si="56"/>
        <v>#NAME?</v>
      </c>
      <c r="AY33" s="66" t="e">
        <f t="shared" si="30"/>
        <v>#NAME?</v>
      </c>
      <c r="AZ33" s="66" t="e">
        <f t="shared" si="31"/>
        <v>#NAME?</v>
      </c>
      <c r="BA33" s="66" t="e">
        <f t="shared" si="32"/>
        <v>#NAME?</v>
      </c>
      <c r="BB33" s="67" t="e">
        <f t="shared" si="57"/>
        <v>#NAME?</v>
      </c>
      <c r="BC33" s="67" t="e">
        <f t="shared" si="10"/>
        <v>#NAME?</v>
      </c>
      <c r="BD33" s="67" t="e">
        <f t="shared" si="11"/>
        <v>#NAME?</v>
      </c>
      <c r="BE33" s="67" t="e">
        <f t="shared" si="33"/>
        <v>#NAME?</v>
      </c>
      <c r="BF33" s="67" t="e">
        <f t="shared" si="58"/>
        <v>#NAME?</v>
      </c>
      <c r="BG33" s="67" t="e">
        <f t="shared" si="59"/>
        <v>#NAME?</v>
      </c>
    </row>
    <row r="34" spans="1:59" ht="15.6" x14ac:dyDescent="0.3">
      <c r="A34" s="8" t="s">
        <v>58</v>
      </c>
      <c r="B34" s="11" t="s">
        <v>59</v>
      </c>
      <c r="C34" s="63" t="s">
        <v>60</v>
      </c>
      <c r="D34" s="64"/>
      <c r="E34" s="65"/>
      <c r="F34" s="66" t="e">
        <f t="shared" si="34"/>
        <v>#NAME?</v>
      </c>
      <c r="G34" s="66" t="e">
        <f t="shared" si="35"/>
        <v>#NAME?</v>
      </c>
      <c r="H34" s="66" t="e">
        <f t="shared" si="36"/>
        <v>#NAME?</v>
      </c>
      <c r="I34" s="66" t="e">
        <f t="shared" si="37"/>
        <v>#NAME?</v>
      </c>
      <c r="J34" s="66" t="e">
        <f t="shared" si="38"/>
        <v>#NAME?</v>
      </c>
      <c r="K34" s="66" t="e">
        <f t="shared" si="39"/>
        <v>#NAME?</v>
      </c>
      <c r="L34" s="66" t="e">
        <f t="shared" si="40"/>
        <v>#NAME?</v>
      </c>
      <c r="M34" s="66" t="e">
        <f t="shared" si="41"/>
        <v>#NAME?</v>
      </c>
      <c r="N34" s="66" t="e">
        <f t="shared" si="42"/>
        <v>#NAME?</v>
      </c>
      <c r="O34" s="66" t="e">
        <f t="shared" si="43"/>
        <v>#NAME?</v>
      </c>
      <c r="P34" s="66" t="e">
        <f t="shared" si="44"/>
        <v>#NAME?</v>
      </c>
      <c r="Q34" s="66" t="e">
        <f t="shared" si="45"/>
        <v>#NAME?</v>
      </c>
      <c r="R34" s="67" t="e">
        <f t="shared" si="46"/>
        <v>#NAME?</v>
      </c>
      <c r="S34" s="67" t="e">
        <f t="shared" si="4"/>
        <v>#NAME?</v>
      </c>
      <c r="T34" s="67" t="e">
        <f t="shared" si="5"/>
        <v>#NAME?</v>
      </c>
      <c r="U34" s="67" t="e">
        <f t="shared" si="47"/>
        <v>#NAME?</v>
      </c>
      <c r="V34" s="67" t="e">
        <f t="shared" si="48"/>
        <v>#NAME?</v>
      </c>
      <c r="W34" s="67" t="e">
        <f t="shared" si="49"/>
        <v>#NAME?</v>
      </c>
      <c r="X34" s="66" t="e">
        <f t="shared" si="12"/>
        <v>#NAME?</v>
      </c>
      <c r="Y34" s="66" t="e">
        <f t="shared" si="13"/>
        <v>#NAME?</v>
      </c>
      <c r="Z34" s="66" t="e">
        <f t="shared" si="50"/>
        <v>#NAME?</v>
      </c>
      <c r="AA34" s="66" t="e">
        <f t="shared" si="14"/>
        <v>#NAME?</v>
      </c>
      <c r="AB34" s="66" t="e">
        <f t="shared" si="15"/>
        <v>#NAME?</v>
      </c>
      <c r="AC34" s="66" t="e">
        <f t="shared" si="16"/>
        <v>#NAME?</v>
      </c>
      <c r="AD34" s="66" t="e">
        <f t="shared" si="17"/>
        <v>#NAME?</v>
      </c>
      <c r="AE34" s="66" t="e">
        <f t="shared" si="18"/>
        <v>#NAME?</v>
      </c>
      <c r="AF34" s="66" t="e">
        <f t="shared" si="51"/>
        <v>#NAME?</v>
      </c>
      <c r="AG34" s="66" t="e">
        <f t="shared" si="19"/>
        <v>#NAME?</v>
      </c>
      <c r="AH34" s="66" t="e">
        <f t="shared" si="20"/>
        <v>#NAME?</v>
      </c>
      <c r="AI34" s="66" t="e">
        <f t="shared" si="21"/>
        <v>#NAME?</v>
      </c>
      <c r="AJ34" s="67" t="e">
        <f t="shared" si="52"/>
        <v>#NAME?</v>
      </c>
      <c r="AK34" s="67" t="e">
        <f t="shared" si="7"/>
        <v>#NAME?</v>
      </c>
      <c r="AL34" s="67" t="e">
        <f t="shared" si="8"/>
        <v>#NAME?</v>
      </c>
      <c r="AM34" s="67" t="e">
        <f t="shared" si="22"/>
        <v>#NAME?</v>
      </c>
      <c r="AN34" s="67" t="e">
        <f t="shared" si="53"/>
        <v>#NAME?</v>
      </c>
      <c r="AO34" s="67" t="e">
        <f t="shared" si="54"/>
        <v>#NAME?</v>
      </c>
      <c r="AP34" s="66" t="e">
        <f t="shared" si="23"/>
        <v>#NAME?</v>
      </c>
      <c r="AQ34" s="66" t="e">
        <f t="shared" si="24"/>
        <v>#NAME?</v>
      </c>
      <c r="AR34" s="66" t="e">
        <f t="shared" si="55"/>
        <v>#NAME?</v>
      </c>
      <c r="AS34" s="66" t="e">
        <f t="shared" si="25"/>
        <v>#NAME?</v>
      </c>
      <c r="AT34" s="66" t="e">
        <f t="shared" si="26"/>
        <v>#NAME?</v>
      </c>
      <c r="AU34" s="66" t="e">
        <f t="shared" si="27"/>
        <v>#NAME?</v>
      </c>
      <c r="AV34" s="66" t="e">
        <f t="shared" si="28"/>
        <v>#NAME?</v>
      </c>
      <c r="AW34" s="66" t="e">
        <f t="shared" si="29"/>
        <v>#NAME?</v>
      </c>
      <c r="AX34" s="66" t="e">
        <f t="shared" si="56"/>
        <v>#NAME?</v>
      </c>
      <c r="AY34" s="66" t="e">
        <f t="shared" si="30"/>
        <v>#NAME?</v>
      </c>
      <c r="AZ34" s="66" t="e">
        <f t="shared" si="31"/>
        <v>#NAME?</v>
      </c>
      <c r="BA34" s="66" t="e">
        <f t="shared" si="32"/>
        <v>#NAME?</v>
      </c>
      <c r="BB34" s="67" t="e">
        <f t="shared" si="57"/>
        <v>#NAME?</v>
      </c>
      <c r="BC34" s="67" t="e">
        <f t="shared" si="10"/>
        <v>#NAME?</v>
      </c>
      <c r="BD34" s="67" t="e">
        <f t="shared" si="11"/>
        <v>#NAME?</v>
      </c>
      <c r="BE34" s="67" t="e">
        <f t="shared" si="33"/>
        <v>#NAME?</v>
      </c>
      <c r="BF34" s="67" t="e">
        <f t="shared" si="58"/>
        <v>#NAME?</v>
      </c>
      <c r="BG34" s="67" t="e">
        <f t="shared" si="59"/>
        <v>#NAME?</v>
      </c>
    </row>
    <row r="35" spans="1:59" s="62" customFormat="1" ht="15.6" x14ac:dyDescent="0.3">
      <c r="A35" s="56" t="s">
        <v>61</v>
      </c>
      <c r="B35" s="57" t="s">
        <v>62</v>
      </c>
      <c r="C35" s="58" t="s">
        <v>63</v>
      </c>
      <c r="D35" s="59"/>
      <c r="E35" s="60"/>
      <c r="F35" s="61" t="e">
        <f>SUM(F36:F46)</f>
        <v>#NAME?</v>
      </c>
      <c r="G35" s="61" t="e">
        <f>SUM(G36:G46)</f>
        <v>#NAME?</v>
      </c>
      <c r="H35" s="61" t="e">
        <f t="shared" ref="H35:Q35" si="60">SUM(H36:H46)</f>
        <v>#NAME?</v>
      </c>
      <c r="I35" s="61" t="e">
        <f t="shared" si="60"/>
        <v>#NAME?</v>
      </c>
      <c r="J35" s="61" t="e">
        <f t="shared" si="60"/>
        <v>#NAME?</v>
      </c>
      <c r="K35" s="61" t="e">
        <f t="shared" si="60"/>
        <v>#NAME?</v>
      </c>
      <c r="L35" s="61" t="e">
        <f t="shared" si="60"/>
        <v>#NAME?</v>
      </c>
      <c r="M35" s="61" t="e">
        <f>SUM(M36:M46)</f>
        <v>#NAME?</v>
      </c>
      <c r="N35" s="61" t="e">
        <f t="shared" si="60"/>
        <v>#NAME?</v>
      </c>
      <c r="O35" s="61" t="e">
        <f t="shared" si="60"/>
        <v>#NAME?</v>
      </c>
      <c r="P35" s="61" t="e">
        <f t="shared" si="60"/>
        <v>#NAME?</v>
      </c>
      <c r="Q35" s="61" t="e">
        <f t="shared" si="60"/>
        <v>#NAME?</v>
      </c>
      <c r="R35" s="61" t="e">
        <f t="shared" si="46"/>
        <v>#NAME?</v>
      </c>
      <c r="S35" s="61" t="e">
        <f t="shared" si="4"/>
        <v>#NAME?</v>
      </c>
      <c r="T35" s="61" t="e">
        <f t="shared" si="5"/>
        <v>#NAME?</v>
      </c>
      <c r="U35" s="61" t="e">
        <f t="shared" ref="U35:AI35" si="61">SUM(U36:U46)</f>
        <v>#NAME?</v>
      </c>
      <c r="V35" s="61" t="e">
        <f t="shared" si="61"/>
        <v>#NAME?</v>
      </c>
      <c r="W35" s="61" t="e">
        <f t="shared" si="61"/>
        <v>#NAME?</v>
      </c>
      <c r="X35" s="61" t="e">
        <f t="shared" si="61"/>
        <v>#NAME?</v>
      </c>
      <c r="Y35" s="61" t="e">
        <f t="shared" si="61"/>
        <v>#NAME?</v>
      </c>
      <c r="Z35" s="61" t="e">
        <f t="shared" si="61"/>
        <v>#NAME?</v>
      </c>
      <c r="AA35" s="61" t="e">
        <f t="shared" si="61"/>
        <v>#NAME?</v>
      </c>
      <c r="AB35" s="61" t="e">
        <f t="shared" si="61"/>
        <v>#NAME?</v>
      </c>
      <c r="AC35" s="61" t="e">
        <f t="shared" si="61"/>
        <v>#NAME?</v>
      </c>
      <c r="AD35" s="61" t="e">
        <f t="shared" si="61"/>
        <v>#NAME?</v>
      </c>
      <c r="AE35" s="61" t="e">
        <f t="shared" si="61"/>
        <v>#NAME?</v>
      </c>
      <c r="AF35" s="61" t="e">
        <f t="shared" si="61"/>
        <v>#NAME?</v>
      </c>
      <c r="AG35" s="61" t="e">
        <f t="shared" si="61"/>
        <v>#NAME?</v>
      </c>
      <c r="AH35" s="61" t="e">
        <f t="shared" si="61"/>
        <v>#NAME?</v>
      </c>
      <c r="AI35" s="61" t="e">
        <f t="shared" si="61"/>
        <v>#NAME?</v>
      </c>
      <c r="AJ35" s="61" t="e">
        <f t="shared" si="52"/>
        <v>#NAME?</v>
      </c>
      <c r="AK35" s="61" t="e">
        <f t="shared" si="7"/>
        <v>#NAME?</v>
      </c>
      <c r="AL35" s="61" t="e">
        <f t="shared" si="8"/>
        <v>#NAME?</v>
      </c>
      <c r="AM35" s="61" t="e">
        <f t="shared" ref="AM35:BA35" si="62">SUM(AM36:AM46)</f>
        <v>#NAME?</v>
      </c>
      <c r="AN35" s="61" t="e">
        <f t="shared" si="62"/>
        <v>#NAME?</v>
      </c>
      <c r="AO35" s="61" t="e">
        <f t="shared" si="62"/>
        <v>#NAME?</v>
      </c>
      <c r="AP35" s="61" t="e">
        <f t="shared" si="62"/>
        <v>#NAME?</v>
      </c>
      <c r="AQ35" s="61" t="e">
        <f t="shared" si="62"/>
        <v>#NAME?</v>
      </c>
      <c r="AR35" s="61" t="e">
        <f t="shared" si="62"/>
        <v>#NAME?</v>
      </c>
      <c r="AS35" s="61" t="e">
        <f t="shared" si="62"/>
        <v>#NAME?</v>
      </c>
      <c r="AT35" s="61" t="e">
        <f t="shared" si="62"/>
        <v>#NAME?</v>
      </c>
      <c r="AU35" s="61" t="e">
        <f t="shared" si="62"/>
        <v>#NAME?</v>
      </c>
      <c r="AV35" s="61" t="e">
        <f t="shared" si="62"/>
        <v>#NAME?</v>
      </c>
      <c r="AW35" s="61" t="e">
        <f t="shared" si="62"/>
        <v>#NAME?</v>
      </c>
      <c r="AX35" s="61" t="e">
        <f t="shared" si="62"/>
        <v>#NAME?</v>
      </c>
      <c r="AY35" s="61" t="e">
        <f t="shared" si="62"/>
        <v>#NAME?</v>
      </c>
      <c r="AZ35" s="61" t="e">
        <f t="shared" si="62"/>
        <v>#NAME?</v>
      </c>
      <c r="BA35" s="61" t="e">
        <f t="shared" si="62"/>
        <v>#NAME?</v>
      </c>
      <c r="BB35" s="61" t="e">
        <f t="shared" si="57"/>
        <v>#NAME?</v>
      </c>
      <c r="BC35" s="61" t="e">
        <f t="shared" si="10"/>
        <v>#NAME?</v>
      </c>
      <c r="BD35" s="61" t="e">
        <f t="shared" si="11"/>
        <v>#NAME?</v>
      </c>
      <c r="BE35" s="61" t="e">
        <f>SUM(BE36:BE46)</f>
        <v>#NAME?</v>
      </c>
      <c r="BF35" s="61" t="e">
        <f>SUM(BF36:BF46)</f>
        <v>#NAME?</v>
      </c>
      <c r="BG35" s="61" t="e">
        <f>SUM(BG36:BG46)</f>
        <v>#NAME?</v>
      </c>
    </row>
    <row r="36" spans="1:59" ht="15.6" x14ac:dyDescent="0.3">
      <c r="A36" s="8" t="s">
        <v>64</v>
      </c>
      <c r="B36" s="11" t="s">
        <v>65</v>
      </c>
      <c r="C36" s="63" t="s">
        <v>66</v>
      </c>
      <c r="D36" s="64"/>
      <c r="E36" s="65"/>
      <c r="F36" s="66" t="e">
        <f t="shared" ref="F36:F46" si="63">X36+AP36</f>
        <v>#NAME?</v>
      </c>
      <c r="G36" s="66" t="e">
        <f t="shared" ref="G36:G46" si="64">Y36+AQ36</f>
        <v>#NAME?</v>
      </c>
      <c r="H36" s="66" t="e">
        <f t="shared" ref="H36:H46" si="65">I36+J36</f>
        <v>#NAME?</v>
      </c>
      <c r="I36" s="66" t="e">
        <f t="shared" ref="I36:I46" si="66">AA36+AS36</f>
        <v>#NAME?</v>
      </c>
      <c r="J36" s="66" t="e">
        <f t="shared" ref="J36:J46" si="67">AB36+AT36</f>
        <v>#NAME?</v>
      </c>
      <c r="K36" s="66" t="e">
        <f t="shared" ref="K36:K46" si="68">AC36+AU36</f>
        <v>#NAME?</v>
      </c>
      <c r="L36" s="66" t="e">
        <f t="shared" ref="L36:L46" si="69">AD36+AV36</f>
        <v>#NAME?</v>
      </c>
      <c r="M36" s="66" t="e">
        <f t="shared" ref="M36:M46" si="70">AE36+AW36</f>
        <v>#NAME?</v>
      </c>
      <c r="N36" s="66" t="e">
        <f t="shared" ref="N36:N46" si="71">O36+Q36</f>
        <v>#NAME?</v>
      </c>
      <c r="O36" s="66" t="e">
        <f t="shared" ref="O36:O46" si="72">AG36+AY36</f>
        <v>#NAME?</v>
      </c>
      <c r="P36" s="66" t="e">
        <f t="shared" ref="P36:P46" si="73">AH36+AZ36</f>
        <v>#NAME?</v>
      </c>
      <c r="Q36" s="66" t="e">
        <f t="shared" ref="Q36:Q46" si="74">AI36+BA36</f>
        <v>#NAME?</v>
      </c>
      <c r="R36" s="67" t="e">
        <f t="shared" si="46"/>
        <v>#NAME?</v>
      </c>
      <c r="S36" s="67" t="e">
        <f t="shared" si="4"/>
        <v>#NAME?</v>
      </c>
      <c r="T36" s="67" t="e">
        <f t="shared" si="5"/>
        <v>#NAME?</v>
      </c>
      <c r="U36" s="67" t="e">
        <f t="shared" ref="U36:U46" si="75">AM36+BE36</f>
        <v>#NAME?</v>
      </c>
      <c r="V36" s="67" t="e">
        <f t="shared" ref="V36:V46" si="76">(G36+K36+L36-O36-U36)</f>
        <v>#NAME?</v>
      </c>
      <c r="W36" s="67" t="e">
        <f t="shared" ref="W36:W46" si="77">(I36-O36)</f>
        <v>#NAME?</v>
      </c>
      <c r="X36" s="66" t="e">
        <f t="shared" ref="X36:X46" si="78">КОЛ4020/$G$1</f>
        <v>#NAME?</v>
      </c>
      <c r="Y36" s="66" t="e">
        <f t="shared" ref="Y36:Y46" si="79">КОЛ4005/$G$1</f>
        <v>#NAME?</v>
      </c>
      <c r="Z36" s="66" t="e">
        <f t="shared" ref="Z36:Z46" si="80">AA36+AB36</f>
        <v>#NAME?</v>
      </c>
      <c r="AA36" s="66" t="e">
        <f t="shared" ref="AA36:AA46" si="81">КОЛ4007/$G$1</f>
        <v>#NAME?</v>
      </c>
      <c r="AB36" s="66" t="e">
        <f t="shared" ref="AB36:AB46" si="82">КОЛ4008/$G$1</f>
        <v>#NAME?</v>
      </c>
      <c r="AC36" s="66" t="e">
        <f t="shared" ref="AC36:AC46" si="83">КОЛ4009/$G$1</f>
        <v>#NAME?</v>
      </c>
      <c r="AD36" s="66" t="e">
        <f t="shared" ref="AD36:AD46" si="84">КОЛ4010/$G$1</f>
        <v>#NAME?</v>
      </c>
      <c r="AE36" s="66" t="e">
        <f t="shared" ref="AE36:AE46" si="85">КОЛ4011/$G$1</f>
        <v>#NAME?</v>
      </c>
      <c r="AF36" s="66" t="e">
        <f t="shared" ref="AF36:AF46" si="86">AG36+AI36</f>
        <v>#NAME?</v>
      </c>
      <c r="AG36" s="66" t="e">
        <f t="shared" ref="AG36:AG46" si="87">КОЛ4013/$G$1</f>
        <v>#NAME?</v>
      </c>
      <c r="AH36" s="66" t="e">
        <f t="shared" ref="AH36:AH46" si="88">КОЛ4014/$G$1</f>
        <v>#NAME?</v>
      </c>
      <c r="AI36" s="66" t="e">
        <f t="shared" ref="AI36:AI46" si="89">КОЛ4015/$G$1</f>
        <v>#NAME?</v>
      </c>
      <c r="AJ36" s="67" t="e">
        <f t="shared" si="52"/>
        <v>#NAME?</v>
      </c>
      <c r="AK36" s="67" t="e">
        <f t="shared" si="7"/>
        <v>#NAME?</v>
      </c>
      <c r="AL36" s="67" t="e">
        <f t="shared" si="8"/>
        <v>#NAME?</v>
      </c>
      <c r="AM36" s="67" t="e">
        <f t="shared" ref="AM36:AM46" si="90">КОЛ4017/$G$1</f>
        <v>#NAME?</v>
      </c>
      <c r="AN36" s="67" t="e">
        <f t="shared" ref="AN36:AN46" si="91">(Y36+AC36+AD36-AG36-AM36)</f>
        <v>#NAME?</v>
      </c>
      <c r="AO36" s="67" t="e">
        <f t="shared" ref="AO36:AO46" si="92">(AA36-AG36)</f>
        <v>#NAME?</v>
      </c>
      <c r="AP36" s="66" t="e">
        <f t="shared" ref="AP36:AP46" si="93">КОЛ4120/$G$1</f>
        <v>#NAME?</v>
      </c>
      <c r="AQ36" s="66" t="e">
        <f t="shared" ref="AQ36:AQ46" si="94">КОЛ4105/$G$1</f>
        <v>#NAME?</v>
      </c>
      <c r="AR36" s="66" t="e">
        <f t="shared" ref="AR36:AR46" si="95">AS36+AT36</f>
        <v>#NAME?</v>
      </c>
      <c r="AS36" s="66" t="e">
        <f t="shared" ref="AS36:AS46" si="96">КОЛ4107/$G$1</f>
        <v>#NAME?</v>
      </c>
      <c r="AT36" s="66" t="e">
        <f t="shared" ref="AT36:AT46" si="97">КОЛ4108/$G$1</f>
        <v>#NAME?</v>
      </c>
      <c r="AU36" s="66" t="e">
        <f t="shared" ref="AU36:AU46" si="98">КОЛ4109/$G$1</f>
        <v>#NAME?</v>
      </c>
      <c r="AV36" s="66" t="e">
        <f t="shared" ref="AV36:AV46" si="99">КОЛ4110/$G$1</f>
        <v>#NAME?</v>
      </c>
      <c r="AW36" s="66" t="e">
        <f t="shared" ref="AW36:AW46" si="100">КОЛ4111/$G$1</f>
        <v>#NAME?</v>
      </c>
      <c r="AX36" s="66" t="e">
        <f t="shared" ref="AX36:AX46" si="101">AY36+BA36</f>
        <v>#NAME?</v>
      </c>
      <c r="AY36" s="66" t="e">
        <f t="shared" ref="AY36:AY46" si="102">КОЛ4113/$G$1</f>
        <v>#NAME?</v>
      </c>
      <c r="AZ36" s="66" t="e">
        <f t="shared" ref="AZ36:AZ46" si="103">КОЛ4114/$G$1</f>
        <v>#NAME?</v>
      </c>
      <c r="BA36" s="66" t="e">
        <f t="shared" ref="BA36:BA46" si="104">КОЛ4115/$G$1</f>
        <v>#NAME?</v>
      </c>
      <c r="BB36" s="67" t="e">
        <f t="shared" si="57"/>
        <v>#NAME?</v>
      </c>
      <c r="BC36" s="67" t="e">
        <f t="shared" si="10"/>
        <v>#NAME?</v>
      </c>
      <c r="BD36" s="67" t="e">
        <f t="shared" si="11"/>
        <v>#NAME?</v>
      </c>
      <c r="BE36" s="67" t="e">
        <f t="shared" ref="BE36:BE46" si="105">КОЛ4117/$G$1</f>
        <v>#NAME?</v>
      </c>
      <c r="BF36" s="67" t="e">
        <f t="shared" ref="BF36:BF46" si="106">(AQ36+AU36+AV36-AY36-BE36)</f>
        <v>#NAME?</v>
      </c>
      <c r="BG36" s="67" t="e">
        <f t="shared" ref="BG36:BG46" si="107">(AS36-AY36)</f>
        <v>#NAME?</v>
      </c>
    </row>
    <row r="37" spans="1:59" ht="15.6" x14ac:dyDescent="0.3">
      <c r="A37" s="8" t="s">
        <v>67</v>
      </c>
      <c r="B37" s="11" t="s">
        <v>68</v>
      </c>
      <c r="C37" s="63" t="s">
        <v>69</v>
      </c>
      <c r="D37" s="64"/>
      <c r="E37" s="65"/>
      <c r="F37" s="66" t="e">
        <f t="shared" si="63"/>
        <v>#NAME?</v>
      </c>
      <c r="G37" s="66" t="e">
        <f t="shared" si="64"/>
        <v>#NAME?</v>
      </c>
      <c r="H37" s="66" t="e">
        <f t="shared" si="65"/>
        <v>#NAME?</v>
      </c>
      <c r="I37" s="66" t="e">
        <f t="shared" si="66"/>
        <v>#NAME?</v>
      </c>
      <c r="J37" s="66" t="e">
        <f t="shared" si="67"/>
        <v>#NAME?</v>
      </c>
      <c r="K37" s="66" t="e">
        <f t="shared" si="68"/>
        <v>#NAME?</v>
      </c>
      <c r="L37" s="66" t="e">
        <f t="shared" si="69"/>
        <v>#NAME?</v>
      </c>
      <c r="M37" s="66" t="e">
        <f t="shared" si="70"/>
        <v>#NAME?</v>
      </c>
      <c r="N37" s="66" t="e">
        <f t="shared" si="71"/>
        <v>#NAME?</v>
      </c>
      <c r="O37" s="66" t="e">
        <f t="shared" si="72"/>
        <v>#NAME?</v>
      </c>
      <c r="P37" s="66" t="e">
        <f t="shared" si="73"/>
        <v>#NAME?</v>
      </c>
      <c r="Q37" s="66" t="e">
        <f t="shared" si="74"/>
        <v>#NAME?</v>
      </c>
      <c r="R37" s="67" t="e">
        <f t="shared" si="46"/>
        <v>#NAME?</v>
      </c>
      <c r="S37" s="67" t="e">
        <f t="shared" si="4"/>
        <v>#NAME?</v>
      </c>
      <c r="T37" s="67" t="e">
        <f t="shared" si="5"/>
        <v>#NAME?</v>
      </c>
      <c r="U37" s="67" t="e">
        <f t="shared" si="75"/>
        <v>#NAME?</v>
      </c>
      <c r="V37" s="67" t="e">
        <f t="shared" si="76"/>
        <v>#NAME?</v>
      </c>
      <c r="W37" s="67" t="e">
        <f t="shared" si="77"/>
        <v>#NAME?</v>
      </c>
      <c r="X37" s="66" t="e">
        <f t="shared" si="78"/>
        <v>#NAME?</v>
      </c>
      <c r="Y37" s="66" t="e">
        <f t="shared" si="79"/>
        <v>#NAME?</v>
      </c>
      <c r="Z37" s="66" t="e">
        <f t="shared" si="80"/>
        <v>#NAME?</v>
      </c>
      <c r="AA37" s="66" t="e">
        <f t="shared" si="81"/>
        <v>#NAME?</v>
      </c>
      <c r="AB37" s="66" t="e">
        <f t="shared" si="82"/>
        <v>#NAME?</v>
      </c>
      <c r="AC37" s="66" t="e">
        <f t="shared" si="83"/>
        <v>#NAME?</v>
      </c>
      <c r="AD37" s="66" t="e">
        <f t="shared" si="84"/>
        <v>#NAME?</v>
      </c>
      <c r="AE37" s="66" t="e">
        <f t="shared" si="85"/>
        <v>#NAME?</v>
      </c>
      <c r="AF37" s="66" t="e">
        <f t="shared" si="86"/>
        <v>#NAME?</v>
      </c>
      <c r="AG37" s="66" t="e">
        <f t="shared" si="87"/>
        <v>#NAME?</v>
      </c>
      <c r="AH37" s="66" t="e">
        <f t="shared" si="88"/>
        <v>#NAME?</v>
      </c>
      <c r="AI37" s="66" t="e">
        <f t="shared" si="89"/>
        <v>#NAME?</v>
      </c>
      <c r="AJ37" s="67" t="e">
        <f t="shared" si="52"/>
        <v>#NAME?</v>
      </c>
      <c r="AK37" s="67" t="e">
        <f t="shared" si="7"/>
        <v>#NAME?</v>
      </c>
      <c r="AL37" s="67" t="e">
        <f t="shared" si="8"/>
        <v>#NAME?</v>
      </c>
      <c r="AM37" s="67" t="e">
        <f t="shared" si="90"/>
        <v>#NAME?</v>
      </c>
      <c r="AN37" s="67" t="e">
        <f t="shared" si="91"/>
        <v>#NAME?</v>
      </c>
      <c r="AO37" s="67" t="e">
        <f t="shared" si="92"/>
        <v>#NAME?</v>
      </c>
      <c r="AP37" s="66" t="e">
        <f t="shared" si="93"/>
        <v>#NAME?</v>
      </c>
      <c r="AQ37" s="66" t="e">
        <f t="shared" si="94"/>
        <v>#NAME?</v>
      </c>
      <c r="AR37" s="66" t="e">
        <f t="shared" si="95"/>
        <v>#NAME?</v>
      </c>
      <c r="AS37" s="66" t="e">
        <f t="shared" si="96"/>
        <v>#NAME?</v>
      </c>
      <c r="AT37" s="66" t="e">
        <f t="shared" si="97"/>
        <v>#NAME?</v>
      </c>
      <c r="AU37" s="66" t="e">
        <f t="shared" si="98"/>
        <v>#NAME?</v>
      </c>
      <c r="AV37" s="66" t="e">
        <f t="shared" si="99"/>
        <v>#NAME?</v>
      </c>
      <c r="AW37" s="66" t="e">
        <f t="shared" si="100"/>
        <v>#NAME?</v>
      </c>
      <c r="AX37" s="66" t="e">
        <f t="shared" si="101"/>
        <v>#NAME?</v>
      </c>
      <c r="AY37" s="66" t="e">
        <f t="shared" si="102"/>
        <v>#NAME?</v>
      </c>
      <c r="AZ37" s="66" t="e">
        <f t="shared" si="103"/>
        <v>#NAME?</v>
      </c>
      <c r="BA37" s="66" t="e">
        <f t="shared" si="104"/>
        <v>#NAME?</v>
      </c>
      <c r="BB37" s="67" t="e">
        <f t="shared" si="57"/>
        <v>#NAME?</v>
      </c>
      <c r="BC37" s="67" t="e">
        <f t="shared" si="10"/>
        <v>#NAME?</v>
      </c>
      <c r="BD37" s="67" t="e">
        <f t="shared" si="11"/>
        <v>#NAME?</v>
      </c>
      <c r="BE37" s="67" t="e">
        <f t="shared" si="105"/>
        <v>#NAME?</v>
      </c>
      <c r="BF37" s="67" t="e">
        <f t="shared" si="106"/>
        <v>#NAME?</v>
      </c>
      <c r="BG37" s="67" t="e">
        <f t="shared" si="107"/>
        <v>#NAME?</v>
      </c>
    </row>
    <row r="38" spans="1:59" ht="15.6" x14ac:dyDescent="0.3">
      <c r="A38" s="8" t="s">
        <v>70</v>
      </c>
      <c r="B38" s="11" t="s">
        <v>71</v>
      </c>
      <c r="C38" s="63" t="s">
        <v>72</v>
      </c>
      <c r="D38" s="64"/>
      <c r="E38" s="65"/>
      <c r="F38" s="66" t="e">
        <f t="shared" si="63"/>
        <v>#NAME?</v>
      </c>
      <c r="G38" s="66" t="e">
        <f t="shared" si="64"/>
        <v>#NAME?</v>
      </c>
      <c r="H38" s="66" t="e">
        <f t="shared" si="65"/>
        <v>#NAME?</v>
      </c>
      <c r="I38" s="66" t="e">
        <f t="shared" si="66"/>
        <v>#NAME?</v>
      </c>
      <c r="J38" s="66" t="e">
        <f t="shared" si="67"/>
        <v>#NAME?</v>
      </c>
      <c r="K38" s="66" t="e">
        <f t="shared" si="68"/>
        <v>#NAME?</v>
      </c>
      <c r="L38" s="66" t="e">
        <f t="shared" si="69"/>
        <v>#NAME?</v>
      </c>
      <c r="M38" s="66" t="e">
        <f t="shared" si="70"/>
        <v>#NAME?</v>
      </c>
      <c r="N38" s="66" t="e">
        <f t="shared" si="71"/>
        <v>#NAME?</v>
      </c>
      <c r="O38" s="66" t="e">
        <f t="shared" si="72"/>
        <v>#NAME?</v>
      </c>
      <c r="P38" s="66" t="e">
        <f t="shared" si="73"/>
        <v>#NAME?</v>
      </c>
      <c r="Q38" s="66" t="e">
        <f t="shared" si="74"/>
        <v>#NAME?</v>
      </c>
      <c r="R38" s="67" t="e">
        <f t="shared" si="46"/>
        <v>#NAME?</v>
      </c>
      <c r="S38" s="67" t="e">
        <f t="shared" si="4"/>
        <v>#NAME?</v>
      </c>
      <c r="T38" s="67" t="e">
        <f t="shared" si="5"/>
        <v>#NAME?</v>
      </c>
      <c r="U38" s="67" t="e">
        <f t="shared" si="75"/>
        <v>#NAME?</v>
      </c>
      <c r="V38" s="67" t="e">
        <f t="shared" si="76"/>
        <v>#NAME?</v>
      </c>
      <c r="W38" s="67" t="e">
        <f t="shared" si="77"/>
        <v>#NAME?</v>
      </c>
      <c r="X38" s="66" t="e">
        <f t="shared" si="78"/>
        <v>#NAME?</v>
      </c>
      <c r="Y38" s="66" t="e">
        <f t="shared" si="79"/>
        <v>#NAME?</v>
      </c>
      <c r="Z38" s="66" t="e">
        <f t="shared" si="80"/>
        <v>#NAME?</v>
      </c>
      <c r="AA38" s="66" t="e">
        <f t="shared" si="81"/>
        <v>#NAME?</v>
      </c>
      <c r="AB38" s="66" t="e">
        <f t="shared" si="82"/>
        <v>#NAME?</v>
      </c>
      <c r="AC38" s="66" t="e">
        <f t="shared" si="83"/>
        <v>#NAME?</v>
      </c>
      <c r="AD38" s="66" t="e">
        <f t="shared" si="84"/>
        <v>#NAME?</v>
      </c>
      <c r="AE38" s="66" t="e">
        <f t="shared" si="85"/>
        <v>#NAME?</v>
      </c>
      <c r="AF38" s="66" t="e">
        <f t="shared" si="86"/>
        <v>#NAME?</v>
      </c>
      <c r="AG38" s="66" t="e">
        <f t="shared" si="87"/>
        <v>#NAME?</v>
      </c>
      <c r="AH38" s="66" t="e">
        <f t="shared" si="88"/>
        <v>#NAME?</v>
      </c>
      <c r="AI38" s="66" t="e">
        <f t="shared" si="89"/>
        <v>#NAME?</v>
      </c>
      <c r="AJ38" s="67" t="e">
        <f t="shared" si="52"/>
        <v>#NAME?</v>
      </c>
      <c r="AK38" s="67" t="e">
        <f t="shared" si="7"/>
        <v>#NAME?</v>
      </c>
      <c r="AL38" s="67" t="e">
        <f t="shared" si="8"/>
        <v>#NAME?</v>
      </c>
      <c r="AM38" s="67" t="e">
        <f t="shared" si="90"/>
        <v>#NAME?</v>
      </c>
      <c r="AN38" s="67" t="e">
        <f t="shared" si="91"/>
        <v>#NAME?</v>
      </c>
      <c r="AO38" s="67" t="e">
        <f t="shared" si="92"/>
        <v>#NAME?</v>
      </c>
      <c r="AP38" s="66" t="e">
        <f t="shared" si="93"/>
        <v>#NAME?</v>
      </c>
      <c r="AQ38" s="66" t="e">
        <f t="shared" si="94"/>
        <v>#NAME?</v>
      </c>
      <c r="AR38" s="66" t="e">
        <f t="shared" si="95"/>
        <v>#NAME?</v>
      </c>
      <c r="AS38" s="66" t="e">
        <f t="shared" si="96"/>
        <v>#NAME?</v>
      </c>
      <c r="AT38" s="66" t="e">
        <f t="shared" si="97"/>
        <v>#NAME?</v>
      </c>
      <c r="AU38" s="66" t="e">
        <f t="shared" si="98"/>
        <v>#NAME?</v>
      </c>
      <c r="AV38" s="66" t="e">
        <f t="shared" si="99"/>
        <v>#NAME?</v>
      </c>
      <c r="AW38" s="66" t="e">
        <f t="shared" si="100"/>
        <v>#NAME?</v>
      </c>
      <c r="AX38" s="66" t="e">
        <f t="shared" si="101"/>
        <v>#NAME?</v>
      </c>
      <c r="AY38" s="66" t="e">
        <f t="shared" si="102"/>
        <v>#NAME?</v>
      </c>
      <c r="AZ38" s="66" t="e">
        <f t="shared" si="103"/>
        <v>#NAME?</v>
      </c>
      <c r="BA38" s="66" t="e">
        <f t="shared" si="104"/>
        <v>#NAME?</v>
      </c>
      <c r="BB38" s="67" t="e">
        <f t="shared" si="57"/>
        <v>#NAME?</v>
      </c>
      <c r="BC38" s="67" t="e">
        <f t="shared" si="10"/>
        <v>#NAME?</v>
      </c>
      <c r="BD38" s="67" t="e">
        <f t="shared" si="11"/>
        <v>#NAME?</v>
      </c>
      <c r="BE38" s="67" t="e">
        <f t="shared" si="105"/>
        <v>#NAME?</v>
      </c>
      <c r="BF38" s="67" t="e">
        <f t="shared" si="106"/>
        <v>#NAME?</v>
      </c>
      <c r="BG38" s="67" t="e">
        <f t="shared" si="107"/>
        <v>#NAME?</v>
      </c>
    </row>
    <row r="39" spans="1:59" ht="15.6" x14ac:dyDescent="0.3">
      <c r="A39" s="8" t="s">
        <v>73</v>
      </c>
      <c r="B39" s="11" t="s">
        <v>74</v>
      </c>
      <c r="C39" s="63" t="s">
        <v>298</v>
      </c>
      <c r="D39" s="64"/>
      <c r="E39" s="65"/>
      <c r="F39" s="66" t="e">
        <f t="shared" si="63"/>
        <v>#NAME?</v>
      </c>
      <c r="G39" s="66" t="e">
        <f t="shared" si="64"/>
        <v>#NAME?</v>
      </c>
      <c r="H39" s="66" t="e">
        <f t="shared" si="65"/>
        <v>#NAME?</v>
      </c>
      <c r="I39" s="66" t="e">
        <f t="shared" si="66"/>
        <v>#NAME?</v>
      </c>
      <c r="J39" s="66" t="e">
        <f t="shared" si="67"/>
        <v>#NAME?</v>
      </c>
      <c r="K39" s="66" t="e">
        <f t="shared" si="68"/>
        <v>#NAME?</v>
      </c>
      <c r="L39" s="66" t="e">
        <f t="shared" si="69"/>
        <v>#NAME?</v>
      </c>
      <c r="M39" s="66" t="e">
        <f t="shared" si="70"/>
        <v>#NAME?</v>
      </c>
      <c r="N39" s="66" t="e">
        <f t="shared" si="71"/>
        <v>#NAME?</v>
      </c>
      <c r="O39" s="66" t="e">
        <f t="shared" si="72"/>
        <v>#NAME?</v>
      </c>
      <c r="P39" s="66" t="e">
        <f t="shared" si="73"/>
        <v>#NAME?</v>
      </c>
      <c r="Q39" s="66" t="e">
        <f t="shared" si="74"/>
        <v>#NAME?</v>
      </c>
      <c r="R39" s="67" t="e">
        <f t="shared" si="46"/>
        <v>#NAME?</v>
      </c>
      <c r="S39" s="67" t="e">
        <f t="shared" si="4"/>
        <v>#NAME?</v>
      </c>
      <c r="T39" s="67" t="e">
        <f t="shared" si="5"/>
        <v>#NAME?</v>
      </c>
      <c r="U39" s="67" t="e">
        <f t="shared" si="75"/>
        <v>#NAME?</v>
      </c>
      <c r="V39" s="67" t="e">
        <f t="shared" si="76"/>
        <v>#NAME?</v>
      </c>
      <c r="W39" s="67" t="e">
        <f t="shared" si="77"/>
        <v>#NAME?</v>
      </c>
      <c r="X39" s="66" t="e">
        <f t="shared" si="78"/>
        <v>#NAME?</v>
      </c>
      <c r="Y39" s="66" t="e">
        <f t="shared" si="79"/>
        <v>#NAME?</v>
      </c>
      <c r="Z39" s="66" t="e">
        <f t="shared" si="80"/>
        <v>#NAME?</v>
      </c>
      <c r="AA39" s="66" t="e">
        <f t="shared" si="81"/>
        <v>#NAME?</v>
      </c>
      <c r="AB39" s="66" t="e">
        <f t="shared" si="82"/>
        <v>#NAME?</v>
      </c>
      <c r="AC39" s="66" t="e">
        <f t="shared" si="83"/>
        <v>#NAME?</v>
      </c>
      <c r="AD39" s="66" t="e">
        <f t="shared" si="84"/>
        <v>#NAME?</v>
      </c>
      <c r="AE39" s="66" t="e">
        <f t="shared" si="85"/>
        <v>#NAME?</v>
      </c>
      <c r="AF39" s="66" t="e">
        <f t="shared" si="86"/>
        <v>#NAME?</v>
      </c>
      <c r="AG39" s="66" t="e">
        <f t="shared" si="87"/>
        <v>#NAME?</v>
      </c>
      <c r="AH39" s="66" t="e">
        <f t="shared" si="88"/>
        <v>#NAME?</v>
      </c>
      <c r="AI39" s="66" t="e">
        <f t="shared" si="89"/>
        <v>#NAME?</v>
      </c>
      <c r="AJ39" s="67" t="e">
        <f t="shared" si="52"/>
        <v>#NAME?</v>
      </c>
      <c r="AK39" s="67" t="e">
        <f t="shared" si="7"/>
        <v>#NAME?</v>
      </c>
      <c r="AL39" s="67" t="e">
        <f t="shared" si="8"/>
        <v>#NAME?</v>
      </c>
      <c r="AM39" s="67" t="e">
        <f t="shared" si="90"/>
        <v>#NAME?</v>
      </c>
      <c r="AN39" s="67" t="e">
        <f t="shared" si="91"/>
        <v>#NAME?</v>
      </c>
      <c r="AO39" s="67" t="e">
        <f t="shared" si="92"/>
        <v>#NAME?</v>
      </c>
      <c r="AP39" s="66" t="e">
        <f t="shared" si="93"/>
        <v>#NAME?</v>
      </c>
      <c r="AQ39" s="66" t="e">
        <f t="shared" si="94"/>
        <v>#NAME?</v>
      </c>
      <c r="AR39" s="66" t="e">
        <f t="shared" si="95"/>
        <v>#NAME?</v>
      </c>
      <c r="AS39" s="66" t="e">
        <f t="shared" si="96"/>
        <v>#NAME?</v>
      </c>
      <c r="AT39" s="66" t="e">
        <f t="shared" si="97"/>
        <v>#NAME?</v>
      </c>
      <c r="AU39" s="66" t="e">
        <f t="shared" si="98"/>
        <v>#NAME?</v>
      </c>
      <c r="AV39" s="66" t="e">
        <f t="shared" si="99"/>
        <v>#NAME?</v>
      </c>
      <c r="AW39" s="66" t="e">
        <f t="shared" si="100"/>
        <v>#NAME?</v>
      </c>
      <c r="AX39" s="66" t="e">
        <f t="shared" si="101"/>
        <v>#NAME?</v>
      </c>
      <c r="AY39" s="66" t="e">
        <f t="shared" si="102"/>
        <v>#NAME?</v>
      </c>
      <c r="AZ39" s="66" t="e">
        <f t="shared" si="103"/>
        <v>#NAME?</v>
      </c>
      <c r="BA39" s="66" t="e">
        <f t="shared" si="104"/>
        <v>#NAME?</v>
      </c>
      <c r="BB39" s="67" t="e">
        <f t="shared" si="57"/>
        <v>#NAME?</v>
      </c>
      <c r="BC39" s="67" t="e">
        <f t="shared" si="10"/>
        <v>#NAME?</v>
      </c>
      <c r="BD39" s="67" t="e">
        <f t="shared" si="11"/>
        <v>#NAME?</v>
      </c>
      <c r="BE39" s="67" t="e">
        <f t="shared" si="105"/>
        <v>#NAME?</v>
      </c>
      <c r="BF39" s="67" t="e">
        <f t="shared" si="106"/>
        <v>#NAME?</v>
      </c>
      <c r="BG39" s="67" t="e">
        <f t="shared" si="107"/>
        <v>#NAME?</v>
      </c>
    </row>
    <row r="40" spans="1:59" ht="15.6" x14ac:dyDescent="0.3">
      <c r="A40" s="8" t="s">
        <v>75</v>
      </c>
      <c r="B40" s="11" t="s">
        <v>76</v>
      </c>
      <c r="C40" s="63" t="s">
        <v>77</v>
      </c>
      <c r="D40" s="64"/>
      <c r="E40" s="65"/>
      <c r="F40" s="66" t="e">
        <f t="shared" si="63"/>
        <v>#NAME?</v>
      </c>
      <c r="G40" s="66" t="e">
        <f t="shared" si="64"/>
        <v>#NAME?</v>
      </c>
      <c r="H40" s="66" t="e">
        <f t="shared" si="65"/>
        <v>#NAME?</v>
      </c>
      <c r="I40" s="66" t="e">
        <f t="shared" si="66"/>
        <v>#NAME?</v>
      </c>
      <c r="J40" s="66" t="e">
        <f t="shared" si="67"/>
        <v>#NAME?</v>
      </c>
      <c r="K40" s="66" t="e">
        <f t="shared" si="68"/>
        <v>#NAME?</v>
      </c>
      <c r="L40" s="66" t="e">
        <f t="shared" si="69"/>
        <v>#NAME?</v>
      </c>
      <c r="M40" s="66" t="e">
        <f t="shared" si="70"/>
        <v>#NAME?</v>
      </c>
      <c r="N40" s="66" t="e">
        <f t="shared" si="71"/>
        <v>#NAME?</v>
      </c>
      <c r="O40" s="66" t="e">
        <f t="shared" si="72"/>
        <v>#NAME?</v>
      </c>
      <c r="P40" s="66" t="e">
        <f t="shared" si="73"/>
        <v>#NAME?</v>
      </c>
      <c r="Q40" s="66" t="e">
        <f t="shared" si="74"/>
        <v>#NAME?</v>
      </c>
      <c r="R40" s="67" t="e">
        <f t="shared" si="46"/>
        <v>#NAME?</v>
      </c>
      <c r="S40" s="67" t="e">
        <f t="shared" si="4"/>
        <v>#NAME?</v>
      </c>
      <c r="T40" s="67" t="e">
        <f t="shared" si="5"/>
        <v>#NAME?</v>
      </c>
      <c r="U40" s="67" t="e">
        <f t="shared" si="75"/>
        <v>#NAME?</v>
      </c>
      <c r="V40" s="67" t="e">
        <f t="shared" si="76"/>
        <v>#NAME?</v>
      </c>
      <c r="W40" s="67" t="e">
        <f t="shared" si="77"/>
        <v>#NAME?</v>
      </c>
      <c r="X40" s="66" t="e">
        <f t="shared" si="78"/>
        <v>#NAME?</v>
      </c>
      <c r="Y40" s="66" t="e">
        <f t="shared" si="79"/>
        <v>#NAME?</v>
      </c>
      <c r="Z40" s="66" t="e">
        <f t="shared" si="80"/>
        <v>#NAME?</v>
      </c>
      <c r="AA40" s="66" t="e">
        <f t="shared" si="81"/>
        <v>#NAME?</v>
      </c>
      <c r="AB40" s="66" t="e">
        <f t="shared" si="82"/>
        <v>#NAME?</v>
      </c>
      <c r="AC40" s="66" t="e">
        <f t="shared" si="83"/>
        <v>#NAME?</v>
      </c>
      <c r="AD40" s="66" t="e">
        <f t="shared" si="84"/>
        <v>#NAME?</v>
      </c>
      <c r="AE40" s="66" t="e">
        <f t="shared" si="85"/>
        <v>#NAME?</v>
      </c>
      <c r="AF40" s="66" t="e">
        <f t="shared" si="86"/>
        <v>#NAME?</v>
      </c>
      <c r="AG40" s="66" t="e">
        <f t="shared" si="87"/>
        <v>#NAME?</v>
      </c>
      <c r="AH40" s="66" t="e">
        <f t="shared" si="88"/>
        <v>#NAME?</v>
      </c>
      <c r="AI40" s="66" t="e">
        <f t="shared" si="89"/>
        <v>#NAME?</v>
      </c>
      <c r="AJ40" s="67" t="e">
        <f t="shared" si="52"/>
        <v>#NAME?</v>
      </c>
      <c r="AK40" s="67" t="e">
        <f t="shared" si="7"/>
        <v>#NAME?</v>
      </c>
      <c r="AL40" s="67" t="e">
        <f t="shared" si="8"/>
        <v>#NAME?</v>
      </c>
      <c r="AM40" s="67" t="e">
        <f t="shared" si="90"/>
        <v>#NAME?</v>
      </c>
      <c r="AN40" s="67" t="e">
        <f t="shared" si="91"/>
        <v>#NAME?</v>
      </c>
      <c r="AO40" s="67" t="e">
        <f t="shared" si="92"/>
        <v>#NAME?</v>
      </c>
      <c r="AP40" s="66" t="e">
        <f t="shared" si="93"/>
        <v>#NAME?</v>
      </c>
      <c r="AQ40" s="66" t="e">
        <f t="shared" si="94"/>
        <v>#NAME?</v>
      </c>
      <c r="AR40" s="66" t="e">
        <f t="shared" si="95"/>
        <v>#NAME?</v>
      </c>
      <c r="AS40" s="66" t="e">
        <f t="shared" si="96"/>
        <v>#NAME?</v>
      </c>
      <c r="AT40" s="66" t="e">
        <f t="shared" si="97"/>
        <v>#NAME?</v>
      </c>
      <c r="AU40" s="66" t="e">
        <f t="shared" si="98"/>
        <v>#NAME?</v>
      </c>
      <c r="AV40" s="66" t="e">
        <f t="shared" si="99"/>
        <v>#NAME?</v>
      </c>
      <c r="AW40" s="66" t="e">
        <f t="shared" si="100"/>
        <v>#NAME?</v>
      </c>
      <c r="AX40" s="66" t="e">
        <f t="shared" si="101"/>
        <v>#NAME?</v>
      </c>
      <c r="AY40" s="66" t="e">
        <f t="shared" si="102"/>
        <v>#NAME?</v>
      </c>
      <c r="AZ40" s="66" t="e">
        <f t="shared" si="103"/>
        <v>#NAME?</v>
      </c>
      <c r="BA40" s="66" t="e">
        <f t="shared" si="104"/>
        <v>#NAME?</v>
      </c>
      <c r="BB40" s="67" t="e">
        <f t="shared" si="57"/>
        <v>#NAME?</v>
      </c>
      <c r="BC40" s="67" t="e">
        <f t="shared" si="10"/>
        <v>#NAME?</v>
      </c>
      <c r="BD40" s="67" t="e">
        <f t="shared" si="11"/>
        <v>#NAME?</v>
      </c>
      <c r="BE40" s="67" t="e">
        <f t="shared" si="105"/>
        <v>#NAME?</v>
      </c>
      <c r="BF40" s="67" t="e">
        <f t="shared" si="106"/>
        <v>#NAME?</v>
      </c>
      <c r="BG40" s="67" t="e">
        <f t="shared" si="107"/>
        <v>#NAME?</v>
      </c>
    </row>
    <row r="41" spans="1:59" ht="15.6" x14ac:dyDescent="0.3">
      <c r="A41" s="8" t="s">
        <v>78</v>
      </c>
      <c r="B41" s="11" t="s">
        <v>79</v>
      </c>
      <c r="C41" s="63" t="s">
        <v>80</v>
      </c>
      <c r="D41" s="64"/>
      <c r="E41" s="65"/>
      <c r="F41" s="66" t="e">
        <f t="shared" si="63"/>
        <v>#NAME?</v>
      </c>
      <c r="G41" s="66" t="e">
        <f t="shared" si="64"/>
        <v>#NAME?</v>
      </c>
      <c r="H41" s="66" t="e">
        <f t="shared" si="65"/>
        <v>#NAME?</v>
      </c>
      <c r="I41" s="66" t="e">
        <f t="shared" si="66"/>
        <v>#NAME?</v>
      </c>
      <c r="J41" s="66" t="e">
        <f t="shared" si="67"/>
        <v>#NAME?</v>
      </c>
      <c r="K41" s="66" t="e">
        <f t="shared" si="68"/>
        <v>#NAME?</v>
      </c>
      <c r="L41" s="66" t="e">
        <f t="shared" si="69"/>
        <v>#NAME?</v>
      </c>
      <c r="M41" s="66" t="e">
        <f t="shared" si="70"/>
        <v>#NAME?</v>
      </c>
      <c r="N41" s="66" t="e">
        <f t="shared" si="71"/>
        <v>#NAME?</v>
      </c>
      <c r="O41" s="66" t="e">
        <f t="shared" si="72"/>
        <v>#NAME?</v>
      </c>
      <c r="P41" s="66" t="e">
        <f t="shared" si="73"/>
        <v>#NAME?</v>
      </c>
      <c r="Q41" s="66" t="e">
        <f t="shared" si="74"/>
        <v>#NAME?</v>
      </c>
      <c r="R41" s="67" t="e">
        <f t="shared" si="46"/>
        <v>#NAME?</v>
      </c>
      <c r="S41" s="67" t="e">
        <f t="shared" si="4"/>
        <v>#NAME?</v>
      </c>
      <c r="T41" s="67" t="e">
        <f t="shared" si="5"/>
        <v>#NAME?</v>
      </c>
      <c r="U41" s="67" t="e">
        <f t="shared" si="75"/>
        <v>#NAME?</v>
      </c>
      <c r="V41" s="67" t="e">
        <f t="shared" si="76"/>
        <v>#NAME?</v>
      </c>
      <c r="W41" s="67" t="e">
        <f t="shared" si="77"/>
        <v>#NAME?</v>
      </c>
      <c r="X41" s="66" t="e">
        <f t="shared" si="78"/>
        <v>#NAME?</v>
      </c>
      <c r="Y41" s="66" t="e">
        <f t="shared" si="79"/>
        <v>#NAME?</v>
      </c>
      <c r="Z41" s="66" t="e">
        <f t="shared" si="80"/>
        <v>#NAME?</v>
      </c>
      <c r="AA41" s="66" t="e">
        <f t="shared" si="81"/>
        <v>#NAME?</v>
      </c>
      <c r="AB41" s="66" t="e">
        <f t="shared" si="82"/>
        <v>#NAME?</v>
      </c>
      <c r="AC41" s="66" t="e">
        <f t="shared" si="83"/>
        <v>#NAME?</v>
      </c>
      <c r="AD41" s="66" t="e">
        <f t="shared" si="84"/>
        <v>#NAME?</v>
      </c>
      <c r="AE41" s="66" t="e">
        <f t="shared" si="85"/>
        <v>#NAME?</v>
      </c>
      <c r="AF41" s="66" t="e">
        <f t="shared" si="86"/>
        <v>#NAME?</v>
      </c>
      <c r="AG41" s="66" t="e">
        <f t="shared" si="87"/>
        <v>#NAME?</v>
      </c>
      <c r="AH41" s="66" t="e">
        <f t="shared" si="88"/>
        <v>#NAME?</v>
      </c>
      <c r="AI41" s="66" t="e">
        <f t="shared" si="89"/>
        <v>#NAME?</v>
      </c>
      <c r="AJ41" s="67" t="e">
        <f t="shared" si="52"/>
        <v>#NAME?</v>
      </c>
      <c r="AK41" s="67" t="e">
        <f t="shared" si="7"/>
        <v>#NAME?</v>
      </c>
      <c r="AL41" s="67" t="e">
        <f t="shared" si="8"/>
        <v>#NAME?</v>
      </c>
      <c r="AM41" s="67" t="e">
        <f t="shared" si="90"/>
        <v>#NAME?</v>
      </c>
      <c r="AN41" s="67" t="e">
        <f t="shared" si="91"/>
        <v>#NAME?</v>
      </c>
      <c r="AO41" s="67" t="e">
        <f t="shared" si="92"/>
        <v>#NAME?</v>
      </c>
      <c r="AP41" s="66" t="e">
        <f t="shared" si="93"/>
        <v>#NAME?</v>
      </c>
      <c r="AQ41" s="66" t="e">
        <f t="shared" si="94"/>
        <v>#NAME?</v>
      </c>
      <c r="AR41" s="66" t="e">
        <f t="shared" si="95"/>
        <v>#NAME?</v>
      </c>
      <c r="AS41" s="66" t="e">
        <f t="shared" si="96"/>
        <v>#NAME?</v>
      </c>
      <c r="AT41" s="66" t="e">
        <f t="shared" si="97"/>
        <v>#NAME?</v>
      </c>
      <c r="AU41" s="66" t="e">
        <f t="shared" si="98"/>
        <v>#NAME?</v>
      </c>
      <c r="AV41" s="66" t="e">
        <f t="shared" si="99"/>
        <v>#NAME?</v>
      </c>
      <c r="AW41" s="66" t="e">
        <f t="shared" si="100"/>
        <v>#NAME?</v>
      </c>
      <c r="AX41" s="66" t="e">
        <f t="shared" si="101"/>
        <v>#NAME?</v>
      </c>
      <c r="AY41" s="66" t="e">
        <f t="shared" si="102"/>
        <v>#NAME?</v>
      </c>
      <c r="AZ41" s="66" t="e">
        <f t="shared" si="103"/>
        <v>#NAME?</v>
      </c>
      <c r="BA41" s="66" t="e">
        <f t="shared" si="104"/>
        <v>#NAME?</v>
      </c>
      <c r="BB41" s="67" t="e">
        <f t="shared" si="57"/>
        <v>#NAME?</v>
      </c>
      <c r="BC41" s="67" t="e">
        <f t="shared" si="10"/>
        <v>#NAME?</v>
      </c>
      <c r="BD41" s="67" t="e">
        <f t="shared" si="11"/>
        <v>#NAME?</v>
      </c>
      <c r="BE41" s="67" t="e">
        <f t="shared" si="105"/>
        <v>#NAME?</v>
      </c>
      <c r="BF41" s="67" t="e">
        <f t="shared" si="106"/>
        <v>#NAME?</v>
      </c>
      <c r="BG41" s="67" t="e">
        <f t="shared" si="107"/>
        <v>#NAME?</v>
      </c>
    </row>
    <row r="42" spans="1:59" ht="15.6" x14ac:dyDescent="0.3">
      <c r="A42" s="8" t="s">
        <v>81</v>
      </c>
      <c r="B42" s="11" t="s">
        <v>82</v>
      </c>
      <c r="C42" s="63" t="s">
        <v>83</v>
      </c>
      <c r="D42" s="64"/>
      <c r="E42" s="65"/>
      <c r="F42" s="66" t="e">
        <f t="shared" si="63"/>
        <v>#NAME?</v>
      </c>
      <c r="G42" s="66" t="e">
        <f t="shared" si="64"/>
        <v>#NAME?</v>
      </c>
      <c r="H42" s="66" t="e">
        <f t="shared" si="65"/>
        <v>#NAME?</v>
      </c>
      <c r="I42" s="66" t="e">
        <f t="shared" si="66"/>
        <v>#NAME?</v>
      </c>
      <c r="J42" s="66" t="e">
        <f t="shared" si="67"/>
        <v>#NAME?</v>
      </c>
      <c r="K42" s="66" t="e">
        <f t="shared" si="68"/>
        <v>#NAME?</v>
      </c>
      <c r="L42" s="66" t="e">
        <f t="shared" si="69"/>
        <v>#NAME?</v>
      </c>
      <c r="M42" s="66" t="e">
        <f t="shared" si="70"/>
        <v>#NAME?</v>
      </c>
      <c r="N42" s="66" t="e">
        <f t="shared" si="71"/>
        <v>#NAME?</v>
      </c>
      <c r="O42" s="66" t="e">
        <f t="shared" si="72"/>
        <v>#NAME?</v>
      </c>
      <c r="P42" s="66" t="e">
        <f t="shared" si="73"/>
        <v>#NAME?</v>
      </c>
      <c r="Q42" s="66" t="e">
        <f t="shared" si="74"/>
        <v>#NAME?</v>
      </c>
      <c r="R42" s="67" t="e">
        <f t="shared" si="46"/>
        <v>#NAME?</v>
      </c>
      <c r="S42" s="67" t="e">
        <f t="shared" si="4"/>
        <v>#NAME?</v>
      </c>
      <c r="T42" s="67" t="e">
        <f t="shared" si="5"/>
        <v>#NAME?</v>
      </c>
      <c r="U42" s="67" t="e">
        <f t="shared" si="75"/>
        <v>#NAME?</v>
      </c>
      <c r="V42" s="67" t="e">
        <f t="shared" si="76"/>
        <v>#NAME?</v>
      </c>
      <c r="W42" s="67" t="e">
        <f t="shared" si="77"/>
        <v>#NAME?</v>
      </c>
      <c r="X42" s="66" t="e">
        <f t="shared" si="78"/>
        <v>#NAME?</v>
      </c>
      <c r="Y42" s="66" t="e">
        <f t="shared" si="79"/>
        <v>#NAME?</v>
      </c>
      <c r="Z42" s="66" t="e">
        <f t="shared" si="80"/>
        <v>#NAME?</v>
      </c>
      <c r="AA42" s="66" t="e">
        <f t="shared" si="81"/>
        <v>#NAME?</v>
      </c>
      <c r="AB42" s="66" t="e">
        <f t="shared" si="82"/>
        <v>#NAME?</v>
      </c>
      <c r="AC42" s="66" t="e">
        <f t="shared" si="83"/>
        <v>#NAME?</v>
      </c>
      <c r="AD42" s="66" t="e">
        <f t="shared" si="84"/>
        <v>#NAME?</v>
      </c>
      <c r="AE42" s="66" t="e">
        <f t="shared" si="85"/>
        <v>#NAME?</v>
      </c>
      <c r="AF42" s="66" t="e">
        <f t="shared" si="86"/>
        <v>#NAME?</v>
      </c>
      <c r="AG42" s="66" t="e">
        <f t="shared" si="87"/>
        <v>#NAME?</v>
      </c>
      <c r="AH42" s="66" t="e">
        <f t="shared" si="88"/>
        <v>#NAME?</v>
      </c>
      <c r="AI42" s="66" t="e">
        <f t="shared" si="89"/>
        <v>#NAME?</v>
      </c>
      <c r="AJ42" s="67" t="e">
        <f t="shared" si="52"/>
        <v>#NAME?</v>
      </c>
      <c r="AK42" s="67" t="e">
        <f t="shared" si="7"/>
        <v>#NAME?</v>
      </c>
      <c r="AL42" s="67" t="e">
        <f t="shared" si="8"/>
        <v>#NAME?</v>
      </c>
      <c r="AM42" s="67" t="e">
        <f t="shared" si="90"/>
        <v>#NAME?</v>
      </c>
      <c r="AN42" s="67" t="e">
        <f t="shared" si="91"/>
        <v>#NAME?</v>
      </c>
      <c r="AO42" s="67" t="e">
        <f t="shared" si="92"/>
        <v>#NAME?</v>
      </c>
      <c r="AP42" s="66" t="e">
        <f t="shared" si="93"/>
        <v>#NAME?</v>
      </c>
      <c r="AQ42" s="66" t="e">
        <f t="shared" si="94"/>
        <v>#NAME?</v>
      </c>
      <c r="AR42" s="66" t="e">
        <f t="shared" si="95"/>
        <v>#NAME?</v>
      </c>
      <c r="AS42" s="66" t="e">
        <f t="shared" si="96"/>
        <v>#NAME?</v>
      </c>
      <c r="AT42" s="66" t="e">
        <f t="shared" si="97"/>
        <v>#NAME?</v>
      </c>
      <c r="AU42" s="66" t="e">
        <f t="shared" si="98"/>
        <v>#NAME?</v>
      </c>
      <c r="AV42" s="66" t="e">
        <f t="shared" si="99"/>
        <v>#NAME?</v>
      </c>
      <c r="AW42" s="66" t="e">
        <f t="shared" si="100"/>
        <v>#NAME?</v>
      </c>
      <c r="AX42" s="66" t="e">
        <f t="shared" si="101"/>
        <v>#NAME?</v>
      </c>
      <c r="AY42" s="66" t="e">
        <f t="shared" si="102"/>
        <v>#NAME?</v>
      </c>
      <c r="AZ42" s="66" t="e">
        <f t="shared" si="103"/>
        <v>#NAME?</v>
      </c>
      <c r="BA42" s="66" t="e">
        <f t="shared" si="104"/>
        <v>#NAME?</v>
      </c>
      <c r="BB42" s="67" t="e">
        <f t="shared" si="57"/>
        <v>#NAME?</v>
      </c>
      <c r="BC42" s="67" t="e">
        <f t="shared" si="10"/>
        <v>#NAME?</v>
      </c>
      <c r="BD42" s="67" t="e">
        <f t="shared" si="11"/>
        <v>#NAME?</v>
      </c>
      <c r="BE42" s="67" t="e">
        <f t="shared" si="105"/>
        <v>#NAME?</v>
      </c>
      <c r="BF42" s="67" t="e">
        <f t="shared" si="106"/>
        <v>#NAME?</v>
      </c>
      <c r="BG42" s="67" t="e">
        <f t="shared" si="107"/>
        <v>#NAME?</v>
      </c>
    </row>
    <row r="43" spans="1:59" ht="15.6" x14ac:dyDescent="0.3">
      <c r="A43" s="8" t="s">
        <v>84</v>
      </c>
      <c r="B43" s="11" t="s">
        <v>85</v>
      </c>
      <c r="C43" s="63" t="s">
        <v>299</v>
      </c>
      <c r="D43" s="64"/>
      <c r="E43" s="65"/>
      <c r="F43" s="66" t="e">
        <f t="shared" si="63"/>
        <v>#NAME?</v>
      </c>
      <c r="G43" s="66" t="e">
        <f t="shared" si="64"/>
        <v>#NAME?</v>
      </c>
      <c r="H43" s="66" t="e">
        <f t="shared" si="65"/>
        <v>#NAME?</v>
      </c>
      <c r="I43" s="66" t="e">
        <f t="shared" si="66"/>
        <v>#NAME?</v>
      </c>
      <c r="J43" s="66" t="e">
        <f t="shared" si="67"/>
        <v>#NAME?</v>
      </c>
      <c r="K43" s="66" t="e">
        <f t="shared" si="68"/>
        <v>#NAME?</v>
      </c>
      <c r="L43" s="66" t="e">
        <f t="shared" si="69"/>
        <v>#NAME?</v>
      </c>
      <c r="M43" s="66" t="e">
        <f t="shared" si="70"/>
        <v>#NAME?</v>
      </c>
      <c r="N43" s="66" t="e">
        <f t="shared" si="71"/>
        <v>#NAME?</v>
      </c>
      <c r="O43" s="66" t="e">
        <f t="shared" si="72"/>
        <v>#NAME?</v>
      </c>
      <c r="P43" s="66" t="e">
        <f t="shared" si="73"/>
        <v>#NAME?</v>
      </c>
      <c r="Q43" s="66" t="e">
        <f t="shared" si="74"/>
        <v>#NAME?</v>
      </c>
      <c r="R43" s="67" t="e">
        <f t="shared" si="46"/>
        <v>#NAME?</v>
      </c>
      <c r="S43" s="67" t="e">
        <f t="shared" si="4"/>
        <v>#NAME?</v>
      </c>
      <c r="T43" s="67" t="e">
        <f t="shared" si="5"/>
        <v>#NAME?</v>
      </c>
      <c r="U43" s="67" t="e">
        <f t="shared" si="75"/>
        <v>#NAME?</v>
      </c>
      <c r="V43" s="67" t="e">
        <f t="shared" si="76"/>
        <v>#NAME?</v>
      </c>
      <c r="W43" s="67" t="e">
        <f t="shared" si="77"/>
        <v>#NAME?</v>
      </c>
      <c r="X43" s="66" t="e">
        <f t="shared" si="78"/>
        <v>#NAME?</v>
      </c>
      <c r="Y43" s="66" t="e">
        <f t="shared" si="79"/>
        <v>#NAME?</v>
      </c>
      <c r="Z43" s="66" t="e">
        <f t="shared" si="80"/>
        <v>#NAME?</v>
      </c>
      <c r="AA43" s="66" t="e">
        <f t="shared" si="81"/>
        <v>#NAME?</v>
      </c>
      <c r="AB43" s="66" t="e">
        <f t="shared" si="82"/>
        <v>#NAME?</v>
      </c>
      <c r="AC43" s="66" t="e">
        <f t="shared" si="83"/>
        <v>#NAME?</v>
      </c>
      <c r="AD43" s="66" t="e">
        <f t="shared" si="84"/>
        <v>#NAME?</v>
      </c>
      <c r="AE43" s="66" t="e">
        <f t="shared" si="85"/>
        <v>#NAME?</v>
      </c>
      <c r="AF43" s="66" t="e">
        <f t="shared" si="86"/>
        <v>#NAME?</v>
      </c>
      <c r="AG43" s="66" t="e">
        <f t="shared" si="87"/>
        <v>#NAME?</v>
      </c>
      <c r="AH43" s="66" t="e">
        <f t="shared" si="88"/>
        <v>#NAME?</v>
      </c>
      <c r="AI43" s="66" t="e">
        <f t="shared" si="89"/>
        <v>#NAME?</v>
      </c>
      <c r="AJ43" s="67" t="e">
        <f t="shared" si="52"/>
        <v>#NAME?</v>
      </c>
      <c r="AK43" s="67" t="e">
        <f t="shared" si="7"/>
        <v>#NAME?</v>
      </c>
      <c r="AL43" s="67" t="e">
        <f t="shared" si="8"/>
        <v>#NAME?</v>
      </c>
      <c r="AM43" s="67" t="e">
        <f t="shared" si="90"/>
        <v>#NAME?</v>
      </c>
      <c r="AN43" s="67" t="e">
        <f t="shared" si="91"/>
        <v>#NAME?</v>
      </c>
      <c r="AO43" s="67" t="e">
        <f t="shared" si="92"/>
        <v>#NAME?</v>
      </c>
      <c r="AP43" s="66" t="e">
        <f t="shared" si="93"/>
        <v>#NAME?</v>
      </c>
      <c r="AQ43" s="66" t="e">
        <f t="shared" si="94"/>
        <v>#NAME?</v>
      </c>
      <c r="AR43" s="66" t="e">
        <f t="shared" si="95"/>
        <v>#NAME?</v>
      </c>
      <c r="AS43" s="66" t="e">
        <f t="shared" si="96"/>
        <v>#NAME?</v>
      </c>
      <c r="AT43" s="66" t="e">
        <f t="shared" si="97"/>
        <v>#NAME?</v>
      </c>
      <c r="AU43" s="66" t="e">
        <f t="shared" si="98"/>
        <v>#NAME?</v>
      </c>
      <c r="AV43" s="66" t="e">
        <f t="shared" si="99"/>
        <v>#NAME?</v>
      </c>
      <c r="AW43" s="66" t="e">
        <f t="shared" si="100"/>
        <v>#NAME?</v>
      </c>
      <c r="AX43" s="66" t="e">
        <f t="shared" si="101"/>
        <v>#NAME?</v>
      </c>
      <c r="AY43" s="66" t="e">
        <f t="shared" si="102"/>
        <v>#NAME?</v>
      </c>
      <c r="AZ43" s="66" t="e">
        <f t="shared" si="103"/>
        <v>#NAME?</v>
      </c>
      <c r="BA43" s="66" t="e">
        <f t="shared" si="104"/>
        <v>#NAME?</v>
      </c>
      <c r="BB43" s="67" t="e">
        <f t="shared" si="57"/>
        <v>#NAME?</v>
      </c>
      <c r="BC43" s="67" t="e">
        <f t="shared" si="10"/>
        <v>#NAME?</v>
      </c>
      <c r="BD43" s="67" t="e">
        <f t="shared" si="11"/>
        <v>#NAME?</v>
      </c>
      <c r="BE43" s="67" t="e">
        <f t="shared" si="105"/>
        <v>#NAME?</v>
      </c>
      <c r="BF43" s="67" t="e">
        <f t="shared" si="106"/>
        <v>#NAME?</v>
      </c>
      <c r="BG43" s="67" t="e">
        <f t="shared" si="107"/>
        <v>#NAME?</v>
      </c>
    </row>
    <row r="44" spans="1:59" ht="15.6" x14ac:dyDescent="0.3">
      <c r="A44" s="8" t="s">
        <v>86</v>
      </c>
      <c r="B44" s="11" t="s">
        <v>87</v>
      </c>
      <c r="C44" s="63" t="s">
        <v>88</v>
      </c>
      <c r="D44" s="64"/>
      <c r="E44" s="65"/>
      <c r="F44" s="66" t="e">
        <f t="shared" si="63"/>
        <v>#NAME?</v>
      </c>
      <c r="G44" s="66" t="e">
        <f t="shared" si="64"/>
        <v>#NAME?</v>
      </c>
      <c r="H44" s="66" t="e">
        <f t="shared" si="65"/>
        <v>#NAME?</v>
      </c>
      <c r="I44" s="66" t="e">
        <f t="shared" si="66"/>
        <v>#NAME?</v>
      </c>
      <c r="J44" s="66" t="e">
        <f t="shared" si="67"/>
        <v>#NAME?</v>
      </c>
      <c r="K44" s="66" t="e">
        <f t="shared" si="68"/>
        <v>#NAME?</v>
      </c>
      <c r="L44" s="66" t="e">
        <f t="shared" si="69"/>
        <v>#NAME?</v>
      </c>
      <c r="M44" s="66" t="e">
        <f t="shared" si="70"/>
        <v>#NAME?</v>
      </c>
      <c r="N44" s="66" t="e">
        <f t="shared" si="71"/>
        <v>#NAME?</v>
      </c>
      <c r="O44" s="66" t="e">
        <f t="shared" si="72"/>
        <v>#NAME?</v>
      </c>
      <c r="P44" s="66" t="e">
        <f t="shared" si="73"/>
        <v>#NAME?</v>
      </c>
      <c r="Q44" s="66" t="e">
        <f t="shared" si="74"/>
        <v>#NAME?</v>
      </c>
      <c r="R44" s="67" t="e">
        <f t="shared" si="46"/>
        <v>#NAME?</v>
      </c>
      <c r="S44" s="67" t="e">
        <f t="shared" si="4"/>
        <v>#NAME?</v>
      </c>
      <c r="T44" s="67" t="e">
        <f t="shared" si="5"/>
        <v>#NAME?</v>
      </c>
      <c r="U44" s="67" t="e">
        <f t="shared" si="75"/>
        <v>#NAME?</v>
      </c>
      <c r="V44" s="67" t="e">
        <f t="shared" si="76"/>
        <v>#NAME?</v>
      </c>
      <c r="W44" s="67" t="e">
        <f t="shared" si="77"/>
        <v>#NAME?</v>
      </c>
      <c r="X44" s="66" t="e">
        <f t="shared" si="78"/>
        <v>#NAME?</v>
      </c>
      <c r="Y44" s="66" t="e">
        <f t="shared" si="79"/>
        <v>#NAME?</v>
      </c>
      <c r="Z44" s="66" t="e">
        <f t="shared" si="80"/>
        <v>#NAME?</v>
      </c>
      <c r="AA44" s="66" t="e">
        <f t="shared" si="81"/>
        <v>#NAME?</v>
      </c>
      <c r="AB44" s="66" t="e">
        <f t="shared" si="82"/>
        <v>#NAME?</v>
      </c>
      <c r="AC44" s="66" t="e">
        <f t="shared" si="83"/>
        <v>#NAME?</v>
      </c>
      <c r="AD44" s="66" t="e">
        <f t="shared" si="84"/>
        <v>#NAME?</v>
      </c>
      <c r="AE44" s="66" t="e">
        <f t="shared" si="85"/>
        <v>#NAME?</v>
      </c>
      <c r="AF44" s="66" t="e">
        <f t="shared" si="86"/>
        <v>#NAME?</v>
      </c>
      <c r="AG44" s="66" t="e">
        <f t="shared" si="87"/>
        <v>#NAME?</v>
      </c>
      <c r="AH44" s="66" t="e">
        <f t="shared" si="88"/>
        <v>#NAME?</v>
      </c>
      <c r="AI44" s="66" t="e">
        <f t="shared" si="89"/>
        <v>#NAME?</v>
      </c>
      <c r="AJ44" s="67" t="e">
        <f t="shared" si="52"/>
        <v>#NAME?</v>
      </c>
      <c r="AK44" s="67" t="e">
        <f t="shared" si="7"/>
        <v>#NAME?</v>
      </c>
      <c r="AL44" s="67" t="e">
        <f t="shared" si="8"/>
        <v>#NAME?</v>
      </c>
      <c r="AM44" s="67" t="e">
        <f t="shared" si="90"/>
        <v>#NAME?</v>
      </c>
      <c r="AN44" s="67" t="e">
        <f t="shared" si="91"/>
        <v>#NAME?</v>
      </c>
      <c r="AO44" s="67" t="e">
        <f t="shared" si="92"/>
        <v>#NAME?</v>
      </c>
      <c r="AP44" s="66" t="e">
        <f t="shared" si="93"/>
        <v>#NAME?</v>
      </c>
      <c r="AQ44" s="66" t="e">
        <f t="shared" si="94"/>
        <v>#NAME?</v>
      </c>
      <c r="AR44" s="66" t="e">
        <f t="shared" si="95"/>
        <v>#NAME?</v>
      </c>
      <c r="AS44" s="66" t="e">
        <f t="shared" si="96"/>
        <v>#NAME?</v>
      </c>
      <c r="AT44" s="66" t="e">
        <f t="shared" si="97"/>
        <v>#NAME?</v>
      </c>
      <c r="AU44" s="66" t="e">
        <f t="shared" si="98"/>
        <v>#NAME?</v>
      </c>
      <c r="AV44" s="66" t="e">
        <f t="shared" si="99"/>
        <v>#NAME?</v>
      </c>
      <c r="AW44" s="66" t="e">
        <f t="shared" si="100"/>
        <v>#NAME?</v>
      </c>
      <c r="AX44" s="66" t="e">
        <f t="shared" si="101"/>
        <v>#NAME?</v>
      </c>
      <c r="AY44" s="66" t="e">
        <f t="shared" si="102"/>
        <v>#NAME?</v>
      </c>
      <c r="AZ44" s="66" t="e">
        <f t="shared" si="103"/>
        <v>#NAME?</v>
      </c>
      <c r="BA44" s="66" t="e">
        <f t="shared" si="104"/>
        <v>#NAME?</v>
      </c>
      <c r="BB44" s="67" t="e">
        <f t="shared" si="57"/>
        <v>#NAME?</v>
      </c>
      <c r="BC44" s="67" t="e">
        <f t="shared" si="10"/>
        <v>#NAME?</v>
      </c>
      <c r="BD44" s="67" t="e">
        <f t="shared" si="11"/>
        <v>#NAME?</v>
      </c>
      <c r="BE44" s="67" t="e">
        <f t="shared" si="105"/>
        <v>#NAME?</v>
      </c>
      <c r="BF44" s="67" t="e">
        <f t="shared" si="106"/>
        <v>#NAME?</v>
      </c>
      <c r="BG44" s="67" t="e">
        <f t="shared" si="107"/>
        <v>#NAME?</v>
      </c>
    </row>
    <row r="45" spans="1:59" ht="15.6" x14ac:dyDescent="0.3">
      <c r="A45" s="8" t="s">
        <v>89</v>
      </c>
      <c r="B45" s="11" t="s">
        <v>90</v>
      </c>
      <c r="C45" s="63" t="s">
        <v>91</v>
      </c>
      <c r="D45" s="64"/>
      <c r="E45" s="65"/>
      <c r="F45" s="66" t="e">
        <f t="shared" si="63"/>
        <v>#NAME?</v>
      </c>
      <c r="G45" s="66" t="e">
        <f t="shared" si="64"/>
        <v>#NAME?</v>
      </c>
      <c r="H45" s="66" t="e">
        <f t="shared" si="65"/>
        <v>#NAME?</v>
      </c>
      <c r="I45" s="66" t="e">
        <f t="shared" si="66"/>
        <v>#NAME?</v>
      </c>
      <c r="J45" s="66" t="e">
        <f t="shared" si="67"/>
        <v>#NAME?</v>
      </c>
      <c r="K45" s="66" t="e">
        <f t="shared" si="68"/>
        <v>#NAME?</v>
      </c>
      <c r="L45" s="66" t="e">
        <f t="shared" si="69"/>
        <v>#NAME?</v>
      </c>
      <c r="M45" s="66" t="e">
        <f t="shared" si="70"/>
        <v>#NAME?</v>
      </c>
      <c r="N45" s="66" t="e">
        <f t="shared" si="71"/>
        <v>#NAME?</v>
      </c>
      <c r="O45" s="66" t="e">
        <f t="shared" si="72"/>
        <v>#NAME?</v>
      </c>
      <c r="P45" s="66" t="e">
        <f t="shared" si="73"/>
        <v>#NAME?</v>
      </c>
      <c r="Q45" s="66" t="e">
        <f t="shared" si="74"/>
        <v>#NAME?</v>
      </c>
      <c r="R45" s="67" t="e">
        <f t="shared" si="46"/>
        <v>#NAME?</v>
      </c>
      <c r="S45" s="67" t="e">
        <f t="shared" si="4"/>
        <v>#NAME?</v>
      </c>
      <c r="T45" s="67" t="e">
        <f t="shared" si="5"/>
        <v>#NAME?</v>
      </c>
      <c r="U45" s="67" t="e">
        <f t="shared" si="75"/>
        <v>#NAME?</v>
      </c>
      <c r="V45" s="67" t="e">
        <f t="shared" si="76"/>
        <v>#NAME?</v>
      </c>
      <c r="W45" s="67" t="e">
        <f t="shared" si="77"/>
        <v>#NAME?</v>
      </c>
      <c r="X45" s="66" t="e">
        <f t="shared" si="78"/>
        <v>#NAME?</v>
      </c>
      <c r="Y45" s="66" t="e">
        <f t="shared" si="79"/>
        <v>#NAME?</v>
      </c>
      <c r="Z45" s="66" t="e">
        <f t="shared" si="80"/>
        <v>#NAME?</v>
      </c>
      <c r="AA45" s="66" t="e">
        <f t="shared" si="81"/>
        <v>#NAME?</v>
      </c>
      <c r="AB45" s="66" t="e">
        <f t="shared" si="82"/>
        <v>#NAME?</v>
      </c>
      <c r="AC45" s="66" t="e">
        <f t="shared" si="83"/>
        <v>#NAME?</v>
      </c>
      <c r="AD45" s="66" t="e">
        <f t="shared" si="84"/>
        <v>#NAME?</v>
      </c>
      <c r="AE45" s="66" t="e">
        <f t="shared" si="85"/>
        <v>#NAME?</v>
      </c>
      <c r="AF45" s="66" t="e">
        <f t="shared" si="86"/>
        <v>#NAME?</v>
      </c>
      <c r="AG45" s="66" t="e">
        <f t="shared" si="87"/>
        <v>#NAME?</v>
      </c>
      <c r="AH45" s="66" t="e">
        <f t="shared" si="88"/>
        <v>#NAME?</v>
      </c>
      <c r="AI45" s="66" t="e">
        <f t="shared" si="89"/>
        <v>#NAME?</v>
      </c>
      <c r="AJ45" s="67" t="e">
        <f t="shared" si="52"/>
        <v>#NAME?</v>
      </c>
      <c r="AK45" s="67" t="e">
        <f t="shared" si="7"/>
        <v>#NAME?</v>
      </c>
      <c r="AL45" s="67" t="e">
        <f t="shared" si="8"/>
        <v>#NAME?</v>
      </c>
      <c r="AM45" s="67" t="e">
        <f t="shared" si="90"/>
        <v>#NAME?</v>
      </c>
      <c r="AN45" s="67" t="e">
        <f t="shared" si="91"/>
        <v>#NAME?</v>
      </c>
      <c r="AO45" s="67" t="e">
        <f t="shared" si="92"/>
        <v>#NAME?</v>
      </c>
      <c r="AP45" s="66" t="e">
        <f t="shared" si="93"/>
        <v>#NAME?</v>
      </c>
      <c r="AQ45" s="66" t="e">
        <f t="shared" si="94"/>
        <v>#NAME?</v>
      </c>
      <c r="AR45" s="66" t="e">
        <f t="shared" si="95"/>
        <v>#NAME?</v>
      </c>
      <c r="AS45" s="66" t="e">
        <f t="shared" si="96"/>
        <v>#NAME?</v>
      </c>
      <c r="AT45" s="66" t="e">
        <f t="shared" si="97"/>
        <v>#NAME?</v>
      </c>
      <c r="AU45" s="66" t="e">
        <f t="shared" si="98"/>
        <v>#NAME?</v>
      </c>
      <c r="AV45" s="66" t="e">
        <f t="shared" si="99"/>
        <v>#NAME?</v>
      </c>
      <c r="AW45" s="66" t="e">
        <f t="shared" si="100"/>
        <v>#NAME?</v>
      </c>
      <c r="AX45" s="66" t="e">
        <f t="shared" si="101"/>
        <v>#NAME?</v>
      </c>
      <c r="AY45" s="66" t="e">
        <f t="shared" si="102"/>
        <v>#NAME?</v>
      </c>
      <c r="AZ45" s="66" t="e">
        <f t="shared" si="103"/>
        <v>#NAME?</v>
      </c>
      <c r="BA45" s="66" t="e">
        <f t="shared" si="104"/>
        <v>#NAME?</v>
      </c>
      <c r="BB45" s="67" t="e">
        <f t="shared" si="57"/>
        <v>#NAME?</v>
      </c>
      <c r="BC45" s="67" t="e">
        <f t="shared" si="10"/>
        <v>#NAME?</v>
      </c>
      <c r="BD45" s="67" t="e">
        <f t="shared" si="11"/>
        <v>#NAME?</v>
      </c>
      <c r="BE45" s="67" t="e">
        <f t="shared" si="105"/>
        <v>#NAME?</v>
      </c>
      <c r="BF45" s="67" t="e">
        <f t="shared" si="106"/>
        <v>#NAME?</v>
      </c>
      <c r="BG45" s="67" t="e">
        <f t="shared" si="107"/>
        <v>#NAME?</v>
      </c>
    </row>
    <row r="46" spans="1:59" ht="15.6" x14ac:dyDescent="0.3">
      <c r="A46" s="8" t="s">
        <v>92</v>
      </c>
      <c r="B46" s="68">
        <v>32</v>
      </c>
      <c r="C46" s="63" t="s">
        <v>93</v>
      </c>
      <c r="D46" s="64"/>
      <c r="E46" s="65"/>
      <c r="F46" s="66" t="e">
        <f t="shared" si="63"/>
        <v>#NAME?</v>
      </c>
      <c r="G46" s="66" t="e">
        <f t="shared" si="64"/>
        <v>#NAME?</v>
      </c>
      <c r="H46" s="66" t="e">
        <f t="shared" si="65"/>
        <v>#NAME?</v>
      </c>
      <c r="I46" s="66" t="e">
        <f t="shared" si="66"/>
        <v>#NAME?</v>
      </c>
      <c r="J46" s="66" t="e">
        <f t="shared" si="67"/>
        <v>#NAME?</v>
      </c>
      <c r="K46" s="66" t="e">
        <f t="shared" si="68"/>
        <v>#NAME?</v>
      </c>
      <c r="L46" s="66" t="e">
        <f t="shared" si="69"/>
        <v>#NAME?</v>
      </c>
      <c r="M46" s="66" t="e">
        <f t="shared" si="70"/>
        <v>#NAME?</v>
      </c>
      <c r="N46" s="66" t="e">
        <f t="shared" si="71"/>
        <v>#NAME?</v>
      </c>
      <c r="O46" s="66" t="e">
        <f t="shared" si="72"/>
        <v>#NAME?</v>
      </c>
      <c r="P46" s="66" t="e">
        <f t="shared" si="73"/>
        <v>#NAME?</v>
      </c>
      <c r="Q46" s="66" t="e">
        <f t="shared" si="74"/>
        <v>#NAME?</v>
      </c>
      <c r="R46" s="67" t="e">
        <f t="shared" si="46"/>
        <v>#NAME?</v>
      </c>
      <c r="S46" s="67" t="e">
        <f t="shared" si="4"/>
        <v>#NAME?</v>
      </c>
      <c r="T46" s="67" t="e">
        <f t="shared" si="5"/>
        <v>#NAME?</v>
      </c>
      <c r="U46" s="67" t="e">
        <f t="shared" si="75"/>
        <v>#NAME?</v>
      </c>
      <c r="V46" s="67" t="e">
        <f t="shared" si="76"/>
        <v>#NAME?</v>
      </c>
      <c r="W46" s="67" t="e">
        <f t="shared" si="77"/>
        <v>#NAME?</v>
      </c>
      <c r="X46" s="66" t="e">
        <f t="shared" si="78"/>
        <v>#NAME?</v>
      </c>
      <c r="Y46" s="66" t="e">
        <f t="shared" si="79"/>
        <v>#NAME?</v>
      </c>
      <c r="Z46" s="66" t="e">
        <f t="shared" si="80"/>
        <v>#NAME?</v>
      </c>
      <c r="AA46" s="66" t="e">
        <f t="shared" si="81"/>
        <v>#NAME?</v>
      </c>
      <c r="AB46" s="66" t="e">
        <f t="shared" si="82"/>
        <v>#NAME?</v>
      </c>
      <c r="AC46" s="66" t="e">
        <f t="shared" si="83"/>
        <v>#NAME?</v>
      </c>
      <c r="AD46" s="66" t="e">
        <f t="shared" si="84"/>
        <v>#NAME?</v>
      </c>
      <c r="AE46" s="66" t="e">
        <f t="shared" si="85"/>
        <v>#NAME?</v>
      </c>
      <c r="AF46" s="66" t="e">
        <f t="shared" si="86"/>
        <v>#NAME?</v>
      </c>
      <c r="AG46" s="66" t="e">
        <f t="shared" si="87"/>
        <v>#NAME?</v>
      </c>
      <c r="AH46" s="66" t="e">
        <f t="shared" si="88"/>
        <v>#NAME?</v>
      </c>
      <c r="AI46" s="66" t="e">
        <f t="shared" si="89"/>
        <v>#NAME?</v>
      </c>
      <c r="AJ46" s="67" t="e">
        <f t="shared" si="52"/>
        <v>#NAME?</v>
      </c>
      <c r="AK46" s="67" t="e">
        <f t="shared" si="7"/>
        <v>#NAME?</v>
      </c>
      <c r="AL46" s="67" t="e">
        <f t="shared" si="8"/>
        <v>#NAME?</v>
      </c>
      <c r="AM46" s="67" t="e">
        <f t="shared" si="90"/>
        <v>#NAME?</v>
      </c>
      <c r="AN46" s="67" t="e">
        <f t="shared" si="91"/>
        <v>#NAME?</v>
      </c>
      <c r="AO46" s="67" t="e">
        <f t="shared" si="92"/>
        <v>#NAME?</v>
      </c>
      <c r="AP46" s="66" t="e">
        <f t="shared" si="93"/>
        <v>#NAME?</v>
      </c>
      <c r="AQ46" s="66" t="e">
        <f t="shared" si="94"/>
        <v>#NAME?</v>
      </c>
      <c r="AR46" s="66" t="e">
        <f t="shared" si="95"/>
        <v>#NAME?</v>
      </c>
      <c r="AS46" s="66" t="e">
        <f t="shared" si="96"/>
        <v>#NAME?</v>
      </c>
      <c r="AT46" s="66" t="e">
        <f t="shared" si="97"/>
        <v>#NAME?</v>
      </c>
      <c r="AU46" s="66" t="e">
        <f t="shared" si="98"/>
        <v>#NAME?</v>
      </c>
      <c r="AV46" s="66" t="e">
        <f t="shared" si="99"/>
        <v>#NAME?</v>
      </c>
      <c r="AW46" s="66" t="e">
        <f t="shared" si="100"/>
        <v>#NAME?</v>
      </c>
      <c r="AX46" s="66" t="e">
        <f t="shared" si="101"/>
        <v>#NAME?</v>
      </c>
      <c r="AY46" s="66" t="e">
        <f t="shared" si="102"/>
        <v>#NAME?</v>
      </c>
      <c r="AZ46" s="66" t="e">
        <f t="shared" si="103"/>
        <v>#NAME?</v>
      </c>
      <c r="BA46" s="66" t="e">
        <f t="shared" si="104"/>
        <v>#NAME?</v>
      </c>
      <c r="BB46" s="67" t="e">
        <f t="shared" si="57"/>
        <v>#NAME?</v>
      </c>
      <c r="BC46" s="67" t="e">
        <f t="shared" si="10"/>
        <v>#NAME?</v>
      </c>
      <c r="BD46" s="67" t="e">
        <f t="shared" si="11"/>
        <v>#NAME?</v>
      </c>
      <c r="BE46" s="67" t="e">
        <f t="shared" si="105"/>
        <v>#NAME?</v>
      </c>
      <c r="BF46" s="67" t="e">
        <f t="shared" si="106"/>
        <v>#NAME?</v>
      </c>
      <c r="BG46" s="67" t="e">
        <f t="shared" si="107"/>
        <v>#NAME?</v>
      </c>
    </row>
    <row r="47" spans="1:59" s="62" customFormat="1" ht="15.6" x14ac:dyDescent="0.3">
      <c r="A47" s="69" t="s">
        <v>94</v>
      </c>
      <c r="B47" s="70">
        <v>33</v>
      </c>
      <c r="C47" s="71" t="s">
        <v>95</v>
      </c>
      <c r="D47" s="59"/>
      <c r="E47" s="60"/>
      <c r="F47" s="61" t="e">
        <f>SUM(F48:F53)</f>
        <v>#NAME?</v>
      </c>
      <c r="G47" s="61" t="e">
        <f>SUM(G48:G53)</f>
        <v>#NAME?</v>
      </c>
      <c r="H47" s="61" t="e">
        <f t="shared" ref="H47:Q47" si="108">SUM(H48:H53)</f>
        <v>#NAME?</v>
      </c>
      <c r="I47" s="61" t="e">
        <f t="shared" si="108"/>
        <v>#NAME?</v>
      </c>
      <c r="J47" s="61" t="e">
        <f t="shared" si="108"/>
        <v>#NAME?</v>
      </c>
      <c r="K47" s="61" t="e">
        <f t="shared" si="108"/>
        <v>#NAME?</v>
      </c>
      <c r="L47" s="61" t="e">
        <f t="shared" si="108"/>
        <v>#NAME?</v>
      </c>
      <c r="M47" s="61" t="e">
        <f>SUM(M48:M53)</f>
        <v>#NAME?</v>
      </c>
      <c r="N47" s="61" t="e">
        <f t="shared" si="108"/>
        <v>#NAME?</v>
      </c>
      <c r="O47" s="61" t="e">
        <f t="shared" si="108"/>
        <v>#NAME?</v>
      </c>
      <c r="P47" s="61" t="e">
        <f t="shared" si="108"/>
        <v>#NAME?</v>
      </c>
      <c r="Q47" s="61" t="e">
        <f t="shared" si="108"/>
        <v>#NAME?</v>
      </c>
      <c r="R47" s="61" t="e">
        <f t="shared" si="46"/>
        <v>#NAME?</v>
      </c>
      <c r="S47" s="61" t="e">
        <f t="shared" si="4"/>
        <v>#NAME?</v>
      </c>
      <c r="T47" s="61" t="e">
        <f t="shared" si="5"/>
        <v>#NAME?</v>
      </c>
      <c r="U47" s="61" t="e">
        <f t="shared" ref="U47:AI47" si="109">SUM(U48:U53)</f>
        <v>#NAME?</v>
      </c>
      <c r="V47" s="61" t="e">
        <f t="shared" si="109"/>
        <v>#NAME?</v>
      </c>
      <c r="W47" s="61" t="e">
        <f t="shared" si="109"/>
        <v>#NAME?</v>
      </c>
      <c r="X47" s="61" t="e">
        <f t="shared" si="109"/>
        <v>#NAME?</v>
      </c>
      <c r="Y47" s="61" t="e">
        <f t="shared" si="109"/>
        <v>#NAME?</v>
      </c>
      <c r="Z47" s="61" t="e">
        <f t="shared" si="109"/>
        <v>#NAME?</v>
      </c>
      <c r="AA47" s="61" t="e">
        <f t="shared" si="109"/>
        <v>#NAME?</v>
      </c>
      <c r="AB47" s="61" t="e">
        <f t="shared" si="109"/>
        <v>#NAME?</v>
      </c>
      <c r="AC47" s="61" t="e">
        <f t="shared" si="109"/>
        <v>#NAME?</v>
      </c>
      <c r="AD47" s="61" t="e">
        <f t="shared" si="109"/>
        <v>#NAME?</v>
      </c>
      <c r="AE47" s="61" t="e">
        <f t="shared" si="109"/>
        <v>#NAME?</v>
      </c>
      <c r="AF47" s="61" t="e">
        <f t="shared" si="109"/>
        <v>#NAME?</v>
      </c>
      <c r="AG47" s="61" t="e">
        <f t="shared" si="109"/>
        <v>#NAME?</v>
      </c>
      <c r="AH47" s="61" t="e">
        <f t="shared" si="109"/>
        <v>#NAME?</v>
      </c>
      <c r="AI47" s="61" t="e">
        <f t="shared" si="109"/>
        <v>#NAME?</v>
      </c>
      <c r="AJ47" s="61" t="e">
        <f t="shared" si="52"/>
        <v>#NAME?</v>
      </c>
      <c r="AK47" s="61" t="e">
        <f t="shared" si="7"/>
        <v>#NAME?</v>
      </c>
      <c r="AL47" s="61" t="e">
        <f t="shared" si="8"/>
        <v>#NAME?</v>
      </c>
      <c r="AM47" s="61" t="e">
        <f t="shared" ref="AM47:BA47" si="110">SUM(AM48:AM53)</f>
        <v>#NAME?</v>
      </c>
      <c r="AN47" s="61" t="e">
        <f t="shared" si="110"/>
        <v>#NAME?</v>
      </c>
      <c r="AO47" s="61" t="e">
        <f t="shared" si="110"/>
        <v>#NAME?</v>
      </c>
      <c r="AP47" s="61" t="e">
        <f t="shared" si="110"/>
        <v>#NAME?</v>
      </c>
      <c r="AQ47" s="61" t="e">
        <f t="shared" si="110"/>
        <v>#NAME?</v>
      </c>
      <c r="AR47" s="61" t="e">
        <f t="shared" si="110"/>
        <v>#NAME?</v>
      </c>
      <c r="AS47" s="61" t="e">
        <f t="shared" si="110"/>
        <v>#NAME?</v>
      </c>
      <c r="AT47" s="61" t="e">
        <f t="shared" si="110"/>
        <v>#NAME?</v>
      </c>
      <c r="AU47" s="61" t="e">
        <f t="shared" si="110"/>
        <v>#NAME?</v>
      </c>
      <c r="AV47" s="61" t="e">
        <f t="shared" si="110"/>
        <v>#NAME?</v>
      </c>
      <c r="AW47" s="61" t="e">
        <f t="shared" si="110"/>
        <v>#NAME?</v>
      </c>
      <c r="AX47" s="61" t="e">
        <f t="shared" si="110"/>
        <v>#NAME?</v>
      </c>
      <c r="AY47" s="61" t="e">
        <f t="shared" si="110"/>
        <v>#NAME?</v>
      </c>
      <c r="AZ47" s="61" t="e">
        <f t="shared" si="110"/>
        <v>#NAME?</v>
      </c>
      <c r="BA47" s="61" t="e">
        <f t="shared" si="110"/>
        <v>#NAME?</v>
      </c>
      <c r="BB47" s="61" t="e">
        <f t="shared" si="57"/>
        <v>#NAME?</v>
      </c>
      <c r="BC47" s="61" t="e">
        <f t="shared" si="10"/>
        <v>#NAME?</v>
      </c>
      <c r="BD47" s="61" t="e">
        <f t="shared" si="11"/>
        <v>#NAME?</v>
      </c>
      <c r="BE47" s="61" t="e">
        <f>SUM(BE48:BE53)</f>
        <v>#NAME?</v>
      </c>
      <c r="BF47" s="61" t="e">
        <f>SUM(BF48:BF53)</f>
        <v>#NAME?</v>
      </c>
      <c r="BG47" s="61" t="e">
        <f>SUM(BG48:BG53)</f>
        <v>#NAME?</v>
      </c>
    </row>
    <row r="48" spans="1:59" ht="15.6" x14ac:dyDescent="0.3">
      <c r="A48" s="14" t="s">
        <v>96</v>
      </c>
      <c r="B48" s="72">
        <v>34</v>
      </c>
      <c r="C48" s="16" t="s">
        <v>97</v>
      </c>
      <c r="D48" s="64"/>
      <c r="E48" s="65"/>
      <c r="F48" s="66" t="e">
        <f t="shared" ref="F48:F53" si="111">X48+AP48</f>
        <v>#NAME?</v>
      </c>
      <c r="G48" s="66" t="e">
        <f t="shared" ref="G48:G53" si="112">Y48+AQ48</f>
        <v>#NAME?</v>
      </c>
      <c r="H48" s="66" t="e">
        <f t="shared" ref="H48:H53" si="113">I48+J48</f>
        <v>#NAME?</v>
      </c>
      <c r="I48" s="66" t="e">
        <f t="shared" ref="I48:I53" si="114">AA48+AS48</f>
        <v>#NAME?</v>
      </c>
      <c r="J48" s="66" t="e">
        <f t="shared" ref="J48:J53" si="115">AB48+AT48</f>
        <v>#NAME?</v>
      </c>
      <c r="K48" s="66" t="e">
        <f t="shared" ref="K48:K53" si="116">AC48+AU48</f>
        <v>#NAME?</v>
      </c>
      <c r="L48" s="66" t="e">
        <f t="shared" ref="L48:L53" si="117">AD48+AV48</f>
        <v>#NAME?</v>
      </c>
      <c r="M48" s="66" t="e">
        <f t="shared" ref="M48:M53" si="118">AE48+AW48</f>
        <v>#NAME?</v>
      </c>
      <c r="N48" s="66" t="e">
        <f t="shared" ref="N48:N53" si="119">O48+Q48</f>
        <v>#NAME?</v>
      </c>
      <c r="O48" s="66" t="e">
        <f t="shared" ref="O48:O53" si="120">AG48+AY48</f>
        <v>#NAME?</v>
      </c>
      <c r="P48" s="66" t="e">
        <f t="shared" ref="P48:P53" si="121">AH48+AZ48</f>
        <v>#NAME?</v>
      </c>
      <c r="Q48" s="66" t="e">
        <f t="shared" ref="Q48:Q53" si="122">AI48+BA48</f>
        <v>#NAME?</v>
      </c>
      <c r="R48" s="67" t="e">
        <f t="shared" si="46"/>
        <v>#NAME?</v>
      </c>
      <c r="S48" s="67" t="e">
        <f t="shared" si="4"/>
        <v>#NAME?</v>
      </c>
      <c r="T48" s="67" t="e">
        <f t="shared" si="5"/>
        <v>#NAME?</v>
      </c>
      <c r="U48" s="67" t="e">
        <f t="shared" ref="U48:U53" si="123">AM48+BE48</f>
        <v>#NAME?</v>
      </c>
      <c r="V48" s="67" t="e">
        <f t="shared" ref="V48:V53" si="124">(G48+K48+L48-O48-U48)</f>
        <v>#NAME?</v>
      </c>
      <c r="W48" s="67" t="e">
        <f t="shared" ref="W48:W53" si="125">(I48-O48)</f>
        <v>#NAME?</v>
      </c>
      <c r="X48" s="66" t="e">
        <f t="shared" ref="X48:X53" si="126">КОЛ4020/$G$1</f>
        <v>#NAME?</v>
      </c>
      <c r="Y48" s="66" t="e">
        <f t="shared" ref="Y48:Y53" si="127">КОЛ4005/$G$1</f>
        <v>#NAME?</v>
      </c>
      <c r="Z48" s="66" t="e">
        <f t="shared" ref="Z48:Z53" si="128">AA48+AB48</f>
        <v>#NAME?</v>
      </c>
      <c r="AA48" s="66" t="e">
        <f t="shared" ref="AA48:AA53" si="129">КОЛ4007/$G$1</f>
        <v>#NAME?</v>
      </c>
      <c r="AB48" s="66" t="e">
        <f t="shared" ref="AB48:AB53" si="130">КОЛ4008/$G$1</f>
        <v>#NAME?</v>
      </c>
      <c r="AC48" s="66" t="e">
        <f t="shared" ref="AC48:AC53" si="131">КОЛ4009/$G$1</f>
        <v>#NAME?</v>
      </c>
      <c r="AD48" s="66" t="e">
        <f t="shared" ref="AD48:AD53" si="132">КОЛ4010/$G$1</f>
        <v>#NAME?</v>
      </c>
      <c r="AE48" s="66" t="e">
        <f t="shared" ref="AE48:AE53" si="133">КОЛ4011/$G$1</f>
        <v>#NAME?</v>
      </c>
      <c r="AF48" s="66" t="e">
        <f t="shared" ref="AF48:AF53" si="134">AG48+AI48</f>
        <v>#NAME?</v>
      </c>
      <c r="AG48" s="66" t="e">
        <f t="shared" ref="AG48:AG53" si="135">КОЛ4013/$G$1</f>
        <v>#NAME?</v>
      </c>
      <c r="AH48" s="66" t="e">
        <f t="shared" ref="AH48:AH53" si="136">КОЛ4014/$G$1</f>
        <v>#NAME?</v>
      </c>
      <c r="AI48" s="66" t="e">
        <f t="shared" ref="AI48:AI53" si="137">КОЛ4015/$G$1</f>
        <v>#NAME?</v>
      </c>
      <c r="AJ48" s="67" t="e">
        <f t="shared" si="52"/>
        <v>#NAME?</v>
      </c>
      <c r="AK48" s="67" t="e">
        <f t="shared" si="7"/>
        <v>#NAME?</v>
      </c>
      <c r="AL48" s="67" t="e">
        <f t="shared" si="8"/>
        <v>#NAME?</v>
      </c>
      <c r="AM48" s="67" t="e">
        <f t="shared" ref="AM48:AM53" si="138">КОЛ4017/$G$1</f>
        <v>#NAME?</v>
      </c>
      <c r="AN48" s="67" t="e">
        <f t="shared" ref="AN48:AN53" si="139">(Y48+AC48+AD48-AG48-AM48)</f>
        <v>#NAME?</v>
      </c>
      <c r="AO48" s="67" t="e">
        <f t="shared" ref="AO48:AO53" si="140">(AA48-AG48)</f>
        <v>#NAME?</v>
      </c>
      <c r="AP48" s="66" t="e">
        <f t="shared" ref="AP48:AP53" si="141">КОЛ4120/$G$1</f>
        <v>#NAME?</v>
      </c>
      <c r="AQ48" s="66" t="e">
        <f t="shared" ref="AQ48:AQ53" si="142">КОЛ4105/$G$1</f>
        <v>#NAME?</v>
      </c>
      <c r="AR48" s="66" t="e">
        <f t="shared" ref="AR48:AR53" si="143">AS48+AT48</f>
        <v>#NAME?</v>
      </c>
      <c r="AS48" s="66" t="e">
        <f t="shared" ref="AS48:AS53" si="144">КОЛ4107/$G$1</f>
        <v>#NAME?</v>
      </c>
      <c r="AT48" s="66" t="e">
        <f t="shared" ref="AT48:AT53" si="145">КОЛ4108/$G$1</f>
        <v>#NAME?</v>
      </c>
      <c r="AU48" s="66" t="e">
        <f t="shared" ref="AU48:AU53" si="146">КОЛ4109/$G$1</f>
        <v>#NAME?</v>
      </c>
      <c r="AV48" s="66" t="e">
        <f t="shared" ref="AV48:AV53" si="147">КОЛ4110/$G$1</f>
        <v>#NAME?</v>
      </c>
      <c r="AW48" s="66" t="e">
        <f t="shared" ref="AW48:AW53" si="148">КОЛ4111/$G$1</f>
        <v>#NAME?</v>
      </c>
      <c r="AX48" s="66" t="e">
        <f t="shared" ref="AX48:AX53" si="149">AY48+BA48</f>
        <v>#NAME?</v>
      </c>
      <c r="AY48" s="66" t="e">
        <f t="shared" ref="AY48:AY53" si="150">КОЛ4113/$G$1</f>
        <v>#NAME?</v>
      </c>
      <c r="AZ48" s="66" t="e">
        <f t="shared" ref="AZ48:AZ53" si="151">КОЛ4114/$G$1</f>
        <v>#NAME?</v>
      </c>
      <c r="BA48" s="66" t="e">
        <f t="shared" ref="BA48:BA53" si="152">КОЛ4115/$G$1</f>
        <v>#NAME?</v>
      </c>
      <c r="BB48" s="67" t="e">
        <f t="shared" si="57"/>
        <v>#NAME?</v>
      </c>
      <c r="BC48" s="67" t="e">
        <f t="shared" si="10"/>
        <v>#NAME?</v>
      </c>
      <c r="BD48" s="67" t="e">
        <f t="shared" si="11"/>
        <v>#NAME?</v>
      </c>
      <c r="BE48" s="67" t="e">
        <f t="shared" ref="BE48:BE53" si="153">КОЛ4117/$G$1</f>
        <v>#NAME?</v>
      </c>
      <c r="BF48" s="67" t="e">
        <f t="shared" ref="BF48:BF53" si="154">(AQ48+AU48+AV48-AY48-BE48)</f>
        <v>#NAME?</v>
      </c>
      <c r="BG48" s="67" t="e">
        <f t="shared" ref="BG48:BG53" si="155">(AS48-AY48)</f>
        <v>#NAME?</v>
      </c>
    </row>
    <row r="49" spans="1:59" ht="15.6" x14ac:dyDescent="0.3">
      <c r="A49" s="14" t="s">
        <v>98</v>
      </c>
      <c r="B49" s="72">
        <v>35</v>
      </c>
      <c r="C49" s="16" t="s">
        <v>99</v>
      </c>
      <c r="D49" s="64"/>
      <c r="E49" s="65"/>
      <c r="F49" s="66" t="e">
        <f t="shared" si="111"/>
        <v>#NAME?</v>
      </c>
      <c r="G49" s="66" t="e">
        <f t="shared" si="112"/>
        <v>#NAME?</v>
      </c>
      <c r="H49" s="66" t="e">
        <f t="shared" si="113"/>
        <v>#NAME?</v>
      </c>
      <c r="I49" s="66" t="e">
        <f t="shared" si="114"/>
        <v>#NAME?</v>
      </c>
      <c r="J49" s="66" t="e">
        <f t="shared" si="115"/>
        <v>#NAME?</v>
      </c>
      <c r="K49" s="66" t="e">
        <f t="shared" si="116"/>
        <v>#NAME?</v>
      </c>
      <c r="L49" s="66" t="e">
        <f t="shared" si="117"/>
        <v>#NAME?</v>
      </c>
      <c r="M49" s="66" t="e">
        <f t="shared" si="118"/>
        <v>#NAME?</v>
      </c>
      <c r="N49" s="66" t="e">
        <f t="shared" si="119"/>
        <v>#NAME?</v>
      </c>
      <c r="O49" s="66" t="e">
        <f t="shared" si="120"/>
        <v>#NAME?</v>
      </c>
      <c r="P49" s="66" t="e">
        <f t="shared" si="121"/>
        <v>#NAME?</v>
      </c>
      <c r="Q49" s="66" t="e">
        <f t="shared" si="122"/>
        <v>#NAME?</v>
      </c>
      <c r="R49" s="67" t="e">
        <f t="shared" si="46"/>
        <v>#NAME?</v>
      </c>
      <c r="S49" s="67" t="e">
        <f t="shared" si="4"/>
        <v>#NAME?</v>
      </c>
      <c r="T49" s="67" t="e">
        <f t="shared" si="5"/>
        <v>#NAME?</v>
      </c>
      <c r="U49" s="67" t="e">
        <f t="shared" si="123"/>
        <v>#NAME?</v>
      </c>
      <c r="V49" s="67" t="e">
        <f t="shared" si="124"/>
        <v>#NAME?</v>
      </c>
      <c r="W49" s="67" t="e">
        <f t="shared" si="125"/>
        <v>#NAME?</v>
      </c>
      <c r="X49" s="66" t="e">
        <f t="shared" si="126"/>
        <v>#NAME?</v>
      </c>
      <c r="Y49" s="66" t="e">
        <f t="shared" si="127"/>
        <v>#NAME?</v>
      </c>
      <c r="Z49" s="66" t="e">
        <f t="shared" si="128"/>
        <v>#NAME?</v>
      </c>
      <c r="AA49" s="66" t="e">
        <f t="shared" si="129"/>
        <v>#NAME?</v>
      </c>
      <c r="AB49" s="66" t="e">
        <f t="shared" si="130"/>
        <v>#NAME?</v>
      </c>
      <c r="AC49" s="66" t="e">
        <f t="shared" si="131"/>
        <v>#NAME?</v>
      </c>
      <c r="AD49" s="66" t="e">
        <f t="shared" si="132"/>
        <v>#NAME?</v>
      </c>
      <c r="AE49" s="66" t="e">
        <f t="shared" si="133"/>
        <v>#NAME?</v>
      </c>
      <c r="AF49" s="66" t="e">
        <f t="shared" si="134"/>
        <v>#NAME?</v>
      </c>
      <c r="AG49" s="66" t="e">
        <f t="shared" si="135"/>
        <v>#NAME?</v>
      </c>
      <c r="AH49" s="66" t="e">
        <f t="shared" si="136"/>
        <v>#NAME?</v>
      </c>
      <c r="AI49" s="66" t="e">
        <f t="shared" si="137"/>
        <v>#NAME?</v>
      </c>
      <c r="AJ49" s="67" t="e">
        <f t="shared" si="52"/>
        <v>#NAME?</v>
      </c>
      <c r="AK49" s="67" t="e">
        <f t="shared" si="7"/>
        <v>#NAME?</v>
      </c>
      <c r="AL49" s="67" t="e">
        <f t="shared" si="8"/>
        <v>#NAME?</v>
      </c>
      <c r="AM49" s="67" t="e">
        <f t="shared" si="138"/>
        <v>#NAME?</v>
      </c>
      <c r="AN49" s="67" t="e">
        <f t="shared" si="139"/>
        <v>#NAME?</v>
      </c>
      <c r="AO49" s="67" t="e">
        <f t="shared" si="140"/>
        <v>#NAME?</v>
      </c>
      <c r="AP49" s="66" t="e">
        <f t="shared" si="141"/>
        <v>#NAME?</v>
      </c>
      <c r="AQ49" s="66" t="e">
        <f t="shared" si="142"/>
        <v>#NAME?</v>
      </c>
      <c r="AR49" s="66" t="e">
        <f t="shared" si="143"/>
        <v>#NAME?</v>
      </c>
      <c r="AS49" s="66" t="e">
        <f t="shared" si="144"/>
        <v>#NAME?</v>
      </c>
      <c r="AT49" s="66" t="e">
        <f t="shared" si="145"/>
        <v>#NAME?</v>
      </c>
      <c r="AU49" s="66" t="e">
        <f t="shared" si="146"/>
        <v>#NAME?</v>
      </c>
      <c r="AV49" s="66" t="e">
        <f t="shared" si="147"/>
        <v>#NAME?</v>
      </c>
      <c r="AW49" s="66" t="e">
        <f t="shared" si="148"/>
        <v>#NAME?</v>
      </c>
      <c r="AX49" s="66" t="e">
        <f t="shared" si="149"/>
        <v>#NAME?</v>
      </c>
      <c r="AY49" s="66" t="e">
        <f t="shared" si="150"/>
        <v>#NAME?</v>
      </c>
      <c r="AZ49" s="66" t="e">
        <f t="shared" si="151"/>
        <v>#NAME?</v>
      </c>
      <c r="BA49" s="66" t="e">
        <f t="shared" si="152"/>
        <v>#NAME?</v>
      </c>
      <c r="BB49" s="67" t="e">
        <f t="shared" si="57"/>
        <v>#NAME?</v>
      </c>
      <c r="BC49" s="67" t="e">
        <f t="shared" si="10"/>
        <v>#NAME?</v>
      </c>
      <c r="BD49" s="67" t="e">
        <f t="shared" si="11"/>
        <v>#NAME?</v>
      </c>
      <c r="BE49" s="67" t="e">
        <f t="shared" si="153"/>
        <v>#NAME?</v>
      </c>
      <c r="BF49" s="67" t="e">
        <f t="shared" si="154"/>
        <v>#NAME?</v>
      </c>
      <c r="BG49" s="67" t="e">
        <f t="shared" si="155"/>
        <v>#NAME?</v>
      </c>
    </row>
    <row r="50" spans="1:59" ht="15.6" x14ac:dyDescent="0.3">
      <c r="A50" s="14" t="s">
        <v>100</v>
      </c>
      <c r="B50" s="72">
        <v>36</v>
      </c>
      <c r="C50" s="16" t="s">
        <v>101</v>
      </c>
      <c r="D50" s="64"/>
      <c r="E50" s="65"/>
      <c r="F50" s="66" t="e">
        <f t="shared" si="111"/>
        <v>#NAME?</v>
      </c>
      <c r="G50" s="66" t="e">
        <f t="shared" si="112"/>
        <v>#NAME?</v>
      </c>
      <c r="H50" s="66" t="e">
        <f t="shared" si="113"/>
        <v>#NAME?</v>
      </c>
      <c r="I50" s="66" t="e">
        <f t="shared" si="114"/>
        <v>#NAME?</v>
      </c>
      <c r="J50" s="66" t="e">
        <f t="shared" si="115"/>
        <v>#NAME?</v>
      </c>
      <c r="K50" s="66" t="e">
        <f t="shared" si="116"/>
        <v>#NAME?</v>
      </c>
      <c r="L50" s="66" t="e">
        <f t="shared" si="117"/>
        <v>#NAME?</v>
      </c>
      <c r="M50" s="66" t="e">
        <f t="shared" si="118"/>
        <v>#NAME?</v>
      </c>
      <c r="N50" s="66" t="e">
        <f t="shared" si="119"/>
        <v>#NAME?</v>
      </c>
      <c r="O50" s="66" t="e">
        <f t="shared" si="120"/>
        <v>#NAME?</v>
      </c>
      <c r="P50" s="66" t="e">
        <f t="shared" si="121"/>
        <v>#NAME?</v>
      </c>
      <c r="Q50" s="66" t="e">
        <f t="shared" si="122"/>
        <v>#NAME?</v>
      </c>
      <c r="R50" s="67" t="e">
        <f t="shared" si="46"/>
        <v>#NAME?</v>
      </c>
      <c r="S50" s="67" t="e">
        <f t="shared" si="4"/>
        <v>#NAME?</v>
      </c>
      <c r="T50" s="67" t="e">
        <f t="shared" si="5"/>
        <v>#NAME?</v>
      </c>
      <c r="U50" s="67" t="e">
        <f t="shared" si="123"/>
        <v>#NAME?</v>
      </c>
      <c r="V50" s="67" t="e">
        <f t="shared" si="124"/>
        <v>#NAME?</v>
      </c>
      <c r="W50" s="67" t="e">
        <f t="shared" si="125"/>
        <v>#NAME?</v>
      </c>
      <c r="X50" s="66" t="e">
        <f t="shared" si="126"/>
        <v>#NAME?</v>
      </c>
      <c r="Y50" s="66" t="e">
        <f t="shared" si="127"/>
        <v>#NAME?</v>
      </c>
      <c r="Z50" s="66" t="e">
        <f t="shared" si="128"/>
        <v>#NAME?</v>
      </c>
      <c r="AA50" s="66" t="e">
        <f t="shared" si="129"/>
        <v>#NAME?</v>
      </c>
      <c r="AB50" s="66" t="e">
        <f t="shared" si="130"/>
        <v>#NAME?</v>
      </c>
      <c r="AC50" s="66" t="e">
        <f t="shared" si="131"/>
        <v>#NAME?</v>
      </c>
      <c r="AD50" s="66" t="e">
        <f t="shared" si="132"/>
        <v>#NAME?</v>
      </c>
      <c r="AE50" s="66" t="e">
        <f t="shared" si="133"/>
        <v>#NAME?</v>
      </c>
      <c r="AF50" s="66" t="e">
        <f t="shared" si="134"/>
        <v>#NAME?</v>
      </c>
      <c r="AG50" s="66" t="e">
        <f t="shared" si="135"/>
        <v>#NAME?</v>
      </c>
      <c r="AH50" s="66" t="e">
        <f t="shared" si="136"/>
        <v>#NAME?</v>
      </c>
      <c r="AI50" s="66" t="e">
        <f t="shared" si="137"/>
        <v>#NAME?</v>
      </c>
      <c r="AJ50" s="67" t="e">
        <f t="shared" si="52"/>
        <v>#NAME?</v>
      </c>
      <c r="AK50" s="67" t="e">
        <f t="shared" si="7"/>
        <v>#NAME?</v>
      </c>
      <c r="AL50" s="67" t="e">
        <f t="shared" si="8"/>
        <v>#NAME?</v>
      </c>
      <c r="AM50" s="67" t="e">
        <f t="shared" si="138"/>
        <v>#NAME?</v>
      </c>
      <c r="AN50" s="67" t="e">
        <f t="shared" si="139"/>
        <v>#NAME?</v>
      </c>
      <c r="AO50" s="67" t="e">
        <f t="shared" si="140"/>
        <v>#NAME?</v>
      </c>
      <c r="AP50" s="66" t="e">
        <f t="shared" si="141"/>
        <v>#NAME?</v>
      </c>
      <c r="AQ50" s="66" t="e">
        <f t="shared" si="142"/>
        <v>#NAME?</v>
      </c>
      <c r="AR50" s="66" t="e">
        <f t="shared" si="143"/>
        <v>#NAME?</v>
      </c>
      <c r="AS50" s="66" t="e">
        <f t="shared" si="144"/>
        <v>#NAME?</v>
      </c>
      <c r="AT50" s="66" t="e">
        <f t="shared" si="145"/>
        <v>#NAME?</v>
      </c>
      <c r="AU50" s="66" t="e">
        <f t="shared" si="146"/>
        <v>#NAME?</v>
      </c>
      <c r="AV50" s="66" t="e">
        <f t="shared" si="147"/>
        <v>#NAME?</v>
      </c>
      <c r="AW50" s="66" t="e">
        <f t="shared" si="148"/>
        <v>#NAME?</v>
      </c>
      <c r="AX50" s="66" t="e">
        <f t="shared" si="149"/>
        <v>#NAME?</v>
      </c>
      <c r="AY50" s="66" t="e">
        <f t="shared" si="150"/>
        <v>#NAME?</v>
      </c>
      <c r="AZ50" s="66" t="e">
        <f t="shared" si="151"/>
        <v>#NAME?</v>
      </c>
      <c r="BA50" s="66" t="e">
        <f t="shared" si="152"/>
        <v>#NAME?</v>
      </c>
      <c r="BB50" s="67" t="e">
        <f t="shared" si="57"/>
        <v>#NAME?</v>
      </c>
      <c r="BC50" s="67" t="e">
        <f t="shared" si="10"/>
        <v>#NAME?</v>
      </c>
      <c r="BD50" s="67" t="e">
        <f t="shared" si="11"/>
        <v>#NAME?</v>
      </c>
      <c r="BE50" s="67" t="e">
        <f t="shared" si="153"/>
        <v>#NAME?</v>
      </c>
      <c r="BF50" s="67" t="e">
        <f t="shared" si="154"/>
        <v>#NAME?</v>
      </c>
      <c r="BG50" s="67" t="e">
        <f t="shared" si="155"/>
        <v>#NAME?</v>
      </c>
    </row>
    <row r="51" spans="1:59" ht="15.6" x14ac:dyDescent="0.3">
      <c r="A51" s="14" t="s">
        <v>102</v>
      </c>
      <c r="B51" s="72">
        <v>37</v>
      </c>
      <c r="C51" s="16" t="s">
        <v>103</v>
      </c>
      <c r="D51" s="64"/>
      <c r="E51" s="65"/>
      <c r="F51" s="66" t="e">
        <f t="shared" si="111"/>
        <v>#NAME?</v>
      </c>
      <c r="G51" s="66" t="e">
        <f t="shared" si="112"/>
        <v>#NAME?</v>
      </c>
      <c r="H51" s="66" t="e">
        <f t="shared" si="113"/>
        <v>#NAME?</v>
      </c>
      <c r="I51" s="66" t="e">
        <f t="shared" si="114"/>
        <v>#NAME?</v>
      </c>
      <c r="J51" s="66" t="e">
        <f t="shared" si="115"/>
        <v>#NAME?</v>
      </c>
      <c r="K51" s="66" t="e">
        <f t="shared" si="116"/>
        <v>#NAME?</v>
      </c>
      <c r="L51" s="66" t="e">
        <f t="shared" si="117"/>
        <v>#NAME?</v>
      </c>
      <c r="M51" s="66" t="e">
        <f t="shared" si="118"/>
        <v>#NAME?</v>
      </c>
      <c r="N51" s="66" t="e">
        <f t="shared" si="119"/>
        <v>#NAME?</v>
      </c>
      <c r="O51" s="66" t="e">
        <f t="shared" si="120"/>
        <v>#NAME?</v>
      </c>
      <c r="P51" s="66" t="e">
        <f t="shared" si="121"/>
        <v>#NAME?</v>
      </c>
      <c r="Q51" s="66" t="e">
        <f t="shared" si="122"/>
        <v>#NAME?</v>
      </c>
      <c r="R51" s="67" t="e">
        <f t="shared" si="46"/>
        <v>#NAME?</v>
      </c>
      <c r="S51" s="67" t="e">
        <f t="shared" si="4"/>
        <v>#NAME?</v>
      </c>
      <c r="T51" s="67" t="e">
        <f t="shared" si="5"/>
        <v>#NAME?</v>
      </c>
      <c r="U51" s="67" t="e">
        <f t="shared" si="123"/>
        <v>#NAME?</v>
      </c>
      <c r="V51" s="67" t="e">
        <f t="shared" si="124"/>
        <v>#NAME?</v>
      </c>
      <c r="W51" s="67" t="e">
        <f t="shared" si="125"/>
        <v>#NAME?</v>
      </c>
      <c r="X51" s="66" t="e">
        <f t="shared" si="126"/>
        <v>#NAME?</v>
      </c>
      <c r="Y51" s="66" t="e">
        <f t="shared" si="127"/>
        <v>#NAME?</v>
      </c>
      <c r="Z51" s="66" t="e">
        <f t="shared" si="128"/>
        <v>#NAME?</v>
      </c>
      <c r="AA51" s="66" t="e">
        <f t="shared" si="129"/>
        <v>#NAME?</v>
      </c>
      <c r="AB51" s="66" t="e">
        <f t="shared" si="130"/>
        <v>#NAME?</v>
      </c>
      <c r="AC51" s="66" t="e">
        <f t="shared" si="131"/>
        <v>#NAME?</v>
      </c>
      <c r="AD51" s="66" t="e">
        <f t="shared" si="132"/>
        <v>#NAME?</v>
      </c>
      <c r="AE51" s="66" t="e">
        <f t="shared" si="133"/>
        <v>#NAME?</v>
      </c>
      <c r="AF51" s="66" t="e">
        <f t="shared" si="134"/>
        <v>#NAME?</v>
      </c>
      <c r="AG51" s="66" t="e">
        <f t="shared" si="135"/>
        <v>#NAME?</v>
      </c>
      <c r="AH51" s="66" t="e">
        <f t="shared" si="136"/>
        <v>#NAME?</v>
      </c>
      <c r="AI51" s="66" t="e">
        <f t="shared" si="137"/>
        <v>#NAME?</v>
      </c>
      <c r="AJ51" s="67" t="e">
        <f t="shared" si="52"/>
        <v>#NAME?</v>
      </c>
      <c r="AK51" s="67" t="e">
        <f t="shared" si="7"/>
        <v>#NAME?</v>
      </c>
      <c r="AL51" s="67" t="e">
        <f t="shared" si="8"/>
        <v>#NAME?</v>
      </c>
      <c r="AM51" s="67" t="e">
        <f t="shared" si="138"/>
        <v>#NAME?</v>
      </c>
      <c r="AN51" s="67" t="e">
        <f t="shared" si="139"/>
        <v>#NAME?</v>
      </c>
      <c r="AO51" s="67" t="e">
        <f t="shared" si="140"/>
        <v>#NAME?</v>
      </c>
      <c r="AP51" s="66" t="e">
        <f t="shared" si="141"/>
        <v>#NAME?</v>
      </c>
      <c r="AQ51" s="66" t="e">
        <f t="shared" si="142"/>
        <v>#NAME?</v>
      </c>
      <c r="AR51" s="66" t="e">
        <f t="shared" si="143"/>
        <v>#NAME?</v>
      </c>
      <c r="AS51" s="66" t="e">
        <f t="shared" si="144"/>
        <v>#NAME?</v>
      </c>
      <c r="AT51" s="66" t="e">
        <f t="shared" si="145"/>
        <v>#NAME?</v>
      </c>
      <c r="AU51" s="66" t="e">
        <f t="shared" si="146"/>
        <v>#NAME?</v>
      </c>
      <c r="AV51" s="66" t="e">
        <f t="shared" si="147"/>
        <v>#NAME?</v>
      </c>
      <c r="AW51" s="66" t="e">
        <f t="shared" si="148"/>
        <v>#NAME?</v>
      </c>
      <c r="AX51" s="66" t="e">
        <f t="shared" si="149"/>
        <v>#NAME?</v>
      </c>
      <c r="AY51" s="66" t="e">
        <f t="shared" si="150"/>
        <v>#NAME?</v>
      </c>
      <c r="AZ51" s="66" t="e">
        <f t="shared" si="151"/>
        <v>#NAME?</v>
      </c>
      <c r="BA51" s="66" t="e">
        <f t="shared" si="152"/>
        <v>#NAME?</v>
      </c>
      <c r="BB51" s="67" t="e">
        <f t="shared" si="57"/>
        <v>#NAME?</v>
      </c>
      <c r="BC51" s="67" t="e">
        <f t="shared" si="10"/>
        <v>#NAME?</v>
      </c>
      <c r="BD51" s="67" t="e">
        <f t="shared" si="11"/>
        <v>#NAME?</v>
      </c>
      <c r="BE51" s="67" t="e">
        <f t="shared" si="153"/>
        <v>#NAME?</v>
      </c>
      <c r="BF51" s="67" t="e">
        <f t="shared" si="154"/>
        <v>#NAME?</v>
      </c>
      <c r="BG51" s="67" t="e">
        <f t="shared" si="155"/>
        <v>#NAME?</v>
      </c>
    </row>
    <row r="52" spans="1:59" ht="15.6" x14ac:dyDescent="0.3">
      <c r="A52" s="14" t="s">
        <v>104</v>
      </c>
      <c r="B52" s="72">
        <v>38</v>
      </c>
      <c r="C52" s="16" t="s">
        <v>105</v>
      </c>
      <c r="D52" s="64"/>
      <c r="E52" s="65"/>
      <c r="F52" s="66" t="e">
        <f t="shared" si="111"/>
        <v>#NAME?</v>
      </c>
      <c r="G52" s="66" t="e">
        <f t="shared" si="112"/>
        <v>#NAME?</v>
      </c>
      <c r="H52" s="66" t="e">
        <f t="shared" si="113"/>
        <v>#NAME?</v>
      </c>
      <c r="I52" s="66" t="e">
        <f t="shared" si="114"/>
        <v>#NAME?</v>
      </c>
      <c r="J52" s="66" t="e">
        <f t="shared" si="115"/>
        <v>#NAME?</v>
      </c>
      <c r="K52" s="66" t="e">
        <f t="shared" si="116"/>
        <v>#NAME?</v>
      </c>
      <c r="L52" s="66" t="e">
        <f t="shared" si="117"/>
        <v>#NAME?</v>
      </c>
      <c r="M52" s="66" t="e">
        <f t="shared" si="118"/>
        <v>#NAME?</v>
      </c>
      <c r="N52" s="66" t="e">
        <f t="shared" si="119"/>
        <v>#NAME?</v>
      </c>
      <c r="O52" s="66" t="e">
        <f t="shared" si="120"/>
        <v>#NAME?</v>
      </c>
      <c r="P52" s="66" t="e">
        <f t="shared" si="121"/>
        <v>#NAME?</v>
      </c>
      <c r="Q52" s="66" t="e">
        <f t="shared" si="122"/>
        <v>#NAME?</v>
      </c>
      <c r="R52" s="67" t="e">
        <f t="shared" si="46"/>
        <v>#NAME?</v>
      </c>
      <c r="S52" s="67" t="e">
        <f t="shared" si="4"/>
        <v>#NAME?</v>
      </c>
      <c r="T52" s="67" t="e">
        <f t="shared" si="5"/>
        <v>#NAME?</v>
      </c>
      <c r="U52" s="67" t="e">
        <f t="shared" si="123"/>
        <v>#NAME?</v>
      </c>
      <c r="V52" s="67" t="e">
        <f t="shared" si="124"/>
        <v>#NAME?</v>
      </c>
      <c r="W52" s="67" t="e">
        <f t="shared" si="125"/>
        <v>#NAME?</v>
      </c>
      <c r="X52" s="66" t="e">
        <f t="shared" si="126"/>
        <v>#NAME?</v>
      </c>
      <c r="Y52" s="66" t="e">
        <f t="shared" si="127"/>
        <v>#NAME?</v>
      </c>
      <c r="Z52" s="66" t="e">
        <f t="shared" si="128"/>
        <v>#NAME?</v>
      </c>
      <c r="AA52" s="66" t="e">
        <f t="shared" si="129"/>
        <v>#NAME?</v>
      </c>
      <c r="AB52" s="66" t="e">
        <f t="shared" si="130"/>
        <v>#NAME?</v>
      </c>
      <c r="AC52" s="66" t="e">
        <f t="shared" si="131"/>
        <v>#NAME?</v>
      </c>
      <c r="AD52" s="66" t="e">
        <f t="shared" si="132"/>
        <v>#NAME?</v>
      </c>
      <c r="AE52" s="66" t="e">
        <f t="shared" si="133"/>
        <v>#NAME?</v>
      </c>
      <c r="AF52" s="66" t="e">
        <f t="shared" si="134"/>
        <v>#NAME?</v>
      </c>
      <c r="AG52" s="66" t="e">
        <f t="shared" si="135"/>
        <v>#NAME?</v>
      </c>
      <c r="AH52" s="66" t="e">
        <f t="shared" si="136"/>
        <v>#NAME?</v>
      </c>
      <c r="AI52" s="66" t="e">
        <f t="shared" si="137"/>
        <v>#NAME?</v>
      </c>
      <c r="AJ52" s="67" t="e">
        <f t="shared" si="52"/>
        <v>#NAME?</v>
      </c>
      <c r="AK52" s="67" t="e">
        <f t="shared" si="7"/>
        <v>#NAME?</v>
      </c>
      <c r="AL52" s="67" t="e">
        <f t="shared" si="8"/>
        <v>#NAME?</v>
      </c>
      <c r="AM52" s="67" t="e">
        <f t="shared" si="138"/>
        <v>#NAME?</v>
      </c>
      <c r="AN52" s="67" t="e">
        <f t="shared" si="139"/>
        <v>#NAME?</v>
      </c>
      <c r="AO52" s="67" t="e">
        <f t="shared" si="140"/>
        <v>#NAME?</v>
      </c>
      <c r="AP52" s="66" t="e">
        <f t="shared" si="141"/>
        <v>#NAME?</v>
      </c>
      <c r="AQ52" s="66" t="e">
        <f t="shared" si="142"/>
        <v>#NAME?</v>
      </c>
      <c r="AR52" s="66" t="e">
        <f t="shared" si="143"/>
        <v>#NAME?</v>
      </c>
      <c r="AS52" s="66" t="e">
        <f t="shared" si="144"/>
        <v>#NAME?</v>
      </c>
      <c r="AT52" s="66" t="e">
        <f t="shared" si="145"/>
        <v>#NAME?</v>
      </c>
      <c r="AU52" s="66" t="e">
        <f t="shared" si="146"/>
        <v>#NAME?</v>
      </c>
      <c r="AV52" s="66" t="e">
        <f t="shared" si="147"/>
        <v>#NAME?</v>
      </c>
      <c r="AW52" s="66" t="e">
        <f t="shared" si="148"/>
        <v>#NAME?</v>
      </c>
      <c r="AX52" s="66" t="e">
        <f t="shared" si="149"/>
        <v>#NAME?</v>
      </c>
      <c r="AY52" s="66" t="e">
        <f t="shared" si="150"/>
        <v>#NAME?</v>
      </c>
      <c r="AZ52" s="66" t="e">
        <f t="shared" si="151"/>
        <v>#NAME?</v>
      </c>
      <c r="BA52" s="66" t="e">
        <f t="shared" si="152"/>
        <v>#NAME?</v>
      </c>
      <c r="BB52" s="67" t="e">
        <f t="shared" si="57"/>
        <v>#NAME?</v>
      </c>
      <c r="BC52" s="67" t="e">
        <f t="shared" si="10"/>
        <v>#NAME?</v>
      </c>
      <c r="BD52" s="67" t="e">
        <f t="shared" si="11"/>
        <v>#NAME?</v>
      </c>
      <c r="BE52" s="67" t="e">
        <f t="shared" si="153"/>
        <v>#NAME?</v>
      </c>
      <c r="BF52" s="67" t="e">
        <f t="shared" si="154"/>
        <v>#NAME?</v>
      </c>
      <c r="BG52" s="67" t="e">
        <f t="shared" si="155"/>
        <v>#NAME?</v>
      </c>
    </row>
    <row r="53" spans="1:59" ht="15.6" x14ac:dyDescent="0.3">
      <c r="A53" s="14" t="s">
        <v>106</v>
      </c>
      <c r="B53" s="68">
        <v>39</v>
      </c>
      <c r="C53" s="16" t="s">
        <v>107</v>
      </c>
      <c r="D53" s="64"/>
      <c r="E53" s="65"/>
      <c r="F53" s="66" t="e">
        <f t="shared" si="111"/>
        <v>#NAME?</v>
      </c>
      <c r="G53" s="66" t="e">
        <f t="shared" si="112"/>
        <v>#NAME?</v>
      </c>
      <c r="H53" s="66" t="e">
        <f t="shared" si="113"/>
        <v>#NAME?</v>
      </c>
      <c r="I53" s="66" t="e">
        <f t="shared" si="114"/>
        <v>#NAME?</v>
      </c>
      <c r="J53" s="66" t="e">
        <f t="shared" si="115"/>
        <v>#NAME?</v>
      </c>
      <c r="K53" s="66" t="e">
        <f t="shared" si="116"/>
        <v>#NAME?</v>
      </c>
      <c r="L53" s="66" t="e">
        <f t="shared" si="117"/>
        <v>#NAME?</v>
      </c>
      <c r="M53" s="66" t="e">
        <f t="shared" si="118"/>
        <v>#NAME?</v>
      </c>
      <c r="N53" s="66" t="e">
        <f t="shared" si="119"/>
        <v>#NAME?</v>
      </c>
      <c r="O53" s="66" t="e">
        <f t="shared" si="120"/>
        <v>#NAME?</v>
      </c>
      <c r="P53" s="66" t="e">
        <f t="shared" si="121"/>
        <v>#NAME?</v>
      </c>
      <c r="Q53" s="66" t="e">
        <f t="shared" si="122"/>
        <v>#NAME?</v>
      </c>
      <c r="R53" s="67" t="e">
        <f t="shared" si="46"/>
        <v>#NAME?</v>
      </c>
      <c r="S53" s="67" t="e">
        <f t="shared" si="4"/>
        <v>#NAME?</v>
      </c>
      <c r="T53" s="67" t="e">
        <f t="shared" si="5"/>
        <v>#NAME?</v>
      </c>
      <c r="U53" s="67" t="e">
        <f t="shared" si="123"/>
        <v>#NAME?</v>
      </c>
      <c r="V53" s="67" t="e">
        <f t="shared" si="124"/>
        <v>#NAME?</v>
      </c>
      <c r="W53" s="67" t="e">
        <f t="shared" si="125"/>
        <v>#NAME?</v>
      </c>
      <c r="X53" s="66" t="e">
        <f t="shared" si="126"/>
        <v>#NAME?</v>
      </c>
      <c r="Y53" s="66" t="e">
        <f t="shared" si="127"/>
        <v>#NAME?</v>
      </c>
      <c r="Z53" s="66" t="e">
        <f t="shared" si="128"/>
        <v>#NAME?</v>
      </c>
      <c r="AA53" s="66" t="e">
        <f t="shared" si="129"/>
        <v>#NAME?</v>
      </c>
      <c r="AB53" s="66" t="e">
        <f t="shared" si="130"/>
        <v>#NAME?</v>
      </c>
      <c r="AC53" s="66" t="e">
        <f t="shared" si="131"/>
        <v>#NAME?</v>
      </c>
      <c r="AD53" s="66" t="e">
        <f t="shared" si="132"/>
        <v>#NAME?</v>
      </c>
      <c r="AE53" s="66" t="e">
        <f t="shared" si="133"/>
        <v>#NAME?</v>
      </c>
      <c r="AF53" s="66" t="e">
        <f t="shared" si="134"/>
        <v>#NAME?</v>
      </c>
      <c r="AG53" s="66" t="e">
        <f t="shared" si="135"/>
        <v>#NAME?</v>
      </c>
      <c r="AH53" s="66" t="e">
        <f t="shared" si="136"/>
        <v>#NAME?</v>
      </c>
      <c r="AI53" s="66" t="e">
        <f t="shared" si="137"/>
        <v>#NAME?</v>
      </c>
      <c r="AJ53" s="67" t="e">
        <f t="shared" si="52"/>
        <v>#NAME?</v>
      </c>
      <c r="AK53" s="67" t="e">
        <f t="shared" si="7"/>
        <v>#NAME?</v>
      </c>
      <c r="AL53" s="67" t="e">
        <f t="shared" si="8"/>
        <v>#NAME?</v>
      </c>
      <c r="AM53" s="67" t="e">
        <f t="shared" si="138"/>
        <v>#NAME?</v>
      </c>
      <c r="AN53" s="67" t="e">
        <f t="shared" si="139"/>
        <v>#NAME?</v>
      </c>
      <c r="AO53" s="67" t="e">
        <f t="shared" si="140"/>
        <v>#NAME?</v>
      </c>
      <c r="AP53" s="66" t="e">
        <f t="shared" si="141"/>
        <v>#NAME?</v>
      </c>
      <c r="AQ53" s="66" t="e">
        <f t="shared" si="142"/>
        <v>#NAME?</v>
      </c>
      <c r="AR53" s="66" t="e">
        <f t="shared" si="143"/>
        <v>#NAME?</v>
      </c>
      <c r="AS53" s="66" t="e">
        <f t="shared" si="144"/>
        <v>#NAME?</v>
      </c>
      <c r="AT53" s="66" t="e">
        <f t="shared" si="145"/>
        <v>#NAME?</v>
      </c>
      <c r="AU53" s="66" t="e">
        <f t="shared" si="146"/>
        <v>#NAME?</v>
      </c>
      <c r="AV53" s="66" t="e">
        <f t="shared" si="147"/>
        <v>#NAME?</v>
      </c>
      <c r="AW53" s="66" t="e">
        <f t="shared" si="148"/>
        <v>#NAME?</v>
      </c>
      <c r="AX53" s="66" t="e">
        <f t="shared" si="149"/>
        <v>#NAME?</v>
      </c>
      <c r="AY53" s="66" t="e">
        <f t="shared" si="150"/>
        <v>#NAME?</v>
      </c>
      <c r="AZ53" s="66" t="e">
        <f t="shared" si="151"/>
        <v>#NAME?</v>
      </c>
      <c r="BA53" s="66" t="e">
        <f t="shared" si="152"/>
        <v>#NAME?</v>
      </c>
      <c r="BB53" s="67" t="e">
        <f t="shared" si="57"/>
        <v>#NAME?</v>
      </c>
      <c r="BC53" s="67" t="e">
        <f t="shared" si="10"/>
        <v>#NAME?</v>
      </c>
      <c r="BD53" s="67" t="e">
        <f t="shared" si="11"/>
        <v>#NAME?</v>
      </c>
      <c r="BE53" s="67" t="e">
        <f t="shared" si="153"/>
        <v>#NAME?</v>
      </c>
      <c r="BF53" s="67" t="e">
        <f t="shared" si="154"/>
        <v>#NAME?</v>
      </c>
      <c r="BG53" s="67" t="e">
        <f t="shared" si="155"/>
        <v>#NAME?</v>
      </c>
    </row>
    <row r="54" spans="1:59" s="62" customFormat="1" ht="15.6" x14ac:dyDescent="0.3">
      <c r="A54" s="69" t="s">
        <v>108</v>
      </c>
      <c r="B54" s="70">
        <v>40</v>
      </c>
      <c r="C54" s="73" t="s">
        <v>109</v>
      </c>
      <c r="D54" s="59"/>
      <c r="E54" s="60"/>
      <c r="F54" s="61" t="e">
        <f>SUM(F55:F61)</f>
        <v>#NAME?</v>
      </c>
      <c r="G54" s="61" t="e">
        <f>SUM(G55:G61)</f>
        <v>#NAME?</v>
      </c>
      <c r="H54" s="61" t="e">
        <f t="shared" ref="H54:Q54" si="156">SUM(H55:H61)</f>
        <v>#NAME?</v>
      </c>
      <c r="I54" s="61" t="e">
        <f t="shared" si="156"/>
        <v>#NAME?</v>
      </c>
      <c r="J54" s="61" t="e">
        <f t="shared" si="156"/>
        <v>#NAME?</v>
      </c>
      <c r="K54" s="61" t="e">
        <f t="shared" si="156"/>
        <v>#NAME?</v>
      </c>
      <c r="L54" s="61" t="e">
        <f t="shared" si="156"/>
        <v>#NAME?</v>
      </c>
      <c r="M54" s="61" t="e">
        <f>SUM(M55:M61)</f>
        <v>#NAME?</v>
      </c>
      <c r="N54" s="61" t="e">
        <f t="shared" si="156"/>
        <v>#NAME?</v>
      </c>
      <c r="O54" s="61" t="e">
        <f t="shared" si="156"/>
        <v>#NAME?</v>
      </c>
      <c r="P54" s="61" t="e">
        <f t="shared" si="156"/>
        <v>#NAME?</v>
      </c>
      <c r="Q54" s="61" t="e">
        <f t="shared" si="156"/>
        <v>#NAME?</v>
      </c>
      <c r="R54" s="61" t="e">
        <f t="shared" si="46"/>
        <v>#NAME?</v>
      </c>
      <c r="S54" s="61" t="e">
        <f t="shared" si="4"/>
        <v>#NAME?</v>
      </c>
      <c r="T54" s="61" t="e">
        <f t="shared" si="5"/>
        <v>#NAME?</v>
      </c>
      <c r="U54" s="61" t="e">
        <f t="shared" ref="U54:AI54" si="157">SUM(U55:U61)</f>
        <v>#NAME?</v>
      </c>
      <c r="V54" s="61" t="e">
        <f t="shared" si="157"/>
        <v>#NAME?</v>
      </c>
      <c r="W54" s="61" t="e">
        <f t="shared" si="157"/>
        <v>#NAME?</v>
      </c>
      <c r="X54" s="61" t="e">
        <f t="shared" si="157"/>
        <v>#NAME?</v>
      </c>
      <c r="Y54" s="61" t="e">
        <f t="shared" si="157"/>
        <v>#NAME?</v>
      </c>
      <c r="Z54" s="61" t="e">
        <f t="shared" si="157"/>
        <v>#NAME?</v>
      </c>
      <c r="AA54" s="61" t="e">
        <f t="shared" si="157"/>
        <v>#NAME?</v>
      </c>
      <c r="AB54" s="61" t="e">
        <f t="shared" si="157"/>
        <v>#NAME?</v>
      </c>
      <c r="AC54" s="61" t="e">
        <f t="shared" si="157"/>
        <v>#NAME?</v>
      </c>
      <c r="AD54" s="61" t="e">
        <f t="shared" si="157"/>
        <v>#NAME?</v>
      </c>
      <c r="AE54" s="61" t="e">
        <f t="shared" si="157"/>
        <v>#NAME?</v>
      </c>
      <c r="AF54" s="61" t="e">
        <f t="shared" si="157"/>
        <v>#NAME?</v>
      </c>
      <c r="AG54" s="61" t="e">
        <f t="shared" si="157"/>
        <v>#NAME?</v>
      </c>
      <c r="AH54" s="61" t="e">
        <f t="shared" si="157"/>
        <v>#NAME?</v>
      </c>
      <c r="AI54" s="61" t="e">
        <f t="shared" si="157"/>
        <v>#NAME?</v>
      </c>
      <c r="AJ54" s="61" t="e">
        <f t="shared" si="52"/>
        <v>#NAME?</v>
      </c>
      <c r="AK54" s="61" t="e">
        <f t="shared" si="7"/>
        <v>#NAME?</v>
      </c>
      <c r="AL54" s="61" t="e">
        <f t="shared" si="8"/>
        <v>#NAME?</v>
      </c>
      <c r="AM54" s="61" t="e">
        <f t="shared" ref="AM54:BA54" si="158">SUM(AM55:AM61)</f>
        <v>#NAME?</v>
      </c>
      <c r="AN54" s="61" t="e">
        <f t="shared" si="158"/>
        <v>#NAME?</v>
      </c>
      <c r="AO54" s="61" t="e">
        <f t="shared" si="158"/>
        <v>#NAME?</v>
      </c>
      <c r="AP54" s="61" t="e">
        <f t="shared" si="158"/>
        <v>#NAME?</v>
      </c>
      <c r="AQ54" s="61" t="e">
        <f t="shared" si="158"/>
        <v>#NAME?</v>
      </c>
      <c r="AR54" s="61" t="e">
        <f t="shared" si="158"/>
        <v>#NAME?</v>
      </c>
      <c r="AS54" s="61" t="e">
        <f t="shared" si="158"/>
        <v>#NAME?</v>
      </c>
      <c r="AT54" s="61" t="e">
        <f t="shared" si="158"/>
        <v>#NAME?</v>
      </c>
      <c r="AU54" s="61" t="e">
        <f t="shared" si="158"/>
        <v>#NAME?</v>
      </c>
      <c r="AV54" s="61" t="e">
        <f t="shared" si="158"/>
        <v>#NAME?</v>
      </c>
      <c r="AW54" s="61" t="e">
        <f t="shared" si="158"/>
        <v>#NAME?</v>
      </c>
      <c r="AX54" s="61" t="e">
        <f t="shared" si="158"/>
        <v>#NAME?</v>
      </c>
      <c r="AY54" s="61" t="e">
        <f t="shared" si="158"/>
        <v>#NAME?</v>
      </c>
      <c r="AZ54" s="61" t="e">
        <f t="shared" si="158"/>
        <v>#NAME?</v>
      </c>
      <c r="BA54" s="61" t="e">
        <f t="shared" si="158"/>
        <v>#NAME?</v>
      </c>
      <c r="BB54" s="61" t="e">
        <f t="shared" si="57"/>
        <v>#NAME?</v>
      </c>
      <c r="BC54" s="61" t="e">
        <f t="shared" si="10"/>
        <v>#NAME?</v>
      </c>
      <c r="BD54" s="61" t="e">
        <f t="shared" si="11"/>
        <v>#NAME?</v>
      </c>
      <c r="BE54" s="61" t="e">
        <f>SUM(BE55:BE61)</f>
        <v>#NAME?</v>
      </c>
      <c r="BF54" s="61" t="e">
        <f>SUM(BF55:BF61)</f>
        <v>#NAME?</v>
      </c>
      <c r="BG54" s="61" t="e">
        <f>SUM(BG55:BG61)</f>
        <v>#NAME?</v>
      </c>
    </row>
    <row r="55" spans="1:59" ht="15.6" x14ac:dyDescent="0.3">
      <c r="A55" s="14" t="s">
        <v>110</v>
      </c>
      <c r="B55" s="72">
        <v>41</v>
      </c>
      <c r="C55" s="16" t="s">
        <v>111</v>
      </c>
      <c r="D55" s="64"/>
      <c r="E55" s="65"/>
      <c r="F55" s="66" t="e">
        <f t="shared" ref="F55:F61" si="159">X55+AP55</f>
        <v>#NAME?</v>
      </c>
      <c r="G55" s="66" t="e">
        <f t="shared" ref="G55:G61" si="160">Y55+AQ55</f>
        <v>#NAME?</v>
      </c>
      <c r="H55" s="66" t="e">
        <f t="shared" ref="H55:H61" si="161">I55+J55</f>
        <v>#NAME?</v>
      </c>
      <c r="I55" s="66" t="e">
        <f t="shared" ref="I55:I61" si="162">AA55+AS55</f>
        <v>#NAME?</v>
      </c>
      <c r="J55" s="66" t="e">
        <f t="shared" ref="J55:J61" si="163">AB55+AT55</f>
        <v>#NAME?</v>
      </c>
      <c r="K55" s="66" t="e">
        <f t="shared" ref="K55:K61" si="164">AC55+AU55</f>
        <v>#NAME?</v>
      </c>
      <c r="L55" s="66" t="e">
        <f t="shared" ref="L55:L61" si="165">AD55+AV55</f>
        <v>#NAME?</v>
      </c>
      <c r="M55" s="66" t="e">
        <f t="shared" ref="M55:M61" si="166">AE55+AW55</f>
        <v>#NAME?</v>
      </c>
      <c r="N55" s="66" t="e">
        <f t="shared" ref="N55:N61" si="167">O55+Q55</f>
        <v>#NAME?</v>
      </c>
      <c r="O55" s="66" t="e">
        <f t="shared" ref="O55:O61" si="168">AG55+AY55</f>
        <v>#NAME?</v>
      </c>
      <c r="P55" s="66" t="e">
        <f t="shared" ref="P55:P61" si="169">AH55+AZ55</f>
        <v>#NAME?</v>
      </c>
      <c r="Q55" s="66" t="e">
        <f t="shared" ref="Q55:Q61" si="170">AI55+BA55</f>
        <v>#NAME?</v>
      </c>
      <c r="R55" s="67" t="e">
        <f t="shared" si="46"/>
        <v>#NAME?</v>
      </c>
      <c r="S55" s="67" t="e">
        <f t="shared" si="4"/>
        <v>#NAME?</v>
      </c>
      <c r="T55" s="67" t="e">
        <f t="shared" si="5"/>
        <v>#NAME?</v>
      </c>
      <c r="U55" s="67" t="e">
        <f t="shared" ref="U55:U61" si="171">AM55+BE55</f>
        <v>#NAME?</v>
      </c>
      <c r="V55" s="67" t="e">
        <f t="shared" ref="V55:V61" si="172">(G55+K55+L55-O55-U55)</f>
        <v>#NAME?</v>
      </c>
      <c r="W55" s="67" t="e">
        <f t="shared" ref="W55:W61" si="173">(I55-O55)</f>
        <v>#NAME?</v>
      </c>
      <c r="X55" s="66" t="e">
        <f t="shared" ref="X55:X61" si="174">КОЛ4020/$G$1</f>
        <v>#NAME?</v>
      </c>
      <c r="Y55" s="66" t="e">
        <f t="shared" ref="Y55:Y61" si="175">КОЛ4005/$G$1</f>
        <v>#NAME?</v>
      </c>
      <c r="Z55" s="66" t="e">
        <f t="shared" ref="Z55:Z61" si="176">AA55+AB55</f>
        <v>#NAME?</v>
      </c>
      <c r="AA55" s="66" t="e">
        <f t="shared" ref="AA55:AA61" si="177">КОЛ4007/$G$1</f>
        <v>#NAME?</v>
      </c>
      <c r="AB55" s="66" t="e">
        <f t="shared" ref="AB55:AB61" si="178">КОЛ4008/$G$1</f>
        <v>#NAME?</v>
      </c>
      <c r="AC55" s="66" t="e">
        <f t="shared" ref="AC55:AC61" si="179">КОЛ4009/$G$1</f>
        <v>#NAME?</v>
      </c>
      <c r="AD55" s="66" t="e">
        <f t="shared" ref="AD55:AD61" si="180">КОЛ4010/$G$1</f>
        <v>#NAME?</v>
      </c>
      <c r="AE55" s="66" t="e">
        <f t="shared" ref="AE55:AE61" si="181">КОЛ4011/$G$1</f>
        <v>#NAME?</v>
      </c>
      <c r="AF55" s="66" t="e">
        <f t="shared" ref="AF55:AF61" si="182">AG55+AI55</f>
        <v>#NAME?</v>
      </c>
      <c r="AG55" s="66" t="e">
        <f t="shared" ref="AG55:AG61" si="183">КОЛ4013/$G$1</f>
        <v>#NAME?</v>
      </c>
      <c r="AH55" s="66" t="e">
        <f t="shared" ref="AH55:AH61" si="184">КОЛ4014/$G$1</f>
        <v>#NAME?</v>
      </c>
      <c r="AI55" s="66" t="e">
        <f t="shared" ref="AI55:AI61" si="185">КОЛ4015/$G$1</f>
        <v>#NAME?</v>
      </c>
      <c r="AJ55" s="67" t="e">
        <f t="shared" si="52"/>
        <v>#NAME?</v>
      </c>
      <c r="AK55" s="67" t="e">
        <f t="shared" si="7"/>
        <v>#NAME?</v>
      </c>
      <c r="AL55" s="67" t="e">
        <f t="shared" si="8"/>
        <v>#NAME?</v>
      </c>
      <c r="AM55" s="67" t="e">
        <f t="shared" ref="AM55:AM61" si="186">КОЛ4017/$G$1</f>
        <v>#NAME?</v>
      </c>
      <c r="AN55" s="67" t="e">
        <f t="shared" ref="AN55:AN61" si="187">(Y55+AC55+AD55-AG55-AM55)</f>
        <v>#NAME?</v>
      </c>
      <c r="AO55" s="67" t="e">
        <f t="shared" ref="AO55:AO61" si="188">(AA55-AG55)</f>
        <v>#NAME?</v>
      </c>
      <c r="AP55" s="66" t="e">
        <f t="shared" ref="AP55:AP61" si="189">КОЛ4120/$G$1</f>
        <v>#NAME?</v>
      </c>
      <c r="AQ55" s="66" t="e">
        <f t="shared" ref="AQ55:AQ61" si="190">КОЛ4105/$G$1</f>
        <v>#NAME?</v>
      </c>
      <c r="AR55" s="66" t="e">
        <f t="shared" ref="AR55:AR61" si="191">AS55+AT55</f>
        <v>#NAME?</v>
      </c>
      <c r="AS55" s="66" t="e">
        <f t="shared" ref="AS55:AS61" si="192">КОЛ4107/$G$1</f>
        <v>#NAME?</v>
      </c>
      <c r="AT55" s="66" t="e">
        <f t="shared" ref="AT55:AT61" si="193">КОЛ4108/$G$1</f>
        <v>#NAME?</v>
      </c>
      <c r="AU55" s="66" t="e">
        <f t="shared" ref="AU55:AU61" si="194">КОЛ4109/$G$1</f>
        <v>#NAME?</v>
      </c>
      <c r="AV55" s="66" t="e">
        <f t="shared" ref="AV55:AV61" si="195">КОЛ4110/$G$1</f>
        <v>#NAME?</v>
      </c>
      <c r="AW55" s="66" t="e">
        <f t="shared" ref="AW55:AW61" si="196">КОЛ4111/$G$1</f>
        <v>#NAME?</v>
      </c>
      <c r="AX55" s="66" t="e">
        <f t="shared" ref="AX55:AX61" si="197">AY55+BA55</f>
        <v>#NAME?</v>
      </c>
      <c r="AY55" s="66" t="e">
        <f t="shared" ref="AY55:AY61" si="198">КОЛ4113/$G$1</f>
        <v>#NAME?</v>
      </c>
      <c r="AZ55" s="66" t="e">
        <f t="shared" ref="AZ55:AZ61" si="199">КОЛ4114/$G$1</f>
        <v>#NAME?</v>
      </c>
      <c r="BA55" s="66" t="e">
        <f t="shared" ref="BA55:BA61" si="200">КОЛ4115/$G$1</f>
        <v>#NAME?</v>
      </c>
      <c r="BB55" s="67" t="e">
        <f t="shared" si="57"/>
        <v>#NAME?</v>
      </c>
      <c r="BC55" s="67" t="e">
        <f t="shared" si="10"/>
        <v>#NAME?</v>
      </c>
      <c r="BD55" s="67" t="e">
        <f t="shared" si="11"/>
        <v>#NAME?</v>
      </c>
      <c r="BE55" s="67" t="e">
        <f t="shared" ref="BE55:BE61" si="201">КОЛ4117/$G$1</f>
        <v>#NAME?</v>
      </c>
      <c r="BF55" s="67" t="e">
        <f t="shared" ref="BF55:BF61" si="202">(AQ55+AU55+AV55-AY55-BE55)</f>
        <v>#NAME?</v>
      </c>
      <c r="BG55" s="67" t="e">
        <f t="shared" ref="BG55:BG61" si="203">(AS55-AY55)</f>
        <v>#NAME?</v>
      </c>
    </row>
    <row r="56" spans="1:59" ht="15.6" x14ac:dyDescent="0.3">
      <c r="A56" s="14" t="s">
        <v>112</v>
      </c>
      <c r="B56" s="72">
        <v>42</v>
      </c>
      <c r="C56" s="16" t="s">
        <v>113</v>
      </c>
      <c r="D56" s="64"/>
      <c r="E56" s="65"/>
      <c r="F56" s="66" t="e">
        <f t="shared" si="159"/>
        <v>#NAME?</v>
      </c>
      <c r="G56" s="66" t="e">
        <f t="shared" si="160"/>
        <v>#NAME?</v>
      </c>
      <c r="H56" s="66" t="e">
        <f t="shared" si="161"/>
        <v>#NAME?</v>
      </c>
      <c r="I56" s="66" t="e">
        <f t="shared" si="162"/>
        <v>#NAME?</v>
      </c>
      <c r="J56" s="66" t="e">
        <f t="shared" si="163"/>
        <v>#NAME?</v>
      </c>
      <c r="K56" s="66" t="e">
        <f t="shared" si="164"/>
        <v>#NAME?</v>
      </c>
      <c r="L56" s="66" t="e">
        <f t="shared" si="165"/>
        <v>#NAME?</v>
      </c>
      <c r="M56" s="66" t="e">
        <f t="shared" si="166"/>
        <v>#NAME?</v>
      </c>
      <c r="N56" s="66" t="e">
        <f t="shared" si="167"/>
        <v>#NAME?</v>
      </c>
      <c r="O56" s="66" t="e">
        <f t="shared" si="168"/>
        <v>#NAME?</v>
      </c>
      <c r="P56" s="66" t="e">
        <f t="shared" si="169"/>
        <v>#NAME?</v>
      </c>
      <c r="Q56" s="66" t="e">
        <f t="shared" si="170"/>
        <v>#NAME?</v>
      </c>
      <c r="R56" s="67" t="e">
        <f t="shared" si="46"/>
        <v>#NAME?</v>
      </c>
      <c r="S56" s="67" t="e">
        <f t="shared" si="4"/>
        <v>#NAME?</v>
      </c>
      <c r="T56" s="67" t="e">
        <f t="shared" si="5"/>
        <v>#NAME?</v>
      </c>
      <c r="U56" s="67" t="e">
        <f t="shared" si="171"/>
        <v>#NAME?</v>
      </c>
      <c r="V56" s="67" t="e">
        <f t="shared" si="172"/>
        <v>#NAME?</v>
      </c>
      <c r="W56" s="67" t="e">
        <f t="shared" si="173"/>
        <v>#NAME?</v>
      </c>
      <c r="X56" s="66" t="e">
        <f t="shared" si="174"/>
        <v>#NAME?</v>
      </c>
      <c r="Y56" s="66" t="e">
        <f t="shared" si="175"/>
        <v>#NAME?</v>
      </c>
      <c r="Z56" s="66" t="e">
        <f t="shared" si="176"/>
        <v>#NAME?</v>
      </c>
      <c r="AA56" s="66" t="e">
        <f t="shared" si="177"/>
        <v>#NAME?</v>
      </c>
      <c r="AB56" s="66" t="e">
        <f t="shared" si="178"/>
        <v>#NAME?</v>
      </c>
      <c r="AC56" s="66" t="e">
        <f t="shared" si="179"/>
        <v>#NAME?</v>
      </c>
      <c r="AD56" s="66" t="e">
        <f t="shared" si="180"/>
        <v>#NAME?</v>
      </c>
      <c r="AE56" s="66" t="e">
        <f t="shared" si="181"/>
        <v>#NAME?</v>
      </c>
      <c r="AF56" s="66" t="e">
        <f t="shared" si="182"/>
        <v>#NAME?</v>
      </c>
      <c r="AG56" s="66" t="e">
        <f t="shared" si="183"/>
        <v>#NAME?</v>
      </c>
      <c r="AH56" s="66" t="e">
        <f t="shared" si="184"/>
        <v>#NAME?</v>
      </c>
      <c r="AI56" s="66" t="e">
        <f t="shared" si="185"/>
        <v>#NAME?</v>
      </c>
      <c r="AJ56" s="67" t="e">
        <f t="shared" si="52"/>
        <v>#NAME?</v>
      </c>
      <c r="AK56" s="67" t="e">
        <f t="shared" si="7"/>
        <v>#NAME?</v>
      </c>
      <c r="AL56" s="67" t="e">
        <f t="shared" si="8"/>
        <v>#NAME?</v>
      </c>
      <c r="AM56" s="67" t="e">
        <f t="shared" si="186"/>
        <v>#NAME?</v>
      </c>
      <c r="AN56" s="67" t="e">
        <f t="shared" si="187"/>
        <v>#NAME?</v>
      </c>
      <c r="AO56" s="67" t="e">
        <f t="shared" si="188"/>
        <v>#NAME?</v>
      </c>
      <c r="AP56" s="66" t="e">
        <f t="shared" si="189"/>
        <v>#NAME?</v>
      </c>
      <c r="AQ56" s="66" t="e">
        <f t="shared" si="190"/>
        <v>#NAME?</v>
      </c>
      <c r="AR56" s="66" t="e">
        <f t="shared" si="191"/>
        <v>#NAME?</v>
      </c>
      <c r="AS56" s="66" t="e">
        <f t="shared" si="192"/>
        <v>#NAME?</v>
      </c>
      <c r="AT56" s="66" t="e">
        <f t="shared" si="193"/>
        <v>#NAME?</v>
      </c>
      <c r="AU56" s="66" t="e">
        <f t="shared" si="194"/>
        <v>#NAME?</v>
      </c>
      <c r="AV56" s="66" t="e">
        <f t="shared" si="195"/>
        <v>#NAME?</v>
      </c>
      <c r="AW56" s="66" t="e">
        <f t="shared" si="196"/>
        <v>#NAME?</v>
      </c>
      <c r="AX56" s="66" t="e">
        <f t="shared" si="197"/>
        <v>#NAME?</v>
      </c>
      <c r="AY56" s="66" t="e">
        <f t="shared" si="198"/>
        <v>#NAME?</v>
      </c>
      <c r="AZ56" s="66" t="e">
        <f t="shared" si="199"/>
        <v>#NAME?</v>
      </c>
      <c r="BA56" s="66" t="e">
        <f t="shared" si="200"/>
        <v>#NAME?</v>
      </c>
      <c r="BB56" s="67" t="e">
        <f t="shared" si="57"/>
        <v>#NAME?</v>
      </c>
      <c r="BC56" s="67" t="e">
        <f t="shared" si="10"/>
        <v>#NAME?</v>
      </c>
      <c r="BD56" s="67" t="e">
        <f t="shared" si="11"/>
        <v>#NAME?</v>
      </c>
      <c r="BE56" s="67" t="e">
        <f t="shared" si="201"/>
        <v>#NAME?</v>
      </c>
      <c r="BF56" s="67" t="e">
        <f t="shared" si="202"/>
        <v>#NAME?</v>
      </c>
      <c r="BG56" s="67" t="e">
        <f t="shared" si="203"/>
        <v>#NAME?</v>
      </c>
    </row>
    <row r="57" spans="1:59" ht="15.6" x14ac:dyDescent="0.3">
      <c r="A57" s="14" t="s">
        <v>114</v>
      </c>
      <c r="B57" s="72">
        <v>43</v>
      </c>
      <c r="C57" s="16" t="s">
        <v>115</v>
      </c>
      <c r="D57" s="64"/>
      <c r="E57" s="65"/>
      <c r="F57" s="66" t="e">
        <f t="shared" si="159"/>
        <v>#NAME?</v>
      </c>
      <c r="G57" s="66" t="e">
        <f t="shared" si="160"/>
        <v>#NAME?</v>
      </c>
      <c r="H57" s="66" t="e">
        <f t="shared" si="161"/>
        <v>#NAME?</v>
      </c>
      <c r="I57" s="66" t="e">
        <f t="shared" si="162"/>
        <v>#NAME?</v>
      </c>
      <c r="J57" s="66" t="e">
        <f t="shared" si="163"/>
        <v>#NAME?</v>
      </c>
      <c r="K57" s="66" t="e">
        <f t="shared" si="164"/>
        <v>#NAME?</v>
      </c>
      <c r="L57" s="66" t="e">
        <f t="shared" si="165"/>
        <v>#NAME?</v>
      </c>
      <c r="M57" s="66" t="e">
        <f t="shared" si="166"/>
        <v>#NAME?</v>
      </c>
      <c r="N57" s="66" t="e">
        <f t="shared" si="167"/>
        <v>#NAME?</v>
      </c>
      <c r="O57" s="66" t="e">
        <f t="shared" si="168"/>
        <v>#NAME?</v>
      </c>
      <c r="P57" s="66" t="e">
        <f t="shared" si="169"/>
        <v>#NAME?</v>
      </c>
      <c r="Q57" s="66" t="e">
        <f t="shared" si="170"/>
        <v>#NAME?</v>
      </c>
      <c r="R57" s="67" t="e">
        <f t="shared" si="46"/>
        <v>#NAME?</v>
      </c>
      <c r="S57" s="67" t="e">
        <f t="shared" si="4"/>
        <v>#NAME?</v>
      </c>
      <c r="T57" s="67" t="e">
        <f t="shared" si="5"/>
        <v>#NAME?</v>
      </c>
      <c r="U57" s="67" t="e">
        <f t="shared" si="171"/>
        <v>#NAME?</v>
      </c>
      <c r="V57" s="67" t="e">
        <f t="shared" si="172"/>
        <v>#NAME?</v>
      </c>
      <c r="W57" s="67" t="e">
        <f t="shared" si="173"/>
        <v>#NAME?</v>
      </c>
      <c r="X57" s="66" t="e">
        <f t="shared" si="174"/>
        <v>#NAME?</v>
      </c>
      <c r="Y57" s="66" t="e">
        <f t="shared" si="175"/>
        <v>#NAME?</v>
      </c>
      <c r="Z57" s="66" t="e">
        <f t="shared" si="176"/>
        <v>#NAME?</v>
      </c>
      <c r="AA57" s="66" t="e">
        <f t="shared" si="177"/>
        <v>#NAME?</v>
      </c>
      <c r="AB57" s="66" t="e">
        <f t="shared" si="178"/>
        <v>#NAME?</v>
      </c>
      <c r="AC57" s="66" t="e">
        <f t="shared" si="179"/>
        <v>#NAME?</v>
      </c>
      <c r="AD57" s="66" t="e">
        <f t="shared" si="180"/>
        <v>#NAME?</v>
      </c>
      <c r="AE57" s="66" t="e">
        <f t="shared" si="181"/>
        <v>#NAME?</v>
      </c>
      <c r="AF57" s="66" t="e">
        <f t="shared" si="182"/>
        <v>#NAME?</v>
      </c>
      <c r="AG57" s="66" t="e">
        <f t="shared" si="183"/>
        <v>#NAME?</v>
      </c>
      <c r="AH57" s="66" t="e">
        <f t="shared" si="184"/>
        <v>#NAME?</v>
      </c>
      <c r="AI57" s="66" t="e">
        <f t="shared" si="185"/>
        <v>#NAME?</v>
      </c>
      <c r="AJ57" s="67" t="e">
        <f t="shared" si="52"/>
        <v>#NAME?</v>
      </c>
      <c r="AK57" s="67" t="e">
        <f t="shared" si="7"/>
        <v>#NAME?</v>
      </c>
      <c r="AL57" s="67" t="e">
        <f t="shared" si="8"/>
        <v>#NAME?</v>
      </c>
      <c r="AM57" s="67" t="e">
        <f t="shared" si="186"/>
        <v>#NAME?</v>
      </c>
      <c r="AN57" s="67" t="e">
        <f t="shared" si="187"/>
        <v>#NAME?</v>
      </c>
      <c r="AO57" s="67" t="e">
        <f t="shared" si="188"/>
        <v>#NAME?</v>
      </c>
      <c r="AP57" s="66" t="e">
        <f t="shared" si="189"/>
        <v>#NAME?</v>
      </c>
      <c r="AQ57" s="66" t="e">
        <f t="shared" si="190"/>
        <v>#NAME?</v>
      </c>
      <c r="AR57" s="66" t="e">
        <f t="shared" si="191"/>
        <v>#NAME?</v>
      </c>
      <c r="AS57" s="66" t="e">
        <f t="shared" si="192"/>
        <v>#NAME?</v>
      </c>
      <c r="AT57" s="66" t="e">
        <f t="shared" si="193"/>
        <v>#NAME?</v>
      </c>
      <c r="AU57" s="66" t="e">
        <f t="shared" si="194"/>
        <v>#NAME?</v>
      </c>
      <c r="AV57" s="66" t="e">
        <f t="shared" si="195"/>
        <v>#NAME?</v>
      </c>
      <c r="AW57" s="66" t="e">
        <f t="shared" si="196"/>
        <v>#NAME?</v>
      </c>
      <c r="AX57" s="66" t="e">
        <f t="shared" si="197"/>
        <v>#NAME?</v>
      </c>
      <c r="AY57" s="66" t="e">
        <f t="shared" si="198"/>
        <v>#NAME?</v>
      </c>
      <c r="AZ57" s="66" t="e">
        <f t="shared" si="199"/>
        <v>#NAME?</v>
      </c>
      <c r="BA57" s="66" t="e">
        <f t="shared" si="200"/>
        <v>#NAME?</v>
      </c>
      <c r="BB57" s="67" t="e">
        <f t="shared" si="57"/>
        <v>#NAME?</v>
      </c>
      <c r="BC57" s="67" t="e">
        <f t="shared" si="10"/>
        <v>#NAME?</v>
      </c>
      <c r="BD57" s="67" t="e">
        <f t="shared" si="11"/>
        <v>#NAME?</v>
      </c>
      <c r="BE57" s="67" t="e">
        <f t="shared" si="201"/>
        <v>#NAME?</v>
      </c>
      <c r="BF57" s="67" t="e">
        <f t="shared" si="202"/>
        <v>#NAME?</v>
      </c>
      <c r="BG57" s="67" t="e">
        <f t="shared" si="203"/>
        <v>#NAME?</v>
      </c>
    </row>
    <row r="58" spans="1:59" ht="15.6" x14ac:dyDescent="0.3">
      <c r="A58" s="14" t="s">
        <v>116</v>
      </c>
      <c r="B58" s="72">
        <v>44</v>
      </c>
      <c r="C58" s="16" t="s">
        <v>117</v>
      </c>
      <c r="D58" s="64"/>
      <c r="E58" s="65"/>
      <c r="F58" s="66" t="e">
        <f t="shared" si="159"/>
        <v>#NAME?</v>
      </c>
      <c r="G58" s="66" t="e">
        <f t="shared" si="160"/>
        <v>#NAME?</v>
      </c>
      <c r="H58" s="66" t="e">
        <f t="shared" si="161"/>
        <v>#NAME?</v>
      </c>
      <c r="I58" s="66" t="e">
        <f t="shared" si="162"/>
        <v>#NAME?</v>
      </c>
      <c r="J58" s="66" t="e">
        <f t="shared" si="163"/>
        <v>#NAME?</v>
      </c>
      <c r="K58" s="66" t="e">
        <f t="shared" si="164"/>
        <v>#NAME?</v>
      </c>
      <c r="L58" s="66" t="e">
        <f t="shared" si="165"/>
        <v>#NAME?</v>
      </c>
      <c r="M58" s="66" t="e">
        <f t="shared" si="166"/>
        <v>#NAME?</v>
      </c>
      <c r="N58" s="66" t="e">
        <f t="shared" si="167"/>
        <v>#NAME?</v>
      </c>
      <c r="O58" s="66" t="e">
        <f t="shared" si="168"/>
        <v>#NAME?</v>
      </c>
      <c r="P58" s="66" t="e">
        <f t="shared" si="169"/>
        <v>#NAME?</v>
      </c>
      <c r="Q58" s="66" t="e">
        <f t="shared" si="170"/>
        <v>#NAME?</v>
      </c>
      <c r="R58" s="67" t="e">
        <f t="shared" si="46"/>
        <v>#NAME?</v>
      </c>
      <c r="S58" s="67" t="e">
        <f t="shared" si="4"/>
        <v>#NAME?</v>
      </c>
      <c r="T58" s="67" t="e">
        <f t="shared" si="5"/>
        <v>#NAME?</v>
      </c>
      <c r="U58" s="67" t="e">
        <f t="shared" si="171"/>
        <v>#NAME?</v>
      </c>
      <c r="V58" s="67" t="e">
        <f t="shared" si="172"/>
        <v>#NAME?</v>
      </c>
      <c r="W58" s="67" t="e">
        <f t="shared" si="173"/>
        <v>#NAME?</v>
      </c>
      <c r="X58" s="66" t="e">
        <f t="shared" si="174"/>
        <v>#NAME?</v>
      </c>
      <c r="Y58" s="66" t="e">
        <f t="shared" si="175"/>
        <v>#NAME?</v>
      </c>
      <c r="Z58" s="66" t="e">
        <f t="shared" si="176"/>
        <v>#NAME?</v>
      </c>
      <c r="AA58" s="66" t="e">
        <f t="shared" si="177"/>
        <v>#NAME?</v>
      </c>
      <c r="AB58" s="66" t="e">
        <f t="shared" si="178"/>
        <v>#NAME?</v>
      </c>
      <c r="AC58" s="66" t="e">
        <f t="shared" si="179"/>
        <v>#NAME?</v>
      </c>
      <c r="AD58" s="66" t="e">
        <f t="shared" si="180"/>
        <v>#NAME?</v>
      </c>
      <c r="AE58" s="66" t="e">
        <f t="shared" si="181"/>
        <v>#NAME?</v>
      </c>
      <c r="AF58" s="66" t="e">
        <f t="shared" si="182"/>
        <v>#NAME?</v>
      </c>
      <c r="AG58" s="66" t="e">
        <f t="shared" si="183"/>
        <v>#NAME?</v>
      </c>
      <c r="AH58" s="66" t="e">
        <f t="shared" si="184"/>
        <v>#NAME?</v>
      </c>
      <c r="AI58" s="66" t="e">
        <f t="shared" si="185"/>
        <v>#NAME?</v>
      </c>
      <c r="AJ58" s="67" t="e">
        <f t="shared" si="52"/>
        <v>#NAME?</v>
      </c>
      <c r="AK58" s="67" t="e">
        <f t="shared" si="7"/>
        <v>#NAME?</v>
      </c>
      <c r="AL58" s="67" t="e">
        <f t="shared" si="8"/>
        <v>#NAME?</v>
      </c>
      <c r="AM58" s="67" t="e">
        <f t="shared" si="186"/>
        <v>#NAME?</v>
      </c>
      <c r="AN58" s="67" t="e">
        <f t="shared" si="187"/>
        <v>#NAME?</v>
      </c>
      <c r="AO58" s="67" t="e">
        <f t="shared" si="188"/>
        <v>#NAME?</v>
      </c>
      <c r="AP58" s="66" t="e">
        <f t="shared" si="189"/>
        <v>#NAME?</v>
      </c>
      <c r="AQ58" s="66" t="e">
        <f t="shared" si="190"/>
        <v>#NAME?</v>
      </c>
      <c r="AR58" s="66" t="e">
        <f t="shared" si="191"/>
        <v>#NAME?</v>
      </c>
      <c r="AS58" s="66" t="e">
        <f t="shared" si="192"/>
        <v>#NAME?</v>
      </c>
      <c r="AT58" s="66" t="e">
        <f t="shared" si="193"/>
        <v>#NAME?</v>
      </c>
      <c r="AU58" s="66" t="e">
        <f t="shared" si="194"/>
        <v>#NAME?</v>
      </c>
      <c r="AV58" s="66" t="e">
        <f t="shared" si="195"/>
        <v>#NAME?</v>
      </c>
      <c r="AW58" s="66" t="e">
        <f t="shared" si="196"/>
        <v>#NAME?</v>
      </c>
      <c r="AX58" s="66" t="e">
        <f t="shared" si="197"/>
        <v>#NAME?</v>
      </c>
      <c r="AY58" s="66" t="e">
        <f t="shared" si="198"/>
        <v>#NAME?</v>
      </c>
      <c r="AZ58" s="66" t="e">
        <f t="shared" si="199"/>
        <v>#NAME?</v>
      </c>
      <c r="BA58" s="66" t="e">
        <f t="shared" si="200"/>
        <v>#NAME?</v>
      </c>
      <c r="BB58" s="67" t="e">
        <f t="shared" si="57"/>
        <v>#NAME?</v>
      </c>
      <c r="BC58" s="67" t="e">
        <f t="shared" si="10"/>
        <v>#NAME?</v>
      </c>
      <c r="BD58" s="67" t="e">
        <f t="shared" si="11"/>
        <v>#NAME?</v>
      </c>
      <c r="BE58" s="67" t="e">
        <f t="shared" si="201"/>
        <v>#NAME?</v>
      </c>
      <c r="BF58" s="67" t="e">
        <f t="shared" si="202"/>
        <v>#NAME?</v>
      </c>
      <c r="BG58" s="67" t="e">
        <f t="shared" si="203"/>
        <v>#NAME?</v>
      </c>
    </row>
    <row r="59" spans="1:59" ht="26.4" x14ac:dyDescent="0.3">
      <c r="A59" s="14" t="s">
        <v>118</v>
      </c>
      <c r="B59" s="72">
        <v>45</v>
      </c>
      <c r="C59" s="16" t="s">
        <v>119</v>
      </c>
      <c r="D59" s="64"/>
      <c r="E59" s="65"/>
      <c r="F59" s="66" t="e">
        <f t="shared" si="159"/>
        <v>#NAME?</v>
      </c>
      <c r="G59" s="66" t="e">
        <f t="shared" si="160"/>
        <v>#NAME?</v>
      </c>
      <c r="H59" s="66" t="e">
        <f t="shared" si="161"/>
        <v>#NAME?</v>
      </c>
      <c r="I59" s="66" t="e">
        <f t="shared" si="162"/>
        <v>#NAME?</v>
      </c>
      <c r="J59" s="66" t="e">
        <f t="shared" si="163"/>
        <v>#NAME?</v>
      </c>
      <c r="K59" s="66" t="e">
        <f t="shared" si="164"/>
        <v>#NAME?</v>
      </c>
      <c r="L59" s="66" t="e">
        <f t="shared" si="165"/>
        <v>#NAME?</v>
      </c>
      <c r="M59" s="66" t="e">
        <f t="shared" si="166"/>
        <v>#NAME?</v>
      </c>
      <c r="N59" s="66" t="e">
        <f t="shared" si="167"/>
        <v>#NAME?</v>
      </c>
      <c r="O59" s="66" t="e">
        <f t="shared" si="168"/>
        <v>#NAME?</v>
      </c>
      <c r="P59" s="66" t="e">
        <f t="shared" si="169"/>
        <v>#NAME?</v>
      </c>
      <c r="Q59" s="66" t="e">
        <f t="shared" si="170"/>
        <v>#NAME?</v>
      </c>
      <c r="R59" s="67" t="e">
        <f t="shared" si="46"/>
        <v>#NAME?</v>
      </c>
      <c r="S59" s="67" t="e">
        <f t="shared" si="4"/>
        <v>#NAME?</v>
      </c>
      <c r="T59" s="67" t="e">
        <f t="shared" si="5"/>
        <v>#NAME?</v>
      </c>
      <c r="U59" s="67" t="e">
        <f t="shared" si="171"/>
        <v>#NAME?</v>
      </c>
      <c r="V59" s="67" t="e">
        <f t="shared" si="172"/>
        <v>#NAME?</v>
      </c>
      <c r="W59" s="67" t="e">
        <f t="shared" si="173"/>
        <v>#NAME?</v>
      </c>
      <c r="X59" s="66" t="e">
        <f t="shared" si="174"/>
        <v>#NAME?</v>
      </c>
      <c r="Y59" s="66" t="e">
        <f t="shared" si="175"/>
        <v>#NAME?</v>
      </c>
      <c r="Z59" s="66" t="e">
        <f t="shared" si="176"/>
        <v>#NAME?</v>
      </c>
      <c r="AA59" s="66" t="e">
        <f t="shared" si="177"/>
        <v>#NAME?</v>
      </c>
      <c r="AB59" s="66" t="e">
        <f t="shared" si="178"/>
        <v>#NAME?</v>
      </c>
      <c r="AC59" s="66" t="e">
        <f t="shared" si="179"/>
        <v>#NAME?</v>
      </c>
      <c r="AD59" s="66" t="e">
        <f t="shared" si="180"/>
        <v>#NAME?</v>
      </c>
      <c r="AE59" s="66" t="e">
        <f t="shared" si="181"/>
        <v>#NAME?</v>
      </c>
      <c r="AF59" s="66" t="e">
        <f t="shared" si="182"/>
        <v>#NAME?</v>
      </c>
      <c r="AG59" s="66" t="e">
        <f t="shared" si="183"/>
        <v>#NAME?</v>
      </c>
      <c r="AH59" s="66" t="e">
        <f t="shared" si="184"/>
        <v>#NAME?</v>
      </c>
      <c r="AI59" s="66" t="e">
        <f t="shared" si="185"/>
        <v>#NAME?</v>
      </c>
      <c r="AJ59" s="67" t="e">
        <f t="shared" si="52"/>
        <v>#NAME?</v>
      </c>
      <c r="AK59" s="67" t="e">
        <f t="shared" si="7"/>
        <v>#NAME?</v>
      </c>
      <c r="AL59" s="67" t="e">
        <f t="shared" si="8"/>
        <v>#NAME?</v>
      </c>
      <c r="AM59" s="67" t="e">
        <f t="shared" si="186"/>
        <v>#NAME?</v>
      </c>
      <c r="AN59" s="67" t="e">
        <f t="shared" si="187"/>
        <v>#NAME?</v>
      </c>
      <c r="AO59" s="67" t="e">
        <f t="shared" si="188"/>
        <v>#NAME?</v>
      </c>
      <c r="AP59" s="66" t="e">
        <f t="shared" si="189"/>
        <v>#NAME?</v>
      </c>
      <c r="AQ59" s="66" t="e">
        <f t="shared" si="190"/>
        <v>#NAME?</v>
      </c>
      <c r="AR59" s="66" t="e">
        <f t="shared" si="191"/>
        <v>#NAME?</v>
      </c>
      <c r="AS59" s="66" t="e">
        <f t="shared" si="192"/>
        <v>#NAME?</v>
      </c>
      <c r="AT59" s="66" t="e">
        <f t="shared" si="193"/>
        <v>#NAME?</v>
      </c>
      <c r="AU59" s="66" t="e">
        <f t="shared" si="194"/>
        <v>#NAME?</v>
      </c>
      <c r="AV59" s="66" t="e">
        <f t="shared" si="195"/>
        <v>#NAME?</v>
      </c>
      <c r="AW59" s="66" t="e">
        <f t="shared" si="196"/>
        <v>#NAME?</v>
      </c>
      <c r="AX59" s="66" t="e">
        <f t="shared" si="197"/>
        <v>#NAME?</v>
      </c>
      <c r="AY59" s="66" t="e">
        <f t="shared" si="198"/>
        <v>#NAME?</v>
      </c>
      <c r="AZ59" s="66" t="e">
        <f t="shared" si="199"/>
        <v>#NAME?</v>
      </c>
      <c r="BA59" s="66" t="e">
        <f t="shared" si="200"/>
        <v>#NAME?</v>
      </c>
      <c r="BB59" s="67" t="e">
        <f t="shared" si="57"/>
        <v>#NAME?</v>
      </c>
      <c r="BC59" s="67" t="e">
        <f t="shared" si="10"/>
        <v>#NAME?</v>
      </c>
      <c r="BD59" s="67" t="e">
        <f t="shared" si="11"/>
        <v>#NAME?</v>
      </c>
      <c r="BE59" s="67" t="e">
        <f t="shared" si="201"/>
        <v>#NAME?</v>
      </c>
      <c r="BF59" s="67" t="e">
        <f t="shared" si="202"/>
        <v>#NAME?</v>
      </c>
      <c r="BG59" s="67" t="e">
        <f t="shared" si="203"/>
        <v>#NAME?</v>
      </c>
    </row>
    <row r="60" spans="1:59" ht="15.6" x14ac:dyDescent="0.3">
      <c r="A60" s="14" t="s">
        <v>120</v>
      </c>
      <c r="B60" s="11" t="s">
        <v>121</v>
      </c>
      <c r="C60" s="16" t="s">
        <v>122</v>
      </c>
      <c r="D60" s="64"/>
      <c r="E60" s="65"/>
      <c r="F60" s="66" t="e">
        <f t="shared" si="159"/>
        <v>#NAME?</v>
      </c>
      <c r="G60" s="66" t="e">
        <f t="shared" si="160"/>
        <v>#NAME?</v>
      </c>
      <c r="H60" s="66" t="e">
        <f t="shared" si="161"/>
        <v>#NAME?</v>
      </c>
      <c r="I60" s="66" t="e">
        <f t="shared" si="162"/>
        <v>#NAME?</v>
      </c>
      <c r="J60" s="66" t="e">
        <f t="shared" si="163"/>
        <v>#NAME?</v>
      </c>
      <c r="K60" s="66" t="e">
        <f t="shared" si="164"/>
        <v>#NAME?</v>
      </c>
      <c r="L60" s="66" t="e">
        <f t="shared" si="165"/>
        <v>#NAME?</v>
      </c>
      <c r="M60" s="66" t="e">
        <f t="shared" si="166"/>
        <v>#NAME?</v>
      </c>
      <c r="N60" s="66" t="e">
        <f t="shared" si="167"/>
        <v>#NAME?</v>
      </c>
      <c r="O60" s="66" t="e">
        <f t="shared" si="168"/>
        <v>#NAME?</v>
      </c>
      <c r="P60" s="66" t="e">
        <f t="shared" si="169"/>
        <v>#NAME?</v>
      </c>
      <c r="Q60" s="66" t="e">
        <f t="shared" si="170"/>
        <v>#NAME?</v>
      </c>
      <c r="R60" s="67" t="e">
        <f t="shared" si="46"/>
        <v>#NAME?</v>
      </c>
      <c r="S60" s="67" t="e">
        <f t="shared" si="4"/>
        <v>#NAME?</v>
      </c>
      <c r="T60" s="67" t="e">
        <f t="shared" si="5"/>
        <v>#NAME?</v>
      </c>
      <c r="U60" s="67" t="e">
        <f t="shared" si="171"/>
        <v>#NAME?</v>
      </c>
      <c r="V60" s="67" t="e">
        <f t="shared" si="172"/>
        <v>#NAME?</v>
      </c>
      <c r="W60" s="67" t="e">
        <f t="shared" si="173"/>
        <v>#NAME?</v>
      </c>
      <c r="X60" s="66" t="e">
        <f t="shared" si="174"/>
        <v>#NAME?</v>
      </c>
      <c r="Y60" s="66" t="e">
        <f t="shared" si="175"/>
        <v>#NAME?</v>
      </c>
      <c r="Z60" s="66" t="e">
        <f t="shared" si="176"/>
        <v>#NAME?</v>
      </c>
      <c r="AA60" s="66" t="e">
        <f t="shared" si="177"/>
        <v>#NAME?</v>
      </c>
      <c r="AB60" s="66" t="e">
        <f t="shared" si="178"/>
        <v>#NAME?</v>
      </c>
      <c r="AC60" s="66" t="e">
        <f t="shared" si="179"/>
        <v>#NAME?</v>
      </c>
      <c r="AD60" s="66" t="e">
        <f t="shared" si="180"/>
        <v>#NAME?</v>
      </c>
      <c r="AE60" s="66" t="e">
        <f t="shared" si="181"/>
        <v>#NAME?</v>
      </c>
      <c r="AF60" s="66" t="e">
        <f t="shared" si="182"/>
        <v>#NAME?</v>
      </c>
      <c r="AG60" s="66" t="e">
        <f t="shared" si="183"/>
        <v>#NAME?</v>
      </c>
      <c r="AH60" s="66" t="e">
        <f t="shared" si="184"/>
        <v>#NAME?</v>
      </c>
      <c r="AI60" s="66" t="e">
        <f t="shared" si="185"/>
        <v>#NAME?</v>
      </c>
      <c r="AJ60" s="67" t="e">
        <f t="shared" si="52"/>
        <v>#NAME?</v>
      </c>
      <c r="AK60" s="67" t="e">
        <f t="shared" si="7"/>
        <v>#NAME?</v>
      </c>
      <c r="AL60" s="67" t="e">
        <f t="shared" si="8"/>
        <v>#NAME?</v>
      </c>
      <c r="AM60" s="67" t="e">
        <f t="shared" si="186"/>
        <v>#NAME?</v>
      </c>
      <c r="AN60" s="67" t="e">
        <f t="shared" si="187"/>
        <v>#NAME?</v>
      </c>
      <c r="AO60" s="67" t="e">
        <f t="shared" si="188"/>
        <v>#NAME?</v>
      </c>
      <c r="AP60" s="66" t="e">
        <f t="shared" si="189"/>
        <v>#NAME?</v>
      </c>
      <c r="AQ60" s="66" t="e">
        <f t="shared" si="190"/>
        <v>#NAME?</v>
      </c>
      <c r="AR60" s="66" t="e">
        <f t="shared" si="191"/>
        <v>#NAME?</v>
      </c>
      <c r="AS60" s="66" t="e">
        <f t="shared" si="192"/>
        <v>#NAME?</v>
      </c>
      <c r="AT60" s="66" t="e">
        <f t="shared" si="193"/>
        <v>#NAME?</v>
      </c>
      <c r="AU60" s="66" t="e">
        <f t="shared" si="194"/>
        <v>#NAME?</v>
      </c>
      <c r="AV60" s="66" t="e">
        <f t="shared" si="195"/>
        <v>#NAME?</v>
      </c>
      <c r="AW60" s="66" t="e">
        <f t="shared" si="196"/>
        <v>#NAME?</v>
      </c>
      <c r="AX60" s="66" t="e">
        <f t="shared" si="197"/>
        <v>#NAME?</v>
      </c>
      <c r="AY60" s="66" t="e">
        <f t="shared" si="198"/>
        <v>#NAME?</v>
      </c>
      <c r="AZ60" s="66" t="e">
        <f t="shared" si="199"/>
        <v>#NAME?</v>
      </c>
      <c r="BA60" s="66" t="e">
        <f t="shared" si="200"/>
        <v>#NAME?</v>
      </c>
      <c r="BB60" s="67" t="e">
        <f t="shared" si="57"/>
        <v>#NAME?</v>
      </c>
      <c r="BC60" s="67" t="e">
        <f t="shared" si="10"/>
        <v>#NAME?</v>
      </c>
      <c r="BD60" s="67" t="e">
        <f t="shared" si="11"/>
        <v>#NAME?</v>
      </c>
      <c r="BE60" s="67" t="e">
        <f t="shared" si="201"/>
        <v>#NAME?</v>
      </c>
      <c r="BF60" s="67" t="e">
        <f t="shared" si="202"/>
        <v>#NAME?</v>
      </c>
      <c r="BG60" s="67" t="e">
        <f t="shared" si="203"/>
        <v>#NAME?</v>
      </c>
    </row>
    <row r="61" spans="1:59" ht="15.6" x14ac:dyDescent="0.3">
      <c r="A61" s="14" t="s">
        <v>123</v>
      </c>
      <c r="B61" s="74" t="s">
        <v>124</v>
      </c>
      <c r="C61" s="16" t="s">
        <v>125</v>
      </c>
      <c r="D61" s="64"/>
      <c r="E61" s="65"/>
      <c r="F61" s="66" t="e">
        <f t="shared" si="159"/>
        <v>#NAME?</v>
      </c>
      <c r="G61" s="66" t="e">
        <f t="shared" si="160"/>
        <v>#NAME?</v>
      </c>
      <c r="H61" s="66" t="e">
        <f t="shared" si="161"/>
        <v>#NAME?</v>
      </c>
      <c r="I61" s="66" t="e">
        <f t="shared" si="162"/>
        <v>#NAME?</v>
      </c>
      <c r="J61" s="66" t="e">
        <f t="shared" si="163"/>
        <v>#NAME?</v>
      </c>
      <c r="K61" s="66" t="e">
        <f t="shared" si="164"/>
        <v>#NAME?</v>
      </c>
      <c r="L61" s="66" t="e">
        <f t="shared" si="165"/>
        <v>#NAME?</v>
      </c>
      <c r="M61" s="66" t="e">
        <f t="shared" si="166"/>
        <v>#NAME?</v>
      </c>
      <c r="N61" s="66" t="e">
        <f t="shared" si="167"/>
        <v>#NAME?</v>
      </c>
      <c r="O61" s="66" t="e">
        <f t="shared" si="168"/>
        <v>#NAME?</v>
      </c>
      <c r="P61" s="66" t="e">
        <f t="shared" si="169"/>
        <v>#NAME?</v>
      </c>
      <c r="Q61" s="66" t="e">
        <f t="shared" si="170"/>
        <v>#NAME?</v>
      </c>
      <c r="R61" s="67" t="e">
        <f t="shared" si="46"/>
        <v>#NAME?</v>
      </c>
      <c r="S61" s="67" t="e">
        <f t="shared" si="4"/>
        <v>#NAME?</v>
      </c>
      <c r="T61" s="67" t="e">
        <f t="shared" si="5"/>
        <v>#NAME?</v>
      </c>
      <c r="U61" s="67" t="e">
        <f t="shared" si="171"/>
        <v>#NAME?</v>
      </c>
      <c r="V61" s="67" t="e">
        <f t="shared" si="172"/>
        <v>#NAME?</v>
      </c>
      <c r="W61" s="67" t="e">
        <f t="shared" si="173"/>
        <v>#NAME?</v>
      </c>
      <c r="X61" s="66" t="e">
        <f t="shared" si="174"/>
        <v>#NAME?</v>
      </c>
      <c r="Y61" s="66" t="e">
        <f t="shared" si="175"/>
        <v>#NAME?</v>
      </c>
      <c r="Z61" s="66" t="e">
        <f t="shared" si="176"/>
        <v>#NAME?</v>
      </c>
      <c r="AA61" s="66" t="e">
        <f t="shared" si="177"/>
        <v>#NAME?</v>
      </c>
      <c r="AB61" s="66" t="e">
        <f t="shared" si="178"/>
        <v>#NAME?</v>
      </c>
      <c r="AC61" s="66" t="e">
        <f t="shared" si="179"/>
        <v>#NAME?</v>
      </c>
      <c r="AD61" s="66" t="e">
        <f t="shared" si="180"/>
        <v>#NAME?</v>
      </c>
      <c r="AE61" s="66" t="e">
        <f t="shared" si="181"/>
        <v>#NAME?</v>
      </c>
      <c r="AF61" s="66" t="e">
        <f t="shared" si="182"/>
        <v>#NAME?</v>
      </c>
      <c r="AG61" s="66" t="e">
        <f t="shared" si="183"/>
        <v>#NAME?</v>
      </c>
      <c r="AH61" s="66" t="e">
        <f t="shared" si="184"/>
        <v>#NAME?</v>
      </c>
      <c r="AI61" s="66" t="e">
        <f t="shared" si="185"/>
        <v>#NAME?</v>
      </c>
      <c r="AJ61" s="67" t="e">
        <f t="shared" si="52"/>
        <v>#NAME?</v>
      </c>
      <c r="AK61" s="67" t="e">
        <f t="shared" si="7"/>
        <v>#NAME?</v>
      </c>
      <c r="AL61" s="67" t="e">
        <f t="shared" si="8"/>
        <v>#NAME?</v>
      </c>
      <c r="AM61" s="67" t="e">
        <f t="shared" si="186"/>
        <v>#NAME?</v>
      </c>
      <c r="AN61" s="67" t="e">
        <f t="shared" si="187"/>
        <v>#NAME?</v>
      </c>
      <c r="AO61" s="67" t="e">
        <f t="shared" si="188"/>
        <v>#NAME?</v>
      </c>
      <c r="AP61" s="66" t="e">
        <f t="shared" si="189"/>
        <v>#NAME?</v>
      </c>
      <c r="AQ61" s="66" t="e">
        <f t="shared" si="190"/>
        <v>#NAME?</v>
      </c>
      <c r="AR61" s="66" t="e">
        <f t="shared" si="191"/>
        <v>#NAME?</v>
      </c>
      <c r="AS61" s="66" t="e">
        <f t="shared" si="192"/>
        <v>#NAME?</v>
      </c>
      <c r="AT61" s="66" t="e">
        <f t="shared" si="193"/>
        <v>#NAME?</v>
      </c>
      <c r="AU61" s="66" t="e">
        <f t="shared" si="194"/>
        <v>#NAME?</v>
      </c>
      <c r="AV61" s="66" t="e">
        <f t="shared" si="195"/>
        <v>#NAME?</v>
      </c>
      <c r="AW61" s="66" t="e">
        <f t="shared" si="196"/>
        <v>#NAME?</v>
      </c>
      <c r="AX61" s="66" t="e">
        <f t="shared" si="197"/>
        <v>#NAME?</v>
      </c>
      <c r="AY61" s="66" t="e">
        <f t="shared" si="198"/>
        <v>#NAME?</v>
      </c>
      <c r="AZ61" s="66" t="e">
        <f t="shared" si="199"/>
        <v>#NAME?</v>
      </c>
      <c r="BA61" s="66" t="e">
        <f t="shared" si="200"/>
        <v>#NAME?</v>
      </c>
      <c r="BB61" s="67" t="e">
        <f t="shared" si="57"/>
        <v>#NAME?</v>
      </c>
      <c r="BC61" s="67" t="e">
        <f t="shared" si="10"/>
        <v>#NAME?</v>
      </c>
      <c r="BD61" s="67" t="e">
        <f t="shared" si="11"/>
        <v>#NAME?</v>
      </c>
      <c r="BE61" s="67" t="e">
        <f t="shared" si="201"/>
        <v>#NAME?</v>
      </c>
      <c r="BF61" s="67" t="e">
        <f t="shared" si="202"/>
        <v>#NAME?</v>
      </c>
      <c r="BG61" s="67" t="e">
        <f t="shared" si="203"/>
        <v>#NAME?</v>
      </c>
    </row>
    <row r="62" spans="1:59" s="62" customFormat="1" ht="15.6" x14ac:dyDescent="0.3">
      <c r="A62" s="56" t="s">
        <v>126</v>
      </c>
      <c r="B62" s="57">
        <v>48</v>
      </c>
      <c r="C62" s="58" t="s">
        <v>128</v>
      </c>
      <c r="D62" s="59"/>
      <c r="E62" s="60"/>
      <c r="F62" s="61" t="e">
        <f>SUM(F63:F76)</f>
        <v>#NAME?</v>
      </c>
      <c r="G62" s="61" t="e">
        <f>SUM(G63:G76)</f>
        <v>#NAME?</v>
      </c>
      <c r="H62" s="61" t="e">
        <f t="shared" ref="H62:Q62" si="204">SUM(H63:H76)</f>
        <v>#NAME?</v>
      </c>
      <c r="I62" s="61" t="e">
        <f t="shared" si="204"/>
        <v>#NAME?</v>
      </c>
      <c r="J62" s="61" t="e">
        <f t="shared" si="204"/>
        <v>#NAME?</v>
      </c>
      <c r="K62" s="61" t="e">
        <f t="shared" si="204"/>
        <v>#NAME?</v>
      </c>
      <c r="L62" s="61" t="e">
        <f t="shared" si="204"/>
        <v>#NAME?</v>
      </c>
      <c r="M62" s="61" t="e">
        <f>SUM(M63:M76)</f>
        <v>#NAME?</v>
      </c>
      <c r="N62" s="61" t="e">
        <f t="shared" si="204"/>
        <v>#NAME?</v>
      </c>
      <c r="O62" s="61" t="e">
        <f t="shared" si="204"/>
        <v>#NAME?</v>
      </c>
      <c r="P62" s="61" t="e">
        <f t="shared" si="204"/>
        <v>#NAME?</v>
      </c>
      <c r="Q62" s="61" t="e">
        <f t="shared" si="204"/>
        <v>#NAME?</v>
      </c>
      <c r="R62" s="61" t="e">
        <f t="shared" si="46"/>
        <v>#NAME?</v>
      </c>
      <c r="S62" s="61" t="e">
        <f t="shared" si="4"/>
        <v>#NAME?</v>
      </c>
      <c r="T62" s="61" t="e">
        <f t="shared" si="5"/>
        <v>#NAME?</v>
      </c>
      <c r="U62" s="61" t="e">
        <f t="shared" ref="U62:AI62" si="205">SUM(U63:U76)</f>
        <v>#NAME?</v>
      </c>
      <c r="V62" s="61" t="e">
        <f t="shared" si="205"/>
        <v>#NAME?</v>
      </c>
      <c r="W62" s="61" t="e">
        <f t="shared" si="205"/>
        <v>#NAME?</v>
      </c>
      <c r="X62" s="61" t="e">
        <f t="shared" si="205"/>
        <v>#NAME?</v>
      </c>
      <c r="Y62" s="61" t="e">
        <f t="shared" si="205"/>
        <v>#NAME?</v>
      </c>
      <c r="Z62" s="61" t="e">
        <f t="shared" si="205"/>
        <v>#NAME?</v>
      </c>
      <c r="AA62" s="61" t="e">
        <f t="shared" si="205"/>
        <v>#NAME?</v>
      </c>
      <c r="AB62" s="61" t="e">
        <f t="shared" si="205"/>
        <v>#NAME?</v>
      </c>
      <c r="AC62" s="61" t="e">
        <f t="shared" si="205"/>
        <v>#NAME?</v>
      </c>
      <c r="AD62" s="61" t="e">
        <f t="shared" si="205"/>
        <v>#NAME?</v>
      </c>
      <c r="AE62" s="61" t="e">
        <f t="shared" si="205"/>
        <v>#NAME?</v>
      </c>
      <c r="AF62" s="61" t="e">
        <f t="shared" si="205"/>
        <v>#NAME?</v>
      </c>
      <c r="AG62" s="61" t="e">
        <f t="shared" si="205"/>
        <v>#NAME?</v>
      </c>
      <c r="AH62" s="61" t="e">
        <f t="shared" si="205"/>
        <v>#NAME?</v>
      </c>
      <c r="AI62" s="61" t="e">
        <f t="shared" si="205"/>
        <v>#NAME?</v>
      </c>
      <c r="AJ62" s="61" t="e">
        <f t="shared" si="52"/>
        <v>#NAME?</v>
      </c>
      <c r="AK62" s="61" t="e">
        <f t="shared" si="7"/>
        <v>#NAME?</v>
      </c>
      <c r="AL62" s="61" t="e">
        <f t="shared" si="8"/>
        <v>#NAME?</v>
      </c>
      <c r="AM62" s="61" t="e">
        <f t="shared" ref="AM62:BA62" si="206">SUM(AM63:AM76)</f>
        <v>#NAME?</v>
      </c>
      <c r="AN62" s="61" t="e">
        <f t="shared" si="206"/>
        <v>#NAME?</v>
      </c>
      <c r="AO62" s="61" t="e">
        <f t="shared" si="206"/>
        <v>#NAME?</v>
      </c>
      <c r="AP62" s="61" t="e">
        <f t="shared" si="206"/>
        <v>#NAME?</v>
      </c>
      <c r="AQ62" s="61" t="e">
        <f t="shared" si="206"/>
        <v>#NAME?</v>
      </c>
      <c r="AR62" s="61" t="e">
        <f t="shared" si="206"/>
        <v>#NAME?</v>
      </c>
      <c r="AS62" s="61" t="e">
        <f t="shared" si="206"/>
        <v>#NAME?</v>
      </c>
      <c r="AT62" s="61" t="e">
        <f t="shared" si="206"/>
        <v>#NAME?</v>
      </c>
      <c r="AU62" s="61" t="e">
        <f t="shared" si="206"/>
        <v>#NAME?</v>
      </c>
      <c r="AV62" s="61" t="e">
        <f t="shared" si="206"/>
        <v>#NAME?</v>
      </c>
      <c r="AW62" s="61" t="e">
        <f t="shared" si="206"/>
        <v>#NAME?</v>
      </c>
      <c r="AX62" s="61" t="e">
        <f t="shared" si="206"/>
        <v>#NAME?</v>
      </c>
      <c r="AY62" s="61" t="e">
        <f t="shared" si="206"/>
        <v>#NAME?</v>
      </c>
      <c r="AZ62" s="61" t="e">
        <f t="shared" si="206"/>
        <v>#NAME?</v>
      </c>
      <c r="BA62" s="61" t="e">
        <f t="shared" si="206"/>
        <v>#NAME?</v>
      </c>
      <c r="BB62" s="61" t="e">
        <f t="shared" si="57"/>
        <v>#NAME?</v>
      </c>
      <c r="BC62" s="61" t="e">
        <f t="shared" si="10"/>
        <v>#NAME?</v>
      </c>
      <c r="BD62" s="61" t="e">
        <f t="shared" si="11"/>
        <v>#NAME?</v>
      </c>
      <c r="BE62" s="61" t="e">
        <f>SUM(BE63:BE76)</f>
        <v>#NAME?</v>
      </c>
      <c r="BF62" s="61" t="e">
        <f>SUM(BF63:BF76)</f>
        <v>#NAME?</v>
      </c>
      <c r="BG62" s="61" t="e">
        <f>SUM(BG63:BG76)</f>
        <v>#NAME?</v>
      </c>
    </row>
    <row r="63" spans="1:59" ht="15.6" x14ac:dyDescent="0.3">
      <c r="A63" s="8" t="s">
        <v>129</v>
      </c>
      <c r="B63" s="11" t="s">
        <v>130</v>
      </c>
      <c r="C63" s="63" t="s">
        <v>131</v>
      </c>
      <c r="D63" s="64"/>
      <c r="E63" s="65"/>
      <c r="F63" s="66" t="e">
        <f t="shared" ref="F63:F76" si="207">X63+AP63</f>
        <v>#NAME?</v>
      </c>
      <c r="G63" s="66" t="e">
        <f t="shared" ref="G63:G76" si="208">Y63+AQ63</f>
        <v>#NAME?</v>
      </c>
      <c r="H63" s="66" t="e">
        <f t="shared" ref="H63:H76" si="209">I63+J63</f>
        <v>#NAME?</v>
      </c>
      <c r="I63" s="66" t="e">
        <f t="shared" ref="I63:I76" si="210">AA63+AS63</f>
        <v>#NAME?</v>
      </c>
      <c r="J63" s="66" t="e">
        <f t="shared" ref="J63:J76" si="211">AB63+AT63</f>
        <v>#NAME?</v>
      </c>
      <c r="K63" s="66" t="e">
        <f t="shared" ref="K63:K76" si="212">AC63+AU63</f>
        <v>#NAME?</v>
      </c>
      <c r="L63" s="66" t="e">
        <f t="shared" ref="L63:L76" si="213">AD63+AV63</f>
        <v>#NAME?</v>
      </c>
      <c r="M63" s="66" t="e">
        <f t="shared" ref="M63:M76" si="214">AE63+AW63</f>
        <v>#NAME?</v>
      </c>
      <c r="N63" s="66" t="e">
        <f t="shared" ref="N63:N76" si="215">O63+Q63</f>
        <v>#NAME?</v>
      </c>
      <c r="O63" s="66" t="e">
        <f t="shared" ref="O63:O76" si="216">AG63+AY63</f>
        <v>#NAME?</v>
      </c>
      <c r="P63" s="66" t="e">
        <f t="shared" ref="P63:P76" si="217">AH63+AZ63</f>
        <v>#NAME?</v>
      </c>
      <c r="Q63" s="66" t="e">
        <f t="shared" ref="Q63:Q76" si="218">AI63+BA63</f>
        <v>#NAME?</v>
      </c>
      <c r="R63" s="67" t="e">
        <f t="shared" si="46"/>
        <v>#NAME?</v>
      </c>
      <c r="S63" s="67" t="e">
        <f t="shared" si="4"/>
        <v>#NAME?</v>
      </c>
      <c r="T63" s="67" t="e">
        <f t="shared" si="5"/>
        <v>#NAME?</v>
      </c>
      <c r="U63" s="67" t="e">
        <f t="shared" ref="U63:U76" si="219">AM63+BE63</f>
        <v>#NAME?</v>
      </c>
      <c r="V63" s="67" t="e">
        <f t="shared" ref="V63:V76" si="220">(G63+K63+L63-O63-U63)</f>
        <v>#NAME?</v>
      </c>
      <c r="W63" s="67" t="e">
        <f t="shared" ref="W63:W76" si="221">(I63-O63)</f>
        <v>#NAME?</v>
      </c>
      <c r="X63" s="66" t="e">
        <f t="shared" ref="X63:X76" si="222">КОЛ4020/$G$1</f>
        <v>#NAME?</v>
      </c>
      <c r="Y63" s="66" t="e">
        <f t="shared" ref="Y63:Y76" si="223">КОЛ4005/$G$1</f>
        <v>#NAME?</v>
      </c>
      <c r="Z63" s="66" t="e">
        <f t="shared" ref="Z63:Z76" si="224">AA63+AB63</f>
        <v>#NAME?</v>
      </c>
      <c r="AA63" s="66" t="e">
        <f t="shared" ref="AA63:AA76" si="225">КОЛ4007/$G$1</f>
        <v>#NAME?</v>
      </c>
      <c r="AB63" s="66" t="e">
        <f t="shared" ref="AB63:AB76" si="226">КОЛ4008/$G$1</f>
        <v>#NAME?</v>
      </c>
      <c r="AC63" s="66" t="e">
        <f t="shared" ref="AC63:AC76" si="227">КОЛ4009/$G$1</f>
        <v>#NAME?</v>
      </c>
      <c r="AD63" s="66" t="e">
        <f t="shared" ref="AD63:AD76" si="228">КОЛ4010/$G$1</f>
        <v>#NAME?</v>
      </c>
      <c r="AE63" s="66" t="e">
        <f t="shared" ref="AE63:AE76" si="229">КОЛ4011/$G$1</f>
        <v>#NAME?</v>
      </c>
      <c r="AF63" s="66" t="e">
        <f t="shared" ref="AF63:AF76" si="230">AG63+AI63</f>
        <v>#NAME?</v>
      </c>
      <c r="AG63" s="66" t="e">
        <f t="shared" ref="AG63:AG76" si="231">КОЛ4013/$G$1</f>
        <v>#NAME?</v>
      </c>
      <c r="AH63" s="66" t="e">
        <f t="shared" ref="AH63:AH76" si="232">КОЛ4014/$G$1</f>
        <v>#NAME?</v>
      </c>
      <c r="AI63" s="66" t="e">
        <f t="shared" ref="AI63:AI76" si="233">КОЛ4015/$G$1</f>
        <v>#NAME?</v>
      </c>
      <c r="AJ63" s="67" t="e">
        <f t="shared" si="52"/>
        <v>#NAME?</v>
      </c>
      <c r="AK63" s="67" t="e">
        <f t="shared" si="7"/>
        <v>#NAME?</v>
      </c>
      <c r="AL63" s="67" t="e">
        <f t="shared" si="8"/>
        <v>#NAME?</v>
      </c>
      <c r="AM63" s="67" t="e">
        <f t="shared" ref="AM63:AM76" si="234">КОЛ4017/$G$1</f>
        <v>#NAME?</v>
      </c>
      <c r="AN63" s="67" t="e">
        <f t="shared" ref="AN63:AN76" si="235">(Y63+AC63+AD63-AG63-AM63)</f>
        <v>#NAME?</v>
      </c>
      <c r="AO63" s="67" t="e">
        <f t="shared" ref="AO63:AO76" si="236">(AA63-AG63)</f>
        <v>#NAME?</v>
      </c>
      <c r="AP63" s="66" t="e">
        <f t="shared" ref="AP63:AP76" si="237">КОЛ4120/$G$1</f>
        <v>#NAME?</v>
      </c>
      <c r="AQ63" s="66" t="e">
        <f t="shared" ref="AQ63:AQ76" si="238">КОЛ4105/$G$1</f>
        <v>#NAME?</v>
      </c>
      <c r="AR63" s="66" t="e">
        <f t="shared" ref="AR63:AR76" si="239">AS63+AT63</f>
        <v>#NAME?</v>
      </c>
      <c r="AS63" s="66" t="e">
        <f t="shared" ref="AS63:AS76" si="240">КОЛ4107/$G$1</f>
        <v>#NAME?</v>
      </c>
      <c r="AT63" s="66" t="e">
        <f t="shared" ref="AT63:AT76" si="241">КОЛ4108/$G$1</f>
        <v>#NAME?</v>
      </c>
      <c r="AU63" s="66" t="e">
        <f t="shared" ref="AU63:AU76" si="242">КОЛ4109/$G$1</f>
        <v>#NAME?</v>
      </c>
      <c r="AV63" s="66" t="e">
        <f t="shared" ref="AV63:AV76" si="243">КОЛ4110/$G$1</f>
        <v>#NAME?</v>
      </c>
      <c r="AW63" s="66" t="e">
        <f t="shared" ref="AW63:AW76" si="244">КОЛ4111/$G$1</f>
        <v>#NAME?</v>
      </c>
      <c r="AX63" s="66" t="e">
        <f t="shared" ref="AX63:AX76" si="245">AY63+BA63</f>
        <v>#NAME?</v>
      </c>
      <c r="AY63" s="66" t="e">
        <f t="shared" ref="AY63:AY76" si="246">КОЛ4113/$G$1</f>
        <v>#NAME?</v>
      </c>
      <c r="AZ63" s="66" t="e">
        <f t="shared" ref="AZ63:AZ76" si="247">КОЛ4114/$G$1</f>
        <v>#NAME?</v>
      </c>
      <c r="BA63" s="66" t="e">
        <f t="shared" ref="BA63:BA76" si="248">КОЛ4115/$G$1</f>
        <v>#NAME?</v>
      </c>
      <c r="BB63" s="67" t="e">
        <f t="shared" si="57"/>
        <v>#NAME?</v>
      </c>
      <c r="BC63" s="67" t="e">
        <f t="shared" si="10"/>
        <v>#NAME?</v>
      </c>
      <c r="BD63" s="67" t="e">
        <f t="shared" si="11"/>
        <v>#NAME?</v>
      </c>
      <c r="BE63" s="67" t="e">
        <f t="shared" ref="BE63:BE76" si="249">КОЛ4117/$G$1</f>
        <v>#NAME?</v>
      </c>
      <c r="BF63" s="67" t="e">
        <f t="shared" ref="BF63:BF76" si="250">(AQ63+AU63+AV63-AY63-BE63)</f>
        <v>#NAME?</v>
      </c>
      <c r="BG63" s="67" t="e">
        <f t="shared" ref="BG63:BG76" si="251">(AS63-AY63)</f>
        <v>#NAME?</v>
      </c>
    </row>
    <row r="64" spans="1:59" ht="15.6" x14ac:dyDescent="0.3">
      <c r="A64" s="8" t="s">
        <v>132</v>
      </c>
      <c r="B64" s="11" t="s">
        <v>133</v>
      </c>
      <c r="C64" s="63" t="s">
        <v>134</v>
      </c>
      <c r="D64" s="64"/>
      <c r="E64" s="65"/>
      <c r="F64" s="66" t="e">
        <f t="shared" si="207"/>
        <v>#NAME?</v>
      </c>
      <c r="G64" s="66" t="e">
        <f t="shared" si="208"/>
        <v>#NAME?</v>
      </c>
      <c r="H64" s="66" t="e">
        <f t="shared" si="209"/>
        <v>#NAME?</v>
      </c>
      <c r="I64" s="66" t="e">
        <f t="shared" si="210"/>
        <v>#NAME?</v>
      </c>
      <c r="J64" s="66" t="e">
        <f t="shared" si="211"/>
        <v>#NAME?</v>
      </c>
      <c r="K64" s="66" t="e">
        <f t="shared" si="212"/>
        <v>#NAME?</v>
      </c>
      <c r="L64" s="66" t="e">
        <f t="shared" si="213"/>
        <v>#NAME?</v>
      </c>
      <c r="M64" s="66" t="e">
        <f t="shared" si="214"/>
        <v>#NAME?</v>
      </c>
      <c r="N64" s="66" t="e">
        <f t="shared" si="215"/>
        <v>#NAME?</v>
      </c>
      <c r="O64" s="66" t="e">
        <f t="shared" si="216"/>
        <v>#NAME?</v>
      </c>
      <c r="P64" s="66" t="e">
        <f t="shared" si="217"/>
        <v>#NAME?</v>
      </c>
      <c r="Q64" s="66" t="e">
        <f t="shared" si="218"/>
        <v>#NAME?</v>
      </c>
      <c r="R64" s="67" t="e">
        <f t="shared" si="46"/>
        <v>#NAME?</v>
      </c>
      <c r="S64" s="67" t="e">
        <f t="shared" si="4"/>
        <v>#NAME?</v>
      </c>
      <c r="T64" s="67" t="e">
        <f t="shared" si="5"/>
        <v>#NAME?</v>
      </c>
      <c r="U64" s="67" t="e">
        <f t="shared" si="219"/>
        <v>#NAME?</v>
      </c>
      <c r="V64" s="67" t="e">
        <f t="shared" si="220"/>
        <v>#NAME?</v>
      </c>
      <c r="W64" s="67" t="e">
        <f t="shared" si="221"/>
        <v>#NAME?</v>
      </c>
      <c r="X64" s="66" t="e">
        <f t="shared" si="222"/>
        <v>#NAME?</v>
      </c>
      <c r="Y64" s="66" t="e">
        <f t="shared" si="223"/>
        <v>#NAME?</v>
      </c>
      <c r="Z64" s="66" t="e">
        <f t="shared" si="224"/>
        <v>#NAME?</v>
      </c>
      <c r="AA64" s="66" t="e">
        <f t="shared" si="225"/>
        <v>#NAME?</v>
      </c>
      <c r="AB64" s="66" t="e">
        <f t="shared" si="226"/>
        <v>#NAME?</v>
      </c>
      <c r="AC64" s="66" t="e">
        <f t="shared" si="227"/>
        <v>#NAME?</v>
      </c>
      <c r="AD64" s="66" t="e">
        <f t="shared" si="228"/>
        <v>#NAME?</v>
      </c>
      <c r="AE64" s="66" t="e">
        <f t="shared" si="229"/>
        <v>#NAME?</v>
      </c>
      <c r="AF64" s="66" t="e">
        <f t="shared" si="230"/>
        <v>#NAME?</v>
      </c>
      <c r="AG64" s="66" t="e">
        <f t="shared" si="231"/>
        <v>#NAME?</v>
      </c>
      <c r="AH64" s="66" t="e">
        <f t="shared" si="232"/>
        <v>#NAME?</v>
      </c>
      <c r="AI64" s="66" t="e">
        <f t="shared" si="233"/>
        <v>#NAME?</v>
      </c>
      <c r="AJ64" s="67" t="e">
        <f t="shared" si="52"/>
        <v>#NAME?</v>
      </c>
      <c r="AK64" s="67" t="e">
        <f t="shared" si="7"/>
        <v>#NAME?</v>
      </c>
      <c r="AL64" s="67" t="e">
        <f t="shared" si="8"/>
        <v>#NAME?</v>
      </c>
      <c r="AM64" s="67" t="e">
        <f t="shared" si="234"/>
        <v>#NAME?</v>
      </c>
      <c r="AN64" s="67" t="e">
        <f t="shared" si="235"/>
        <v>#NAME?</v>
      </c>
      <c r="AO64" s="67" t="e">
        <f t="shared" si="236"/>
        <v>#NAME?</v>
      </c>
      <c r="AP64" s="66" t="e">
        <f t="shared" si="237"/>
        <v>#NAME?</v>
      </c>
      <c r="AQ64" s="66" t="e">
        <f t="shared" si="238"/>
        <v>#NAME?</v>
      </c>
      <c r="AR64" s="66" t="e">
        <f t="shared" si="239"/>
        <v>#NAME?</v>
      </c>
      <c r="AS64" s="66" t="e">
        <f t="shared" si="240"/>
        <v>#NAME?</v>
      </c>
      <c r="AT64" s="66" t="e">
        <f t="shared" si="241"/>
        <v>#NAME?</v>
      </c>
      <c r="AU64" s="66" t="e">
        <f t="shared" si="242"/>
        <v>#NAME?</v>
      </c>
      <c r="AV64" s="66" t="e">
        <f t="shared" si="243"/>
        <v>#NAME?</v>
      </c>
      <c r="AW64" s="66" t="e">
        <f t="shared" si="244"/>
        <v>#NAME?</v>
      </c>
      <c r="AX64" s="66" t="e">
        <f t="shared" si="245"/>
        <v>#NAME?</v>
      </c>
      <c r="AY64" s="66" t="e">
        <f t="shared" si="246"/>
        <v>#NAME?</v>
      </c>
      <c r="AZ64" s="66" t="e">
        <f t="shared" si="247"/>
        <v>#NAME?</v>
      </c>
      <c r="BA64" s="66" t="e">
        <f t="shared" si="248"/>
        <v>#NAME?</v>
      </c>
      <c r="BB64" s="67" t="e">
        <f t="shared" si="57"/>
        <v>#NAME?</v>
      </c>
      <c r="BC64" s="67" t="e">
        <f t="shared" si="10"/>
        <v>#NAME?</v>
      </c>
      <c r="BD64" s="67" t="e">
        <f t="shared" si="11"/>
        <v>#NAME?</v>
      </c>
      <c r="BE64" s="67" t="e">
        <f t="shared" si="249"/>
        <v>#NAME?</v>
      </c>
      <c r="BF64" s="67" t="e">
        <f t="shared" si="250"/>
        <v>#NAME?</v>
      </c>
      <c r="BG64" s="67" t="e">
        <f t="shared" si="251"/>
        <v>#NAME?</v>
      </c>
    </row>
    <row r="65" spans="1:59" ht="15.6" x14ac:dyDescent="0.3">
      <c r="A65" s="8" t="s">
        <v>135</v>
      </c>
      <c r="B65" s="11" t="s">
        <v>136</v>
      </c>
      <c r="C65" s="63" t="s">
        <v>137</v>
      </c>
      <c r="D65" s="64"/>
      <c r="E65" s="65"/>
      <c r="F65" s="66" t="e">
        <f t="shared" si="207"/>
        <v>#NAME?</v>
      </c>
      <c r="G65" s="66" t="e">
        <f t="shared" si="208"/>
        <v>#NAME?</v>
      </c>
      <c r="H65" s="66" t="e">
        <f t="shared" si="209"/>
        <v>#NAME?</v>
      </c>
      <c r="I65" s="66" t="e">
        <f t="shared" si="210"/>
        <v>#NAME?</v>
      </c>
      <c r="J65" s="66" t="e">
        <f t="shared" si="211"/>
        <v>#NAME?</v>
      </c>
      <c r="K65" s="66" t="e">
        <f t="shared" si="212"/>
        <v>#NAME?</v>
      </c>
      <c r="L65" s="66" t="e">
        <f t="shared" si="213"/>
        <v>#NAME?</v>
      </c>
      <c r="M65" s="66" t="e">
        <f t="shared" si="214"/>
        <v>#NAME?</v>
      </c>
      <c r="N65" s="66" t="e">
        <f t="shared" si="215"/>
        <v>#NAME?</v>
      </c>
      <c r="O65" s="66" t="e">
        <f t="shared" si="216"/>
        <v>#NAME?</v>
      </c>
      <c r="P65" s="66" t="e">
        <f t="shared" si="217"/>
        <v>#NAME?</v>
      </c>
      <c r="Q65" s="66" t="e">
        <f t="shared" si="218"/>
        <v>#NAME?</v>
      </c>
      <c r="R65" s="67" t="e">
        <f t="shared" si="46"/>
        <v>#NAME?</v>
      </c>
      <c r="S65" s="67" t="e">
        <f t="shared" si="4"/>
        <v>#NAME?</v>
      </c>
      <c r="T65" s="67" t="e">
        <f t="shared" si="5"/>
        <v>#NAME?</v>
      </c>
      <c r="U65" s="67" t="e">
        <f t="shared" si="219"/>
        <v>#NAME?</v>
      </c>
      <c r="V65" s="67" t="e">
        <f t="shared" si="220"/>
        <v>#NAME?</v>
      </c>
      <c r="W65" s="67" t="e">
        <f t="shared" si="221"/>
        <v>#NAME?</v>
      </c>
      <c r="X65" s="66" t="e">
        <f t="shared" si="222"/>
        <v>#NAME?</v>
      </c>
      <c r="Y65" s="66" t="e">
        <f t="shared" si="223"/>
        <v>#NAME?</v>
      </c>
      <c r="Z65" s="66" t="e">
        <f t="shared" si="224"/>
        <v>#NAME?</v>
      </c>
      <c r="AA65" s="66" t="e">
        <f t="shared" si="225"/>
        <v>#NAME?</v>
      </c>
      <c r="AB65" s="66" t="e">
        <f t="shared" si="226"/>
        <v>#NAME?</v>
      </c>
      <c r="AC65" s="66" t="e">
        <f t="shared" si="227"/>
        <v>#NAME?</v>
      </c>
      <c r="AD65" s="66" t="e">
        <f t="shared" si="228"/>
        <v>#NAME?</v>
      </c>
      <c r="AE65" s="66" t="e">
        <f t="shared" si="229"/>
        <v>#NAME?</v>
      </c>
      <c r="AF65" s="66" t="e">
        <f t="shared" si="230"/>
        <v>#NAME?</v>
      </c>
      <c r="AG65" s="66" t="e">
        <f t="shared" si="231"/>
        <v>#NAME?</v>
      </c>
      <c r="AH65" s="66" t="e">
        <f t="shared" si="232"/>
        <v>#NAME?</v>
      </c>
      <c r="AI65" s="66" t="e">
        <f t="shared" si="233"/>
        <v>#NAME?</v>
      </c>
      <c r="AJ65" s="67" t="e">
        <f t="shared" si="52"/>
        <v>#NAME?</v>
      </c>
      <c r="AK65" s="67" t="e">
        <f t="shared" si="7"/>
        <v>#NAME?</v>
      </c>
      <c r="AL65" s="67" t="e">
        <f t="shared" si="8"/>
        <v>#NAME?</v>
      </c>
      <c r="AM65" s="67" t="e">
        <f t="shared" si="234"/>
        <v>#NAME?</v>
      </c>
      <c r="AN65" s="67" t="e">
        <f t="shared" si="235"/>
        <v>#NAME?</v>
      </c>
      <c r="AO65" s="67" t="e">
        <f t="shared" si="236"/>
        <v>#NAME?</v>
      </c>
      <c r="AP65" s="66" t="e">
        <f t="shared" si="237"/>
        <v>#NAME?</v>
      </c>
      <c r="AQ65" s="66" t="e">
        <f t="shared" si="238"/>
        <v>#NAME?</v>
      </c>
      <c r="AR65" s="66" t="e">
        <f t="shared" si="239"/>
        <v>#NAME?</v>
      </c>
      <c r="AS65" s="66" t="e">
        <f t="shared" si="240"/>
        <v>#NAME?</v>
      </c>
      <c r="AT65" s="66" t="e">
        <f t="shared" si="241"/>
        <v>#NAME?</v>
      </c>
      <c r="AU65" s="66" t="e">
        <f t="shared" si="242"/>
        <v>#NAME?</v>
      </c>
      <c r="AV65" s="66" t="e">
        <f t="shared" si="243"/>
        <v>#NAME?</v>
      </c>
      <c r="AW65" s="66" t="e">
        <f t="shared" si="244"/>
        <v>#NAME?</v>
      </c>
      <c r="AX65" s="66" t="e">
        <f t="shared" si="245"/>
        <v>#NAME?</v>
      </c>
      <c r="AY65" s="66" t="e">
        <f t="shared" si="246"/>
        <v>#NAME?</v>
      </c>
      <c r="AZ65" s="66" t="e">
        <f t="shared" si="247"/>
        <v>#NAME?</v>
      </c>
      <c r="BA65" s="66" t="e">
        <f t="shared" si="248"/>
        <v>#NAME?</v>
      </c>
      <c r="BB65" s="67" t="e">
        <f t="shared" si="57"/>
        <v>#NAME?</v>
      </c>
      <c r="BC65" s="67" t="e">
        <f t="shared" si="10"/>
        <v>#NAME?</v>
      </c>
      <c r="BD65" s="67" t="e">
        <f t="shared" si="11"/>
        <v>#NAME?</v>
      </c>
      <c r="BE65" s="67" t="e">
        <f t="shared" si="249"/>
        <v>#NAME?</v>
      </c>
      <c r="BF65" s="67" t="e">
        <f t="shared" si="250"/>
        <v>#NAME?</v>
      </c>
      <c r="BG65" s="67" t="e">
        <f t="shared" si="251"/>
        <v>#NAME?</v>
      </c>
    </row>
    <row r="66" spans="1:59" ht="15.6" x14ac:dyDescent="0.3">
      <c r="A66" s="8" t="s">
        <v>138</v>
      </c>
      <c r="B66" s="11" t="s">
        <v>139</v>
      </c>
      <c r="C66" s="63" t="s">
        <v>140</v>
      </c>
      <c r="D66" s="64"/>
      <c r="E66" s="65"/>
      <c r="F66" s="66" t="e">
        <f t="shared" si="207"/>
        <v>#NAME?</v>
      </c>
      <c r="G66" s="66" t="e">
        <f t="shared" si="208"/>
        <v>#NAME?</v>
      </c>
      <c r="H66" s="66" t="e">
        <f t="shared" si="209"/>
        <v>#NAME?</v>
      </c>
      <c r="I66" s="66" t="e">
        <f t="shared" si="210"/>
        <v>#NAME?</v>
      </c>
      <c r="J66" s="66" t="e">
        <f t="shared" si="211"/>
        <v>#NAME?</v>
      </c>
      <c r="K66" s="66" t="e">
        <f t="shared" si="212"/>
        <v>#NAME?</v>
      </c>
      <c r="L66" s="66" t="e">
        <f t="shared" si="213"/>
        <v>#NAME?</v>
      </c>
      <c r="M66" s="66" t="e">
        <f t="shared" si="214"/>
        <v>#NAME?</v>
      </c>
      <c r="N66" s="66" t="e">
        <f t="shared" si="215"/>
        <v>#NAME?</v>
      </c>
      <c r="O66" s="66" t="e">
        <f t="shared" si="216"/>
        <v>#NAME?</v>
      </c>
      <c r="P66" s="66" t="e">
        <f t="shared" si="217"/>
        <v>#NAME?</v>
      </c>
      <c r="Q66" s="66" t="e">
        <f t="shared" si="218"/>
        <v>#NAME?</v>
      </c>
      <c r="R66" s="67" t="e">
        <f t="shared" si="46"/>
        <v>#NAME?</v>
      </c>
      <c r="S66" s="67" t="e">
        <f t="shared" si="4"/>
        <v>#NAME?</v>
      </c>
      <c r="T66" s="67" t="e">
        <f t="shared" si="5"/>
        <v>#NAME?</v>
      </c>
      <c r="U66" s="67" t="e">
        <f t="shared" si="219"/>
        <v>#NAME?</v>
      </c>
      <c r="V66" s="67" t="e">
        <f t="shared" si="220"/>
        <v>#NAME?</v>
      </c>
      <c r="W66" s="67" t="e">
        <f t="shared" si="221"/>
        <v>#NAME?</v>
      </c>
      <c r="X66" s="66" t="e">
        <f t="shared" si="222"/>
        <v>#NAME?</v>
      </c>
      <c r="Y66" s="66" t="e">
        <f t="shared" si="223"/>
        <v>#NAME?</v>
      </c>
      <c r="Z66" s="66" t="e">
        <f t="shared" si="224"/>
        <v>#NAME?</v>
      </c>
      <c r="AA66" s="66" t="e">
        <f t="shared" si="225"/>
        <v>#NAME?</v>
      </c>
      <c r="AB66" s="66" t="e">
        <f t="shared" si="226"/>
        <v>#NAME?</v>
      </c>
      <c r="AC66" s="66" t="e">
        <f t="shared" si="227"/>
        <v>#NAME?</v>
      </c>
      <c r="AD66" s="66" t="e">
        <f t="shared" si="228"/>
        <v>#NAME?</v>
      </c>
      <c r="AE66" s="66" t="e">
        <f t="shared" si="229"/>
        <v>#NAME?</v>
      </c>
      <c r="AF66" s="66" t="e">
        <f t="shared" si="230"/>
        <v>#NAME?</v>
      </c>
      <c r="AG66" s="66" t="e">
        <f t="shared" si="231"/>
        <v>#NAME?</v>
      </c>
      <c r="AH66" s="66" t="e">
        <f t="shared" si="232"/>
        <v>#NAME?</v>
      </c>
      <c r="AI66" s="66" t="e">
        <f t="shared" si="233"/>
        <v>#NAME?</v>
      </c>
      <c r="AJ66" s="67" t="e">
        <f t="shared" si="52"/>
        <v>#NAME?</v>
      </c>
      <c r="AK66" s="67" t="e">
        <f t="shared" si="7"/>
        <v>#NAME?</v>
      </c>
      <c r="AL66" s="67" t="e">
        <f t="shared" si="8"/>
        <v>#NAME?</v>
      </c>
      <c r="AM66" s="67" t="e">
        <f t="shared" si="234"/>
        <v>#NAME?</v>
      </c>
      <c r="AN66" s="67" t="e">
        <f t="shared" si="235"/>
        <v>#NAME?</v>
      </c>
      <c r="AO66" s="67" t="e">
        <f t="shared" si="236"/>
        <v>#NAME?</v>
      </c>
      <c r="AP66" s="66" t="e">
        <f t="shared" si="237"/>
        <v>#NAME?</v>
      </c>
      <c r="AQ66" s="66" t="e">
        <f t="shared" si="238"/>
        <v>#NAME?</v>
      </c>
      <c r="AR66" s="66" t="e">
        <f t="shared" si="239"/>
        <v>#NAME?</v>
      </c>
      <c r="AS66" s="66" t="e">
        <f t="shared" si="240"/>
        <v>#NAME?</v>
      </c>
      <c r="AT66" s="66" t="e">
        <f t="shared" si="241"/>
        <v>#NAME?</v>
      </c>
      <c r="AU66" s="66" t="e">
        <f t="shared" si="242"/>
        <v>#NAME?</v>
      </c>
      <c r="AV66" s="66" t="e">
        <f t="shared" si="243"/>
        <v>#NAME?</v>
      </c>
      <c r="AW66" s="66" t="e">
        <f t="shared" si="244"/>
        <v>#NAME?</v>
      </c>
      <c r="AX66" s="66" t="e">
        <f t="shared" si="245"/>
        <v>#NAME?</v>
      </c>
      <c r="AY66" s="66" t="e">
        <f t="shared" si="246"/>
        <v>#NAME?</v>
      </c>
      <c r="AZ66" s="66" t="e">
        <f t="shared" si="247"/>
        <v>#NAME?</v>
      </c>
      <c r="BA66" s="66" t="e">
        <f t="shared" si="248"/>
        <v>#NAME?</v>
      </c>
      <c r="BB66" s="67" t="e">
        <f t="shared" si="57"/>
        <v>#NAME?</v>
      </c>
      <c r="BC66" s="67" t="e">
        <f t="shared" si="10"/>
        <v>#NAME?</v>
      </c>
      <c r="BD66" s="67" t="e">
        <f t="shared" si="11"/>
        <v>#NAME?</v>
      </c>
      <c r="BE66" s="67" t="e">
        <f t="shared" si="249"/>
        <v>#NAME?</v>
      </c>
      <c r="BF66" s="67" t="e">
        <f t="shared" si="250"/>
        <v>#NAME?</v>
      </c>
      <c r="BG66" s="67" t="e">
        <f t="shared" si="251"/>
        <v>#NAME?</v>
      </c>
    </row>
    <row r="67" spans="1:59" ht="15.6" x14ac:dyDescent="0.3">
      <c r="A67" s="8" t="s">
        <v>141</v>
      </c>
      <c r="B67" s="11" t="s">
        <v>142</v>
      </c>
      <c r="C67" s="63" t="s">
        <v>143</v>
      </c>
      <c r="D67" s="64"/>
      <c r="E67" s="65"/>
      <c r="F67" s="66" t="e">
        <f t="shared" si="207"/>
        <v>#NAME?</v>
      </c>
      <c r="G67" s="66" t="e">
        <f t="shared" si="208"/>
        <v>#NAME?</v>
      </c>
      <c r="H67" s="66" t="e">
        <f t="shared" si="209"/>
        <v>#NAME?</v>
      </c>
      <c r="I67" s="66" t="e">
        <f t="shared" si="210"/>
        <v>#NAME?</v>
      </c>
      <c r="J67" s="66" t="e">
        <f t="shared" si="211"/>
        <v>#NAME?</v>
      </c>
      <c r="K67" s="66" t="e">
        <f t="shared" si="212"/>
        <v>#NAME?</v>
      </c>
      <c r="L67" s="66" t="e">
        <f t="shared" si="213"/>
        <v>#NAME?</v>
      </c>
      <c r="M67" s="66" t="e">
        <f t="shared" si="214"/>
        <v>#NAME?</v>
      </c>
      <c r="N67" s="66" t="e">
        <f t="shared" si="215"/>
        <v>#NAME?</v>
      </c>
      <c r="O67" s="66" t="e">
        <f t="shared" si="216"/>
        <v>#NAME?</v>
      </c>
      <c r="P67" s="66" t="e">
        <f t="shared" si="217"/>
        <v>#NAME?</v>
      </c>
      <c r="Q67" s="66" t="e">
        <f t="shared" si="218"/>
        <v>#NAME?</v>
      </c>
      <c r="R67" s="67" t="e">
        <f t="shared" si="46"/>
        <v>#NAME?</v>
      </c>
      <c r="S67" s="67" t="e">
        <f t="shared" si="4"/>
        <v>#NAME?</v>
      </c>
      <c r="T67" s="67" t="e">
        <f t="shared" si="5"/>
        <v>#NAME?</v>
      </c>
      <c r="U67" s="67" t="e">
        <f t="shared" si="219"/>
        <v>#NAME?</v>
      </c>
      <c r="V67" s="67" t="e">
        <f t="shared" si="220"/>
        <v>#NAME?</v>
      </c>
      <c r="W67" s="67" t="e">
        <f t="shared" si="221"/>
        <v>#NAME?</v>
      </c>
      <c r="X67" s="66" t="e">
        <f t="shared" si="222"/>
        <v>#NAME?</v>
      </c>
      <c r="Y67" s="66" t="e">
        <f t="shared" si="223"/>
        <v>#NAME?</v>
      </c>
      <c r="Z67" s="66" t="e">
        <f t="shared" si="224"/>
        <v>#NAME?</v>
      </c>
      <c r="AA67" s="66" t="e">
        <f t="shared" si="225"/>
        <v>#NAME?</v>
      </c>
      <c r="AB67" s="66" t="e">
        <f t="shared" si="226"/>
        <v>#NAME?</v>
      </c>
      <c r="AC67" s="66" t="e">
        <f t="shared" si="227"/>
        <v>#NAME?</v>
      </c>
      <c r="AD67" s="66" t="e">
        <f t="shared" si="228"/>
        <v>#NAME?</v>
      </c>
      <c r="AE67" s="66" t="e">
        <f t="shared" si="229"/>
        <v>#NAME?</v>
      </c>
      <c r="AF67" s="66" t="e">
        <f t="shared" si="230"/>
        <v>#NAME?</v>
      </c>
      <c r="AG67" s="66" t="e">
        <f t="shared" si="231"/>
        <v>#NAME?</v>
      </c>
      <c r="AH67" s="66" t="e">
        <f t="shared" si="232"/>
        <v>#NAME?</v>
      </c>
      <c r="AI67" s="66" t="e">
        <f t="shared" si="233"/>
        <v>#NAME?</v>
      </c>
      <c r="AJ67" s="67" t="e">
        <f t="shared" si="52"/>
        <v>#NAME?</v>
      </c>
      <c r="AK67" s="67" t="e">
        <f t="shared" si="7"/>
        <v>#NAME?</v>
      </c>
      <c r="AL67" s="67" t="e">
        <f t="shared" si="8"/>
        <v>#NAME?</v>
      </c>
      <c r="AM67" s="67" t="e">
        <f t="shared" si="234"/>
        <v>#NAME?</v>
      </c>
      <c r="AN67" s="67" t="e">
        <f t="shared" si="235"/>
        <v>#NAME?</v>
      </c>
      <c r="AO67" s="67" t="e">
        <f t="shared" si="236"/>
        <v>#NAME?</v>
      </c>
      <c r="AP67" s="66" t="e">
        <f t="shared" si="237"/>
        <v>#NAME?</v>
      </c>
      <c r="AQ67" s="66" t="e">
        <f t="shared" si="238"/>
        <v>#NAME?</v>
      </c>
      <c r="AR67" s="66" t="e">
        <f t="shared" si="239"/>
        <v>#NAME?</v>
      </c>
      <c r="AS67" s="66" t="e">
        <f t="shared" si="240"/>
        <v>#NAME?</v>
      </c>
      <c r="AT67" s="66" t="e">
        <f t="shared" si="241"/>
        <v>#NAME?</v>
      </c>
      <c r="AU67" s="66" t="e">
        <f t="shared" si="242"/>
        <v>#NAME?</v>
      </c>
      <c r="AV67" s="66" t="e">
        <f t="shared" si="243"/>
        <v>#NAME?</v>
      </c>
      <c r="AW67" s="66" t="e">
        <f t="shared" si="244"/>
        <v>#NAME?</v>
      </c>
      <c r="AX67" s="66" t="e">
        <f t="shared" si="245"/>
        <v>#NAME?</v>
      </c>
      <c r="AY67" s="66" t="e">
        <f t="shared" si="246"/>
        <v>#NAME?</v>
      </c>
      <c r="AZ67" s="66" t="e">
        <f t="shared" si="247"/>
        <v>#NAME?</v>
      </c>
      <c r="BA67" s="66" t="e">
        <f t="shared" si="248"/>
        <v>#NAME?</v>
      </c>
      <c r="BB67" s="67" t="e">
        <f t="shared" si="57"/>
        <v>#NAME?</v>
      </c>
      <c r="BC67" s="67" t="e">
        <f t="shared" si="10"/>
        <v>#NAME?</v>
      </c>
      <c r="BD67" s="67" t="e">
        <f t="shared" si="11"/>
        <v>#NAME?</v>
      </c>
      <c r="BE67" s="67" t="e">
        <f t="shared" si="249"/>
        <v>#NAME?</v>
      </c>
      <c r="BF67" s="67" t="e">
        <f t="shared" si="250"/>
        <v>#NAME?</v>
      </c>
      <c r="BG67" s="67" t="e">
        <f t="shared" si="251"/>
        <v>#NAME?</v>
      </c>
    </row>
    <row r="68" spans="1:59" ht="15.6" x14ac:dyDescent="0.3">
      <c r="A68" s="8" t="s">
        <v>144</v>
      </c>
      <c r="B68" s="11" t="s">
        <v>145</v>
      </c>
      <c r="C68" s="63" t="s">
        <v>146</v>
      </c>
      <c r="D68" s="64"/>
      <c r="E68" s="65"/>
      <c r="F68" s="66" t="e">
        <f t="shared" si="207"/>
        <v>#NAME?</v>
      </c>
      <c r="G68" s="66" t="e">
        <f t="shared" si="208"/>
        <v>#NAME?</v>
      </c>
      <c r="H68" s="66" t="e">
        <f t="shared" si="209"/>
        <v>#NAME?</v>
      </c>
      <c r="I68" s="66" t="e">
        <f t="shared" si="210"/>
        <v>#NAME?</v>
      </c>
      <c r="J68" s="66" t="e">
        <f t="shared" si="211"/>
        <v>#NAME?</v>
      </c>
      <c r="K68" s="66" t="e">
        <f t="shared" si="212"/>
        <v>#NAME?</v>
      </c>
      <c r="L68" s="66" t="e">
        <f t="shared" si="213"/>
        <v>#NAME?</v>
      </c>
      <c r="M68" s="66" t="e">
        <f t="shared" si="214"/>
        <v>#NAME?</v>
      </c>
      <c r="N68" s="66" t="e">
        <f t="shared" si="215"/>
        <v>#NAME?</v>
      </c>
      <c r="O68" s="66" t="e">
        <f t="shared" si="216"/>
        <v>#NAME?</v>
      </c>
      <c r="P68" s="66" t="e">
        <f t="shared" si="217"/>
        <v>#NAME?</v>
      </c>
      <c r="Q68" s="66" t="e">
        <f t="shared" si="218"/>
        <v>#NAME?</v>
      </c>
      <c r="R68" s="67" t="e">
        <f t="shared" si="46"/>
        <v>#NAME?</v>
      </c>
      <c r="S68" s="67" t="e">
        <f t="shared" si="4"/>
        <v>#NAME?</v>
      </c>
      <c r="T68" s="67" t="e">
        <f t="shared" si="5"/>
        <v>#NAME?</v>
      </c>
      <c r="U68" s="67" t="e">
        <f t="shared" si="219"/>
        <v>#NAME?</v>
      </c>
      <c r="V68" s="67" t="e">
        <f t="shared" si="220"/>
        <v>#NAME?</v>
      </c>
      <c r="W68" s="67" t="e">
        <f t="shared" si="221"/>
        <v>#NAME?</v>
      </c>
      <c r="X68" s="66" t="e">
        <f t="shared" si="222"/>
        <v>#NAME?</v>
      </c>
      <c r="Y68" s="66" t="e">
        <f t="shared" si="223"/>
        <v>#NAME?</v>
      </c>
      <c r="Z68" s="66" t="e">
        <f t="shared" si="224"/>
        <v>#NAME?</v>
      </c>
      <c r="AA68" s="66" t="e">
        <f t="shared" si="225"/>
        <v>#NAME?</v>
      </c>
      <c r="AB68" s="66" t="e">
        <f t="shared" si="226"/>
        <v>#NAME?</v>
      </c>
      <c r="AC68" s="66" t="e">
        <f t="shared" si="227"/>
        <v>#NAME?</v>
      </c>
      <c r="AD68" s="66" t="e">
        <f t="shared" si="228"/>
        <v>#NAME?</v>
      </c>
      <c r="AE68" s="66" t="e">
        <f t="shared" si="229"/>
        <v>#NAME?</v>
      </c>
      <c r="AF68" s="66" t="e">
        <f t="shared" si="230"/>
        <v>#NAME?</v>
      </c>
      <c r="AG68" s="66" t="e">
        <f t="shared" si="231"/>
        <v>#NAME?</v>
      </c>
      <c r="AH68" s="66" t="e">
        <f t="shared" si="232"/>
        <v>#NAME?</v>
      </c>
      <c r="AI68" s="66" t="e">
        <f t="shared" si="233"/>
        <v>#NAME?</v>
      </c>
      <c r="AJ68" s="67" t="e">
        <f t="shared" si="52"/>
        <v>#NAME?</v>
      </c>
      <c r="AK68" s="67" t="e">
        <f t="shared" si="7"/>
        <v>#NAME?</v>
      </c>
      <c r="AL68" s="67" t="e">
        <f t="shared" si="8"/>
        <v>#NAME?</v>
      </c>
      <c r="AM68" s="67" t="e">
        <f t="shared" si="234"/>
        <v>#NAME?</v>
      </c>
      <c r="AN68" s="67" t="e">
        <f t="shared" si="235"/>
        <v>#NAME?</v>
      </c>
      <c r="AO68" s="67" t="e">
        <f t="shared" si="236"/>
        <v>#NAME?</v>
      </c>
      <c r="AP68" s="66" t="e">
        <f t="shared" si="237"/>
        <v>#NAME?</v>
      </c>
      <c r="AQ68" s="66" t="e">
        <f t="shared" si="238"/>
        <v>#NAME?</v>
      </c>
      <c r="AR68" s="66" t="e">
        <f t="shared" si="239"/>
        <v>#NAME?</v>
      </c>
      <c r="AS68" s="66" t="e">
        <f t="shared" si="240"/>
        <v>#NAME?</v>
      </c>
      <c r="AT68" s="66" t="e">
        <f t="shared" si="241"/>
        <v>#NAME?</v>
      </c>
      <c r="AU68" s="66" t="e">
        <f t="shared" si="242"/>
        <v>#NAME?</v>
      </c>
      <c r="AV68" s="66" t="e">
        <f t="shared" si="243"/>
        <v>#NAME?</v>
      </c>
      <c r="AW68" s="66" t="e">
        <f t="shared" si="244"/>
        <v>#NAME?</v>
      </c>
      <c r="AX68" s="66" t="e">
        <f t="shared" si="245"/>
        <v>#NAME?</v>
      </c>
      <c r="AY68" s="66" t="e">
        <f t="shared" si="246"/>
        <v>#NAME?</v>
      </c>
      <c r="AZ68" s="66" t="e">
        <f t="shared" si="247"/>
        <v>#NAME?</v>
      </c>
      <c r="BA68" s="66" t="e">
        <f t="shared" si="248"/>
        <v>#NAME?</v>
      </c>
      <c r="BB68" s="67" t="e">
        <f t="shared" si="57"/>
        <v>#NAME?</v>
      </c>
      <c r="BC68" s="67" t="e">
        <f t="shared" si="10"/>
        <v>#NAME?</v>
      </c>
      <c r="BD68" s="67" t="e">
        <f t="shared" si="11"/>
        <v>#NAME?</v>
      </c>
      <c r="BE68" s="67" t="e">
        <f t="shared" si="249"/>
        <v>#NAME?</v>
      </c>
      <c r="BF68" s="67" t="e">
        <f t="shared" si="250"/>
        <v>#NAME?</v>
      </c>
      <c r="BG68" s="67" t="e">
        <f t="shared" si="251"/>
        <v>#NAME?</v>
      </c>
    </row>
    <row r="69" spans="1:59" ht="15.6" x14ac:dyDescent="0.3">
      <c r="A69" s="8" t="s">
        <v>147</v>
      </c>
      <c r="B69" s="11" t="s">
        <v>148</v>
      </c>
      <c r="C69" s="63" t="s">
        <v>149</v>
      </c>
      <c r="D69" s="64"/>
      <c r="E69" s="65"/>
      <c r="F69" s="66" t="e">
        <f t="shared" si="207"/>
        <v>#NAME?</v>
      </c>
      <c r="G69" s="66" t="e">
        <f t="shared" si="208"/>
        <v>#NAME?</v>
      </c>
      <c r="H69" s="66" t="e">
        <f t="shared" si="209"/>
        <v>#NAME?</v>
      </c>
      <c r="I69" s="66" t="e">
        <f t="shared" si="210"/>
        <v>#NAME?</v>
      </c>
      <c r="J69" s="66" t="e">
        <f t="shared" si="211"/>
        <v>#NAME?</v>
      </c>
      <c r="K69" s="66" t="e">
        <f t="shared" si="212"/>
        <v>#NAME?</v>
      </c>
      <c r="L69" s="66" t="e">
        <f t="shared" si="213"/>
        <v>#NAME?</v>
      </c>
      <c r="M69" s="66" t="e">
        <f t="shared" si="214"/>
        <v>#NAME?</v>
      </c>
      <c r="N69" s="66" t="e">
        <f t="shared" si="215"/>
        <v>#NAME?</v>
      </c>
      <c r="O69" s="66" t="e">
        <f t="shared" si="216"/>
        <v>#NAME?</v>
      </c>
      <c r="P69" s="66" t="e">
        <f t="shared" si="217"/>
        <v>#NAME?</v>
      </c>
      <c r="Q69" s="66" t="e">
        <f t="shared" si="218"/>
        <v>#NAME?</v>
      </c>
      <c r="R69" s="67" t="e">
        <f t="shared" si="46"/>
        <v>#NAME?</v>
      </c>
      <c r="S69" s="67" t="e">
        <f t="shared" si="4"/>
        <v>#NAME?</v>
      </c>
      <c r="T69" s="67" t="e">
        <f t="shared" si="5"/>
        <v>#NAME?</v>
      </c>
      <c r="U69" s="67" t="e">
        <f t="shared" si="219"/>
        <v>#NAME?</v>
      </c>
      <c r="V69" s="67" t="e">
        <f t="shared" si="220"/>
        <v>#NAME?</v>
      </c>
      <c r="W69" s="67" t="e">
        <f t="shared" si="221"/>
        <v>#NAME?</v>
      </c>
      <c r="X69" s="66" t="e">
        <f t="shared" si="222"/>
        <v>#NAME?</v>
      </c>
      <c r="Y69" s="66" t="e">
        <f t="shared" si="223"/>
        <v>#NAME?</v>
      </c>
      <c r="Z69" s="66" t="e">
        <f t="shared" si="224"/>
        <v>#NAME?</v>
      </c>
      <c r="AA69" s="66" t="e">
        <f t="shared" si="225"/>
        <v>#NAME?</v>
      </c>
      <c r="AB69" s="66" t="e">
        <f t="shared" si="226"/>
        <v>#NAME?</v>
      </c>
      <c r="AC69" s="66" t="e">
        <f t="shared" si="227"/>
        <v>#NAME?</v>
      </c>
      <c r="AD69" s="66" t="e">
        <f t="shared" si="228"/>
        <v>#NAME?</v>
      </c>
      <c r="AE69" s="66" t="e">
        <f t="shared" si="229"/>
        <v>#NAME?</v>
      </c>
      <c r="AF69" s="66" t="e">
        <f t="shared" si="230"/>
        <v>#NAME?</v>
      </c>
      <c r="AG69" s="66" t="e">
        <f t="shared" si="231"/>
        <v>#NAME?</v>
      </c>
      <c r="AH69" s="66" t="e">
        <f t="shared" si="232"/>
        <v>#NAME?</v>
      </c>
      <c r="AI69" s="66" t="e">
        <f t="shared" si="233"/>
        <v>#NAME?</v>
      </c>
      <c r="AJ69" s="67" t="e">
        <f t="shared" si="52"/>
        <v>#NAME?</v>
      </c>
      <c r="AK69" s="67" t="e">
        <f t="shared" si="7"/>
        <v>#NAME?</v>
      </c>
      <c r="AL69" s="67" t="e">
        <f t="shared" si="8"/>
        <v>#NAME?</v>
      </c>
      <c r="AM69" s="67" t="e">
        <f t="shared" si="234"/>
        <v>#NAME?</v>
      </c>
      <c r="AN69" s="67" t="e">
        <f t="shared" si="235"/>
        <v>#NAME?</v>
      </c>
      <c r="AO69" s="67" t="e">
        <f t="shared" si="236"/>
        <v>#NAME?</v>
      </c>
      <c r="AP69" s="66" t="e">
        <f t="shared" si="237"/>
        <v>#NAME?</v>
      </c>
      <c r="AQ69" s="66" t="e">
        <f t="shared" si="238"/>
        <v>#NAME?</v>
      </c>
      <c r="AR69" s="66" t="e">
        <f t="shared" si="239"/>
        <v>#NAME?</v>
      </c>
      <c r="AS69" s="66" t="e">
        <f t="shared" si="240"/>
        <v>#NAME?</v>
      </c>
      <c r="AT69" s="66" t="e">
        <f t="shared" si="241"/>
        <v>#NAME?</v>
      </c>
      <c r="AU69" s="66" t="e">
        <f t="shared" si="242"/>
        <v>#NAME?</v>
      </c>
      <c r="AV69" s="66" t="e">
        <f t="shared" si="243"/>
        <v>#NAME?</v>
      </c>
      <c r="AW69" s="66" t="e">
        <f t="shared" si="244"/>
        <v>#NAME?</v>
      </c>
      <c r="AX69" s="66" t="e">
        <f t="shared" si="245"/>
        <v>#NAME?</v>
      </c>
      <c r="AY69" s="66" t="e">
        <f t="shared" si="246"/>
        <v>#NAME?</v>
      </c>
      <c r="AZ69" s="66" t="e">
        <f t="shared" si="247"/>
        <v>#NAME?</v>
      </c>
      <c r="BA69" s="66" t="e">
        <f t="shared" si="248"/>
        <v>#NAME?</v>
      </c>
      <c r="BB69" s="67" t="e">
        <f t="shared" si="57"/>
        <v>#NAME?</v>
      </c>
      <c r="BC69" s="67" t="e">
        <f t="shared" si="10"/>
        <v>#NAME?</v>
      </c>
      <c r="BD69" s="67" t="e">
        <f t="shared" si="11"/>
        <v>#NAME?</v>
      </c>
      <c r="BE69" s="67" t="e">
        <f t="shared" si="249"/>
        <v>#NAME?</v>
      </c>
      <c r="BF69" s="67" t="e">
        <f t="shared" si="250"/>
        <v>#NAME?</v>
      </c>
      <c r="BG69" s="67" t="e">
        <f t="shared" si="251"/>
        <v>#NAME?</v>
      </c>
    </row>
    <row r="70" spans="1:59" ht="15.6" x14ac:dyDescent="0.3">
      <c r="A70" s="8" t="s">
        <v>150</v>
      </c>
      <c r="B70" s="11" t="s">
        <v>151</v>
      </c>
      <c r="C70" s="63" t="s">
        <v>152</v>
      </c>
      <c r="D70" s="64"/>
      <c r="E70" s="65"/>
      <c r="F70" s="66" t="e">
        <f t="shared" si="207"/>
        <v>#NAME?</v>
      </c>
      <c r="G70" s="66" t="e">
        <f t="shared" si="208"/>
        <v>#NAME?</v>
      </c>
      <c r="H70" s="66" t="e">
        <f t="shared" si="209"/>
        <v>#NAME?</v>
      </c>
      <c r="I70" s="66" t="e">
        <f t="shared" si="210"/>
        <v>#NAME?</v>
      </c>
      <c r="J70" s="66" t="e">
        <f t="shared" si="211"/>
        <v>#NAME?</v>
      </c>
      <c r="K70" s="66" t="e">
        <f t="shared" si="212"/>
        <v>#NAME?</v>
      </c>
      <c r="L70" s="66" t="e">
        <f t="shared" si="213"/>
        <v>#NAME?</v>
      </c>
      <c r="M70" s="66" t="e">
        <f t="shared" si="214"/>
        <v>#NAME?</v>
      </c>
      <c r="N70" s="66" t="e">
        <f t="shared" si="215"/>
        <v>#NAME?</v>
      </c>
      <c r="O70" s="66" t="e">
        <f t="shared" si="216"/>
        <v>#NAME?</v>
      </c>
      <c r="P70" s="66" t="e">
        <f t="shared" si="217"/>
        <v>#NAME?</v>
      </c>
      <c r="Q70" s="66" t="e">
        <f t="shared" si="218"/>
        <v>#NAME?</v>
      </c>
      <c r="R70" s="67" t="e">
        <f t="shared" si="46"/>
        <v>#NAME?</v>
      </c>
      <c r="S70" s="67" t="e">
        <f t="shared" si="4"/>
        <v>#NAME?</v>
      </c>
      <c r="T70" s="67" t="e">
        <f t="shared" si="5"/>
        <v>#NAME?</v>
      </c>
      <c r="U70" s="67" t="e">
        <f t="shared" si="219"/>
        <v>#NAME?</v>
      </c>
      <c r="V70" s="67" t="e">
        <f t="shared" si="220"/>
        <v>#NAME?</v>
      </c>
      <c r="W70" s="67" t="e">
        <f t="shared" si="221"/>
        <v>#NAME?</v>
      </c>
      <c r="X70" s="66" t="e">
        <f t="shared" si="222"/>
        <v>#NAME?</v>
      </c>
      <c r="Y70" s="66" t="e">
        <f t="shared" si="223"/>
        <v>#NAME?</v>
      </c>
      <c r="Z70" s="66" t="e">
        <f t="shared" si="224"/>
        <v>#NAME?</v>
      </c>
      <c r="AA70" s="66" t="e">
        <f t="shared" si="225"/>
        <v>#NAME?</v>
      </c>
      <c r="AB70" s="66" t="e">
        <f t="shared" si="226"/>
        <v>#NAME?</v>
      </c>
      <c r="AC70" s="66" t="e">
        <f t="shared" si="227"/>
        <v>#NAME?</v>
      </c>
      <c r="AD70" s="66" t="e">
        <f t="shared" si="228"/>
        <v>#NAME?</v>
      </c>
      <c r="AE70" s="66" t="e">
        <f t="shared" si="229"/>
        <v>#NAME?</v>
      </c>
      <c r="AF70" s="66" t="e">
        <f t="shared" si="230"/>
        <v>#NAME?</v>
      </c>
      <c r="AG70" s="66" t="e">
        <f t="shared" si="231"/>
        <v>#NAME?</v>
      </c>
      <c r="AH70" s="66" t="e">
        <f t="shared" si="232"/>
        <v>#NAME?</v>
      </c>
      <c r="AI70" s="66" t="e">
        <f t="shared" si="233"/>
        <v>#NAME?</v>
      </c>
      <c r="AJ70" s="67" t="e">
        <f t="shared" si="52"/>
        <v>#NAME?</v>
      </c>
      <c r="AK70" s="67" t="e">
        <f t="shared" si="7"/>
        <v>#NAME?</v>
      </c>
      <c r="AL70" s="67" t="e">
        <f t="shared" si="8"/>
        <v>#NAME?</v>
      </c>
      <c r="AM70" s="67" t="e">
        <f t="shared" si="234"/>
        <v>#NAME?</v>
      </c>
      <c r="AN70" s="67" t="e">
        <f t="shared" si="235"/>
        <v>#NAME?</v>
      </c>
      <c r="AO70" s="67" t="e">
        <f t="shared" si="236"/>
        <v>#NAME?</v>
      </c>
      <c r="AP70" s="66" t="e">
        <f t="shared" si="237"/>
        <v>#NAME?</v>
      </c>
      <c r="AQ70" s="66" t="e">
        <f t="shared" si="238"/>
        <v>#NAME?</v>
      </c>
      <c r="AR70" s="66" t="e">
        <f t="shared" si="239"/>
        <v>#NAME?</v>
      </c>
      <c r="AS70" s="66" t="e">
        <f t="shared" si="240"/>
        <v>#NAME?</v>
      </c>
      <c r="AT70" s="66" t="e">
        <f t="shared" si="241"/>
        <v>#NAME?</v>
      </c>
      <c r="AU70" s="66" t="e">
        <f t="shared" si="242"/>
        <v>#NAME?</v>
      </c>
      <c r="AV70" s="66" t="e">
        <f t="shared" si="243"/>
        <v>#NAME?</v>
      </c>
      <c r="AW70" s="66" t="e">
        <f t="shared" si="244"/>
        <v>#NAME?</v>
      </c>
      <c r="AX70" s="66" t="e">
        <f t="shared" si="245"/>
        <v>#NAME?</v>
      </c>
      <c r="AY70" s="66" t="e">
        <f t="shared" si="246"/>
        <v>#NAME?</v>
      </c>
      <c r="AZ70" s="66" t="e">
        <f t="shared" si="247"/>
        <v>#NAME?</v>
      </c>
      <c r="BA70" s="66" t="e">
        <f t="shared" si="248"/>
        <v>#NAME?</v>
      </c>
      <c r="BB70" s="67" t="e">
        <f t="shared" si="57"/>
        <v>#NAME?</v>
      </c>
      <c r="BC70" s="67" t="e">
        <f t="shared" si="10"/>
        <v>#NAME?</v>
      </c>
      <c r="BD70" s="67" t="e">
        <f t="shared" si="11"/>
        <v>#NAME?</v>
      </c>
      <c r="BE70" s="67" t="e">
        <f t="shared" si="249"/>
        <v>#NAME?</v>
      </c>
      <c r="BF70" s="67" t="e">
        <f t="shared" si="250"/>
        <v>#NAME?</v>
      </c>
      <c r="BG70" s="67" t="e">
        <f t="shared" si="251"/>
        <v>#NAME?</v>
      </c>
    </row>
    <row r="71" spans="1:59" ht="15.6" x14ac:dyDescent="0.3">
      <c r="A71" s="8" t="s">
        <v>153</v>
      </c>
      <c r="B71" s="11" t="s">
        <v>154</v>
      </c>
      <c r="C71" s="63" t="s">
        <v>155</v>
      </c>
      <c r="D71" s="64"/>
      <c r="E71" s="65"/>
      <c r="F71" s="66" t="e">
        <f t="shared" si="207"/>
        <v>#NAME?</v>
      </c>
      <c r="G71" s="66" t="e">
        <f t="shared" si="208"/>
        <v>#NAME?</v>
      </c>
      <c r="H71" s="66" t="e">
        <f t="shared" si="209"/>
        <v>#NAME?</v>
      </c>
      <c r="I71" s="66" t="e">
        <f t="shared" si="210"/>
        <v>#NAME?</v>
      </c>
      <c r="J71" s="66" t="e">
        <f t="shared" si="211"/>
        <v>#NAME?</v>
      </c>
      <c r="K71" s="66" t="e">
        <f t="shared" si="212"/>
        <v>#NAME?</v>
      </c>
      <c r="L71" s="66" t="e">
        <f t="shared" si="213"/>
        <v>#NAME?</v>
      </c>
      <c r="M71" s="66" t="e">
        <f t="shared" si="214"/>
        <v>#NAME?</v>
      </c>
      <c r="N71" s="66" t="e">
        <f t="shared" si="215"/>
        <v>#NAME?</v>
      </c>
      <c r="O71" s="66" t="e">
        <f t="shared" si="216"/>
        <v>#NAME?</v>
      </c>
      <c r="P71" s="66" t="e">
        <f t="shared" si="217"/>
        <v>#NAME?</v>
      </c>
      <c r="Q71" s="66" t="e">
        <f t="shared" si="218"/>
        <v>#NAME?</v>
      </c>
      <c r="R71" s="67" t="e">
        <f t="shared" si="46"/>
        <v>#NAME?</v>
      </c>
      <c r="S71" s="67" t="e">
        <f t="shared" si="4"/>
        <v>#NAME?</v>
      </c>
      <c r="T71" s="67" t="e">
        <f t="shared" si="5"/>
        <v>#NAME?</v>
      </c>
      <c r="U71" s="67" t="e">
        <f t="shared" si="219"/>
        <v>#NAME?</v>
      </c>
      <c r="V71" s="67" t="e">
        <f t="shared" si="220"/>
        <v>#NAME?</v>
      </c>
      <c r="W71" s="67" t="e">
        <f t="shared" si="221"/>
        <v>#NAME?</v>
      </c>
      <c r="X71" s="66" t="e">
        <f t="shared" si="222"/>
        <v>#NAME?</v>
      </c>
      <c r="Y71" s="66" t="e">
        <f t="shared" si="223"/>
        <v>#NAME?</v>
      </c>
      <c r="Z71" s="66" t="e">
        <f t="shared" si="224"/>
        <v>#NAME?</v>
      </c>
      <c r="AA71" s="66" t="e">
        <f t="shared" si="225"/>
        <v>#NAME?</v>
      </c>
      <c r="AB71" s="66" t="e">
        <f t="shared" si="226"/>
        <v>#NAME?</v>
      </c>
      <c r="AC71" s="66" t="e">
        <f t="shared" si="227"/>
        <v>#NAME?</v>
      </c>
      <c r="AD71" s="66" t="e">
        <f t="shared" si="228"/>
        <v>#NAME?</v>
      </c>
      <c r="AE71" s="66" t="e">
        <f t="shared" si="229"/>
        <v>#NAME?</v>
      </c>
      <c r="AF71" s="66" t="e">
        <f t="shared" si="230"/>
        <v>#NAME?</v>
      </c>
      <c r="AG71" s="66" t="e">
        <f t="shared" si="231"/>
        <v>#NAME?</v>
      </c>
      <c r="AH71" s="66" t="e">
        <f t="shared" si="232"/>
        <v>#NAME?</v>
      </c>
      <c r="AI71" s="66" t="e">
        <f t="shared" si="233"/>
        <v>#NAME?</v>
      </c>
      <c r="AJ71" s="67" t="e">
        <f t="shared" si="52"/>
        <v>#NAME?</v>
      </c>
      <c r="AK71" s="67" t="e">
        <f t="shared" si="7"/>
        <v>#NAME?</v>
      </c>
      <c r="AL71" s="67" t="e">
        <f t="shared" si="8"/>
        <v>#NAME?</v>
      </c>
      <c r="AM71" s="67" t="e">
        <f t="shared" si="234"/>
        <v>#NAME?</v>
      </c>
      <c r="AN71" s="67" t="e">
        <f t="shared" si="235"/>
        <v>#NAME?</v>
      </c>
      <c r="AO71" s="67" t="e">
        <f t="shared" si="236"/>
        <v>#NAME?</v>
      </c>
      <c r="AP71" s="66" t="e">
        <f t="shared" si="237"/>
        <v>#NAME?</v>
      </c>
      <c r="AQ71" s="66" t="e">
        <f t="shared" si="238"/>
        <v>#NAME?</v>
      </c>
      <c r="AR71" s="66" t="e">
        <f t="shared" si="239"/>
        <v>#NAME?</v>
      </c>
      <c r="AS71" s="66" t="e">
        <f t="shared" si="240"/>
        <v>#NAME?</v>
      </c>
      <c r="AT71" s="66" t="e">
        <f t="shared" si="241"/>
        <v>#NAME?</v>
      </c>
      <c r="AU71" s="66" t="e">
        <f t="shared" si="242"/>
        <v>#NAME?</v>
      </c>
      <c r="AV71" s="66" t="e">
        <f t="shared" si="243"/>
        <v>#NAME?</v>
      </c>
      <c r="AW71" s="66" t="e">
        <f t="shared" si="244"/>
        <v>#NAME?</v>
      </c>
      <c r="AX71" s="66" t="e">
        <f t="shared" si="245"/>
        <v>#NAME?</v>
      </c>
      <c r="AY71" s="66" t="e">
        <f t="shared" si="246"/>
        <v>#NAME?</v>
      </c>
      <c r="AZ71" s="66" t="e">
        <f t="shared" si="247"/>
        <v>#NAME?</v>
      </c>
      <c r="BA71" s="66" t="e">
        <f t="shared" si="248"/>
        <v>#NAME?</v>
      </c>
      <c r="BB71" s="67" t="e">
        <f t="shared" si="57"/>
        <v>#NAME?</v>
      </c>
      <c r="BC71" s="67" t="e">
        <f t="shared" si="10"/>
        <v>#NAME?</v>
      </c>
      <c r="BD71" s="67" t="e">
        <f t="shared" si="11"/>
        <v>#NAME?</v>
      </c>
      <c r="BE71" s="67" t="e">
        <f t="shared" si="249"/>
        <v>#NAME?</v>
      </c>
      <c r="BF71" s="67" t="e">
        <f t="shared" si="250"/>
        <v>#NAME?</v>
      </c>
      <c r="BG71" s="67" t="e">
        <f t="shared" si="251"/>
        <v>#NAME?</v>
      </c>
    </row>
    <row r="72" spans="1:59" ht="15.6" x14ac:dyDescent="0.3">
      <c r="A72" s="8" t="s">
        <v>156</v>
      </c>
      <c r="B72" s="11" t="s">
        <v>157</v>
      </c>
      <c r="C72" s="63" t="s">
        <v>158</v>
      </c>
      <c r="D72" s="64"/>
      <c r="E72" s="65"/>
      <c r="F72" s="66" t="e">
        <f t="shared" si="207"/>
        <v>#NAME?</v>
      </c>
      <c r="G72" s="66" t="e">
        <f t="shared" si="208"/>
        <v>#NAME?</v>
      </c>
      <c r="H72" s="66" t="e">
        <f t="shared" si="209"/>
        <v>#NAME?</v>
      </c>
      <c r="I72" s="66" t="e">
        <f t="shared" si="210"/>
        <v>#NAME?</v>
      </c>
      <c r="J72" s="66" t="e">
        <f t="shared" si="211"/>
        <v>#NAME?</v>
      </c>
      <c r="K72" s="66" t="e">
        <f t="shared" si="212"/>
        <v>#NAME?</v>
      </c>
      <c r="L72" s="66" t="e">
        <f t="shared" si="213"/>
        <v>#NAME?</v>
      </c>
      <c r="M72" s="66" t="e">
        <f t="shared" si="214"/>
        <v>#NAME?</v>
      </c>
      <c r="N72" s="66" t="e">
        <f t="shared" si="215"/>
        <v>#NAME?</v>
      </c>
      <c r="O72" s="66" t="e">
        <f t="shared" si="216"/>
        <v>#NAME?</v>
      </c>
      <c r="P72" s="66" t="e">
        <f t="shared" si="217"/>
        <v>#NAME?</v>
      </c>
      <c r="Q72" s="66" t="e">
        <f t="shared" si="218"/>
        <v>#NAME?</v>
      </c>
      <c r="R72" s="67" t="e">
        <f t="shared" si="46"/>
        <v>#NAME?</v>
      </c>
      <c r="S72" s="67" t="e">
        <f t="shared" si="4"/>
        <v>#NAME?</v>
      </c>
      <c r="T72" s="67" t="e">
        <f t="shared" si="5"/>
        <v>#NAME?</v>
      </c>
      <c r="U72" s="67" t="e">
        <f t="shared" si="219"/>
        <v>#NAME?</v>
      </c>
      <c r="V72" s="67" t="e">
        <f t="shared" si="220"/>
        <v>#NAME?</v>
      </c>
      <c r="W72" s="67" t="e">
        <f t="shared" si="221"/>
        <v>#NAME?</v>
      </c>
      <c r="X72" s="66" t="e">
        <f t="shared" si="222"/>
        <v>#NAME?</v>
      </c>
      <c r="Y72" s="66" t="e">
        <f t="shared" si="223"/>
        <v>#NAME?</v>
      </c>
      <c r="Z72" s="66" t="e">
        <f t="shared" si="224"/>
        <v>#NAME?</v>
      </c>
      <c r="AA72" s="66" t="e">
        <f t="shared" si="225"/>
        <v>#NAME?</v>
      </c>
      <c r="AB72" s="66" t="e">
        <f t="shared" si="226"/>
        <v>#NAME?</v>
      </c>
      <c r="AC72" s="66" t="e">
        <f t="shared" si="227"/>
        <v>#NAME?</v>
      </c>
      <c r="AD72" s="66" t="e">
        <f t="shared" si="228"/>
        <v>#NAME?</v>
      </c>
      <c r="AE72" s="66" t="e">
        <f t="shared" si="229"/>
        <v>#NAME?</v>
      </c>
      <c r="AF72" s="66" t="e">
        <f t="shared" si="230"/>
        <v>#NAME?</v>
      </c>
      <c r="AG72" s="66" t="e">
        <f t="shared" si="231"/>
        <v>#NAME?</v>
      </c>
      <c r="AH72" s="66" t="e">
        <f t="shared" si="232"/>
        <v>#NAME?</v>
      </c>
      <c r="AI72" s="66" t="e">
        <f t="shared" si="233"/>
        <v>#NAME?</v>
      </c>
      <c r="AJ72" s="67" t="e">
        <f t="shared" si="52"/>
        <v>#NAME?</v>
      </c>
      <c r="AK72" s="67" t="e">
        <f t="shared" si="7"/>
        <v>#NAME?</v>
      </c>
      <c r="AL72" s="67" t="e">
        <f t="shared" si="8"/>
        <v>#NAME?</v>
      </c>
      <c r="AM72" s="67" t="e">
        <f t="shared" si="234"/>
        <v>#NAME?</v>
      </c>
      <c r="AN72" s="67" t="e">
        <f t="shared" si="235"/>
        <v>#NAME?</v>
      </c>
      <c r="AO72" s="67" t="e">
        <f t="shared" si="236"/>
        <v>#NAME?</v>
      </c>
      <c r="AP72" s="66" t="e">
        <f t="shared" si="237"/>
        <v>#NAME?</v>
      </c>
      <c r="AQ72" s="66" t="e">
        <f t="shared" si="238"/>
        <v>#NAME?</v>
      </c>
      <c r="AR72" s="66" t="e">
        <f t="shared" si="239"/>
        <v>#NAME?</v>
      </c>
      <c r="AS72" s="66" t="e">
        <f t="shared" si="240"/>
        <v>#NAME?</v>
      </c>
      <c r="AT72" s="66" t="e">
        <f t="shared" si="241"/>
        <v>#NAME?</v>
      </c>
      <c r="AU72" s="66" t="e">
        <f t="shared" si="242"/>
        <v>#NAME?</v>
      </c>
      <c r="AV72" s="66" t="e">
        <f t="shared" si="243"/>
        <v>#NAME?</v>
      </c>
      <c r="AW72" s="66" t="e">
        <f t="shared" si="244"/>
        <v>#NAME?</v>
      </c>
      <c r="AX72" s="66" t="e">
        <f t="shared" si="245"/>
        <v>#NAME?</v>
      </c>
      <c r="AY72" s="66" t="e">
        <f t="shared" si="246"/>
        <v>#NAME?</v>
      </c>
      <c r="AZ72" s="66" t="e">
        <f t="shared" si="247"/>
        <v>#NAME?</v>
      </c>
      <c r="BA72" s="66" t="e">
        <f t="shared" si="248"/>
        <v>#NAME?</v>
      </c>
      <c r="BB72" s="67" t="e">
        <f t="shared" si="57"/>
        <v>#NAME?</v>
      </c>
      <c r="BC72" s="67" t="e">
        <f t="shared" si="10"/>
        <v>#NAME?</v>
      </c>
      <c r="BD72" s="67" t="e">
        <f t="shared" si="11"/>
        <v>#NAME?</v>
      </c>
      <c r="BE72" s="67" t="e">
        <f t="shared" si="249"/>
        <v>#NAME?</v>
      </c>
      <c r="BF72" s="67" t="e">
        <f t="shared" si="250"/>
        <v>#NAME?</v>
      </c>
      <c r="BG72" s="67" t="e">
        <f t="shared" si="251"/>
        <v>#NAME?</v>
      </c>
    </row>
    <row r="73" spans="1:59" ht="15.6" x14ac:dyDescent="0.3">
      <c r="A73" s="8" t="s">
        <v>159</v>
      </c>
      <c r="B73" s="11" t="s">
        <v>160</v>
      </c>
      <c r="C73" s="63" t="s">
        <v>161</v>
      </c>
      <c r="D73" s="64"/>
      <c r="E73" s="65"/>
      <c r="F73" s="66" t="e">
        <f t="shared" si="207"/>
        <v>#NAME?</v>
      </c>
      <c r="G73" s="66" t="e">
        <f t="shared" si="208"/>
        <v>#NAME?</v>
      </c>
      <c r="H73" s="66" t="e">
        <f t="shared" si="209"/>
        <v>#NAME?</v>
      </c>
      <c r="I73" s="66" t="e">
        <f t="shared" si="210"/>
        <v>#NAME?</v>
      </c>
      <c r="J73" s="66" t="e">
        <f t="shared" si="211"/>
        <v>#NAME?</v>
      </c>
      <c r="K73" s="66" t="e">
        <f t="shared" si="212"/>
        <v>#NAME?</v>
      </c>
      <c r="L73" s="66" t="e">
        <f t="shared" si="213"/>
        <v>#NAME?</v>
      </c>
      <c r="M73" s="66" t="e">
        <f t="shared" si="214"/>
        <v>#NAME?</v>
      </c>
      <c r="N73" s="66" t="e">
        <f t="shared" si="215"/>
        <v>#NAME?</v>
      </c>
      <c r="O73" s="66" t="e">
        <f t="shared" si="216"/>
        <v>#NAME?</v>
      </c>
      <c r="P73" s="66" t="e">
        <f t="shared" si="217"/>
        <v>#NAME?</v>
      </c>
      <c r="Q73" s="66" t="e">
        <f t="shared" si="218"/>
        <v>#NAME?</v>
      </c>
      <c r="R73" s="67" t="e">
        <f t="shared" si="46"/>
        <v>#NAME?</v>
      </c>
      <c r="S73" s="67" t="e">
        <f t="shared" si="4"/>
        <v>#NAME?</v>
      </c>
      <c r="T73" s="67" t="e">
        <f t="shared" si="5"/>
        <v>#NAME?</v>
      </c>
      <c r="U73" s="67" t="e">
        <f t="shared" si="219"/>
        <v>#NAME?</v>
      </c>
      <c r="V73" s="67" t="e">
        <f t="shared" si="220"/>
        <v>#NAME?</v>
      </c>
      <c r="W73" s="67" t="e">
        <f t="shared" si="221"/>
        <v>#NAME?</v>
      </c>
      <c r="X73" s="66" t="e">
        <f t="shared" si="222"/>
        <v>#NAME?</v>
      </c>
      <c r="Y73" s="66" t="e">
        <f t="shared" si="223"/>
        <v>#NAME?</v>
      </c>
      <c r="Z73" s="66" t="e">
        <f t="shared" si="224"/>
        <v>#NAME?</v>
      </c>
      <c r="AA73" s="66" t="e">
        <f t="shared" si="225"/>
        <v>#NAME?</v>
      </c>
      <c r="AB73" s="66" t="e">
        <f t="shared" si="226"/>
        <v>#NAME?</v>
      </c>
      <c r="AC73" s="66" t="e">
        <f t="shared" si="227"/>
        <v>#NAME?</v>
      </c>
      <c r="AD73" s="66" t="e">
        <f t="shared" si="228"/>
        <v>#NAME?</v>
      </c>
      <c r="AE73" s="66" t="e">
        <f t="shared" si="229"/>
        <v>#NAME?</v>
      </c>
      <c r="AF73" s="66" t="e">
        <f t="shared" si="230"/>
        <v>#NAME?</v>
      </c>
      <c r="AG73" s="66" t="e">
        <f t="shared" si="231"/>
        <v>#NAME?</v>
      </c>
      <c r="AH73" s="66" t="e">
        <f t="shared" si="232"/>
        <v>#NAME?</v>
      </c>
      <c r="AI73" s="66" t="e">
        <f t="shared" si="233"/>
        <v>#NAME?</v>
      </c>
      <c r="AJ73" s="67" t="e">
        <f t="shared" si="52"/>
        <v>#NAME?</v>
      </c>
      <c r="AK73" s="67" t="e">
        <f t="shared" si="7"/>
        <v>#NAME?</v>
      </c>
      <c r="AL73" s="67" t="e">
        <f t="shared" si="8"/>
        <v>#NAME?</v>
      </c>
      <c r="AM73" s="67" t="e">
        <f t="shared" si="234"/>
        <v>#NAME?</v>
      </c>
      <c r="AN73" s="67" t="e">
        <f t="shared" si="235"/>
        <v>#NAME?</v>
      </c>
      <c r="AO73" s="67" t="e">
        <f t="shared" si="236"/>
        <v>#NAME?</v>
      </c>
      <c r="AP73" s="66" t="e">
        <f t="shared" si="237"/>
        <v>#NAME?</v>
      </c>
      <c r="AQ73" s="66" t="e">
        <f t="shared" si="238"/>
        <v>#NAME?</v>
      </c>
      <c r="AR73" s="66" t="e">
        <f t="shared" si="239"/>
        <v>#NAME?</v>
      </c>
      <c r="AS73" s="66" t="e">
        <f t="shared" si="240"/>
        <v>#NAME?</v>
      </c>
      <c r="AT73" s="66" t="e">
        <f t="shared" si="241"/>
        <v>#NAME?</v>
      </c>
      <c r="AU73" s="66" t="e">
        <f t="shared" si="242"/>
        <v>#NAME?</v>
      </c>
      <c r="AV73" s="66" t="e">
        <f t="shared" si="243"/>
        <v>#NAME?</v>
      </c>
      <c r="AW73" s="66" t="e">
        <f t="shared" si="244"/>
        <v>#NAME?</v>
      </c>
      <c r="AX73" s="66" t="e">
        <f t="shared" si="245"/>
        <v>#NAME?</v>
      </c>
      <c r="AY73" s="66" t="e">
        <f t="shared" si="246"/>
        <v>#NAME?</v>
      </c>
      <c r="AZ73" s="66" t="e">
        <f t="shared" si="247"/>
        <v>#NAME?</v>
      </c>
      <c r="BA73" s="66" t="e">
        <f t="shared" si="248"/>
        <v>#NAME?</v>
      </c>
      <c r="BB73" s="67" t="e">
        <f t="shared" si="57"/>
        <v>#NAME?</v>
      </c>
      <c r="BC73" s="67" t="e">
        <f t="shared" si="10"/>
        <v>#NAME?</v>
      </c>
      <c r="BD73" s="67" t="e">
        <f t="shared" si="11"/>
        <v>#NAME?</v>
      </c>
      <c r="BE73" s="67" t="e">
        <f t="shared" si="249"/>
        <v>#NAME?</v>
      </c>
      <c r="BF73" s="67" t="e">
        <f t="shared" si="250"/>
        <v>#NAME?</v>
      </c>
      <c r="BG73" s="67" t="e">
        <f t="shared" si="251"/>
        <v>#NAME?</v>
      </c>
    </row>
    <row r="74" spans="1:59" ht="15.6" x14ac:dyDescent="0.3">
      <c r="A74" s="8" t="s">
        <v>162</v>
      </c>
      <c r="B74" s="11" t="s">
        <v>163</v>
      </c>
      <c r="C74" s="63" t="s">
        <v>164</v>
      </c>
      <c r="D74" s="64"/>
      <c r="E74" s="65"/>
      <c r="F74" s="66" t="e">
        <f t="shared" si="207"/>
        <v>#NAME?</v>
      </c>
      <c r="G74" s="66" t="e">
        <f t="shared" si="208"/>
        <v>#NAME?</v>
      </c>
      <c r="H74" s="66" t="e">
        <f t="shared" si="209"/>
        <v>#NAME?</v>
      </c>
      <c r="I74" s="66" t="e">
        <f t="shared" si="210"/>
        <v>#NAME?</v>
      </c>
      <c r="J74" s="66" t="e">
        <f t="shared" si="211"/>
        <v>#NAME?</v>
      </c>
      <c r="K74" s="66" t="e">
        <f t="shared" si="212"/>
        <v>#NAME?</v>
      </c>
      <c r="L74" s="66" t="e">
        <f t="shared" si="213"/>
        <v>#NAME?</v>
      </c>
      <c r="M74" s="66" t="e">
        <f t="shared" si="214"/>
        <v>#NAME?</v>
      </c>
      <c r="N74" s="66" t="e">
        <f t="shared" si="215"/>
        <v>#NAME?</v>
      </c>
      <c r="O74" s="66" t="e">
        <f t="shared" si="216"/>
        <v>#NAME?</v>
      </c>
      <c r="P74" s="66" t="e">
        <f t="shared" si="217"/>
        <v>#NAME?</v>
      </c>
      <c r="Q74" s="66" t="e">
        <f t="shared" si="218"/>
        <v>#NAME?</v>
      </c>
      <c r="R74" s="67" t="e">
        <f t="shared" si="46"/>
        <v>#NAME?</v>
      </c>
      <c r="S74" s="67" t="e">
        <f t="shared" si="4"/>
        <v>#NAME?</v>
      </c>
      <c r="T74" s="67" t="e">
        <f t="shared" si="5"/>
        <v>#NAME?</v>
      </c>
      <c r="U74" s="67" t="e">
        <f t="shared" si="219"/>
        <v>#NAME?</v>
      </c>
      <c r="V74" s="67" t="e">
        <f t="shared" si="220"/>
        <v>#NAME?</v>
      </c>
      <c r="W74" s="67" t="e">
        <f t="shared" si="221"/>
        <v>#NAME?</v>
      </c>
      <c r="X74" s="66" t="e">
        <f t="shared" si="222"/>
        <v>#NAME?</v>
      </c>
      <c r="Y74" s="66" t="e">
        <f t="shared" si="223"/>
        <v>#NAME?</v>
      </c>
      <c r="Z74" s="66" t="e">
        <f t="shared" si="224"/>
        <v>#NAME?</v>
      </c>
      <c r="AA74" s="66" t="e">
        <f t="shared" si="225"/>
        <v>#NAME?</v>
      </c>
      <c r="AB74" s="66" t="e">
        <f t="shared" si="226"/>
        <v>#NAME?</v>
      </c>
      <c r="AC74" s="66" t="e">
        <f t="shared" si="227"/>
        <v>#NAME?</v>
      </c>
      <c r="AD74" s="66" t="e">
        <f t="shared" si="228"/>
        <v>#NAME?</v>
      </c>
      <c r="AE74" s="66" t="e">
        <f t="shared" si="229"/>
        <v>#NAME?</v>
      </c>
      <c r="AF74" s="66" t="e">
        <f t="shared" si="230"/>
        <v>#NAME?</v>
      </c>
      <c r="AG74" s="66" t="e">
        <f t="shared" si="231"/>
        <v>#NAME?</v>
      </c>
      <c r="AH74" s="66" t="e">
        <f t="shared" si="232"/>
        <v>#NAME?</v>
      </c>
      <c r="AI74" s="66" t="e">
        <f t="shared" si="233"/>
        <v>#NAME?</v>
      </c>
      <c r="AJ74" s="67" t="e">
        <f t="shared" si="52"/>
        <v>#NAME?</v>
      </c>
      <c r="AK74" s="67" t="e">
        <f t="shared" si="7"/>
        <v>#NAME?</v>
      </c>
      <c r="AL74" s="67" t="e">
        <f t="shared" si="8"/>
        <v>#NAME?</v>
      </c>
      <c r="AM74" s="67" t="e">
        <f t="shared" si="234"/>
        <v>#NAME?</v>
      </c>
      <c r="AN74" s="67" t="e">
        <f t="shared" si="235"/>
        <v>#NAME?</v>
      </c>
      <c r="AO74" s="67" t="e">
        <f t="shared" si="236"/>
        <v>#NAME?</v>
      </c>
      <c r="AP74" s="66" t="e">
        <f t="shared" si="237"/>
        <v>#NAME?</v>
      </c>
      <c r="AQ74" s="66" t="e">
        <f t="shared" si="238"/>
        <v>#NAME?</v>
      </c>
      <c r="AR74" s="66" t="e">
        <f t="shared" si="239"/>
        <v>#NAME?</v>
      </c>
      <c r="AS74" s="66" t="e">
        <f t="shared" si="240"/>
        <v>#NAME?</v>
      </c>
      <c r="AT74" s="66" t="e">
        <f t="shared" si="241"/>
        <v>#NAME?</v>
      </c>
      <c r="AU74" s="66" t="e">
        <f t="shared" si="242"/>
        <v>#NAME?</v>
      </c>
      <c r="AV74" s="66" t="e">
        <f t="shared" si="243"/>
        <v>#NAME?</v>
      </c>
      <c r="AW74" s="66" t="e">
        <f t="shared" si="244"/>
        <v>#NAME?</v>
      </c>
      <c r="AX74" s="66" t="e">
        <f t="shared" si="245"/>
        <v>#NAME?</v>
      </c>
      <c r="AY74" s="66" t="e">
        <f t="shared" si="246"/>
        <v>#NAME?</v>
      </c>
      <c r="AZ74" s="66" t="e">
        <f t="shared" si="247"/>
        <v>#NAME?</v>
      </c>
      <c r="BA74" s="66" t="e">
        <f t="shared" si="248"/>
        <v>#NAME?</v>
      </c>
      <c r="BB74" s="67" t="e">
        <f t="shared" si="57"/>
        <v>#NAME?</v>
      </c>
      <c r="BC74" s="67" t="e">
        <f t="shared" si="10"/>
        <v>#NAME?</v>
      </c>
      <c r="BD74" s="67" t="e">
        <f t="shared" si="11"/>
        <v>#NAME?</v>
      </c>
      <c r="BE74" s="67" t="e">
        <f t="shared" si="249"/>
        <v>#NAME?</v>
      </c>
      <c r="BF74" s="67" t="e">
        <f t="shared" si="250"/>
        <v>#NAME?</v>
      </c>
      <c r="BG74" s="67" t="e">
        <f t="shared" si="251"/>
        <v>#NAME?</v>
      </c>
    </row>
    <row r="75" spans="1:59" ht="15.6" x14ac:dyDescent="0.3">
      <c r="A75" s="8" t="s">
        <v>165</v>
      </c>
      <c r="B75" s="11" t="s">
        <v>166</v>
      </c>
      <c r="C75" s="63" t="s">
        <v>167</v>
      </c>
      <c r="D75" s="64"/>
      <c r="E75" s="65"/>
      <c r="F75" s="66" t="e">
        <f t="shared" si="207"/>
        <v>#NAME?</v>
      </c>
      <c r="G75" s="66" t="e">
        <f t="shared" si="208"/>
        <v>#NAME?</v>
      </c>
      <c r="H75" s="66" t="e">
        <f t="shared" si="209"/>
        <v>#NAME?</v>
      </c>
      <c r="I75" s="66" t="e">
        <f t="shared" si="210"/>
        <v>#NAME?</v>
      </c>
      <c r="J75" s="66" t="e">
        <f t="shared" si="211"/>
        <v>#NAME?</v>
      </c>
      <c r="K75" s="66" t="e">
        <f t="shared" si="212"/>
        <v>#NAME?</v>
      </c>
      <c r="L75" s="66" t="e">
        <f t="shared" si="213"/>
        <v>#NAME?</v>
      </c>
      <c r="M75" s="66" t="e">
        <f t="shared" si="214"/>
        <v>#NAME?</v>
      </c>
      <c r="N75" s="66" t="e">
        <f t="shared" si="215"/>
        <v>#NAME?</v>
      </c>
      <c r="O75" s="66" t="e">
        <f t="shared" si="216"/>
        <v>#NAME?</v>
      </c>
      <c r="P75" s="66" t="e">
        <f t="shared" si="217"/>
        <v>#NAME?</v>
      </c>
      <c r="Q75" s="66" t="e">
        <f t="shared" si="218"/>
        <v>#NAME?</v>
      </c>
      <c r="R75" s="67" t="e">
        <f t="shared" si="46"/>
        <v>#NAME?</v>
      </c>
      <c r="S75" s="67" t="e">
        <f t="shared" si="4"/>
        <v>#NAME?</v>
      </c>
      <c r="T75" s="67" t="e">
        <f t="shared" si="5"/>
        <v>#NAME?</v>
      </c>
      <c r="U75" s="67" t="e">
        <f t="shared" si="219"/>
        <v>#NAME?</v>
      </c>
      <c r="V75" s="67" t="e">
        <f t="shared" si="220"/>
        <v>#NAME?</v>
      </c>
      <c r="W75" s="67" t="e">
        <f t="shared" si="221"/>
        <v>#NAME?</v>
      </c>
      <c r="X75" s="66" t="e">
        <f t="shared" si="222"/>
        <v>#NAME?</v>
      </c>
      <c r="Y75" s="66" t="e">
        <f t="shared" si="223"/>
        <v>#NAME?</v>
      </c>
      <c r="Z75" s="66" t="e">
        <f t="shared" si="224"/>
        <v>#NAME?</v>
      </c>
      <c r="AA75" s="66" t="e">
        <f t="shared" si="225"/>
        <v>#NAME?</v>
      </c>
      <c r="AB75" s="66" t="e">
        <f t="shared" si="226"/>
        <v>#NAME?</v>
      </c>
      <c r="AC75" s="66" t="e">
        <f t="shared" si="227"/>
        <v>#NAME?</v>
      </c>
      <c r="AD75" s="66" t="e">
        <f t="shared" si="228"/>
        <v>#NAME?</v>
      </c>
      <c r="AE75" s="66" t="e">
        <f t="shared" si="229"/>
        <v>#NAME?</v>
      </c>
      <c r="AF75" s="66" t="e">
        <f t="shared" si="230"/>
        <v>#NAME?</v>
      </c>
      <c r="AG75" s="66" t="e">
        <f t="shared" si="231"/>
        <v>#NAME?</v>
      </c>
      <c r="AH75" s="66" t="e">
        <f t="shared" si="232"/>
        <v>#NAME?</v>
      </c>
      <c r="AI75" s="66" t="e">
        <f t="shared" si="233"/>
        <v>#NAME?</v>
      </c>
      <c r="AJ75" s="67" t="e">
        <f t="shared" si="52"/>
        <v>#NAME?</v>
      </c>
      <c r="AK75" s="67" t="e">
        <f t="shared" si="7"/>
        <v>#NAME?</v>
      </c>
      <c r="AL75" s="67" t="e">
        <f t="shared" si="8"/>
        <v>#NAME?</v>
      </c>
      <c r="AM75" s="67" t="e">
        <f t="shared" si="234"/>
        <v>#NAME?</v>
      </c>
      <c r="AN75" s="67" t="e">
        <f t="shared" si="235"/>
        <v>#NAME?</v>
      </c>
      <c r="AO75" s="67" t="e">
        <f t="shared" si="236"/>
        <v>#NAME?</v>
      </c>
      <c r="AP75" s="66" t="e">
        <f t="shared" si="237"/>
        <v>#NAME?</v>
      </c>
      <c r="AQ75" s="66" t="e">
        <f t="shared" si="238"/>
        <v>#NAME?</v>
      </c>
      <c r="AR75" s="66" t="e">
        <f t="shared" si="239"/>
        <v>#NAME?</v>
      </c>
      <c r="AS75" s="66" t="e">
        <f t="shared" si="240"/>
        <v>#NAME?</v>
      </c>
      <c r="AT75" s="66" t="e">
        <f t="shared" si="241"/>
        <v>#NAME?</v>
      </c>
      <c r="AU75" s="66" t="e">
        <f t="shared" si="242"/>
        <v>#NAME?</v>
      </c>
      <c r="AV75" s="66" t="e">
        <f t="shared" si="243"/>
        <v>#NAME?</v>
      </c>
      <c r="AW75" s="66" t="e">
        <f t="shared" si="244"/>
        <v>#NAME?</v>
      </c>
      <c r="AX75" s="66" t="e">
        <f t="shared" si="245"/>
        <v>#NAME?</v>
      </c>
      <c r="AY75" s="66" t="e">
        <f t="shared" si="246"/>
        <v>#NAME?</v>
      </c>
      <c r="AZ75" s="66" t="e">
        <f t="shared" si="247"/>
        <v>#NAME?</v>
      </c>
      <c r="BA75" s="66" t="e">
        <f t="shared" si="248"/>
        <v>#NAME?</v>
      </c>
      <c r="BB75" s="67" t="e">
        <f t="shared" si="57"/>
        <v>#NAME?</v>
      </c>
      <c r="BC75" s="67" t="e">
        <f t="shared" si="10"/>
        <v>#NAME?</v>
      </c>
      <c r="BD75" s="67" t="e">
        <f t="shared" si="11"/>
        <v>#NAME?</v>
      </c>
      <c r="BE75" s="67" t="e">
        <f t="shared" si="249"/>
        <v>#NAME?</v>
      </c>
      <c r="BF75" s="67" t="e">
        <f t="shared" si="250"/>
        <v>#NAME?</v>
      </c>
      <c r="BG75" s="67" t="e">
        <f t="shared" si="251"/>
        <v>#NAME?</v>
      </c>
    </row>
    <row r="76" spans="1:59" ht="15.6" x14ac:dyDescent="0.3">
      <c r="A76" s="8" t="s">
        <v>168</v>
      </c>
      <c r="B76" s="74" t="s">
        <v>169</v>
      </c>
      <c r="C76" s="63" t="s">
        <v>170</v>
      </c>
      <c r="D76" s="64"/>
      <c r="E76" s="65"/>
      <c r="F76" s="66" t="e">
        <f t="shared" si="207"/>
        <v>#NAME?</v>
      </c>
      <c r="G76" s="66" t="e">
        <f t="shared" si="208"/>
        <v>#NAME?</v>
      </c>
      <c r="H76" s="66" t="e">
        <f t="shared" si="209"/>
        <v>#NAME?</v>
      </c>
      <c r="I76" s="66" t="e">
        <f t="shared" si="210"/>
        <v>#NAME?</v>
      </c>
      <c r="J76" s="66" t="e">
        <f t="shared" si="211"/>
        <v>#NAME?</v>
      </c>
      <c r="K76" s="66" t="e">
        <f t="shared" si="212"/>
        <v>#NAME?</v>
      </c>
      <c r="L76" s="66" t="e">
        <f t="shared" si="213"/>
        <v>#NAME?</v>
      </c>
      <c r="M76" s="66" t="e">
        <f t="shared" si="214"/>
        <v>#NAME?</v>
      </c>
      <c r="N76" s="66" t="e">
        <f t="shared" si="215"/>
        <v>#NAME?</v>
      </c>
      <c r="O76" s="66" t="e">
        <f t="shared" si="216"/>
        <v>#NAME?</v>
      </c>
      <c r="P76" s="66" t="e">
        <f t="shared" si="217"/>
        <v>#NAME?</v>
      </c>
      <c r="Q76" s="66" t="e">
        <f t="shared" si="218"/>
        <v>#NAME?</v>
      </c>
      <c r="R76" s="67" t="e">
        <f t="shared" si="46"/>
        <v>#NAME?</v>
      </c>
      <c r="S76" s="67" t="e">
        <f t="shared" si="4"/>
        <v>#NAME?</v>
      </c>
      <c r="T76" s="67" t="e">
        <f t="shared" si="5"/>
        <v>#NAME?</v>
      </c>
      <c r="U76" s="67" t="e">
        <f t="shared" si="219"/>
        <v>#NAME?</v>
      </c>
      <c r="V76" s="67" t="e">
        <f t="shared" si="220"/>
        <v>#NAME?</v>
      </c>
      <c r="W76" s="67" t="e">
        <f t="shared" si="221"/>
        <v>#NAME?</v>
      </c>
      <c r="X76" s="66" t="e">
        <f t="shared" si="222"/>
        <v>#NAME?</v>
      </c>
      <c r="Y76" s="66" t="e">
        <f t="shared" si="223"/>
        <v>#NAME?</v>
      </c>
      <c r="Z76" s="66" t="e">
        <f t="shared" si="224"/>
        <v>#NAME?</v>
      </c>
      <c r="AA76" s="66" t="e">
        <f t="shared" si="225"/>
        <v>#NAME?</v>
      </c>
      <c r="AB76" s="66" t="e">
        <f t="shared" si="226"/>
        <v>#NAME?</v>
      </c>
      <c r="AC76" s="66" t="e">
        <f t="shared" si="227"/>
        <v>#NAME?</v>
      </c>
      <c r="AD76" s="66" t="e">
        <f t="shared" si="228"/>
        <v>#NAME?</v>
      </c>
      <c r="AE76" s="66" t="e">
        <f t="shared" si="229"/>
        <v>#NAME?</v>
      </c>
      <c r="AF76" s="66" t="e">
        <f t="shared" si="230"/>
        <v>#NAME?</v>
      </c>
      <c r="AG76" s="66" t="e">
        <f t="shared" si="231"/>
        <v>#NAME?</v>
      </c>
      <c r="AH76" s="66" t="e">
        <f t="shared" si="232"/>
        <v>#NAME?</v>
      </c>
      <c r="AI76" s="66" t="e">
        <f t="shared" si="233"/>
        <v>#NAME?</v>
      </c>
      <c r="AJ76" s="67" t="e">
        <f t="shared" si="52"/>
        <v>#NAME?</v>
      </c>
      <c r="AK76" s="67" t="e">
        <f t="shared" si="7"/>
        <v>#NAME?</v>
      </c>
      <c r="AL76" s="67" t="e">
        <f t="shared" si="8"/>
        <v>#NAME?</v>
      </c>
      <c r="AM76" s="67" t="e">
        <f t="shared" si="234"/>
        <v>#NAME?</v>
      </c>
      <c r="AN76" s="67" t="e">
        <f t="shared" si="235"/>
        <v>#NAME?</v>
      </c>
      <c r="AO76" s="67" t="e">
        <f t="shared" si="236"/>
        <v>#NAME?</v>
      </c>
      <c r="AP76" s="66" t="e">
        <f t="shared" si="237"/>
        <v>#NAME?</v>
      </c>
      <c r="AQ76" s="66" t="e">
        <f t="shared" si="238"/>
        <v>#NAME?</v>
      </c>
      <c r="AR76" s="66" t="e">
        <f t="shared" si="239"/>
        <v>#NAME?</v>
      </c>
      <c r="AS76" s="66" t="e">
        <f t="shared" si="240"/>
        <v>#NAME?</v>
      </c>
      <c r="AT76" s="66" t="e">
        <f t="shared" si="241"/>
        <v>#NAME?</v>
      </c>
      <c r="AU76" s="66" t="e">
        <f t="shared" si="242"/>
        <v>#NAME?</v>
      </c>
      <c r="AV76" s="66" t="e">
        <f t="shared" si="243"/>
        <v>#NAME?</v>
      </c>
      <c r="AW76" s="66" t="e">
        <f t="shared" si="244"/>
        <v>#NAME?</v>
      </c>
      <c r="AX76" s="66" t="e">
        <f t="shared" si="245"/>
        <v>#NAME?</v>
      </c>
      <c r="AY76" s="66" t="e">
        <f t="shared" si="246"/>
        <v>#NAME?</v>
      </c>
      <c r="AZ76" s="66" t="e">
        <f t="shared" si="247"/>
        <v>#NAME?</v>
      </c>
      <c r="BA76" s="66" t="e">
        <f t="shared" si="248"/>
        <v>#NAME?</v>
      </c>
      <c r="BB76" s="67" t="e">
        <f t="shared" si="57"/>
        <v>#NAME?</v>
      </c>
      <c r="BC76" s="67" t="e">
        <f t="shared" si="10"/>
        <v>#NAME?</v>
      </c>
      <c r="BD76" s="67" t="e">
        <f t="shared" si="11"/>
        <v>#NAME?</v>
      </c>
      <c r="BE76" s="67" t="e">
        <f t="shared" si="249"/>
        <v>#NAME?</v>
      </c>
      <c r="BF76" s="67" t="e">
        <f t="shared" si="250"/>
        <v>#NAME?</v>
      </c>
      <c r="BG76" s="67" t="e">
        <f t="shared" si="251"/>
        <v>#NAME?</v>
      </c>
    </row>
    <row r="77" spans="1:59" s="62" customFormat="1" ht="15.6" x14ac:dyDescent="0.3">
      <c r="A77" s="56" t="s">
        <v>171</v>
      </c>
      <c r="B77" s="57">
        <v>63</v>
      </c>
      <c r="C77" s="58" t="s">
        <v>173</v>
      </c>
      <c r="D77" s="59"/>
      <c r="E77" s="60"/>
      <c r="F77" s="61" t="e">
        <f>SUM(F78:F83)</f>
        <v>#NAME?</v>
      </c>
      <c r="G77" s="61" t="e">
        <f>SUM(G78:G83)</f>
        <v>#NAME?</v>
      </c>
      <c r="H77" s="61" t="e">
        <f t="shared" ref="H77:Q77" si="252">SUM(H78:H83)</f>
        <v>#NAME?</v>
      </c>
      <c r="I77" s="61" t="e">
        <f t="shared" si="252"/>
        <v>#NAME?</v>
      </c>
      <c r="J77" s="61" t="e">
        <f t="shared" si="252"/>
        <v>#NAME?</v>
      </c>
      <c r="K77" s="61" t="e">
        <f t="shared" si="252"/>
        <v>#NAME?</v>
      </c>
      <c r="L77" s="61" t="e">
        <f t="shared" si="252"/>
        <v>#NAME?</v>
      </c>
      <c r="M77" s="61" t="e">
        <f>SUM(M78:M83)</f>
        <v>#NAME?</v>
      </c>
      <c r="N77" s="61" t="e">
        <f t="shared" si="252"/>
        <v>#NAME?</v>
      </c>
      <c r="O77" s="61" t="e">
        <f t="shared" si="252"/>
        <v>#NAME?</v>
      </c>
      <c r="P77" s="61" t="e">
        <f t="shared" si="252"/>
        <v>#NAME?</v>
      </c>
      <c r="Q77" s="61" t="e">
        <f t="shared" si="252"/>
        <v>#NAME?</v>
      </c>
      <c r="R77" s="61" t="e">
        <f t="shared" si="46"/>
        <v>#NAME?</v>
      </c>
      <c r="S77" s="61" t="e">
        <f t="shared" si="4"/>
        <v>#NAME?</v>
      </c>
      <c r="T77" s="61" t="e">
        <f t="shared" si="5"/>
        <v>#NAME?</v>
      </c>
      <c r="U77" s="61" t="e">
        <f t="shared" ref="U77:AI77" si="253">SUM(U78:U83)</f>
        <v>#NAME?</v>
      </c>
      <c r="V77" s="61" t="e">
        <f t="shared" si="253"/>
        <v>#NAME?</v>
      </c>
      <c r="W77" s="61" t="e">
        <f t="shared" si="253"/>
        <v>#NAME?</v>
      </c>
      <c r="X77" s="61" t="e">
        <f t="shared" si="253"/>
        <v>#NAME?</v>
      </c>
      <c r="Y77" s="61" t="e">
        <f t="shared" si="253"/>
        <v>#NAME?</v>
      </c>
      <c r="Z77" s="61" t="e">
        <f t="shared" si="253"/>
        <v>#NAME?</v>
      </c>
      <c r="AA77" s="61" t="e">
        <f t="shared" si="253"/>
        <v>#NAME?</v>
      </c>
      <c r="AB77" s="61" t="e">
        <f t="shared" si="253"/>
        <v>#NAME?</v>
      </c>
      <c r="AC77" s="61" t="e">
        <f t="shared" si="253"/>
        <v>#NAME?</v>
      </c>
      <c r="AD77" s="61" t="e">
        <f t="shared" si="253"/>
        <v>#NAME?</v>
      </c>
      <c r="AE77" s="61" t="e">
        <f t="shared" si="253"/>
        <v>#NAME?</v>
      </c>
      <c r="AF77" s="61" t="e">
        <f t="shared" si="253"/>
        <v>#NAME?</v>
      </c>
      <c r="AG77" s="61" t="e">
        <f t="shared" si="253"/>
        <v>#NAME?</v>
      </c>
      <c r="AH77" s="61" t="e">
        <f t="shared" si="253"/>
        <v>#NAME?</v>
      </c>
      <c r="AI77" s="61" t="e">
        <f t="shared" si="253"/>
        <v>#NAME?</v>
      </c>
      <c r="AJ77" s="61" t="e">
        <f t="shared" si="52"/>
        <v>#NAME?</v>
      </c>
      <c r="AK77" s="61" t="e">
        <f t="shared" si="7"/>
        <v>#NAME?</v>
      </c>
      <c r="AL77" s="61" t="e">
        <f t="shared" si="8"/>
        <v>#NAME?</v>
      </c>
      <c r="AM77" s="61" t="e">
        <f t="shared" ref="AM77:BA77" si="254">SUM(AM78:AM83)</f>
        <v>#NAME?</v>
      </c>
      <c r="AN77" s="61" t="e">
        <f t="shared" si="254"/>
        <v>#NAME?</v>
      </c>
      <c r="AO77" s="61" t="e">
        <f t="shared" si="254"/>
        <v>#NAME?</v>
      </c>
      <c r="AP77" s="61" t="e">
        <f t="shared" si="254"/>
        <v>#NAME?</v>
      </c>
      <c r="AQ77" s="61" t="e">
        <f t="shared" si="254"/>
        <v>#NAME?</v>
      </c>
      <c r="AR77" s="61" t="e">
        <f t="shared" si="254"/>
        <v>#NAME?</v>
      </c>
      <c r="AS77" s="61" t="e">
        <f t="shared" si="254"/>
        <v>#NAME?</v>
      </c>
      <c r="AT77" s="61" t="e">
        <f t="shared" si="254"/>
        <v>#NAME?</v>
      </c>
      <c r="AU77" s="61" t="e">
        <f t="shared" si="254"/>
        <v>#NAME?</v>
      </c>
      <c r="AV77" s="61" t="e">
        <f t="shared" si="254"/>
        <v>#NAME?</v>
      </c>
      <c r="AW77" s="61" t="e">
        <f t="shared" si="254"/>
        <v>#NAME?</v>
      </c>
      <c r="AX77" s="61" t="e">
        <f t="shared" si="254"/>
        <v>#NAME?</v>
      </c>
      <c r="AY77" s="61" t="e">
        <f t="shared" si="254"/>
        <v>#NAME?</v>
      </c>
      <c r="AZ77" s="61" t="e">
        <f t="shared" si="254"/>
        <v>#NAME?</v>
      </c>
      <c r="BA77" s="61" t="e">
        <f t="shared" si="254"/>
        <v>#NAME?</v>
      </c>
      <c r="BB77" s="61" t="e">
        <f t="shared" si="57"/>
        <v>#NAME?</v>
      </c>
      <c r="BC77" s="61" t="e">
        <f t="shared" si="10"/>
        <v>#NAME?</v>
      </c>
      <c r="BD77" s="61" t="e">
        <f t="shared" si="11"/>
        <v>#NAME?</v>
      </c>
      <c r="BE77" s="61" t="e">
        <f>SUM(BE78:BE83)</f>
        <v>#NAME?</v>
      </c>
      <c r="BF77" s="61" t="e">
        <f>SUM(BF78:BF83)</f>
        <v>#NAME?</v>
      </c>
      <c r="BG77" s="61" t="e">
        <f>SUM(BG78:BG83)</f>
        <v>#NAME?</v>
      </c>
    </row>
    <row r="78" spans="1:59" ht="15.6" x14ac:dyDescent="0.3">
      <c r="A78" s="8" t="s">
        <v>174</v>
      </c>
      <c r="B78" s="11" t="s">
        <v>175</v>
      </c>
      <c r="C78" s="63" t="s">
        <v>176</v>
      </c>
      <c r="D78" s="64"/>
      <c r="E78" s="65"/>
      <c r="F78" s="66" t="e">
        <f t="shared" ref="F78:F83" si="255">X78+AP78</f>
        <v>#NAME?</v>
      </c>
      <c r="G78" s="66" t="e">
        <f t="shared" ref="G78:G83" si="256">Y78+AQ78</f>
        <v>#NAME?</v>
      </c>
      <c r="H78" s="66" t="e">
        <f t="shared" ref="H78:H83" si="257">I78+J78</f>
        <v>#NAME?</v>
      </c>
      <c r="I78" s="66" t="e">
        <f t="shared" ref="I78:I83" si="258">AA78+AS78</f>
        <v>#NAME?</v>
      </c>
      <c r="J78" s="66" t="e">
        <f t="shared" ref="J78:J83" si="259">AB78+AT78</f>
        <v>#NAME?</v>
      </c>
      <c r="K78" s="66" t="e">
        <f t="shared" ref="K78:K83" si="260">AC78+AU78</f>
        <v>#NAME?</v>
      </c>
      <c r="L78" s="66" t="e">
        <f t="shared" ref="L78:L83" si="261">AD78+AV78</f>
        <v>#NAME?</v>
      </c>
      <c r="M78" s="66" t="e">
        <f t="shared" ref="M78:M83" si="262">AE78+AW78</f>
        <v>#NAME?</v>
      </c>
      <c r="N78" s="66" t="e">
        <f t="shared" ref="N78:N83" si="263">O78+Q78</f>
        <v>#NAME?</v>
      </c>
      <c r="O78" s="66" t="e">
        <f t="shared" ref="O78:O83" si="264">AG78+AY78</f>
        <v>#NAME?</v>
      </c>
      <c r="P78" s="66" t="e">
        <f t="shared" ref="P78:P83" si="265">AH78+AZ78</f>
        <v>#NAME?</v>
      </c>
      <c r="Q78" s="66" t="e">
        <f t="shared" ref="Q78:Q83" si="266">AI78+BA78</f>
        <v>#NAME?</v>
      </c>
      <c r="R78" s="67" t="e">
        <f t="shared" si="46"/>
        <v>#NAME?</v>
      </c>
      <c r="S78" s="67" t="e">
        <f t="shared" si="4"/>
        <v>#NAME?</v>
      </c>
      <c r="T78" s="67" t="e">
        <f t="shared" si="5"/>
        <v>#NAME?</v>
      </c>
      <c r="U78" s="67" t="e">
        <f t="shared" ref="U78:U83" si="267">AM78+BE78</f>
        <v>#NAME?</v>
      </c>
      <c r="V78" s="67" t="e">
        <f t="shared" ref="V78:V83" si="268">(G78+K78+L78-O78-U78)</f>
        <v>#NAME?</v>
      </c>
      <c r="W78" s="67" t="e">
        <f t="shared" ref="W78:W83" si="269">(I78-O78)</f>
        <v>#NAME?</v>
      </c>
      <c r="X78" s="66" t="e">
        <f t="shared" ref="X78:X83" si="270">КОЛ4020/$G$1</f>
        <v>#NAME?</v>
      </c>
      <c r="Y78" s="66" t="e">
        <f t="shared" ref="Y78:Y83" si="271">КОЛ4005/$G$1</f>
        <v>#NAME?</v>
      </c>
      <c r="Z78" s="66" t="e">
        <f t="shared" ref="Z78:Z83" si="272">AA78+AB78</f>
        <v>#NAME?</v>
      </c>
      <c r="AA78" s="66" t="e">
        <f t="shared" ref="AA78:AA83" si="273">КОЛ4007/$G$1</f>
        <v>#NAME?</v>
      </c>
      <c r="AB78" s="66" t="e">
        <f t="shared" ref="AB78:AB83" si="274">КОЛ4008/$G$1</f>
        <v>#NAME?</v>
      </c>
      <c r="AC78" s="66" t="e">
        <f t="shared" ref="AC78:AC83" si="275">КОЛ4009/$G$1</f>
        <v>#NAME?</v>
      </c>
      <c r="AD78" s="66" t="e">
        <f t="shared" ref="AD78:AD83" si="276">КОЛ4010/$G$1</f>
        <v>#NAME?</v>
      </c>
      <c r="AE78" s="66" t="e">
        <f t="shared" ref="AE78:AE83" si="277">КОЛ4011/$G$1</f>
        <v>#NAME?</v>
      </c>
      <c r="AF78" s="66" t="e">
        <f t="shared" ref="AF78:AF83" si="278">AG78+AI78</f>
        <v>#NAME?</v>
      </c>
      <c r="AG78" s="66" t="e">
        <f t="shared" ref="AG78:AG83" si="279">КОЛ4013/$G$1</f>
        <v>#NAME?</v>
      </c>
      <c r="AH78" s="66" t="e">
        <f t="shared" ref="AH78:AH83" si="280">КОЛ4014/$G$1</f>
        <v>#NAME?</v>
      </c>
      <c r="AI78" s="66" t="e">
        <f t="shared" ref="AI78:AI83" si="281">КОЛ4015/$G$1</f>
        <v>#NAME?</v>
      </c>
      <c r="AJ78" s="67" t="e">
        <f t="shared" si="52"/>
        <v>#NAME?</v>
      </c>
      <c r="AK78" s="67" t="e">
        <f t="shared" si="7"/>
        <v>#NAME?</v>
      </c>
      <c r="AL78" s="67" t="e">
        <f t="shared" si="8"/>
        <v>#NAME?</v>
      </c>
      <c r="AM78" s="67" t="e">
        <f t="shared" ref="AM78:AM83" si="282">КОЛ4017/$G$1</f>
        <v>#NAME?</v>
      </c>
      <c r="AN78" s="67" t="e">
        <f t="shared" ref="AN78:AN83" si="283">(Y78+AC78+AD78-AG78-AM78)</f>
        <v>#NAME?</v>
      </c>
      <c r="AO78" s="67" t="e">
        <f t="shared" ref="AO78:AO83" si="284">(AA78-AG78)</f>
        <v>#NAME?</v>
      </c>
      <c r="AP78" s="66" t="e">
        <f t="shared" ref="AP78:AP83" si="285">КОЛ4120/$G$1</f>
        <v>#NAME?</v>
      </c>
      <c r="AQ78" s="66" t="e">
        <f t="shared" ref="AQ78:AQ83" si="286">КОЛ4105/$G$1</f>
        <v>#NAME?</v>
      </c>
      <c r="AR78" s="66" t="e">
        <f t="shared" ref="AR78:AR83" si="287">AS78+AT78</f>
        <v>#NAME?</v>
      </c>
      <c r="AS78" s="66" t="e">
        <f t="shared" ref="AS78:AS83" si="288">КОЛ4107/$G$1</f>
        <v>#NAME?</v>
      </c>
      <c r="AT78" s="66" t="e">
        <f t="shared" ref="AT78:AT83" si="289">КОЛ4108/$G$1</f>
        <v>#NAME?</v>
      </c>
      <c r="AU78" s="66" t="e">
        <f t="shared" ref="AU78:AU83" si="290">КОЛ4109/$G$1</f>
        <v>#NAME?</v>
      </c>
      <c r="AV78" s="66" t="e">
        <f t="shared" ref="AV78:AV83" si="291">КОЛ4110/$G$1</f>
        <v>#NAME?</v>
      </c>
      <c r="AW78" s="66" t="e">
        <f t="shared" ref="AW78:AW83" si="292">КОЛ4111/$G$1</f>
        <v>#NAME?</v>
      </c>
      <c r="AX78" s="66" t="e">
        <f t="shared" ref="AX78:AX83" si="293">AY78+BA78</f>
        <v>#NAME?</v>
      </c>
      <c r="AY78" s="66" t="e">
        <f t="shared" ref="AY78:AY83" si="294">КОЛ4113/$G$1</f>
        <v>#NAME?</v>
      </c>
      <c r="AZ78" s="66" t="e">
        <f t="shared" ref="AZ78:AZ83" si="295">КОЛ4114/$G$1</f>
        <v>#NAME?</v>
      </c>
      <c r="BA78" s="66" t="e">
        <f t="shared" ref="BA78:BA83" si="296">КОЛ4115/$G$1</f>
        <v>#NAME?</v>
      </c>
      <c r="BB78" s="67" t="e">
        <f t="shared" si="57"/>
        <v>#NAME?</v>
      </c>
      <c r="BC78" s="67" t="e">
        <f t="shared" si="10"/>
        <v>#NAME?</v>
      </c>
      <c r="BD78" s="67" t="e">
        <f t="shared" si="11"/>
        <v>#NAME?</v>
      </c>
      <c r="BE78" s="67" t="e">
        <f t="shared" ref="BE78:BE83" si="297">КОЛ4117/$G$1</f>
        <v>#NAME?</v>
      </c>
      <c r="BF78" s="67" t="e">
        <f t="shared" ref="BF78:BF83" si="298">(AQ78+AU78+AV78-AY78-BE78)</f>
        <v>#NAME?</v>
      </c>
      <c r="BG78" s="67" t="e">
        <f t="shared" ref="BG78:BG83" si="299">(AS78-AY78)</f>
        <v>#NAME?</v>
      </c>
    </row>
    <row r="79" spans="1:59" ht="15.6" x14ac:dyDescent="0.3">
      <c r="A79" s="8" t="s">
        <v>177</v>
      </c>
      <c r="B79" s="11" t="s">
        <v>178</v>
      </c>
      <c r="C79" s="63" t="s">
        <v>179</v>
      </c>
      <c r="D79" s="64"/>
      <c r="E79" s="65"/>
      <c r="F79" s="66" t="e">
        <f t="shared" si="255"/>
        <v>#NAME?</v>
      </c>
      <c r="G79" s="66" t="e">
        <f t="shared" si="256"/>
        <v>#NAME?</v>
      </c>
      <c r="H79" s="66" t="e">
        <f t="shared" si="257"/>
        <v>#NAME?</v>
      </c>
      <c r="I79" s="66" t="e">
        <f t="shared" si="258"/>
        <v>#NAME?</v>
      </c>
      <c r="J79" s="66" t="e">
        <f t="shared" si="259"/>
        <v>#NAME?</v>
      </c>
      <c r="K79" s="66" t="e">
        <f t="shared" si="260"/>
        <v>#NAME?</v>
      </c>
      <c r="L79" s="66" t="e">
        <f t="shared" si="261"/>
        <v>#NAME?</v>
      </c>
      <c r="M79" s="66" t="e">
        <f t="shared" si="262"/>
        <v>#NAME?</v>
      </c>
      <c r="N79" s="66" t="e">
        <f t="shared" si="263"/>
        <v>#NAME?</v>
      </c>
      <c r="O79" s="66" t="e">
        <f t="shared" si="264"/>
        <v>#NAME?</v>
      </c>
      <c r="P79" s="66" t="e">
        <f t="shared" si="265"/>
        <v>#NAME?</v>
      </c>
      <c r="Q79" s="66" t="e">
        <f t="shared" si="266"/>
        <v>#NAME?</v>
      </c>
      <c r="R79" s="67" t="e">
        <f t="shared" si="46"/>
        <v>#NAME?</v>
      </c>
      <c r="S79" s="67" t="e">
        <f t="shared" si="4"/>
        <v>#NAME?</v>
      </c>
      <c r="T79" s="67" t="e">
        <f t="shared" si="5"/>
        <v>#NAME?</v>
      </c>
      <c r="U79" s="67" t="e">
        <f t="shared" si="267"/>
        <v>#NAME?</v>
      </c>
      <c r="V79" s="67" t="e">
        <f t="shared" si="268"/>
        <v>#NAME?</v>
      </c>
      <c r="W79" s="67" t="e">
        <f t="shared" si="269"/>
        <v>#NAME?</v>
      </c>
      <c r="X79" s="66" t="e">
        <f t="shared" si="270"/>
        <v>#NAME?</v>
      </c>
      <c r="Y79" s="66" t="e">
        <f t="shared" si="271"/>
        <v>#NAME?</v>
      </c>
      <c r="Z79" s="66" t="e">
        <f t="shared" si="272"/>
        <v>#NAME?</v>
      </c>
      <c r="AA79" s="66" t="e">
        <f t="shared" si="273"/>
        <v>#NAME?</v>
      </c>
      <c r="AB79" s="66" t="e">
        <f t="shared" si="274"/>
        <v>#NAME?</v>
      </c>
      <c r="AC79" s="66" t="e">
        <f t="shared" si="275"/>
        <v>#NAME?</v>
      </c>
      <c r="AD79" s="66" t="e">
        <f t="shared" si="276"/>
        <v>#NAME?</v>
      </c>
      <c r="AE79" s="66" t="e">
        <f t="shared" si="277"/>
        <v>#NAME?</v>
      </c>
      <c r="AF79" s="66" t="e">
        <f t="shared" si="278"/>
        <v>#NAME?</v>
      </c>
      <c r="AG79" s="66" t="e">
        <f t="shared" si="279"/>
        <v>#NAME?</v>
      </c>
      <c r="AH79" s="66" t="e">
        <f t="shared" si="280"/>
        <v>#NAME?</v>
      </c>
      <c r="AI79" s="66" t="e">
        <f t="shared" si="281"/>
        <v>#NAME?</v>
      </c>
      <c r="AJ79" s="67" t="e">
        <f t="shared" si="52"/>
        <v>#NAME?</v>
      </c>
      <c r="AK79" s="67" t="e">
        <f t="shared" si="7"/>
        <v>#NAME?</v>
      </c>
      <c r="AL79" s="67" t="e">
        <f t="shared" si="8"/>
        <v>#NAME?</v>
      </c>
      <c r="AM79" s="67" t="e">
        <f t="shared" si="282"/>
        <v>#NAME?</v>
      </c>
      <c r="AN79" s="67" t="e">
        <f t="shared" si="283"/>
        <v>#NAME?</v>
      </c>
      <c r="AO79" s="67" t="e">
        <f t="shared" si="284"/>
        <v>#NAME?</v>
      </c>
      <c r="AP79" s="66" t="e">
        <f t="shared" si="285"/>
        <v>#NAME?</v>
      </c>
      <c r="AQ79" s="66" t="e">
        <f t="shared" si="286"/>
        <v>#NAME?</v>
      </c>
      <c r="AR79" s="66" t="e">
        <f t="shared" si="287"/>
        <v>#NAME?</v>
      </c>
      <c r="AS79" s="66" t="e">
        <f t="shared" si="288"/>
        <v>#NAME?</v>
      </c>
      <c r="AT79" s="66" t="e">
        <f t="shared" si="289"/>
        <v>#NAME?</v>
      </c>
      <c r="AU79" s="66" t="e">
        <f t="shared" si="290"/>
        <v>#NAME?</v>
      </c>
      <c r="AV79" s="66" t="e">
        <f t="shared" si="291"/>
        <v>#NAME?</v>
      </c>
      <c r="AW79" s="66" t="e">
        <f t="shared" si="292"/>
        <v>#NAME?</v>
      </c>
      <c r="AX79" s="66" t="e">
        <f t="shared" si="293"/>
        <v>#NAME?</v>
      </c>
      <c r="AY79" s="66" t="e">
        <f t="shared" si="294"/>
        <v>#NAME?</v>
      </c>
      <c r="AZ79" s="66" t="e">
        <f t="shared" si="295"/>
        <v>#NAME?</v>
      </c>
      <c r="BA79" s="66" t="e">
        <f t="shared" si="296"/>
        <v>#NAME?</v>
      </c>
      <c r="BB79" s="67" t="e">
        <f t="shared" si="57"/>
        <v>#NAME?</v>
      </c>
      <c r="BC79" s="67" t="e">
        <f t="shared" si="10"/>
        <v>#NAME?</v>
      </c>
      <c r="BD79" s="67" t="e">
        <f t="shared" si="11"/>
        <v>#NAME?</v>
      </c>
      <c r="BE79" s="67" t="e">
        <f t="shared" si="297"/>
        <v>#NAME?</v>
      </c>
      <c r="BF79" s="67" t="e">
        <f t="shared" si="298"/>
        <v>#NAME?</v>
      </c>
      <c r="BG79" s="67" t="e">
        <f t="shared" si="299"/>
        <v>#NAME?</v>
      </c>
    </row>
    <row r="80" spans="1:59" ht="15.6" x14ac:dyDescent="0.3">
      <c r="A80" s="8" t="s">
        <v>180</v>
      </c>
      <c r="B80" s="11" t="s">
        <v>181</v>
      </c>
      <c r="C80" s="63" t="s">
        <v>182</v>
      </c>
      <c r="D80" s="64"/>
      <c r="E80" s="65"/>
      <c r="F80" s="66" t="e">
        <f t="shared" si="255"/>
        <v>#NAME?</v>
      </c>
      <c r="G80" s="66" t="e">
        <f t="shared" si="256"/>
        <v>#NAME?</v>
      </c>
      <c r="H80" s="66" t="e">
        <f t="shared" si="257"/>
        <v>#NAME?</v>
      </c>
      <c r="I80" s="66" t="e">
        <f t="shared" si="258"/>
        <v>#NAME?</v>
      </c>
      <c r="J80" s="66" t="e">
        <f t="shared" si="259"/>
        <v>#NAME?</v>
      </c>
      <c r="K80" s="66" t="e">
        <f t="shared" si="260"/>
        <v>#NAME?</v>
      </c>
      <c r="L80" s="66" t="e">
        <f t="shared" si="261"/>
        <v>#NAME?</v>
      </c>
      <c r="M80" s="66" t="e">
        <f t="shared" si="262"/>
        <v>#NAME?</v>
      </c>
      <c r="N80" s="66" t="e">
        <f t="shared" si="263"/>
        <v>#NAME?</v>
      </c>
      <c r="O80" s="66" t="e">
        <f t="shared" si="264"/>
        <v>#NAME?</v>
      </c>
      <c r="P80" s="66" t="e">
        <f t="shared" si="265"/>
        <v>#NAME?</v>
      </c>
      <c r="Q80" s="66" t="e">
        <f t="shared" si="266"/>
        <v>#NAME?</v>
      </c>
      <c r="R80" s="67" t="e">
        <f t="shared" si="46"/>
        <v>#NAME?</v>
      </c>
      <c r="S80" s="67" t="e">
        <f t="shared" ref="S80:S106" si="300">IF(J80=0," ",Q80/J80*100)</f>
        <v>#NAME?</v>
      </c>
      <c r="T80" s="67" t="e">
        <f t="shared" ref="T80:T106" si="301">IF(N80=0,0,Q80/N80*100)</f>
        <v>#NAME?</v>
      </c>
      <c r="U80" s="67" t="e">
        <f t="shared" si="267"/>
        <v>#NAME?</v>
      </c>
      <c r="V80" s="67" t="e">
        <f t="shared" si="268"/>
        <v>#NAME?</v>
      </c>
      <c r="W80" s="67" t="e">
        <f t="shared" si="269"/>
        <v>#NAME?</v>
      </c>
      <c r="X80" s="66" t="e">
        <f t="shared" si="270"/>
        <v>#NAME?</v>
      </c>
      <c r="Y80" s="66" t="e">
        <f t="shared" si="271"/>
        <v>#NAME?</v>
      </c>
      <c r="Z80" s="66" t="e">
        <f t="shared" si="272"/>
        <v>#NAME?</v>
      </c>
      <c r="AA80" s="66" t="e">
        <f t="shared" si="273"/>
        <v>#NAME?</v>
      </c>
      <c r="AB80" s="66" t="e">
        <f t="shared" si="274"/>
        <v>#NAME?</v>
      </c>
      <c r="AC80" s="66" t="e">
        <f t="shared" si="275"/>
        <v>#NAME?</v>
      </c>
      <c r="AD80" s="66" t="e">
        <f t="shared" si="276"/>
        <v>#NAME?</v>
      </c>
      <c r="AE80" s="66" t="e">
        <f t="shared" si="277"/>
        <v>#NAME?</v>
      </c>
      <c r="AF80" s="66" t="e">
        <f t="shared" si="278"/>
        <v>#NAME?</v>
      </c>
      <c r="AG80" s="66" t="e">
        <f t="shared" si="279"/>
        <v>#NAME?</v>
      </c>
      <c r="AH80" s="66" t="e">
        <f t="shared" si="280"/>
        <v>#NAME?</v>
      </c>
      <c r="AI80" s="66" t="e">
        <f t="shared" si="281"/>
        <v>#NAME?</v>
      </c>
      <c r="AJ80" s="67" t="e">
        <f t="shared" si="52"/>
        <v>#NAME?</v>
      </c>
      <c r="AK80" s="67" t="e">
        <f t="shared" ref="AK80:AK106" si="302">IF(AB80=0," ",AI80/AB80*100)</f>
        <v>#NAME?</v>
      </c>
      <c r="AL80" s="67" t="e">
        <f t="shared" ref="AL80:AL106" si="303">IF(AF80=0,0,AI80/AF80*100)</f>
        <v>#NAME?</v>
      </c>
      <c r="AM80" s="67" t="e">
        <f t="shared" si="282"/>
        <v>#NAME?</v>
      </c>
      <c r="AN80" s="67" t="e">
        <f t="shared" si="283"/>
        <v>#NAME?</v>
      </c>
      <c r="AO80" s="67" t="e">
        <f t="shared" si="284"/>
        <v>#NAME?</v>
      </c>
      <c r="AP80" s="66" t="e">
        <f t="shared" si="285"/>
        <v>#NAME?</v>
      </c>
      <c r="AQ80" s="66" t="e">
        <f t="shared" si="286"/>
        <v>#NAME?</v>
      </c>
      <c r="AR80" s="66" t="e">
        <f t="shared" si="287"/>
        <v>#NAME?</v>
      </c>
      <c r="AS80" s="66" t="e">
        <f t="shared" si="288"/>
        <v>#NAME?</v>
      </c>
      <c r="AT80" s="66" t="e">
        <f t="shared" si="289"/>
        <v>#NAME?</v>
      </c>
      <c r="AU80" s="66" t="e">
        <f t="shared" si="290"/>
        <v>#NAME?</v>
      </c>
      <c r="AV80" s="66" t="e">
        <f t="shared" si="291"/>
        <v>#NAME?</v>
      </c>
      <c r="AW80" s="66" t="e">
        <f t="shared" si="292"/>
        <v>#NAME?</v>
      </c>
      <c r="AX80" s="66" t="e">
        <f t="shared" si="293"/>
        <v>#NAME?</v>
      </c>
      <c r="AY80" s="66" t="e">
        <f t="shared" si="294"/>
        <v>#NAME?</v>
      </c>
      <c r="AZ80" s="66" t="e">
        <f t="shared" si="295"/>
        <v>#NAME?</v>
      </c>
      <c r="BA80" s="66" t="e">
        <f t="shared" si="296"/>
        <v>#NAME?</v>
      </c>
      <c r="BB80" s="67" t="e">
        <f t="shared" si="57"/>
        <v>#NAME?</v>
      </c>
      <c r="BC80" s="67" t="e">
        <f t="shared" ref="BC80:BC106" si="304">IF(AT80=0," ",BA80/AT80*100)</f>
        <v>#NAME?</v>
      </c>
      <c r="BD80" s="67" t="e">
        <f t="shared" ref="BD80:BD106" si="305">IF(AX80=0,0,BA80/AX80*100)</f>
        <v>#NAME?</v>
      </c>
      <c r="BE80" s="67" t="e">
        <f t="shared" si="297"/>
        <v>#NAME?</v>
      </c>
      <c r="BF80" s="67" t="e">
        <f t="shared" si="298"/>
        <v>#NAME?</v>
      </c>
      <c r="BG80" s="67" t="e">
        <f t="shared" si="299"/>
        <v>#NAME?</v>
      </c>
    </row>
    <row r="81" spans="1:59" ht="27" x14ac:dyDescent="0.3">
      <c r="A81" s="8" t="s">
        <v>183</v>
      </c>
      <c r="B81" s="11" t="s">
        <v>184</v>
      </c>
      <c r="C81" s="75" t="s">
        <v>300</v>
      </c>
      <c r="D81" s="64"/>
      <c r="E81" s="65"/>
      <c r="F81" s="66" t="e">
        <f t="shared" si="255"/>
        <v>#NAME?</v>
      </c>
      <c r="G81" s="66" t="e">
        <f t="shared" si="256"/>
        <v>#NAME?</v>
      </c>
      <c r="H81" s="66" t="e">
        <f t="shared" si="257"/>
        <v>#NAME?</v>
      </c>
      <c r="I81" s="66" t="e">
        <f t="shared" si="258"/>
        <v>#NAME?</v>
      </c>
      <c r="J81" s="66" t="e">
        <f t="shared" si="259"/>
        <v>#NAME?</v>
      </c>
      <c r="K81" s="66" t="e">
        <f t="shared" si="260"/>
        <v>#NAME?</v>
      </c>
      <c r="L81" s="66" t="e">
        <f t="shared" si="261"/>
        <v>#NAME?</v>
      </c>
      <c r="M81" s="66" t="e">
        <f t="shared" si="262"/>
        <v>#NAME?</v>
      </c>
      <c r="N81" s="66" t="e">
        <f t="shared" si="263"/>
        <v>#NAME?</v>
      </c>
      <c r="O81" s="66" t="e">
        <f t="shared" si="264"/>
        <v>#NAME?</v>
      </c>
      <c r="P81" s="66" t="e">
        <f t="shared" si="265"/>
        <v>#NAME?</v>
      </c>
      <c r="Q81" s="66" t="e">
        <f t="shared" si="266"/>
        <v>#NAME?</v>
      </c>
      <c r="R81" s="67" t="e">
        <f t="shared" si="46"/>
        <v>#NAME?</v>
      </c>
      <c r="S81" s="67" t="e">
        <f t="shared" si="300"/>
        <v>#NAME?</v>
      </c>
      <c r="T81" s="67" t="e">
        <f t="shared" si="301"/>
        <v>#NAME?</v>
      </c>
      <c r="U81" s="67" t="e">
        <f t="shared" si="267"/>
        <v>#NAME?</v>
      </c>
      <c r="V81" s="67" t="e">
        <f t="shared" si="268"/>
        <v>#NAME?</v>
      </c>
      <c r="W81" s="67" t="e">
        <f t="shared" si="269"/>
        <v>#NAME?</v>
      </c>
      <c r="X81" s="66" t="e">
        <f t="shared" si="270"/>
        <v>#NAME?</v>
      </c>
      <c r="Y81" s="66" t="e">
        <f t="shared" si="271"/>
        <v>#NAME?</v>
      </c>
      <c r="Z81" s="66" t="e">
        <f t="shared" si="272"/>
        <v>#NAME?</v>
      </c>
      <c r="AA81" s="66" t="e">
        <f t="shared" si="273"/>
        <v>#NAME?</v>
      </c>
      <c r="AB81" s="66" t="e">
        <f t="shared" si="274"/>
        <v>#NAME?</v>
      </c>
      <c r="AC81" s="66" t="e">
        <f t="shared" si="275"/>
        <v>#NAME?</v>
      </c>
      <c r="AD81" s="66" t="e">
        <f t="shared" si="276"/>
        <v>#NAME?</v>
      </c>
      <c r="AE81" s="66" t="e">
        <f t="shared" si="277"/>
        <v>#NAME?</v>
      </c>
      <c r="AF81" s="66" t="e">
        <f t="shared" si="278"/>
        <v>#NAME?</v>
      </c>
      <c r="AG81" s="66" t="e">
        <f t="shared" si="279"/>
        <v>#NAME?</v>
      </c>
      <c r="AH81" s="66" t="e">
        <f t="shared" si="280"/>
        <v>#NAME?</v>
      </c>
      <c r="AI81" s="66" t="e">
        <f t="shared" si="281"/>
        <v>#NAME?</v>
      </c>
      <c r="AJ81" s="67" t="e">
        <f t="shared" si="52"/>
        <v>#NAME?</v>
      </c>
      <c r="AK81" s="67" t="e">
        <f t="shared" si="302"/>
        <v>#NAME?</v>
      </c>
      <c r="AL81" s="67" t="e">
        <f t="shared" si="303"/>
        <v>#NAME?</v>
      </c>
      <c r="AM81" s="67" t="e">
        <f t="shared" si="282"/>
        <v>#NAME?</v>
      </c>
      <c r="AN81" s="67" t="e">
        <f t="shared" si="283"/>
        <v>#NAME?</v>
      </c>
      <c r="AO81" s="67" t="e">
        <f t="shared" si="284"/>
        <v>#NAME?</v>
      </c>
      <c r="AP81" s="66" t="e">
        <f t="shared" si="285"/>
        <v>#NAME?</v>
      </c>
      <c r="AQ81" s="66" t="e">
        <f t="shared" si="286"/>
        <v>#NAME?</v>
      </c>
      <c r="AR81" s="66" t="e">
        <f t="shared" si="287"/>
        <v>#NAME?</v>
      </c>
      <c r="AS81" s="66" t="e">
        <f t="shared" si="288"/>
        <v>#NAME?</v>
      </c>
      <c r="AT81" s="66" t="e">
        <f t="shared" si="289"/>
        <v>#NAME?</v>
      </c>
      <c r="AU81" s="66" t="e">
        <f t="shared" si="290"/>
        <v>#NAME?</v>
      </c>
      <c r="AV81" s="66" t="e">
        <f t="shared" si="291"/>
        <v>#NAME?</v>
      </c>
      <c r="AW81" s="66" t="e">
        <f t="shared" si="292"/>
        <v>#NAME?</v>
      </c>
      <c r="AX81" s="66" t="e">
        <f t="shared" si="293"/>
        <v>#NAME?</v>
      </c>
      <c r="AY81" s="66" t="e">
        <f t="shared" si="294"/>
        <v>#NAME?</v>
      </c>
      <c r="AZ81" s="66" t="e">
        <f t="shared" si="295"/>
        <v>#NAME?</v>
      </c>
      <c r="BA81" s="66" t="e">
        <f t="shared" si="296"/>
        <v>#NAME?</v>
      </c>
      <c r="BB81" s="67" t="e">
        <f t="shared" si="57"/>
        <v>#NAME?</v>
      </c>
      <c r="BC81" s="67" t="e">
        <f t="shared" si="304"/>
        <v>#NAME?</v>
      </c>
      <c r="BD81" s="67" t="e">
        <f t="shared" si="305"/>
        <v>#NAME?</v>
      </c>
      <c r="BE81" s="67" t="e">
        <f t="shared" si="297"/>
        <v>#NAME?</v>
      </c>
      <c r="BF81" s="67" t="e">
        <f t="shared" si="298"/>
        <v>#NAME?</v>
      </c>
      <c r="BG81" s="67" t="e">
        <f t="shared" si="299"/>
        <v>#NAME?</v>
      </c>
    </row>
    <row r="82" spans="1:59" ht="15.6" x14ac:dyDescent="0.3">
      <c r="A82" s="8" t="s">
        <v>185</v>
      </c>
      <c r="B82" s="11" t="s">
        <v>186</v>
      </c>
      <c r="C82" s="75" t="s">
        <v>301</v>
      </c>
      <c r="D82" s="64"/>
      <c r="E82" s="65"/>
      <c r="F82" s="66" t="e">
        <f t="shared" si="255"/>
        <v>#NAME?</v>
      </c>
      <c r="G82" s="66" t="e">
        <f t="shared" si="256"/>
        <v>#NAME?</v>
      </c>
      <c r="H82" s="66" t="e">
        <f t="shared" si="257"/>
        <v>#NAME?</v>
      </c>
      <c r="I82" s="66" t="e">
        <f t="shared" si="258"/>
        <v>#NAME?</v>
      </c>
      <c r="J82" s="66" t="e">
        <f t="shared" si="259"/>
        <v>#NAME?</v>
      </c>
      <c r="K82" s="66" t="e">
        <f t="shared" si="260"/>
        <v>#NAME?</v>
      </c>
      <c r="L82" s="66" t="e">
        <f t="shared" si="261"/>
        <v>#NAME?</v>
      </c>
      <c r="M82" s="66" t="e">
        <f t="shared" si="262"/>
        <v>#NAME?</v>
      </c>
      <c r="N82" s="66" t="e">
        <f t="shared" si="263"/>
        <v>#NAME?</v>
      </c>
      <c r="O82" s="66" t="e">
        <f t="shared" si="264"/>
        <v>#NAME?</v>
      </c>
      <c r="P82" s="66" t="e">
        <f t="shared" si="265"/>
        <v>#NAME?</v>
      </c>
      <c r="Q82" s="66" t="e">
        <f t="shared" si="266"/>
        <v>#NAME?</v>
      </c>
      <c r="R82" s="67" t="e">
        <f t="shared" ref="R82:R106" si="306">IF(F82+G82=0," ",O82/(F82+G82+M82)*100)</f>
        <v>#NAME?</v>
      </c>
      <c r="S82" s="67" t="e">
        <f t="shared" si="300"/>
        <v>#NAME?</v>
      </c>
      <c r="T82" s="67" t="e">
        <f t="shared" si="301"/>
        <v>#NAME?</v>
      </c>
      <c r="U82" s="67" t="e">
        <f t="shared" si="267"/>
        <v>#NAME?</v>
      </c>
      <c r="V82" s="67" t="e">
        <f t="shared" si="268"/>
        <v>#NAME?</v>
      </c>
      <c r="W82" s="67" t="e">
        <f t="shared" si="269"/>
        <v>#NAME?</v>
      </c>
      <c r="X82" s="66" t="e">
        <f t="shared" si="270"/>
        <v>#NAME?</v>
      </c>
      <c r="Y82" s="66" t="e">
        <f t="shared" si="271"/>
        <v>#NAME?</v>
      </c>
      <c r="Z82" s="66" t="e">
        <f t="shared" si="272"/>
        <v>#NAME?</v>
      </c>
      <c r="AA82" s="66" t="e">
        <f t="shared" si="273"/>
        <v>#NAME?</v>
      </c>
      <c r="AB82" s="66" t="e">
        <f t="shared" si="274"/>
        <v>#NAME?</v>
      </c>
      <c r="AC82" s="66" t="e">
        <f t="shared" si="275"/>
        <v>#NAME?</v>
      </c>
      <c r="AD82" s="66" t="e">
        <f t="shared" si="276"/>
        <v>#NAME?</v>
      </c>
      <c r="AE82" s="66" t="e">
        <f t="shared" si="277"/>
        <v>#NAME?</v>
      </c>
      <c r="AF82" s="66" t="e">
        <f t="shared" si="278"/>
        <v>#NAME?</v>
      </c>
      <c r="AG82" s="66" t="e">
        <f t="shared" si="279"/>
        <v>#NAME?</v>
      </c>
      <c r="AH82" s="66" t="e">
        <f t="shared" si="280"/>
        <v>#NAME?</v>
      </c>
      <c r="AI82" s="66" t="e">
        <f t="shared" si="281"/>
        <v>#NAME?</v>
      </c>
      <c r="AJ82" s="67" t="e">
        <f t="shared" ref="AJ82:AJ106" si="307">IF(X82+Y82=0," ",AG82/(X82+Y82+AE82)*100)</f>
        <v>#NAME?</v>
      </c>
      <c r="AK82" s="67" t="e">
        <f t="shared" si="302"/>
        <v>#NAME?</v>
      </c>
      <c r="AL82" s="67" t="e">
        <f t="shared" si="303"/>
        <v>#NAME?</v>
      </c>
      <c r="AM82" s="67" t="e">
        <f t="shared" si="282"/>
        <v>#NAME?</v>
      </c>
      <c r="AN82" s="67" t="e">
        <f t="shared" si="283"/>
        <v>#NAME?</v>
      </c>
      <c r="AO82" s="67" t="e">
        <f t="shared" si="284"/>
        <v>#NAME?</v>
      </c>
      <c r="AP82" s="66" t="e">
        <f t="shared" si="285"/>
        <v>#NAME?</v>
      </c>
      <c r="AQ82" s="66" t="e">
        <f t="shared" si="286"/>
        <v>#NAME?</v>
      </c>
      <c r="AR82" s="66" t="e">
        <f t="shared" si="287"/>
        <v>#NAME?</v>
      </c>
      <c r="AS82" s="66" t="e">
        <f t="shared" si="288"/>
        <v>#NAME?</v>
      </c>
      <c r="AT82" s="66" t="e">
        <f t="shared" si="289"/>
        <v>#NAME?</v>
      </c>
      <c r="AU82" s="66" t="e">
        <f t="shared" si="290"/>
        <v>#NAME?</v>
      </c>
      <c r="AV82" s="66" t="e">
        <f t="shared" si="291"/>
        <v>#NAME?</v>
      </c>
      <c r="AW82" s="66" t="e">
        <f t="shared" si="292"/>
        <v>#NAME?</v>
      </c>
      <c r="AX82" s="66" t="e">
        <f t="shared" si="293"/>
        <v>#NAME?</v>
      </c>
      <c r="AY82" s="66" t="e">
        <f t="shared" si="294"/>
        <v>#NAME?</v>
      </c>
      <c r="AZ82" s="66" t="e">
        <f t="shared" si="295"/>
        <v>#NAME?</v>
      </c>
      <c r="BA82" s="66" t="e">
        <f t="shared" si="296"/>
        <v>#NAME?</v>
      </c>
      <c r="BB82" s="67" t="e">
        <f t="shared" ref="BB82:BB106" si="308">IF(AP82+AQ82=0," ",AY82/(AP82+AQ82+AW82)*100)</f>
        <v>#NAME?</v>
      </c>
      <c r="BC82" s="67" t="e">
        <f t="shared" si="304"/>
        <v>#NAME?</v>
      </c>
      <c r="BD82" s="67" t="e">
        <f t="shared" si="305"/>
        <v>#NAME?</v>
      </c>
      <c r="BE82" s="67" t="e">
        <f t="shared" si="297"/>
        <v>#NAME?</v>
      </c>
      <c r="BF82" s="67" t="e">
        <f t="shared" si="298"/>
        <v>#NAME?</v>
      </c>
      <c r="BG82" s="67" t="e">
        <f t="shared" si="299"/>
        <v>#NAME?</v>
      </c>
    </row>
    <row r="83" spans="1:59" ht="15.6" x14ac:dyDescent="0.3">
      <c r="A83" s="8" t="s">
        <v>187</v>
      </c>
      <c r="B83" s="74" t="s">
        <v>188</v>
      </c>
      <c r="C83" s="63" t="s">
        <v>189</v>
      </c>
      <c r="D83" s="64"/>
      <c r="E83" s="65"/>
      <c r="F83" s="66" t="e">
        <f t="shared" si="255"/>
        <v>#NAME?</v>
      </c>
      <c r="G83" s="66" t="e">
        <f t="shared" si="256"/>
        <v>#NAME?</v>
      </c>
      <c r="H83" s="66" t="e">
        <f t="shared" si="257"/>
        <v>#NAME?</v>
      </c>
      <c r="I83" s="66" t="e">
        <f t="shared" si="258"/>
        <v>#NAME?</v>
      </c>
      <c r="J83" s="66" t="e">
        <f t="shared" si="259"/>
        <v>#NAME?</v>
      </c>
      <c r="K83" s="66" t="e">
        <f t="shared" si="260"/>
        <v>#NAME?</v>
      </c>
      <c r="L83" s="66" t="e">
        <f t="shared" si="261"/>
        <v>#NAME?</v>
      </c>
      <c r="M83" s="66" t="e">
        <f t="shared" si="262"/>
        <v>#NAME?</v>
      </c>
      <c r="N83" s="66" t="e">
        <f t="shared" si="263"/>
        <v>#NAME?</v>
      </c>
      <c r="O83" s="66" t="e">
        <f t="shared" si="264"/>
        <v>#NAME?</v>
      </c>
      <c r="P83" s="66" t="e">
        <f t="shared" si="265"/>
        <v>#NAME?</v>
      </c>
      <c r="Q83" s="66" t="e">
        <f t="shared" si="266"/>
        <v>#NAME?</v>
      </c>
      <c r="R83" s="67" t="e">
        <f t="shared" si="306"/>
        <v>#NAME?</v>
      </c>
      <c r="S83" s="67" t="e">
        <f t="shared" si="300"/>
        <v>#NAME?</v>
      </c>
      <c r="T83" s="67" t="e">
        <f t="shared" si="301"/>
        <v>#NAME?</v>
      </c>
      <c r="U83" s="67" t="e">
        <f t="shared" si="267"/>
        <v>#NAME?</v>
      </c>
      <c r="V83" s="67" t="e">
        <f t="shared" si="268"/>
        <v>#NAME?</v>
      </c>
      <c r="W83" s="67" t="e">
        <f t="shared" si="269"/>
        <v>#NAME?</v>
      </c>
      <c r="X83" s="66" t="e">
        <f t="shared" si="270"/>
        <v>#NAME?</v>
      </c>
      <c r="Y83" s="66" t="e">
        <f t="shared" si="271"/>
        <v>#NAME?</v>
      </c>
      <c r="Z83" s="66" t="e">
        <f t="shared" si="272"/>
        <v>#NAME?</v>
      </c>
      <c r="AA83" s="66" t="e">
        <f t="shared" si="273"/>
        <v>#NAME?</v>
      </c>
      <c r="AB83" s="66" t="e">
        <f t="shared" si="274"/>
        <v>#NAME?</v>
      </c>
      <c r="AC83" s="66" t="e">
        <f t="shared" si="275"/>
        <v>#NAME?</v>
      </c>
      <c r="AD83" s="66" t="e">
        <f t="shared" si="276"/>
        <v>#NAME?</v>
      </c>
      <c r="AE83" s="66" t="e">
        <f t="shared" si="277"/>
        <v>#NAME?</v>
      </c>
      <c r="AF83" s="66" t="e">
        <f t="shared" si="278"/>
        <v>#NAME?</v>
      </c>
      <c r="AG83" s="66" t="e">
        <f t="shared" si="279"/>
        <v>#NAME?</v>
      </c>
      <c r="AH83" s="66" t="e">
        <f t="shared" si="280"/>
        <v>#NAME?</v>
      </c>
      <c r="AI83" s="66" t="e">
        <f t="shared" si="281"/>
        <v>#NAME?</v>
      </c>
      <c r="AJ83" s="67" t="e">
        <f t="shared" si="307"/>
        <v>#NAME?</v>
      </c>
      <c r="AK83" s="67" t="e">
        <f t="shared" si="302"/>
        <v>#NAME?</v>
      </c>
      <c r="AL83" s="67" t="e">
        <f t="shared" si="303"/>
        <v>#NAME?</v>
      </c>
      <c r="AM83" s="67" t="e">
        <f t="shared" si="282"/>
        <v>#NAME?</v>
      </c>
      <c r="AN83" s="67" t="e">
        <f t="shared" si="283"/>
        <v>#NAME?</v>
      </c>
      <c r="AO83" s="67" t="e">
        <f t="shared" si="284"/>
        <v>#NAME?</v>
      </c>
      <c r="AP83" s="66" t="e">
        <f t="shared" si="285"/>
        <v>#NAME?</v>
      </c>
      <c r="AQ83" s="66" t="e">
        <f t="shared" si="286"/>
        <v>#NAME?</v>
      </c>
      <c r="AR83" s="66" t="e">
        <f t="shared" si="287"/>
        <v>#NAME?</v>
      </c>
      <c r="AS83" s="66" t="e">
        <f t="shared" si="288"/>
        <v>#NAME?</v>
      </c>
      <c r="AT83" s="66" t="e">
        <f t="shared" si="289"/>
        <v>#NAME?</v>
      </c>
      <c r="AU83" s="66" t="e">
        <f t="shared" si="290"/>
        <v>#NAME?</v>
      </c>
      <c r="AV83" s="66" t="e">
        <f t="shared" si="291"/>
        <v>#NAME?</v>
      </c>
      <c r="AW83" s="66" t="e">
        <f t="shared" si="292"/>
        <v>#NAME?</v>
      </c>
      <c r="AX83" s="66" t="e">
        <f t="shared" si="293"/>
        <v>#NAME?</v>
      </c>
      <c r="AY83" s="66" t="e">
        <f t="shared" si="294"/>
        <v>#NAME?</v>
      </c>
      <c r="AZ83" s="66" t="e">
        <f t="shared" si="295"/>
        <v>#NAME?</v>
      </c>
      <c r="BA83" s="66" t="e">
        <f t="shared" si="296"/>
        <v>#NAME?</v>
      </c>
      <c r="BB83" s="67" t="e">
        <f t="shared" si="308"/>
        <v>#NAME?</v>
      </c>
      <c r="BC83" s="67" t="e">
        <f t="shared" si="304"/>
        <v>#NAME?</v>
      </c>
      <c r="BD83" s="67" t="e">
        <f t="shared" si="305"/>
        <v>#NAME?</v>
      </c>
      <c r="BE83" s="67" t="e">
        <f t="shared" si="297"/>
        <v>#NAME?</v>
      </c>
      <c r="BF83" s="67" t="e">
        <f t="shared" si="298"/>
        <v>#NAME?</v>
      </c>
      <c r="BG83" s="67" t="e">
        <f t="shared" si="299"/>
        <v>#NAME?</v>
      </c>
    </row>
    <row r="84" spans="1:59" s="62" customFormat="1" ht="15.6" x14ac:dyDescent="0.3">
      <c r="A84" s="56" t="s">
        <v>190</v>
      </c>
      <c r="B84" s="57">
        <v>70</v>
      </c>
      <c r="C84" s="58" t="s">
        <v>192</v>
      </c>
      <c r="D84" s="59"/>
      <c r="E84" s="60"/>
      <c r="F84" s="61" t="e">
        <f>SUM(F85:F96)</f>
        <v>#NAME?</v>
      </c>
      <c r="G84" s="61" t="e">
        <f>SUM(G85:G96)</f>
        <v>#NAME?</v>
      </c>
      <c r="H84" s="61" t="e">
        <f t="shared" ref="H84:Q84" si="309">SUM(H85:H96)</f>
        <v>#NAME?</v>
      </c>
      <c r="I84" s="61" t="e">
        <f t="shared" si="309"/>
        <v>#NAME?</v>
      </c>
      <c r="J84" s="61" t="e">
        <f t="shared" si="309"/>
        <v>#NAME?</v>
      </c>
      <c r="K84" s="61" t="e">
        <f t="shared" si="309"/>
        <v>#NAME?</v>
      </c>
      <c r="L84" s="61" t="e">
        <f t="shared" si="309"/>
        <v>#NAME?</v>
      </c>
      <c r="M84" s="61" t="e">
        <f>SUM(M85:M96)</f>
        <v>#NAME?</v>
      </c>
      <c r="N84" s="61" t="e">
        <f t="shared" si="309"/>
        <v>#NAME?</v>
      </c>
      <c r="O84" s="61" t="e">
        <f t="shared" si="309"/>
        <v>#NAME?</v>
      </c>
      <c r="P84" s="61" t="e">
        <f t="shared" si="309"/>
        <v>#NAME?</v>
      </c>
      <c r="Q84" s="61" t="e">
        <f t="shared" si="309"/>
        <v>#NAME?</v>
      </c>
      <c r="R84" s="61" t="e">
        <f t="shared" si="306"/>
        <v>#NAME?</v>
      </c>
      <c r="S84" s="61" t="e">
        <f t="shared" si="300"/>
        <v>#NAME?</v>
      </c>
      <c r="T84" s="61" t="e">
        <f t="shared" si="301"/>
        <v>#NAME?</v>
      </c>
      <c r="U84" s="61" t="e">
        <f t="shared" ref="U84:AI84" si="310">SUM(U85:U96)</f>
        <v>#NAME?</v>
      </c>
      <c r="V84" s="61" t="e">
        <f t="shared" si="310"/>
        <v>#NAME?</v>
      </c>
      <c r="W84" s="61" t="e">
        <f t="shared" si="310"/>
        <v>#NAME?</v>
      </c>
      <c r="X84" s="61" t="e">
        <f t="shared" si="310"/>
        <v>#NAME?</v>
      </c>
      <c r="Y84" s="61" t="e">
        <f t="shared" si="310"/>
        <v>#NAME?</v>
      </c>
      <c r="Z84" s="61" t="e">
        <f t="shared" si="310"/>
        <v>#NAME?</v>
      </c>
      <c r="AA84" s="61" t="e">
        <f t="shared" si="310"/>
        <v>#NAME?</v>
      </c>
      <c r="AB84" s="61" t="e">
        <f t="shared" si="310"/>
        <v>#NAME?</v>
      </c>
      <c r="AC84" s="61" t="e">
        <f t="shared" si="310"/>
        <v>#NAME?</v>
      </c>
      <c r="AD84" s="61" t="e">
        <f t="shared" si="310"/>
        <v>#NAME?</v>
      </c>
      <c r="AE84" s="61" t="e">
        <f t="shared" si="310"/>
        <v>#NAME?</v>
      </c>
      <c r="AF84" s="61" t="e">
        <f t="shared" si="310"/>
        <v>#NAME?</v>
      </c>
      <c r="AG84" s="61" t="e">
        <f t="shared" si="310"/>
        <v>#NAME?</v>
      </c>
      <c r="AH84" s="61" t="e">
        <f t="shared" si="310"/>
        <v>#NAME?</v>
      </c>
      <c r="AI84" s="61" t="e">
        <f t="shared" si="310"/>
        <v>#NAME?</v>
      </c>
      <c r="AJ84" s="61" t="e">
        <f t="shared" si="307"/>
        <v>#NAME?</v>
      </c>
      <c r="AK84" s="61" t="e">
        <f t="shared" si="302"/>
        <v>#NAME?</v>
      </c>
      <c r="AL84" s="61" t="e">
        <f t="shared" si="303"/>
        <v>#NAME?</v>
      </c>
      <c r="AM84" s="61" t="e">
        <f t="shared" ref="AM84:BA84" si="311">SUM(AM85:AM96)</f>
        <v>#NAME?</v>
      </c>
      <c r="AN84" s="61" t="e">
        <f t="shared" si="311"/>
        <v>#NAME?</v>
      </c>
      <c r="AO84" s="61" t="e">
        <f t="shared" si="311"/>
        <v>#NAME?</v>
      </c>
      <c r="AP84" s="61" t="e">
        <f t="shared" si="311"/>
        <v>#NAME?</v>
      </c>
      <c r="AQ84" s="61" t="e">
        <f t="shared" si="311"/>
        <v>#NAME?</v>
      </c>
      <c r="AR84" s="61" t="e">
        <f t="shared" si="311"/>
        <v>#NAME?</v>
      </c>
      <c r="AS84" s="61" t="e">
        <f t="shared" si="311"/>
        <v>#NAME?</v>
      </c>
      <c r="AT84" s="61" t="e">
        <f t="shared" si="311"/>
        <v>#NAME?</v>
      </c>
      <c r="AU84" s="61" t="e">
        <f t="shared" si="311"/>
        <v>#NAME?</v>
      </c>
      <c r="AV84" s="61" t="e">
        <f t="shared" si="311"/>
        <v>#NAME?</v>
      </c>
      <c r="AW84" s="61" t="e">
        <f t="shared" si="311"/>
        <v>#NAME?</v>
      </c>
      <c r="AX84" s="61" t="e">
        <f t="shared" si="311"/>
        <v>#NAME?</v>
      </c>
      <c r="AY84" s="61" t="e">
        <f t="shared" si="311"/>
        <v>#NAME?</v>
      </c>
      <c r="AZ84" s="61" t="e">
        <f t="shared" si="311"/>
        <v>#NAME?</v>
      </c>
      <c r="BA84" s="61" t="e">
        <f t="shared" si="311"/>
        <v>#NAME?</v>
      </c>
      <c r="BB84" s="61" t="e">
        <f t="shared" si="308"/>
        <v>#NAME?</v>
      </c>
      <c r="BC84" s="61" t="e">
        <f t="shared" si="304"/>
        <v>#NAME?</v>
      </c>
      <c r="BD84" s="61" t="e">
        <f t="shared" si="305"/>
        <v>#NAME?</v>
      </c>
      <c r="BE84" s="61" t="e">
        <f>SUM(BE85:BE96)</f>
        <v>#NAME?</v>
      </c>
      <c r="BF84" s="61" t="e">
        <f>SUM(BF85:BF96)</f>
        <v>#NAME?</v>
      </c>
      <c r="BG84" s="61" t="e">
        <f>SUM(BG85:BG96)</f>
        <v>#NAME?</v>
      </c>
    </row>
    <row r="85" spans="1:59" ht="15.6" x14ac:dyDescent="0.3">
      <c r="A85" s="8" t="s">
        <v>193</v>
      </c>
      <c r="B85" s="11" t="s">
        <v>194</v>
      </c>
      <c r="C85" s="63" t="s">
        <v>195</v>
      </c>
      <c r="D85" s="64"/>
      <c r="E85" s="65"/>
      <c r="F85" s="66" t="e">
        <f t="shared" ref="F85:F96" si="312">X85+AP85</f>
        <v>#NAME?</v>
      </c>
      <c r="G85" s="66" t="e">
        <f t="shared" ref="G85:G96" si="313">Y85+AQ85</f>
        <v>#NAME?</v>
      </c>
      <c r="H85" s="66" t="e">
        <f t="shared" ref="H85:H96" si="314">I85+J85</f>
        <v>#NAME?</v>
      </c>
      <c r="I85" s="66" t="e">
        <f t="shared" ref="I85:I96" si="315">AA85+AS85</f>
        <v>#NAME?</v>
      </c>
      <c r="J85" s="66" t="e">
        <f t="shared" ref="J85:J96" si="316">AB85+AT85</f>
        <v>#NAME?</v>
      </c>
      <c r="K85" s="66" t="e">
        <f t="shared" ref="K85:K96" si="317">AC85+AU85</f>
        <v>#NAME?</v>
      </c>
      <c r="L85" s="66" t="e">
        <f t="shared" ref="L85:L96" si="318">AD85+AV85</f>
        <v>#NAME?</v>
      </c>
      <c r="M85" s="66" t="e">
        <f t="shared" ref="M85:M96" si="319">AE85+AW85</f>
        <v>#NAME?</v>
      </c>
      <c r="N85" s="66" t="e">
        <f t="shared" ref="N85:N96" si="320">O85+Q85</f>
        <v>#NAME?</v>
      </c>
      <c r="O85" s="66" t="e">
        <f t="shared" ref="O85:O96" si="321">AG85+AY85</f>
        <v>#NAME?</v>
      </c>
      <c r="P85" s="66" t="e">
        <f t="shared" ref="P85:P96" si="322">AH85+AZ85</f>
        <v>#NAME?</v>
      </c>
      <c r="Q85" s="66" t="e">
        <f t="shared" ref="Q85:Q96" si="323">AI85+BA85</f>
        <v>#NAME?</v>
      </c>
      <c r="R85" s="67" t="e">
        <f t="shared" si="306"/>
        <v>#NAME?</v>
      </c>
      <c r="S85" s="67" t="e">
        <f t="shared" si="300"/>
        <v>#NAME?</v>
      </c>
      <c r="T85" s="67" t="e">
        <f t="shared" si="301"/>
        <v>#NAME?</v>
      </c>
      <c r="U85" s="67" t="e">
        <f t="shared" ref="U85:U96" si="324">AM85+BE85</f>
        <v>#NAME?</v>
      </c>
      <c r="V85" s="67" t="e">
        <f t="shared" ref="V85:V96" si="325">(G85+K85+L85-O85-U85)</f>
        <v>#NAME?</v>
      </c>
      <c r="W85" s="67" t="e">
        <f t="shared" ref="W85:W96" si="326">(I85-O85)</f>
        <v>#NAME?</v>
      </c>
      <c r="X85" s="66" t="e">
        <f t="shared" ref="X85:X96" si="327">КОЛ4020/$G$1</f>
        <v>#NAME?</v>
      </c>
      <c r="Y85" s="66" t="e">
        <f t="shared" ref="Y85:Y96" si="328">КОЛ4005/$G$1</f>
        <v>#NAME?</v>
      </c>
      <c r="Z85" s="66" t="e">
        <f t="shared" ref="Z85:Z96" si="329">AA85+AB85</f>
        <v>#NAME?</v>
      </c>
      <c r="AA85" s="66" t="e">
        <f t="shared" ref="AA85:AA96" si="330">КОЛ4007/$G$1</f>
        <v>#NAME?</v>
      </c>
      <c r="AB85" s="66" t="e">
        <f t="shared" ref="AB85:AB96" si="331">КОЛ4008/$G$1</f>
        <v>#NAME?</v>
      </c>
      <c r="AC85" s="66" t="e">
        <f t="shared" ref="AC85:AC96" si="332">КОЛ4009/$G$1</f>
        <v>#NAME?</v>
      </c>
      <c r="AD85" s="66" t="e">
        <f t="shared" ref="AD85:AD96" si="333">КОЛ4010/$G$1</f>
        <v>#NAME?</v>
      </c>
      <c r="AE85" s="66" t="e">
        <f t="shared" ref="AE85:AE96" si="334">КОЛ4011/$G$1</f>
        <v>#NAME?</v>
      </c>
      <c r="AF85" s="66" t="e">
        <f t="shared" ref="AF85:AF96" si="335">AG85+AI85</f>
        <v>#NAME?</v>
      </c>
      <c r="AG85" s="66" t="e">
        <f t="shared" ref="AG85:AG96" si="336">КОЛ4013/$G$1</f>
        <v>#NAME?</v>
      </c>
      <c r="AH85" s="66" t="e">
        <f t="shared" ref="AH85:AH96" si="337">КОЛ4014/$G$1</f>
        <v>#NAME?</v>
      </c>
      <c r="AI85" s="66" t="e">
        <f t="shared" ref="AI85:AI96" si="338">КОЛ4015/$G$1</f>
        <v>#NAME?</v>
      </c>
      <c r="AJ85" s="67" t="e">
        <f t="shared" si="307"/>
        <v>#NAME?</v>
      </c>
      <c r="AK85" s="67" t="e">
        <f t="shared" si="302"/>
        <v>#NAME?</v>
      </c>
      <c r="AL85" s="67" t="e">
        <f t="shared" si="303"/>
        <v>#NAME?</v>
      </c>
      <c r="AM85" s="67" t="e">
        <f t="shared" ref="AM85:AM96" si="339">КОЛ4017/$G$1</f>
        <v>#NAME?</v>
      </c>
      <c r="AN85" s="67" t="e">
        <f t="shared" ref="AN85:AN96" si="340">(Y85+AC85+AD85-AG85-AM85)</f>
        <v>#NAME?</v>
      </c>
      <c r="AO85" s="67" t="e">
        <f t="shared" ref="AO85:AO96" si="341">(AA85-AG85)</f>
        <v>#NAME?</v>
      </c>
      <c r="AP85" s="66" t="e">
        <f t="shared" ref="AP85:AP96" si="342">КОЛ4120/$G$1</f>
        <v>#NAME?</v>
      </c>
      <c r="AQ85" s="66" t="e">
        <f t="shared" ref="AQ85:AQ96" si="343">КОЛ4105/$G$1</f>
        <v>#NAME?</v>
      </c>
      <c r="AR85" s="66" t="e">
        <f t="shared" ref="AR85:AR96" si="344">AS85+AT85</f>
        <v>#NAME?</v>
      </c>
      <c r="AS85" s="66" t="e">
        <f t="shared" ref="AS85:AS96" si="345">КОЛ4107/$G$1</f>
        <v>#NAME?</v>
      </c>
      <c r="AT85" s="66" t="e">
        <f t="shared" ref="AT85:AT96" si="346">КОЛ4108/$G$1</f>
        <v>#NAME?</v>
      </c>
      <c r="AU85" s="66" t="e">
        <f t="shared" ref="AU85:AU96" si="347">КОЛ4109/$G$1</f>
        <v>#NAME?</v>
      </c>
      <c r="AV85" s="66" t="e">
        <f t="shared" ref="AV85:AV96" si="348">КОЛ4110/$G$1</f>
        <v>#NAME?</v>
      </c>
      <c r="AW85" s="66" t="e">
        <f t="shared" ref="AW85:AW96" si="349">КОЛ4111/$G$1</f>
        <v>#NAME?</v>
      </c>
      <c r="AX85" s="66" t="e">
        <f t="shared" ref="AX85:AX96" si="350">AY85+BA85</f>
        <v>#NAME?</v>
      </c>
      <c r="AY85" s="66" t="e">
        <f t="shared" ref="AY85:AY96" si="351">КОЛ4113/$G$1</f>
        <v>#NAME?</v>
      </c>
      <c r="AZ85" s="66" t="e">
        <f t="shared" ref="AZ85:AZ96" si="352">КОЛ4114/$G$1</f>
        <v>#NAME?</v>
      </c>
      <c r="BA85" s="66" t="e">
        <f t="shared" ref="BA85:BA96" si="353">КОЛ4115/$G$1</f>
        <v>#NAME?</v>
      </c>
      <c r="BB85" s="67" t="e">
        <f t="shared" si="308"/>
        <v>#NAME?</v>
      </c>
      <c r="BC85" s="67" t="e">
        <f t="shared" si="304"/>
        <v>#NAME?</v>
      </c>
      <c r="BD85" s="67" t="e">
        <f t="shared" si="305"/>
        <v>#NAME?</v>
      </c>
      <c r="BE85" s="67" t="e">
        <f t="shared" ref="BE85:BE96" si="354">КОЛ4117/$G$1</f>
        <v>#NAME?</v>
      </c>
      <c r="BF85" s="67" t="e">
        <f t="shared" ref="BF85:BF96" si="355">(AQ85+AU85+AV85-AY85-BE85)</f>
        <v>#NAME?</v>
      </c>
      <c r="BG85" s="67" t="e">
        <f t="shared" ref="BG85:BG96" si="356">(AS85-AY85)</f>
        <v>#NAME?</v>
      </c>
    </row>
    <row r="86" spans="1:59" ht="15.6" x14ac:dyDescent="0.3">
      <c r="A86" s="8" t="s">
        <v>196</v>
      </c>
      <c r="B86" s="11" t="s">
        <v>197</v>
      </c>
      <c r="C86" s="63" t="s">
        <v>198</v>
      </c>
      <c r="D86" s="64"/>
      <c r="E86" s="65"/>
      <c r="F86" s="66" t="e">
        <f t="shared" si="312"/>
        <v>#NAME?</v>
      </c>
      <c r="G86" s="66" t="e">
        <f t="shared" si="313"/>
        <v>#NAME?</v>
      </c>
      <c r="H86" s="66" t="e">
        <f t="shared" si="314"/>
        <v>#NAME?</v>
      </c>
      <c r="I86" s="66" t="e">
        <f t="shared" si="315"/>
        <v>#NAME?</v>
      </c>
      <c r="J86" s="66" t="e">
        <f t="shared" si="316"/>
        <v>#NAME?</v>
      </c>
      <c r="K86" s="66" t="e">
        <f t="shared" si="317"/>
        <v>#NAME?</v>
      </c>
      <c r="L86" s="66" t="e">
        <f t="shared" si="318"/>
        <v>#NAME?</v>
      </c>
      <c r="M86" s="66" t="e">
        <f t="shared" si="319"/>
        <v>#NAME?</v>
      </c>
      <c r="N86" s="66" t="e">
        <f t="shared" si="320"/>
        <v>#NAME?</v>
      </c>
      <c r="O86" s="66" t="e">
        <f t="shared" si="321"/>
        <v>#NAME?</v>
      </c>
      <c r="P86" s="66" t="e">
        <f t="shared" si="322"/>
        <v>#NAME?</v>
      </c>
      <c r="Q86" s="66" t="e">
        <f t="shared" si="323"/>
        <v>#NAME?</v>
      </c>
      <c r="R86" s="67" t="e">
        <f t="shared" si="306"/>
        <v>#NAME?</v>
      </c>
      <c r="S86" s="67" t="e">
        <f t="shared" si="300"/>
        <v>#NAME?</v>
      </c>
      <c r="T86" s="67" t="e">
        <f t="shared" si="301"/>
        <v>#NAME?</v>
      </c>
      <c r="U86" s="67" t="e">
        <f t="shared" si="324"/>
        <v>#NAME?</v>
      </c>
      <c r="V86" s="67" t="e">
        <f t="shared" si="325"/>
        <v>#NAME?</v>
      </c>
      <c r="W86" s="67" t="e">
        <f t="shared" si="326"/>
        <v>#NAME?</v>
      </c>
      <c r="X86" s="66" t="e">
        <f t="shared" si="327"/>
        <v>#NAME?</v>
      </c>
      <c r="Y86" s="66" t="e">
        <f t="shared" si="328"/>
        <v>#NAME?</v>
      </c>
      <c r="Z86" s="66" t="e">
        <f t="shared" si="329"/>
        <v>#NAME?</v>
      </c>
      <c r="AA86" s="66" t="e">
        <f t="shared" si="330"/>
        <v>#NAME?</v>
      </c>
      <c r="AB86" s="66" t="e">
        <f t="shared" si="331"/>
        <v>#NAME?</v>
      </c>
      <c r="AC86" s="66" t="e">
        <f t="shared" si="332"/>
        <v>#NAME?</v>
      </c>
      <c r="AD86" s="66" t="e">
        <f t="shared" si="333"/>
        <v>#NAME?</v>
      </c>
      <c r="AE86" s="66" t="e">
        <f t="shared" si="334"/>
        <v>#NAME?</v>
      </c>
      <c r="AF86" s="66" t="e">
        <f t="shared" si="335"/>
        <v>#NAME?</v>
      </c>
      <c r="AG86" s="66" t="e">
        <f t="shared" si="336"/>
        <v>#NAME?</v>
      </c>
      <c r="AH86" s="66" t="e">
        <f t="shared" si="337"/>
        <v>#NAME?</v>
      </c>
      <c r="AI86" s="66" t="e">
        <f t="shared" si="338"/>
        <v>#NAME?</v>
      </c>
      <c r="AJ86" s="67" t="e">
        <f t="shared" si="307"/>
        <v>#NAME?</v>
      </c>
      <c r="AK86" s="67" t="e">
        <f t="shared" si="302"/>
        <v>#NAME?</v>
      </c>
      <c r="AL86" s="67" t="e">
        <f t="shared" si="303"/>
        <v>#NAME?</v>
      </c>
      <c r="AM86" s="67" t="e">
        <f t="shared" si="339"/>
        <v>#NAME?</v>
      </c>
      <c r="AN86" s="67" t="e">
        <f t="shared" si="340"/>
        <v>#NAME?</v>
      </c>
      <c r="AO86" s="67" t="e">
        <f t="shared" si="341"/>
        <v>#NAME?</v>
      </c>
      <c r="AP86" s="66" t="e">
        <f t="shared" si="342"/>
        <v>#NAME?</v>
      </c>
      <c r="AQ86" s="66" t="e">
        <f t="shared" si="343"/>
        <v>#NAME?</v>
      </c>
      <c r="AR86" s="66" t="e">
        <f t="shared" si="344"/>
        <v>#NAME?</v>
      </c>
      <c r="AS86" s="66" t="e">
        <f t="shared" si="345"/>
        <v>#NAME?</v>
      </c>
      <c r="AT86" s="66" t="e">
        <f t="shared" si="346"/>
        <v>#NAME?</v>
      </c>
      <c r="AU86" s="66" t="e">
        <f t="shared" si="347"/>
        <v>#NAME?</v>
      </c>
      <c r="AV86" s="66" t="e">
        <f t="shared" si="348"/>
        <v>#NAME?</v>
      </c>
      <c r="AW86" s="66" t="e">
        <f t="shared" si="349"/>
        <v>#NAME?</v>
      </c>
      <c r="AX86" s="66" t="e">
        <f t="shared" si="350"/>
        <v>#NAME?</v>
      </c>
      <c r="AY86" s="66" t="e">
        <f t="shared" si="351"/>
        <v>#NAME?</v>
      </c>
      <c r="AZ86" s="66" t="e">
        <f t="shared" si="352"/>
        <v>#NAME?</v>
      </c>
      <c r="BA86" s="66" t="e">
        <f t="shared" si="353"/>
        <v>#NAME?</v>
      </c>
      <c r="BB86" s="67" t="e">
        <f t="shared" si="308"/>
        <v>#NAME?</v>
      </c>
      <c r="BC86" s="67" t="e">
        <f t="shared" si="304"/>
        <v>#NAME?</v>
      </c>
      <c r="BD86" s="67" t="e">
        <f t="shared" si="305"/>
        <v>#NAME?</v>
      </c>
      <c r="BE86" s="67" t="e">
        <f t="shared" si="354"/>
        <v>#NAME?</v>
      </c>
      <c r="BF86" s="67" t="e">
        <f t="shared" si="355"/>
        <v>#NAME?</v>
      </c>
      <c r="BG86" s="67" t="e">
        <f t="shared" si="356"/>
        <v>#NAME?</v>
      </c>
    </row>
    <row r="87" spans="1:59" ht="15.6" x14ac:dyDescent="0.3">
      <c r="A87" s="8" t="s">
        <v>199</v>
      </c>
      <c r="B87" s="11" t="s">
        <v>200</v>
      </c>
      <c r="C87" s="63" t="s">
        <v>201</v>
      </c>
      <c r="D87" s="64"/>
      <c r="E87" s="65"/>
      <c r="F87" s="66" t="e">
        <f t="shared" si="312"/>
        <v>#NAME?</v>
      </c>
      <c r="G87" s="66" t="e">
        <f t="shared" si="313"/>
        <v>#NAME?</v>
      </c>
      <c r="H87" s="66" t="e">
        <f t="shared" si="314"/>
        <v>#NAME?</v>
      </c>
      <c r="I87" s="66" t="e">
        <f t="shared" si="315"/>
        <v>#NAME?</v>
      </c>
      <c r="J87" s="66" t="e">
        <f t="shared" si="316"/>
        <v>#NAME?</v>
      </c>
      <c r="K87" s="66" t="e">
        <f t="shared" si="317"/>
        <v>#NAME?</v>
      </c>
      <c r="L87" s="66" t="e">
        <f t="shared" si="318"/>
        <v>#NAME?</v>
      </c>
      <c r="M87" s="66" t="e">
        <f t="shared" si="319"/>
        <v>#NAME?</v>
      </c>
      <c r="N87" s="66" t="e">
        <f t="shared" si="320"/>
        <v>#NAME?</v>
      </c>
      <c r="O87" s="66" t="e">
        <f t="shared" si="321"/>
        <v>#NAME?</v>
      </c>
      <c r="P87" s="66" t="e">
        <f t="shared" si="322"/>
        <v>#NAME?</v>
      </c>
      <c r="Q87" s="66" t="e">
        <f t="shared" si="323"/>
        <v>#NAME?</v>
      </c>
      <c r="R87" s="67" t="e">
        <f t="shared" si="306"/>
        <v>#NAME?</v>
      </c>
      <c r="S87" s="67" t="e">
        <f t="shared" si="300"/>
        <v>#NAME?</v>
      </c>
      <c r="T87" s="67" t="e">
        <f t="shared" si="301"/>
        <v>#NAME?</v>
      </c>
      <c r="U87" s="67" t="e">
        <f t="shared" si="324"/>
        <v>#NAME?</v>
      </c>
      <c r="V87" s="67" t="e">
        <f t="shared" si="325"/>
        <v>#NAME?</v>
      </c>
      <c r="W87" s="67" t="e">
        <f t="shared" si="326"/>
        <v>#NAME?</v>
      </c>
      <c r="X87" s="66" t="e">
        <f t="shared" si="327"/>
        <v>#NAME?</v>
      </c>
      <c r="Y87" s="66" t="e">
        <f t="shared" si="328"/>
        <v>#NAME?</v>
      </c>
      <c r="Z87" s="66" t="e">
        <f t="shared" si="329"/>
        <v>#NAME?</v>
      </c>
      <c r="AA87" s="66" t="e">
        <f t="shared" si="330"/>
        <v>#NAME?</v>
      </c>
      <c r="AB87" s="66" t="e">
        <f t="shared" si="331"/>
        <v>#NAME?</v>
      </c>
      <c r="AC87" s="66" t="e">
        <f t="shared" si="332"/>
        <v>#NAME?</v>
      </c>
      <c r="AD87" s="66" t="e">
        <f t="shared" si="333"/>
        <v>#NAME?</v>
      </c>
      <c r="AE87" s="66" t="e">
        <f t="shared" si="334"/>
        <v>#NAME?</v>
      </c>
      <c r="AF87" s="66" t="e">
        <f t="shared" si="335"/>
        <v>#NAME?</v>
      </c>
      <c r="AG87" s="66" t="e">
        <f t="shared" si="336"/>
        <v>#NAME?</v>
      </c>
      <c r="AH87" s="66" t="e">
        <f t="shared" si="337"/>
        <v>#NAME?</v>
      </c>
      <c r="AI87" s="66" t="e">
        <f t="shared" si="338"/>
        <v>#NAME?</v>
      </c>
      <c r="AJ87" s="67" t="e">
        <f t="shared" si="307"/>
        <v>#NAME?</v>
      </c>
      <c r="AK87" s="67" t="e">
        <f t="shared" si="302"/>
        <v>#NAME?</v>
      </c>
      <c r="AL87" s="67" t="e">
        <f t="shared" si="303"/>
        <v>#NAME?</v>
      </c>
      <c r="AM87" s="67" t="e">
        <f t="shared" si="339"/>
        <v>#NAME?</v>
      </c>
      <c r="AN87" s="67" t="e">
        <f t="shared" si="340"/>
        <v>#NAME?</v>
      </c>
      <c r="AO87" s="67" t="e">
        <f t="shared" si="341"/>
        <v>#NAME?</v>
      </c>
      <c r="AP87" s="66" t="e">
        <f t="shared" si="342"/>
        <v>#NAME?</v>
      </c>
      <c r="AQ87" s="66" t="e">
        <f t="shared" si="343"/>
        <v>#NAME?</v>
      </c>
      <c r="AR87" s="66" t="e">
        <f t="shared" si="344"/>
        <v>#NAME?</v>
      </c>
      <c r="AS87" s="66" t="e">
        <f t="shared" si="345"/>
        <v>#NAME?</v>
      </c>
      <c r="AT87" s="66" t="e">
        <f t="shared" si="346"/>
        <v>#NAME?</v>
      </c>
      <c r="AU87" s="66" t="e">
        <f t="shared" si="347"/>
        <v>#NAME?</v>
      </c>
      <c r="AV87" s="66" t="e">
        <f t="shared" si="348"/>
        <v>#NAME?</v>
      </c>
      <c r="AW87" s="66" t="e">
        <f t="shared" si="349"/>
        <v>#NAME?</v>
      </c>
      <c r="AX87" s="66" t="e">
        <f t="shared" si="350"/>
        <v>#NAME?</v>
      </c>
      <c r="AY87" s="66" t="e">
        <f t="shared" si="351"/>
        <v>#NAME?</v>
      </c>
      <c r="AZ87" s="66" t="e">
        <f t="shared" si="352"/>
        <v>#NAME?</v>
      </c>
      <c r="BA87" s="66" t="e">
        <f t="shared" si="353"/>
        <v>#NAME?</v>
      </c>
      <c r="BB87" s="67" t="e">
        <f t="shared" si="308"/>
        <v>#NAME?</v>
      </c>
      <c r="BC87" s="67" t="e">
        <f t="shared" si="304"/>
        <v>#NAME?</v>
      </c>
      <c r="BD87" s="67" t="e">
        <f t="shared" si="305"/>
        <v>#NAME?</v>
      </c>
      <c r="BE87" s="67" t="e">
        <f t="shared" si="354"/>
        <v>#NAME?</v>
      </c>
      <c r="BF87" s="67" t="e">
        <f t="shared" si="355"/>
        <v>#NAME?</v>
      </c>
      <c r="BG87" s="67" t="e">
        <f t="shared" si="356"/>
        <v>#NAME?</v>
      </c>
    </row>
    <row r="88" spans="1:59" ht="15.6" x14ac:dyDescent="0.3">
      <c r="A88" s="8" t="s">
        <v>202</v>
      </c>
      <c r="B88" s="11" t="s">
        <v>203</v>
      </c>
      <c r="C88" s="63" t="s">
        <v>204</v>
      </c>
      <c r="D88" s="64"/>
      <c r="E88" s="65"/>
      <c r="F88" s="66" t="e">
        <f t="shared" si="312"/>
        <v>#NAME?</v>
      </c>
      <c r="G88" s="66" t="e">
        <f t="shared" si="313"/>
        <v>#NAME?</v>
      </c>
      <c r="H88" s="66" t="e">
        <f t="shared" si="314"/>
        <v>#NAME?</v>
      </c>
      <c r="I88" s="66" t="e">
        <f t="shared" si="315"/>
        <v>#NAME?</v>
      </c>
      <c r="J88" s="66" t="e">
        <f t="shared" si="316"/>
        <v>#NAME?</v>
      </c>
      <c r="K88" s="66" t="e">
        <f t="shared" si="317"/>
        <v>#NAME?</v>
      </c>
      <c r="L88" s="66" t="e">
        <f t="shared" si="318"/>
        <v>#NAME?</v>
      </c>
      <c r="M88" s="66" t="e">
        <f t="shared" si="319"/>
        <v>#NAME?</v>
      </c>
      <c r="N88" s="66" t="e">
        <f t="shared" si="320"/>
        <v>#NAME?</v>
      </c>
      <c r="O88" s="66" t="e">
        <f t="shared" si="321"/>
        <v>#NAME?</v>
      </c>
      <c r="P88" s="66" t="e">
        <f t="shared" si="322"/>
        <v>#NAME?</v>
      </c>
      <c r="Q88" s="66" t="e">
        <f t="shared" si="323"/>
        <v>#NAME?</v>
      </c>
      <c r="R88" s="67" t="e">
        <f t="shared" si="306"/>
        <v>#NAME?</v>
      </c>
      <c r="S88" s="67" t="e">
        <f t="shared" si="300"/>
        <v>#NAME?</v>
      </c>
      <c r="T88" s="67" t="e">
        <f t="shared" si="301"/>
        <v>#NAME?</v>
      </c>
      <c r="U88" s="67" t="e">
        <f t="shared" si="324"/>
        <v>#NAME?</v>
      </c>
      <c r="V88" s="67" t="e">
        <f t="shared" si="325"/>
        <v>#NAME?</v>
      </c>
      <c r="W88" s="67" t="e">
        <f t="shared" si="326"/>
        <v>#NAME?</v>
      </c>
      <c r="X88" s="66" t="e">
        <f t="shared" si="327"/>
        <v>#NAME?</v>
      </c>
      <c r="Y88" s="66" t="e">
        <f t="shared" si="328"/>
        <v>#NAME?</v>
      </c>
      <c r="Z88" s="66" t="e">
        <f t="shared" si="329"/>
        <v>#NAME?</v>
      </c>
      <c r="AA88" s="66" t="e">
        <f t="shared" si="330"/>
        <v>#NAME?</v>
      </c>
      <c r="AB88" s="66" t="e">
        <f t="shared" si="331"/>
        <v>#NAME?</v>
      </c>
      <c r="AC88" s="66" t="e">
        <f t="shared" si="332"/>
        <v>#NAME?</v>
      </c>
      <c r="AD88" s="66" t="e">
        <f t="shared" si="333"/>
        <v>#NAME?</v>
      </c>
      <c r="AE88" s="66" t="e">
        <f t="shared" si="334"/>
        <v>#NAME?</v>
      </c>
      <c r="AF88" s="66" t="e">
        <f t="shared" si="335"/>
        <v>#NAME?</v>
      </c>
      <c r="AG88" s="66" t="e">
        <f t="shared" si="336"/>
        <v>#NAME?</v>
      </c>
      <c r="AH88" s="66" t="e">
        <f t="shared" si="337"/>
        <v>#NAME?</v>
      </c>
      <c r="AI88" s="66" t="e">
        <f t="shared" si="338"/>
        <v>#NAME?</v>
      </c>
      <c r="AJ88" s="67" t="e">
        <f t="shared" si="307"/>
        <v>#NAME?</v>
      </c>
      <c r="AK88" s="67" t="e">
        <f t="shared" si="302"/>
        <v>#NAME?</v>
      </c>
      <c r="AL88" s="67" t="e">
        <f t="shared" si="303"/>
        <v>#NAME?</v>
      </c>
      <c r="AM88" s="67" t="e">
        <f t="shared" si="339"/>
        <v>#NAME?</v>
      </c>
      <c r="AN88" s="67" t="e">
        <f t="shared" si="340"/>
        <v>#NAME?</v>
      </c>
      <c r="AO88" s="67" t="e">
        <f t="shared" si="341"/>
        <v>#NAME?</v>
      </c>
      <c r="AP88" s="66" t="e">
        <f t="shared" si="342"/>
        <v>#NAME?</v>
      </c>
      <c r="AQ88" s="66" t="e">
        <f t="shared" si="343"/>
        <v>#NAME?</v>
      </c>
      <c r="AR88" s="66" t="e">
        <f t="shared" si="344"/>
        <v>#NAME?</v>
      </c>
      <c r="AS88" s="66" t="e">
        <f t="shared" si="345"/>
        <v>#NAME?</v>
      </c>
      <c r="AT88" s="66" t="e">
        <f t="shared" si="346"/>
        <v>#NAME?</v>
      </c>
      <c r="AU88" s="66" t="e">
        <f t="shared" si="347"/>
        <v>#NAME?</v>
      </c>
      <c r="AV88" s="66" t="e">
        <f t="shared" si="348"/>
        <v>#NAME?</v>
      </c>
      <c r="AW88" s="66" t="e">
        <f t="shared" si="349"/>
        <v>#NAME?</v>
      </c>
      <c r="AX88" s="66" t="e">
        <f t="shared" si="350"/>
        <v>#NAME?</v>
      </c>
      <c r="AY88" s="66" t="e">
        <f t="shared" si="351"/>
        <v>#NAME?</v>
      </c>
      <c r="AZ88" s="66" t="e">
        <f t="shared" si="352"/>
        <v>#NAME?</v>
      </c>
      <c r="BA88" s="66" t="e">
        <f t="shared" si="353"/>
        <v>#NAME?</v>
      </c>
      <c r="BB88" s="67" t="e">
        <f t="shared" si="308"/>
        <v>#NAME?</v>
      </c>
      <c r="BC88" s="67" t="e">
        <f t="shared" si="304"/>
        <v>#NAME?</v>
      </c>
      <c r="BD88" s="67" t="e">
        <f t="shared" si="305"/>
        <v>#NAME?</v>
      </c>
      <c r="BE88" s="67" t="e">
        <f t="shared" si="354"/>
        <v>#NAME?</v>
      </c>
      <c r="BF88" s="67" t="e">
        <f t="shared" si="355"/>
        <v>#NAME?</v>
      </c>
      <c r="BG88" s="67" t="e">
        <f t="shared" si="356"/>
        <v>#NAME?</v>
      </c>
    </row>
    <row r="89" spans="1:59" ht="15.6" x14ac:dyDescent="0.3">
      <c r="A89" s="8" t="s">
        <v>205</v>
      </c>
      <c r="B89" s="11" t="s">
        <v>206</v>
      </c>
      <c r="C89" s="63" t="s">
        <v>207</v>
      </c>
      <c r="D89" s="64"/>
      <c r="E89" s="65"/>
      <c r="F89" s="66" t="e">
        <f t="shared" si="312"/>
        <v>#NAME?</v>
      </c>
      <c r="G89" s="66" t="e">
        <f t="shared" si="313"/>
        <v>#NAME?</v>
      </c>
      <c r="H89" s="66" t="e">
        <f t="shared" si="314"/>
        <v>#NAME?</v>
      </c>
      <c r="I89" s="66" t="e">
        <f t="shared" si="315"/>
        <v>#NAME?</v>
      </c>
      <c r="J89" s="66" t="e">
        <f t="shared" si="316"/>
        <v>#NAME?</v>
      </c>
      <c r="K89" s="66" t="e">
        <f t="shared" si="317"/>
        <v>#NAME?</v>
      </c>
      <c r="L89" s="66" t="e">
        <f t="shared" si="318"/>
        <v>#NAME?</v>
      </c>
      <c r="M89" s="66" t="e">
        <f t="shared" si="319"/>
        <v>#NAME?</v>
      </c>
      <c r="N89" s="66" t="e">
        <f t="shared" si="320"/>
        <v>#NAME?</v>
      </c>
      <c r="O89" s="66" t="e">
        <f t="shared" si="321"/>
        <v>#NAME?</v>
      </c>
      <c r="P89" s="66" t="e">
        <f t="shared" si="322"/>
        <v>#NAME?</v>
      </c>
      <c r="Q89" s="66" t="e">
        <f t="shared" si="323"/>
        <v>#NAME?</v>
      </c>
      <c r="R89" s="67" t="e">
        <f t="shared" si="306"/>
        <v>#NAME?</v>
      </c>
      <c r="S89" s="67" t="e">
        <f t="shared" si="300"/>
        <v>#NAME?</v>
      </c>
      <c r="T89" s="67" t="e">
        <f t="shared" si="301"/>
        <v>#NAME?</v>
      </c>
      <c r="U89" s="67" t="e">
        <f t="shared" si="324"/>
        <v>#NAME?</v>
      </c>
      <c r="V89" s="67" t="e">
        <f t="shared" si="325"/>
        <v>#NAME?</v>
      </c>
      <c r="W89" s="67" t="e">
        <f t="shared" si="326"/>
        <v>#NAME?</v>
      </c>
      <c r="X89" s="66" t="e">
        <f t="shared" si="327"/>
        <v>#NAME?</v>
      </c>
      <c r="Y89" s="66" t="e">
        <f t="shared" si="328"/>
        <v>#NAME?</v>
      </c>
      <c r="Z89" s="66" t="e">
        <f t="shared" si="329"/>
        <v>#NAME?</v>
      </c>
      <c r="AA89" s="66" t="e">
        <f t="shared" si="330"/>
        <v>#NAME?</v>
      </c>
      <c r="AB89" s="66" t="e">
        <f t="shared" si="331"/>
        <v>#NAME?</v>
      </c>
      <c r="AC89" s="66" t="e">
        <f t="shared" si="332"/>
        <v>#NAME?</v>
      </c>
      <c r="AD89" s="66" t="e">
        <f t="shared" si="333"/>
        <v>#NAME?</v>
      </c>
      <c r="AE89" s="66" t="e">
        <f t="shared" si="334"/>
        <v>#NAME?</v>
      </c>
      <c r="AF89" s="66" t="e">
        <f t="shared" si="335"/>
        <v>#NAME?</v>
      </c>
      <c r="AG89" s="66" t="e">
        <f t="shared" si="336"/>
        <v>#NAME?</v>
      </c>
      <c r="AH89" s="66" t="e">
        <f t="shared" si="337"/>
        <v>#NAME?</v>
      </c>
      <c r="AI89" s="66" t="e">
        <f t="shared" si="338"/>
        <v>#NAME?</v>
      </c>
      <c r="AJ89" s="67" t="e">
        <f t="shared" si="307"/>
        <v>#NAME?</v>
      </c>
      <c r="AK89" s="67" t="e">
        <f t="shared" si="302"/>
        <v>#NAME?</v>
      </c>
      <c r="AL89" s="67" t="e">
        <f t="shared" si="303"/>
        <v>#NAME?</v>
      </c>
      <c r="AM89" s="67" t="e">
        <f t="shared" si="339"/>
        <v>#NAME?</v>
      </c>
      <c r="AN89" s="67" t="e">
        <f t="shared" si="340"/>
        <v>#NAME?</v>
      </c>
      <c r="AO89" s="67" t="e">
        <f t="shared" si="341"/>
        <v>#NAME?</v>
      </c>
      <c r="AP89" s="66" t="e">
        <f t="shared" si="342"/>
        <v>#NAME?</v>
      </c>
      <c r="AQ89" s="66" t="e">
        <f t="shared" si="343"/>
        <v>#NAME?</v>
      </c>
      <c r="AR89" s="66" t="e">
        <f t="shared" si="344"/>
        <v>#NAME?</v>
      </c>
      <c r="AS89" s="66" t="e">
        <f t="shared" si="345"/>
        <v>#NAME?</v>
      </c>
      <c r="AT89" s="66" t="e">
        <f t="shared" si="346"/>
        <v>#NAME?</v>
      </c>
      <c r="AU89" s="66" t="e">
        <f t="shared" si="347"/>
        <v>#NAME?</v>
      </c>
      <c r="AV89" s="66" t="e">
        <f t="shared" si="348"/>
        <v>#NAME?</v>
      </c>
      <c r="AW89" s="66" t="e">
        <f t="shared" si="349"/>
        <v>#NAME?</v>
      </c>
      <c r="AX89" s="66" t="e">
        <f t="shared" si="350"/>
        <v>#NAME?</v>
      </c>
      <c r="AY89" s="66" t="e">
        <f t="shared" si="351"/>
        <v>#NAME?</v>
      </c>
      <c r="AZ89" s="66" t="e">
        <f t="shared" si="352"/>
        <v>#NAME?</v>
      </c>
      <c r="BA89" s="66" t="e">
        <f t="shared" si="353"/>
        <v>#NAME?</v>
      </c>
      <c r="BB89" s="67" t="e">
        <f t="shared" si="308"/>
        <v>#NAME?</v>
      </c>
      <c r="BC89" s="67" t="e">
        <f t="shared" si="304"/>
        <v>#NAME?</v>
      </c>
      <c r="BD89" s="67" t="e">
        <f t="shared" si="305"/>
        <v>#NAME?</v>
      </c>
      <c r="BE89" s="67" t="e">
        <f t="shared" si="354"/>
        <v>#NAME?</v>
      </c>
      <c r="BF89" s="67" t="e">
        <f t="shared" si="355"/>
        <v>#NAME?</v>
      </c>
      <c r="BG89" s="67" t="e">
        <f t="shared" si="356"/>
        <v>#NAME?</v>
      </c>
    </row>
    <row r="90" spans="1:59" ht="15.6" x14ac:dyDescent="0.3">
      <c r="A90" s="8" t="s">
        <v>208</v>
      </c>
      <c r="B90" s="11" t="s">
        <v>209</v>
      </c>
      <c r="C90" s="63" t="s">
        <v>210</v>
      </c>
      <c r="D90" s="64"/>
      <c r="E90" s="65"/>
      <c r="F90" s="66" t="e">
        <f t="shared" si="312"/>
        <v>#NAME?</v>
      </c>
      <c r="G90" s="66" t="e">
        <f t="shared" si="313"/>
        <v>#NAME?</v>
      </c>
      <c r="H90" s="66" t="e">
        <f t="shared" si="314"/>
        <v>#NAME?</v>
      </c>
      <c r="I90" s="66" t="e">
        <f t="shared" si="315"/>
        <v>#NAME?</v>
      </c>
      <c r="J90" s="66" t="e">
        <f t="shared" si="316"/>
        <v>#NAME?</v>
      </c>
      <c r="K90" s="66" t="e">
        <f t="shared" si="317"/>
        <v>#NAME?</v>
      </c>
      <c r="L90" s="66" t="e">
        <f t="shared" si="318"/>
        <v>#NAME?</v>
      </c>
      <c r="M90" s="66" t="e">
        <f t="shared" si="319"/>
        <v>#NAME?</v>
      </c>
      <c r="N90" s="66" t="e">
        <f t="shared" si="320"/>
        <v>#NAME?</v>
      </c>
      <c r="O90" s="66" t="e">
        <f t="shared" si="321"/>
        <v>#NAME?</v>
      </c>
      <c r="P90" s="66" t="e">
        <f t="shared" si="322"/>
        <v>#NAME?</v>
      </c>
      <c r="Q90" s="66" t="e">
        <f t="shared" si="323"/>
        <v>#NAME?</v>
      </c>
      <c r="R90" s="67" t="e">
        <f t="shared" si="306"/>
        <v>#NAME?</v>
      </c>
      <c r="S90" s="67" t="e">
        <f t="shared" si="300"/>
        <v>#NAME?</v>
      </c>
      <c r="T90" s="67" t="e">
        <f t="shared" si="301"/>
        <v>#NAME?</v>
      </c>
      <c r="U90" s="67" t="e">
        <f t="shared" si="324"/>
        <v>#NAME?</v>
      </c>
      <c r="V90" s="67" t="e">
        <f t="shared" si="325"/>
        <v>#NAME?</v>
      </c>
      <c r="W90" s="67" t="e">
        <f t="shared" si="326"/>
        <v>#NAME?</v>
      </c>
      <c r="X90" s="66" t="e">
        <f t="shared" si="327"/>
        <v>#NAME?</v>
      </c>
      <c r="Y90" s="66" t="e">
        <f t="shared" si="328"/>
        <v>#NAME?</v>
      </c>
      <c r="Z90" s="66" t="e">
        <f t="shared" si="329"/>
        <v>#NAME?</v>
      </c>
      <c r="AA90" s="66" t="e">
        <f t="shared" si="330"/>
        <v>#NAME?</v>
      </c>
      <c r="AB90" s="66" t="e">
        <f t="shared" si="331"/>
        <v>#NAME?</v>
      </c>
      <c r="AC90" s="66" t="e">
        <f t="shared" si="332"/>
        <v>#NAME?</v>
      </c>
      <c r="AD90" s="66" t="e">
        <f t="shared" si="333"/>
        <v>#NAME?</v>
      </c>
      <c r="AE90" s="66" t="e">
        <f t="shared" si="334"/>
        <v>#NAME?</v>
      </c>
      <c r="AF90" s="66" t="e">
        <f t="shared" si="335"/>
        <v>#NAME?</v>
      </c>
      <c r="AG90" s="66" t="e">
        <f t="shared" si="336"/>
        <v>#NAME?</v>
      </c>
      <c r="AH90" s="66" t="e">
        <f t="shared" si="337"/>
        <v>#NAME?</v>
      </c>
      <c r="AI90" s="66" t="e">
        <f t="shared" si="338"/>
        <v>#NAME?</v>
      </c>
      <c r="AJ90" s="67" t="e">
        <f t="shared" si="307"/>
        <v>#NAME?</v>
      </c>
      <c r="AK90" s="67" t="e">
        <f t="shared" si="302"/>
        <v>#NAME?</v>
      </c>
      <c r="AL90" s="67" t="e">
        <f t="shared" si="303"/>
        <v>#NAME?</v>
      </c>
      <c r="AM90" s="67" t="e">
        <f t="shared" si="339"/>
        <v>#NAME?</v>
      </c>
      <c r="AN90" s="67" t="e">
        <f t="shared" si="340"/>
        <v>#NAME?</v>
      </c>
      <c r="AO90" s="67" t="e">
        <f t="shared" si="341"/>
        <v>#NAME?</v>
      </c>
      <c r="AP90" s="66" t="e">
        <f t="shared" si="342"/>
        <v>#NAME?</v>
      </c>
      <c r="AQ90" s="66" t="e">
        <f t="shared" si="343"/>
        <v>#NAME?</v>
      </c>
      <c r="AR90" s="66" t="e">
        <f t="shared" si="344"/>
        <v>#NAME?</v>
      </c>
      <c r="AS90" s="66" t="e">
        <f t="shared" si="345"/>
        <v>#NAME?</v>
      </c>
      <c r="AT90" s="66" t="e">
        <f t="shared" si="346"/>
        <v>#NAME?</v>
      </c>
      <c r="AU90" s="66" t="e">
        <f t="shared" si="347"/>
        <v>#NAME?</v>
      </c>
      <c r="AV90" s="66" t="e">
        <f t="shared" si="348"/>
        <v>#NAME?</v>
      </c>
      <c r="AW90" s="66" t="e">
        <f t="shared" si="349"/>
        <v>#NAME?</v>
      </c>
      <c r="AX90" s="66" t="e">
        <f t="shared" si="350"/>
        <v>#NAME?</v>
      </c>
      <c r="AY90" s="66" t="e">
        <f t="shared" si="351"/>
        <v>#NAME?</v>
      </c>
      <c r="AZ90" s="66" t="e">
        <f t="shared" si="352"/>
        <v>#NAME?</v>
      </c>
      <c r="BA90" s="66" t="e">
        <f t="shared" si="353"/>
        <v>#NAME?</v>
      </c>
      <c r="BB90" s="67" t="e">
        <f t="shared" si="308"/>
        <v>#NAME?</v>
      </c>
      <c r="BC90" s="67" t="e">
        <f t="shared" si="304"/>
        <v>#NAME?</v>
      </c>
      <c r="BD90" s="67" t="e">
        <f t="shared" si="305"/>
        <v>#NAME?</v>
      </c>
      <c r="BE90" s="67" t="e">
        <f t="shared" si="354"/>
        <v>#NAME?</v>
      </c>
      <c r="BF90" s="67" t="e">
        <f t="shared" si="355"/>
        <v>#NAME?</v>
      </c>
      <c r="BG90" s="67" t="e">
        <f t="shared" si="356"/>
        <v>#NAME?</v>
      </c>
    </row>
    <row r="91" spans="1:59" ht="15.6" x14ac:dyDescent="0.3">
      <c r="A91" s="8" t="s">
        <v>211</v>
      </c>
      <c r="B91" s="11" t="s">
        <v>212</v>
      </c>
      <c r="C91" s="63" t="s">
        <v>213</v>
      </c>
      <c r="D91" s="64"/>
      <c r="E91" s="65"/>
      <c r="F91" s="66" t="e">
        <f t="shared" si="312"/>
        <v>#NAME?</v>
      </c>
      <c r="G91" s="66" t="e">
        <f t="shared" si="313"/>
        <v>#NAME?</v>
      </c>
      <c r="H91" s="66" t="e">
        <f t="shared" si="314"/>
        <v>#NAME?</v>
      </c>
      <c r="I91" s="66" t="e">
        <f t="shared" si="315"/>
        <v>#NAME?</v>
      </c>
      <c r="J91" s="66" t="e">
        <f t="shared" si="316"/>
        <v>#NAME?</v>
      </c>
      <c r="K91" s="66" t="e">
        <f t="shared" si="317"/>
        <v>#NAME?</v>
      </c>
      <c r="L91" s="66" t="e">
        <f t="shared" si="318"/>
        <v>#NAME?</v>
      </c>
      <c r="M91" s="66" t="e">
        <f t="shared" si="319"/>
        <v>#NAME?</v>
      </c>
      <c r="N91" s="66" t="e">
        <f t="shared" si="320"/>
        <v>#NAME?</v>
      </c>
      <c r="O91" s="66" t="e">
        <f t="shared" si="321"/>
        <v>#NAME?</v>
      </c>
      <c r="P91" s="66" t="e">
        <f t="shared" si="322"/>
        <v>#NAME?</v>
      </c>
      <c r="Q91" s="66" t="e">
        <f t="shared" si="323"/>
        <v>#NAME?</v>
      </c>
      <c r="R91" s="67" t="e">
        <f t="shared" si="306"/>
        <v>#NAME?</v>
      </c>
      <c r="S91" s="67" t="e">
        <f t="shared" si="300"/>
        <v>#NAME?</v>
      </c>
      <c r="T91" s="67" t="e">
        <f t="shared" si="301"/>
        <v>#NAME?</v>
      </c>
      <c r="U91" s="67" t="e">
        <f t="shared" si="324"/>
        <v>#NAME?</v>
      </c>
      <c r="V91" s="67" t="e">
        <f t="shared" si="325"/>
        <v>#NAME?</v>
      </c>
      <c r="W91" s="67" t="e">
        <f t="shared" si="326"/>
        <v>#NAME?</v>
      </c>
      <c r="X91" s="66" t="e">
        <f t="shared" si="327"/>
        <v>#NAME?</v>
      </c>
      <c r="Y91" s="66" t="e">
        <f t="shared" si="328"/>
        <v>#NAME?</v>
      </c>
      <c r="Z91" s="66" t="e">
        <f t="shared" si="329"/>
        <v>#NAME?</v>
      </c>
      <c r="AA91" s="66" t="e">
        <f t="shared" si="330"/>
        <v>#NAME?</v>
      </c>
      <c r="AB91" s="66" t="e">
        <f t="shared" si="331"/>
        <v>#NAME?</v>
      </c>
      <c r="AC91" s="66" t="e">
        <f t="shared" si="332"/>
        <v>#NAME?</v>
      </c>
      <c r="AD91" s="66" t="e">
        <f t="shared" si="333"/>
        <v>#NAME?</v>
      </c>
      <c r="AE91" s="66" t="e">
        <f t="shared" si="334"/>
        <v>#NAME?</v>
      </c>
      <c r="AF91" s="66" t="e">
        <f t="shared" si="335"/>
        <v>#NAME?</v>
      </c>
      <c r="AG91" s="66" t="e">
        <f t="shared" si="336"/>
        <v>#NAME?</v>
      </c>
      <c r="AH91" s="66" t="e">
        <f t="shared" si="337"/>
        <v>#NAME?</v>
      </c>
      <c r="AI91" s="66" t="e">
        <f t="shared" si="338"/>
        <v>#NAME?</v>
      </c>
      <c r="AJ91" s="67" t="e">
        <f t="shared" si="307"/>
        <v>#NAME?</v>
      </c>
      <c r="AK91" s="67" t="e">
        <f t="shared" si="302"/>
        <v>#NAME?</v>
      </c>
      <c r="AL91" s="67" t="e">
        <f t="shared" si="303"/>
        <v>#NAME?</v>
      </c>
      <c r="AM91" s="67" t="e">
        <f t="shared" si="339"/>
        <v>#NAME?</v>
      </c>
      <c r="AN91" s="67" t="e">
        <f t="shared" si="340"/>
        <v>#NAME?</v>
      </c>
      <c r="AO91" s="67" t="e">
        <f t="shared" si="341"/>
        <v>#NAME?</v>
      </c>
      <c r="AP91" s="66" t="e">
        <f t="shared" si="342"/>
        <v>#NAME?</v>
      </c>
      <c r="AQ91" s="66" t="e">
        <f t="shared" si="343"/>
        <v>#NAME?</v>
      </c>
      <c r="AR91" s="66" t="e">
        <f t="shared" si="344"/>
        <v>#NAME?</v>
      </c>
      <c r="AS91" s="66" t="e">
        <f t="shared" si="345"/>
        <v>#NAME?</v>
      </c>
      <c r="AT91" s="66" t="e">
        <f t="shared" si="346"/>
        <v>#NAME?</v>
      </c>
      <c r="AU91" s="66" t="e">
        <f t="shared" si="347"/>
        <v>#NAME?</v>
      </c>
      <c r="AV91" s="66" t="e">
        <f t="shared" si="348"/>
        <v>#NAME?</v>
      </c>
      <c r="AW91" s="66" t="e">
        <f t="shared" si="349"/>
        <v>#NAME?</v>
      </c>
      <c r="AX91" s="66" t="e">
        <f t="shared" si="350"/>
        <v>#NAME?</v>
      </c>
      <c r="AY91" s="66" t="e">
        <f t="shared" si="351"/>
        <v>#NAME?</v>
      </c>
      <c r="AZ91" s="66" t="e">
        <f t="shared" si="352"/>
        <v>#NAME?</v>
      </c>
      <c r="BA91" s="66" t="e">
        <f t="shared" si="353"/>
        <v>#NAME?</v>
      </c>
      <c r="BB91" s="67" t="e">
        <f t="shared" si="308"/>
        <v>#NAME?</v>
      </c>
      <c r="BC91" s="67" t="e">
        <f t="shared" si="304"/>
        <v>#NAME?</v>
      </c>
      <c r="BD91" s="67" t="e">
        <f t="shared" si="305"/>
        <v>#NAME?</v>
      </c>
      <c r="BE91" s="67" t="e">
        <f t="shared" si="354"/>
        <v>#NAME?</v>
      </c>
      <c r="BF91" s="67" t="e">
        <f t="shared" si="355"/>
        <v>#NAME?</v>
      </c>
      <c r="BG91" s="67" t="e">
        <f t="shared" si="356"/>
        <v>#NAME?</v>
      </c>
    </row>
    <row r="92" spans="1:59" ht="15.6" x14ac:dyDescent="0.3">
      <c r="A92" s="8" t="s">
        <v>214</v>
      </c>
      <c r="B92" s="11" t="s">
        <v>215</v>
      </c>
      <c r="C92" s="63" t="s">
        <v>216</v>
      </c>
      <c r="D92" s="64"/>
      <c r="E92" s="65"/>
      <c r="F92" s="66" t="e">
        <f t="shared" si="312"/>
        <v>#NAME?</v>
      </c>
      <c r="G92" s="66" t="e">
        <f t="shared" si="313"/>
        <v>#NAME?</v>
      </c>
      <c r="H92" s="66" t="e">
        <f t="shared" si="314"/>
        <v>#NAME?</v>
      </c>
      <c r="I92" s="66" t="e">
        <f t="shared" si="315"/>
        <v>#NAME?</v>
      </c>
      <c r="J92" s="66" t="e">
        <f t="shared" si="316"/>
        <v>#NAME?</v>
      </c>
      <c r="K92" s="66" t="e">
        <f t="shared" si="317"/>
        <v>#NAME?</v>
      </c>
      <c r="L92" s="66" t="e">
        <f t="shared" si="318"/>
        <v>#NAME?</v>
      </c>
      <c r="M92" s="66" t="e">
        <f t="shared" si="319"/>
        <v>#NAME?</v>
      </c>
      <c r="N92" s="66" t="e">
        <f t="shared" si="320"/>
        <v>#NAME?</v>
      </c>
      <c r="O92" s="66" t="e">
        <f t="shared" si="321"/>
        <v>#NAME?</v>
      </c>
      <c r="P92" s="66" t="e">
        <f t="shared" si="322"/>
        <v>#NAME?</v>
      </c>
      <c r="Q92" s="66" t="e">
        <f t="shared" si="323"/>
        <v>#NAME?</v>
      </c>
      <c r="R92" s="67" t="e">
        <f t="shared" si="306"/>
        <v>#NAME?</v>
      </c>
      <c r="S92" s="67" t="e">
        <f t="shared" si="300"/>
        <v>#NAME?</v>
      </c>
      <c r="T92" s="67" t="e">
        <f t="shared" si="301"/>
        <v>#NAME?</v>
      </c>
      <c r="U92" s="67" t="e">
        <f t="shared" si="324"/>
        <v>#NAME?</v>
      </c>
      <c r="V92" s="67" t="e">
        <f t="shared" si="325"/>
        <v>#NAME?</v>
      </c>
      <c r="W92" s="67" t="e">
        <f t="shared" si="326"/>
        <v>#NAME?</v>
      </c>
      <c r="X92" s="66" t="e">
        <f t="shared" si="327"/>
        <v>#NAME?</v>
      </c>
      <c r="Y92" s="66" t="e">
        <f t="shared" si="328"/>
        <v>#NAME?</v>
      </c>
      <c r="Z92" s="66" t="e">
        <f t="shared" si="329"/>
        <v>#NAME?</v>
      </c>
      <c r="AA92" s="66" t="e">
        <f t="shared" si="330"/>
        <v>#NAME?</v>
      </c>
      <c r="AB92" s="66" t="e">
        <f t="shared" si="331"/>
        <v>#NAME?</v>
      </c>
      <c r="AC92" s="66" t="e">
        <f t="shared" si="332"/>
        <v>#NAME?</v>
      </c>
      <c r="AD92" s="66" t="e">
        <f t="shared" si="333"/>
        <v>#NAME?</v>
      </c>
      <c r="AE92" s="66" t="e">
        <f t="shared" si="334"/>
        <v>#NAME?</v>
      </c>
      <c r="AF92" s="66" t="e">
        <f t="shared" si="335"/>
        <v>#NAME?</v>
      </c>
      <c r="AG92" s="66" t="e">
        <f t="shared" si="336"/>
        <v>#NAME?</v>
      </c>
      <c r="AH92" s="66" t="e">
        <f t="shared" si="337"/>
        <v>#NAME?</v>
      </c>
      <c r="AI92" s="66" t="e">
        <f t="shared" si="338"/>
        <v>#NAME?</v>
      </c>
      <c r="AJ92" s="67" t="e">
        <f t="shared" si="307"/>
        <v>#NAME?</v>
      </c>
      <c r="AK92" s="67" t="e">
        <f t="shared" si="302"/>
        <v>#NAME?</v>
      </c>
      <c r="AL92" s="67" t="e">
        <f t="shared" si="303"/>
        <v>#NAME?</v>
      </c>
      <c r="AM92" s="67" t="e">
        <f t="shared" si="339"/>
        <v>#NAME?</v>
      </c>
      <c r="AN92" s="67" t="e">
        <f t="shared" si="340"/>
        <v>#NAME?</v>
      </c>
      <c r="AO92" s="67" t="e">
        <f t="shared" si="341"/>
        <v>#NAME?</v>
      </c>
      <c r="AP92" s="66" t="e">
        <f t="shared" si="342"/>
        <v>#NAME?</v>
      </c>
      <c r="AQ92" s="66" t="e">
        <f t="shared" si="343"/>
        <v>#NAME?</v>
      </c>
      <c r="AR92" s="66" t="e">
        <f t="shared" si="344"/>
        <v>#NAME?</v>
      </c>
      <c r="AS92" s="66" t="e">
        <f t="shared" si="345"/>
        <v>#NAME?</v>
      </c>
      <c r="AT92" s="66" t="e">
        <f t="shared" si="346"/>
        <v>#NAME?</v>
      </c>
      <c r="AU92" s="66" t="e">
        <f t="shared" si="347"/>
        <v>#NAME?</v>
      </c>
      <c r="AV92" s="66" t="e">
        <f t="shared" si="348"/>
        <v>#NAME?</v>
      </c>
      <c r="AW92" s="66" t="e">
        <f t="shared" si="349"/>
        <v>#NAME?</v>
      </c>
      <c r="AX92" s="66" t="e">
        <f t="shared" si="350"/>
        <v>#NAME?</v>
      </c>
      <c r="AY92" s="66" t="e">
        <f t="shared" si="351"/>
        <v>#NAME?</v>
      </c>
      <c r="AZ92" s="66" t="e">
        <f t="shared" si="352"/>
        <v>#NAME?</v>
      </c>
      <c r="BA92" s="66" t="e">
        <f t="shared" si="353"/>
        <v>#NAME?</v>
      </c>
      <c r="BB92" s="67" t="e">
        <f t="shared" si="308"/>
        <v>#NAME?</v>
      </c>
      <c r="BC92" s="67" t="e">
        <f t="shared" si="304"/>
        <v>#NAME?</v>
      </c>
      <c r="BD92" s="67" t="e">
        <f t="shared" si="305"/>
        <v>#NAME?</v>
      </c>
      <c r="BE92" s="67" t="e">
        <f t="shared" si="354"/>
        <v>#NAME?</v>
      </c>
      <c r="BF92" s="67" t="e">
        <f t="shared" si="355"/>
        <v>#NAME?</v>
      </c>
      <c r="BG92" s="67" t="e">
        <f t="shared" si="356"/>
        <v>#NAME?</v>
      </c>
    </row>
    <row r="93" spans="1:59" ht="15.6" x14ac:dyDescent="0.3">
      <c r="A93" s="8" t="s">
        <v>217</v>
      </c>
      <c r="B93" s="11" t="s">
        <v>218</v>
      </c>
      <c r="C93" s="63" t="s">
        <v>219</v>
      </c>
      <c r="D93" s="64"/>
      <c r="E93" s="65"/>
      <c r="F93" s="66" t="e">
        <f t="shared" si="312"/>
        <v>#NAME?</v>
      </c>
      <c r="G93" s="66" t="e">
        <f t="shared" si="313"/>
        <v>#NAME?</v>
      </c>
      <c r="H93" s="66" t="e">
        <f t="shared" si="314"/>
        <v>#NAME?</v>
      </c>
      <c r="I93" s="66" t="e">
        <f t="shared" si="315"/>
        <v>#NAME?</v>
      </c>
      <c r="J93" s="66" t="e">
        <f t="shared" si="316"/>
        <v>#NAME?</v>
      </c>
      <c r="K93" s="66" t="e">
        <f t="shared" si="317"/>
        <v>#NAME?</v>
      </c>
      <c r="L93" s="66" t="e">
        <f t="shared" si="318"/>
        <v>#NAME?</v>
      </c>
      <c r="M93" s="66" t="e">
        <f t="shared" si="319"/>
        <v>#NAME?</v>
      </c>
      <c r="N93" s="66" t="e">
        <f t="shared" si="320"/>
        <v>#NAME?</v>
      </c>
      <c r="O93" s="66" t="e">
        <f t="shared" si="321"/>
        <v>#NAME?</v>
      </c>
      <c r="P93" s="66" t="e">
        <f t="shared" si="322"/>
        <v>#NAME?</v>
      </c>
      <c r="Q93" s="66" t="e">
        <f t="shared" si="323"/>
        <v>#NAME?</v>
      </c>
      <c r="R93" s="67" t="e">
        <f t="shared" si="306"/>
        <v>#NAME?</v>
      </c>
      <c r="S93" s="67" t="e">
        <f t="shared" si="300"/>
        <v>#NAME?</v>
      </c>
      <c r="T93" s="67" t="e">
        <f t="shared" si="301"/>
        <v>#NAME?</v>
      </c>
      <c r="U93" s="67" t="e">
        <f t="shared" si="324"/>
        <v>#NAME?</v>
      </c>
      <c r="V93" s="67" t="e">
        <f t="shared" si="325"/>
        <v>#NAME?</v>
      </c>
      <c r="W93" s="67" t="e">
        <f t="shared" si="326"/>
        <v>#NAME?</v>
      </c>
      <c r="X93" s="66" t="e">
        <f t="shared" si="327"/>
        <v>#NAME?</v>
      </c>
      <c r="Y93" s="66" t="e">
        <f t="shared" si="328"/>
        <v>#NAME?</v>
      </c>
      <c r="Z93" s="66" t="e">
        <f t="shared" si="329"/>
        <v>#NAME?</v>
      </c>
      <c r="AA93" s="66" t="e">
        <f t="shared" si="330"/>
        <v>#NAME?</v>
      </c>
      <c r="AB93" s="66" t="e">
        <f t="shared" si="331"/>
        <v>#NAME?</v>
      </c>
      <c r="AC93" s="66" t="e">
        <f t="shared" si="332"/>
        <v>#NAME?</v>
      </c>
      <c r="AD93" s="66" t="e">
        <f t="shared" si="333"/>
        <v>#NAME?</v>
      </c>
      <c r="AE93" s="66" t="e">
        <f t="shared" si="334"/>
        <v>#NAME?</v>
      </c>
      <c r="AF93" s="66" t="e">
        <f t="shared" si="335"/>
        <v>#NAME?</v>
      </c>
      <c r="AG93" s="66" t="e">
        <f t="shared" si="336"/>
        <v>#NAME?</v>
      </c>
      <c r="AH93" s="66" t="e">
        <f t="shared" si="337"/>
        <v>#NAME?</v>
      </c>
      <c r="AI93" s="66" t="e">
        <f t="shared" si="338"/>
        <v>#NAME?</v>
      </c>
      <c r="AJ93" s="67" t="e">
        <f t="shared" si="307"/>
        <v>#NAME?</v>
      </c>
      <c r="AK93" s="67" t="e">
        <f t="shared" si="302"/>
        <v>#NAME?</v>
      </c>
      <c r="AL93" s="67" t="e">
        <f t="shared" si="303"/>
        <v>#NAME?</v>
      </c>
      <c r="AM93" s="67" t="e">
        <f t="shared" si="339"/>
        <v>#NAME?</v>
      </c>
      <c r="AN93" s="67" t="e">
        <f t="shared" si="340"/>
        <v>#NAME?</v>
      </c>
      <c r="AO93" s="67" t="e">
        <f t="shared" si="341"/>
        <v>#NAME?</v>
      </c>
      <c r="AP93" s="66" t="e">
        <f t="shared" si="342"/>
        <v>#NAME?</v>
      </c>
      <c r="AQ93" s="66" t="e">
        <f t="shared" si="343"/>
        <v>#NAME?</v>
      </c>
      <c r="AR93" s="66" t="e">
        <f t="shared" si="344"/>
        <v>#NAME?</v>
      </c>
      <c r="AS93" s="66" t="e">
        <f t="shared" si="345"/>
        <v>#NAME?</v>
      </c>
      <c r="AT93" s="66" t="e">
        <f t="shared" si="346"/>
        <v>#NAME?</v>
      </c>
      <c r="AU93" s="66" t="e">
        <f t="shared" si="347"/>
        <v>#NAME?</v>
      </c>
      <c r="AV93" s="66" t="e">
        <f t="shared" si="348"/>
        <v>#NAME?</v>
      </c>
      <c r="AW93" s="66" t="e">
        <f t="shared" si="349"/>
        <v>#NAME?</v>
      </c>
      <c r="AX93" s="66" t="e">
        <f t="shared" si="350"/>
        <v>#NAME?</v>
      </c>
      <c r="AY93" s="66" t="e">
        <f t="shared" si="351"/>
        <v>#NAME?</v>
      </c>
      <c r="AZ93" s="66" t="e">
        <f t="shared" si="352"/>
        <v>#NAME?</v>
      </c>
      <c r="BA93" s="66" t="e">
        <f t="shared" si="353"/>
        <v>#NAME?</v>
      </c>
      <c r="BB93" s="67" t="e">
        <f t="shared" si="308"/>
        <v>#NAME?</v>
      </c>
      <c r="BC93" s="67" t="e">
        <f t="shared" si="304"/>
        <v>#NAME?</v>
      </c>
      <c r="BD93" s="67" t="e">
        <f t="shared" si="305"/>
        <v>#NAME?</v>
      </c>
      <c r="BE93" s="67" t="e">
        <f t="shared" si="354"/>
        <v>#NAME?</v>
      </c>
      <c r="BF93" s="67" t="e">
        <f t="shared" si="355"/>
        <v>#NAME?</v>
      </c>
      <c r="BG93" s="67" t="e">
        <f t="shared" si="356"/>
        <v>#NAME?</v>
      </c>
    </row>
    <row r="94" spans="1:59" ht="15.6" x14ac:dyDescent="0.3">
      <c r="A94" s="8" t="s">
        <v>220</v>
      </c>
      <c r="B94" s="11" t="s">
        <v>221</v>
      </c>
      <c r="C94" s="63" t="s">
        <v>222</v>
      </c>
      <c r="D94" s="64"/>
      <c r="E94" s="65"/>
      <c r="F94" s="66" t="e">
        <f t="shared" si="312"/>
        <v>#NAME?</v>
      </c>
      <c r="G94" s="66" t="e">
        <f t="shared" si="313"/>
        <v>#NAME?</v>
      </c>
      <c r="H94" s="66" t="e">
        <f t="shared" si="314"/>
        <v>#NAME?</v>
      </c>
      <c r="I94" s="66" t="e">
        <f t="shared" si="315"/>
        <v>#NAME?</v>
      </c>
      <c r="J94" s="66" t="e">
        <f t="shared" si="316"/>
        <v>#NAME?</v>
      </c>
      <c r="K94" s="66" t="e">
        <f t="shared" si="317"/>
        <v>#NAME?</v>
      </c>
      <c r="L94" s="66" t="e">
        <f t="shared" si="318"/>
        <v>#NAME?</v>
      </c>
      <c r="M94" s="66" t="e">
        <f t="shared" si="319"/>
        <v>#NAME?</v>
      </c>
      <c r="N94" s="66" t="e">
        <f t="shared" si="320"/>
        <v>#NAME?</v>
      </c>
      <c r="O94" s="66" t="e">
        <f t="shared" si="321"/>
        <v>#NAME?</v>
      </c>
      <c r="P94" s="66" t="e">
        <f t="shared" si="322"/>
        <v>#NAME?</v>
      </c>
      <c r="Q94" s="66" t="e">
        <f t="shared" si="323"/>
        <v>#NAME?</v>
      </c>
      <c r="R94" s="67" t="e">
        <f t="shared" si="306"/>
        <v>#NAME?</v>
      </c>
      <c r="S94" s="67" t="e">
        <f t="shared" si="300"/>
        <v>#NAME?</v>
      </c>
      <c r="T94" s="67" t="e">
        <f t="shared" si="301"/>
        <v>#NAME?</v>
      </c>
      <c r="U94" s="67" t="e">
        <f t="shared" si="324"/>
        <v>#NAME?</v>
      </c>
      <c r="V94" s="67" t="e">
        <f t="shared" si="325"/>
        <v>#NAME?</v>
      </c>
      <c r="W94" s="67" t="e">
        <f t="shared" si="326"/>
        <v>#NAME?</v>
      </c>
      <c r="X94" s="66" t="e">
        <f t="shared" si="327"/>
        <v>#NAME?</v>
      </c>
      <c r="Y94" s="66" t="e">
        <f t="shared" si="328"/>
        <v>#NAME?</v>
      </c>
      <c r="Z94" s="66" t="e">
        <f t="shared" si="329"/>
        <v>#NAME?</v>
      </c>
      <c r="AA94" s="66" t="e">
        <f t="shared" si="330"/>
        <v>#NAME?</v>
      </c>
      <c r="AB94" s="66" t="e">
        <f t="shared" si="331"/>
        <v>#NAME?</v>
      </c>
      <c r="AC94" s="66" t="e">
        <f t="shared" si="332"/>
        <v>#NAME?</v>
      </c>
      <c r="AD94" s="66" t="e">
        <f t="shared" si="333"/>
        <v>#NAME?</v>
      </c>
      <c r="AE94" s="66" t="e">
        <f t="shared" si="334"/>
        <v>#NAME?</v>
      </c>
      <c r="AF94" s="66" t="e">
        <f t="shared" si="335"/>
        <v>#NAME?</v>
      </c>
      <c r="AG94" s="66" t="e">
        <f t="shared" si="336"/>
        <v>#NAME?</v>
      </c>
      <c r="AH94" s="66" t="e">
        <f t="shared" si="337"/>
        <v>#NAME?</v>
      </c>
      <c r="AI94" s="66" t="e">
        <f t="shared" si="338"/>
        <v>#NAME?</v>
      </c>
      <c r="AJ94" s="67" t="e">
        <f t="shared" si="307"/>
        <v>#NAME?</v>
      </c>
      <c r="AK94" s="67" t="e">
        <f t="shared" si="302"/>
        <v>#NAME?</v>
      </c>
      <c r="AL94" s="67" t="e">
        <f t="shared" si="303"/>
        <v>#NAME?</v>
      </c>
      <c r="AM94" s="67" t="e">
        <f t="shared" si="339"/>
        <v>#NAME?</v>
      </c>
      <c r="AN94" s="67" t="e">
        <f t="shared" si="340"/>
        <v>#NAME?</v>
      </c>
      <c r="AO94" s="67" t="e">
        <f t="shared" si="341"/>
        <v>#NAME?</v>
      </c>
      <c r="AP94" s="66" t="e">
        <f t="shared" si="342"/>
        <v>#NAME?</v>
      </c>
      <c r="AQ94" s="66" t="e">
        <f t="shared" si="343"/>
        <v>#NAME?</v>
      </c>
      <c r="AR94" s="66" t="e">
        <f t="shared" si="344"/>
        <v>#NAME?</v>
      </c>
      <c r="AS94" s="66" t="e">
        <f t="shared" si="345"/>
        <v>#NAME?</v>
      </c>
      <c r="AT94" s="66" t="e">
        <f t="shared" si="346"/>
        <v>#NAME?</v>
      </c>
      <c r="AU94" s="66" t="e">
        <f t="shared" si="347"/>
        <v>#NAME?</v>
      </c>
      <c r="AV94" s="66" t="e">
        <f t="shared" si="348"/>
        <v>#NAME?</v>
      </c>
      <c r="AW94" s="66" t="e">
        <f t="shared" si="349"/>
        <v>#NAME?</v>
      </c>
      <c r="AX94" s="66" t="e">
        <f t="shared" si="350"/>
        <v>#NAME?</v>
      </c>
      <c r="AY94" s="66" t="e">
        <f t="shared" si="351"/>
        <v>#NAME?</v>
      </c>
      <c r="AZ94" s="66" t="e">
        <f t="shared" si="352"/>
        <v>#NAME?</v>
      </c>
      <c r="BA94" s="66" t="e">
        <f t="shared" si="353"/>
        <v>#NAME?</v>
      </c>
      <c r="BB94" s="67" t="e">
        <f t="shared" si="308"/>
        <v>#NAME?</v>
      </c>
      <c r="BC94" s="67" t="e">
        <f t="shared" si="304"/>
        <v>#NAME?</v>
      </c>
      <c r="BD94" s="67" t="e">
        <f t="shared" si="305"/>
        <v>#NAME?</v>
      </c>
      <c r="BE94" s="67" t="e">
        <f t="shared" si="354"/>
        <v>#NAME?</v>
      </c>
      <c r="BF94" s="67" t="e">
        <f t="shared" si="355"/>
        <v>#NAME?</v>
      </c>
      <c r="BG94" s="67" t="e">
        <f t="shared" si="356"/>
        <v>#NAME?</v>
      </c>
    </row>
    <row r="95" spans="1:59" ht="15.6" x14ac:dyDescent="0.3">
      <c r="A95" s="8" t="s">
        <v>223</v>
      </c>
      <c r="B95" s="11" t="s">
        <v>224</v>
      </c>
      <c r="C95" s="63" t="s">
        <v>225</v>
      </c>
      <c r="D95" s="64"/>
      <c r="E95" s="65"/>
      <c r="F95" s="66" t="e">
        <f t="shared" si="312"/>
        <v>#NAME?</v>
      </c>
      <c r="G95" s="66" t="e">
        <f t="shared" si="313"/>
        <v>#NAME?</v>
      </c>
      <c r="H95" s="66" t="e">
        <f t="shared" si="314"/>
        <v>#NAME?</v>
      </c>
      <c r="I95" s="66" t="e">
        <f t="shared" si="315"/>
        <v>#NAME?</v>
      </c>
      <c r="J95" s="66" t="e">
        <f t="shared" si="316"/>
        <v>#NAME?</v>
      </c>
      <c r="K95" s="66" t="e">
        <f t="shared" si="317"/>
        <v>#NAME?</v>
      </c>
      <c r="L95" s="66" t="e">
        <f t="shared" si="318"/>
        <v>#NAME?</v>
      </c>
      <c r="M95" s="66" t="e">
        <f t="shared" si="319"/>
        <v>#NAME?</v>
      </c>
      <c r="N95" s="66" t="e">
        <f t="shared" si="320"/>
        <v>#NAME?</v>
      </c>
      <c r="O95" s="66" t="e">
        <f t="shared" si="321"/>
        <v>#NAME?</v>
      </c>
      <c r="P95" s="66" t="e">
        <f t="shared" si="322"/>
        <v>#NAME?</v>
      </c>
      <c r="Q95" s="66" t="e">
        <f t="shared" si="323"/>
        <v>#NAME?</v>
      </c>
      <c r="R95" s="67" t="e">
        <f t="shared" si="306"/>
        <v>#NAME?</v>
      </c>
      <c r="S95" s="67" t="e">
        <f t="shared" si="300"/>
        <v>#NAME?</v>
      </c>
      <c r="T95" s="67" t="e">
        <f t="shared" si="301"/>
        <v>#NAME?</v>
      </c>
      <c r="U95" s="67" t="e">
        <f t="shared" si="324"/>
        <v>#NAME?</v>
      </c>
      <c r="V95" s="67" t="e">
        <f t="shared" si="325"/>
        <v>#NAME?</v>
      </c>
      <c r="W95" s="67" t="e">
        <f t="shared" si="326"/>
        <v>#NAME?</v>
      </c>
      <c r="X95" s="66" t="e">
        <f t="shared" si="327"/>
        <v>#NAME?</v>
      </c>
      <c r="Y95" s="66" t="e">
        <f t="shared" si="328"/>
        <v>#NAME?</v>
      </c>
      <c r="Z95" s="66" t="e">
        <f t="shared" si="329"/>
        <v>#NAME?</v>
      </c>
      <c r="AA95" s="66" t="e">
        <f t="shared" si="330"/>
        <v>#NAME?</v>
      </c>
      <c r="AB95" s="66" t="e">
        <f t="shared" si="331"/>
        <v>#NAME?</v>
      </c>
      <c r="AC95" s="66" t="e">
        <f t="shared" si="332"/>
        <v>#NAME?</v>
      </c>
      <c r="AD95" s="66" t="e">
        <f t="shared" si="333"/>
        <v>#NAME?</v>
      </c>
      <c r="AE95" s="66" t="e">
        <f t="shared" si="334"/>
        <v>#NAME?</v>
      </c>
      <c r="AF95" s="66" t="e">
        <f t="shared" si="335"/>
        <v>#NAME?</v>
      </c>
      <c r="AG95" s="66" t="e">
        <f t="shared" si="336"/>
        <v>#NAME?</v>
      </c>
      <c r="AH95" s="66" t="e">
        <f t="shared" si="337"/>
        <v>#NAME?</v>
      </c>
      <c r="AI95" s="66" t="e">
        <f t="shared" si="338"/>
        <v>#NAME?</v>
      </c>
      <c r="AJ95" s="67" t="e">
        <f t="shared" si="307"/>
        <v>#NAME?</v>
      </c>
      <c r="AK95" s="67" t="e">
        <f t="shared" si="302"/>
        <v>#NAME?</v>
      </c>
      <c r="AL95" s="67" t="e">
        <f t="shared" si="303"/>
        <v>#NAME?</v>
      </c>
      <c r="AM95" s="67" t="e">
        <f t="shared" si="339"/>
        <v>#NAME?</v>
      </c>
      <c r="AN95" s="67" t="e">
        <f t="shared" si="340"/>
        <v>#NAME?</v>
      </c>
      <c r="AO95" s="67" t="e">
        <f t="shared" si="341"/>
        <v>#NAME?</v>
      </c>
      <c r="AP95" s="66" t="e">
        <f t="shared" si="342"/>
        <v>#NAME?</v>
      </c>
      <c r="AQ95" s="66" t="e">
        <f t="shared" si="343"/>
        <v>#NAME?</v>
      </c>
      <c r="AR95" s="66" t="e">
        <f t="shared" si="344"/>
        <v>#NAME?</v>
      </c>
      <c r="AS95" s="66" t="e">
        <f t="shared" si="345"/>
        <v>#NAME?</v>
      </c>
      <c r="AT95" s="66" t="e">
        <f t="shared" si="346"/>
        <v>#NAME?</v>
      </c>
      <c r="AU95" s="66" t="e">
        <f t="shared" si="347"/>
        <v>#NAME?</v>
      </c>
      <c r="AV95" s="66" t="e">
        <f t="shared" si="348"/>
        <v>#NAME?</v>
      </c>
      <c r="AW95" s="66" t="e">
        <f t="shared" si="349"/>
        <v>#NAME?</v>
      </c>
      <c r="AX95" s="66" t="e">
        <f t="shared" si="350"/>
        <v>#NAME?</v>
      </c>
      <c r="AY95" s="66" t="e">
        <f t="shared" si="351"/>
        <v>#NAME?</v>
      </c>
      <c r="AZ95" s="66" t="e">
        <f t="shared" si="352"/>
        <v>#NAME?</v>
      </c>
      <c r="BA95" s="66" t="e">
        <f t="shared" si="353"/>
        <v>#NAME?</v>
      </c>
      <c r="BB95" s="67" t="e">
        <f t="shared" si="308"/>
        <v>#NAME?</v>
      </c>
      <c r="BC95" s="67" t="e">
        <f t="shared" si="304"/>
        <v>#NAME?</v>
      </c>
      <c r="BD95" s="67" t="e">
        <f t="shared" si="305"/>
        <v>#NAME?</v>
      </c>
      <c r="BE95" s="67" t="e">
        <f t="shared" si="354"/>
        <v>#NAME?</v>
      </c>
      <c r="BF95" s="67" t="e">
        <f t="shared" si="355"/>
        <v>#NAME?</v>
      </c>
      <c r="BG95" s="67" t="e">
        <f t="shared" si="356"/>
        <v>#NAME?</v>
      </c>
    </row>
    <row r="96" spans="1:59" ht="15.6" x14ac:dyDescent="0.3">
      <c r="A96" s="8" t="s">
        <v>226</v>
      </c>
      <c r="B96" s="74" t="s">
        <v>227</v>
      </c>
      <c r="C96" s="63" t="s">
        <v>228</v>
      </c>
      <c r="D96" s="64"/>
      <c r="E96" s="65"/>
      <c r="F96" s="66" t="e">
        <f t="shared" si="312"/>
        <v>#NAME?</v>
      </c>
      <c r="G96" s="66" t="e">
        <f t="shared" si="313"/>
        <v>#NAME?</v>
      </c>
      <c r="H96" s="66" t="e">
        <f t="shared" si="314"/>
        <v>#NAME?</v>
      </c>
      <c r="I96" s="66" t="e">
        <f t="shared" si="315"/>
        <v>#NAME?</v>
      </c>
      <c r="J96" s="66" t="e">
        <f t="shared" si="316"/>
        <v>#NAME?</v>
      </c>
      <c r="K96" s="66" t="e">
        <f t="shared" si="317"/>
        <v>#NAME?</v>
      </c>
      <c r="L96" s="66" t="e">
        <f t="shared" si="318"/>
        <v>#NAME?</v>
      </c>
      <c r="M96" s="66" t="e">
        <f t="shared" si="319"/>
        <v>#NAME?</v>
      </c>
      <c r="N96" s="66" t="e">
        <f t="shared" si="320"/>
        <v>#NAME?</v>
      </c>
      <c r="O96" s="66" t="e">
        <f t="shared" si="321"/>
        <v>#NAME?</v>
      </c>
      <c r="P96" s="66" t="e">
        <f t="shared" si="322"/>
        <v>#NAME?</v>
      </c>
      <c r="Q96" s="66" t="e">
        <f t="shared" si="323"/>
        <v>#NAME?</v>
      </c>
      <c r="R96" s="67" t="e">
        <f t="shared" si="306"/>
        <v>#NAME?</v>
      </c>
      <c r="S96" s="67" t="e">
        <f t="shared" si="300"/>
        <v>#NAME?</v>
      </c>
      <c r="T96" s="67" t="e">
        <f t="shared" si="301"/>
        <v>#NAME?</v>
      </c>
      <c r="U96" s="67" t="e">
        <f t="shared" si="324"/>
        <v>#NAME?</v>
      </c>
      <c r="V96" s="67" t="e">
        <f t="shared" si="325"/>
        <v>#NAME?</v>
      </c>
      <c r="W96" s="67" t="e">
        <f t="shared" si="326"/>
        <v>#NAME?</v>
      </c>
      <c r="X96" s="66" t="e">
        <f t="shared" si="327"/>
        <v>#NAME?</v>
      </c>
      <c r="Y96" s="66" t="e">
        <f t="shared" si="328"/>
        <v>#NAME?</v>
      </c>
      <c r="Z96" s="66" t="e">
        <f t="shared" si="329"/>
        <v>#NAME?</v>
      </c>
      <c r="AA96" s="66" t="e">
        <f t="shared" si="330"/>
        <v>#NAME?</v>
      </c>
      <c r="AB96" s="66" t="e">
        <f t="shared" si="331"/>
        <v>#NAME?</v>
      </c>
      <c r="AC96" s="66" t="e">
        <f t="shared" si="332"/>
        <v>#NAME?</v>
      </c>
      <c r="AD96" s="66" t="e">
        <f t="shared" si="333"/>
        <v>#NAME?</v>
      </c>
      <c r="AE96" s="66" t="e">
        <f t="shared" si="334"/>
        <v>#NAME?</v>
      </c>
      <c r="AF96" s="66" t="e">
        <f t="shared" si="335"/>
        <v>#NAME?</v>
      </c>
      <c r="AG96" s="66" t="e">
        <f t="shared" si="336"/>
        <v>#NAME?</v>
      </c>
      <c r="AH96" s="66" t="e">
        <f t="shared" si="337"/>
        <v>#NAME?</v>
      </c>
      <c r="AI96" s="66" t="e">
        <f t="shared" si="338"/>
        <v>#NAME?</v>
      </c>
      <c r="AJ96" s="67" t="e">
        <f t="shared" si="307"/>
        <v>#NAME?</v>
      </c>
      <c r="AK96" s="67" t="e">
        <f t="shared" si="302"/>
        <v>#NAME?</v>
      </c>
      <c r="AL96" s="67" t="e">
        <f t="shared" si="303"/>
        <v>#NAME?</v>
      </c>
      <c r="AM96" s="67" t="e">
        <f t="shared" si="339"/>
        <v>#NAME?</v>
      </c>
      <c r="AN96" s="67" t="e">
        <f t="shared" si="340"/>
        <v>#NAME?</v>
      </c>
      <c r="AO96" s="67" t="e">
        <f t="shared" si="341"/>
        <v>#NAME?</v>
      </c>
      <c r="AP96" s="66" t="e">
        <f t="shared" si="342"/>
        <v>#NAME?</v>
      </c>
      <c r="AQ96" s="66" t="e">
        <f t="shared" si="343"/>
        <v>#NAME?</v>
      </c>
      <c r="AR96" s="66" t="e">
        <f t="shared" si="344"/>
        <v>#NAME?</v>
      </c>
      <c r="AS96" s="66" t="e">
        <f t="shared" si="345"/>
        <v>#NAME?</v>
      </c>
      <c r="AT96" s="66" t="e">
        <f t="shared" si="346"/>
        <v>#NAME?</v>
      </c>
      <c r="AU96" s="66" t="e">
        <f t="shared" si="347"/>
        <v>#NAME?</v>
      </c>
      <c r="AV96" s="66" t="e">
        <f t="shared" si="348"/>
        <v>#NAME?</v>
      </c>
      <c r="AW96" s="66" t="e">
        <f t="shared" si="349"/>
        <v>#NAME?</v>
      </c>
      <c r="AX96" s="66" t="e">
        <f t="shared" si="350"/>
        <v>#NAME?</v>
      </c>
      <c r="AY96" s="66" t="e">
        <f t="shared" si="351"/>
        <v>#NAME?</v>
      </c>
      <c r="AZ96" s="66" t="e">
        <f t="shared" si="352"/>
        <v>#NAME?</v>
      </c>
      <c r="BA96" s="66" t="e">
        <f t="shared" si="353"/>
        <v>#NAME?</v>
      </c>
      <c r="BB96" s="67" t="e">
        <f t="shared" si="308"/>
        <v>#NAME?</v>
      </c>
      <c r="BC96" s="67" t="e">
        <f t="shared" si="304"/>
        <v>#NAME?</v>
      </c>
      <c r="BD96" s="67" t="e">
        <f t="shared" si="305"/>
        <v>#NAME?</v>
      </c>
      <c r="BE96" s="67" t="e">
        <f t="shared" si="354"/>
        <v>#NAME?</v>
      </c>
      <c r="BF96" s="67" t="e">
        <f t="shared" si="355"/>
        <v>#NAME?</v>
      </c>
      <c r="BG96" s="67" t="e">
        <f t="shared" si="356"/>
        <v>#NAME?</v>
      </c>
    </row>
    <row r="97" spans="1:59" s="62" customFormat="1" ht="15.6" x14ac:dyDescent="0.3">
      <c r="A97" s="56" t="s">
        <v>229</v>
      </c>
      <c r="B97" s="57">
        <v>83</v>
      </c>
      <c r="C97" s="58" t="s">
        <v>231</v>
      </c>
      <c r="D97" s="59"/>
      <c r="E97" s="60"/>
      <c r="F97" s="61" t="e">
        <f>SUM(F98:F106)</f>
        <v>#NAME?</v>
      </c>
      <c r="G97" s="61" t="e">
        <f>SUM(G98:G106)</f>
        <v>#NAME?</v>
      </c>
      <c r="H97" s="61" t="e">
        <f t="shared" ref="H97:Q97" si="357">SUM(H98:H106)</f>
        <v>#NAME?</v>
      </c>
      <c r="I97" s="61" t="e">
        <f t="shared" si="357"/>
        <v>#NAME?</v>
      </c>
      <c r="J97" s="61" t="e">
        <f t="shared" si="357"/>
        <v>#NAME?</v>
      </c>
      <c r="K97" s="61" t="e">
        <f t="shared" si="357"/>
        <v>#NAME?</v>
      </c>
      <c r="L97" s="61" t="e">
        <f t="shared" si="357"/>
        <v>#NAME?</v>
      </c>
      <c r="M97" s="61" t="e">
        <f>SUM(M98:M106)</f>
        <v>#NAME?</v>
      </c>
      <c r="N97" s="61" t="e">
        <f t="shared" si="357"/>
        <v>#NAME?</v>
      </c>
      <c r="O97" s="61" t="e">
        <f t="shared" si="357"/>
        <v>#NAME?</v>
      </c>
      <c r="P97" s="61" t="e">
        <f t="shared" si="357"/>
        <v>#NAME?</v>
      </c>
      <c r="Q97" s="61" t="e">
        <f t="shared" si="357"/>
        <v>#NAME?</v>
      </c>
      <c r="R97" s="61" t="e">
        <f t="shared" si="306"/>
        <v>#NAME?</v>
      </c>
      <c r="S97" s="61" t="e">
        <f t="shared" si="300"/>
        <v>#NAME?</v>
      </c>
      <c r="T97" s="61" t="e">
        <f t="shared" si="301"/>
        <v>#NAME?</v>
      </c>
      <c r="U97" s="61" t="e">
        <f t="shared" ref="U97:AI97" si="358">SUM(U98:U106)</f>
        <v>#NAME?</v>
      </c>
      <c r="V97" s="61" t="e">
        <f t="shared" si="358"/>
        <v>#NAME?</v>
      </c>
      <c r="W97" s="61" t="e">
        <f t="shared" si="358"/>
        <v>#NAME?</v>
      </c>
      <c r="X97" s="61" t="e">
        <f t="shared" si="358"/>
        <v>#NAME?</v>
      </c>
      <c r="Y97" s="61" t="e">
        <f t="shared" si="358"/>
        <v>#NAME?</v>
      </c>
      <c r="Z97" s="61" t="e">
        <f t="shared" si="358"/>
        <v>#NAME?</v>
      </c>
      <c r="AA97" s="61" t="e">
        <f t="shared" si="358"/>
        <v>#NAME?</v>
      </c>
      <c r="AB97" s="61" t="e">
        <f t="shared" si="358"/>
        <v>#NAME?</v>
      </c>
      <c r="AC97" s="61" t="e">
        <f t="shared" si="358"/>
        <v>#NAME?</v>
      </c>
      <c r="AD97" s="61" t="e">
        <f t="shared" si="358"/>
        <v>#NAME?</v>
      </c>
      <c r="AE97" s="61" t="e">
        <f t="shared" si="358"/>
        <v>#NAME?</v>
      </c>
      <c r="AF97" s="61" t="e">
        <f t="shared" si="358"/>
        <v>#NAME?</v>
      </c>
      <c r="AG97" s="61" t="e">
        <f t="shared" si="358"/>
        <v>#NAME?</v>
      </c>
      <c r="AH97" s="61" t="e">
        <f t="shared" si="358"/>
        <v>#NAME?</v>
      </c>
      <c r="AI97" s="61" t="e">
        <f t="shared" si="358"/>
        <v>#NAME?</v>
      </c>
      <c r="AJ97" s="61" t="e">
        <f t="shared" si="307"/>
        <v>#NAME?</v>
      </c>
      <c r="AK97" s="61" t="e">
        <f t="shared" si="302"/>
        <v>#NAME?</v>
      </c>
      <c r="AL97" s="61" t="e">
        <f t="shared" si="303"/>
        <v>#NAME?</v>
      </c>
      <c r="AM97" s="61" t="e">
        <f t="shared" ref="AM97:BA97" si="359">SUM(AM98:AM106)</f>
        <v>#NAME?</v>
      </c>
      <c r="AN97" s="61" t="e">
        <f t="shared" si="359"/>
        <v>#NAME?</v>
      </c>
      <c r="AO97" s="61" t="e">
        <f t="shared" si="359"/>
        <v>#NAME?</v>
      </c>
      <c r="AP97" s="61" t="e">
        <f t="shared" si="359"/>
        <v>#NAME?</v>
      </c>
      <c r="AQ97" s="61" t="e">
        <f t="shared" si="359"/>
        <v>#NAME?</v>
      </c>
      <c r="AR97" s="61" t="e">
        <f t="shared" si="359"/>
        <v>#NAME?</v>
      </c>
      <c r="AS97" s="61" t="e">
        <f t="shared" si="359"/>
        <v>#NAME?</v>
      </c>
      <c r="AT97" s="61" t="e">
        <f t="shared" si="359"/>
        <v>#NAME?</v>
      </c>
      <c r="AU97" s="61" t="e">
        <f t="shared" si="359"/>
        <v>#NAME?</v>
      </c>
      <c r="AV97" s="61" t="e">
        <f t="shared" si="359"/>
        <v>#NAME?</v>
      </c>
      <c r="AW97" s="61" t="e">
        <f t="shared" si="359"/>
        <v>#NAME?</v>
      </c>
      <c r="AX97" s="61" t="e">
        <f t="shared" si="359"/>
        <v>#NAME?</v>
      </c>
      <c r="AY97" s="61" t="e">
        <f t="shared" si="359"/>
        <v>#NAME?</v>
      </c>
      <c r="AZ97" s="61" t="e">
        <f t="shared" si="359"/>
        <v>#NAME?</v>
      </c>
      <c r="BA97" s="61" t="e">
        <f t="shared" si="359"/>
        <v>#NAME?</v>
      </c>
      <c r="BB97" s="61" t="e">
        <f t="shared" si="308"/>
        <v>#NAME?</v>
      </c>
      <c r="BC97" s="61" t="e">
        <f t="shared" si="304"/>
        <v>#NAME?</v>
      </c>
      <c r="BD97" s="61" t="e">
        <f t="shared" si="305"/>
        <v>#NAME?</v>
      </c>
      <c r="BE97" s="61" t="e">
        <f>SUM(BE98:BE106)</f>
        <v>#NAME?</v>
      </c>
      <c r="BF97" s="61" t="e">
        <f>SUM(BF98:BF106)</f>
        <v>#NAME?</v>
      </c>
      <c r="BG97" s="61" t="e">
        <f>SUM(BG98:BG106)</f>
        <v>#NAME?</v>
      </c>
    </row>
    <row r="98" spans="1:59" ht="15.6" x14ac:dyDescent="0.3">
      <c r="A98" s="8" t="s">
        <v>232</v>
      </c>
      <c r="B98" s="11" t="s">
        <v>233</v>
      </c>
      <c r="C98" s="63" t="s">
        <v>234</v>
      </c>
      <c r="D98" s="64"/>
      <c r="E98" s="65"/>
      <c r="F98" s="66" t="e">
        <f t="shared" ref="F98:F106" si="360">X98+AP98</f>
        <v>#NAME?</v>
      </c>
      <c r="G98" s="66" t="e">
        <f t="shared" ref="G98:G106" si="361">Y98+AQ98</f>
        <v>#NAME?</v>
      </c>
      <c r="H98" s="66" t="e">
        <f t="shared" ref="H98:H106" si="362">I98+J98</f>
        <v>#NAME?</v>
      </c>
      <c r="I98" s="66" t="e">
        <f t="shared" ref="I98:I106" si="363">AA98+AS98</f>
        <v>#NAME?</v>
      </c>
      <c r="J98" s="66" t="e">
        <f t="shared" ref="J98:J106" si="364">AB98+AT98</f>
        <v>#NAME?</v>
      </c>
      <c r="K98" s="66" t="e">
        <f t="shared" ref="K98:K106" si="365">AC98+AU98</f>
        <v>#NAME?</v>
      </c>
      <c r="L98" s="66" t="e">
        <f t="shared" ref="L98:L106" si="366">AD98+AV98</f>
        <v>#NAME?</v>
      </c>
      <c r="M98" s="66" t="e">
        <f t="shared" ref="M98:M106" si="367">AE98+AW98</f>
        <v>#NAME?</v>
      </c>
      <c r="N98" s="66" t="e">
        <f t="shared" ref="N98:N106" si="368">O98+Q98</f>
        <v>#NAME?</v>
      </c>
      <c r="O98" s="66" t="e">
        <f t="shared" ref="O98:O106" si="369">AG98+AY98</f>
        <v>#NAME?</v>
      </c>
      <c r="P98" s="66" t="e">
        <f t="shared" ref="P98:P106" si="370">AH98+AZ98</f>
        <v>#NAME?</v>
      </c>
      <c r="Q98" s="66" t="e">
        <f t="shared" ref="Q98:Q106" si="371">AI98+BA98</f>
        <v>#NAME?</v>
      </c>
      <c r="R98" s="67" t="e">
        <f t="shared" si="306"/>
        <v>#NAME?</v>
      </c>
      <c r="S98" s="67" t="e">
        <f t="shared" si="300"/>
        <v>#NAME?</v>
      </c>
      <c r="T98" s="67" t="e">
        <f t="shared" si="301"/>
        <v>#NAME?</v>
      </c>
      <c r="U98" s="67" t="e">
        <f t="shared" ref="U98:U106" si="372">AM98+BE98</f>
        <v>#NAME?</v>
      </c>
      <c r="V98" s="67" t="e">
        <f t="shared" ref="V98:V106" si="373">(G98+K98+L98-O98-U98)</f>
        <v>#NAME?</v>
      </c>
      <c r="W98" s="67" t="e">
        <f t="shared" ref="W98:W106" si="374">(I98-O98)</f>
        <v>#NAME?</v>
      </c>
      <c r="X98" s="66" t="e">
        <f t="shared" ref="X98:X109" si="375">КОЛ4020/$G$1</f>
        <v>#NAME?</v>
      </c>
      <c r="Y98" s="66" t="e">
        <f t="shared" ref="Y98:Y109" si="376">КОЛ4005/$G$1</f>
        <v>#NAME?</v>
      </c>
      <c r="Z98" s="66" t="e">
        <f t="shared" ref="Z98:Z106" si="377">AA98+AB98</f>
        <v>#NAME?</v>
      </c>
      <c r="AA98" s="66" t="e">
        <f t="shared" ref="AA98:AA109" si="378">КОЛ4007/$G$1</f>
        <v>#NAME?</v>
      </c>
      <c r="AB98" s="66" t="e">
        <f t="shared" ref="AB98:AB109" si="379">КОЛ4008/$G$1</f>
        <v>#NAME?</v>
      </c>
      <c r="AC98" s="66" t="e">
        <f t="shared" ref="AC98:AC109" si="380">КОЛ4009/$G$1</f>
        <v>#NAME?</v>
      </c>
      <c r="AD98" s="66" t="e">
        <f t="shared" ref="AD98:AD109" si="381">КОЛ4010/$G$1</f>
        <v>#NAME?</v>
      </c>
      <c r="AE98" s="66" t="e">
        <f t="shared" ref="AE98:AE109" si="382">КОЛ4011/$G$1</f>
        <v>#NAME?</v>
      </c>
      <c r="AF98" s="66" t="e">
        <f t="shared" ref="AF98:AF106" si="383">AG98+AI98</f>
        <v>#NAME?</v>
      </c>
      <c r="AG98" s="66" t="e">
        <f t="shared" ref="AG98:AG109" si="384">КОЛ4013/$G$1</f>
        <v>#NAME?</v>
      </c>
      <c r="AH98" s="66" t="e">
        <f t="shared" ref="AH98:AH109" si="385">КОЛ4014/$G$1</f>
        <v>#NAME?</v>
      </c>
      <c r="AI98" s="66" t="e">
        <f t="shared" ref="AI98:AI109" si="386">КОЛ4015/$G$1</f>
        <v>#NAME?</v>
      </c>
      <c r="AJ98" s="67" t="e">
        <f t="shared" si="307"/>
        <v>#NAME?</v>
      </c>
      <c r="AK98" s="67" t="e">
        <f t="shared" si="302"/>
        <v>#NAME?</v>
      </c>
      <c r="AL98" s="67" t="e">
        <f t="shared" si="303"/>
        <v>#NAME?</v>
      </c>
      <c r="AM98" s="67" t="e">
        <f t="shared" ref="AM98:AM109" si="387">КОЛ4017/$G$1</f>
        <v>#NAME?</v>
      </c>
      <c r="AN98" s="67" t="e">
        <f t="shared" ref="AN98:AN106" si="388">(Y98+AC98+AD98-AG98-AM98)</f>
        <v>#NAME?</v>
      </c>
      <c r="AO98" s="67" t="e">
        <f t="shared" ref="AO98:AO106" si="389">(AA98-AG98)</f>
        <v>#NAME?</v>
      </c>
      <c r="AP98" s="66" t="e">
        <f t="shared" ref="AP98:AP109" si="390">КОЛ4120/$G$1</f>
        <v>#NAME?</v>
      </c>
      <c r="AQ98" s="66" t="e">
        <f t="shared" ref="AQ98:AQ109" si="391">КОЛ4105/$G$1</f>
        <v>#NAME?</v>
      </c>
      <c r="AR98" s="66" t="e">
        <f t="shared" ref="AR98:AR106" si="392">AS98+AT98</f>
        <v>#NAME?</v>
      </c>
      <c r="AS98" s="66" t="e">
        <f t="shared" ref="AS98:AS109" si="393">КОЛ4107/$G$1</f>
        <v>#NAME?</v>
      </c>
      <c r="AT98" s="66" t="e">
        <f t="shared" ref="AT98:AT109" si="394">КОЛ4108/$G$1</f>
        <v>#NAME?</v>
      </c>
      <c r="AU98" s="66" t="e">
        <f t="shared" ref="AU98:AU109" si="395">КОЛ4109/$G$1</f>
        <v>#NAME?</v>
      </c>
      <c r="AV98" s="66" t="e">
        <f t="shared" ref="AV98:AV109" si="396">КОЛ4110/$G$1</f>
        <v>#NAME?</v>
      </c>
      <c r="AW98" s="66" t="e">
        <f t="shared" ref="AW98:AW109" si="397">КОЛ4111/$G$1</f>
        <v>#NAME?</v>
      </c>
      <c r="AX98" s="66" t="e">
        <f t="shared" ref="AX98:AX106" si="398">AY98+BA98</f>
        <v>#NAME?</v>
      </c>
      <c r="AY98" s="66" t="e">
        <f t="shared" ref="AY98:AY109" si="399">КОЛ4113/$G$1</f>
        <v>#NAME?</v>
      </c>
      <c r="AZ98" s="66" t="e">
        <f t="shared" ref="AZ98:AZ109" si="400">КОЛ4114/$G$1</f>
        <v>#NAME?</v>
      </c>
      <c r="BA98" s="66" t="e">
        <f t="shared" ref="BA98:BA109" si="401">КОЛ4115/$G$1</f>
        <v>#NAME?</v>
      </c>
      <c r="BB98" s="67" t="e">
        <f t="shared" si="308"/>
        <v>#NAME?</v>
      </c>
      <c r="BC98" s="67" t="e">
        <f t="shared" si="304"/>
        <v>#NAME?</v>
      </c>
      <c r="BD98" s="67" t="e">
        <f t="shared" si="305"/>
        <v>#NAME?</v>
      </c>
      <c r="BE98" s="67" t="e">
        <f t="shared" ref="BE98:BE109" si="402">КОЛ4117/$G$1</f>
        <v>#NAME?</v>
      </c>
      <c r="BF98" s="67" t="e">
        <f t="shared" ref="BF98:BF106" si="403">(AQ98+AU98+AV98-AY98-BE98)</f>
        <v>#NAME?</v>
      </c>
      <c r="BG98" s="67" t="e">
        <f t="shared" ref="BG98:BG106" si="404">(AS98-AY98)</f>
        <v>#NAME?</v>
      </c>
    </row>
    <row r="99" spans="1:59" ht="15.6" x14ac:dyDescent="0.3">
      <c r="A99" s="8" t="s">
        <v>235</v>
      </c>
      <c r="B99" s="11" t="s">
        <v>236</v>
      </c>
      <c r="C99" s="63" t="s">
        <v>237</v>
      </c>
      <c r="D99" s="64"/>
      <c r="E99" s="65"/>
      <c r="F99" s="66" t="e">
        <f t="shared" si="360"/>
        <v>#NAME?</v>
      </c>
      <c r="G99" s="66" t="e">
        <f t="shared" si="361"/>
        <v>#NAME?</v>
      </c>
      <c r="H99" s="66" t="e">
        <f t="shared" si="362"/>
        <v>#NAME?</v>
      </c>
      <c r="I99" s="66" t="e">
        <f t="shared" si="363"/>
        <v>#NAME?</v>
      </c>
      <c r="J99" s="66" t="e">
        <f t="shared" si="364"/>
        <v>#NAME?</v>
      </c>
      <c r="K99" s="66" t="e">
        <f t="shared" si="365"/>
        <v>#NAME?</v>
      </c>
      <c r="L99" s="66" t="e">
        <f t="shared" si="366"/>
        <v>#NAME?</v>
      </c>
      <c r="M99" s="66" t="e">
        <f t="shared" si="367"/>
        <v>#NAME?</v>
      </c>
      <c r="N99" s="66" t="e">
        <f t="shared" si="368"/>
        <v>#NAME?</v>
      </c>
      <c r="O99" s="66" t="e">
        <f t="shared" si="369"/>
        <v>#NAME?</v>
      </c>
      <c r="P99" s="66" t="e">
        <f t="shared" si="370"/>
        <v>#NAME?</v>
      </c>
      <c r="Q99" s="66" t="e">
        <f t="shared" si="371"/>
        <v>#NAME?</v>
      </c>
      <c r="R99" s="67" t="e">
        <f t="shared" si="306"/>
        <v>#NAME?</v>
      </c>
      <c r="S99" s="67" t="e">
        <f t="shared" si="300"/>
        <v>#NAME?</v>
      </c>
      <c r="T99" s="67" t="e">
        <f t="shared" si="301"/>
        <v>#NAME?</v>
      </c>
      <c r="U99" s="67" t="e">
        <f t="shared" si="372"/>
        <v>#NAME?</v>
      </c>
      <c r="V99" s="67" t="e">
        <f t="shared" si="373"/>
        <v>#NAME?</v>
      </c>
      <c r="W99" s="67" t="e">
        <f t="shared" si="374"/>
        <v>#NAME?</v>
      </c>
      <c r="X99" s="66" t="e">
        <f t="shared" si="375"/>
        <v>#NAME?</v>
      </c>
      <c r="Y99" s="66" t="e">
        <f t="shared" si="376"/>
        <v>#NAME?</v>
      </c>
      <c r="Z99" s="66" t="e">
        <f t="shared" si="377"/>
        <v>#NAME?</v>
      </c>
      <c r="AA99" s="66" t="e">
        <f t="shared" si="378"/>
        <v>#NAME?</v>
      </c>
      <c r="AB99" s="66" t="e">
        <f t="shared" si="379"/>
        <v>#NAME?</v>
      </c>
      <c r="AC99" s="66" t="e">
        <f t="shared" si="380"/>
        <v>#NAME?</v>
      </c>
      <c r="AD99" s="66" t="e">
        <f t="shared" si="381"/>
        <v>#NAME?</v>
      </c>
      <c r="AE99" s="66" t="e">
        <f t="shared" si="382"/>
        <v>#NAME?</v>
      </c>
      <c r="AF99" s="66" t="e">
        <f t="shared" si="383"/>
        <v>#NAME?</v>
      </c>
      <c r="AG99" s="66" t="e">
        <f t="shared" si="384"/>
        <v>#NAME?</v>
      </c>
      <c r="AH99" s="66" t="e">
        <f t="shared" si="385"/>
        <v>#NAME?</v>
      </c>
      <c r="AI99" s="66" t="e">
        <f t="shared" si="386"/>
        <v>#NAME?</v>
      </c>
      <c r="AJ99" s="67" t="e">
        <f t="shared" si="307"/>
        <v>#NAME?</v>
      </c>
      <c r="AK99" s="67" t="e">
        <f t="shared" si="302"/>
        <v>#NAME?</v>
      </c>
      <c r="AL99" s="67" t="e">
        <f t="shared" si="303"/>
        <v>#NAME?</v>
      </c>
      <c r="AM99" s="67" t="e">
        <f t="shared" si="387"/>
        <v>#NAME?</v>
      </c>
      <c r="AN99" s="67" t="e">
        <f t="shared" si="388"/>
        <v>#NAME?</v>
      </c>
      <c r="AO99" s="67" t="e">
        <f t="shared" si="389"/>
        <v>#NAME?</v>
      </c>
      <c r="AP99" s="66" t="e">
        <f t="shared" si="390"/>
        <v>#NAME?</v>
      </c>
      <c r="AQ99" s="66" t="e">
        <f t="shared" si="391"/>
        <v>#NAME?</v>
      </c>
      <c r="AR99" s="66" t="e">
        <f t="shared" si="392"/>
        <v>#NAME?</v>
      </c>
      <c r="AS99" s="66" t="e">
        <f t="shared" si="393"/>
        <v>#NAME?</v>
      </c>
      <c r="AT99" s="66" t="e">
        <f t="shared" si="394"/>
        <v>#NAME?</v>
      </c>
      <c r="AU99" s="66" t="e">
        <f t="shared" si="395"/>
        <v>#NAME?</v>
      </c>
      <c r="AV99" s="66" t="e">
        <f t="shared" si="396"/>
        <v>#NAME?</v>
      </c>
      <c r="AW99" s="66" t="e">
        <f t="shared" si="397"/>
        <v>#NAME?</v>
      </c>
      <c r="AX99" s="66" t="e">
        <f t="shared" si="398"/>
        <v>#NAME?</v>
      </c>
      <c r="AY99" s="66" t="e">
        <f t="shared" si="399"/>
        <v>#NAME?</v>
      </c>
      <c r="AZ99" s="66" t="e">
        <f t="shared" si="400"/>
        <v>#NAME?</v>
      </c>
      <c r="BA99" s="66" t="e">
        <f t="shared" si="401"/>
        <v>#NAME?</v>
      </c>
      <c r="BB99" s="67" t="e">
        <f t="shared" si="308"/>
        <v>#NAME?</v>
      </c>
      <c r="BC99" s="67" t="e">
        <f t="shared" si="304"/>
        <v>#NAME?</v>
      </c>
      <c r="BD99" s="67" t="e">
        <f t="shared" si="305"/>
        <v>#NAME?</v>
      </c>
      <c r="BE99" s="67" t="e">
        <f t="shared" si="402"/>
        <v>#NAME?</v>
      </c>
      <c r="BF99" s="67" t="e">
        <f t="shared" si="403"/>
        <v>#NAME?</v>
      </c>
      <c r="BG99" s="67" t="e">
        <f t="shared" si="404"/>
        <v>#NAME?</v>
      </c>
    </row>
    <row r="100" spans="1:59" ht="15.6" x14ac:dyDescent="0.3">
      <c r="A100" s="8" t="s">
        <v>238</v>
      </c>
      <c r="B100" s="11" t="s">
        <v>239</v>
      </c>
      <c r="C100" s="63" t="s">
        <v>240</v>
      </c>
      <c r="D100" s="64"/>
      <c r="E100" s="65"/>
      <c r="F100" s="66" t="e">
        <f t="shared" si="360"/>
        <v>#NAME?</v>
      </c>
      <c r="G100" s="66" t="e">
        <f t="shared" si="361"/>
        <v>#NAME?</v>
      </c>
      <c r="H100" s="66" t="e">
        <f t="shared" si="362"/>
        <v>#NAME?</v>
      </c>
      <c r="I100" s="66" t="e">
        <f t="shared" si="363"/>
        <v>#NAME?</v>
      </c>
      <c r="J100" s="66" t="e">
        <f t="shared" si="364"/>
        <v>#NAME?</v>
      </c>
      <c r="K100" s="66" t="e">
        <f t="shared" si="365"/>
        <v>#NAME?</v>
      </c>
      <c r="L100" s="66" t="e">
        <f t="shared" si="366"/>
        <v>#NAME?</v>
      </c>
      <c r="M100" s="66" t="e">
        <f t="shared" si="367"/>
        <v>#NAME?</v>
      </c>
      <c r="N100" s="66" t="e">
        <f t="shared" si="368"/>
        <v>#NAME?</v>
      </c>
      <c r="O100" s="66" t="e">
        <f t="shared" si="369"/>
        <v>#NAME?</v>
      </c>
      <c r="P100" s="66" t="e">
        <f t="shared" si="370"/>
        <v>#NAME?</v>
      </c>
      <c r="Q100" s="66" t="e">
        <f t="shared" si="371"/>
        <v>#NAME?</v>
      </c>
      <c r="R100" s="67" t="e">
        <f t="shared" si="306"/>
        <v>#NAME?</v>
      </c>
      <c r="S100" s="67" t="e">
        <f t="shared" si="300"/>
        <v>#NAME?</v>
      </c>
      <c r="T100" s="67" t="e">
        <f t="shared" si="301"/>
        <v>#NAME?</v>
      </c>
      <c r="U100" s="67" t="e">
        <f t="shared" si="372"/>
        <v>#NAME?</v>
      </c>
      <c r="V100" s="67" t="e">
        <f t="shared" si="373"/>
        <v>#NAME?</v>
      </c>
      <c r="W100" s="67" t="e">
        <f t="shared" si="374"/>
        <v>#NAME?</v>
      </c>
      <c r="X100" s="66" t="e">
        <f t="shared" si="375"/>
        <v>#NAME?</v>
      </c>
      <c r="Y100" s="66" t="e">
        <f t="shared" si="376"/>
        <v>#NAME?</v>
      </c>
      <c r="Z100" s="66" t="e">
        <f t="shared" si="377"/>
        <v>#NAME?</v>
      </c>
      <c r="AA100" s="66" t="e">
        <f t="shared" si="378"/>
        <v>#NAME?</v>
      </c>
      <c r="AB100" s="66" t="e">
        <f t="shared" si="379"/>
        <v>#NAME?</v>
      </c>
      <c r="AC100" s="66" t="e">
        <f t="shared" si="380"/>
        <v>#NAME?</v>
      </c>
      <c r="AD100" s="66" t="e">
        <f t="shared" si="381"/>
        <v>#NAME?</v>
      </c>
      <c r="AE100" s="66" t="e">
        <f t="shared" si="382"/>
        <v>#NAME?</v>
      </c>
      <c r="AF100" s="66" t="e">
        <f t="shared" si="383"/>
        <v>#NAME?</v>
      </c>
      <c r="AG100" s="66" t="e">
        <f t="shared" si="384"/>
        <v>#NAME?</v>
      </c>
      <c r="AH100" s="66" t="e">
        <f t="shared" si="385"/>
        <v>#NAME?</v>
      </c>
      <c r="AI100" s="66" t="e">
        <f t="shared" si="386"/>
        <v>#NAME?</v>
      </c>
      <c r="AJ100" s="67" t="e">
        <f t="shared" si="307"/>
        <v>#NAME?</v>
      </c>
      <c r="AK100" s="67" t="e">
        <f t="shared" si="302"/>
        <v>#NAME?</v>
      </c>
      <c r="AL100" s="67" t="e">
        <f t="shared" si="303"/>
        <v>#NAME?</v>
      </c>
      <c r="AM100" s="67" t="e">
        <f t="shared" si="387"/>
        <v>#NAME?</v>
      </c>
      <c r="AN100" s="67" t="e">
        <f t="shared" si="388"/>
        <v>#NAME?</v>
      </c>
      <c r="AO100" s="67" t="e">
        <f t="shared" si="389"/>
        <v>#NAME?</v>
      </c>
      <c r="AP100" s="66" t="e">
        <f t="shared" si="390"/>
        <v>#NAME?</v>
      </c>
      <c r="AQ100" s="66" t="e">
        <f t="shared" si="391"/>
        <v>#NAME?</v>
      </c>
      <c r="AR100" s="66" t="e">
        <f t="shared" si="392"/>
        <v>#NAME?</v>
      </c>
      <c r="AS100" s="66" t="e">
        <f t="shared" si="393"/>
        <v>#NAME?</v>
      </c>
      <c r="AT100" s="66" t="e">
        <f t="shared" si="394"/>
        <v>#NAME?</v>
      </c>
      <c r="AU100" s="66" t="e">
        <f t="shared" si="395"/>
        <v>#NAME?</v>
      </c>
      <c r="AV100" s="66" t="e">
        <f t="shared" si="396"/>
        <v>#NAME?</v>
      </c>
      <c r="AW100" s="66" t="e">
        <f t="shared" si="397"/>
        <v>#NAME?</v>
      </c>
      <c r="AX100" s="66" t="e">
        <f t="shared" si="398"/>
        <v>#NAME?</v>
      </c>
      <c r="AY100" s="66" t="e">
        <f t="shared" si="399"/>
        <v>#NAME?</v>
      </c>
      <c r="AZ100" s="66" t="e">
        <f t="shared" si="400"/>
        <v>#NAME?</v>
      </c>
      <c r="BA100" s="66" t="e">
        <f t="shared" si="401"/>
        <v>#NAME?</v>
      </c>
      <c r="BB100" s="67" t="e">
        <f t="shared" si="308"/>
        <v>#NAME?</v>
      </c>
      <c r="BC100" s="67" t="e">
        <f t="shared" si="304"/>
        <v>#NAME?</v>
      </c>
      <c r="BD100" s="67" t="e">
        <f t="shared" si="305"/>
        <v>#NAME?</v>
      </c>
      <c r="BE100" s="67" t="e">
        <f t="shared" si="402"/>
        <v>#NAME?</v>
      </c>
      <c r="BF100" s="67" t="e">
        <f t="shared" si="403"/>
        <v>#NAME?</v>
      </c>
      <c r="BG100" s="67" t="e">
        <f t="shared" si="404"/>
        <v>#NAME?</v>
      </c>
    </row>
    <row r="101" spans="1:59" ht="15.6" x14ac:dyDescent="0.3">
      <c r="A101" s="8" t="s">
        <v>241</v>
      </c>
      <c r="B101" s="11" t="s">
        <v>242</v>
      </c>
      <c r="C101" s="63" t="s">
        <v>243</v>
      </c>
      <c r="D101" s="64"/>
      <c r="E101" s="65"/>
      <c r="F101" s="66" t="e">
        <f t="shared" si="360"/>
        <v>#NAME?</v>
      </c>
      <c r="G101" s="66" t="e">
        <f t="shared" si="361"/>
        <v>#NAME?</v>
      </c>
      <c r="H101" s="66" t="e">
        <f t="shared" si="362"/>
        <v>#NAME?</v>
      </c>
      <c r="I101" s="66" t="e">
        <f t="shared" si="363"/>
        <v>#NAME?</v>
      </c>
      <c r="J101" s="66" t="e">
        <f t="shared" si="364"/>
        <v>#NAME?</v>
      </c>
      <c r="K101" s="66" t="e">
        <f t="shared" si="365"/>
        <v>#NAME?</v>
      </c>
      <c r="L101" s="66" t="e">
        <f t="shared" si="366"/>
        <v>#NAME?</v>
      </c>
      <c r="M101" s="66" t="e">
        <f t="shared" si="367"/>
        <v>#NAME?</v>
      </c>
      <c r="N101" s="66" t="e">
        <f t="shared" si="368"/>
        <v>#NAME?</v>
      </c>
      <c r="O101" s="66" t="e">
        <f t="shared" si="369"/>
        <v>#NAME?</v>
      </c>
      <c r="P101" s="66" t="e">
        <f t="shared" si="370"/>
        <v>#NAME?</v>
      </c>
      <c r="Q101" s="66" t="e">
        <f t="shared" si="371"/>
        <v>#NAME?</v>
      </c>
      <c r="R101" s="67" t="e">
        <f t="shared" si="306"/>
        <v>#NAME?</v>
      </c>
      <c r="S101" s="67" t="e">
        <f t="shared" si="300"/>
        <v>#NAME?</v>
      </c>
      <c r="T101" s="67" t="e">
        <f t="shared" si="301"/>
        <v>#NAME?</v>
      </c>
      <c r="U101" s="67" t="e">
        <f t="shared" si="372"/>
        <v>#NAME?</v>
      </c>
      <c r="V101" s="67" t="e">
        <f t="shared" si="373"/>
        <v>#NAME?</v>
      </c>
      <c r="W101" s="67" t="e">
        <f t="shared" si="374"/>
        <v>#NAME?</v>
      </c>
      <c r="X101" s="66" t="e">
        <f t="shared" si="375"/>
        <v>#NAME?</v>
      </c>
      <c r="Y101" s="66" t="e">
        <f t="shared" si="376"/>
        <v>#NAME?</v>
      </c>
      <c r="Z101" s="66" t="e">
        <f t="shared" si="377"/>
        <v>#NAME?</v>
      </c>
      <c r="AA101" s="66" t="e">
        <f t="shared" si="378"/>
        <v>#NAME?</v>
      </c>
      <c r="AB101" s="66" t="e">
        <f t="shared" si="379"/>
        <v>#NAME?</v>
      </c>
      <c r="AC101" s="66" t="e">
        <f t="shared" si="380"/>
        <v>#NAME?</v>
      </c>
      <c r="AD101" s="66" t="e">
        <f t="shared" si="381"/>
        <v>#NAME?</v>
      </c>
      <c r="AE101" s="66" t="e">
        <f t="shared" si="382"/>
        <v>#NAME?</v>
      </c>
      <c r="AF101" s="66" t="e">
        <f t="shared" si="383"/>
        <v>#NAME?</v>
      </c>
      <c r="AG101" s="66" t="e">
        <f t="shared" si="384"/>
        <v>#NAME?</v>
      </c>
      <c r="AH101" s="66" t="e">
        <f t="shared" si="385"/>
        <v>#NAME?</v>
      </c>
      <c r="AI101" s="66" t="e">
        <f t="shared" si="386"/>
        <v>#NAME?</v>
      </c>
      <c r="AJ101" s="67" t="e">
        <f t="shared" si="307"/>
        <v>#NAME?</v>
      </c>
      <c r="AK101" s="67" t="e">
        <f t="shared" si="302"/>
        <v>#NAME?</v>
      </c>
      <c r="AL101" s="67" t="e">
        <f t="shared" si="303"/>
        <v>#NAME?</v>
      </c>
      <c r="AM101" s="67" t="e">
        <f t="shared" si="387"/>
        <v>#NAME?</v>
      </c>
      <c r="AN101" s="67" t="e">
        <f t="shared" si="388"/>
        <v>#NAME?</v>
      </c>
      <c r="AO101" s="67" t="e">
        <f t="shared" si="389"/>
        <v>#NAME?</v>
      </c>
      <c r="AP101" s="66" t="e">
        <f t="shared" si="390"/>
        <v>#NAME?</v>
      </c>
      <c r="AQ101" s="66" t="e">
        <f t="shared" si="391"/>
        <v>#NAME?</v>
      </c>
      <c r="AR101" s="66" t="e">
        <f t="shared" si="392"/>
        <v>#NAME?</v>
      </c>
      <c r="AS101" s="66" t="e">
        <f t="shared" si="393"/>
        <v>#NAME?</v>
      </c>
      <c r="AT101" s="66" t="e">
        <f t="shared" si="394"/>
        <v>#NAME?</v>
      </c>
      <c r="AU101" s="66" t="e">
        <f t="shared" si="395"/>
        <v>#NAME?</v>
      </c>
      <c r="AV101" s="66" t="e">
        <f t="shared" si="396"/>
        <v>#NAME?</v>
      </c>
      <c r="AW101" s="66" t="e">
        <f t="shared" si="397"/>
        <v>#NAME?</v>
      </c>
      <c r="AX101" s="66" t="e">
        <f t="shared" si="398"/>
        <v>#NAME?</v>
      </c>
      <c r="AY101" s="66" t="e">
        <f t="shared" si="399"/>
        <v>#NAME?</v>
      </c>
      <c r="AZ101" s="66" t="e">
        <f t="shared" si="400"/>
        <v>#NAME?</v>
      </c>
      <c r="BA101" s="66" t="e">
        <f t="shared" si="401"/>
        <v>#NAME?</v>
      </c>
      <c r="BB101" s="67" t="e">
        <f t="shared" si="308"/>
        <v>#NAME?</v>
      </c>
      <c r="BC101" s="67" t="e">
        <f t="shared" si="304"/>
        <v>#NAME?</v>
      </c>
      <c r="BD101" s="67" t="e">
        <f t="shared" si="305"/>
        <v>#NAME?</v>
      </c>
      <c r="BE101" s="67" t="e">
        <f t="shared" si="402"/>
        <v>#NAME?</v>
      </c>
      <c r="BF101" s="67" t="e">
        <f t="shared" si="403"/>
        <v>#NAME?</v>
      </c>
      <c r="BG101" s="67" t="e">
        <f t="shared" si="404"/>
        <v>#NAME?</v>
      </c>
    </row>
    <row r="102" spans="1:59" ht="15.6" x14ac:dyDescent="0.3">
      <c r="A102" s="8" t="s">
        <v>244</v>
      </c>
      <c r="B102" s="11" t="s">
        <v>245</v>
      </c>
      <c r="C102" s="63" t="s">
        <v>246</v>
      </c>
      <c r="D102" s="64"/>
      <c r="E102" s="65"/>
      <c r="F102" s="66" t="e">
        <f t="shared" si="360"/>
        <v>#NAME?</v>
      </c>
      <c r="G102" s="66" t="e">
        <f t="shared" si="361"/>
        <v>#NAME?</v>
      </c>
      <c r="H102" s="66" t="e">
        <f t="shared" si="362"/>
        <v>#NAME?</v>
      </c>
      <c r="I102" s="66" t="e">
        <f t="shared" si="363"/>
        <v>#NAME?</v>
      </c>
      <c r="J102" s="66" t="e">
        <f t="shared" si="364"/>
        <v>#NAME?</v>
      </c>
      <c r="K102" s="66" t="e">
        <f t="shared" si="365"/>
        <v>#NAME?</v>
      </c>
      <c r="L102" s="66" t="e">
        <f t="shared" si="366"/>
        <v>#NAME?</v>
      </c>
      <c r="M102" s="66" t="e">
        <f t="shared" si="367"/>
        <v>#NAME?</v>
      </c>
      <c r="N102" s="66" t="e">
        <f t="shared" si="368"/>
        <v>#NAME?</v>
      </c>
      <c r="O102" s="66" t="e">
        <f t="shared" si="369"/>
        <v>#NAME?</v>
      </c>
      <c r="P102" s="66" t="e">
        <f t="shared" si="370"/>
        <v>#NAME?</v>
      </c>
      <c r="Q102" s="66" t="e">
        <f t="shared" si="371"/>
        <v>#NAME?</v>
      </c>
      <c r="R102" s="67" t="e">
        <f t="shared" si="306"/>
        <v>#NAME?</v>
      </c>
      <c r="S102" s="67" t="e">
        <f t="shared" si="300"/>
        <v>#NAME?</v>
      </c>
      <c r="T102" s="67" t="e">
        <f t="shared" si="301"/>
        <v>#NAME?</v>
      </c>
      <c r="U102" s="67" t="e">
        <f t="shared" si="372"/>
        <v>#NAME?</v>
      </c>
      <c r="V102" s="67" t="e">
        <f t="shared" si="373"/>
        <v>#NAME?</v>
      </c>
      <c r="W102" s="67" t="e">
        <f t="shared" si="374"/>
        <v>#NAME?</v>
      </c>
      <c r="X102" s="66" t="e">
        <f t="shared" si="375"/>
        <v>#NAME?</v>
      </c>
      <c r="Y102" s="66" t="e">
        <f t="shared" si="376"/>
        <v>#NAME?</v>
      </c>
      <c r="Z102" s="66" t="e">
        <f t="shared" si="377"/>
        <v>#NAME?</v>
      </c>
      <c r="AA102" s="66" t="e">
        <f t="shared" si="378"/>
        <v>#NAME?</v>
      </c>
      <c r="AB102" s="66" t="e">
        <f t="shared" si="379"/>
        <v>#NAME?</v>
      </c>
      <c r="AC102" s="66" t="e">
        <f t="shared" si="380"/>
        <v>#NAME?</v>
      </c>
      <c r="AD102" s="66" t="e">
        <f t="shared" si="381"/>
        <v>#NAME?</v>
      </c>
      <c r="AE102" s="66" t="e">
        <f t="shared" si="382"/>
        <v>#NAME?</v>
      </c>
      <c r="AF102" s="66" t="e">
        <f t="shared" si="383"/>
        <v>#NAME?</v>
      </c>
      <c r="AG102" s="66" t="e">
        <f t="shared" si="384"/>
        <v>#NAME?</v>
      </c>
      <c r="AH102" s="66" t="e">
        <f t="shared" si="385"/>
        <v>#NAME?</v>
      </c>
      <c r="AI102" s="66" t="e">
        <f t="shared" si="386"/>
        <v>#NAME?</v>
      </c>
      <c r="AJ102" s="67" t="e">
        <f t="shared" si="307"/>
        <v>#NAME?</v>
      </c>
      <c r="AK102" s="67" t="e">
        <f t="shared" si="302"/>
        <v>#NAME?</v>
      </c>
      <c r="AL102" s="67" t="e">
        <f t="shared" si="303"/>
        <v>#NAME?</v>
      </c>
      <c r="AM102" s="67" t="e">
        <f t="shared" si="387"/>
        <v>#NAME?</v>
      </c>
      <c r="AN102" s="67" t="e">
        <f t="shared" si="388"/>
        <v>#NAME?</v>
      </c>
      <c r="AO102" s="67" t="e">
        <f t="shared" si="389"/>
        <v>#NAME?</v>
      </c>
      <c r="AP102" s="66" t="e">
        <f t="shared" si="390"/>
        <v>#NAME?</v>
      </c>
      <c r="AQ102" s="66" t="e">
        <f t="shared" si="391"/>
        <v>#NAME?</v>
      </c>
      <c r="AR102" s="66" t="e">
        <f t="shared" si="392"/>
        <v>#NAME?</v>
      </c>
      <c r="AS102" s="66" t="e">
        <f t="shared" si="393"/>
        <v>#NAME?</v>
      </c>
      <c r="AT102" s="66" t="e">
        <f t="shared" si="394"/>
        <v>#NAME?</v>
      </c>
      <c r="AU102" s="66" t="e">
        <f t="shared" si="395"/>
        <v>#NAME?</v>
      </c>
      <c r="AV102" s="66" t="e">
        <f t="shared" si="396"/>
        <v>#NAME?</v>
      </c>
      <c r="AW102" s="66" t="e">
        <f t="shared" si="397"/>
        <v>#NAME?</v>
      </c>
      <c r="AX102" s="66" t="e">
        <f t="shared" si="398"/>
        <v>#NAME?</v>
      </c>
      <c r="AY102" s="66" t="e">
        <f t="shared" si="399"/>
        <v>#NAME?</v>
      </c>
      <c r="AZ102" s="66" t="e">
        <f t="shared" si="400"/>
        <v>#NAME?</v>
      </c>
      <c r="BA102" s="66" t="e">
        <f t="shared" si="401"/>
        <v>#NAME?</v>
      </c>
      <c r="BB102" s="67" t="e">
        <f t="shared" si="308"/>
        <v>#NAME?</v>
      </c>
      <c r="BC102" s="67" t="e">
        <f t="shared" si="304"/>
        <v>#NAME?</v>
      </c>
      <c r="BD102" s="67" t="e">
        <f t="shared" si="305"/>
        <v>#NAME?</v>
      </c>
      <c r="BE102" s="67" t="e">
        <f t="shared" si="402"/>
        <v>#NAME?</v>
      </c>
      <c r="BF102" s="67" t="e">
        <f t="shared" si="403"/>
        <v>#NAME?</v>
      </c>
      <c r="BG102" s="67" t="e">
        <f t="shared" si="404"/>
        <v>#NAME?</v>
      </c>
    </row>
    <row r="103" spans="1:59" ht="15.6" x14ac:dyDescent="0.3">
      <c r="A103" s="8" t="s">
        <v>247</v>
      </c>
      <c r="B103" s="11" t="s">
        <v>248</v>
      </c>
      <c r="C103" s="63" t="s">
        <v>249</v>
      </c>
      <c r="D103" s="64"/>
      <c r="E103" s="65"/>
      <c r="F103" s="66" t="e">
        <f t="shared" si="360"/>
        <v>#NAME?</v>
      </c>
      <c r="G103" s="66" t="e">
        <f t="shared" si="361"/>
        <v>#NAME?</v>
      </c>
      <c r="H103" s="66" t="e">
        <f t="shared" si="362"/>
        <v>#NAME?</v>
      </c>
      <c r="I103" s="66" t="e">
        <f t="shared" si="363"/>
        <v>#NAME?</v>
      </c>
      <c r="J103" s="66" t="e">
        <f t="shared" si="364"/>
        <v>#NAME?</v>
      </c>
      <c r="K103" s="66" t="e">
        <f t="shared" si="365"/>
        <v>#NAME?</v>
      </c>
      <c r="L103" s="66" t="e">
        <f t="shared" si="366"/>
        <v>#NAME?</v>
      </c>
      <c r="M103" s="66" t="e">
        <f t="shared" si="367"/>
        <v>#NAME?</v>
      </c>
      <c r="N103" s="66" t="e">
        <f t="shared" si="368"/>
        <v>#NAME?</v>
      </c>
      <c r="O103" s="66" t="e">
        <f t="shared" si="369"/>
        <v>#NAME?</v>
      </c>
      <c r="P103" s="66" t="e">
        <f t="shared" si="370"/>
        <v>#NAME?</v>
      </c>
      <c r="Q103" s="66" t="e">
        <f t="shared" si="371"/>
        <v>#NAME?</v>
      </c>
      <c r="R103" s="67" t="e">
        <f t="shared" si="306"/>
        <v>#NAME?</v>
      </c>
      <c r="S103" s="67" t="e">
        <f t="shared" si="300"/>
        <v>#NAME?</v>
      </c>
      <c r="T103" s="67" t="e">
        <f t="shared" si="301"/>
        <v>#NAME?</v>
      </c>
      <c r="U103" s="67" t="e">
        <f t="shared" si="372"/>
        <v>#NAME?</v>
      </c>
      <c r="V103" s="67" t="e">
        <f t="shared" si="373"/>
        <v>#NAME?</v>
      </c>
      <c r="W103" s="67" t="e">
        <f t="shared" si="374"/>
        <v>#NAME?</v>
      </c>
      <c r="X103" s="66" t="e">
        <f t="shared" si="375"/>
        <v>#NAME?</v>
      </c>
      <c r="Y103" s="66" t="e">
        <f t="shared" si="376"/>
        <v>#NAME?</v>
      </c>
      <c r="Z103" s="66" t="e">
        <f t="shared" si="377"/>
        <v>#NAME?</v>
      </c>
      <c r="AA103" s="66" t="e">
        <f t="shared" si="378"/>
        <v>#NAME?</v>
      </c>
      <c r="AB103" s="66" t="e">
        <f t="shared" si="379"/>
        <v>#NAME?</v>
      </c>
      <c r="AC103" s="66" t="e">
        <f t="shared" si="380"/>
        <v>#NAME?</v>
      </c>
      <c r="AD103" s="66" t="e">
        <f t="shared" si="381"/>
        <v>#NAME?</v>
      </c>
      <c r="AE103" s="66" t="e">
        <f t="shared" si="382"/>
        <v>#NAME?</v>
      </c>
      <c r="AF103" s="66" t="e">
        <f t="shared" si="383"/>
        <v>#NAME?</v>
      </c>
      <c r="AG103" s="66" t="e">
        <f t="shared" si="384"/>
        <v>#NAME?</v>
      </c>
      <c r="AH103" s="66" t="e">
        <f t="shared" si="385"/>
        <v>#NAME?</v>
      </c>
      <c r="AI103" s="66" t="e">
        <f t="shared" si="386"/>
        <v>#NAME?</v>
      </c>
      <c r="AJ103" s="67" t="e">
        <f t="shared" si="307"/>
        <v>#NAME?</v>
      </c>
      <c r="AK103" s="67" t="e">
        <f t="shared" si="302"/>
        <v>#NAME?</v>
      </c>
      <c r="AL103" s="67" t="e">
        <f t="shared" si="303"/>
        <v>#NAME?</v>
      </c>
      <c r="AM103" s="67" t="e">
        <f t="shared" si="387"/>
        <v>#NAME?</v>
      </c>
      <c r="AN103" s="67" t="e">
        <f t="shared" si="388"/>
        <v>#NAME?</v>
      </c>
      <c r="AO103" s="67" t="e">
        <f t="shared" si="389"/>
        <v>#NAME?</v>
      </c>
      <c r="AP103" s="66" t="e">
        <f t="shared" si="390"/>
        <v>#NAME?</v>
      </c>
      <c r="AQ103" s="66" t="e">
        <f t="shared" si="391"/>
        <v>#NAME?</v>
      </c>
      <c r="AR103" s="66" t="e">
        <f t="shared" si="392"/>
        <v>#NAME?</v>
      </c>
      <c r="AS103" s="66" t="e">
        <f t="shared" si="393"/>
        <v>#NAME?</v>
      </c>
      <c r="AT103" s="66" t="e">
        <f t="shared" si="394"/>
        <v>#NAME?</v>
      </c>
      <c r="AU103" s="66" t="e">
        <f t="shared" si="395"/>
        <v>#NAME?</v>
      </c>
      <c r="AV103" s="66" t="e">
        <f t="shared" si="396"/>
        <v>#NAME?</v>
      </c>
      <c r="AW103" s="66" t="e">
        <f t="shared" si="397"/>
        <v>#NAME?</v>
      </c>
      <c r="AX103" s="66" t="e">
        <f t="shared" si="398"/>
        <v>#NAME?</v>
      </c>
      <c r="AY103" s="66" t="e">
        <f t="shared" si="399"/>
        <v>#NAME?</v>
      </c>
      <c r="AZ103" s="66" t="e">
        <f t="shared" si="400"/>
        <v>#NAME?</v>
      </c>
      <c r="BA103" s="66" t="e">
        <f t="shared" si="401"/>
        <v>#NAME?</v>
      </c>
      <c r="BB103" s="67" t="e">
        <f t="shared" si="308"/>
        <v>#NAME?</v>
      </c>
      <c r="BC103" s="67" t="e">
        <f t="shared" si="304"/>
        <v>#NAME?</v>
      </c>
      <c r="BD103" s="67" t="e">
        <f t="shared" si="305"/>
        <v>#NAME?</v>
      </c>
      <c r="BE103" s="67" t="e">
        <f t="shared" si="402"/>
        <v>#NAME?</v>
      </c>
      <c r="BF103" s="67" t="e">
        <f t="shared" si="403"/>
        <v>#NAME?</v>
      </c>
      <c r="BG103" s="67" t="e">
        <f t="shared" si="404"/>
        <v>#NAME?</v>
      </c>
    </row>
    <row r="104" spans="1:59" ht="15.6" x14ac:dyDescent="0.3">
      <c r="A104" s="8" t="s">
        <v>250</v>
      </c>
      <c r="B104" s="11" t="s">
        <v>251</v>
      </c>
      <c r="C104" s="63" t="s">
        <v>252</v>
      </c>
      <c r="D104" s="64"/>
      <c r="E104" s="65"/>
      <c r="F104" s="66" t="e">
        <f t="shared" si="360"/>
        <v>#NAME?</v>
      </c>
      <c r="G104" s="66" t="e">
        <f t="shared" si="361"/>
        <v>#NAME?</v>
      </c>
      <c r="H104" s="66" t="e">
        <f t="shared" si="362"/>
        <v>#NAME?</v>
      </c>
      <c r="I104" s="66" t="e">
        <f t="shared" si="363"/>
        <v>#NAME?</v>
      </c>
      <c r="J104" s="66" t="e">
        <f t="shared" si="364"/>
        <v>#NAME?</v>
      </c>
      <c r="K104" s="66" t="e">
        <f t="shared" si="365"/>
        <v>#NAME?</v>
      </c>
      <c r="L104" s="66" t="e">
        <f t="shared" si="366"/>
        <v>#NAME?</v>
      </c>
      <c r="M104" s="66" t="e">
        <f t="shared" si="367"/>
        <v>#NAME?</v>
      </c>
      <c r="N104" s="66" t="e">
        <f t="shared" si="368"/>
        <v>#NAME?</v>
      </c>
      <c r="O104" s="66" t="e">
        <f t="shared" si="369"/>
        <v>#NAME?</v>
      </c>
      <c r="P104" s="66" t="e">
        <f t="shared" si="370"/>
        <v>#NAME?</v>
      </c>
      <c r="Q104" s="66" t="e">
        <f t="shared" si="371"/>
        <v>#NAME?</v>
      </c>
      <c r="R104" s="67" t="e">
        <f t="shared" si="306"/>
        <v>#NAME?</v>
      </c>
      <c r="S104" s="67" t="e">
        <f t="shared" si="300"/>
        <v>#NAME?</v>
      </c>
      <c r="T104" s="67" t="e">
        <f t="shared" si="301"/>
        <v>#NAME?</v>
      </c>
      <c r="U104" s="67" t="e">
        <f t="shared" si="372"/>
        <v>#NAME?</v>
      </c>
      <c r="V104" s="67" t="e">
        <f t="shared" si="373"/>
        <v>#NAME?</v>
      </c>
      <c r="W104" s="67" t="e">
        <f t="shared" si="374"/>
        <v>#NAME?</v>
      </c>
      <c r="X104" s="66" t="e">
        <f t="shared" si="375"/>
        <v>#NAME?</v>
      </c>
      <c r="Y104" s="66" t="e">
        <f t="shared" si="376"/>
        <v>#NAME?</v>
      </c>
      <c r="Z104" s="66" t="e">
        <f t="shared" si="377"/>
        <v>#NAME?</v>
      </c>
      <c r="AA104" s="66" t="e">
        <f t="shared" si="378"/>
        <v>#NAME?</v>
      </c>
      <c r="AB104" s="66" t="e">
        <f t="shared" si="379"/>
        <v>#NAME?</v>
      </c>
      <c r="AC104" s="66" t="e">
        <f t="shared" si="380"/>
        <v>#NAME?</v>
      </c>
      <c r="AD104" s="66" t="e">
        <f t="shared" si="381"/>
        <v>#NAME?</v>
      </c>
      <c r="AE104" s="66" t="e">
        <f t="shared" si="382"/>
        <v>#NAME?</v>
      </c>
      <c r="AF104" s="66" t="e">
        <f t="shared" si="383"/>
        <v>#NAME?</v>
      </c>
      <c r="AG104" s="66" t="e">
        <f t="shared" si="384"/>
        <v>#NAME?</v>
      </c>
      <c r="AH104" s="66" t="e">
        <f t="shared" si="385"/>
        <v>#NAME?</v>
      </c>
      <c r="AI104" s="66" t="e">
        <f t="shared" si="386"/>
        <v>#NAME?</v>
      </c>
      <c r="AJ104" s="67" t="e">
        <f t="shared" si="307"/>
        <v>#NAME?</v>
      </c>
      <c r="AK104" s="67" t="e">
        <f t="shared" si="302"/>
        <v>#NAME?</v>
      </c>
      <c r="AL104" s="67" t="e">
        <f t="shared" si="303"/>
        <v>#NAME?</v>
      </c>
      <c r="AM104" s="67" t="e">
        <f t="shared" si="387"/>
        <v>#NAME?</v>
      </c>
      <c r="AN104" s="67" t="e">
        <f t="shared" si="388"/>
        <v>#NAME?</v>
      </c>
      <c r="AO104" s="67" t="e">
        <f t="shared" si="389"/>
        <v>#NAME?</v>
      </c>
      <c r="AP104" s="66" t="e">
        <f t="shared" si="390"/>
        <v>#NAME?</v>
      </c>
      <c r="AQ104" s="66" t="e">
        <f t="shared" si="391"/>
        <v>#NAME?</v>
      </c>
      <c r="AR104" s="66" t="e">
        <f t="shared" si="392"/>
        <v>#NAME?</v>
      </c>
      <c r="AS104" s="66" t="e">
        <f t="shared" si="393"/>
        <v>#NAME?</v>
      </c>
      <c r="AT104" s="66" t="e">
        <f t="shared" si="394"/>
        <v>#NAME?</v>
      </c>
      <c r="AU104" s="66" t="e">
        <f t="shared" si="395"/>
        <v>#NAME?</v>
      </c>
      <c r="AV104" s="66" t="e">
        <f t="shared" si="396"/>
        <v>#NAME?</v>
      </c>
      <c r="AW104" s="66" t="e">
        <f t="shared" si="397"/>
        <v>#NAME?</v>
      </c>
      <c r="AX104" s="66" t="e">
        <f t="shared" si="398"/>
        <v>#NAME?</v>
      </c>
      <c r="AY104" s="66" t="e">
        <f t="shared" si="399"/>
        <v>#NAME?</v>
      </c>
      <c r="AZ104" s="66" t="e">
        <f t="shared" si="400"/>
        <v>#NAME?</v>
      </c>
      <c r="BA104" s="66" t="e">
        <f t="shared" si="401"/>
        <v>#NAME?</v>
      </c>
      <c r="BB104" s="67" t="e">
        <f t="shared" si="308"/>
        <v>#NAME?</v>
      </c>
      <c r="BC104" s="67" t="e">
        <f t="shared" si="304"/>
        <v>#NAME?</v>
      </c>
      <c r="BD104" s="67" t="e">
        <f t="shared" si="305"/>
        <v>#NAME?</v>
      </c>
      <c r="BE104" s="67" t="e">
        <f t="shared" si="402"/>
        <v>#NAME?</v>
      </c>
      <c r="BF104" s="67" t="e">
        <f t="shared" si="403"/>
        <v>#NAME?</v>
      </c>
      <c r="BG104" s="67" t="e">
        <f t="shared" si="404"/>
        <v>#NAME?</v>
      </c>
    </row>
    <row r="105" spans="1:59" ht="15.6" x14ac:dyDescent="0.3">
      <c r="A105" s="8" t="s">
        <v>253</v>
      </c>
      <c r="B105" s="11">
        <v>91</v>
      </c>
      <c r="C105" s="63" t="s">
        <v>254</v>
      </c>
      <c r="D105" s="64"/>
      <c r="E105" s="65"/>
      <c r="F105" s="66" t="e">
        <f t="shared" si="360"/>
        <v>#NAME?</v>
      </c>
      <c r="G105" s="66" t="e">
        <f t="shared" si="361"/>
        <v>#NAME?</v>
      </c>
      <c r="H105" s="66" t="e">
        <f t="shared" si="362"/>
        <v>#NAME?</v>
      </c>
      <c r="I105" s="66" t="e">
        <f t="shared" si="363"/>
        <v>#NAME?</v>
      </c>
      <c r="J105" s="66" t="e">
        <f t="shared" si="364"/>
        <v>#NAME?</v>
      </c>
      <c r="K105" s="66" t="e">
        <f t="shared" si="365"/>
        <v>#NAME?</v>
      </c>
      <c r="L105" s="66" t="e">
        <f t="shared" si="366"/>
        <v>#NAME?</v>
      </c>
      <c r="M105" s="66" t="e">
        <f t="shared" si="367"/>
        <v>#NAME?</v>
      </c>
      <c r="N105" s="66" t="e">
        <f t="shared" si="368"/>
        <v>#NAME?</v>
      </c>
      <c r="O105" s="66" t="e">
        <f t="shared" si="369"/>
        <v>#NAME?</v>
      </c>
      <c r="P105" s="66" t="e">
        <f t="shared" si="370"/>
        <v>#NAME?</v>
      </c>
      <c r="Q105" s="66" t="e">
        <f t="shared" si="371"/>
        <v>#NAME?</v>
      </c>
      <c r="R105" s="67" t="e">
        <f t="shared" si="306"/>
        <v>#NAME?</v>
      </c>
      <c r="S105" s="67" t="e">
        <f t="shared" si="300"/>
        <v>#NAME?</v>
      </c>
      <c r="T105" s="67" t="e">
        <f t="shared" si="301"/>
        <v>#NAME?</v>
      </c>
      <c r="U105" s="67" t="e">
        <f t="shared" si="372"/>
        <v>#NAME?</v>
      </c>
      <c r="V105" s="67" t="e">
        <f t="shared" si="373"/>
        <v>#NAME?</v>
      </c>
      <c r="W105" s="67" t="e">
        <f t="shared" si="374"/>
        <v>#NAME?</v>
      </c>
      <c r="X105" s="66" t="e">
        <f t="shared" si="375"/>
        <v>#NAME?</v>
      </c>
      <c r="Y105" s="66" t="e">
        <f t="shared" si="376"/>
        <v>#NAME?</v>
      </c>
      <c r="Z105" s="66" t="e">
        <f t="shared" si="377"/>
        <v>#NAME?</v>
      </c>
      <c r="AA105" s="66" t="e">
        <f t="shared" si="378"/>
        <v>#NAME?</v>
      </c>
      <c r="AB105" s="66" t="e">
        <f t="shared" si="379"/>
        <v>#NAME?</v>
      </c>
      <c r="AC105" s="66" t="e">
        <f t="shared" si="380"/>
        <v>#NAME?</v>
      </c>
      <c r="AD105" s="66" t="e">
        <f t="shared" si="381"/>
        <v>#NAME?</v>
      </c>
      <c r="AE105" s="66" t="e">
        <f t="shared" si="382"/>
        <v>#NAME?</v>
      </c>
      <c r="AF105" s="66" t="e">
        <f t="shared" si="383"/>
        <v>#NAME?</v>
      </c>
      <c r="AG105" s="66" t="e">
        <f t="shared" si="384"/>
        <v>#NAME?</v>
      </c>
      <c r="AH105" s="66" t="e">
        <f t="shared" si="385"/>
        <v>#NAME?</v>
      </c>
      <c r="AI105" s="66" t="e">
        <f t="shared" si="386"/>
        <v>#NAME?</v>
      </c>
      <c r="AJ105" s="67" t="e">
        <f t="shared" si="307"/>
        <v>#NAME?</v>
      </c>
      <c r="AK105" s="67" t="e">
        <f t="shared" si="302"/>
        <v>#NAME?</v>
      </c>
      <c r="AL105" s="67" t="e">
        <f t="shared" si="303"/>
        <v>#NAME?</v>
      </c>
      <c r="AM105" s="67" t="e">
        <f t="shared" si="387"/>
        <v>#NAME?</v>
      </c>
      <c r="AN105" s="67" t="e">
        <f t="shared" si="388"/>
        <v>#NAME?</v>
      </c>
      <c r="AO105" s="67" t="e">
        <f t="shared" si="389"/>
        <v>#NAME?</v>
      </c>
      <c r="AP105" s="66" t="e">
        <f t="shared" si="390"/>
        <v>#NAME?</v>
      </c>
      <c r="AQ105" s="66" t="e">
        <f t="shared" si="391"/>
        <v>#NAME?</v>
      </c>
      <c r="AR105" s="66" t="e">
        <f t="shared" si="392"/>
        <v>#NAME?</v>
      </c>
      <c r="AS105" s="66" t="e">
        <f t="shared" si="393"/>
        <v>#NAME?</v>
      </c>
      <c r="AT105" s="66" t="e">
        <f t="shared" si="394"/>
        <v>#NAME?</v>
      </c>
      <c r="AU105" s="66" t="e">
        <f t="shared" si="395"/>
        <v>#NAME?</v>
      </c>
      <c r="AV105" s="66" t="e">
        <f t="shared" si="396"/>
        <v>#NAME?</v>
      </c>
      <c r="AW105" s="66" t="e">
        <f t="shared" si="397"/>
        <v>#NAME?</v>
      </c>
      <c r="AX105" s="66" t="e">
        <f t="shared" si="398"/>
        <v>#NAME?</v>
      </c>
      <c r="AY105" s="66" t="e">
        <f t="shared" si="399"/>
        <v>#NAME?</v>
      </c>
      <c r="AZ105" s="66" t="e">
        <f t="shared" si="400"/>
        <v>#NAME?</v>
      </c>
      <c r="BA105" s="66" t="e">
        <f t="shared" si="401"/>
        <v>#NAME?</v>
      </c>
      <c r="BB105" s="67" t="e">
        <f t="shared" si="308"/>
        <v>#NAME?</v>
      </c>
      <c r="BC105" s="67" t="e">
        <f t="shared" si="304"/>
        <v>#NAME?</v>
      </c>
      <c r="BD105" s="67" t="e">
        <f t="shared" si="305"/>
        <v>#NAME?</v>
      </c>
      <c r="BE105" s="67" t="e">
        <f t="shared" si="402"/>
        <v>#NAME?</v>
      </c>
      <c r="BF105" s="67" t="e">
        <f t="shared" si="403"/>
        <v>#NAME?</v>
      </c>
      <c r="BG105" s="67" t="e">
        <f t="shared" si="404"/>
        <v>#NAME?</v>
      </c>
    </row>
    <row r="106" spans="1:59" ht="16.2" thickBot="1" x14ac:dyDescent="0.35">
      <c r="A106" s="19" t="s">
        <v>255</v>
      </c>
      <c r="B106" s="9">
        <v>92</v>
      </c>
      <c r="C106" s="63" t="s">
        <v>256</v>
      </c>
      <c r="D106" s="64"/>
      <c r="E106" s="65"/>
      <c r="F106" s="66" t="e">
        <f t="shared" si="360"/>
        <v>#NAME?</v>
      </c>
      <c r="G106" s="66" t="e">
        <f t="shared" si="361"/>
        <v>#NAME?</v>
      </c>
      <c r="H106" s="66" t="e">
        <f t="shared" si="362"/>
        <v>#NAME?</v>
      </c>
      <c r="I106" s="66" t="e">
        <f t="shared" si="363"/>
        <v>#NAME?</v>
      </c>
      <c r="J106" s="66" t="e">
        <f t="shared" si="364"/>
        <v>#NAME?</v>
      </c>
      <c r="K106" s="66" t="e">
        <f t="shared" si="365"/>
        <v>#NAME?</v>
      </c>
      <c r="L106" s="66" t="e">
        <f t="shared" si="366"/>
        <v>#NAME?</v>
      </c>
      <c r="M106" s="66" t="e">
        <f t="shared" si="367"/>
        <v>#NAME?</v>
      </c>
      <c r="N106" s="66" t="e">
        <f t="shared" si="368"/>
        <v>#NAME?</v>
      </c>
      <c r="O106" s="66" t="e">
        <f t="shared" si="369"/>
        <v>#NAME?</v>
      </c>
      <c r="P106" s="66" t="e">
        <f t="shared" si="370"/>
        <v>#NAME?</v>
      </c>
      <c r="Q106" s="66" t="e">
        <f t="shared" si="371"/>
        <v>#NAME?</v>
      </c>
      <c r="R106" s="67" t="e">
        <f t="shared" si="306"/>
        <v>#NAME?</v>
      </c>
      <c r="S106" s="67" t="e">
        <f t="shared" si="300"/>
        <v>#NAME?</v>
      </c>
      <c r="T106" s="67" t="e">
        <f t="shared" si="301"/>
        <v>#NAME?</v>
      </c>
      <c r="U106" s="67" t="e">
        <f t="shared" si="372"/>
        <v>#NAME?</v>
      </c>
      <c r="V106" s="67" t="e">
        <f t="shared" si="373"/>
        <v>#NAME?</v>
      </c>
      <c r="W106" s="67" t="e">
        <f t="shared" si="374"/>
        <v>#NAME?</v>
      </c>
      <c r="X106" s="66" t="e">
        <f t="shared" si="375"/>
        <v>#NAME?</v>
      </c>
      <c r="Y106" s="66" t="e">
        <f t="shared" si="376"/>
        <v>#NAME?</v>
      </c>
      <c r="Z106" s="66" t="e">
        <f t="shared" si="377"/>
        <v>#NAME?</v>
      </c>
      <c r="AA106" s="66" t="e">
        <f t="shared" si="378"/>
        <v>#NAME?</v>
      </c>
      <c r="AB106" s="66" t="e">
        <f t="shared" si="379"/>
        <v>#NAME?</v>
      </c>
      <c r="AC106" s="66" t="e">
        <f t="shared" si="380"/>
        <v>#NAME?</v>
      </c>
      <c r="AD106" s="66" t="e">
        <f t="shared" si="381"/>
        <v>#NAME?</v>
      </c>
      <c r="AE106" s="66" t="e">
        <f t="shared" si="382"/>
        <v>#NAME?</v>
      </c>
      <c r="AF106" s="66" t="e">
        <f t="shared" si="383"/>
        <v>#NAME?</v>
      </c>
      <c r="AG106" s="66" t="e">
        <f t="shared" si="384"/>
        <v>#NAME?</v>
      </c>
      <c r="AH106" s="66" t="e">
        <f t="shared" si="385"/>
        <v>#NAME?</v>
      </c>
      <c r="AI106" s="66" t="e">
        <f t="shared" si="386"/>
        <v>#NAME?</v>
      </c>
      <c r="AJ106" s="67" t="e">
        <f t="shared" si="307"/>
        <v>#NAME?</v>
      </c>
      <c r="AK106" s="67" t="e">
        <f t="shared" si="302"/>
        <v>#NAME?</v>
      </c>
      <c r="AL106" s="67" t="e">
        <f t="shared" si="303"/>
        <v>#NAME?</v>
      </c>
      <c r="AM106" s="67" t="e">
        <f t="shared" si="387"/>
        <v>#NAME?</v>
      </c>
      <c r="AN106" s="67" t="e">
        <f t="shared" si="388"/>
        <v>#NAME?</v>
      </c>
      <c r="AO106" s="67" t="e">
        <f t="shared" si="389"/>
        <v>#NAME?</v>
      </c>
      <c r="AP106" s="66" t="e">
        <f t="shared" si="390"/>
        <v>#NAME?</v>
      </c>
      <c r="AQ106" s="66" t="e">
        <f t="shared" si="391"/>
        <v>#NAME?</v>
      </c>
      <c r="AR106" s="66" t="e">
        <f t="shared" si="392"/>
        <v>#NAME?</v>
      </c>
      <c r="AS106" s="66" t="e">
        <f t="shared" si="393"/>
        <v>#NAME?</v>
      </c>
      <c r="AT106" s="66" t="e">
        <f t="shared" si="394"/>
        <v>#NAME?</v>
      </c>
      <c r="AU106" s="66" t="e">
        <f t="shared" si="395"/>
        <v>#NAME?</v>
      </c>
      <c r="AV106" s="66" t="e">
        <f t="shared" si="396"/>
        <v>#NAME?</v>
      </c>
      <c r="AW106" s="66" t="e">
        <f t="shared" si="397"/>
        <v>#NAME?</v>
      </c>
      <c r="AX106" s="66" t="e">
        <f t="shared" si="398"/>
        <v>#NAME?</v>
      </c>
      <c r="AY106" s="66" t="e">
        <f t="shared" si="399"/>
        <v>#NAME?</v>
      </c>
      <c r="AZ106" s="66" t="e">
        <f t="shared" si="400"/>
        <v>#NAME?</v>
      </c>
      <c r="BA106" s="66" t="e">
        <f t="shared" si="401"/>
        <v>#NAME?</v>
      </c>
      <c r="BB106" s="67" t="e">
        <f t="shared" si="308"/>
        <v>#NAME?</v>
      </c>
      <c r="BC106" s="67" t="e">
        <f t="shared" si="304"/>
        <v>#NAME?</v>
      </c>
      <c r="BD106" s="67" t="e">
        <f t="shared" si="305"/>
        <v>#NAME?</v>
      </c>
      <c r="BE106" s="67" t="e">
        <f t="shared" si="402"/>
        <v>#NAME?</v>
      </c>
      <c r="BF106" s="67" t="e">
        <f t="shared" si="403"/>
        <v>#NAME?</v>
      </c>
      <c r="BG106" s="67" t="e">
        <f t="shared" si="404"/>
        <v>#NAME?</v>
      </c>
    </row>
    <row r="107" spans="1:59" ht="15.6" x14ac:dyDescent="0.3">
      <c r="B107" s="57">
        <v>93</v>
      </c>
      <c r="C107" s="58" t="s">
        <v>317</v>
      </c>
      <c r="F107" s="61" t="e">
        <f>SUM(F108:F109)</f>
        <v>#NAME?</v>
      </c>
      <c r="G107" s="61" t="e">
        <f t="shared" ref="G107:Q107" si="405">SUM(G108:G109)</f>
        <v>#NAME?</v>
      </c>
      <c r="H107" s="61" t="e">
        <f t="shared" si="405"/>
        <v>#NAME?</v>
      </c>
      <c r="I107" s="61" t="e">
        <f t="shared" si="405"/>
        <v>#NAME?</v>
      </c>
      <c r="J107" s="61" t="e">
        <f t="shared" si="405"/>
        <v>#NAME?</v>
      </c>
      <c r="K107" s="61" t="e">
        <f t="shared" si="405"/>
        <v>#NAME?</v>
      </c>
      <c r="L107" s="61" t="e">
        <f t="shared" si="405"/>
        <v>#NAME?</v>
      </c>
      <c r="M107" s="61" t="e">
        <f t="shared" si="405"/>
        <v>#NAME?</v>
      </c>
      <c r="N107" s="61" t="e">
        <f t="shared" si="405"/>
        <v>#NAME?</v>
      </c>
      <c r="O107" s="61" t="e">
        <f t="shared" si="405"/>
        <v>#NAME?</v>
      </c>
      <c r="P107" s="61" t="e">
        <f t="shared" si="405"/>
        <v>#NAME?</v>
      </c>
      <c r="Q107" s="61" t="e">
        <f t="shared" si="405"/>
        <v>#NAME?</v>
      </c>
      <c r="R107" s="61" t="e">
        <f>IF(F107+G107=0," ",O107/(F107+G107+M107)*100)</f>
        <v>#NAME?</v>
      </c>
      <c r="S107" s="61" t="e">
        <f>IF(J107=0," ",Q107/J107*100)</f>
        <v>#NAME?</v>
      </c>
      <c r="T107" s="61" t="e">
        <f>IF(N107=0,0,Q107/N107*100)</f>
        <v>#NAME?</v>
      </c>
      <c r="U107" s="61" t="e">
        <f>SUM(U108:U109)</f>
        <v>#NAME?</v>
      </c>
      <c r="V107" s="61" t="e">
        <f t="shared" ref="V107:AI107" si="406">SUM(V108:V109)</f>
        <v>#NAME?</v>
      </c>
      <c r="W107" s="61" t="e">
        <f t="shared" si="406"/>
        <v>#NAME?</v>
      </c>
      <c r="X107" s="61" t="e">
        <f t="shared" si="406"/>
        <v>#NAME?</v>
      </c>
      <c r="Y107" s="61" t="e">
        <f t="shared" si="406"/>
        <v>#NAME?</v>
      </c>
      <c r="Z107" s="61" t="e">
        <f t="shared" si="406"/>
        <v>#NAME?</v>
      </c>
      <c r="AA107" s="61" t="e">
        <f t="shared" si="406"/>
        <v>#NAME?</v>
      </c>
      <c r="AB107" s="61" t="e">
        <f t="shared" si="406"/>
        <v>#NAME?</v>
      </c>
      <c r="AC107" s="61" t="e">
        <f t="shared" si="406"/>
        <v>#NAME?</v>
      </c>
      <c r="AD107" s="61" t="e">
        <f t="shared" si="406"/>
        <v>#NAME?</v>
      </c>
      <c r="AE107" s="61" t="e">
        <f t="shared" si="406"/>
        <v>#NAME?</v>
      </c>
      <c r="AF107" s="61" t="e">
        <f t="shared" si="406"/>
        <v>#NAME?</v>
      </c>
      <c r="AG107" s="61" t="e">
        <f t="shared" si="406"/>
        <v>#NAME?</v>
      </c>
      <c r="AH107" s="61" t="e">
        <f t="shared" si="406"/>
        <v>#NAME?</v>
      </c>
      <c r="AI107" s="61" t="e">
        <f t="shared" si="406"/>
        <v>#NAME?</v>
      </c>
      <c r="AJ107" s="61" t="e">
        <f>IF(X107+Y107=0," ",AG107/(X107+Y107+AE107)*100)</f>
        <v>#NAME?</v>
      </c>
      <c r="AK107" s="61" t="e">
        <f>IF(AB107=0," ",AI107/AB107*100)</f>
        <v>#NAME?</v>
      </c>
      <c r="AL107" s="61" t="e">
        <f>IF(AF107=0,0,AI107/AF107*100)</f>
        <v>#NAME?</v>
      </c>
      <c r="AM107" s="61" t="e">
        <f>SUM(AM108:AM109)</f>
        <v>#NAME?</v>
      </c>
      <c r="AN107" s="61" t="e">
        <f t="shared" ref="AN107:BA107" si="407">SUM(AN108:AN109)</f>
        <v>#NAME?</v>
      </c>
      <c r="AO107" s="61" t="e">
        <f t="shared" si="407"/>
        <v>#NAME?</v>
      </c>
      <c r="AP107" s="61" t="e">
        <f t="shared" si="407"/>
        <v>#NAME?</v>
      </c>
      <c r="AQ107" s="61" t="e">
        <f t="shared" si="407"/>
        <v>#NAME?</v>
      </c>
      <c r="AR107" s="61" t="e">
        <f t="shared" si="407"/>
        <v>#NAME?</v>
      </c>
      <c r="AS107" s="61" t="e">
        <f t="shared" si="407"/>
        <v>#NAME?</v>
      </c>
      <c r="AT107" s="61" t="e">
        <f t="shared" si="407"/>
        <v>#NAME?</v>
      </c>
      <c r="AU107" s="61" t="e">
        <f t="shared" si="407"/>
        <v>#NAME?</v>
      </c>
      <c r="AV107" s="61" t="e">
        <f t="shared" si="407"/>
        <v>#NAME?</v>
      </c>
      <c r="AW107" s="61" t="e">
        <f t="shared" si="407"/>
        <v>#NAME?</v>
      </c>
      <c r="AX107" s="61" t="e">
        <f t="shared" si="407"/>
        <v>#NAME?</v>
      </c>
      <c r="AY107" s="61" t="e">
        <f t="shared" si="407"/>
        <v>#NAME?</v>
      </c>
      <c r="AZ107" s="61" t="e">
        <f t="shared" si="407"/>
        <v>#NAME?</v>
      </c>
      <c r="BA107" s="61" t="e">
        <f t="shared" si="407"/>
        <v>#NAME?</v>
      </c>
      <c r="BB107" s="61" t="e">
        <f>IF(AP107+AQ107=0," ",AY107/(AP107+AQ107+AW107)*100)</f>
        <v>#NAME?</v>
      </c>
      <c r="BC107" s="61" t="e">
        <f>IF(AT107=0," ",BA107/AT107*100)</f>
        <v>#NAME?</v>
      </c>
      <c r="BD107" s="61" t="e">
        <f>IF(AX107=0,0,BA107/AX107*100)</f>
        <v>#NAME?</v>
      </c>
      <c r="BE107" s="61" t="e">
        <f>SUM(BE108:BE109)</f>
        <v>#NAME?</v>
      </c>
      <c r="BF107" s="61" t="e">
        <f>SUM(BF108:BF109)</f>
        <v>#NAME?</v>
      </c>
      <c r="BG107" s="61" t="e">
        <f>SUM(BG108:BG109)</f>
        <v>#NAME?</v>
      </c>
    </row>
    <row r="108" spans="1:59" ht="15.6" x14ac:dyDescent="0.3">
      <c r="B108" s="11">
        <v>94</v>
      </c>
      <c r="C108" s="13" t="s">
        <v>319</v>
      </c>
      <c r="F108" s="66" t="e">
        <f>X108+AP108</f>
        <v>#NAME?</v>
      </c>
      <c r="G108" s="66" t="e">
        <f>Y108+AQ108</f>
        <v>#NAME?</v>
      </c>
      <c r="H108" s="66" t="e">
        <f>I108+J108</f>
        <v>#NAME?</v>
      </c>
      <c r="I108" s="66" t="e">
        <f t="shared" ref="I108:M109" si="408">AA108+AS108</f>
        <v>#NAME?</v>
      </c>
      <c r="J108" s="66" t="e">
        <f t="shared" si="408"/>
        <v>#NAME?</v>
      </c>
      <c r="K108" s="66" t="e">
        <f t="shared" si="408"/>
        <v>#NAME?</v>
      </c>
      <c r="L108" s="66" t="e">
        <f t="shared" si="408"/>
        <v>#NAME?</v>
      </c>
      <c r="M108" s="66" t="e">
        <f t="shared" si="408"/>
        <v>#NAME?</v>
      </c>
      <c r="N108" s="66" t="e">
        <f>O108+Q108</f>
        <v>#NAME?</v>
      </c>
      <c r="O108" s="66" t="e">
        <f t="shared" ref="O108:Q109" si="409">AG108+AY108</f>
        <v>#NAME?</v>
      </c>
      <c r="P108" s="66" t="e">
        <f t="shared" si="409"/>
        <v>#NAME?</v>
      </c>
      <c r="Q108" s="66" t="e">
        <f t="shared" si="409"/>
        <v>#NAME?</v>
      </c>
      <c r="R108" s="67" t="e">
        <f>IF(F108+G108=0," ",O108/(F108+G108+M108)*100)</f>
        <v>#NAME?</v>
      </c>
      <c r="S108" s="67" t="e">
        <f>IF(J108=0," ",Q108/J108*100)</f>
        <v>#NAME?</v>
      </c>
      <c r="T108" s="67" t="e">
        <f>IF(N108=0,0,Q108/N108*100)</f>
        <v>#NAME?</v>
      </c>
      <c r="U108" s="67" t="e">
        <f>AM108+BE108</f>
        <v>#NAME?</v>
      </c>
      <c r="V108" s="67" t="e">
        <f>(G108+K108+L108-O108-U108)</f>
        <v>#NAME?</v>
      </c>
      <c r="W108" s="67" t="e">
        <f>(I108-O108)</f>
        <v>#NAME?</v>
      </c>
      <c r="X108" s="66" t="e">
        <f t="shared" si="375"/>
        <v>#NAME?</v>
      </c>
      <c r="Y108" s="66" t="e">
        <f t="shared" si="376"/>
        <v>#NAME?</v>
      </c>
      <c r="Z108" s="66" t="e">
        <f>AA108+AB108</f>
        <v>#NAME?</v>
      </c>
      <c r="AA108" s="66" t="e">
        <f t="shared" si="378"/>
        <v>#NAME?</v>
      </c>
      <c r="AB108" s="66" t="e">
        <f t="shared" si="379"/>
        <v>#NAME?</v>
      </c>
      <c r="AC108" s="66" t="e">
        <f t="shared" si="380"/>
        <v>#NAME?</v>
      </c>
      <c r="AD108" s="66" t="e">
        <f t="shared" si="381"/>
        <v>#NAME?</v>
      </c>
      <c r="AE108" s="66" t="e">
        <f t="shared" si="382"/>
        <v>#NAME?</v>
      </c>
      <c r="AF108" s="66" t="e">
        <f>AG108+AI108</f>
        <v>#NAME?</v>
      </c>
      <c r="AG108" s="66" t="e">
        <f t="shared" si="384"/>
        <v>#NAME?</v>
      </c>
      <c r="AH108" s="66" t="e">
        <f t="shared" si="385"/>
        <v>#NAME?</v>
      </c>
      <c r="AI108" s="66" t="e">
        <f t="shared" si="386"/>
        <v>#NAME?</v>
      </c>
      <c r="AJ108" s="67" t="e">
        <f>IF(X108+Y108=0," ",AG108/(X108+Y108+AE108)*100)</f>
        <v>#NAME?</v>
      </c>
      <c r="AK108" s="67" t="e">
        <f>IF(AB108=0," ",AI108/AB108*100)</f>
        <v>#NAME?</v>
      </c>
      <c r="AL108" s="67" t="e">
        <f>IF(AF108=0,0,AI108/AF108*100)</f>
        <v>#NAME?</v>
      </c>
      <c r="AM108" s="67" t="e">
        <f t="shared" si="387"/>
        <v>#NAME?</v>
      </c>
      <c r="AN108" s="67" t="e">
        <f>(Y108+AC108+AD108-AG108-AM108)</f>
        <v>#NAME?</v>
      </c>
      <c r="AO108" s="67" t="e">
        <f>(AA108-AG108)</f>
        <v>#NAME?</v>
      </c>
      <c r="AP108" s="66" t="e">
        <f t="shared" si="390"/>
        <v>#NAME?</v>
      </c>
      <c r="AQ108" s="66" t="e">
        <f t="shared" si="391"/>
        <v>#NAME?</v>
      </c>
      <c r="AR108" s="66" t="e">
        <f>AS108+AT108</f>
        <v>#NAME?</v>
      </c>
      <c r="AS108" s="66" t="e">
        <f t="shared" si="393"/>
        <v>#NAME?</v>
      </c>
      <c r="AT108" s="66" t="e">
        <f t="shared" si="394"/>
        <v>#NAME?</v>
      </c>
      <c r="AU108" s="66" t="e">
        <f t="shared" si="395"/>
        <v>#NAME?</v>
      </c>
      <c r="AV108" s="66" t="e">
        <f t="shared" si="396"/>
        <v>#NAME?</v>
      </c>
      <c r="AW108" s="66" t="e">
        <f t="shared" si="397"/>
        <v>#NAME?</v>
      </c>
      <c r="AX108" s="66" t="e">
        <f>AY108+BA108</f>
        <v>#NAME?</v>
      </c>
      <c r="AY108" s="66" t="e">
        <f t="shared" si="399"/>
        <v>#NAME?</v>
      </c>
      <c r="AZ108" s="66" t="e">
        <f t="shared" si="400"/>
        <v>#NAME?</v>
      </c>
      <c r="BA108" s="66" t="e">
        <f t="shared" si="401"/>
        <v>#NAME?</v>
      </c>
      <c r="BB108" s="67" t="e">
        <f>IF(AP108+AQ108=0," ",AY108/(AP108+AQ108+AW108)*100)</f>
        <v>#NAME?</v>
      </c>
      <c r="BC108" s="67" t="e">
        <f>IF(AT108=0," ",BA108/AT108*100)</f>
        <v>#NAME?</v>
      </c>
      <c r="BD108" s="67" t="e">
        <f>IF(AX108=0,0,BA108/AX108*100)</f>
        <v>#NAME?</v>
      </c>
      <c r="BE108" s="67" t="e">
        <f t="shared" si="402"/>
        <v>#NAME?</v>
      </c>
      <c r="BF108" s="67" t="e">
        <f>(AQ108+AU108+AV108-AY108-BE108)</f>
        <v>#NAME?</v>
      </c>
      <c r="BG108" s="67" t="e">
        <f>(AS108-AY108)</f>
        <v>#NAME?</v>
      </c>
    </row>
    <row r="109" spans="1:59" ht="15.6" x14ac:dyDescent="0.3">
      <c r="B109" s="11">
        <v>95</v>
      </c>
      <c r="C109" s="13" t="s">
        <v>318</v>
      </c>
      <c r="F109" s="66" t="e">
        <f>X109+AP109</f>
        <v>#NAME?</v>
      </c>
      <c r="G109" s="66" t="e">
        <f>Y109+AQ109</f>
        <v>#NAME?</v>
      </c>
      <c r="H109" s="66" t="e">
        <f>I109+J109</f>
        <v>#NAME?</v>
      </c>
      <c r="I109" s="66" t="e">
        <f t="shared" si="408"/>
        <v>#NAME?</v>
      </c>
      <c r="J109" s="66" t="e">
        <f t="shared" si="408"/>
        <v>#NAME?</v>
      </c>
      <c r="K109" s="66" t="e">
        <f t="shared" si="408"/>
        <v>#NAME?</v>
      </c>
      <c r="L109" s="66" t="e">
        <f t="shared" si="408"/>
        <v>#NAME?</v>
      </c>
      <c r="M109" s="66" t="e">
        <f t="shared" si="408"/>
        <v>#NAME?</v>
      </c>
      <c r="N109" s="66" t="e">
        <f>O109+Q109</f>
        <v>#NAME?</v>
      </c>
      <c r="O109" s="66" t="e">
        <f t="shared" si="409"/>
        <v>#NAME?</v>
      </c>
      <c r="P109" s="66" t="e">
        <f t="shared" si="409"/>
        <v>#NAME?</v>
      </c>
      <c r="Q109" s="66" t="e">
        <f t="shared" si="409"/>
        <v>#NAME?</v>
      </c>
      <c r="R109" s="67" t="e">
        <f>IF(F109+G109=0," ",O109/(F109+G109+M109)*100)</f>
        <v>#NAME?</v>
      </c>
      <c r="S109" s="67" t="e">
        <f>IF(J109=0," ",Q109/J109*100)</f>
        <v>#NAME?</v>
      </c>
      <c r="T109" s="67" t="e">
        <f>IF(N109=0,0,Q109/N109*100)</f>
        <v>#NAME?</v>
      </c>
      <c r="U109" s="67" t="e">
        <f>AM109+BE109</f>
        <v>#NAME?</v>
      </c>
      <c r="V109" s="67" t="e">
        <f>(G109+K109+L109-O109-U109)</f>
        <v>#NAME?</v>
      </c>
      <c r="W109" s="67" t="e">
        <f>(I109-O109)</f>
        <v>#NAME?</v>
      </c>
      <c r="X109" s="66" t="e">
        <f t="shared" si="375"/>
        <v>#NAME?</v>
      </c>
      <c r="Y109" s="66" t="e">
        <f t="shared" si="376"/>
        <v>#NAME?</v>
      </c>
      <c r="Z109" s="66" t="e">
        <f>AA109+AB109</f>
        <v>#NAME?</v>
      </c>
      <c r="AA109" s="66" t="e">
        <f t="shared" si="378"/>
        <v>#NAME?</v>
      </c>
      <c r="AB109" s="66" t="e">
        <f t="shared" si="379"/>
        <v>#NAME?</v>
      </c>
      <c r="AC109" s="66" t="e">
        <f t="shared" si="380"/>
        <v>#NAME?</v>
      </c>
      <c r="AD109" s="66" t="e">
        <f t="shared" si="381"/>
        <v>#NAME?</v>
      </c>
      <c r="AE109" s="66" t="e">
        <f t="shared" si="382"/>
        <v>#NAME?</v>
      </c>
      <c r="AF109" s="66" t="e">
        <f>AG109+AI109</f>
        <v>#NAME?</v>
      </c>
      <c r="AG109" s="66" t="e">
        <f t="shared" si="384"/>
        <v>#NAME?</v>
      </c>
      <c r="AH109" s="66" t="e">
        <f t="shared" si="385"/>
        <v>#NAME?</v>
      </c>
      <c r="AI109" s="66" t="e">
        <f t="shared" si="386"/>
        <v>#NAME?</v>
      </c>
      <c r="AJ109" s="67" t="e">
        <f>IF(X109+Y109=0," ",AG109/(X109+Y109+AE109)*100)</f>
        <v>#NAME?</v>
      </c>
      <c r="AK109" s="67" t="e">
        <f>IF(AB109=0," ",AI109/AB109*100)</f>
        <v>#NAME?</v>
      </c>
      <c r="AL109" s="67" t="e">
        <f>IF(AF109=0,0,AI109/AF109*100)</f>
        <v>#NAME?</v>
      </c>
      <c r="AM109" s="67" t="e">
        <f t="shared" si="387"/>
        <v>#NAME?</v>
      </c>
      <c r="AN109" s="67" t="e">
        <f>(Y109+AC109+AD109-AG109-AM109)</f>
        <v>#NAME?</v>
      </c>
      <c r="AO109" s="67" t="e">
        <f>(AA109-AG109)</f>
        <v>#NAME?</v>
      </c>
      <c r="AP109" s="66" t="e">
        <f t="shared" si="390"/>
        <v>#NAME?</v>
      </c>
      <c r="AQ109" s="66" t="e">
        <f t="shared" si="391"/>
        <v>#NAME?</v>
      </c>
      <c r="AR109" s="66" t="e">
        <f>AS109+AT109</f>
        <v>#NAME?</v>
      </c>
      <c r="AS109" s="66" t="e">
        <f t="shared" si="393"/>
        <v>#NAME?</v>
      </c>
      <c r="AT109" s="66" t="e">
        <f t="shared" si="394"/>
        <v>#NAME?</v>
      </c>
      <c r="AU109" s="66" t="e">
        <f t="shared" si="395"/>
        <v>#NAME?</v>
      </c>
      <c r="AV109" s="66" t="e">
        <f t="shared" si="396"/>
        <v>#NAME?</v>
      </c>
      <c r="AW109" s="66" t="e">
        <f t="shared" si="397"/>
        <v>#NAME?</v>
      </c>
      <c r="AX109" s="66" t="e">
        <f>AY109+BA109</f>
        <v>#NAME?</v>
      </c>
      <c r="AY109" s="66" t="e">
        <f t="shared" si="399"/>
        <v>#NAME?</v>
      </c>
      <c r="AZ109" s="66" t="e">
        <f t="shared" si="400"/>
        <v>#NAME?</v>
      </c>
      <c r="BA109" s="66" t="e">
        <f t="shared" si="401"/>
        <v>#NAME?</v>
      </c>
      <c r="BB109" s="67" t="e">
        <f>IF(AP109+AQ109=0," ",AY109/(AP109+AQ109+AW109)*100)</f>
        <v>#NAME?</v>
      </c>
      <c r="BC109" s="67" t="e">
        <f>IF(AT109=0," ",BA109/AT109*100)</f>
        <v>#NAME?</v>
      </c>
      <c r="BD109" s="67" t="e">
        <f>IF(AX109=0,0,BA109/AX109*100)</f>
        <v>#NAME?</v>
      </c>
      <c r="BE109" s="67" t="e">
        <f t="shared" si="402"/>
        <v>#NAME?</v>
      </c>
      <c r="BF109" s="67" t="e">
        <f>(AQ109+AU109+AV109-AY109-BE109)</f>
        <v>#NAME?</v>
      </c>
      <c r="BG109" s="67" t="e">
        <f>(AS109-AY109)</f>
        <v>#NAME?</v>
      </c>
    </row>
  </sheetData>
  <mergeCells count="68">
    <mergeCell ref="H10:H11"/>
    <mergeCell ref="I10:J10"/>
    <mergeCell ref="N10:N11"/>
    <mergeCell ref="O10:Q10"/>
    <mergeCell ref="Z10:Z11"/>
    <mergeCell ref="R9:S10"/>
    <mergeCell ref="T9:T11"/>
    <mergeCell ref="U9:U11"/>
    <mergeCell ref="V9:V11"/>
    <mergeCell ref="W9:W11"/>
    <mergeCell ref="Y9:Y11"/>
    <mergeCell ref="K9:K11"/>
    <mergeCell ref="L9:L11"/>
    <mergeCell ref="M9:M11"/>
    <mergeCell ref="H9:J9"/>
    <mergeCell ref="X9:X11"/>
    <mergeCell ref="AQ9:AQ11"/>
    <mergeCell ref="AJ9:AK10"/>
    <mergeCell ref="AA10:AB10"/>
    <mergeCell ref="AF10:AF11"/>
    <mergeCell ref="AG10:AI10"/>
    <mergeCell ref="AE9:AE11"/>
    <mergeCell ref="AX10:AX11"/>
    <mergeCell ref="AY10:BA10"/>
    <mergeCell ref="BE9:BE11"/>
    <mergeCell ref="BF9:BF11"/>
    <mergeCell ref="AR9:AT9"/>
    <mergeCell ref="AR10:AR11"/>
    <mergeCell ref="AS10:AT10"/>
    <mergeCell ref="H5:I5"/>
    <mergeCell ref="Z5:AA5"/>
    <mergeCell ref="AR5:AS5"/>
    <mergeCell ref="B7:B11"/>
    <mergeCell ref="C7:C11"/>
    <mergeCell ref="D7:D11"/>
    <mergeCell ref="E7:E11"/>
    <mergeCell ref="N9:Q9"/>
    <mergeCell ref="G9:G11"/>
    <mergeCell ref="Z9:AB9"/>
    <mergeCell ref="AC9:AC11"/>
    <mergeCell ref="AD9:AD11"/>
    <mergeCell ref="AL9:AL11"/>
    <mergeCell ref="AM9:AM11"/>
    <mergeCell ref="AN9:AN11"/>
    <mergeCell ref="AO9:AO11"/>
    <mergeCell ref="G2:Q2"/>
    <mergeCell ref="Y2:AI2"/>
    <mergeCell ref="AQ2:BA2"/>
    <mergeCell ref="D3:Q3"/>
    <mergeCell ref="G4:Q4"/>
    <mergeCell ref="Y4:AI4"/>
    <mergeCell ref="AQ4:BA4"/>
    <mergeCell ref="F9:F11"/>
    <mergeCell ref="X7:AO7"/>
    <mergeCell ref="X8:AO8"/>
    <mergeCell ref="AP9:AP11"/>
    <mergeCell ref="AP7:BG7"/>
    <mergeCell ref="AP8:BG8"/>
    <mergeCell ref="F7:W7"/>
    <mergeCell ref="F8:W8"/>
    <mergeCell ref="AF9:AI9"/>
    <mergeCell ref="BG9:BG11"/>
    <mergeCell ref="AU9:AU11"/>
    <mergeCell ref="AV9:AV11"/>
    <mergeCell ref="AW9:AW11"/>
    <mergeCell ref="AX9:BA9"/>
    <mergeCell ref="BB9:BC10"/>
    <mergeCell ref="BD9:BD11"/>
  </mergeCells>
  <pageMargins left="0" right="0" top="0" bottom="0" header="0" footer="0"/>
  <pageSetup paperSize="9" scale="65" orientation="landscape" r:id="rId1"/>
  <rowBreaks count="2" manualBreakCount="2">
    <brk id="46" max="58" man="1"/>
    <brk id="83" max="58" man="1"/>
  </rowBreaks>
  <colBreaks count="2" manualBreakCount="2">
    <brk id="23" min="1" max="108" man="1"/>
    <brk id="41" min="1" max="108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H53"/>
  <sheetViews>
    <sheetView workbookViewId="0">
      <selection activeCell="C8" sqref="C8"/>
    </sheetView>
  </sheetViews>
  <sheetFormatPr defaultRowHeight="14.4" x14ac:dyDescent="0.3"/>
  <cols>
    <col min="3" max="3" width="76.88671875" customWidth="1"/>
    <col min="4" max="4" width="28.33203125" customWidth="1"/>
    <col min="6" max="6" width="13.109375" customWidth="1"/>
    <col min="7" max="7" width="24.5546875" customWidth="1"/>
  </cols>
  <sheetData>
    <row r="1" spans="1:8" x14ac:dyDescent="0.3">
      <c r="A1" t="s">
        <v>328</v>
      </c>
      <c r="F1" t="s">
        <v>329</v>
      </c>
      <c r="G1" t="s">
        <v>330</v>
      </c>
      <c r="H1" t="s">
        <v>331</v>
      </c>
    </row>
    <row r="2" spans="1:8" ht="46.8" x14ac:dyDescent="0.3">
      <c r="A2" s="100">
        <v>15</v>
      </c>
      <c r="B2" s="101" t="s">
        <v>332</v>
      </c>
      <c r="C2" s="102" t="s">
        <v>333</v>
      </c>
      <c r="D2" s="103" t="s">
        <v>334</v>
      </c>
      <c r="E2">
        <v>15</v>
      </c>
      <c r="F2" s="104">
        <v>16</v>
      </c>
      <c r="G2" s="104" t="s">
        <v>335</v>
      </c>
      <c r="H2" s="105" t="s">
        <v>336</v>
      </c>
    </row>
    <row r="3" spans="1:8" ht="46.8" x14ac:dyDescent="0.3">
      <c r="A3" s="100">
        <v>16</v>
      </c>
      <c r="B3" s="101" t="s">
        <v>337</v>
      </c>
      <c r="C3" s="102" t="s">
        <v>338</v>
      </c>
      <c r="D3" s="103" t="s">
        <v>339</v>
      </c>
      <c r="E3">
        <v>16</v>
      </c>
      <c r="F3" s="104">
        <v>15</v>
      </c>
      <c r="G3" s="104" t="s">
        <v>340</v>
      </c>
      <c r="H3" s="105" t="s">
        <v>341</v>
      </c>
    </row>
    <row r="4" spans="1:8" ht="62.4" x14ac:dyDescent="0.3">
      <c r="A4" s="100">
        <v>17</v>
      </c>
      <c r="B4" s="101" t="s">
        <v>342</v>
      </c>
      <c r="C4" s="102" t="s">
        <v>343</v>
      </c>
      <c r="D4" s="103" t="s">
        <v>344</v>
      </c>
      <c r="E4">
        <v>17</v>
      </c>
      <c r="F4" s="104">
        <v>17</v>
      </c>
      <c r="G4" s="104" t="s">
        <v>345</v>
      </c>
      <c r="H4" s="105" t="s">
        <v>346</v>
      </c>
    </row>
    <row r="5" spans="1:8" ht="62.4" x14ac:dyDescent="0.3">
      <c r="A5" s="100">
        <v>18</v>
      </c>
      <c r="B5" s="101" t="s">
        <v>347</v>
      </c>
      <c r="C5" s="102" t="s">
        <v>348</v>
      </c>
      <c r="D5" s="103" t="s">
        <v>349</v>
      </c>
      <c r="E5">
        <v>18</v>
      </c>
      <c r="F5" s="104">
        <v>18</v>
      </c>
      <c r="G5" s="104" t="s">
        <v>350</v>
      </c>
      <c r="H5" s="105" t="s">
        <v>351</v>
      </c>
    </row>
    <row r="6" spans="1:8" ht="31.2" x14ac:dyDescent="0.3">
      <c r="A6" s="100">
        <v>19</v>
      </c>
      <c r="B6" s="101" t="s">
        <v>352</v>
      </c>
      <c r="C6" s="102" t="s">
        <v>353</v>
      </c>
      <c r="D6" s="103" t="s">
        <v>354</v>
      </c>
      <c r="E6">
        <v>19</v>
      </c>
      <c r="F6" s="104">
        <v>59</v>
      </c>
      <c r="G6" s="104" t="s">
        <v>355</v>
      </c>
      <c r="H6" s="105" t="s">
        <v>356</v>
      </c>
    </row>
    <row r="7" spans="1:8" ht="46.8" x14ac:dyDescent="0.3">
      <c r="A7" s="100">
        <v>20</v>
      </c>
      <c r="B7" s="101" t="s">
        <v>357</v>
      </c>
      <c r="C7" s="102" t="s">
        <v>358</v>
      </c>
      <c r="D7" s="103" t="s">
        <v>359</v>
      </c>
      <c r="E7">
        <v>20</v>
      </c>
      <c r="F7" s="104">
        <v>19</v>
      </c>
      <c r="G7" s="104" t="s">
        <v>360</v>
      </c>
      <c r="H7" s="105" t="s">
        <v>361</v>
      </c>
    </row>
    <row r="8" spans="1:8" ht="46.8" x14ac:dyDescent="0.3">
      <c r="A8" s="100">
        <v>21</v>
      </c>
      <c r="B8" s="101" t="s">
        <v>362</v>
      </c>
      <c r="C8" s="102" t="s">
        <v>363</v>
      </c>
      <c r="D8" s="103" t="s">
        <v>364</v>
      </c>
      <c r="E8">
        <v>21</v>
      </c>
      <c r="F8" s="104">
        <v>66</v>
      </c>
      <c r="G8" s="104" t="s">
        <v>365</v>
      </c>
      <c r="H8" s="105" t="s">
        <v>366</v>
      </c>
    </row>
    <row r="9" spans="1:8" ht="31.2" x14ac:dyDescent="0.3">
      <c r="A9" s="100">
        <v>22</v>
      </c>
      <c r="B9" s="101" t="s">
        <v>367</v>
      </c>
      <c r="C9" s="102" t="s">
        <v>368</v>
      </c>
      <c r="D9" s="103" t="s">
        <v>369</v>
      </c>
      <c r="E9">
        <v>22</v>
      </c>
      <c r="F9" s="104">
        <v>67</v>
      </c>
      <c r="G9" s="104" t="s">
        <v>370</v>
      </c>
      <c r="H9" s="105" t="s">
        <v>371</v>
      </c>
    </row>
    <row r="10" spans="1:8" ht="46.8" x14ac:dyDescent="0.3">
      <c r="A10" s="100">
        <v>23</v>
      </c>
      <c r="B10" s="101" t="s">
        <v>372</v>
      </c>
      <c r="C10" s="102" t="s">
        <v>373</v>
      </c>
      <c r="D10" s="103" t="s">
        <v>374</v>
      </c>
      <c r="E10">
        <v>23</v>
      </c>
      <c r="F10" s="104">
        <v>80</v>
      </c>
      <c r="G10" s="104" t="s">
        <v>375</v>
      </c>
      <c r="H10" s="105" t="s">
        <v>376</v>
      </c>
    </row>
    <row r="11" spans="1:8" ht="46.8" x14ac:dyDescent="0.3">
      <c r="A11" s="100">
        <v>24</v>
      </c>
      <c r="B11" s="101" t="s">
        <v>377</v>
      </c>
      <c r="C11" s="102" t="s">
        <v>378</v>
      </c>
      <c r="D11" s="103" t="s">
        <v>379</v>
      </c>
      <c r="E11">
        <v>24</v>
      </c>
      <c r="F11" s="104">
        <v>79</v>
      </c>
      <c r="G11" s="104" t="s">
        <v>380</v>
      </c>
      <c r="H11" s="105" t="s">
        <v>381</v>
      </c>
    </row>
    <row r="12" spans="1:8" ht="62.4" x14ac:dyDescent="0.3">
      <c r="A12" s="100">
        <v>25</v>
      </c>
      <c r="B12" s="101" t="s">
        <v>382</v>
      </c>
      <c r="C12" s="102" t="s">
        <v>383</v>
      </c>
      <c r="D12" s="103" t="s">
        <v>384</v>
      </c>
      <c r="E12">
        <v>25</v>
      </c>
      <c r="F12" s="104">
        <v>81</v>
      </c>
      <c r="G12" s="104" t="s">
        <v>385</v>
      </c>
      <c r="H12" s="105" t="s">
        <v>386</v>
      </c>
    </row>
    <row r="13" spans="1:8" ht="15.6" x14ac:dyDescent="0.3">
      <c r="A13" s="100">
        <v>28</v>
      </c>
      <c r="B13" s="101" t="s">
        <v>387</v>
      </c>
      <c r="C13" s="102" t="s">
        <v>388</v>
      </c>
      <c r="D13" s="103" t="s">
        <v>389</v>
      </c>
      <c r="E13">
        <v>28</v>
      </c>
      <c r="F13" s="104">
        <v>22</v>
      </c>
      <c r="G13" s="104" t="s">
        <v>390</v>
      </c>
      <c r="H13" s="105" t="s">
        <v>391</v>
      </c>
    </row>
    <row r="14" spans="1:8" ht="31.2" x14ac:dyDescent="0.3">
      <c r="A14" s="100">
        <v>29</v>
      </c>
      <c r="B14" s="101" t="s">
        <v>392</v>
      </c>
      <c r="C14" s="102" t="s">
        <v>393</v>
      </c>
      <c r="D14" s="103" t="s">
        <v>394</v>
      </c>
      <c r="E14">
        <v>29</v>
      </c>
      <c r="F14" s="104">
        <v>77</v>
      </c>
      <c r="G14" s="104" t="s">
        <v>395</v>
      </c>
      <c r="H14" s="105" t="s">
        <v>396</v>
      </c>
    </row>
    <row r="15" spans="1:8" ht="31.2" x14ac:dyDescent="0.3">
      <c r="A15" s="100">
        <v>30</v>
      </c>
      <c r="B15" s="101" t="s">
        <v>397</v>
      </c>
      <c r="C15" s="102" t="s">
        <v>398</v>
      </c>
      <c r="D15" s="103" t="s">
        <v>399</v>
      </c>
      <c r="E15">
        <v>30</v>
      </c>
      <c r="F15" s="104">
        <v>23</v>
      </c>
      <c r="G15" s="104" t="s">
        <v>400</v>
      </c>
      <c r="H15" s="105" t="s">
        <v>401</v>
      </c>
    </row>
    <row r="16" spans="1:8" ht="31.2" x14ac:dyDescent="0.3">
      <c r="A16" s="100">
        <v>31</v>
      </c>
      <c r="B16" s="101" t="s">
        <v>402</v>
      </c>
      <c r="C16" s="102" t="s">
        <v>403</v>
      </c>
      <c r="D16" s="103" t="s">
        <v>404</v>
      </c>
      <c r="E16">
        <v>31</v>
      </c>
      <c r="F16" s="104">
        <v>78</v>
      </c>
      <c r="G16" s="104" t="s">
        <v>405</v>
      </c>
      <c r="H16" s="105" t="s">
        <v>406</v>
      </c>
    </row>
    <row r="17" spans="1:8" ht="31.2" x14ac:dyDescent="0.3">
      <c r="A17" s="100">
        <v>32</v>
      </c>
      <c r="B17" s="101" t="s">
        <v>407</v>
      </c>
      <c r="C17" s="102" t="s">
        <v>408</v>
      </c>
      <c r="D17" s="103" t="s">
        <v>409</v>
      </c>
      <c r="E17">
        <v>32</v>
      </c>
      <c r="F17" s="104">
        <v>62</v>
      </c>
      <c r="G17" s="104" t="s">
        <v>408</v>
      </c>
      <c r="H17" s="105" t="s">
        <v>410</v>
      </c>
    </row>
    <row r="18" spans="1:8" ht="31.2" x14ac:dyDescent="0.3">
      <c r="A18" s="100">
        <v>33</v>
      </c>
      <c r="B18" s="101" t="s">
        <v>411</v>
      </c>
      <c r="C18" s="102" t="s">
        <v>412</v>
      </c>
      <c r="D18" s="103" t="s">
        <v>413</v>
      </c>
      <c r="E18">
        <v>33</v>
      </c>
      <c r="F18" s="104">
        <v>25</v>
      </c>
      <c r="G18" s="104" t="s">
        <v>414</v>
      </c>
      <c r="H18" s="105" t="s">
        <v>415</v>
      </c>
    </row>
    <row r="19" spans="1:8" ht="31.2" x14ac:dyDescent="0.3">
      <c r="A19" s="100">
        <v>34</v>
      </c>
      <c r="B19" s="101" t="s">
        <v>416</v>
      </c>
      <c r="C19" s="102" t="s">
        <v>417</v>
      </c>
      <c r="D19" s="103" t="s">
        <v>418</v>
      </c>
      <c r="E19">
        <v>34</v>
      </c>
      <c r="F19" s="104">
        <v>26</v>
      </c>
      <c r="G19" s="104" t="s">
        <v>419</v>
      </c>
      <c r="H19" s="105" t="s">
        <v>420</v>
      </c>
    </row>
    <row r="20" spans="1:8" ht="31.2" x14ac:dyDescent="0.3">
      <c r="A20" s="100">
        <v>35</v>
      </c>
      <c r="B20" s="101" t="s">
        <v>421</v>
      </c>
      <c r="C20" s="102" t="s">
        <v>422</v>
      </c>
      <c r="D20" s="103" t="s">
        <v>423</v>
      </c>
      <c r="E20">
        <v>35</v>
      </c>
      <c r="F20" s="104">
        <v>70</v>
      </c>
      <c r="G20" s="104" t="s">
        <v>424</v>
      </c>
      <c r="H20" s="105" t="s">
        <v>425</v>
      </c>
    </row>
    <row r="21" spans="1:8" ht="62.4" x14ac:dyDescent="0.3">
      <c r="A21" s="100">
        <v>36</v>
      </c>
      <c r="B21" s="101" t="s">
        <v>426</v>
      </c>
      <c r="C21" s="102" t="s">
        <v>427</v>
      </c>
      <c r="D21" s="106" t="s">
        <v>428</v>
      </c>
      <c r="E21">
        <v>36</v>
      </c>
      <c r="F21" s="104">
        <v>27</v>
      </c>
      <c r="G21" s="104" t="s">
        <v>429</v>
      </c>
      <c r="H21" s="105" t="s">
        <v>430</v>
      </c>
    </row>
    <row r="22" spans="1:8" ht="31.2" x14ac:dyDescent="0.3">
      <c r="A22" s="100">
        <v>37</v>
      </c>
      <c r="B22" s="107" t="s">
        <v>431</v>
      </c>
      <c r="C22" s="102" t="s">
        <v>432</v>
      </c>
      <c r="D22" s="106" t="s">
        <v>428</v>
      </c>
      <c r="E22">
        <v>37</v>
      </c>
      <c r="F22" s="104">
        <v>28</v>
      </c>
      <c r="G22" s="104" t="s">
        <v>433</v>
      </c>
      <c r="H22" s="105" t="s">
        <v>434</v>
      </c>
    </row>
    <row r="23" spans="1:8" ht="15.6" x14ac:dyDescent="0.3">
      <c r="A23" s="100">
        <v>40</v>
      </c>
      <c r="B23" s="107" t="s">
        <v>435</v>
      </c>
      <c r="C23" s="108" t="s">
        <v>436</v>
      </c>
      <c r="D23" s="106" t="s">
        <v>437</v>
      </c>
      <c r="E23">
        <v>40</v>
      </c>
      <c r="F23" s="104">
        <v>31</v>
      </c>
      <c r="G23" s="104" t="s">
        <v>438</v>
      </c>
      <c r="H23" s="105" t="s">
        <v>439</v>
      </c>
    </row>
    <row r="24" spans="1:8" ht="15.6" x14ac:dyDescent="0.3">
      <c r="A24" s="100">
        <v>41</v>
      </c>
      <c r="B24" s="107" t="s">
        <v>440</v>
      </c>
      <c r="C24" s="108" t="s">
        <v>441</v>
      </c>
      <c r="D24" s="106" t="s">
        <v>442</v>
      </c>
      <c r="E24">
        <v>41</v>
      </c>
      <c r="F24" s="104">
        <v>32</v>
      </c>
      <c r="G24" s="104" t="s">
        <v>443</v>
      </c>
      <c r="H24" s="105" t="s">
        <v>444</v>
      </c>
    </row>
    <row r="25" spans="1:8" ht="31.2" x14ac:dyDescent="0.3">
      <c r="A25" s="100">
        <v>42</v>
      </c>
      <c r="B25" s="107" t="s">
        <v>445</v>
      </c>
      <c r="C25" s="108" t="s">
        <v>446</v>
      </c>
      <c r="D25" s="106" t="s">
        <v>447</v>
      </c>
      <c r="E25">
        <v>42</v>
      </c>
      <c r="F25" s="104">
        <v>33</v>
      </c>
      <c r="G25" s="104" t="s">
        <v>448</v>
      </c>
      <c r="H25" s="105" t="s">
        <v>449</v>
      </c>
    </row>
    <row r="26" spans="1:8" ht="31.2" x14ac:dyDescent="0.3">
      <c r="A26" s="100">
        <v>43</v>
      </c>
      <c r="B26" s="107" t="s">
        <v>450</v>
      </c>
      <c r="C26" s="108" t="s">
        <v>451</v>
      </c>
      <c r="D26" s="106" t="s">
        <v>452</v>
      </c>
      <c r="E26">
        <v>43</v>
      </c>
      <c r="F26" s="104">
        <v>34</v>
      </c>
      <c r="G26" s="104" t="s">
        <v>453</v>
      </c>
      <c r="H26" s="105" t="s">
        <v>454</v>
      </c>
    </row>
    <row r="27" spans="1:8" ht="31.2" x14ac:dyDescent="0.3">
      <c r="A27" s="100">
        <v>44</v>
      </c>
      <c r="B27" s="107" t="s">
        <v>455</v>
      </c>
      <c r="C27" s="108" t="s">
        <v>456</v>
      </c>
      <c r="D27" s="106" t="s">
        <v>457</v>
      </c>
      <c r="E27">
        <v>44</v>
      </c>
      <c r="F27" s="104">
        <v>35</v>
      </c>
      <c r="G27" s="104" t="s">
        <v>458</v>
      </c>
      <c r="H27" s="105" t="s">
        <v>459</v>
      </c>
    </row>
    <row r="28" spans="1:8" ht="46.8" x14ac:dyDescent="0.3">
      <c r="A28" s="100">
        <v>45</v>
      </c>
      <c r="B28" s="107" t="s">
        <v>460</v>
      </c>
      <c r="C28" s="108" t="s">
        <v>461</v>
      </c>
      <c r="D28" s="106" t="s">
        <v>462</v>
      </c>
      <c r="E28">
        <v>45</v>
      </c>
      <c r="F28" s="104">
        <v>36</v>
      </c>
      <c r="G28" s="104" t="s">
        <v>463</v>
      </c>
      <c r="H28" s="105" t="s">
        <v>464</v>
      </c>
    </row>
    <row r="29" spans="1:8" ht="31.2" x14ac:dyDescent="0.3">
      <c r="A29" s="100">
        <v>46</v>
      </c>
      <c r="B29" s="107" t="s">
        <v>465</v>
      </c>
      <c r="C29" s="108" t="s">
        <v>466</v>
      </c>
      <c r="D29" s="106" t="s">
        <v>467</v>
      </c>
      <c r="E29">
        <v>46</v>
      </c>
      <c r="F29" s="104">
        <v>37</v>
      </c>
      <c r="G29" s="104" t="s">
        <v>468</v>
      </c>
      <c r="H29" s="105" t="s">
        <v>469</v>
      </c>
    </row>
    <row r="30" spans="1:8" ht="15.6" x14ac:dyDescent="0.3">
      <c r="A30" s="100">
        <v>47</v>
      </c>
      <c r="B30" s="107" t="s">
        <v>470</v>
      </c>
      <c r="C30" s="108" t="s">
        <v>471</v>
      </c>
      <c r="D30" s="106" t="s">
        <v>428</v>
      </c>
      <c r="E30">
        <v>47</v>
      </c>
      <c r="F30" s="104">
        <v>38</v>
      </c>
      <c r="G30" s="104" t="s">
        <v>472</v>
      </c>
      <c r="H30" s="105" t="s">
        <v>473</v>
      </c>
    </row>
    <row r="31" spans="1:8" ht="31.2" x14ac:dyDescent="0.3">
      <c r="A31" s="100">
        <v>48</v>
      </c>
      <c r="B31" s="101" t="s">
        <v>474</v>
      </c>
      <c r="C31" s="102" t="s">
        <v>475</v>
      </c>
      <c r="D31" s="103" t="s">
        <v>428</v>
      </c>
      <c r="E31">
        <v>48</v>
      </c>
      <c r="F31" s="104">
        <v>39</v>
      </c>
      <c r="G31" s="104" t="s">
        <v>476</v>
      </c>
      <c r="H31" s="105" t="s">
        <v>477</v>
      </c>
    </row>
    <row r="32" spans="1:8" ht="62.4" x14ac:dyDescent="0.3">
      <c r="A32" s="109">
        <v>49</v>
      </c>
      <c r="B32" s="110" t="s">
        <v>478</v>
      </c>
      <c r="C32" s="111" t="s">
        <v>308</v>
      </c>
      <c r="D32" s="112" t="s">
        <v>479</v>
      </c>
      <c r="E32">
        <v>49</v>
      </c>
      <c r="F32" s="104">
        <v>40</v>
      </c>
      <c r="G32" s="104" t="s">
        <v>480</v>
      </c>
      <c r="H32" s="105" t="s">
        <v>481</v>
      </c>
    </row>
    <row r="33" spans="1:8" ht="62.4" x14ac:dyDescent="0.3">
      <c r="A33" s="109">
        <v>50</v>
      </c>
      <c r="B33" s="110" t="s">
        <v>482</v>
      </c>
      <c r="C33" s="111" t="s">
        <v>310</v>
      </c>
      <c r="D33" s="112" t="s">
        <v>483</v>
      </c>
      <c r="E33">
        <v>50</v>
      </c>
      <c r="F33" s="104">
        <v>41</v>
      </c>
      <c r="G33" s="104" t="s">
        <v>484</v>
      </c>
      <c r="H33" s="105" t="s">
        <v>485</v>
      </c>
    </row>
    <row r="34" spans="1:8" ht="15.6" x14ac:dyDescent="0.3">
      <c r="A34" s="109">
        <v>51</v>
      </c>
      <c r="B34" s="110" t="s">
        <v>486</v>
      </c>
      <c r="C34" s="111" t="s">
        <v>487</v>
      </c>
      <c r="D34" s="112" t="s">
        <v>428</v>
      </c>
      <c r="E34">
        <v>51</v>
      </c>
      <c r="F34" s="104">
        <v>42</v>
      </c>
      <c r="G34" s="104" t="s">
        <v>488</v>
      </c>
      <c r="H34" s="105" t="s">
        <v>489</v>
      </c>
    </row>
    <row r="35" spans="1:8" ht="31.2" x14ac:dyDescent="0.3">
      <c r="A35" s="109">
        <v>52</v>
      </c>
      <c r="B35" s="110" t="s">
        <v>490</v>
      </c>
      <c r="C35" s="113" t="s">
        <v>491</v>
      </c>
      <c r="D35" s="112" t="s">
        <v>492</v>
      </c>
      <c r="E35">
        <v>52</v>
      </c>
      <c r="F35" s="104">
        <v>43</v>
      </c>
      <c r="G35" s="104" t="s">
        <v>493</v>
      </c>
      <c r="H35" s="105" t="s">
        <v>494</v>
      </c>
    </row>
    <row r="36" spans="1:8" ht="31.2" x14ac:dyDescent="0.3">
      <c r="A36" s="109">
        <v>53</v>
      </c>
      <c r="B36" s="110" t="s">
        <v>495</v>
      </c>
      <c r="C36" s="113" t="s">
        <v>496</v>
      </c>
      <c r="D36" s="112" t="s">
        <v>497</v>
      </c>
      <c r="E36">
        <v>53</v>
      </c>
      <c r="F36" s="104">
        <v>44</v>
      </c>
      <c r="G36" s="104" t="s">
        <v>498</v>
      </c>
      <c r="H36" s="105" t="s">
        <v>499</v>
      </c>
    </row>
    <row r="37" spans="1:8" ht="31.2" x14ac:dyDescent="0.3">
      <c r="A37" s="109">
        <v>54</v>
      </c>
      <c r="B37" s="110" t="s">
        <v>500</v>
      </c>
      <c r="C37" s="113" t="s">
        <v>501</v>
      </c>
      <c r="D37" s="112" t="s">
        <v>502</v>
      </c>
      <c r="E37">
        <v>54</v>
      </c>
      <c r="F37" s="104">
        <v>45</v>
      </c>
      <c r="G37" s="104" t="s">
        <v>503</v>
      </c>
      <c r="H37" s="105" t="s">
        <v>504</v>
      </c>
    </row>
    <row r="38" spans="1:8" ht="62.4" x14ac:dyDescent="0.3">
      <c r="A38" s="109">
        <v>55</v>
      </c>
      <c r="B38" s="110" t="s">
        <v>505</v>
      </c>
      <c r="C38" s="111" t="s">
        <v>506</v>
      </c>
      <c r="D38" s="112" t="s">
        <v>507</v>
      </c>
      <c r="E38">
        <v>55</v>
      </c>
      <c r="F38" s="104">
        <v>72</v>
      </c>
      <c r="G38" s="104" t="s">
        <v>508</v>
      </c>
      <c r="H38" s="105" t="s">
        <v>509</v>
      </c>
    </row>
    <row r="39" spans="1:8" ht="62.4" x14ac:dyDescent="0.3">
      <c r="A39" s="109">
        <v>56</v>
      </c>
      <c r="B39" s="110" t="s">
        <v>510</v>
      </c>
      <c r="C39" s="111" t="s">
        <v>511</v>
      </c>
      <c r="D39" s="112" t="s">
        <v>512</v>
      </c>
      <c r="E39">
        <v>56</v>
      </c>
      <c r="F39" s="104">
        <v>73</v>
      </c>
      <c r="G39" s="104" t="s">
        <v>513</v>
      </c>
      <c r="H39" s="105" t="s">
        <v>514</v>
      </c>
    </row>
    <row r="40" spans="1:8" ht="62.4" x14ac:dyDescent="0.3">
      <c r="A40" s="109">
        <v>57</v>
      </c>
      <c r="B40" s="110" t="s">
        <v>515</v>
      </c>
      <c r="C40" s="111" t="s">
        <v>516</v>
      </c>
      <c r="D40" s="112" t="s">
        <v>517</v>
      </c>
      <c r="E40">
        <v>57</v>
      </c>
      <c r="F40" s="104">
        <v>74</v>
      </c>
      <c r="G40" s="104" t="s">
        <v>518</v>
      </c>
      <c r="H40" s="105" t="s">
        <v>519</v>
      </c>
    </row>
    <row r="41" spans="1:8" ht="62.4" x14ac:dyDescent="0.3">
      <c r="A41" s="109">
        <v>58</v>
      </c>
      <c r="B41" s="110" t="s">
        <v>520</v>
      </c>
      <c r="C41" s="111" t="s">
        <v>521</v>
      </c>
      <c r="D41" s="112" t="s">
        <v>522</v>
      </c>
      <c r="E41">
        <v>58</v>
      </c>
      <c r="F41" s="104">
        <v>71</v>
      </c>
      <c r="G41" s="104" t="s">
        <v>523</v>
      </c>
      <c r="H41" s="105" t="s">
        <v>524</v>
      </c>
    </row>
    <row r="42" spans="1:8" ht="78" x14ac:dyDescent="0.3">
      <c r="A42" s="109">
        <v>59</v>
      </c>
      <c r="B42" s="110" t="s">
        <v>525</v>
      </c>
      <c r="C42" s="111" t="s">
        <v>526</v>
      </c>
      <c r="D42" s="112" t="s">
        <v>527</v>
      </c>
      <c r="E42">
        <v>59</v>
      </c>
      <c r="F42" s="104">
        <v>75</v>
      </c>
      <c r="G42" s="104" t="s">
        <v>528</v>
      </c>
      <c r="H42" s="105" t="s">
        <v>529</v>
      </c>
    </row>
    <row r="43" spans="1:8" ht="46.8" x14ac:dyDescent="0.3">
      <c r="A43" s="109">
        <v>60</v>
      </c>
      <c r="B43" s="110" t="s">
        <v>530</v>
      </c>
      <c r="C43" s="111" t="s">
        <v>531</v>
      </c>
      <c r="D43" s="112" t="s">
        <v>532</v>
      </c>
      <c r="E43">
        <v>60</v>
      </c>
      <c r="F43" s="104">
        <v>76</v>
      </c>
      <c r="G43" s="104" t="s">
        <v>533</v>
      </c>
      <c r="H43" s="105" t="s">
        <v>534</v>
      </c>
    </row>
    <row r="44" spans="1:8" ht="62.4" x14ac:dyDescent="0.3">
      <c r="A44" s="114">
        <v>61</v>
      </c>
      <c r="B44" s="115">
        <v>2</v>
      </c>
      <c r="C44" s="116" t="s">
        <v>535</v>
      </c>
      <c r="D44" s="117" t="s">
        <v>428</v>
      </c>
      <c r="E44">
        <v>61</v>
      </c>
      <c r="F44" s="104">
        <v>46</v>
      </c>
      <c r="G44" s="104" t="s">
        <v>536</v>
      </c>
      <c r="H44" s="104">
        <v>218</v>
      </c>
    </row>
    <row r="45" spans="1:8" ht="31.2" x14ac:dyDescent="0.3">
      <c r="A45" s="114">
        <v>62</v>
      </c>
      <c r="B45" s="115">
        <v>3</v>
      </c>
      <c r="C45" s="116" t="s">
        <v>537</v>
      </c>
      <c r="D45" s="117" t="s">
        <v>538</v>
      </c>
      <c r="E45">
        <v>62</v>
      </c>
      <c r="F45" s="104">
        <v>61</v>
      </c>
      <c r="G45" s="104" t="s">
        <v>539</v>
      </c>
      <c r="H45" s="105" t="s">
        <v>540</v>
      </c>
    </row>
    <row r="46" spans="1:8" ht="46.8" x14ac:dyDescent="0.3">
      <c r="A46" s="118">
        <v>65</v>
      </c>
      <c r="B46" s="119" t="s">
        <v>541</v>
      </c>
      <c r="C46" s="113" t="s">
        <v>542</v>
      </c>
      <c r="D46" s="120" t="s">
        <v>543</v>
      </c>
      <c r="E46">
        <v>65</v>
      </c>
      <c r="F46" s="104">
        <v>49</v>
      </c>
      <c r="G46" s="104" t="s">
        <v>544</v>
      </c>
      <c r="H46" s="104">
        <v>221</v>
      </c>
    </row>
    <row r="47" spans="1:8" ht="93.6" x14ac:dyDescent="0.3">
      <c r="A47" s="118">
        <v>66</v>
      </c>
      <c r="B47" s="119" t="s">
        <v>545</v>
      </c>
      <c r="C47" s="113" t="s">
        <v>546</v>
      </c>
      <c r="D47" s="120" t="s">
        <v>547</v>
      </c>
      <c r="E47">
        <v>66</v>
      </c>
      <c r="F47" s="104">
        <v>50</v>
      </c>
      <c r="G47" s="104" t="s">
        <v>548</v>
      </c>
      <c r="H47" s="104">
        <v>222</v>
      </c>
    </row>
    <row r="48" spans="1:8" ht="31.2" x14ac:dyDescent="0.3">
      <c r="A48" s="118">
        <v>71</v>
      </c>
      <c r="B48" s="119" t="s">
        <v>549</v>
      </c>
      <c r="C48" s="113" t="s">
        <v>550</v>
      </c>
      <c r="D48" s="120" t="s">
        <v>551</v>
      </c>
      <c r="E48">
        <v>71</v>
      </c>
      <c r="F48" s="104">
        <v>55</v>
      </c>
      <c r="G48" s="104" t="s">
        <v>552</v>
      </c>
      <c r="H48" s="104">
        <v>223</v>
      </c>
    </row>
    <row r="49" spans="1:8" ht="31.2" x14ac:dyDescent="0.3">
      <c r="A49" s="118">
        <v>72</v>
      </c>
      <c r="B49" s="119" t="s">
        <v>553</v>
      </c>
      <c r="C49" s="113" t="s">
        <v>554</v>
      </c>
      <c r="D49" s="120" t="s">
        <v>555</v>
      </c>
      <c r="E49">
        <v>72</v>
      </c>
      <c r="F49" s="104">
        <v>60</v>
      </c>
      <c r="G49" s="104" t="s">
        <v>554</v>
      </c>
      <c r="H49" s="105" t="s">
        <v>556</v>
      </c>
    </row>
    <row r="50" spans="1:8" ht="15.6" x14ac:dyDescent="0.3">
      <c r="A50" s="121">
        <v>73</v>
      </c>
      <c r="B50" s="115">
        <v>5</v>
      </c>
      <c r="C50" s="116" t="s">
        <v>557</v>
      </c>
      <c r="D50" s="103" t="s">
        <v>428</v>
      </c>
      <c r="E50">
        <v>73</v>
      </c>
      <c r="F50" s="104">
        <v>56</v>
      </c>
      <c r="G50" s="104" t="s">
        <v>558</v>
      </c>
      <c r="H50" s="105" t="s">
        <v>559</v>
      </c>
    </row>
    <row r="51" spans="1:8" ht="15.6" x14ac:dyDescent="0.3">
      <c r="A51" s="121">
        <v>74</v>
      </c>
      <c r="B51" s="115">
        <v>6</v>
      </c>
      <c r="C51" s="116" t="s">
        <v>560</v>
      </c>
      <c r="D51" s="103" t="s">
        <v>561</v>
      </c>
      <c r="E51">
        <v>74</v>
      </c>
      <c r="F51" s="104">
        <v>57</v>
      </c>
      <c r="G51" s="104" t="s">
        <v>562</v>
      </c>
      <c r="H51" s="105" t="s">
        <v>563</v>
      </c>
    </row>
    <row r="52" spans="1:8" ht="15.6" x14ac:dyDescent="0.3">
      <c r="A52" s="121">
        <v>75</v>
      </c>
      <c r="B52" s="115">
        <v>7</v>
      </c>
      <c r="C52" s="116" t="s">
        <v>564</v>
      </c>
      <c r="D52" s="103" t="s">
        <v>565</v>
      </c>
      <c r="E52">
        <v>75</v>
      </c>
      <c r="F52" s="104">
        <v>58</v>
      </c>
      <c r="G52" s="104" t="s">
        <v>566</v>
      </c>
      <c r="H52" s="105" t="s">
        <v>567</v>
      </c>
    </row>
    <row r="53" spans="1:8" ht="46.8" x14ac:dyDescent="0.3">
      <c r="A53" s="121">
        <v>76</v>
      </c>
      <c r="B53" s="115">
        <v>8</v>
      </c>
      <c r="C53" s="116" t="s">
        <v>568</v>
      </c>
      <c r="D53" s="103" t="s">
        <v>569</v>
      </c>
      <c r="E53">
        <v>76</v>
      </c>
      <c r="F53" s="104">
        <v>69</v>
      </c>
      <c r="G53" s="104" t="s">
        <v>570</v>
      </c>
      <c r="H53" s="105" t="s">
        <v>571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/>
  <dimension ref="A1:US23"/>
  <sheetViews>
    <sheetView topLeftCell="TP1" zoomScale="70" zoomScaleNormal="70" workbookViewId="0">
      <selection activeCell="UH30" sqref="UH30"/>
    </sheetView>
  </sheetViews>
  <sheetFormatPr defaultColWidth="9.109375" defaultRowHeight="14.4" x14ac:dyDescent="0.3"/>
  <cols>
    <col min="1" max="1" width="13.6640625" style="126" customWidth="1"/>
    <col min="2" max="2" width="5" style="126" customWidth="1"/>
    <col min="3" max="3" width="28.88671875" style="126" customWidth="1"/>
    <col min="4" max="4" width="16.109375" style="126" customWidth="1"/>
    <col min="5" max="5" width="9.109375" style="126"/>
    <col min="6" max="7" width="12.109375" style="126" customWidth="1"/>
    <col min="8" max="8" width="16.5546875" style="126" customWidth="1"/>
    <col min="9" max="43" width="12.109375" style="126" customWidth="1"/>
    <col min="44" max="44" width="16.5546875" style="126" customWidth="1"/>
    <col min="45" max="61" width="12.109375" style="126" customWidth="1"/>
    <col min="62" max="62" width="16.5546875" style="126" customWidth="1"/>
    <col min="63" max="79" width="12.109375" style="126" customWidth="1"/>
    <col min="80" max="97" width="9.109375" style="126"/>
    <col min="98" max="98" width="16.5546875" style="126" customWidth="1"/>
    <col min="99" max="115" width="12.109375" style="126" customWidth="1"/>
    <col min="116" max="116" width="16.5546875" style="126" customWidth="1"/>
    <col min="117" max="187" width="12.109375" style="126" customWidth="1"/>
    <col min="188" max="188" width="16.5546875" style="126" customWidth="1"/>
    <col min="189" max="205" width="12.109375" style="126" customWidth="1"/>
    <col min="206" max="206" width="16.5546875" style="126" customWidth="1"/>
    <col min="207" max="223" width="12.109375" style="126" customWidth="1"/>
    <col min="224" max="224" width="16.5546875" style="126" customWidth="1"/>
    <col min="225" max="241" width="12.109375" style="126" customWidth="1"/>
    <col min="242" max="242" width="16.5546875" style="126" customWidth="1"/>
    <col min="243" max="259" width="12.109375" style="126" customWidth="1"/>
    <col min="260" max="260" width="16.5546875" style="126" customWidth="1"/>
    <col min="261" max="277" width="12.109375" style="126" customWidth="1"/>
    <col min="278" max="278" width="16.5546875" style="126" customWidth="1"/>
    <col min="279" max="295" width="12.109375" style="126" customWidth="1"/>
    <col min="296" max="296" width="16.5546875" style="126" customWidth="1"/>
    <col min="297" max="313" width="12.109375" style="126" customWidth="1"/>
    <col min="314" max="314" width="16.5546875" style="126" customWidth="1"/>
    <col min="315" max="331" width="12.109375" style="126" customWidth="1"/>
    <col min="332" max="332" width="16.5546875" style="126" customWidth="1"/>
    <col min="333" max="349" width="12.109375" style="126" customWidth="1"/>
    <col min="350" max="350" width="16.5546875" style="126" customWidth="1"/>
    <col min="351" max="367" width="12.109375" style="126" customWidth="1"/>
    <col min="368" max="368" width="16.5546875" style="126" customWidth="1"/>
    <col min="369" max="385" width="12.109375" style="126" customWidth="1"/>
    <col min="386" max="386" width="16.5546875" style="126" customWidth="1"/>
    <col min="387" max="403" width="12.109375" style="126" customWidth="1"/>
    <col min="404" max="404" width="16.5546875" style="126" customWidth="1"/>
    <col min="405" max="421" width="12.109375" style="126" customWidth="1"/>
    <col min="422" max="422" width="16.5546875" style="126" customWidth="1"/>
    <col min="423" max="439" width="12.109375" style="126" customWidth="1"/>
    <col min="440" max="547" width="10.6640625" style="126" customWidth="1"/>
    <col min="548" max="565" width="12.109375" style="126" customWidth="1"/>
    <col min="566" max="16384" width="9.109375" style="126"/>
  </cols>
  <sheetData>
    <row r="1" spans="1:565" ht="23.4" x14ac:dyDescent="0.45">
      <c r="A1" s="154" t="s">
        <v>700</v>
      </c>
      <c r="C1" s="127"/>
    </row>
    <row r="2" spans="1:565" ht="20.399999999999999" x14ac:dyDescent="0.35">
      <c r="B2" s="128"/>
      <c r="C2" s="128" t="s">
        <v>0</v>
      </c>
      <c r="D2" s="126" t="s">
        <v>278</v>
      </c>
    </row>
    <row r="3" spans="1:565" ht="20.399999999999999" x14ac:dyDescent="0.35">
      <c r="B3" s="128"/>
      <c r="C3" s="128"/>
      <c r="F3" s="126">
        <v>1</v>
      </c>
      <c r="G3" s="126">
        <v>2</v>
      </c>
      <c r="H3" s="126">
        <v>3</v>
      </c>
      <c r="I3" s="126">
        <v>4</v>
      </c>
      <c r="J3" s="126">
        <v>5</v>
      </c>
      <c r="K3" s="126">
        <v>6</v>
      </c>
      <c r="L3" s="126">
        <v>7</v>
      </c>
      <c r="M3" s="126">
        <v>8</v>
      </c>
      <c r="N3" s="126">
        <v>9</v>
      </c>
      <c r="O3" s="126">
        <v>10</v>
      </c>
      <c r="P3" s="126">
        <v>11</v>
      </c>
      <c r="Q3" s="126">
        <v>12</v>
      </c>
      <c r="R3" s="126">
        <v>13</v>
      </c>
      <c r="S3" s="126">
        <v>14</v>
      </c>
      <c r="T3" s="126">
        <v>15</v>
      </c>
      <c r="U3" s="126">
        <v>16</v>
      </c>
      <c r="V3" s="126">
        <v>17</v>
      </c>
      <c r="W3" s="126">
        <v>18</v>
      </c>
      <c r="X3" s="126">
        <v>19</v>
      </c>
      <c r="Y3" s="126">
        <v>20</v>
      </c>
      <c r="Z3" s="126">
        <v>21</v>
      </c>
      <c r="AA3" s="126">
        <v>22</v>
      </c>
      <c r="AB3" s="126">
        <v>23</v>
      </c>
      <c r="AC3" s="126">
        <v>24</v>
      </c>
      <c r="AD3" s="126">
        <v>25</v>
      </c>
      <c r="AE3" s="126">
        <v>26</v>
      </c>
      <c r="AF3" s="126">
        <v>27</v>
      </c>
      <c r="AG3" s="126">
        <v>28</v>
      </c>
      <c r="AH3" s="126">
        <v>29</v>
      </c>
      <c r="AI3" s="126">
        <v>30</v>
      </c>
      <c r="AJ3" s="126">
        <v>31</v>
      </c>
      <c r="AK3" s="126">
        <v>32</v>
      </c>
      <c r="AL3" s="126">
        <v>33</v>
      </c>
      <c r="AM3" s="126">
        <v>34</v>
      </c>
      <c r="AN3" s="126">
        <v>35</v>
      </c>
      <c r="AO3" s="126">
        <v>36</v>
      </c>
      <c r="AP3" s="126">
        <v>37</v>
      </c>
      <c r="AQ3" s="126">
        <v>38</v>
      </c>
      <c r="AR3" s="126">
        <v>39</v>
      </c>
      <c r="AS3" s="126">
        <v>40</v>
      </c>
      <c r="AT3" s="126">
        <v>41</v>
      </c>
      <c r="AU3" s="126">
        <v>42</v>
      </c>
      <c r="AV3" s="126">
        <v>43</v>
      </c>
      <c r="AW3" s="126">
        <v>44</v>
      </c>
      <c r="AX3" s="126">
        <v>45</v>
      </c>
      <c r="AY3" s="126">
        <v>46</v>
      </c>
      <c r="AZ3" s="126">
        <v>47</v>
      </c>
      <c r="BA3" s="126">
        <v>48</v>
      </c>
      <c r="BB3" s="126">
        <v>49</v>
      </c>
      <c r="BC3" s="126">
        <v>50</v>
      </c>
      <c r="BD3" s="126">
        <v>51</v>
      </c>
      <c r="BE3" s="126">
        <v>52</v>
      </c>
      <c r="BF3" s="126">
        <v>53</v>
      </c>
      <c r="BG3" s="126">
        <v>54</v>
      </c>
      <c r="BH3" s="126">
        <v>55</v>
      </c>
      <c r="BI3" s="126">
        <v>56</v>
      </c>
      <c r="BJ3" s="126">
        <v>57</v>
      </c>
      <c r="BK3" s="126">
        <v>58</v>
      </c>
      <c r="BL3" s="126">
        <v>59</v>
      </c>
      <c r="BM3" s="126">
        <v>60</v>
      </c>
      <c r="BN3" s="126">
        <v>61</v>
      </c>
      <c r="BO3" s="126">
        <v>62</v>
      </c>
      <c r="BP3" s="126">
        <v>63</v>
      </c>
      <c r="BQ3" s="126">
        <v>64</v>
      </c>
      <c r="BR3" s="126">
        <v>65</v>
      </c>
      <c r="BS3" s="126">
        <v>66</v>
      </c>
      <c r="BT3" s="126">
        <v>67</v>
      </c>
      <c r="BU3" s="126">
        <v>68</v>
      </c>
      <c r="BV3" s="126">
        <v>69</v>
      </c>
      <c r="BW3" s="126">
        <v>70</v>
      </c>
      <c r="BX3" s="126">
        <v>71</v>
      </c>
      <c r="BY3" s="126">
        <v>72</v>
      </c>
      <c r="BZ3" s="126">
        <v>73</v>
      </c>
      <c r="CA3" s="126">
        <v>74</v>
      </c>
      <c r="CB3" s="126">
        <v>75</v>
      </c>
      <c r="CC3" s="126">
        <v>76</v>
      </c>
      <c r="CD3" s="126">
        <v>77</v>
      </c>
      <c r="CE3" s="126">
        <v>78</v>
      </c>
      <c r="CF3" s="126">
        <v>79</v>
      </c>
      <c r="CG3" s="126">
        <v>80</v>
      </c>
      <c r="CH3" s="126">
        <v>81</v>
      </c>
      <c r="CI3" s="126">
        <v>82</v>
      </c>
      <c r="CJ3" s="126">
        <v>83</v>
      </c>
      <c r="CK3" s="126">
        <v>84</v>
      </c>
      <c r="CL3" s="126">
        <v>85</v>
      </c>
      <c r="CM3" s="126">
        <v>86</v>
      </c>
      <c r="CN3" s="126">
        <v>87</v>
      </c>
      <c r="CO3" s="126">
        <v>88</v>
      </c>
      <c r="CP3" s="126">
        <v>89</v>
      </c>
      <c r="CQ3" s="126">
        <v>90</v>
      </c>
      <c r="CR3" s="126">
        <v>91</v>
      </c>
      <c r="CS3" s="126">
        <v>92</v>
      </c>
      <c r="CT3" s="126">
        <v>93</v>
      </c>
      <c r="CU3" s="126">
        <v>94</v>
      </c>
      <c r="CV3" s="126">
        <v>95</v>
      </c>
      <c r="CW3" s="126">
        <v>96</v>
      </c>
      <c r="CX3" s="126">
        <v>97</v>
      </c>
      <c r="CY3" s="126">
        <v>98</v>
      </c>
      <c r="CZ3" s="126">
        <v>99</v>
      </c>
      <c r="DA3" s="126">
        <v>100</v>
      </c>
      <c r="DB3" s="126">
        <v>101</v>
      </c>
      <c r="DC3" s="126">
        <v>102</v>
      </c>
      <c r="DD3" s="126">
        <v>103</v>
      </c>
      <c r="DE3" s="126">
        <v>104</v>
      </c>
      <c r="DF3" s="126">
        <v>105</v>
      </c>
      <c r="DG3" s="126">
        <v>106</v>
      </c>
      <c r="DH3" s="126">
        <v>107</v>
      </c>
      <c r="DI3" s="126">
        <v>108</v>
      </c>
      <c r="DJ3" s="126">
        <v>109</v>
      </c>
      <c r="DK3" s="126">
        <v>110</v>
      </c>
      <c r="DL3" s="126">
        <v>111</v>
      </c>
      <c r="DM3" s="126">
        <v>112</v>
      </c>
      <c r="DN3" s="126">
        <v>113</v>
      </c>
      <c r="DO3" s="126">
        <v>114</v>
      </c>
      <c r="DP3" s="126">
        <v>115</v>
      </c>
      <c r="DQ3" s="126">
        <v>116</v>
      </c>
      <c r="DR3" s="126">
        <v>117</v>
      </c>
      <c r="DS3" s="126">
        <v>118</v>
      </c>
      <c r="DT3" s="126">
        <v>119</v>
      </c>
      <c r="DU3" s="126">
        <v>120</v>
      </c>
      <c r="DV3" s="126">
        <v>121</v>
      </c>
      <c r="DW3" s="126">
        <v>122</v>
      </c>
      <c r="DX3" s="126">
        <v>123</v>
      </c>
      <c r="DY3" s="126">
        <v>124</v>
      </c>
      <c r="DZ3" s="126">
        <v>125</v>
      </c>
      <c r="EA3" s="126">
        <v>126</v>
      </c>
      <c r="EB3" s="126">
        <v>127</v>
      </c>
      <c r="EC3" s="126">
        <v>128</v>
      </c>
      <c r="ED3" s="126">
        <v>129</v>
      </c>
      <c r="EE3" s="126">
        <v>130</v>
      </c>
      <c r="EF3" s="126">
        <v>131</v>
      </c>
      <c r="EG3" s="126">
        <v>132</v>
      </c>
      <c r="EH3" s="126">
        <v>133</v>
      </c>
      <c r="EI3" s="126">
        <v>134</v>
      </c>
      <c r="EJ3" s="126">
        <v>135</v>
      </c>
      <c r="EK3" s="126">
        <v>136</v>
      </c>
      <c r="EL3" s="126">
        <v>137</v>
      </c>
      <c r="EM3" s="126">
        <v>138</v>
      </c>
      <c r="EN3" s="126">
        <v>139</v>
      </c>
      <c r="EO3" s="126">
        <v>140</v>
      </c>
      <c r="EP3" s="126">
        <v>141</v>
      </c>
      <c r="EQ3" s="126">
        <v>142</v>
      </c>
      <c r="ER3" s="126">
        <v>143</v>
      </c>
      <c r="ES3" s="126">
        <v>144</v>
      </c>
      <c r="ET3" s="126">
        <v>145</v>
      </c>
      <c r="EU3" s="126">
        <v>146</v>
      </c>
      <c r="EV3" s="126">
        <v>147</v>
      </c>
      <c r="EW3" s="126">
        <v>148</v>
      </c>
      <c r="EX3" s="126">
        <v>149</v>
      </c>
      <c r="EY3" s="126">
        <v>150</v>
      </c>
      <c r="EZ3" s="126">
        <v>151</v>
      </c>
      <c r="FA3" s="126">
        <v>152</v>
      </c>
      <c r="FB3" s="126">
        <v>153</v>
      </c>
      <c r="FC3" s="126">
        <v>154</v>
      </c>
      <c r="FD3" s="126">
        <v>155</v>
      </c>
      <c r="FE3" s="126">
        <v>156</v>
      </c>
      <c r="FF3" s="126">
        <v>157</v>
      </c>
      <c r="FG3" s="126">
        <v>158</v>
      </c>
      <c r="FH3" s="126">
        <v>159</v>
      </c>
      <c r="FI3" s="126">
        <v>160</v>
      </c>
      <c r="FJ3" s="126">
        <v>161</v>
      </c>
      <c r="FK3" s="126">
        <v>162</v>
      </c>
      <c r="FL3" s="126">
        <v>163</v>
      </c>
      <c r="FM3" s="126">
        <v>164</v>
      </c>
      <c r="FN3" s="126">
        <v>165</v>
      </c>
      <c r="FO3" s="126">
        <v>166</v>
      </c>
      <c r="FP3" s="126">
        <v>167</v>
      </c>
      <c r="FQ3" s="126">
        <v>168</v>
      </c>
      <c r="FR3" s="126">
        <v>169</v>
      </c>
      <c r="FS3" s="126">
        <v>170</v>
      </c>
      <c r="FT3" s="126">
        <v>171</v>
      </c>
      <c r="FU3" s="126">
        <v>172</v>
      </c>
      <c r="FV3" s="126">
        <v>173</v>
      </c>
      <c r="FW3" s="126">
        <v>174</v>
      </c>
      <c r="FX3" s="126">
        <v>175</v>
      </c>
      <c r="FY3" s="126">
        <v>176</v>
      </c>
      <c r="FZ3" s="126">
        <v>177</v>
      </c>
      <c r="GA3" s="126">
        <v>178</v>
      </c>
      <c r="GB3" s="126">
        <v>179</v>
      </c>
      <c r="GC3" s="126">
        <v>180</v>
      </c>
      <c r="GD3" s="126">
        <v>181</v>
      </c>
      <c r="GE3" s="126">
        <v>182</v>
      </c>
      <c r="GF3" s="126">
        <v>183</v>
      </c>
      <c r="GG3" s="126">
        <v>184</v>
      </c>
      <c r="GH3" s="126">
        <v>185</v>
      </c>
      <c r="GI3" s="126">
        <v>186</v>
      </c>
      <c r="GJ3" s="126">
        <v>187</v>
      </c>
      <c r="GK3" s="126">
        <v>188</v>
      </c>
      <c r="GL3" s="126">
        <v>189</v>
      </c>
      <c r="GM3" s="126">
        <v>190</v>
      </c>
      <c r="GN3" s="126">
        <v>191</v>
      </c>
      <c r="GO3" s="126">
        <v>192</v>
      </c>
      <c r="GP3" s="126">
        <v>193</v>
      </c>
      <c r="GQ3" s="126">
        <v>194</v>
      </c>
      <c r="GR3" s="126">
        <v>195</v>
      </c>
      <c r="GS3" s="126">
        <v>196</v>
      </c>
      <c r="GT3" s="126">
        <v>197</v>
      </c>
      <c r="GU3" s="126">
        <v>198</v>
      </c>
      <c r="GV3" s="126">
        <v>199</v>
      </c>
      <c r="GW3" s="126">
        <v>200</v>
      </c>
      <c r="GX3" s="126">
        <v>201</v>
      </c>
      <c r="GY3" s="126">
        <v>202</v>
      </c>
      <c r="GZ3" s="126">
        <v>203</v>
      </c>
      <c r="HA3" s="126">
        <v>204</v>
      </c>
      <c r="HB3" s="126">
        <v>205</v>
      </c>
      <c r="HC3" s="126">
        <v>206</v>
      </c>
      <c r="HD3" s="126">
        <v>207</v>
      </c>
      <c r="HE3" s="126">
        <v>208</v>
      </c>
      <c r="HF3" s="126">
        <v>209</v>
      </c>
      <c r="HG3" s="126">
        <v>210</v>
      </c>
      <c r="HH3" s="126">
        <v>211</v>
      </c>
      <c r="HI3" s="126">
        <v>212</v>
      </c>
      <c r="HJ3" s="126">
        <v>213</v>
      </c>
      <c r="HK3" s="126">
        <v>214</v>
      </c>
      <c r="HL3" s="126">
        <v>215</v>
      </c>
      <c r="HM3" s="126">
        <v>216</v>
      </c>
      <c r="HN3" s="126">
        <v>217</v>
      </c>
      <c r="HO3" s="126">
        <v>218</v>
      </c>
      <c r="HP3" s="126">
        <v>219</v>
      </c>
      <c r="HQ3" s="126">
        <v>220</v>
      </c>
      <c r="HR3" s="126">
        <v>221</v>
      </c>
      <c r="HS3" s="126">
        <v>222</v>
      </c>
      <c r="HT3" s="126">
        <v>223</v>
      </c>
      <c r="HU3" s="126">
        <v>224</v>
      </c>
      <c r="HV3" s="126">
        <v>225</v>
      </c>
      <c r="HW3" s="126">
        <v>226</v>
      </c>
      <c r="HX3" s="126">
        <v>227</v>
      </c>
      <c r="HY3" s="126">
        <v>228</v>
      </c>
      <c r="HZ3" s="126">
        <v>229</v>
      </c>
      <c r="IA3" s="126">
        <v>230</v>
      </c>
      <c r="IB3" s="126">
        <v>231</v>
      </c>
      <c r="IC3" s="126">
        <v>232</v>
      </c>
      <c r="ID3" s="126">
        <v>233</v>
      </c>
      <c r="IE3" s="126">
        <v>234</v>
      </c>
      <c r="IF3" s="126">
        <v>235</v>
      </c>
      <c r="IG3" s="126">
        <v>236</v>
      </c>
      <c r="IH3" s="126">
        <v>237</v>
      </c>
      <c r="II3" s="126">
        <v>238</v>
      </c>
      <c r="IJ3" s="126">
        <v>239</v>
      </c>
      <c r="IK3" s="126">
        <v>240</v>
      </c>
      <c r="IL3" s="126">
        <v>241</v>
      </c>
      <c r="IM3" s="126">
        <v>242</v>
      </c>
      <c r="IN3" s="126">
        <v>243</v>
      </c>
      <c r="IO3" s="126">
        <v>244</v>
      </c>
      <c r="IP3" s="126">
        <v>245</v>
      </c>
      <c r="IQ3" s="126">
        <v>246</v>
      </c>
      <c r="IR3" s="126">
        <v>247</v>
      </c>
      <c r="IS3" s="126">
        <v>248</v>
      </c>
      <c r="IT3" s="126">
        <v>249</v>
      </c>
      <c r="IU3" s="126">
        <v>250</v>
      </c>
      <c r="IV3" s="126">
        <v>251</v>
      </c>
      <c r="IW3" s="126">
        <v>252</v>
      </c>
      <c r="IX3" s="126">
        <v>253</v>
      </c>
      <c r="IY3" s="126">
        <v>254</v>
      </c>
      <c r="IZ3" s="126">
        <v>255</v>
      </c>
      <c r="JA3" s="126">
        <v>256</v>
      </c>
      <c r="JB3" s="126">
        <v>257</v>
      </c>
      <c r="JC3" s="126">
        <v>258</v>
      </c>
      <c r="JD3" s="126">
        <v>259</v>
      </c>
      <c r="JE3" s="126">
        <v>260</v>
      </c>
      <c r="JF3" s="126">
        <v>261</v>
      </c>
      <c r="JG3" s="126">
        <v>262</v>
      </c>
      <c r="JH3" s="126">
        <v>263</v>
      </c>
      <c r="JI3" s="126">
        <v>264</v>
      </c>
      <c r="JJ3" s="126">
        <v>265</v>
      </c>
      <c r="JK3" s="126">
        <v>266</v>
      </c>
      <c r="JL3" s="126">
        <v>267</v>
      </c>
      <c r="JM3" s="126">
        <v>268</v>
      </c>
      <c r="JN3" s="126">
        <v>269</v>
      </c>
      <c r="JO3" s="126">
        <v>270</v>
      </c>
      <c r="JP3" s="126">
        <v>271</v>
      </c>
      <c r="JQ3" s="126">
        <v>272</v>
      </c>
      <c r="JR3" s="126">
        <v>273</v>
      </c>
      <c r="JS3" s="126">
        <v>274</v>
      </c>
      <c r="JT3" s="126">
        <v>275</v>
      </c>
      <c r="JU3" s="126">
        <v>276</v>
      </c>
      <c r="JV3" s="126">
        <v>277</v>
      </c>
      <c r="JW3" s="126">
        <v>278</v>
      </c>
      <c r="JX3" s="126">
        <v>279</v>
      </c>
      <c r="JY3" s="126">
        <v>280</v>
      </c>
      <c r="JZ3" s="126">
        <v>281</v>
      </c>
      <c r="KA3" s="126">
        <v>282</v>
      </c>
      <c r="KB3" s="126">
        <v>283</v>
      </c>
      <c r="KC3" s="126">
        <v>284</v>
      </c>
      <c r="KD3" s="126">
        <v>285</v>
      </c>
      <c r="KE3" s="126">
        <v>286</v>
      </c>
      <c r="KF3" s="126">
        <v>287</v>
      </c>
      <c r="KG3" s="126">
        <v>288</v>
      </c>
      <c r="KH3" s="126">
        <v>289</v>
      </c>
      <c r="KI3" s="126">
        <v>290</v>
      </c>
      <c r="KJ3" s="126">
        <v>291</v>
      </c>
      <c r="KK3" s="126">
        <v>292</v>
      </c>
      <c r="KL3" s="126">
        <v>293</v>
      </c>
      <c r="KM3" s="126">
        <v>294</v>
      </c>
      <c r="KN3" s="126">
        <v>295</v>
      </c>
      <c r="KO3" s="126">
        <v>296</v>
      </c>
      <c r="KP3" s="126">
        <v>297</v>
      </c>
      <c r="KQ3" s="126">
        <v>298</v>
      </c>
      <c r="KR3" s="126">
        <v>299</v>
      </c>
      <c r="KS3" s="126">
        <v>300</v>
      </c>
      <c r="KT3" s="126">
        <v>301</v>
      </c>
      <c r="KU3" s="126">
        <v>302</v>
      </c>
      <c r="KV3" s="126">
        <v>303</v>
      </c>
      <c r="KW3" s="126">
        <v>304</v>
      </c>
      <c r="KX3" s="126">
        <v>305</v>
      </c>
      <c r="KY3" s="126">
        <v>306</v>
      </c>
      <c r="KZ3" s="126">
        <v>307</v>
      </c>
      <c r="LA3" s="126">
        <v>308</v>
      </c>
      <c r="LB3" s="126">
        <v>309</v>
      </c>
      <c r="LC3" s="126">
        <v>310</v>
      </c>
      <c r="LD3" s="126">
        <v>311</v>
      </c>
      <c r="LE3" s="126">
        <v>312</v>
      </c>
      <c r="LF3" s="126">
        <v>313</v>
      </c>
      <c r="LG3" s="126">
        <v>314</v>
      </c>
      <c r="LH3" s="126">
        <v>315</v>
      </c>
      <c r="LI3" s="126">
        <v>316</v>
      </c>
      <c r="LJ3" s="126">
        <v>317</v>
      </c>
      <c r="LK3" s="126">
        <v>318</v>
      </c>
      <c r="LL3" s="126">
        <v>319</v>
      </c>
      <c r="LM3" s="126">
        <v>320</v>
      </c>
      <c r="LN3" s="126">
        <v>321</v>
      </c>
      <c r="LO3" s="126">
        <v>322</v>
      </c>
      <c r="LP3" s="126">
        <v>323</v>
      </c>
      <c r="LQ3" s="126">
        <v>324</v>
      </c>
      <c r="LR3" s="126">
        <v>325</v>
      </c>
      <c r="LS3" s="126">
        <v>326</v>
      </c>
      <c r="LT3" s="126">
        <v>327</v>
      </c>
      <c r="LU3" s="126">
        <v>328</v>
      </c>
      <c r="LV3" s="126">
        <v>329</v>
      </c>
      <c r="LW3" s="126">
        <v>330</v>
      </c>
      <c r="LX3" s="126">
        <v>331</v>
      </c>
      <c r="LY3" s="126">
        <v>332</v>
      </c>
      <c r="LZ3" s="126">
        <v>333</v>
      </c>
      <c r="MA3" s="126">
        <v>334</v>
      </c>
      <c r="MB3" s="126">
        <v>335</v>
      </c>
      <c r="MC3" s="126">
        <v>336</v>
      </c>
      <c r="MD3" s="126">
        <v>337</v>
      </c>
      <c r="ME3" s="126">
        <v>338</v>
      </c>
      <c r="MF3" s="126">
        <v>339</v>
      </c>
      <c r="MG3" s="126">
        <v>340</v>
      </c>
      <c r="MH3" s="126">
        <v>341</v>
      </c>
      <c r="MI3" s="126">
        <v>342</v>
      </c>
      <c r="MJ3" s="126">
        <v>343</v>
      </c>
      <c r="MK3" s="126">
        <v>344</v>
      </c>
      <c r="ML3" s="126">
        <v>345</v>
      </c>
      <c r="MM3" s="126">
        <v>346</v>
      </c>
      <c r="MN3" s="126">
        <v>347</v>
      </c>
      <c r="MO3" s="126">
        <v>348</v>
      </c>
      <c r="MP3" s="126">
        <v>349</v>
      </c>
      <c r="MQ3" s="126">
        <v>350</v>
      </c>
      <c r="MR3" s="126">
        <v>351</v>
      </c>
      <c r="MS3" s="126">
        <v>352</v>
      </c>
      <c r="MT3" s="126">
        <v>353</v>
      </c>
      <c r="MU3" s="126">
        <v>354</v>
      </c>
      <c r="MV3" s="126">
        <v>355</v>
      </c>
      <c r="MW3" s="126">
        <v>356</v>
      </c>
      <c r="MX3" s="126">
        <v>357</v>
      </c>
      <c r="MY3" s="126">
        <v>358</v>
      </c>
      <c r="MZ3" s="126">
        <v>359</v>
      </c>
      <c r="NA3" s="126">
        <v>360</v>
      </c>
      <c r="NB3" s="126">
        <v>361</v>
      </c>
      <c r="NC3" s="126">
        <v>362</v>
      </c>
      <c r="ND3" s="126">
        <v>363</v>
      </c>
      <c r="NE3" s="126">
        <v>364</v>
      </c>
      <c r="NF3" s="126">
        <v>365</v>
      </c>
      <c r="NG3" s="126">
        <v>366</v>
      </c>
      <c r="NH3" s="126">
        <v>367</v>
      </c>
      <c r="NI3" s="126">
        <v>368</v>
      </c>
      <c r="NJ3" s="126">
        <v>369</v>
      </c>
      <c r="NK3" s="126">
        <v>370</v>
      </c>
      <c r="NL3" s="126">
        <v>371</v>
      </c>
      <c r="NM3" s="126">
        <v>372</v>
      </c>
      <c r="NN3" s="126">
        <v>373</v>
      </c>
      <c r="NO3" s="126">
        <v>374</v>
      </c>
      <c r="NP3" s="126">
        <v>375</v>
      </c>
      <c r="NQ3" s="126">
        <v>376</v>
      </c>
      <c r="NR3" s="126">
        <v>377</v>
      </c>
      <c r="NS3" s="126">
        <v>378</v>
      </c>
      <c r="NT3" s="126">
        <v>379</v>
      </c>
      <c r="NU3" s="126">
        <v>380</v>
      </c>
      <c r="NV3" s="126">
        <v>381</v>
      </c>
      <c r="NW3" s="126">
        <v>382</v>
      </c>
      <c r="NX3" s="126">
        <v>383</v>
      </c>
      <c r="NY3" s="126">
        <v>384</v>
      </c>
      <c r="NZ3" s="126">
        <v>385</v>
      </c>
      <c r="OA3" s="126">
        <v>386</v>
      </c>
      <c r="OB3" s="126">
        <v>387</v>
      </c>
      <c r="OC3" s="126">
        <v>388</v>
      </c>
      <c r="OD3" s="126">
        <v>389</v>
      </c>
      <c r="OE3" s="126">
        <v>390</v>
      </c>
      <c r="OF3" s="126">
        <v>391</v>
      </c>
      <c r="OG3" s="126">
        <v>392</v>
      </c>
      <c r="OH3" s="126">
        <v>393</v>
      </c>
      <c r="OI3" s="126">
        <v>394</v>
      </c>
      <c r="OJ3" s="126">
        <v>395</v>
      </c>
      <c r="OK3" s="126">
        <v>396</v>
      </c>
      <c r="OL3" s="126">
        <v>397</v>
      </c>
      <c r="OM3" s="126">
        <v>398</v>
      </c>
      <c r="ON3" s="126">
        <v>399</v>
      </c>
      <c r="OO3" s="126">
        <v>400</v>
      </c>
      <c r="OP3" s="126">
        <v>401</v>
      </c>
      <c r="OQ3" s="126">
        <v>402</v>
      </c>
      <c r="OR3" s="126">
        <v>403</v>
      </c>
      <c r="OS3" s="126">
        <v>404</v>
      </c>
      <c r="OT3" s="126">
        <v>405</v>
      </c>
      <c r="OU3" s="126">
        <v>406</v>
      </c>
      <c r="OV3" s="126">
        <v>407</v>
      </c>
      <c r="OW3" s="126">
        <v>408</v>
      </c>
      <c r="OX3" s="126">
        <v>409</v>
      </c>
      <c r="OY3" s="126">
        <v>410</v>
      </c>
      <c r="OZ3" s="126">
        <v>411</v>
      </c>
      <c r="PA3" s="126">
        <v>412</v>
      </c>
      <c r="PB3" s="126">
        <v>413</v>
      </c>
      <c r="PC3" s="126">
        <v>414</v>
      </c>
      <c r="PD3" s="126">
        <v>415</v>
      </c>
      <c r="PE3" s="126">
        <v>416</v>
      </c>
      <c r="PF3" s="126">
        <v>417</v>
      </c>
      <c r="PG3" s="126">
        <v>418</v>
      </c>
      <c r="PH3" s="126">
        <v>419</v>
      </c>
      <c r="PI3" s="126">
        <v>420</v>
      </c>
      <c r="PJ3" s="126">
        <v>421</v>
      </c>
      <c r="PK3" s="126">
        <v>422</v>
      </c>
      <c r="PL3" s="126">
        <v>423</v>
      </c>
      <c r="PM3" s="126">
        <v>424</v>
      </c>
      <c r="PN3" s="126">
        <v>425</v>
      </c>
      <c r="PO3" s="126">
        <v>426</v>
      </c>
      <c r="PP3" s="126">
        <v>427</v>
      </c>
      <c r="PQ3" s="126">
        <v>428</v>
      </c>
      <c r="PR3" s="126">
        <v>429</v>
      </c>
      <c r="PS3" s="126">
        <v>430</v>
      </c>
      <c r="PT3" s="126">
        <v>431</v>
      </c>
      <c r="PU3" s="126">
        <v>432</v>
      </c>
      <c r="PV3" s="126">
        <v>433</v>
      </c>
      <c r="PW3" s="126">
        <v>434</v>
      </c>
      <c r="PX3" s="126">
        <v>435</v>
      </c>
      <c r="PY3" s="126">
        <v>436</v>
      </c>
      <c r="PZ3" s="126">
        <v>437</v>
      </c>
      <c r="QA3" s="126">
        <v>438</v>
      </c>
      <c r="QB3" s="126">
        <v>439</v>
      </c>
      <c r="QC3" s="126">
        <v>440</v>
      </c>
      <c r="QD3" s="126">
        <v>441</v>
      </c>
      <c r="QE3" s="126">
        <v>442</v>
      </c>
      <c r="QF3" s="126">
        <v>443</v>
      </c>
      <c r="QG3" s="126">
        <v>444</v>
      </c>
      <c r="QH3" s="126">
        <v>445</v>
      </c>
      <c r="QI3" s="126">
        <v>446</v>
      </c>
      <c r="QJ3" s="126">
        <v>447</v>
      </c>
      <c r="QK3" s="126">
        <v>448</v>
      </c>
      <c r="QL3" s="126">
        <v>449</v>
      </c>
      <c r="QM3" s="126">
        <v>450</v>
      </c>
      <c r="QN3" s="126">
        <v>451</v>
      </c>
      <c r="QO3" s="126">
        <v>452</v>
      </c>
      <c r="QP3" s="126">
        <v>453</v>
      </c>
      <c r="QQ3" s="126">
        <v>454</v>
      </c>
      <c r="QR3" s="126">
        <v>455</v>
      </c>
      <c r="QS3" s="126">
        <v>456</v>
      </c>
      <c r="QT3" s="126">
        <v>457</v>
      </c>
      <c r="QU3" s="126">
        <v>458</v>
      </c>
      <c r="QV3" s="126">
        <v>459</v>
      </c>
      <c r="QW3" s="126">
        <v>460</v>
      </c>
      <c r="QX3" s="126">
        <v>461</v>
      </c>
      <c r="QY3" s="126">
        <v>462</v>
      </c>
      <c r="QZ3" s="126">
        <v>463</v>
      </c>
      <c r="RA3" s="126">
        <v>464</v>
      </c>
      <c r="RB3" s="126">
        <v>465</v>
      </c>
      <c r="RC3" s="126">
        <v>466</v>
      </c>
      <c r="RD3" s="126">
        <v>467</v>
      </c>
      <c r="RE3" s="126">
        <v>468</v>
      </c>
      <c r="RF3" s="126">
        <v>469</v>
      </c>
      <c r="RG3" s="126">
        <v>470</v>
      </c>
      <c r="RH3" s="126">
        <v>471</v>
      </c>
      <c r="RI3" s="126">
        <v>472</v>
      </c>
      <c r="RJ3" s="126">
        <v>473</v>
      </c>
      <c r="RK3" s="126">
        <v>474</v>
      </c>
      <c r="RL3" s="126">
        <v>475</v>
      </c>
      <c r="RM3" s="126">
        <v>476</v>
      </c>
      <c r="RN3" s="126">
        <v>477</v>
      </c>
      <c r="RO3" s="126">
        <v>478</v>
      </c>
      <c r="RP3" s="126">
        <v>479</v>
      </c>
      <c r="RQ3" s="126">
        <v>480</v>
      </c>
      <c r="RR3" s="126">
        <v>481</v>
      </c>
      <c r="RS3" s="126">
        <v>482</v>
      </c>
      <c r="RT3" s="126">
        <v>483</v>
      </c>
      <c r="RU3" s="126">
        <v>484</v>
      </c>
      <c r="RV3" s="126">
        <v>485</v>
      </c>
      <c r="RW3" s="126">
        <v>486</v>
      </c>
      <c r="RX3" s="126">
        <v>487</v>
      </c>
      <c r="RY3" s="126">
        <v>488</v>
      </c>
      <c r="RZ3" s="126">
        <v>489</v>
      </c>
      <c r="SA3" s="126">
        <v>490</v>
      </c>
      <c r="SB3" s="126">
        <v>491</v>
      </c>
      <c r="SC3" s="126">
        <v>492</v>
      </c>
      <c r="SD3" s="126">
        <v>493</v>
      </c>
      <c r="SE3" s="126">
        <v>494</v>
      </c>
      <c r="SF3" s="126">
        <v>495</v>
      </c>
      <c r="SG3" s="126">
        <v>496</v>
      </c>
      <c r="SH3" s="126">
        <v>497</v>
      </c>
      <c r="SI3" s="126">
        <v>498</v>
      </c>
      <c r="SJ3" s="126">
        <v>499</v>
      </c>
      <c r="SK3" s="126">
        <v>500</v>
      </c>
      <c r="SL3" s="126">
        <v>501</v>
      </c>
      <c r="SM3" s="126">
        <v>502</v>
      </c>
      <c r="SN3" s="126">
        <v>503</v>
      </c>
      <c r="SO3" s="126">
        <v>504</v>
      </c>
      <c r="SP3" s="126">
        <v>505</v>
      </c>
      <c r="SQ3" s="126">
        <v>506</v>
      </c>
      <c r="SR3" s="126">
        <v>507</v>
      </c>
      <c r="SS3" s="126">
        <v>508</v>
      </c>
      <c r="ST3" s="126">
        <v>509</v>
      </c>
      <c r="SU3" s="126">
        <v>510</v>
      </c>
      <c r="SV3" s="126">
        <v>511</v>
      </c>
      <c r="SW3" s="126">
        <v>512</v>
      </c>
      <c r="SX3" s="126">
        <v>513</v>
      </c>
      <c r="SY3" s="126">
        <v>514</v>
      </c>
      <c r="SZ3" s="126">
        <v>515</v>
      </c>
      <c r="TA3" s="126">
        <v>516</v>
      </c>
      <c r="TB3" s="126">
        <v>517</v>
      </c>
      <c r="TC3" s="126">
        <v>518</v>
      </c>
      <c r="TD3" s="126">
        <v>519</v>
      </c>
      <c r="TE3" s="126">
        <v>520</v>
      </c>
      <c r="TF3" s="126">
        <v>521</v>
      </c>
      <c r="TG3" s="126">
        <v>522</v>
      </c>
      <c r="TH3" s="126">
        <v>523</v>
      </c>
      <c r="TI3" s="126">
        <v>524</v>
      </c>
      <c r="TJ3" s="126">
        <v>525</v>
      </c>
      <c r="TK3" s="126">
        <v>526</v>
      </c>
      <c r="TL3" s="126">
        <v>527</v>
      </c>
      <c r="TM3" s="126">
        <v>528</v>
      </c>
      <c r="TN3" s="126">
        <v>529</v>
      </c>
      <c r="TO3" s="126">
        <v>530</v>
      </c>
      <c r="TP3" s="126">
        <v>531</v>
      </c>
      <c r="TQ3" s="126">
        <v>532</v>
      </c>
      <c r="TR3" s="126">
        <v>533</v>
      </c>
      <c r="TS3" s="126">
        <v>534</v>
      </c>
      <c r="TT3" s="126">
        <v>535</v>
      </c>
      <c r="TU3" s="126">
        <v>536</v>
      </c>
      <c r="TV3" s="126">
        <v>537</v>
      </c>
      <c r="TW3" s="126">
        <v>538</v>
      </c>
      <c r="TX3" s="126">
        <v>539</v>
      </c>
      <c r="TY3" s="126">
        <v>540</v>
      </c>
      <c r="TZ3" s="126">
        <v>541</v>
      </c>
      <c r="UA3" s="126">
        <v>542</v>
      </c>
      <c r="UB3" s="126">
        <v>543</v>
      </c>
      <c r="UC3" s="126">
        <v>544</v>
      </c>
      <c r="UD3" s="126">
        <v>545</v>
      </c>
      <c r="UE3" s="126">
        <v>546</v>
      </c>
      <c r="UF3" s="126">
        <v>547</v>
      </c>
      <c r="UG3" s="126">
        <v>548</v>
      </c>
      <c r="UH3" s="126">
        <v>549</v>
      </c>
      <c r="UI3" s="126">
        <v>550</v>
      </c>
      <c r="UJ3" s="126">
        <v>551</v>
      </c>
      <c r="UK3" s="126">
        <v>552</v>
      </c>
      <c r="UL3" s="126">
        <v>553</v>
      </c>
      <c r="UM3" s="126">
        <v>554</v>
      </c>
      <c r="UN3" s="126">
        <v>555</v>
      </c>
      <c r="UO3" s="126">
        <v>556</v>
      </c>
      <c r="UP3" s="126">
        <v>557</v>
      </c>
      <c r="UQ3" s="126">
        <v>558</v>
      </c>
      <c r="UR3" s="126">
        <v>559</v>
      </c>
      <c r="US3" s="126">
        <v>560</v>
      </c>
    </row>
    <row r="4" spans="1:565" ht="20.399999999999999" x14ac:dyDescent="0.35">
      <c r="B4" s="128"/>
      <c r="C4" s="128"/>
    </row>
    <row r="5" spans="1:565" ht="18.75" customHeight="1" thickBot="1" x14ac:dyDescent="0.35">
      <c r="C5" s="129"/>
      <c r="D5" s="129"/>
      <c r="E5" s="129"/>
      <c r="F5" s="142"/>
      <c r="G5" s="142"/>
      <c r="H5" s="183">
        <v>37</v>
      </c>
      <c r="I5" s="183"/>
      <c r="J5" s="183"/>
      <c r="K5" s="183"/>
      <c r="L5" s="183"/>
      <c r="M5" s="183"/>
      <c r="N5" s="183"/>
      <c r="O5" s="183"/>
      <c r="P5" s="183"/>
      <c r="Q5" s="183"/>
      <c r="R5" s="183"/>
      <c r="S5" s="183"/>
      <c r="T5" s="183"/>
      <c r="U5" s="183"/>
      <c r="V5" s="183"/>
      <c r="W5" s="109"/>
      <c r="X5" s="109"/>
      <c r="Y5" s="109"/>
      <c r="Z5" s="183">
        <v>62</v>
      </c>
      <c r="AA5" s="183"/>
      <c r="AB5" s="183"/>
      <c r="AC5" s="183"/>
      <c r="AD5" s="183"/>
      <c r="AE5" s="183"/>
      <c r="AF5" s="183"/>
      <c r="AG5" s="183"/>
      <c r="AH5" s="183"/>
      <c r="AI5" s="183"/>
      <c r="AJ5" s="183"/>
      <c r="AK5" s="183"/>
      <c r="AL5" s="183"/>
      <c r="AM5" s="183"/>
      <c r="AN5" s="183"/>
      <c r="AO5" s="109"/>
      <c r="AP5" s="109"/>
      <c r="AQ5" s="109"/>
      <c r="AR5" s="183">
        <v>45</v>
      </c>
      <c r="AS5" s="183"/>
      <c r="AT5" s="183"/>
      <c r="AU5" s="183"/>
      <c r="AV5" s="183"/>
      <c r="AW5" s="183"/>
      <c r="AX5" s="183"/>
      <c r="AY5" s="183"/>
      <c r="AZ5" s="183"/>
      <c r="BA5" s="183"/>
      <c r="BB5" s="183"/>
      <c r="BC5" s="183"/>
      <c r="BD5" s="183"/>
      <c r="BE5" s="183"/>
      <c r="BF5" s="183"/>
      <c r="BG5" s="109"/>
      <c r="BH5" s="109"/>
      <c r="BI5" s="109"/>
      <c r="BJ5" s="183" t="s">
        <v>974</v>
      </c>
      <c r="BK5" s="109"/>
      <c r="BL5" s="109"/>
      <c r="BM5" s="109"/>
      <c r="BN5" s="109"/>
      <c r="BO5" s="109"/>
      <c r="BP5" s="109"/>
      <c r="BQ5" s="109"/>
      <c r="BR5" s="109"/>
      <c r="BS5" s="109"/>
      <c r="BT5" s="109"/>
      <c r="BU5" s="109"/>
      <c r="BV5" s="109"/>
      <c r="BW5" s="109"/>
      <c r="BX5" s="109"/>
      <c r="BY5" s="109"/>
      <c r="BZ5" s="109"/>
      <c r="CA5" s="109"/>
      <c r="CB5" s="183">
        <v>17</v>
      </c>
      <c r="CC5" s="183"/>
      <c r="CD5" s="183"/>
      <c r="CE5" s="183"/>
      <c r="CF5" s="183"/>
      <c r="CG5" s="183"/>
      <c r="CH5" s="183"/>
      <c r="CI5" s="183"/>
      <c r="CJ5" s="183"/>
      <c r="CK5" s="183"/>
      <c r="CL5" s="183"/>
      <c r="CM5" s="183"/>
      <c r="CN5" s="183"/>
      <c r="CO5" s="183"/>
      <c r="CP5" s="183"/>
      <c r="CQ5" s="109"/>
      <c r="CR5" s="109"/>
      <c r="CS5" s="109"/>
      <c r="CT5" s="183" t="s">
        <v>918</v>
      </c>
      <c r="CU5" s="183"/>
      <c r="CV5" s="183"/>
      <c r="CW5" s="183"/>
      <c r="CX5" s="183"/>
      <c r="CY5" s="183"/>
      <c r="CZ5" s="183"/>
      <c r="DA5" s="183"/>
      <c r="DB5" s="183"/>
      <c r="DC5" s="183"/>
      <c r="DD5" s="183"/>
      <c r="DE5" s="183"/>
      <c r="DF5" s="183"/>
      <c r="DG5" s="183"/>
      <c r="DH5" s="183"/>
      <c r="DI5" s="109"/>
      <c r="DJ5" s="109"/>
      <c r="DK5" s="109"/>
      <c r="DL5" s="109">
        <v>59</v>
      </c>
      <c r="DM5" s="109"/>
      <c r="DN5" s="109"/>
      <c r="DO5" s="109"/>
      <c r="DP5" s="109"/>
      <c r="DQ5" s="109"/>
      <c r="DR5" s="109"/>
      <c r="DS5" s="109"/>
      <c r="DT5" s="109"/>
      <c r="DU5" s="109"/>
      <c r="DV5" s="109"/>
      <c r="DW5" s="109"/>
      <c r="DX5" s="109"/>
      <c r="DY5" s="109"/>
      <c r="DZ5" s="109"/>
      <c r="EA5" s="109"/>
      <c r="EB5" s="109"/>
      <c r="EC5" s="109"/>
      <c r="ED5" s="183" t="s">
        <v>955</v>
      </c>
      <c r="EE5" s="183"/>
      <c r="EF5" s="183"/>
      <c r="EG5" s="183"/>
      <c r="EH5" s="183"/>
      <c r="EI5" s="183"/>
      <c r="EJ5" s="183"/>
      <c r="EK5" s="183"/>
      <c r="EL5" s="183"/>
      <c r="EM5" s="183"/>
      <c r="EN5" s="183"/>
      <c r="EO5" s="183"/>
      <c r="EP5" s="183"/>
      <c r="EQ5" s="183"/>
      <c r="ER5" s="183"/>
      <c r="ES5" s="109"/>
      <c r="ET5" s="109"/>
      <c r="EU5" s="109"/>
      <c r="EV5" s="183">
        <v>61</v>
      </c>
      <c r="EW5" s="183"/>
      <c r="EX5" s="183"/>
      <c r="EY5" s="183"/>
      <c r="EZ5" s="183"/>
      <c r="FA5" s="183"/>
      <c r="FB5" s="183"/>
      <c r="FC5" s="183"/>
      <c r="FD5" s="183"/>
      <c r="FE5" s="183"/>
      <c r="FF5" s="183"/>
      <c r="FG5" s="183"/>
      <c r="FH5" s="183"/>
      <c r="FI5" s="183"/>
      <c r="FJ5" s="183"/>
      <c r="FK5" s="109"/>
      <c r="FL5" s="109"/>
      <c r="FM5" s="109"/>
      <c r="FN5" s="184" t="s">
        <v>706</v>
      </c>
      <c r="FO5" s="184"/>
      <c r="FP5" s="183"/>
      <c r="FQ5" s="183"/>
      <c r="FR5" s="183"/>
      <c r="FS5" s="183"/>
      <c r="FT5" s="183" t="s">
        <v>917</v>
      </c>
      <c r="FU5" s="183"/>
      <c r="FV5" s="183"/>
      <c r="FW5" s="183"/>
      <c r="FX5" s="183"/>
      <c r="FY5" s="183"/>
      <c r="FZ5" s="183"/>
      <c r="GA5" s="183"/>
      <c r="GB5" s="183"/>
      <c r="GC5" s="109"/>
      <c r="GD5" s="109"/>
      <c r="GE5" s="109"/>
      <c r="GF5" s="183">
        <v>51</v>
      </c>
      <c r="GG5" s="183"/>
      <c r="GH5" s="183"/>
      <c r="GI5" s="183"/>
      <c r="GJ5" s="183"/>
      <c r="GK5" s="183"/>
      <c r="GL5" s="183"/>
      <c r="GM5" s="183"/>
      <c r="GN5" s="183"/>
      <c r="GO5" s="183"/>
      <c r="GP5" s="183"/>
      <c r="GQ5" s="183"/>
      <c r="GR5" s="183"/>
      <c r="GS5" s="183"/>
      <c r="GT5" s="183"/>
      <c r="GU5" s="109"/>
      <c r="GV5" s="109"/>
      <c r="GW5" s="109"/>
      <c r="GX5" s="184" t="s">
        <v>707</v>
      </c>
      <c r="GY5" s="183"/>
      <c r="GZ5" s="183"/>
      <c r="HA5" s="183"/>
      <c r="HB5" s="183"/>
      <c r="HC5" s="183"/>
      <c r="HD5" s="183"/>
      <c r="HE5" s="183"/>
      <c r="HF5" s="183"/>
      <c r="HG5" s="183"/>
      <c r="HH5" s="183"/>
      <c r="HI5" s="183"/>
      <c r="HJ5" s="183"/>
      <c r="HK5" s="183"/>
      <c r="HL5" s="183"/>
      <c r="HM5" s="109"/>
      <c r="HN5" s="109"/>
      <c r="HO5" s="109"/>
      <c r="HP5" s="183">
        <v>52</v>
      </c>
      <c r="HQ5" s="183"/>
      <c r="HR5" s="183"/>
      <c r="HS5" s="183"/>
      <c r="HT5" s="183"/>
      <c r="HU5" s="183"/>
      <c r="HV5" s="183"/>
      <c r="HW5" s="183"/>
      <c r="HX5" s="183"/>
      <c r="HY5" s="183"/>
      <c r="HZ5" s="183"/>
      <c r="IA5" s="183"/>
      <c r="IB5" s="183"/>
      <c r="IC5" s="183"/>
      <c r="ID5" s="183"/>
      <c r="IE5" s="109"/>
      <c r="IF5" s="109"/>
      <c r="IG5" s="109"/>
      <c r="IH5" s="184" t="s">
        <v>708</v>
      </c>
      <c r="II5" s="183"/>
      <c r="IJ5" s="183"/>
      <c r="IK5" s="183"/>
      <c r="IL5" s="183"/>
      <c r="IM5" s="183"/>
      <c r="IN5" s="183"/>
      <c r="IO5" s="183"/>
      <c r="IP5" s="183"/>
      <c r="IQ5" s="183"/>
      <c r="IR5" s="183"/>
      <c r="IS5" s="183"/>
      <c r="IT5" s="183"/>
      <c r="IU5" s="183"/>
      <c r="IV5" s="183"/>
      <c r="IW5" s="109"/>
      <c r="IX5" s="109"/>
      <c r="IY5" s="109"/>
      <c r="IZ5" s="183">
        <v>53</v>
      </c>
      <c r="JA5" s="183"/>
      <c r="JB5" s="183"/>
      <c r="JC5" s="183"/>
      <c r="JD5" s="183"/>
      <c r="JE5" s="183"/>
      <c r="JF5" s="183"/>
      <c r="JG5" s="183"/>
      <c r="JH5" s="183"/>
      <c r="JI5" s="183"/>
      <c r="JJ5" s="183"/>
      <c r="JK5" s="183"/>
      <c r="JL5" s="183"/>
      <c r="JM5" s="183"/>
      <c r="JN5" s="183"/>
      <c r="JO5" s="109"/>
      <c r="JP5" s="109"/>
      <c r="JQ5" s="109"/>
      <c r="JR5" s="184" t="s">
        <v>709</v>
      </c>
      <c r="JS5" s="183"/>
      <c r="JT5" s="183"/>
      <c r="JU5" s="183"/>
      <c r="JV5" s="183"/>
      <c r="JW5" s="183"/>
      <c r="JX5" s="183"/>
      <c r="JY5" s="183"/>
      <c r="JZ5" s="183"/>
      <c r="KA5" s="183"/>
      <c r="KB5" s="183"/>
      <c r="KC5" s="183"/>
      <c r="KD5" s="183"/>
      <c r="KE5" s="183"/>
      <c r="KF5" s="183"/>
      <c r="KG5" s="109"/>
      <c r="KH5" s="109"/>
      <c r="KI5" s="109"/>
      <c r="KJ5" s="183">
        <v>54</v>
      </c>
      <c r="KK5" s="183"/>
      <c r="KL5" s="183"/>
      <c r="KM5" s="183"/>
      <c r="KN5" s="183"/>
      <c r="KO5" s="183"/>
      <c r="KP5" s="183"/>
      <c r="KQ5" s="183"/>
      <c r="KR5" s="183"/>
      <c r="KS5" s="183"/>
      <c r="KT5" s="183"/>
      <c r="KU5" s="183"/>
      <c r="KV5" s="183"/>
      <c r="KW5" s="183"/>
      <c r="KX5" s="183"/>
      <c r="KY5" s="109"/>
      <c r="KZ5" s="109"/>
      <c r="LA5" s="109"/>
      <c r="LB5" s="184" t="s">
        <v>710</v>
      </c>
      <c r="LC5" s="183"/>
      <c r="LD5" s="183"/>
      <c r="LE5" s="183"/>
      <c r="LF5" s="183"/>
      <c r="LG5" s="183"/>
      <c r="LH5" s="183"/>
      <c r="LI5" s="183"/>
      <c r="LJ5" s="183"/>
      <c r="LK5" s="183"/>
      <c r="LL5" s="183"/>
      <c r="LM5" s="183"/>
      <c r="LN5" s="183"/>
      <c r="LO5" s="183"/>
      <c r="LP5" s="183"/>
      <c r="LQ5" s="109"/>
      <c r="LR5" s="109"/>
      <c r="LS5" s="109"/>
      <c r="LT5" s="183">
        <v>58</v>
      </c>
      <c r="LU5" s="183"/>
      <c r="LV5" s="183"/>
      <c r="LW5" s="183"/>
      <c r="LX5" s="183"/>
      <c r="LY5" s="183"/>
      <c r="LZ5" s="183"/>
      <c r="MA5" s="183"/>
      <c r="MB5" s="183"/>
      <c r="MC5" s="183"/>
      <c r="MD5" s="183"/>
      <c r="ME5" s="183"/>
      <c r="MF5" s="183"/>
      <c r="MG5" s="183"/>
      <c r="MH5" s="183"/>
      <c r="MI5" s="109"/>
      <c r="MJ5" s="109"/>
      <c r="MK5" s="109"/>
      <c r="ML5" s="184" t="s">
        <v>711</v>
      </c>
      <c r="MM5" s="183"/>
      <c r="MN5" s="183"/>
      <c r="MO5" s="183"/>
      <c r="MP5" s="183"/>
      <c r="MQ5" s="183"/>
      <c r="MR5" s="183"/>
      <c r="MS5" s="183"/>
      <c r="MT5" s="183"/>
      <c r="MU5" s="183"/>
      <c r="MV5" s="183"/>
      <c r="MW5" s="183"/>
      <c r="MX5" s="183"/>
      <c r="MY5" s="183"/>
      <c r="MZ5" s="183"/>
      <c r="NA5" s="109"/>
      <c r="NB5" s="109"/>
      <c r="NC5" s="109"/>
      <c r="ND5" s="183">
        <v>60</v>
      </c>
      <c r="NE5" s="183"/>
      <c r="NF5" s="183"/>
      <c r="NG5" s="183"/>
      <c r="NH5" s="183"/>
      <c r="NI5" s="183"/>
      <c r="NJ5" s="183"/>
      <c r="NK5" s="183"/>
      <c r="NL5" s="183"/>
      <c r="NM5" s="183"/>
      <c r="NN5" s="183"/>
      <c r="NO5" s="183"/>
      <c r="NP5" s="183"/>
      <c r="NQ5" s="183"/>
      <c r="NR5" s="183"/>
      <c r="NS5" s="109"/>
      <c r="NT5" s="109"/>
      <c r="NU5" s="109"/>
      <c r="NV5" s="184" t="s">
        <v>712</v>
      </c>
      <c r="NW5" s="183"/>
      <c r="NX5" s="183"/>
      <c r="NY5" s="183"/>
      <c r="NZ5" s="183"/>
      <c r="OA5" s="183"/>
      <c r="OB5" s="183"/>
      <c r="OC5" s="183"/>
      <c r="OD5" s="183"/>
      <c r="OE5" s="183"/>
      <c r="OF5" s="183"/>
      <c r="OG5" s="183"/>
      <c r="OH5" s="183"/>
      <c r="OI5" s="183"/>
      <c r="OJ5" s="183"/>
      <c r="OK5" s="109"/>
      <c r="OL5" s="109"/>
      <c r="OM5" s="109"/>
      <c r="ON5" s="183">
        <v>57</v>
      </c>
      <c r="OO5" s="183"/>
      <c r="OP5" s="183"/>
      <c r="OQ5" s="183"/>
      <c r="OR5" s="183"/>
      <c r="OS5" s="183"/>
      <c r="OT5" s="183"/>
      <c r="OU5" s="183"/>
      <c r="OV5" s="183"/>
      <c r="OW5" s="183"/>
      <c r="OX5" s="183"/>
      <c r="OY5" s="183"/>
      <c r="OZ5" s="183"/>
      <c r="PA5" s="183"/>
      <c r="PB5" s="183"/>
      <c r="PC5" s="109"/>
      <c r="PD5" s="109"/>
      <c r="PE5" s="109"/>
      <c r="PF5" s="183">
        <v>63</v>
      </c>
      <c r="PG5" s="183"/>
      <c r="PH5" s="183"/>
      <c r="PI5" s="183"/>
      <c r="PJ5" s="183"/>
      <c r="PK5" s="183"/>
      <c r="PL5" s="183"/>
      <c r="PM5" s="183"/>
      <c r="PN5" s="183"/>
      <c r="PO5" s="183"/>
      <c r="PP5" s="183"/>
      <c r="PQ5" s="183"/>
      <c r="PR5" s="183"/>
      <c r="PS5" s="183"/>
      <c r="PT5" s="183"/>
      <c r="PU5" s="109"/>
      <c r="PV5" s="109"/>
      <c r="PW5" s="109"/>
      <c r="PX5" s="183" t="s">
        <v>1087</v>
      </c>
      <c r="PY5" s="183"/>
      <c r="PZ5" s="183"/>
      <c r="QA5" s="183"/>
      <c r="QB5" s="183"/>
      <c r="QC5" s="183"/>
      <c r="QD5" s="183"/>
      <c r="QE5" s="183"/>
      <c r="QF5" s="183"/>
      <c r="QG5" s="183"/>
      <c r="QH5" s="183"/>
      <c r="QI5" s="183"/>
      <c r="QJ5" s="183"/>
      <c r="QK5" s="183"/>
      <c r="QL5" s="183"/>
      <c r="QM5" s="109"/>
      <c r="QN5" s="109"/>
      <c r="QO5" s="109"/>
      <c r="QP5" s="183">
        <v>65</v>
      </c>
      <c r="QQ5" s="183"/>
      <c r="QR5" s="183"/>
      <c r="QS5" s="183"/>
      <c r="QT5" s="183"/>
      <c r="QU5" s="183"/>
      <c r="QV5" s="183"/>
      <c r="QW5" s="183"/>
      <c r="QX5" s="183"/>
      <c r="QY5" s="183"/>
      <c r="QZ5" s="183"/>
      <c r="RA5" s="183"/>
      <c r="RB5" s="183"/>
      <c r="RC5" s="183"/>
      <c r="RD5" s="183"/>
      <c r="RE5" s="109"/>
      <c r="RF5" s="109"/>
      <c r="RG5" s="109"/>
      <c r="RH5" s="183" t="s">
        <v>1081</v>
      </c>
      <c r="RI5" s="183"/>
      <c r="RJ5" s="183"/>
      <c r="RK5" s="183"/>
      <c r="RL5" s="183"/>
      <c r="RM5" s="183"/>
      <c r="RN5" s="183"/>
      <c r="RO5" s="183"/>
      <c r="RP5" s="183"/>
      <c r="RQ5" s="183"/>
      <c r="RR5" s="183"/>
      <c r="RS5" s="183"/>
      <c r="RT5" s="183"/>
      <c r="RU5" s="183"/>
      <c r="RV5" s="183"/>
      <c r="RW5" s="109"/>
      <c r="RX5" s="109"/>
      <c r="RY5" s="109"/>
      <c r="RZ5" s="183">
        <v>67</v>
      </c>
      <c r="SA5" s="183"/>
      <c r="SB5" s="183"/>
      <c r="SC5" s="183"/>
      <c r="SD5" s="183"/>
      <c r="SE5" s="183"/>
      <c r="SF5" s="183"/>
      <c r="SG5" s="183"/>
      <c r="SH5" s="183"/>
      <c r="SI5" s="183"/>
      <c r="SJ5" s="183"/>
      <c r="SK5" s="183"/>
      <c r="SL5" s="183"/>
      <c r="SM5" s="183"/>
      <c r="SN5" s="183"/>
      <c r="SO5" s="109"/>
      <c r="SP5" s="109"/>
      <c r="SQ5" s="109"/>
      <c r="SR5" s="183" t="s">
        <v>1083</v>
      </c>
      <c r="SS5" s="183"/>
      <c r="ST5" s="183"/>
      <c r="SU5" s="183"/>
      <c r="SV5" s="183"/>
      <c r="SW5" s="183"/>
      <c r="SX5" s="183"/>
      <c r="SY5" s="183"/>
      <c r="SZ5" s="183"/>
      <c r="TA5" s="183"/>
      <c r="TB5" s="183"/>
      <c r="TC5" s="183"/>
      <c r="TD5" s="183"/>
      <c r="TE5" s="183"/>
      <c r="TF5" s="183"/>
      <c r="TG5" s="109"/>
      <c r="TH5" s="109"/>
      <c r="TI5" s="109"/>
      <c r="TJ5" s="183">
        <v>69</v>
      </c>
      <c r="TK5" s="183"/>
      <c r="TL5" s="183"/>
      <c r="TM5" s="183"/>
      <c r="TN5" s="183"/>
      <c r="TO5" s="183"/>
      <c r="TP5" s="183"/>
      <c r="TQ5" s="183"/>
      <c r="TR5" s="183"/>
      <c r="TS5" s="183"/>
      <c r="TT5" s="183"/>
      <c r="TU5" s="183"/>
      <c r="TV5" s="183"/>
      <c r="TW5" s="183"/>
      <c r="TX5" s="183"/>
      <c r="TY5" s="109"/>
      <c r="TZ5" s="109"/>
      <c r="UA5" s="109"/>
      <c r="UB5" s="183" t="s">
        <v>1208</v>
      </c>
      <c r="UC5" s="183"/>
      <c r="UD5" s="183"/>
      <c r="UE5" s="183"/>
      <c r="UF5" s="183"/>
      <c r="UG5" s="183"/>
      <c r="UH5" s="183"/>
      <c r="UI5" s="183"/>
      <c r="UJ5" s="183"/>
      <c r="UK5" s="183"/>
      <c r="UL5" s="183"/>
      <c r="UM5" s="183"/>
      <c r="UN5" s="183"/>
      <c r="UO5" s="183"/>
      <c r="UP5" s="183"/>
      <c r="UQ5" s="109"/>
      <c r="UR5" s="109"/>
      <c r="US5" s="109"/>
    </row>
    <row r="6" spans="1:565" ht="33" customHeight="1" x14ac:dyDescent="0.3">
      <c r="A6" s="158"/>
      <c r="B6" s="286"/>
      <c r="C6" s="289"/>
      <c r="D6" s="161"/>
      <c r="E6" s="162"/>
      <c r="F6" s="158"/>
      <c r="G6" s="163"/>
      <c r="H6" s="283" t="s">
        <v>1030</v>
      </c>
      <c r="I6" s="284"/>
      <c r="J6" s="284"/>
      <c r="K6" s="284"/>
      <c r="L6" s="284"/>
      <c r="M6" s="284"/>
      <c r="N6" s="284"/>
      <c r="O6" s="284"/>
      <c r="P6" s="284"/>
      <c r="Q6" s="284"/>
      <c r="R6" s="284"/>
      <c r="S6" s="284"/>
      <c r="T6" s="284"/>
      <c r="U6" s="284"/>
      <c r="V6" s="284"/>
      <c r="W6" s="284"/>
      <c r="X6" s="284"/>
      <c r="Y6" s="285"/>
      <c r="Z6" s="283" t="s">
        <v>1031</v>
      </c>
      <c r="AA6" s="284"/>
      <c r="AB6" s="284"/>
      <c r="AC6" s="284"/>
      <c r="AD6" s="284"/>
      <c r="AE6" s="284"/>
      <c r="AF6" s="284"/>
      <c r="AG6" s="284"/>
      <c r="AH6" s="284"/>
      <c r="AI6" s="284"/>
      <c r="AJ6" s="284"/>
      <c r="AK6" s="284"/>
      <c r="AL6" s="284"/>
      <c r="AM6" s="284"/>
      <c r="AN6" s="284"/>
      <c r="AO6" s="284"/>
      <c r="AP6" s="284"/>
      <c r="AQ6" s="285"/>
      <c r="AR6" s="283" t="s">
        <v>1032</v>
      </c>
      <c r="AS6" s="284"/>
      <c r="AT6" s="284"/>
      <c r="AU6" s="284"/>
      <c r="AV6" s="284"/>
      <c r="AW6" s="284"/>
      <c r="AX6" s="284"/>
      <c r="AY6" s="284"/>
      <c r="AZ6" s="284"/>
      <c r="BA6" s="284"/>
      <c r="BB6" s="284"/>
      <c r="BC6" s="284"/>
      <c r="BD6" s="284"/>
      <c r="BE6" s="284"/>
      <c r="BF6" s="284"/>
      <c r="BG6" s="284"/>
      <c r="BH6" s="284"/>
      <c r="BI6" s="285"/>
      <c r="BJ6" s="283" t="s">
        <v>1033</v>
      </c>
      <c r="BK6" s="284"/>
      <c r="BL6" s="284"/>
      <c r="BM6" s="284"/>
      <c r="BN6" s="284"/>
      <c r="BO6" s="284"/>
      <c r="BP6" s="284"/>
      <c r="BQ6" s="284"/>
      <c r="BR6" s="284"/>
      <c r="BS6" s="284"/>
      <c r="BT6" s="284"/>
      <c r="BU6" s="284"/>
      <c r="BV6" s="284"/>
      <c r="BW6" s="284"/>
      <c r="BX6" s="284"/>
      <c r="BY6" s="284"/>
      <c r="BZ6" s="284"/>
      <c r="CA6" s="285"/>
      <c r="CB6" s="283" t="s">
        <v>1037</v>
      </c>
      <c r="CC6" s="284"/>
      <c r="CD6" s="284"/>
      <c r="CE6" s="284"/>
      <c r="CF6" s="284"/>
      <c r="CG6" s="284"/>
      <c r="CH6" s="284"/>
      <c r="CI6" s="284"/>
      <c r="CJ6" s="284"/>
      <c r="CK6" s="284"/>
      <c r="CL6" s="284"/>
      <c r="CM6" s="284"/>
      <c r="CN6" s="284"/>
      <c r="CO6" s="284"/>
      <c r="CP6" s="284"/>
      <c r="CQ6" s="284"/>
      <c r="CR6" s="284"/>
      <c r="CS6" s="285"/>
      <c r="CT6" s="283" t="s">
        <v>1038</v>
      </c>
      <c r="CU6" s="284"/>
      <c r="CV6" s="284"/>
      <c r="CW6" s="284"/>
      <c r="CX6" s="284"/>
      <c r="CY6" s="284"/>
      <c r="CZ6" s="284"/>
      <c r="DA6" s="284"/>
      <c r="DB6" s="284"/>
      <c r="DC6" s="284"/>
      <c r="DD6" s="284"/>
      <c r="DE6" s="284"/>
      <c r="DF6" s="284"/>
      <c r="DG6" s="284"/>
      <c r="DH6" s="284"/>
      <c r="DI6" s="284"/>
      <c r="DJ6" s="284"/>
      <c r="DK6" s="285"/>
      <c r="DL6" s="283" t="s">
        <v>1039</v>
      </c>
      <c r="DM6" s="284"/>
      <c r="DN6" s="284"/>
      <c r="DO6" s="284"/>
      <c r="DP6" s="284"/>
      <c r="DQ6" s="284"/>
      <c r="DR6" s="284"/>
      <c r="DS6" s="284"/>
      <c r="DT6" s="284"/>
      <c r="DU6" s="284"/>
      <c r="DV6" s="284"/>
      <c r="DW6" s="284"/>
      <c r="DX6" s="284"/>
      <c r="DY6" s="284"/>
      <c r="DZ6" s="284"/>
      <c r="EA6" s="284"/>
      <c r="EB6" s="284"/>
      <c r="EC6" s="285"/>
      <c r="ED6" s="283" t="s">
        <v>1040</v>
      </c>
      <c r="EE6" s="284"/>
      <c r="EF6" s="284"/>
      <c r="EG6" s="284"/>
      <c r="EH6" s="284"/>
      <c r="EI6" s="284"/>
      <c r="EJ6" s="284"/>
      <c r="EK6" s="284"/>
      <c r="EL6" s="284"/>
      <c r="EM6" s="284"/>
      <c r="EN6" s="284"/>
      <c r="EO6" s="284"/>
      <c r="EP6" s="284"/>
      <c r="EQ6" s="284"/>
      <c r="ER6" s="284"/>
      <c r="ES6" s="284"/>
      <c r="ET6" s="284"/>
      <c r="EU6" s="285"/>
      <c r="EV6" s="283" t="s">
        <v>1050</v>
      </c>
      <c r="EW6" s="284"/>
      <c r="EX6" s="284"/>
      <c r="EY6" s="284"/>
      <c r="EZ6" s="284"/>
      <c r="FA6" s="284"/>
      <c r="FB6" s="284"/>
      <c r="FC6" s="284"/>
      <c r="FD6" s="284"/>
      <c r="FE6" s="284"/>
      <c r="FF6" s="284"/>
      <c r="FG6" s="284"/>
      <c r="FH6" s="284"/>
      <c r="FI6" s="284"/>
      <c r="FJ6" s="284"/>
      <c r="FK6" s="284"/>
      <c r="FL6" s="284"/>
      <c r="FM6" s="285"/>
      <c r="FN6" s="283" t="s">
        <v>1051</v>
      </c>
      <c r="FO6" s="284"/>
      <c r="FP6" s="284"/>
      <c r="FQ6" s="284"/>
      <c r="FR6" s="284"/>
      <c r="FS6" s="284"/>
      <c r="FT6" s="284"/>
      <c r="FU6" s="284"/>
      <c r="FV6" s="284"/>
      <c r="FW6" s="284"/>
      <c r="FX6" s="284"/>
      <c r="FY6" s="284"/>
      <c r="FZ6" s="284"/>
      <c r="GA6" s="284"/>
      <c r="GB6" s="284"/>
      <c r="GC6" s="284"/>
      <c r="GD6" s="284"/>
      <c r="GE6" s="285"/>
      <c r="GF6" s="292" t="s">
        <v>1042</v>
      </c>
      <c r="GG6" s="293"/>
      <c r="GH6" s="293"/>
      <c r="GI6" s="293"/>
      <c r="GJ6" s="293"/>
      <c r="GK6" s="293"/>
      <c r="GL6" s="293"/>
      <c r="GM6" s="293"/>
      <c r="GN6" s="293"/>
      <c r="GO6" s="293"/>
      <c r="GP6" s="293"/>
      <c r="GQ6" s="293"/>
      <c r="GR6" s="293"/>
      <c r="GS6" s="293"/>
      <c r="GT6" s="293"/>
      <c r="GU6" s="293"/>
      <c r="GV6" s="293"/>
      <c r="GW6" s="294"/>
      <c r="GX6" s="292" t="s">
        <v>1043</v>
      </c>
      <c r="GY6" s="293"/>
      <c r="GZ6" s="293"/>
      <c r="HA6" s="293"/>
      <c r="HB6" s="293"/>
      <c r="HC6" s="293"/>
      <c r="HD6" s="293"/>
      <c r="HE6" s="293"/>
      <c r="HF6" s="293"/>
      <c r="HG6" s="293"/>
      <c r="HH6" s="293"/>
      <c r="HI6" s="293"/>
      <c r="HJ6" s="293"/>
      <c r="HK6" s="293"/>
      <c r="HL6" s="293"/>
      <c r="HM6" s="293"/>
      <c r="HN6" s="293"/>
      <c r="HO6" s="294"/>
      <c r="HP6" s="292" t="s">
        <v>1044</v>
      </c>
      <c r="HQ6" s="293"/>
      <c r="HR6" s="293"/>
      <c r="HS6" s="293"/>
      <c r="HT6" s="293"/>
      <c r="HU6" s="293"/>
      <c r="HV6" s="293"/>
      <c r="HW6" s="293"/>
      <c r="HX6" s="293"/>
      <c r="HY6" s="293"/>
      <c r="HZ6" s="293"/>
      <c r="IA6" s="293"/>
      <c r="IB6" s="293"/>
      <c r="IC6" s="293"/>
      <c r="ID6" s="293"/>
      <c r="IE6" s="293"/>
      <c r="IF6" s="293"/>
      <c r="IG6" s="294"/>
      <c r="IH6" s="292" t="s">
        <v>1045</v>
      </c>
      <c r="II6" s="293"/>
      <c r="IJ6" s="293"/>
      <c r="IK6" s="293"/>
      <c r="IL6" s="293"/>
      <c r="IM6" s="293"/>
      <c r="IN6" s="293"/>
      <c r="IO6" s="293"/>
      <c r="IP6" s="293"/>
      <c r="IQ6" s="293"/>
      <c r="IR6" s="293"/>
      <c r="IS6" s="293"/>
      <c r="IT6" s="293"/>
      <c r="IU6" s="293"/>
      <c r="IV6" s="293"/>
      <c r="IW6" s="293"/>
      <c r="IX6" s="293"/>
      <c r="IY6" s="294"/>
      <c r="IZ6" s="292" t="s">
        <v>1046</v>
      </c>
      <c r="JA6" s="293"/>
      <c r="JB6" s="293"/>
      <c r="JC6" s="293"/>
      <c r="JD6" s="293"/>
      <c r="JE6" s="293"/>
      <c r="JF6" s="293"/>
      <c r="JG6" s="293"/>
      <c r="JH6" s="293"/>
      <c r="JI6" s="293"/>
      <c r="JJ6" s="293"/>
      <c r="JK6" s="293"/>
      <c r="JL6" s="293"/>
      <c r="JM6" s="293"/>
      <c r="JN6" s="293"/>
      <c r="JO6" s="293"/>
      <c r="JP6" s="293"/>
      <c r="JQ6" s="294"/>
      <c r="JR6" s="292" t="s">
        <v>914</v>
      </c>
      <c r="JS6" s="293"/>
      <c r="JT6" s="293"/>
      <c r="JU6" s="293"/>
      <c r="JV6" s="293"/>
      <c r="JW6" s="293"/>
      <c r="JX6" s="293"/>
      <c r="JY6" s="293"/>
      <c r="JZ6" s="293"/>
      <c r="KA6" s="293"/>
      <c r="KB6" s="293"/>
      <c r="KC6" s="293"/>
      <c r="KD6" s="293"/>
      <c r="KE6" s="293"/>
      <c r="KF6" s="293"/>
      <c r="KG6" s="293"/>
      <c r="KH6" s="293"/>
      <c r="KI6" s="294"/>
      <c r="KJ6" s="292" t="s">
        <v>1047</v>
      </c>
      <c r="KK6" s="293"/>
      <c r="KL6" s="293"/>
      <c r="KM6" s="293"/>
      <c r="KN6" s="293"/>
      <c r="KO6" s="293"/>
      <c r="KP6" s="293"/>
      <c r="KQ6" s="293"/>
      <c r="KR6" s="293"/>
      <c r="KS6" s="293"/>
      <c r="KT6" s="293"/>
      <c r="KU6" s="293"/>
      <c r="KV6" s="293"/>
      <c r="KW6" s="293"/>
      <c r="KX6" s="293"/>
      <c r="KY6" s="293"/>
      <c r="KZ6" s="293"/>
      <c r="LA6" s="294"/>
      <c r="LB6" s="292" t="s">
        <v>1048</v>
      </c>
      <c r="LC6" s="293"/>
      <c r="LD6" s="293"/>
      <c r="LE6" s="293"/>
      <c r="LF6" s="293"/>
      <c r="LG6" s="293"/>
      <c r="LH6" s="293"/>
      <c r="LI6" s="293"/>
      <c r="LJ6" s="293"/>
      <c r="LK6" s="293"/>
      <c r="LL6" s="293"/>
      <c r="LM6" s="293"/>
      <c r="LN6" s="293"/>
      <c r="LO6" s="293"/>
      <c r="LP6" s="293"/>
      <c r="LQ6" s="293"/>
      <c r="LR6" s="293"/>
      <c r="LS6" s="294"/>
      <c r="LT6" s="283" t="s">
        <v>1041</v>
      </c>
      <c r="LU6" s="284"/>
      <c r="LV6" s="284"/>
      <c r="LW6" s="284"/>
      <c r="LX6" s="284"/>
      <c r="LY6" s="284"/>
      <c r="LZ6" s="284"/>
      <c r="MA6" s="284"/>
      <c r="MB6" s="284"/>
      <c r="MC6" s="284"/>
      <c r="MD6" s="284"/>
      <c r="ME6" s="284"/>
      <c r="MF6" s="284"/>
      <c r="MG6" s="284"/>
      <c r="MH6" s="284"/>
      <c r="MI6" s="284"/>
      <c r="MJ6" s="284"/>
      <c r="MK6" s="285"/>
      <c r="ML6" s="283" t="s">
        <v>915</v>
      </c>
      <c r="MM6" s="284"/>
      <c r="MN6" s="284"/>
      <c r="MO6" s="284"/>
      <c r="MP6" s="284"/>
      <c r="MQ6" s="284"/>
      <c r="MR6" s="284"/>
      <c r="MS6" s="284"/>
      <c r="MT6" s="284"/>
      <c r="MU6" s="284"/>
      <c r="MV6" s="284"/>
      <c r="MW6" s="284"/>
      <c r="MX6" s="284"/>
      <c r="MY6" s="284"/>
      <c r="MZ6" s="284"/>
      <c r="NA6" s="284"/>
      <c r="NB6" s="284"/>
      <c r="NC6" s="285"/>
      <c r="ND6" s="283" t="s">
        <v>1035</v>
      </c>
      <c r="NE6" s="284"/>
      <c r="NF6" s="284"/>
      <c r="NG6" s="284"/>
      <c r="NH6" s="284"/>
      <c r="NI6" s="284"/>
      <c r="NJ6" s="284"/>
      <c r="NK6" s="284"/>
      <c r="NL6" s="284"/>
      <c r="NM6" s="284"/>
      <c r="NN6" s="284"/>
      <c r="NO6" s="284"/>
      <c r="NP6" s="284"/>
      <c r="NQ6" s="284"/>
      <c r="NR6" s="284"/>
      <c r="NS6" s="284"/>
      <c r="NT6" s="284"/>
      <c r="NU6" s="285"/>
      <c r="NV6" s="283" t="s">
        <v>1036</v>
      </c>
      <c r="NW6" s="284"/>
      <c r="NX6" s="284"/>
      <c r="NY6" s="284"/>
      <c r="NZ6" s="284"/>
      <c r="OA6" s="284"/>
      <c r="OB6" s="284"/>
      <c r="OC6" s="284"/>
      <c r="OD6" s="284"/>
      <c r="OE6" s="284"/>
      <c r="OF6" s="284"/>
      <c r="OG6" s="284"/>
      <c r="OH6" s="284"/>
      <c r="OI6" s="284"/>
      <c r="OJ6" s="284"/>
      <c r="OK6" s="284"/>
      <c r="OL6" s="284"/>
      <c r="OM6" s="285"/>
      <c r="ON6" s="283" t="s">
        <v>1034</v>
      </c>
      <c r="OO6" s="284"/>
      <c r="OP6" s="284"/>
      <c r="OQ6" s="284"/>
      <c r="OR6" s="284"/>
      <c r="OS6" s="284"/>
      <c r="OT6" s="284"/>
      <c r="OU6" s="284"/>
      <c r="OV6" s="284"/>
      <c r="OW6" s="284"/>
      <c r="OX6" s="284"/>
      <c r="OY6" s="284"/>
      <c r="OZ6" s="284"/>
      <c r="PA6" s="284"/>
      <c r="PB6" s="284"/>
      <c r="PC6" s="284"/>
      <c r="PD6" s="284"/>
      <c r="PE6" s="285"/>
      <c r="PF6" s="283" t="s">
        <v>1049</v>
      </c>
      <c r="PG6" s="284"/>
      <c r="PH6" s="284"/>
      <c r="PI6" s="284"/>
      <c r="PJ6" s="284"/>
      <c r="PK6" s="284"/>
      <c r="PL6" s="284"/>
      <c r="PM6" s="284"/>
      <c r="PN6" s="284"/>
      <c r="PO6" s="284"/>
      <c r="PP6" s="284"/>
      <c r="PQ6" s="284"/>
      <c r="PR6" s="284"/>
      <c r="PS6" s="284"/>
      <c r="PT6" s="284"/>
      <c r="PU6" s="284"/>
      <c r="PV6" s="284"/>
      <c r="PW6" s="285"/>
      <c r="PX6" s="280" t="s">
        <v>1079</v>
      </c>
      <c r="PY6" s="281"/>
      <c r="PZ6" s="281"/>
      <c r="QA6" s="281"/>
      <c r="QB6" s="281"/>
      <c r="QC6" s="281"/>
      <c r="QD6" s="281"/>
      <c r="QE6" s="281"/>
      <c r="QF6" s="281"/>
      <c r="QG6" s="281"/>
      <c r="QH6" s="281"/>
      <c r="QI6" s="281"/>
      <c r="QJ6" s="281"/>
      <c r="QK6" s="281"/>
      <c r="QL6" s="281"/>
      <c r="QM6" s="281"/>
      <c r="QN6" s="281"/>
      <c r="QO6" s="282"/>
      <c r="QP6" s="283" t="s">
        <v>1080</v>
      </c>
      <c r="QQ6" s="284"/>
      <c r="QR6" s="284"/>
      <c r="QS6" s="284"/>
      <c r="QT6" s="284"/>
      <c r="QU6" s="284"/>
      <c r="QV6" s="284"/>
      <c r="QW6" s="284"/>
      <c r="QX6" s="284"/>
      <c r="QY6" s="284"/>
      <c r="QZ6" s="284"/>
      <c r="RA6" s="284"/>
      <c r="RB6" s="284"/>
      <c r="RC6" s="284"/>
      <c r="RD6" s="284"/>
      <c r="RE6" s="284"/>
      <c r="RF6" s="284"/>
      <c r="RG6" s="285"/>
      <c r="RH6" s="295" t="s">
        <v>1082</v>
      </c>
      <c r="RI6" s="296"/>
      <c r="RJ6" s="296"/>
      <c r="RK6" s="296"/>
      <c r="RL6" s="296"/>
      <c r="RM6" s="296"/>
      <c r="RN6" s="296"/>
      <c r="RO6" s="296"/>
      <c r="RP6" s="296"/>
      <c r="RQ6" s="296"/>
      <c r="RR6" s="296"/>
      <c r="RS6" s="296"/>
      <c r="RT6" s="296"/>
      <c r="RU6" s="296"/>
      <c r="RV6" s="296"/>
      <c r="RW6" s="296"/>
      <c r="RX6" s="296"/>
      <c r="RY6" s="297"/>
      <c r="RZ6" s="258" t="s">
        <v>1084</v>
      </c>
      <c r="SA6" s="259"/>
      <c r="SB6" s="259"/>
      <c r="SC6" s="259"/>
      <c r="SD6" s="259"/>
      <c r="SE6" s="259"/>
      <c r="SF6" s="259"/>
      <c r="SG6" s="259"/>
      <c r="SH6" s="259"/>
      <c r="SI6" s="259"/>
      <c r="SJ6" s="259"/>
      <c r="SK6" s="259"/>
      <c r="SL6" s="259"/>
      <c r="SM6" s="259"/>
      <c r="SN6" s="259"/>
      <c r="SO6" s="259"/>
      <c r="SP6" s="259"/>
      <c r="SQ6" s="260"/>
      <c r="SR6" s="298" t="s">
        <v>1085</v>
      </c>
      <c r="SS6" s="299"/>
      <c r="ST6" s="299"/>
      <c r="SU6" s="299"/>
      <c r="SV6" s="299"/>
      <c r="SW6" s="299"/>
      <c r="SX6" s="299"/>
      <c r="SY6" s="299"/>
      <c r="SZ6" s="299"/>
      <c r="TA6" s="299"/>
      <c r="TB6" s="299"/>
      <c r="TC6" s="299"/>
      <c r="TD6" s="299"/>
      <c r="TE6" s="299"/>
      <c r="TF6" s="299"/>
      <c r="TG6" s="299"/>
      <c r="TH6" s="299"/>
      <c r="TI6" s="300"/>
      <c r="TJ6" s="258" t="s">
        <v>1086</v>
      </c>
      <c r="TK6" s="259"/>
      <c r="TL6" s="259"/>
      <c r="TM6" s="259"/>
      <c r="TN6" s="259"/>
      <c r="TO6" s="259"/>
      <c r="TP6" s="259"/>
      <c r="TQ6" s="259"/>
      <c r="TR6" s="259"/>
      <c r="TS6" s="259"/>
      <c r="TT6" s="259"/>
      <c r="TU6" s="259"/>
      <c r="TV6" s="259"/>
      <c r="TW6" s="259"/>
      <c r="TX6" s="259"/>
      <c r="TY6" s="259"/>
      <c r="TZ6" s="259"/>
      <c r="UA6" s="260"/>
      <c r="UB6" s="258" t="s">
        <v>1209</v>
      </c>
      <c r="UC6" s="259"/>
      <c r="UD6" s="259"/>
      <c r="UE6" s="259"/>
      <c r="UF6" s="259"/>
      <c r="UG6" s="259"/>
      <c r="UH6" s="259"/>
      <c r="UI6" s="259"/>
      <c r="UJ6" s="259"/>
      <c r="UK6" s="259"/>
      <c r="UL6" s="259"/>
      <c r="UM6" s="259"/>
      <c r="UN6" s="259"/>
      <c r="UO6" s="259"/>
      <c r="UP6" s="259"/>
      <c r="UQ6" s="259"/>
      <c r="UR6" s="259"/>
      <c r="US6" s="260"/>
    </row>
    <row r="7" spans="1:565" ht="15.75" customHeight="1" x14ac:dyDescent="0.3">
      <c r="B7" s="287"/>
      <c r="C7" s="290"/>
      <c r="D7" s="164"/>
      <c r="E7" s="143"/>
      <c r="F7" s="264" t="s">
        <v>320</v>
      </c>
      <c r="G7" s="264" t="s">
        <v>322</v>
      </c>
      <c r="H7" s="261" t="s">
        <v>257</v>
      </c>
      <c r="I7" s="264" t="s">
        <v>258</v>
      </c>
      <c r="J7" s="264" t="s">
        <v>259</v>
      </c>
      <c r="K7" s="264" t="s">
        <v>260</v>
      </c>
      <c r="L7" s="269" t="s">
        <v>261</v>
      </c>
      <c r="M7" s="264" t="s">
        <v>262</v>
      </c>
      <c r="N7" s="264" t="s">
        <v>272</v>
      </c>
      <c r="O7" s="264" t="s">
        <v>263</v>
      </c>
      <c r="P7" s="264" t="s">
        <v>264</v>
      </c>
      <c r="Q7" s="264" t="s">
        <v>271</v>
      </c>
      <c r="R7" s="264" t="s">
        <v>260</v>
      </c>
      <c r="S7" s="264" t="s">
        <v>265</v>
      </c>
      <c r="T7" s="269" t="s">
        <v>266</v>
      </c>
      <c r="U7" s="264" t="s">
        <v>267</v>
      </c>
      <c r="V7" s="264" t="s">
        <v>321</v>
      </c>
      <c r="W7" s="271" t="s">
        <v>268</v>
      </c>
      <c r="X7" s="274" t="s">
        <v>313</v>
      </c>
      <c r="Y7" s="277" t="s">
        <v>916</v>
      </c>
      <c r="Z7" s="261" t="s">
        <v>257</v>
      </c>
      <c r="AA7" s="264" t="s">
        <v>258</v>
      </c>
      <c r="AB7" s="264" t="s">
        <v>259</v>
      </c>
      <c r="AC7" s="264" t="s">
        <v>260</v>
      </c>
      <c r="AD7" s="269" t="s">
        <v>261</v>
      </c>
      <c r="AE7" s="264" t="s">
        <v>262</v>
      </c>
      <c r="AF7" s="264" t="s">
        <v>272</v>
      </c>
      <c r="AG7" s="264" t="s">
        <v>263</v>
      </c>
      <c r="AH7" s="264" t="s">
        <v>264</v>
      </c>
      <c r="AI7" s="264" t="s">
        <v>271</v>
      </c>
      <c r="AJ7" s="264" t="s">
        <v>260</v>
      </c>
      <c r="AK7" s="264" t="s">
        <v>265</v>
      </c>
      <c r="AL7" s="269" t="s">
        <v>266</v>
      </c>
      <c r="AM7" s="264" t="s">
        <v>267</v>
      </c>
      <c r="AN7" s="264" t="s">
        <v>321</v>
      </c>
      <c r="AO7" s="271" t="s">
        <v>268</v>
      </c>
      <c r="AP7" s="274" t="s">
        <v>313</v>
      </c>
      <c r="AQ7" s="277" t="s">
        <v>916</v>
      </c>
      <c r="AR7" s="261" t="s">
        <v>257</v>
      </c>
      <c r="AS7" s="264" t="s">
        <v>258</v>
      </c>
      <c r="AT7" s="264" t="s">
        <v>259</v>
      </c>
      <c r="AU7" s="264" t="s">
        <v>260</v>
      </c>
      <c r="AV7" s="269" t="s">
        <v>261</v>
      </c>
      <c r="AW7" s="264" t="s">
        <v>262</v>
      </c>
      <c r="AX7" s="264" t="s">
        <v>272</v>
      </c>
      <c r="AY7" s="264" t="s">
        <v>263</v>
      </c>
      <c r="AZ7" s="264" t="s">
        <v>264</v>
      </c>
      <c r="BA7" s="264" t="s">
        <v>271</v>
      </c>
      <c r="BB7" s="264" t="s">
        <v>260</v>
      </c>
      <c r="BC7" s="264" t="s">
        <v>265</v>
      </c>
      <c r="BD7" s="269" t="s">
        <v>266</v>
      </c>
      <c r="BE7" s="264" t="s">
        <v>267</v>
      </c>
      <c r="BF7" s="264" t="s">
        <v>321</v>
      </c>
      <c r="BG7" s="271" t="s">
        <v>268</v>
      </c>
      <c r="BH7" s="274" t="s">
        <v>313</v>
      </c>
      <c r="BI7" s="277" t="s">
        <v>916</v>
      </c>
      <c r="BJ7" s="261" t="s">
        <v>257</v>
      </c>
      <c r="BK7" s="264" t="s">
        <v>258</v>
      </c>
      <c r="BL7" s="264" t="s">
        <v>259</v>
      </c>
      <c r="BM7" s="264" t="s">
        <v>260</v>
      </c>
      <c r="BN7" s="269" t="s">
        <v>261</v>
      </c>
      <c r="BO7" s="264" t="s">
        <v>262</v>
      </c>
      <c r="BP7" s="264" t="s">
        <v>272</v>
      </c>
      <c r="BQ7" s="264" t="s">
        <v>263</v>
      </c>
      <c r="BR7" s="264" t="s">
        <v>264</v>
      </c>
      <c r="BS7" s="264" t="s">
        <v>271</v>
      </c>
      <c r="BT7" s="264" t="s">
        <v>260</v>
      </c>
      <c r="BU7" s="264" t="s">
        <v>265</v>
      </c>
      <c r="BV7" s="269" t="s">
        <v>266</v>
      </c>
      <c r="BW7" s="264" t="s">
        <v>267</v>
      </c>
      <c r="BX7" s="264" t="s">
        <v>321</v>
      </c>
      <c r="BY7" s="271" t="s">
        <v>268</v>
      </c>
      <c r="BZ7" s="274" t="s">
        <v>313</v>
      </c>
      <c r="CA7" s="277" t="s">
        <v>916</v>
      </c>
      <c r="CB7" s="261" t="s">
        <v>257</v>
      </c>
      <c r="CC7" s="264" t="s">
        <v>258</v>
      </c>
      <c r="CD7" s="264" t="s">
        <v>259</v>
      </c>
      <c r="CE7" s="264" t="s">
        <v>260</v>
      </c>
      <c r="CF7" s="269" t="s">
        <v>261</v>
      </c>
      <c r="CG7" s="264" t="s">
        <v>262</v>
      </c>
      <c r="CH7" s="264" t="s">
        <v>272</v>
      </c>
      <c r="CI7" s="264" t="s">
        <v>263</v>
      </c>
      <c r="CJ7" s="264" t="s">
        <v>264</v>
      </c>
      <c r="CK7" s="264" t="s">
        <v>271</v>
      </c>
      <c r="CL7" s="264" t="s">
        <v>260</v>
      </c>
      <c r="CM7" s="264" t="s">
        <v>265</v>
      </c>
      <c r="CN7" s="269" t="s">
        <v>266</v>
      </c>
      <c r="CO7" s="264" t="s">
        <v>267</v>
      </c>
      <c r="CP7" s="264" t="s">
        <v>321</v>
      </c>
      <c r="CQ7" s="271" t="s">
        <v>268</v>
      </c>
      <c r="CR7" s="274" t="s">
        <v>313</v>
      </c>
      <c r="CS7" s="277" t="s">
        <v>916</v>
      </c>
      <c r="CT7" s="261" t="s">
        <v>257</v>
      </c>
      <c r="CU7" s="264" t="s">
        <v>258</v>
      </c>
      <c r="CV7" s="264" t="s">
        <v>259</v>
      </c>
      <c r="CW7" s="264" t="s">
        <v>260</v>
      </c>
      <c r="CX7" s="269" t="s">
        <v>261</v>
      </c>
      <c r="CY7" s="264" t="s">
        <v>262</v>
      </c>
      <c r="CZ7" s="264" t="s">
        <v>272</v>
      </c>
      <c r="DA7" s="264" t="s">
        <v>263</v>
      </c>
      <c r="DB7" s="264" t="s">
        <v>264</v>
      </c>
      <c r="DC7" s="264" t="s">
        <v>271</v>
      </c>
      <c r="DD7" s="264" t="s">
        <v>260</v>
      </c>
      <c r="DE7" s="264" t="s">
        <v>265</v>
      </c>
      <c r="DF7" s="269" t="s">
        <v>266</v>
      </c>
      <c r="DG7" s="264" t="s">
        <v>267</v>
      </c>
      <c r="DH7" s="264" t="s">
        <v>321</v>
      </c>
      <c r="DI7" s="271" t="s">
        <v>268</v>
      </c>
      <c r="DJ7" s="274" t="s">
        <v>313</v>
      </c>
      <c r="DK7" s="277" t="s">
        <v>916</v>
      </c>
      <c r="DL7" s="261" t="s">
        <v>257</v>
      </c>
      <c r="DM7" s="264" t="s">
        <v>258</v>
      </c>
      <c r="DN7" s="264" t="s">
        <v>259</v>
      </c>
      <c r="DO7" s="264" t="s">
        <v>260</v>
      </c>
      <c r="DP7" s="269" t="s">
        <v>261</v>
      </c>
      <c r="DQ7" s="264" t="s">
        <v>262</v>
      </c>
      <c r="DR7" s="264" t="s">
        <v>272</v>
      </c>
      <c r="DS7" s="264" t="s">
        <v>263</v>
      </c>
      <c r="DT7" s="264" t="s">
        <v>264</v>
      </c>
      <c r="DU7" s="264" t="s">
        <v>271</v>
      </c>
      <c r="DV7" s="264" t="s">
        <v>260</v>
      </c>
      <c r="DW7" s="264" t="s">
        <v>265</v>
      </c>
      <c r="DX7" s="269" t="s">
        <v>266</v>
      </c>
      <c r="DY7" s="264" t="s">
        <v>267</v>
      </c>
      <c r="DZ7" s="264" t="s">
        <v>321</v>
      </c>
      <c r="EA7" s="271" t="s">
        <v>268</v>
      </c>
      <c r="EB7" s="274" t="s">
        <v>313</v>
      </c>
      <c r="EC7" s="277" t="s">
        <v>916</v>
      </c>
      <c r="ED7" s="261" t="s">
        <v>257</v>
      </c>
      <c r="EE7" s="264" t="s">
        <v>258</v>
      </c>
      <c r="EF7" s="264" t="s">
        <v>259</v>
      </c>
      <c r="EG7" s="264" t="s">
        <v>260</v>
      </c>
      <c r="EH7" s="269" t="s">
        <v>261</v>
      </c>
      <c r="EI7" s="264" t="s">
        <v>262</v>
      </c>
      <c r="EJ7" s="264" t="s">
        <v>272</v>
      </c>
      <c r="EK7" s="264" t="s">
        <v>263</v>
      </c>
      <c r="EL7" s="264" t="s">
        <v>264</v>
      </c>
      <c r="EM7" s="264" t="s">
        <v>271</v>
      </c>
      <c r="EN7" s="264" t="s">
        <v>260</v>
      </c>
      <c r="EO7" s="264" t="s">
        <v>265</v>
      </c>
      <c r="EP7" s="269" t="s">
        <v>266</v>
      </c>
      <c r="EQ7" s="264" t="s">
        <v>267</v>
      </c>
      <c r="ER7" s="264" t="s">
        <v>321</v>
      </c>
      <c r="ES7" s="271" t="s">
        <v>268</v>
      </c>
      <c r="ET7" s="274" t="s">
        <v>313</v>
      </c>
      <c r="EU7" s="277" t="s">
        <v>916</v>
      </c>
      <c r="EV7" s="261" t="s">
        <v>257</v>
      </c>
      <c r="EW7" s="264" t="s">
        <v>258</v>
      </c>
      <c r="EX7" s="264" t="s">
        <v>259</v>
      </c>
      <c r="EY7" s="264" t="s">
        <v>260</v>
      </c>
      <c r="EZ7" s="269" t="s">
        <v>261</v>
      </c>
      <c r="FA7" s="264" t="s">
        <v>262</v>
      </c>
      <c r="FB7" s="264" t="s">
        <v>272</v>
      </c>
      <c r="FC7" s="264" t="s">
        <v>263</v>
      </c>
      <c r="FD7" s="264" t="s">
        <v>264</v>
      </c>
      <c r="FE7" s="264" t="s">
        <v>271</v>
      </c>
      <c r="FF7" s="264" t="s">
        <v>260</v>
      </c>
      <c r="FG7" s="264" t="s">
        <v>265</v>
      </c>
      <c r="FH7" s="269" t="s">
        <v>266</v>
      </c>
      <c r="FI7" s="264" t="s">
        <v>267</v>
      </c>
      <c r="FJ7" s="264" t="s">
        <v>321</v>
      </c>
      <c r="FK7" s="271" t="s">
        <v>268</v>
      </c>
      <c r="FL7" s="274" t="s">
        <v>313</v>
      </c>
      <c r="FM7" s="277" t="s">
        <v>916</v>
      </c>
      <c r="FN7" s="261" t="s">
        <v>257</v>
      </c>
      <c r="FO7" s="264" t="s">
        <v>258</v>
      </c>
      <c r="FP7" s="264" t="s">
        <v>259</v>
      </c>
      <c r="FQ7" s="264" t="s">
        <v>260</v>
      </c>
      <c r="FR7" s="269" t="s">
        <v>261</v>
      </c>
      <c r="FS7" s="264" t="s">
        <v>262</v>
      </c>
      <c r="FT7" s="264" t="s">
        <v>272</v>
      </c>
      <c r="FU7" s="264" t="s">
        <v>263</v>
      </c>
      <c r="FV7" s="264" t="s">
        <v>264</v>
      </c>
      <c r="FW7" s="264" t="s">
        <v>271</v>
      </c>
      <c r="FX7" s="264" t="s">
        <v>260</v>
      </c>
      <c r="FY7" s="264" t="s">
        <v>265</v>
      </c>
      <c r="FZ7" s="269" t="s">
        <v>266</v>
      </c>
      <c r="GA7" s="264" t="s">
        <v>267</v>
      </c>
      <c r="GB7" s="264" t="s">
        <v>321</v>
      </c>
      <c r="GC7" s="271" t="s">
        <v>268</v>
      </c>
      <c r="GD7" s="274" t="s">
        <v>313</v>
      </c>
      <c r="GE7" s="277" t="s">
        <v>916</v>
      </c>
      <c r="GF7" s="261" t="s">
        <v>257</v>
      </c>
      <c r="GG7" s="264" t="s">
        <v>258</v>
      </c>
      <c r="GH7" s="264" t="s">
        <v>259</v>
      </c>
      <c r="GI7" s="264" t="s">
        <v>260</v>
      </c>
      <c r="GJ7" s="269" t="s">
        <v>261</v>
      </c>
      <c r="GK7" s="264" t="s">
        <v>262</v>
      </c>
      <c r="GL7" s="264" t="s">
        <v>272</v>
      </c>
      <c r="GM7" s="264" t="s">
        <v>263</v>
      </c>
      <c r="GN7" s="264" t="s">
        <v>264</v>
      </c>
      <c r="GO7" s="264" t="s">
        <v>271</v>
      </c>
      <c r="GP7" s="264" t="s">
        <v>260</v>
      </c>
      <c r="GQ7" s="264" t="s">
        <v>265</v>
      </c>
      <c r="GR7" s="269" t="s">
        <v>266</v>
      </c>
      <c r="GS7" s="264" t="s">
        <v>267</v>
      </c>
      <c r="GT7" s="264" t="s">
        <v>321</v>
      </c>
      <c r="GU7" s="271" t="s">
        <v>268</v>
      </c>
      <c r="GV7" s="274" t="s">
        <v>313</v>
      </c>
      <c r="GW7" s="277" t="s">
        <v>916</v>
      </c>
      <c r="GX7" s="261" t="s">
        <v>257</v>
      </c>
      <c r="GY7" s="264" t="s">
        <v>258</v>
      </c>
      <c r="GZ7" s="264" t="s">
        <v>259</v>
      </c>
      <c r="HA7" s="264" t="s">
        <v>260</v>
      </c>
      <c r="HB7" s="269" t="s">
        <v>261</v>
      </c>
      <c r="HC7" s="264" t="s">
        <v>262</v>
      </c>
      <c r="HD7" s="264" t="s">
        <v>272</v>
      </c>
      <c r="HE7" s="264" t="s">
        <v>263</v>
      </c>
      <c r="HF7" s="264" t="s">
        <v>264</v>
      </c>
      <c r="HG7" s="264" t="s">
        <v>271</v>
      </c>
      <c r="HH7" s="264" t="s">
        <v>260</v>
      </c>
      <c r="HI7" s="264" t="s">
        <v>265</v>
      </c>
      <c r="HJ7" s="269" t="s">
        <v>266</v>
      </c>
      <c r="HK7" s="264" t="s">
        <v>267</v>
      </c>
      <c r="HL7" s="264" t="s">
        <v>321</v>
      </c>
      <c r="HM7" s="271" t="s">
        <v>268</v>
      </c>
      <c r="HN7" s="274" t="s">
        <v>313</v>
      </c>
      <c r="HO7" s="277" t="s">
        <v>916</v>
      </c>
      <c r="HP7" s="261" t="s">
        <v>257</v>
      </c>
      <c r="HQ7" s="264" t="s">
        <v>258</v>
      </c>
      <c r="HR7" s="264" t="s">
        <v>259</v>
      </c>
      <c r="HS7" s="264" t="s">
        <v>260</v>
      </c>
      <c r="HT7" s="269" t="s">
        <v>261</v>
      </c>
      <c r="HU7" s="264" t="s">
        <v>262</v>
      </c>
      <c r="HV7" s="264" t="s">
        <v>272</v>
      </c>
      <c r="HW7" s="264" t="s">
        <v>263</v>
      </c>
      <c r="HX7" s="264" t="s">
        <v>264</v>
      </c>
      <c r="HY7" s="264" t="s">
        <v>271</v>
      </c>
      <c r="HZ7" s="264" t="s">
        <v>260</v>
      </c>
      <c r="IA7" s="264" t="s">
        <v>265</v>
      </c>
      <c r="IB7" s="269" t="s">
        <v>266</v>
      </c>
      <c r="IC7" s="264" t="s">
        <v>267</v>
      </c>
      <c r="ID7" s="264" t="s">
        <v>321</v>
      </c>
      <c r="IE7" s="271" t="s">
        <v>268</v>
      </c>
      <c r="IF7" s="274" t="s">
        <v>313</v>
      </c>
      <c r="IG7" s="277" t="s">
        <v>916</v>
      </c>
      <c r="IH7" s="261" t="s">
        <v>257</v>
      </c>
      <c r="II7" s="264" t="s">
        <v>258</v>
      </c>
      <c r="IJ7" s="264" t="s">
        <v>259</v>
      </c>
      <c r="IK7" s="264" t="s">
        <v>260</v>
      </c>
      <c r="IL7" s="269" t="s">
        <v>261</v>
      </c>
      <c r="IM7" s="264" t="s">
        <v>262</v>
      </c>
      <c r="IN7" s="264" t="s">
        <v>272</v>
      </c>
      <c r="IO7" s="264" t="s">
        <v>263</v>
      </c>
      <c r="IP7" s="264" t="s">
        <v>264</v>
      </c>
      <c r="IQ7" s="264" t="s">
        <v>271</v>
      </c>
      <c r="IR7" s="264" t="s">
        <v>260</v>
      </c>
      <c r="IS7" s="264" t="s">
        <v>265</v>
      </c>
      <c r="IT7" s="269" t="s">
        <v>266</v>
      </c>
      <c r="IU7" s="264" t="s">
        <v>267</v>
      </c>
      <c r="IV7" s="264" t="s">
        <v>321</v>
      </c>
      <c r="IW7" s="271" t="s">
        <v>268</v>
      </c>
      <c r="IX7" s="274" t="s">
        <v>313</v>
      </c>
      <c r="IY7" s="277" t="s">
        <v>916</v>
      </c>
      <c r="IZ7" s="261" t="s">
        <v>257</v>
      </c>
      <c r="JA7" s="264" t="s">
        <v>258</v>
      </c>
      <c r="JB7" s="264" t="s">
        <v>259</v>
      </c>
      <c r="JC7" s="264" t="s">
        <v>260</v>
      </c>
      <c r="JD7" s="269" t="s">
        <v>261</v>
      </c>
      <c r="JE7" s="264" t="s">
        <v>262</v>
      </c>
      <c r="JF7" s="264" t="s">
        <v>272</v>
      </c>
      <c r="JG7" s="264" t="s">
        <v>263</v>
      </c>
      <c r="JH7" s="264" t="s">
        <v>264</v>
      </c>
      <c r="JI7" s="264" t="s">
        <v>271</v>
      </c>
      <c r="JJ7" s="264" t="s">
        <v>260</v>
      </c>
      <c r="JK7" s="264" t="s">
        <v>265</v>
      </c>
      <c r="JL7" s="269" t="s">
        <v>266</v>
      </c>
      <c r="JM7" s="264" t="s">
        <v>267</v>
      </c>
      <c r="JN7" s="264" t="s">
        <v>321</v>
      </c>
      <c r="JO7" s="271" t="s">
        <v>268</v>
      </c>
      <c r="JP7" s="274" t="s">
        <v>313</v>
      </c>
      <c r="JQ7" s="277" t="s">
        <v>916</v>
      </c>
      <c r="JR7" s="261" t="s">
        <v>257</v>
      </c>
      <c r="JS7" s="264" t="s">
        <v>258</v>
      </c>
      <c r="JT7" s="264" t="s">
        <v>259</v>
      </c>
      <c r="JU7" s="264" t="s">
        <v>260</v>
      </c>
      <c r="JV7" s="269" t="s">
        <v>261</v>
      </c>
      <c r="JW7" s="264" t="s">
        <v>262</v>
      </c>
      <c r="JX7" s="264" t="s">
        <v>272</v>
      </c>
      <c r="JY7" s="264" t="s">
        <v>263</v>
      </c>
      <c r="JZ7" s="264" t="s">
        <v>264</v>
      </c>
      <c r="KA7" s="264" t="s">
        <v>271</v>
      </c>
      <c r="KB7" s="264" t="s">
        <v>260</v>
      </c>
      <c r="KC7" s="264" t="s">
        <v>265</v>
      </c>
      <c r="KD7" s="269" t="s">
        <v>266</v>
      </c>
      <c r="KE7" s="264" t="s">
        <v>267</v>
      </c>
      <c r="KF7" s="264" t="s">
        <v>321</v>
      </c>
      <c r="KG7" s="271" t="s">
        <v>268</v>
      </c>
      <c r="KH7" s="274" t="s">
        <v>313</v>
      </c>
      <c r="KI7" s="277" t="s">
        <v>916</v>
      </c>
      <c r="KJ7" s="261" t="s">
        <v>257</v>
      </c>
      <c r="KK7" s="264" t="s">
        <v>258</v>
      </c>
      <c r="KL7" s="264" t="s">
        <v>259</v>
      </c>
      <c r="KM7" s="264" t="s">
        <v>260</v>
      </c>
      <c r="KN7" s="269" t="s">
        <v>261</v>
      </c>
      <c r="KO7" s="264" t="s">
        <v>262</v>
      </c>
      <c r="KP7" s="264" t="s">
        <v>272</v>
      </c>
      <c r="KQ7" s="264" t="s">
        <v>263</v>
      </c>
      <c r="KR7" s="264" t="s">
        <v>264</v>
      </c>
      <c r="KS7" s="264" t="s">
        <v>271</v>
      </c>
      <c r="KT7" s="264" t="s">
        <v>260</v>
      </c>
      <c r="KU7" s="264" t="s">
        <v>265</v>
      </c>
      <c r="KV7" s="269" t="s">
        <v>266</v>
      </c>
      <c r="KW7" s="264" t="s">
        <v>267</v>
      </c>
      <c r="KX7" s="264" t="s">
        <v>321</v>
      </c>
      <c r="KY7" s="271" t="s">
        <v>268</v>
      </c>
      <c r="KZ7" s="274" t="s">
        <v>313</v>
      </c>
      <c r="LA7" s="277" t="s">
        <v>916</v>
      </c>
      <c r="LB7" s="261" t="s">
        <v>257</v>
      </c>
      <c r="LC7" s="264" t="s">
        <v>258</v>
      </c>
      <c r="LD7" s="264" t="s">
        <v>259</v>
      </c>
      <c r="LE7" s="264" t="s">
        <v>260</v>
      </c>
      <c r="LF7" s="269" t="s">
        <v>261</v>
      </c>
      <c r="LG7" s="264" t="s">
        <v>262</v>
      </c>
      <c r="LH7" s="264" t="s">
        <v>272</v>
      </c>
      <c r="LI7" s="264" t="s">
        <v>263</v>
      </c>
      <c r="LJ7" s="264" t="s">
        <v>264</v>
      </c>
      <c r="LK7" s="264" t="s">
        <v>271</v>
      </c>
      <c r="LL7" s="264" t="s">
        <v>260</v>
      </c>
      <c r="LM7" s="264" t="s">
        <v>265</v>
      </c>
      <c r="LN7" s="269" t="s">
        <v>266</v>
      </c>
      <c r="LO7" s="264" t="s">
        <v>267</v>
      </c>
      <c r="LP7" s="264" t="s">
        <v>321</v>
      </c>
      <c r="LQ7" s="271" t="s">
        <v>268</v>
      </c>
      <c r="LR7" s="274" t="s">
        <v>313</v>
      </c>
      <c r="LS7" s="277" t="s">
        <v>916</v>
      </c>
      <c r="LT7" s="261" t="s">
        <v>257</v>
      </c>
      <c r="LU7" s="264" t="s">
        <v>258</v>
      </c>
      <c r="LV7" s="264" t="s">
        <v>259</v>
      </c>
      <c r="LW7" s="264" t="s">
        <v>260</v>
      </c>
      <c r="LX7" s="269" t="s">
        <v>261</v>
      </c>
      <c r="LY7" s="264" t="s">
        <v>262</v>
      </c>
      <c r="LZ7" s="264" t="s">
        <v>272</v>
      </c>
      <c r="MA7" s="264" t="s">
        <v>263</v>
      </c>
      <c r="MB7" s="264" t="s">
        <v>264</v>
      </c>
      <c r="MC7" s="264" t="s">
        <v>271</v>
      </c>
      <c r="MD7" s="264" t="s">
        <v>260</v>
      </c>
      <c r="ME7" s="264" t="s">
        <v>265</v>
      </c>
      <c r="MF7" s="269" t="s">
        <v>266</v>
      </c>
      <c r="MG7" s="264" t="s">
        <v>267</v>
      </c>
      <c r="MH7" s="264" t="s">
        <v>321</v>
      </c>
      <c r="MI7" s="271" t="s">
        <v>268</v>
      </c>
      <c r="MJ7" s="274" t="s">
        <v>313</v>
      </c>
      <c r="MK7" s="277" t="s">
        <v>916</v>
      </c>
      <c r="ML7" s="261" t="s">
        <v>257</v>
      </c>
      <c r="MM7" s="264" t="s">
        <v>258</v>
      </c>
      <c r="MN7" s="264" t="s">
        <v>259</v>
      </c>
      <c r="MO7" s="264" t="s">
        <v>260</v>
      </c>
      <c r="MP7" s="269" t="s">
        <v>261</v>
      </c>
      <c r="MQ7" s="264" t="s">
        <v>262</v>
      </c>
      <c r="MR7" s="264" t="s">
        <v>272</v>
      </c>
      <c r="MS7" s="264" t="s">
        <v>263</v>
      </c>
      <c r="MT7" s="264" t="s">
        <v>264</v>
      </c>
      <c r="MU7" s="264" t="s">
        <v>271</v>
      </c>
      <c r="MV7" s="264" t="s">
        <v>260</v>
      </c>
      <c r="MW7" s="264" t="s">
        <v>265</v>
      </c>
      <c r="MX7" s="269" t="s">
        <v>266</v>
      </c>
      <c r="MY7" s="264" t="s">
        <v>267</v>
      </c>
      <c r="MZ7" s="264" t="s">
        <v>321</v>
      </c>
      <c r="NA7" s="271" t="s">
        <v>268</v>
      </c>
      <c r="NB7" s="274" t="s">
        <v>313</v>
      </c>
      <c r="NC7" s="277" t="s">
        <v>916</v>
      </c>
      <c r="ND7" s="261" t="s">
        <v>257</v>
      </c>
      <c r="NE7" s="264" t="s">
        <v>258</v>
      </c>
      <c r="NF7" s="264" t="s">
        <v>259</v>
      </c>
      <c r="NG7" s="264" t="s">
        <v>260</v>
      </c>
      <c r="NH7" s="269" t="s">
        <v>261</v>
      </c>
      <c r="NI7" s="264" t="s">
        <v>262</v>
      </c>
      <c r="NJ7" s="264" t="s">
        <v>272</v>
      </c>
      <c r="NK7" s="264" t="s">
        <v>263</v>
      </c>
      <c r="NL7" s="264" t="s">
        <v>264</v>
      </c>
      <c r="NM7" s="264" t="s">
        <v>271</v>
      </c>
      <c r="NN7" s="264" t="s">
        <v>260</v>
      </c>
      <c r="NO7" s="264" t="s">
        <v>265</v>
      </c>
      <c r="NP7" s="269" t="s">
        <v>266</v>
      </c>
      <c r="NQ7" s="264" t="s">
        <v>267</v>
      </c>
      <c r="NR7" s="264" t="s">
        <v>321</v>
      </c>
      <c r="NS7" s="271" t="s">
        <v>268</v>
      </c>
      <c r="NT7" s="274" t="s">
        <v>313</v>
      </c>
      <c r="NU7" s="277" t="s">
        <v>916</v>
      </c>
      <c r="NV7" s="261" t="s">
        <v>257</v>
      </c>
      <c r="NW7" s="264" t="s">
        <v>258</v>
      </c>
      <c r="NX7" s="264" t="s">
        <v>259</v>
      </c>
      <c r="NY7" s="264" t="s">
        <v>260</v>
      </c>
      <c r="NZ7" s="269" t="s">
        <v>261</v>
      </c>
      <c r="OA7" s="264" t="s">
        <v>262</v>
      </c>
      <c r="OB7" s="264" t="s">
        <v>272</v>
      </c>
      <c r="OC7" s="264" t="s">
        <v>263</v>
      </c>
      <c r="OD7" s="264" t="s">
        <v>264</v>
      </c>
      <c r="OE7" s="264" t="s">
        <v>271</v>
      </c>
      <c r="OF7" s="264" t="s">
        <v>260</v>
      </c>
      <c r="OG7" s="264" t="s">
        <v>265</v>
      </c>
      <c r="OH7" s="269" t="s">
        <v>266</v>
      </c>
      <c r="OI7" s="264" t="s">
        <v>267</v>
      </c>
      <c r="OJ7" s="264" t="s">
        <v>321</v>
      </c>
      <c r="OK7" s="271" t="s">
        <v>268</v>
      </c>
      <c r="OL7" s="274" t="s">
        <v>313</v>
      </c>
      <c r="OM7" s="277" t="s">
        <v>916</v>
      </c>
      <c r="ON7" s="261" t="s">
        <v>257</v>
      </c>
      <c r="OO7" s="264" t="s">
        <v>258</v>
      </c>
      <c r="OP7" s="264" t="s">
        <v>259</v>
      </c>
      <c r="OQ7" s="264" t="s">
        <v>260</v>
      </c>
      <c r="OR7" s="269" t="s">
        <v>261</v>
      </c>
      <c r="OS7" s="264" t="s">
        <v>262</v>
      </c>
      <c r="OT7" s="264" t="s">
        <v>272</v>
      </c>
      <c r="OU7" s="264" t="s">
        <v>263</v>
      </c>
      <c r="OV7" s="264" t="s">
        <v>264</v>
      </c>
      <c r="OW7" s="264" t="s">
        <v>271</v>
      </c>
      <c r="OX7" s="264" t="s">
        <v>260</v>
      </c>
      <c r="OY7" s="264" t="s">
        <v>265</v>
      </c>
      <c r="OZ7" s="269" t="s">
        <v>266</v>
      </c>
      <c r="PA7" s="264" t="s">
        <v>267</v>
      </c>
      <c r="PB7" s="264" t="s">
        <v>321</v>
      </c>
      <c r="PC7" s="271" t="s">
        <v>268</v>
      </c>
      <c r="PD7" s="274" t="s">
        <v>313</v>
      </c>
      <c r="PE7" s="277" t="s">
        <v>916</v>
      </c>
      <c r="PF7" s="261" t="s">
        <v>257</v>
      </c>
      <c r="PG7" s="264" t="s">
        <v>258</v>
      </c>
      <c r="PH7" s="264" t="s">
        <v>259</v>
      </c>
      <c r="PI7" s="264" t="s">
        <v>260</v>
      </c>
      <c r="PJ7" s="269" t="s">
        <v>261</v>
      </c>
      <c r="PK7" s="264" t="s">
        <v>262</v>
      </c>
      <c r="PL7" s="264" t="s">
        <v>272</v>
      </c>
      <c r="PM7" s="264" t="s">
        <v>263</v>
      </c>
      <c r="PN7" s="264" t="s">
        <v>264</v>
      </c>
      <c r="PO7" s="264" t="s">
        <v>271</v>
      </c>
      <c r="PP7" s="264" t="s">
        <v>260</v>
      </c>
      <c r="PQ7" s="264" t="s">
        <v>265</v>
      </c>
      <c r="PR7" s="269" t="s">
        <v>266</v>
      </c>
      <c r="PS7" s="264" t="s">
        <v>267</v>
      </c>
      <c r="PT7" s="264" t="s">
        <v>321</v>
      </c>
      <c r="PU7" s="271" t="s">
        <v>268</v>
      </c>
      <c r="PV7" s="274" t="s">
        <v>313</v>
      </c>
      <c r="PW7" s="277" t="s">
        <v>916</v>
      </c>
      <c r="PX7" s="261" t="s">
        <v>257</v>
      </c>
      <c r="PY7" s="264" t="s">
        <v>258</v>
      </c>
      <c r="PZ7" s="264" t="s">
        <v>259</v>
      </c>
      <c r="QA7" s="264" t="s">
        <v>260</v>
      </c>
      <c r="QB7" s="269" t="s">
        <v>261</v>
      </c>
      <c r="QC7" s="264" t="s">
        <v>262</v>
      </c>
      <c r="QD7" s="264" t="s">
        <v>272</v>
      </c>
      <c r="QE7" s="264" t="s">
        <v>263</v>
      </c>
      <c r="QF7" s="264" t="s">
        <v>264</v>
      </c>
      <c r="QG7" s="264" t="s">
        <v>271</v>
      </c>
      <c r="QH7" s="264" t="s">
        <v>260</v>
      </c>
      <c r="QI7" s="264" t="s">
        <v>265</v>
      </c>
      <c r="QJ7" s="269" t="s">
        <v>266</v>
      </c>
      <c r="QK7" s="264" t="s">
        <v>267</v>
      </c>
      <c r="QL7" s="264" t="s">
        <v>321</v>
      </c>
      <c r="QM7" s="271" t="s">
        <v>268</v>
      </c>
      <c r="QN7" s="274" t="s">
        <v>313</v>
      </c>
      <c r="QO7" s="277" t="s">
        <v>916</v>
      </c>
      <c r="QP7" s="261" t="s">
        <v>257</v>
      </c>
      <c r="QQ7" s="264" t="s">
        <v>258</v>
      </c>
      <c r="QR7" s="264" t="s">
        <v>259</v>
      </c>
      <c r="QS7" s="264" t="s">
        <v>260</v>
      </c>
      <c r="QT7" s="269" t="s">
        <v>261</v>
      </c>
      <c r="QU7" s="264" t="s">
        <v>262</v>
      </c>
      <c r="QV7" s="264" t="s">
        <v>272</v>
      </c>
      <c r="QW7" s="264" t="s">
        <v>263</v>
      </c>
      <c r="QX7" s="264" t="s">
        <v>264</v>
      </c>
      <c r="QY7" s="264" t="s">
        <v>271</v>
      </c>
      <c r="QZ7" s="264" t="s">
        <v>260</v>
      </c>
      <c r="RA7" s="264" t="s">
        <v>265</v>
      </c>
      <c r="RB7" s="269" t="s">
        <v>266</v>
      </c>
      <c r="RC7" s="264" t="s">
        <v>267</v>
      </c>
      <c r="RD7" s="264" t="s">
        <v>321</v>
      </c>
      <c r="RE7" s="271" t="s">
        <v>268</v>
      </c>
      <c r="RF7" s="274" t="s">
        <v>313</v>
      </c>
      <c r="RG7" s="277" t="s">
        <v>916</v>
      </c>
      <c r="RH7" s="261" t="s">
        <v>257</v>
      </c>
      <c r="RI7" s="264" t="s">
        <v>258</v>
      </c>
      <c r="RJ7" s="264" t="s">
        <v>259</v>
      </c>
      <c r="RK7" s="264" t="s">
        <v>260</v>
      </c>
      <c r="RL7" s="269" t="s">
        <v>261</v>
      </c>
      <c r="RM7" s="264" t="s">
        <v>262</v>
      </c>
      <c r="RN7" s="264" t="s">
        <v>272</v>
      </c>
      <c r="RO7" s="264" t="s">
        <v>263</v>
      </c>
      <c r="RP7" s="264" t="s">
        <v>264</v>
      </c>
      <c r="RQ7" s="264" t="s">
        <v>271</v>
      </c>
      <c r="RR7" s="264" t="s">
        <v>260</v>
      </c>
      <c r="RS7" s="264" t="s">
        <v>265</v>
      </c>
      <c r="RT7" s="269" t="s">
        <v>266</v>
      </c>
      <c r="RU7" s="264" t="s">
        <v>267</v>
      </c>
      <c r="RV7" s="264" t="s">
        <v>321</v>
      </c>
      <c r="RW7" s="271" t="s">
        <v>268</v>
      </c>
      <c r="RX7" s="274" t="s">
        <v>313</v>
      </c>
      <c r="RY7" s="277" t="s">
        <v>916</v>
      </c>
      <c r="RZ7" s="261" t="s">
        <v>257</v>
      </c>
      <c r="SA7" s="264" t="s">
        <v>258</v>
      </c>
      <c r="SB7" s="264" t="s">
        <v>259</v>
      </c>
      <c r="SC7" s="264" t="s">
        <v>260</v>
      </c>
      <c r="SD7" s="269" t="s">
        <v>261</v>
      </c>
      <c r="SE7" s="264" t="s">
        <v>262</v>
      </c>
      <c r="SF7" s="264" t="s">
        <v>272</v>
      </c>
      <c r="SG7" s="264" t="s">
        <v>263</v>
      </c>
      <c r="SH7" s="264" t="s">
        <v>264</v>
      </c>
      <c r="SI7" s="264" t="s">
        <v>271</v>
      </c>
      <c r="SJ7" s="264" t="s">
        <v>260</v>
      </c>
      <c r="SK7" s="264" t="s">
        <v>265</v>
      </c>
      <c r="SL7" s="269" t="s">
        <v>266</v>
      </c>
      <c r="SM7" s="264" t="s">
        <v>267</v>
      </c>
      <c r="SN7" s="264" t="s">
        <v>321</v>
      </c>
      <c r="SO7" s="271" t="s">
        <v>268</v>
      </c>
      <c r="SP7" s="274" t="s">
        <v>313</v>
      </c>
      <c r="SQ7" s="277" t="s">
        <v>916</v>
      </c>
      <c r="SR7" s="261" t="s">
        <v>257</v>
      </c>
      <c r="SS7" s="264" t="s">
        <v>258</v>
      </c>
      <c r="ST7" s="264" t="s">
        <v>259</v>
      </c>
      <c r="SU7" s="264" t="s">
        <v>260</v>
      </c>
      <c r="SV7" s="269" t="s">
        <v>261</v>
      </c>
      <c r="SW7" s="264" t="s">
        <v>262</v>
      </c>
      <c r="SX7" s="264" t="s">
        <v>272</v>
      </c>
      <c r="SY7" s="264" t="s">
        <v>263</v>
      </c>
      <c r="SZ7" s="264" t="s">
        <v>264</v>
      </c>
      <c r="TA7" s="264" t="s">
        <v>271</v>
      </c>
      <c r="TB7" s="264" t="s">
        <v>260</v>
      </c>
      <c r="TC7" s="264" t="s">
        <v>265</v>
      </c>
      <c r="TD7" s="269" t="s">
        <v>266</v>
      </c>
      <c r="TE7" s="264" t="s">
        <v>267</v>
      </c>
      <c r="TF7" s="264" t="s">
        <v>321</v>
      </c>
      <c r="TG7" s="271" t="s">
        <v>268</v>
      </c>
      <c r="TH7" s="274" t="s">
        <v>313</v>
      </c>
      <c r="TI7" s="277" t="s">
        <v>916</v>
      </c>
      <c r="TJ7" s="261" t="s">
        <v>257</v>
      </c>
      <c r="TK7" s="264" t="s">
        <v>258</v>
      </c>
      <c r="TL7" s="264" t="s">
        <v>259</v>
      </c>
      <c r="TM7" s="264" t="s">
        <v>260</v>
      </c>
      <c r="TN7" s="269" t="s">
        <v>261</v>
      </c>
      <c r="TO7" s="264" t="s">
        <v>262</v>
      </c>
      <c r="TP7" s="264" t="s">
        <v>272</v>
      </c>
      <c r="TQ7" s="264" t="s">
        <v>263</v>
      </c>
      <c r="TR7" s="264" t="s">
        <v>264</v>
      </c>
      <c r="TS7" s="264" t="s">
        <v>271</v>
      </c>
      <c r="TT7" s="264" t="s">
        <v>260</v>
      </c>
      <c r="TU7" s="264" t="s">
        <v>265</v>
      </c>
      <c r="TV7" s="269" t="s">
        <v>266</v>
      </c>
      <c r="TW7" s="264" t="s">
        <v>267</v>
      </c>
      <c r="TX7" s="264" t="s">
        <v>321</v>
      </c>
      <c r="TY7" s="271" t="s">
        <v>268</v>
      </c>
      <c r="TZ7" s="274" t="s">
        <v>313</v>
      </c>
      <c r="UA7" s="277" t="s">
        <v>916</v>
      </c>
      <c r="UB7" s="261" t="s">
        <v>257</v>
      </c>
      <c r="UC7" s="264" t="s">
        <v>258</v>
      </c>
      <c r="UD7" s="264" t="s">
        <v>259</v>
      </c>
      <c r="UE7" s="264" t="s">
        <v>260</v>
      </c>
      <c r="UF7" s="269" t="s">
        <v>261</v>
      </c>
      <c r="UG7" s="264" t="s">
        <v>262</v>
      </c>
      <c r="UH7" s="264" t="s">
        <v>272</v>
      </c>
      <c r="UI7" s="264" t="s">
        <v>263</v>
      </c>
      <c r="UJ7" s="264" t="s">
        <v>264</v>
      </c>
      <c r="UK7" s="264" t="s">
        <v>271</v>
      </c>
      <c r="UL7" s="264" t="s">
        <v>260</v>
      </c>
      <c r="UM7" s="264" t="s">
        <v>265</v>
      </c>
      <c r="UN7" s="269" t="s">
        <v>266</v>
      </c>
      <c r="UO7" s="264" t="s">
        <v>267</v>
      </c>
      <c r="UP7" s="264" t="s">
        <v>321</v>
      </c>
      <c r="UQ7" s="271" t="s">
        <v>268</v>
      </c>
      <c r="UR7" s="274" t="s">
        <v>313</v>
      </c>
      <c r="US7" s="277" t="s">
        <v>916</v>
      </c>
    </row>
    <row r="8" spans="1:565" ht="15.75" customHeight="1" x14ac:dyDescent="0.3">
      <c r="B8" s="287"/>
      <c r="C8" s="290"/>
      <c r="D8" s="164"/>
      <c r="E8" s="143"/>
      <c r="F8" s="267"/>
      <c r="G8" s="267"/>
      <c r="H8" s="262"/>
      <c r="I8" s="265"/>
      <c r="J8" s="267"/>
      <c r="K8" s="267"/>
      <c r="L8" s="269"/>
      <c r="M8" s="265"/>
      <c r="N8" s="265"/>
      <c r="O8" s="265"/>
      <c r="P8" s="267"/>
      <c r="Q8" s="265"/>
      <c r="R8" s="267"/>
      <c r="S8" s="267"/>
      <c r="T8" s="269"/>
      <c r="U8" s="267"/>
      <c r="V8" s="267"/>
      <c r="W8" s="272"/>
      <c r="X8" s="275"/>
      <c r="Y8" s="278"/>
      <c r="Z8" s="262"/>
      <c r="AA8" s="265"/>
      <c r="AB8" s="267"/>
      <c r="AC8" s="267"/>
      <c r="AD8" s="269"/>
      <c r="AE8" s="265"/>
      <c r="AF8" s="265"/>
      <c r="AG8" s="265"/>
      <c r="AH8" s="267"/>
      <c r="AI8" s="265"/>
      <c r="AJ8" s="267"/>
      <c r="AK8" s="267"/>
      <c r="AL8" s="269"/>
      <c r="AM8" s="267"/>
      <c r="AN8" s="267"/>
      <c r="AO8" s="272"/>
      <c r="AP8" s="275"/>
      <c r="AQ8" s="278"/>
      <c r="AR8" s="262"/>
      <c r="AS8" s="265"/>
      <c r="AT8" s="267"/>
      <c r="AU8" s="267"/>
      <c r="AV8" s="269"/>
      <c r="AW8" s="265"/>
      <c r="AX8" s="265"/>
      <c r="AY8" s="265"/>
      <c r="AZ8" s="267"/>
      <c r="BA8" s="265"/>
      <c r="BB8" s="267"/>
      <c r="BC8" s="267"/>
      <c r="BD8" s="269"/>
      <c r="BE8" s="267"/>
      <c r="BF8" s="267"/>
      <c r="BG8" s="272"/>
      <c r="BH8" s="275"/>
      <c r="BI8" s="278"/>
      <c r="BJ8" s="262"/>
      <c r="BK8" s="265"/>
      <c r="BL8" s="267"/>
      <c r="BM8" s="267"/>
      <c r="BN8" s="269"/>
      <c r="BO8" s="265"/>
      <c r="BP8" s="265"/>
      <c r="BQ8" s="265"/>
      <c r="BR8" s="267"/>
      <c r="BS8" s="265"/>
      <c r="BT8" s="267"/>
      <c r="BU8" s="267"/>
      <c r="BV8" s="269"/>
      <c r="BW8" s="267"/>
      <c r="BX8" s="267"/>
      <c r="BY8" s="272"/>
      <c r="BZ8" s="275"/>
      <c r="CA8" s="278"/>
      <c r="CB8" s="262"/>
      <c r="CC8" s="265"/>
      <c r="CD8" s="267"/>
      <c r="CE8" s="267"/>
      <c r="CF8" s="269"/>
      <c r="CG8" s="265"/>
      <c r="CH8" s="265"/>
      <c r="CI8" s="265"/>
      <c r="CJ8" s="267"/>
      <c r="CK8" s="265"/>
      <c r="CL8" s="267"/>
      <c r="CM8" s="267"/>
      <c r="CN8" s="269"/>
      <c r="CO8" s="267"/>
      <c r="CP8" s="267"/>
      <c r="CQ8" s="272"/>
      <c r="CR8" s="275"/>
      <c r="CS8" s="278"/>
      <c r="CT8" s="262"/>
      <c r="CU8" s="265"/>
      <c r="CV8" s="267"/>
      <c r="CW8" s="267"/>
      <c r="CX8" s="269"/>
      <c r="CY8" s="265"/>
      <c r="CZ8" s="265"/>
      <c r="DA8" s="265"/>
      <c r="DB8" s="267"/>
      <c r="DC8" s="265"/>
      <c r="DD8" s="267"/>
      <c r="DE8" s="267"/>
      <c r="DF8" s="269"/>
      <c r="DG8" s="267"/>
      <c r="DH8" s="267"/>
      <c r="DI8" s="272"/>
      <c r="DJ8" s="275"/>
      <c r="DK8" s="278"/>
      <c r="DL8" s="262"/>
      <c r="DM8" s="265"/>
      <c r="DN8" s="267"/>
      <c r="DO8" s="267"/>
      <c r="DP8" s="269"/>
      <c r="DQ8" s="265"/>
      <c r="DR8" s="265"/>
      <c r="DS8" s="265"/>
      <c r="DT8" s="267"/>
      <c r="DU8" s="265"/>
      <c r="DV8" s="267"/>
      <c r="DW8" s="267"/>
      <c r="DX8" s="269"/>
      <c r="DY8" s="267"/>
      <c r="DZ8" s="267"/>
      <c r="EA8" s="272"/>
      <c r="EB8" s="275"/>
      <c r="EC8" s="278"/>
      <c r="ED8" s="262"/>
      <c r="EE8" s="265"/>
      <c r="EF8" s="267"/>
      <c r="EG8" s="267"/>
      <c r="EH8" s="269"/>
      <c r="EI8" s="265"/>
      <c r="EJ8" s="265"/>
      <c r="EK8" s="265"/>
      <c r="EL8" s="267"/>
      <c r="EM8" s="265"/>
      <c r="EN8" s="267"/>
      <c r="EO8" s="267"/>
      <c r="EP8" s="269"/>
      <c r="EQ8" s="267"/>
      <c r="ER8" s="267"/>
      <c r="ES8" s="272"/>
      <c r="ET8" s="275"/>
      <c r="EU8" s="278"/>
      <c r="EV8" s="262"/>
      <c r="EW8" s="265"/>
      <c r="EX8" s="267"/>
      <c r="EY8" s="267"/>
      <c r="EZ8" s="269"/>
      <c r="FA8" s="265"/>
      <c r="FB8" s="265"/>
      <c r="FC8" s="265"/>
      <c r="FD8" s="267"/>
      <c r="FE8" s="265"/>
      <c r="FF8" s="267"/>
      <c r="FG8" s="267"/>
      <c r="FH8" s="269"/>
      <c r="FI8" s="267"/>
      <c r="FJ8" s="267"/>
      <c r="FK8" s="272"/>
      <c r="FL8" s="275"/>
      <c r="FM8" s="278"/>
      <c r="FN8" s="262"/>
      <c r="FO8" s="265"/>
      <c r="FP8" s="267"/>
      <c r="FQ8" s="267"/>
      <c r="FR8" s="269"/>
      <c r="FS8" s="265"/>
      <c r="FT8" s="265"/>
      <c r="FU8" s="265"/>
      <c r="FV8" s="267"/>
      <c r="FW8" s="265"/>
      <c r="FX8" s="267"/>
      <c r="FY8" s="267"/>
      <c r="FZ8" s="269"/>
      <c r="GA8" s="267"/>
      <c r="GB8" s="267"/>
      <c r="GC8" s="272"/>
      <c r="GD8" s="275"/>
      <c r="GE8" s="278"/>
      <c r="GF8" s="262"/>
      <c r="GG8" s="265"/>
      <c r="GH8" s="267"/>
      <c r="GI8" s="267"/>
      <c r="GJ8" s="269"/>
      <c r="GK8" s="265"/>
      <c r="GL8" s="265"/>
      <c r="GM8" s="265"/>
      <c r="GN8" s="267"/>
      <c r="GO8" s="265"/>
      <c r="GP8" s="267"/>
      <c r="GQ8" s="267"/>
      <c r="GR8" s="269"/>
      <c r="GS8" s="267"/>
      <c r="GT8" s="267"/>
      <c r="GU8" s="272"/>
      <c r="GV8" s="275"/>
      <c r="GW8" s="278"/>
      <c r="GX8" s="262"/>
      <c r="GY8" s="265"/>
      <c r="GZ8" s="267"/>
      <c r="HA8" s="267"/>
      <c r="HB8" s="269"/>
      <c r="HC8" s="265"/>
      <c r="HD8" s="265"/>
      <c r="HE8" s="265"/>
      <c r="HF8" s="267"/>
      <c r="HG8" s="265"/>
      <c r="HH8" s="267"/>
      <c r="HI8" s="267"/>
      <c r="HJ8" s="269"/>
      <c r="HK8" s="267"/>
      <c r="HL8" s="267"/>
      <c r="HM8" s="272"/>
      <c r="HN8" s="275"/>
      <c r="HO8" s="278"/>
      <c r="HP8" s="262"/>
      <c r="HQ8" s="265"/>
      <c r="HR8" s="267"/>
      <c r="HS8" s="267"/>
      <c r="HT8" s="269"/>
      <c r="HU8" s="265"/>
      <c r="HV8" s="265"/>
      <c r="HW8" s="265"/>
      <c r="HX8" s="267"/>
      <c r="HY8" s="265"/>
      <c r="HZ8" s="267"/>
      <c r="IA8" s="267"/>
      <c r="IB8" s="269"/>
      <c r="IC8" s="267"/>
      <c r="ID8" s="267"/>
      <c r="IE8" s="272"/>
      <c r="IF8" s="275"/>
      <c r="IG8" s="278"/>
      <c r="IH8" s="262"/>
      <c r="II8" s="265"/>
      <c r="IJ8" s="267"/>
      <c r="IK8" s="267"/>
      <c r="IL8" s="269"/>
      <c r="IM8" s="265"/>
      <c r="IN8" s="265"/>
      <c r="IO8" s="265"/>
      <c r="IP8" s="267"/>
      <c r="IQ8" s="265"/>
      <c r="IR8" s="267"/>
      <c r="IS8" s="267"/>
      <c r="IT8" s="269"/>
      <c r="IU8" s="267"/>
      <c r="IV8" s="267"/>
      <c r="IW8" s="272"/>
      <c r="IX8" s="275"/>
      <c r="IY8" s="278"/>
      <c r="IZ8" s="262"/>
      <c r="JA8" s="265"/>
      <c r="JB8" s="267"/>
      <c r="JC8" s="267"/>
      <c r="JD8" s="269"/>
      <c r="JE8" s="265"/>
      <c r="JF8" s="265"/>
      <c r="JG8" s="265"/>
      <c r="JH8" s="267"/>
      <c r="JI8" s="265"/>
      <c r="JJ8" s="267"/>
      <c r="JK8" s="267"/>
      <c r="JL8" s="269"/>
      <c r="JM8" s="267"/>
      <c r="JN8" s="267"/>
      <c r="JO8" s="272"/>
      <c r="JP8" s="275"/>
      <c r="JQ8" s="278"/>
      <c r="JR8" s="262"/>
      <c r="JS8" s="265"/>
      <c r="JT8" s="267"/>
      <c r="JU8" s="267"/>
      <c r="JV8" s="269"/>
      <c r="JW8" s="265"/>
      <c r="JX8" s="265"/>
      <c r="JY8" s="265"/>
      <c r="JZ8" s="267"/>
      <c r="KA8" s="265"/>
      <c r="KB8" s="267"/>
      <c r="KC8" s="267"/>
      <c r="KD8" s="269"/>
      <c r="KE8" s="267"/>
      <c r="KF8" s="267"/>
      <c r="KG8" s="272"/>
      <c r="KH8" s="275"/>
      <c r="KI8" s="278"/>
      <c r="KJ8" s="262"/>
      <c r="KK8" s="265"/>
      <c r="KL8" s="267"/>
      <c r="KM8" s="267"/>
      <c r="KN8" s="269"/>
      <c r="KO8" s="265"/>
      <c r="KP8" s="265"/>
      <c r="KQ8" s="265"/>
      <c r="KR8" s="267"/>
      <c r="KS8" s="265"/>
      <c r="KT8" s="267"/>
      <c r="KU8" s="267"/>
      <c r="KV8" s="269"/>
      <c r="KW8" s="267"/>
      <c r="KX8" s="267"/>
      <c r="KY8" s="272"/>
      <c r="KZ8" s="275"/>
      <c r="LA8" s="278"/>
      <c r="LB8" s="262"/>
      <c r="LC8" s="265"/>
      <c r="LD8" s="267"/>
      <c r="LE8" s="267"/>
      <c r="LF8" s="269"/>
      <c r="LG8" s="265"/>
      <c r="LH8" s="265"/>
      <c r="LI8" s="265"/>
      <c r="LJ8" s="267"/>
      <c r="LK8" s="265"/>
      <c r="LL8" s="267"/>
      <c r="LM8" s="267"/>
      <c r="LN8" s="269"/>
      <c r="LO8" s="267"/>
      <c r="LP8" s="267"/>
      <c r="LQ8" s="272"/>
      <c r="LR8" s="275"/>
      <c r="LS8" s="278"/>
      <c r="LT8" s="262"/>
      <c r="LU8" s="265"/>
      <c r="LV8" s="267"/>
      <c r="LW8" s="267"/>
      <c r="LX8" s="269"/>
      <c r="LY8" s="265"/>
      <c r="LZ8" s="265"/>
      <c r="MA8" s="265"/>
      <c r="MB8" s="267"/>
      <c r="MC8" s="265"/>
      <c r="MD8" s="267"/>
      <c r="ME8" s="267"/>
      <c r="MF8" s="269"/>
      <c r="MG8" s="267"/>
      <c r="MH8" s="267"/>
      <c r="MI8" s="272"/>
      <c r="MJ8" s="275"/>
      <c r="MK8" s="278"/>
      <c r="ML8" s="262"/>
      <c r="MM8" s="265"/>
      <c r="MN8" s="267"/>
      <c r="MO8" s="267"/>
      <c r="MP8" s="269"/>
      <c r="MQ8" s="265"/>
      <c r="MR8" s="265"/>
      <c r="MS8" s="265"/>
      <c r="MT8" s="267"/>
      <c r="MU8" s="265"/>
      <c r="MV8" s="267"/>
      <c r="MW8" s="267"/>
      <c r="MX8" s="269"/>
      <c r="MY8" s="267"/>
      <c r="MZ8" s="267"/>
      <c r="NA8" s="272"/>
      <c r="NB8" s="275"/>
      <c r="NC8" s="278"/>
      <c r="ND8" s="262"/>
      <c r="NE8" s="265"/>
      <c r="NF8" s="267"/>
      <c r="NG8" s="267"/>
      <c r="NH8" s="269"/>
      <c r="NI8" s="265"/>
      <c r="NJ8" s="265"/>
      <c r="NK8" s="265"/>
      <c r="NL8" s="267"/>
      <c r="NM8" s="265"/>
      <c r="NN8" s="267"/>
      <c r="NO8" s="267"/>
      <c r="NP8" s="269"/>
      <c r="NQ8" s="267"/>
      <c r="NR8" s="267"/>
      <c r="NS8" s="272"/>
      <c r="NT8" s="275"/>
      <c r="NU8" s="278"/>
      <c r="NV8" s="262"/>
      <c r="NW8" s="265"/>
      <c r="NX8" s="267"/>
      <c r="NY8" s="267"/>
      <c r="NZ8" s="269"/>
      <c r="OA8" s="265"/>
      <c r="OB8" s="265"/>
      <c r="OC8" s="265"/>
      <c r="OD8" s="267"/>
      <c r="OE8" s="265"/>
      <c r="OF8" s="267"/>
      <c r="OG8" s="267"/>
      <c r="OH8" s="269"/>
      <c r="OI8" s="267"/>
      <c r="OJ8" s="267"/>
      <c r="OK8" s="272"/>
      <c r="OL8" s="275"/>
      <c r="OM8" s="278"/>
      <c r="ON8" s="262"/>
      <c r="OO8" s="265"/>
      <c r="OP8" s="267"/>
      <c r="OQ8" s="267"/>
      <c r="OR8" s="269"/>
      <c r="OS8" s="265"/>
      <c r="OT8" s="265"/>
      <c r="OU8" s="265"/>
      <c r="OV8" s="267"/>
      <c r="OW8" s="265"/>
      <c r="OX8" s="267"/>
      <c r="OY8" s="267"/>
      <c r="OZ8" s="269"/>
      <c r="PA8" s="267"/>
      <c r="PB8" s="267"/>
      <c r="PC8" s="272"/>
      <c r="PD8" s="275"/>
      <c r="PE8" s="278"/>
      <c r="PF8" s="262"/>
      <c r="PG8" s="265"/>
      <c r="PH8" s="267"/>
      <c r="PI8" s="267"/>
      <c r="PJ8" s="269"/>
      <c r="PK8" s="265"/>
      <c r="PL8" s="265"/>
      <c r="PM8" s="265"/>
      <c r="PN8" s="267"/>
      <c r="PO8" s="265"/>
      <c r="PP8" s="267"/>
      <c r="PQ8" s="267"/>
      <c r="PR8" s="269"/>
      <c r="PS8" s="267"/>
      <c r="PT8" s="267"/>
      <c r="PU8" s="272"/>
      <c r="PV8" s="275"/>
      <c r="PW8" s="278"/>
      <c r="PX8" s="262"/>
      <c r="PY8" s="265"/>
      <c r="PZ8" s="267"/>
      <c r="QA8" s="267"/>
      <c r="QB8" s="269"/>
      <c r="QC8" s="265"/>
      <c r="QD8" s="265"/>
      <c r="QE8" s="265"/>
      <c r="QF8" s="267"/>
      <c r="QG8" s="265"/>
      <c r="QH8" s="267"/>
      <c r="QI8" s="267"/>
      <c r="QJ8" s="269"/>
      <c r="QK8" s="267"/>
      <c r="QL8" s="267"/>
      <c r="QM8" s="272"/>
      <c r="QN8" s="275"/>
      <c r="QO8" s="278"/>
      <c r="QP8" s="262"/>
      <c r="QQ8" s="265"/>
      <c r="QR8" s="267"/>
      <c r="QS8" s="267"/>
      <c r="QT8" s="269"/>
      <c r="QU8" s="265"/>
      <c r="QV8" s="265"/>
      <c r="QW8" s="265"/>
      <c r="QX8" s="267"/>
      <c r="QY8" s="265"/>
      <c r="QZ8" s="267"/>
      <c r="RA8" s="267"/>
      <c r="RB8" s="269"/>
      <c r="RC8" s="267"/>
      <c r="RD8" s="267"/>
      <c r="RE8" s="272"/>
      <c r="RF8" s="275"/>
      <c r="RG8" s="278"/>
      <c r="RH8" s="262"/>
      <c r="RI8" s="265"/>
      <c r="RJ8" s="267"/>
      <c r="RK8" s="267"/>
      <c r="RL8" s="269"/>
      <c r="RM8" s="265"/>
      <c r="RN8" s="265"/>
      <c r="RO8" s="265"/>
      <c r="RP8" s="267"/>
      <c r="RQ8" s="265"/>
      <c r="RR8" s="267"/>
      <c r="RS8" s="267"/>
      <c r="RT8" s="269"/>
      <c r="RU8" s="267"/>
      <c r="RV8" s="267"/>
      <c r="RW8" s="272"/>
      <c r="RX8" s="275"/>
      <c r="RY8" s="278"/>
      <c r="RZ8" s="262"/>
      <c r="SA8" s="265"/>
      <c r="SB8" s="267"/>
      <c r="SC8" s="267"/>
      <c r="SD8" s="269"/>
      <c r="SE8" s="265"/>
      <c r="SF8" s="265"/>
      <c r="SG8" s="265"/>
      <c r="SH8" s="267"/>
      <c r="SI8" s="265"/>
      <c r="SJ8" s="267"/>
      <c r="SK8" s="267"/>
      <c r="SL8" s="269"/>
      <c r="SM8" s="267"/>
      <c r="SN8" s="267"/>
      <c r="SO8" s="272"/>
      <c r="SP8" s="275"/>
      <c r="SQ8" s="278"/>
      <c r="SR8" s="262"/>
      <c r="SS8" s="265"/>
      <c r="ST8" s="267"/>
      <c r="SU8" s="267"/>
      <c r="SV8" s="269"/>
      <c r="SW8" s="265"/>
      <c r="SX8" s="265"/>
      <c r="SY8" s="265"/>
      <c r="SZ8" s="267"/>
      <c r="TA8" s="265"/>
      <c r="TB8" s="267"/>
      <c r="TC8" s="267"/>
      <c r="TD8" s="269"/>
      <c r="TE8" s="267"/>
      <c r="TF8" s="267"/>
      <c r="TG8" s="272"/>
      <c r="TH8" s="275"/>
      <c r="TI8" s="278"/>
      <c r="TJ8" s="262"/>
      <c r="TK8" s="265"/>
      <c r="TL8" s="267"/>
      <c r="TM8" s="267"/>
      <c r="TN8" s="269"/>
      <c r="TO8" s="265"/>
      <c r="TP8" s="265"/>
      <c r="TQ8" s="265"/>
      <c r="TR8" s="267"/>
      <c r="TS8" s="265"/>
      <c r="TT8" s="267"/>
      <c r="TU8" s="267"/>
      <c r="TV8" s="269"/>
      <c r="TW8" s="267"/>
      <c r="TX8" s="267"/>
      <c r="TY8" s="272"/>
      <c r="TZ8" s="275"/>
      <c r="UA8" s="278"/>
      <c r="UB8" s="262"/>
      <c r="UC8" s="265"/>
      <c r="UD8" s="267"/>
      <c r="UE8" s="267"/>
      <c r="UF8" s="269"/>
      <c r="UG8" s="265"/>
      <c r="UH8" s="265"/>
      <c r="UI8" s="265"/>
      <c r="UJ8" s="267"/>
      <c r="UK8" s="265"/>
      <c r="UL8" s="267"/>
      <c r="UM8" s="267"/>
      <c r="UN8" s="269"/>
      <c r="UO8" s="267"/>
      <c r="UP8" s="267"/>
      <c r="UQ8" s="272"/>
      <c r="UR8" s="275"/>
      <c r="US8" s="278"/>
    </row>
    <row r="9" spans="1:565" ht="15.6" x14ac:dyDescent="0.3">
      <c r="B9" s="287"/>
      <c r="C9" s="290"/>
      <c r="D9" s="164"/>
      <c r="E9" s="143"/>
      <c r="F9" s="267"/>
      <c r="G9" s="267"/>
      <c r="H9" s="262"/>
      <c r="I9" s="265"/>
      <c r="J9" s="267"/>
      <c r="K9" s="267"/>
      <c r="L9" s="269"/>
      <c r="M9" s="265"/>
      <c r="N9" s="265"/>
      <c r="O9" s="265"/>
      <c r="P9" s="267"/>
      <c r="Q9" s="265"/>
      <c r="R9" s="267"/>
      <c r="S9" s="267"/>
      <c r="T9" s="269"/>
      <c r="U9" s="267"/>
      <c r="V9" s="267"/>
      <c r="W9" s="272"/>
      <c r="X9" s="275"/>
      <c r="Y9" s="278"/>
      <c r="Z9" s="262"/>
      <c r="AA9" s="265"/>
      <c r="AB9" s="267"/>
      <c r="AC9" s="267"/>
      <c r="AD9" s="269"/>
      <c r="AE9" s="265"/>
      <c r="AF9" s="265"/>
      <c r="AG9" s="265"/>
      <c r="AH9" s="267"/>
      <c r="AI9" s="265"/>
      <c r="AJ9" s="267"/>
      <c r="AK9" s="267"/>
      <c r="AL9" s="269"/>
      <c r="AM9" s="267"/>
      <c r="AN9" s="267"/>
      <c r="AO9" s="272"/>
      <c r="AP9" s="275"/>
      <c r="AQ9" s="278"/>
      <c r="AR9" s="262"/>
      <c r="AS9" s="265"/>
      <c r="AT9" s="267"/>
      <c r="AU9" s="267"/>
      <c r="AV9" s="269"/>
      <c r="AW9" s="265"/>
      <c r="AX9" s="265"/>
      <c r="AY9" s="265"/>
      <c r="AZ9" s="267"/>
      <c r="BA9" s="265"/>
      <c r="BB9" s="267"/>
      <c r="BC9" s="267"/>
      <c r="BD9" s="269"/>
      <c r="BE9" s="267"/>
      <c r="BF9" s="267"/>
      <c r="BG9" s="272"/>
      <c r="BH9" s="275"/>
      <c r="BI9" s="278"/>
      <c r="BJ9" s="262"/>
      <c r="BK9" s="265"/>
      <c r="BL9" s="267"/>
      <c r="BM9" s="267"/>
      <c r="BN9" s="269"/>
      <c r="BO9" s="265"/>
      <c r="BP9" s="265"/>
      <c r="BQ9" s="265"/>
      <c r="BR9" s="267"/>
      <c r="BS9" s="265"/>
      <c r="BT9" s="267"/>
      <c r="BU9" s="267"/>
      <c r="BV9" s="269"/>
      <c r="BW9" s="267"/>
      <c r="BX9" s="267"/>
      <c r="BY9" s="272"/>
      <c r="BZ9" s="275"/>
      <c r="CA9" s="278"/>
      <c r="CB9" s="262"/>
      <c r="CC9" s="265"/>
      <c r="CD9" s="267"/>
      <c r="CE9" s="267"/>
      <c r="CF9" s="269"/>
      <c r="CG9" s="265"/>
      <c r="CH9" s="265"/>
      <c r="CI9" s="265"/>
      <c r="CJ9" s="267"/>
      <c r="CK9" s="265"/>
      <c r="CL9" s="267"/>
      <c r="CM9" s="267"/>
      <c r="CN9" s="269"/>
      <c r="CO9" s="267"/>
      <c r="CP9" s="267"/>
      <c r="CQ9" s="272"/>
      <c r="CR9" s="275"/>
      <c r="CS9" s="278"/>
      <c r="CT9" s="262"/>
      <c r="CU9" s="265"/>
      <c r="CV9" s="267"/>
      <c r="CW9" s="267"/>
      <c r="CX9" s="269"/>
      <c r="CY9" s="265"/>
      <c r="CZ9" s="265"/>
      <c r="DA9" s="265"/>
      <c r="DB9" s="267"/>
      <c r="DC9" s="265"/>
      <c r="DD9" s="267"/>
      <c r="DE9" s="267"/>
      <c r="DF9" s="269"/>
      <c r="DG9" s="267"/>
      <c r="DH9" s="267"/>
      <c r="DI9" s="272"/>
      <c r="DJ9" s="275"/>
      <c r="DK9" s="278"/>
      <c r="DL9" s="262"/>
      <c r="DM9" s="265"/>
      <c r="DN9" s="267"/>
      <c r="DO9" s="267"/>
      <c r="DP9" s="269"/>
      <c r="DQ9" s="265"/>
      <c r="DR9" s="265"/>
      <c r="DS9" s="265"/>
      <c r="DT9" s="267"/>
      <c r="DU9" s="265"/>
      <c r="DV9" s="267"/>
      <c r="DW9" s="267"/>
      <c r="DX9" s="269"/>
      <c r="DY9" s="267"/>
      <c r="DZ9" s="267"/>
      <c r="EA9" s="272"/>
      <c r="EB9" s="275"/>
      <c r="EC9" s="278"/>
      <c r="ED9" s="262"/>
      <c r="EE9" s="265"/>
      <c r="EF9" s="267"/>
      <c r="EG9" s="267"/>
      <c r="EH9" s="269"/>
      <c r="EI9" s="265"/>
      <c r="EJ9" s="265"/>
      <c r="EK9" s="265"/>
      <c r="EL9" s="267"/>
      <c r="EM9" s="265"/>
      <c r="EN9" s="267"/>
      <c r="EO9" s="267"/>
      <c r="EP9" s="269"/>
      <c r="EQ9" s="267"/>
      <c r="ER9" s="267"/>
      <c r="ES9" s="272"/>
      <c r="ET9" s="275"/>
      <c r="EU9" s="278"/>
      <c r="EV9" s="262"/>
      <c r="EW9" s="265"/>
      <c r="EX9" s="267"/>
      <c r="EY9" s="267"/>
      <c r="EZ9" s="269"/>
      <c r="FA9" s="265"/>
      <c r="FB9" s="265"/>
      <c r="FC9" s="265"/>
      <c r="FD9" s="267"/>
      <c r="FE9" s="265"/>
      <c r="FF9" s="267"/>
      <c r="FG9" s="267"/>
      <c r="FH9" s="269"/>
      <c r="FI9" s="267"/>
      <c r="FJ9" s="267"/>
      <c r="FK9" s="272"/>
      <c r="FL9" s="275"/>
      <c r="FM9" s="278"/>
      <c r="FN9" s="262"/>
      <c r="FO9" s="265"/>
      <c r="FP9" s="267"/>
      <c r="FQ9" s="267"/>
      <c r="FR9" s="269"/>
      <c r="FS9" s="265"/>
      <c r="FT9" s="265"/>
      <c r="FU9" s="265"/>
      <c r="FV9" s="267"/>
      <c r="FW9" s="265"/>
      <c r="FX9" s="267"/>
      <c r="FY9" s="267"/>
      <c r="FZ9" s="269"/>
      <c r="GA9" s="267"/>
      <c r="GB9" s="267"/>
      <c r="GC9" s="272"/>
      <c r="GD9" s="275"/>
      <c r="GE9" s="278"/>
      <c r="GF9" s="262"/>
      <c r="GG9" s="265"/>
      <c r="GH9" s="267"/>
      <c r="GI9" s="267"/>
      <c r="GJ9" s="269"/>
      <c r="GK9" s="265"/>
      <c r="GL9" s="265"/>
      <c r="GM9" s="265"/>
      <c r="GN9" s="267"/>
      <c r="GO9" s="265"/>
      <c r="GP9" s="267"/>
      <c r="GQ9" s="267"/>
      <c r="GR9" s="269"/>
      <c r="GS9" s="267"/>
      <c r="GT9" s="267"/>
      <c r="GU9" s="272"/>
      <c r="GV9" s="275"/>
      <c r="GW9" s="278"/>
      <c r="GX9" s="262"/>
      <c r="GY9" s="265"/>
      <c r="GZ9" s="267"/>
      <c r="HA9" s="267"/>
      <c r="HB9" s="269"/>
      <c r="HC9" s="265"/>
      <c r="HD9" s="265"/>
      <c r="HE9" s="265"/>
      <c r="HF9" s="267"/>
      <c r="HG9" s="265"/>
      <c r="HH9" s="267"/>
      <c r="HI9" s="267"/>
      <c r="HJ9" s="269"/>
      <c r="HK9" s="267"/>
      <c r="HL9" s="267"/>
      <c r="HM9" s="272"/>
      <c r="HN9" s="275"/>
      <c r="HO9" s="278"/>
      <c r="HP9" s="262"/>
      <c r="HQ9" s="265"/>
      <c r="HR9" s="267"/>
      <c r="HS9" s="267"/>
      <c r="HT9" s="269"/>
      <c r="HU9" s="265"/>
      <c r="HV9" s="265"/>
      <c r="HW9" s="265"/>
      <c r="HX9" s="267"/>
      <c r="HY9" s="265"/>
      <c r="HZ9" s="267"/>
      <c r="IA9" s="267"/>
      <c r="IB9" s="269"/>
      <c r="IC9" s="267"/>
      <c r="ID9" s="267"/>
      <c r="IE9" s="272"/>
      <c r="IF9" s="275"/>
      <c r="IG9" s="278"/>
      <c r="IH9" s="262"/>
      <c r="II9" s="265"/>
      <c r="IJ9" s="267"/>
      <c r="IK9" s="267"/>
      <c r="IL9" s="269"/>
      <c r="IM9" s="265"/>
      <c r="IN9" s="265"/>
      <c r="IO9" s="265"/>
      <c r="IP9" s="267"/>
      <c r="IQ9" s="265"/>
      <c r="IR9" s="267"/>
      <c r="IS9" s="267"/>
      <c r="IT9" s="269"/>
      <c r="IU9" s="267"/>
      <c r="IV9" s="267"/>
      <c r="IW9" s="272"/>
      <c r="IX9" s="275"/>
      <c r="IY9" s="278"/>
      <c r="IZ9" s="262"/>
      <c r="JA9" s="265"/>
      <c r="JB9" s="267"/>
      <c r="JC9" s="267"/>
      <c r="JD9" s="269"/>
      <c r="JE9" s="265"/>
      <c r="JF9" s="265"/>
      <c r="JG9" s="265"/>
      <c r="JH9" s="267"/>
      <c r="JI9" s="265"/>
      <c r="JJ9" s="267"/>
      <c r="JK9" s="267"/>
      <c r="JL9" s="269"/>
      <c r="JM9" s="267"/>
      <c r="JN9" s="267"/>
      <c r="JO9" s="272"/>
      <c r="JP9" s="275"/>
      <c r="JQ9" s="278"/>
      <c r="JR9" s="262"/>
      <c r="JS9" s="265"/>
      <c r="JT9" s="267"/>
      <c r="JU9" s="267"/>
      <c r="JV9" s="269"/>
      <c r="JW9" s="265"/>
      <c r="JX9" s="265"/>
      <c r="JY9" s="265"/>
      <c r="JZ9" s="267"/>
      <c r="KA9" s="265"/>
      <c r="KB9" s="267"/>
      <c r="KC9" s="267"/>
      <c r="KD9" s="269"/>
      <c r="KE9" s="267"/>
      <c r="KF9" s="267"/>
      <c r="KG9" s="272"/>
      <c r="KH9" s="275"/>
      <c r="KI9" s="278"/>
      <c r="KJ9" s="262"/>
      <c r="KK9" s="265"/>
      <c r="KL9" s="267"/>
      <c r="KM9" s="267"/>
      <c r="KN9" s="269"/>
      <c r="KO9" s="265"/>
      <c r="KP9" s="265"/>
      <c r="KQ9" s="265"/>
      <c r="KR9" s="267"/>
      <c r="KS9" s="265"/>
      <c r="KT9" s="267"/>
      <c r="KU9" s="267"/>
      <c r="KV9" s="269"/>
      <c r="KW9" s="267"/>
      <c r="KX9" s="267"/>
      <c r="KY9" s="272"/>
      <c r="KZ9" s="275"/>
      <c r="LA9" s="278"/>
      <c r="LB9" s="262"/>
      <c r="LC9" s="265"/>
      <c r="LD9" s="267"/>
      <c r="LE9" s="267"/>
      <c r="LF9" s="269"/>
      <c r="LG9" s="265"/>
      <c r="LH9" s="265"/>
      <c r="LI9" s="265"/>
      <c r="LJ9" s="267"/>
      <c r="LK9" s="265"/>
      <c r="LL9" s="267"/>
      <c r="LM9" s="267"/>
      <c r="LN9" s="269"/>
      <c r="LO9" s="267"/>
      <c r="LP9" s="267"/>
      <c r="LQ9" s="272"/>
      <c r="LR9" s="275"/>
      <c r="LS9" s="278"/>
      <c r="LT9" s="262"/>
      <c r="LU9" s="265"/>
      <c r="LV9" s="267"/>
      <c r="LW9" s="267"/>
      <c r="LX9" s="269"/>
      <c r="LY9" s="265"/>
      <c r="LZ9" s="265"/>
      <c r="MA9" s="265"/>
      <c r="MB9" s="267"/>
      <c r="MC9" s="265"/>
      <c r="MD9" s="267"/>
      <c r="ME9" s="267"/>
      <c r="MF9" s="269"/>
      <c r="MG9" s="267"/>
      <c r="MH9" s="267"/>
      <c r="MI9" s="272"/>
      <c r="MJ9" s="275"/>
      <c r="MK9" s="278"/>
      <c r="ML9" s="262"/>
      <c r="MM9" s="265"/>
      <c r="MN9" s="267"/>
      <c r="MO9" s="267"/>
      <c r="MP9" s="269"/>
      <c r="MQ9" s="265"/>
      <c r="MR9" s="265"/>
      <c r="MS9" s="265"/>
      <c r="MT9" s="267"/>
      <c r="MU9" s="265"/>
      <c r="MV9" s="267"/>
      <c r="MW9" s="267"/>
      <c r="MX9" s="269"/>
      <c r="MY9" s="267"/>
      <c r="MZ9" s="267"/>
      <c r="NA9" s="272"/>
      <c r="NB9" s="275"/>
      <c r="NC9" s="278"/>
      <c r="ND9" s="262"/>
      <c r="NE9" s="265"/>
      <c r="NF9" s="267"/>
      <c r="NG9" s="267"/>
      <c r="NH9" s="269"/>
      <c r="NI9" s="265"/>
      <c r="NJ9" s="265"/>
      <c r="NK9" s="265"/>
      <c r="NL9" s="267"/>
      <c r="NM9" s="265"/>
      <c r="NN9" s="267"/>
      <c r="NO9" s="267"/>
      <c r="NP9" s="269"/>
      <c r="NQ9" s="267"/>
      <c r="NR9" s="267"/>
      <c r="NS9" s="272"/>
      <c r="NT9" s="275"/>
      <c r="NU9" s="278"/>
      <c r="NV9" s="262"/>
      <c r="NW9" s="265"/>
      <c r="NX9" s="267"/>
      <c r="NY9" s="267"/>
      <c r="NZ9" s="269"/>
      <c r="OA9" s="265"/>
      <c r="OB9" s="265"/>
      <c r="OC9" s="265"/>
      <c r="OD9" s="267"/>
      <c r="OE9" s="265"/>
      <c r="OF9" s="267"/>
      <c r="OG9" s="267"/>
      <c r="OH9" s="269"/>
      <c r="OI9" s="267"/>
      <c r="OJ9" s="267"/>
      <c r="OK9" s="272"/>
      <c r="OL9" s="275"/>
      <c r="OM9" s="278"/>
      <c r="ON9" s="262"/>
      <c r="OO9" s="265"/>
      <c r="OP9" s="267"/>
      <c r="OQ9" s="267"/>
      <c r="OR9" s="269"/>
      <c r="OS9" s="265"/>
      <c r="OT9" s="265"/>
      <c r="OU9" s="265"/>
      <c r="OV9" s="267"/>
      <c r="OW9" s="265"/>
      <c r="OX9" s="267"/>
      <c r="OY9" s="267"/>
      <c r="OZ9" s="269"/>
      <c r="PA9" s="267"/>
      <c r="PB9" s="267"/>
      <c r="PC9" s="272"/>
      <c r="PD9" s="275"/>
      <c r="PE9" s="278"/>
      <c r="PF9" s="262"/>
      <c r="PG9" s="265"/>
      <c r="PH9" s="267"/>
      <c r="PI9" s="267"/>
      <c r="PJ9" s="269"/>
      <c r="PK9" s="265"/>
      <c r="PL9" s="265"/>
      <c r="PM9" s="265"/>
      <c r="PN9" s="267"/>
      <c r="PO9" s="265"/>
      <c r="PP9" s="267"/>
      <c r="PQ9" s="267"/>
      <c r="PR9" s="269"/>
      <c r="PS9" s="267"/>
      <c r="PT9" s="267"/>
      <c r="PU9" s="272"/>
      <c r="PV9" s="275"/>
      <c r="PW9" s="278"/>
      <c r="PX9" s="262"/>
      <c r="PY9" s="265"/>
      <c r="PZ9" s="267"/>
      <c r="QA9" s="267"/>
      <c r="QB9" s="269"/>
      <c r="QC9" s="265"/>
      <c r="QD9" s="265"/>
      <c r="QE9" s="265"/>
      <c r="QF9" s="267"/>
      <c r="QG9" s="265"/>
      <c r="QH9" s="267"/>
      <c r="QI9" s="267"/>
      <c r="QJ9" s="269"/>
      <c r="QK9" s="267"/>
      <c r="QL9" s="267"/>
      <c r="QM9" s="272"/>
      <c r="QN9" s="275"/>
      <c r="QO9" s="278"/>
      <c r="QP9" s="262"/>
      <c r="QQ9" s="265"/>
      <c r="QR9" s="267"/>
      <c r="QS9" s="267"/>
      <c r="QT9" s="269"/>
      <c r="QU9" s="265"/>
      <c r="QV9" s="265"/>
      <c r="QW9" s="265"/>
      <c r="QX9" s="267"/>
      <c r="QY9" s="265"/>
      <c r="QZ9" s="267"/>
      <c r="RA9" s="267"/>
      <c r="RB9" s="269"/>
      <c r="RC9" s="267"/>
      <c r="RD9" s="267"/>
      <c r="RE9" s="272"/>
      <c r="RF9" s="275"/>
      <c r="RG9" s="278"/>
      <c r="RH9" s="262"/>
      <c r="RI9" s="265"/>
      <c r="RJ9" s="267"/>
      <c r="RK9" s="267"/>
      <c r="RL9" s="269"/>
      <c r="RM9" s="265"/>
      <c r="RN9" s="265"/>
      <c r="RO9" s="265"/>
      <c r="RP9" s="267"/>
      <c r="RQ9" s="265"/>
      <c r="RR9" s="267"/>
      <c r="RS9" s="267"/>
      <c r="RT9" s="269"/>
      <c r="RU9" s="267"/>
      <c r="RV9" s="267"/>
      <c r="RW9" s="272"/>
      <c r="RX9" s="275"/>
      <c r="RY9" s="278"/>
      <c r="RZ9" s="262"/>
      <c r="SA9" s="265"/>
      <c r="SB9" s="267"/>
      <c r="SC9" s="267"/>
      <c r="SD9" s="269"/>
      <c r="SE9" s="265"/>
      <c r="SF9" s="265"/>
      <c r="SG9" s="265"/>
      <c r="SH9" s="267"/>
      <c r="SI9" s="265"/>
      <c r="SJ9" s="267"/>
      <c r="SK9" s="267"/>
      <c r="SL9" s="269"/>
      <c r="SM9" s="267"/>
      <c r="SN9" s="267"/>
      <c r="SO9" s="272"/>
      <c r="SP9" s="275"/>
      <c r="SQ9" s="278"/>
      <c r="SR9" s="262"/>
      <c r="SS9" s="265"/>
      <c r="ST9" s="267"/>
      <c r="SU9" s="267"/>
      <c r="SV9" s="269"/>
      <c r="SW9" s="265"/>
      <c r="SX9" s="265"/>
      <c r="SY9" s="265"/>
      <c r="SZ9" s="267"/>
      <c r="TA9" s="265"/>
      <c r="TB9" s="267"/>
      <c r="TC9" s="267"/>
      <c r="TD9" s="269"/>
      <c r="TE9" s="267"/>
      <c r="TF9" s="267"/>
      <c r="TG9" s="272"/>
      <c r="TH9" s="275"/>
      <c r="TI9" s="278"/>
      <c r="TJ9" s="262"/>
      <c r="TK9" s="265"/>
      <c r="TL9" s="267"/>
      <c r="TM9" s="267"/>
      <c r="TN9" s="269"/>
      <c r="TO9" s="265"/>
      <c r="TP9" s="265"/>
      <c r="TQ9" s="265"/>
      <c r="TR9" s="267"/>
      <c r="TS9" s="265"/>
      <c r="TT9" s="267"/>
      <c r="TU9" s="267"/>
      <c r="TV9" s="269"/>
      <c r="TW9" s="267"/>
      <c r="TX9" s="267"/>
      <c r="TY9" s="272"/>
      <c r="TZ9" s="275"/>
      <c r="UA9" s="278"/>
      <c r="UB9" s="262"/>
      <c r="UC9" s="265"/>
      <c r="UD9" s="267"/>
      <c r="UE9" s="267"/>
      <c r="UF9" s="269"/>
      <c r="UG9" s="265"/>
      <c r="UH9" s="265"/>
      <c r="UI9" s="265"/>
      <c r="UJ9" s="267"/>
      <c r="UK9" s="265"/>
      <c r="UL9" s="267"/>
      <c r="UM9" s="267"/>
      <c r="UN9" s="269"/>
      <c r="UO9" s="267"/>
      <c r="UP9" s="267"/>
      <c r="UQ9" s="272"/>
      <c r="UR9" s="275"/>
      <c r="US9" s="278"/>
    </row>
    <row r="10" spans="1:565" ht="15.6" x14ac:dyDescent="0.3">
      <c r="B10" s="287"/>
      <c r="C10" s="290"/>
      <c r="D10" s="164"/>
      <c r="E10" s="143"/>
      <c r="F10" s="267"/>
      <c r="G10" s="267"/>
      <c r="H10" s="262"/>
      <c r="I10" s="265"/>
      <c r="J10" s="267"/>
      <c r="K10" s="267"/>
      <c r="L10" s="269"/>
      <c r="M10" s="265"/>
      <c r="N10" s="265"/>
      <c r="O10" s="265"/>
      <c r="P10" s="267"/>
      <c r="Q10" s="265"/>
      <c r="R10" s="267"/>
      <c r="S10" s="267"/>
      <c r="T10" s="269"/>
      <c r="U10" s="267"/>
      <c r="V10" s="267"/>
      <c r="W10" s="272"/>
      <c r="X10" s="275"/>
      <c r="Y10" s="278"/>
      <c r="Z10" s="262"/>
      <c r="AA10" s="265"/>
      <c r="AB10" s="267"/>
      <c r="AC10" s="267"/>
      <c r="AD10" s="269"/>
      <c r="AE10" s="265"/>
      <c r="AF10" s="265"/>
      <c r="AG10" s="265"/>
      <c r="AH10" s="267"/>
      <c r="AI10" s="265"/>
      <c r="AJ10" s="267"/>
      <c r="AK10" s="267"/>
      <c r="AL10" s="269"/>
      <c r="AM10" s="267"/>
      <c r="AN10" s="267"/>
      <c r="AO10" s="272"/>
      <c r="AP10" s="275"/>
      <c r="AQ10" s="278"/>
      <c r="AR10" s="262"/>
      <c r="AS10" s="265"/>
      <c r="AT10" s="267"/>
      <c r="AU10" s="267"/>
      <c r="AV10" s="269"/>
      <c r="AW10" s="265"/>
      <c r="AX10" s="265"/>
      <c r="AY10" s="265"/>
      <c r="AZ10" s="267"/>
      <c r="BA10" s="265"/>
      <c r="BB10" s="267"/>
      <c r="BC10" s="267"/>
      <c r="BD10" s="269"/>
      <c r="BE10" s="267"/>
      <c r="BF10" s="267"/>
      <c r="BG10" s="272"/>
      <c r="BH10" s="275"/>
      <c r="BI10" s="278"/>
      <c r="BJ10" s="262"/>
      <c r="BK10" s="265"/>
      <c r="BL10" s="267"/>
      <c r="BM10" s="267"/>
      <c r="BN10" s="269"/>
      <c r="BO10" s="265"/>
      <c r="BP10" s="265"/>
      <c r="BQ10" s="265"/>
      <c r="BR10" s="267"/>
      <c r="BS10" s="265"/>
      <c r="BT10" s="267"/>
      <c r="BU10" s="267"/>
      <c r="BV10" s="269"/>
      <c r="BW10" s="267"/>
      <c r="BX10" s="267"/>
      <c r="BY10" s="272"/>
      <c r="BZ10" s="275"/>
      <c r="CA10" s="278"/>
      <c r="CB10" s="262"/>
      <c r="CC10" s="265"/>
      <c r="CD10" s="267"/>
      <c r="CE10" s="267"/>
      <c r="CF10" s="269"/>
      <c r="CG10" s="265"/>
      <c r="CH10" s="265"/>
      <c r="CI10" s="265"/>
      <c r="CJ10" s="267"/>
      <c r="CK10" s="265"/>
      <c r="CL10" s="267"/>
      <c r="CM10" s="267"/>
      <c r="CN10" s="269"/>
      <c r="CO10" s="267"/>
      <c r="CP10" s="267"/>
      <c r="CQ10" s="272"/>
      <c r="CR10" s="275"/>
      <c r="CS10" s="278"/>
      <c r="CT10" s="262"/>
      <c r="CU10" s="265"/>
      <c r="CV10" s="267"/>
      <c r="CW10" s="267"/>
      <c r="CX10" s="269"/>
      <c r="CY10" s="265"/>
      <c r="CZ10" s="265"/>
      <c r="DA10" s="265"/>
      <c r="DB10" s="267"/>
      <c r="DC10" s="265"/>
      <c r="DD10" s="267"/>
      <c r="DE10" s="267"/>
      <c r="DF10" s="269"/>
      <c r="DG10" s="267"/>
      <c r="DH10" s="267"/>
      <c r="DI10" s="272"/>
      <c r="DJ10" s="275"/>
      <c r="DK10" s="278"/>
      <c r="DL10" s="262"/>
      <c r="DM10" s="265"/>
      <c r="DN10" s="267"/>
      <c r="DO10" s="267"/>
      <c r="DP10" s="269"/>
      <c r="DQ10" s="265"/>
      <c r="DR10" s="265"/>
      <c r="DS10" s="265"/>
      <c r="DT10" s="267"/>
      <c r="DU10" s="265"/>
      <c r="DV10" s="267"/>
      <c r="DW10" s="267"/>
      <c r="DX10" s="269"/>
      <c r="DY10" s="267"/>
      <c r="DZ10" s="267"/>
      <c r="EA10" s="272"/>
      <c r="EB10" s="275"/>
      <c r="EC10" s="278"/>
      <c r="ED10" s="262"/>
      <c r="EE10" s="265"/>
      <c r="EF10" s="267"/>
      <c r="EG10" s="267"/>
      <c r="EH10" s="269"/>
      <c r="EI10" s="265"/>
      <c r="EJ10" s="265"/>
      <c r="EK10" s="265"/>
      <c r="EL10" s="267"/>
      <c r="EM10" s="265"/>
      <c r="EN10" s="267"/>
      <c r="EO10" s="267"/>
      <c r="EP10" s="269"/>
      <c r="EQ10" s="267"/>
      <c r="ER10" s="267"/>
      <c r="ES10" s="272"/>
      <c r="ET10" s="275"/>
      <c r="EU10" s="278"/>
      <c r="EV10" s="262"/>
      <c r="EW10" s="265"/>
      <c r="EX10" s="267"/>
      <c r="EY10" s="267"/>
      <c r="EZ10" s="269"/>
      <c r="FA10" s="265"/>
      <c r="FB10" s="265"/>
      <c r="FC10" s="265"/>
      <c r="FD10" s="267"/>
      <c r="FE10" s="265"/>
      <c r="FF10" s="267"/>
      <c r="FG10" s="267"/>
      <c r="FH10" s="269"/>
      <c r="FI10" s="267"/>
      <c r="FJ10" s="267"/>
      <c r="FK10" s="272"/>
      <c r="FL10" s="275"/>
      <c r="FM10" s="278"/>
      <c r="FN10" s="262"/>
      <c r="FO10" s="265"/>
      <c r="FP10" s="267"/>
      <c r="FQ10" s="267"/>
      <c r="FR10" s="269"/>
      <c r="FS10" s="265"/>
      <c r="FT10" s="265"/>
      <c r="FU10" s="265"/>
      <c r="FV10" s="267"/>
      <c r="FW10" s="265"/>
      <c r="FX10" s="267"/>
      <c r="FY10" s="267"/>
      <c r="FZ10" s="269"/>
      <c r="GA10" s="267"/>
      <c r="GB10" s="267"/>
      <c r="GC10" s="272"/>
      <c r="GD10" s="275"/>
      <c r="GE10" s="278"/>
      <c r="GF10" s="262"/>
      <c r="GG10" s="265"/>
      <c r="GH10" s="267"/>
      <c r="GI10" s="267"/>
      <c r="GJ10" s="269"/>
      <c r="GK10" s="265"/>
      <c r="GL10" s="265"/>
      <c r="GM10" s="265"/>
      <c r="GN10" s="267"/>
      <c r="GO10" s="265"/>
      <c r="GP10" s="267"/>
      <c r="GQ10" s="267"/>
      <c r="GR10" s="269"/>
      <c r="GS10" s="267"/>
      <c r="GT10" s="267"/>
      <c r="GU10" s="272"/>
      <c r="GV10" s="275"/>
      <c r="GW10" s="278"/>
      <c r="GX10" s="262"/>
      <c r="GY10" s="265"/>
      <c r="GZ10" s="267"/>
      <c r="HA10" s="267"/>
      <c r="HB10" s="269"/>
      <c r="HC10" s="265"/>
      <c r="HD10" s="265"/>
      <c r="HE10" s="265"/>
      <c r="HF10" s="267"/>
      <c r="HG10" s="265"/>
      <c r="HH10" s="267"/>
      <c r="HI10" s="267"/>
      <c r="HJ10" s="269"/>
      <c r="HK10" s="267"/>
      <c r="HL10" s="267"/>
      <c r="HM10" s="272"/>
      <c r="HN10" s="275"/>
      <c r="HO10" s="278"/>
      <c r="HP10" s="262"/>
      <c r="HQ10" s="265"/>
      <c r="HR10" s="267"/>
      <c r="HS10" s="267"/>
      <c r="HT10" s="269"/>
      <c r="HU10" s="265"/>
      <c r="HV10" s="265"/>
      <c r="HW10" s="265"/>
      <c r="HX10" s="267"/>
      <c r="HY10" s="265"/>
      <c r="HZ10" s="267"/>
      <c r="IA10" s="267"/>
      <c r="IB10" s="269"/>
      <c r="IC10" s="267"/>
      <c r="ID10" s="267"/>
      <c r="IE10" s="272"/>
      <c r="IF10" s="275"/>
      <c r="IG10" s="278"/>
      <c r="IH10" s="262"/>
      <c r="II10" s="265"/>
      <c r="IJ10" s="267"/>
      <c r="IK10" s="267"/>
      <c r="IL10" s="269"/>
      <c r="IM10" s="265"/>
      <c r="IN10" s="265"/>
      <c r="IO10" s="265"/>
      <c r="IP10" s="267"/>
      <c r="IQ10" s="265"/>
      <c r="IR10" s="267"/>
      <c r="IS10" s="267"/>
      <c r="IT10" s="269"/>
      <c r="IU10" s="267"/>
      <c r="IV10" s="267"/>
      <c r="IW10" s="272"/>
      <c r="IX10" s="275"/>
      <c r="IY10" s="278"/>
      <c r="IZ10" s="262"/>
      <c r="JA10" s="265"/>
      <c r="JB10" s="267"/>
      <c r="JC10" s="267"/>
      <c r="JD10" s="269"/>
      <c r="JE10" s="265"/>
      <c r="JF10" s="265"/>
      <c r="JG10" s="265"/>
      <c r="JH10" s="267"/>
      <c r="JI10" s="265"/>
      <c r="JJ10" s="267"/>
      <c r="JK10" s="267"/>
      <c r="JL10" s="269"/>
      <c r="JM10" s="267"/>
      <c r="JN10" s="267"/>
      <c r="JO10" s="272"/>
      <c r="JP10" s="275"/>
      <c r="JQ10" s="278"/>
      <c r="JR10" s="262"/>
      <c r="JS10" s="265"/>
      <c r="JT10" s="267"/>
      <c r="JU10" s="267"/>
      <c r="JV10" s="269"/>
      <c r="JW10" s="265"/>
      <c r="JX10" s="265"/>
      <c r="JY10" s="265"/>
      <c r="JZ10" s="267"/>
      <c r="KA10" s="265"/>
      <c r="KB10" s="267"/>
      <c r="KC10" s="267"/>
      <c r="KD10" s="269"/>
      <c r="KE10" s="267"/>
      <c r="KF10" s="267"/>
      <c r="KG10" s="272"/>
      <c r="KH10" s="275"/>
      <c r="KI10" s="278"/>
      <c r="KJ10" s="262"/>
      <c r="KK10" s="265"/>
      <c r="KL10" s="267"/>
      <c r="KM10" s="267"/>
      <c r="KN10" s="269"/>
      <c r="KO10" s="265"/>
      <c r="KP10" s="265"/>
      <c r="KQ10" s="265"/>
      <c r="KR10" s="267"/>
      <c r="KS10" s="265"/>
      <c r="KT10" s="267"/>
      <c r="KU10" s="267"/>
      <c r="KV10" s="269"/>
      <c r="KW10" s="267"/>
      <c r="KX10" s="267"/>
      <c r="KY10" s="272"/>
      <c r="KZ10" s="275"/>
      <c r="LA10" s="278"/>
      <c r="LB10" s="262"/>
      <c r="LC10" s="265"/>
      <c r="LD10" s="267"/>
      <c r="LE10" s="267"/>
      <c r="LF10" s="269"/>
      <c r="LG10" s="265"/>
      <c r="LH10" s="265"/>
      <c r="LI10" s="265"/>
      <c r="LJ10" s="267"/>
      <c r="LK10" s="265"/>
      <c r="LL10" s="267"/>
      <c r="LM10" s="267"/>
      <c r="LN10" s="269"/>
      <c r="LO10" s="267"/>
      <c r="LP10" s="267"/>
      <c r="LQ10" s="272"/>
      <c r="LR10" s="275"/>
      <c r="LS10" s="278"/>
      <c r="LT10" s="262"/>
      <c r="LU10" s="265"/>
      <c r="LV10" s="267"/>
      <c r="LW10" s="267"/>
      <c r="LX10" s="269"/>
      <c r="LY10" s="265"/>
      <c r="LZ10" s="265"/>
      <c r="MA10" s="265"/>
      <c r="MB10" s="267"/>
      <c r="MC10" s="265"/>
      <c r="MD10" s="267"/>
      <c r="ME10" s="267"/>
      <c r="MF10" s="269"/>
      <c r="MG10" s="267"/>
      <c r="MH10" s="267"/>
      <c r="MI10" s="272"/>
      <c r="MJ10" s="275"/>
      <c r="MK10" s="278"/>
      <c r="ML10" s="262"/>
      <c r="MM10" s="265"/>
      <c r="MN10" s="267"/>
      <c r="MO10" s="267"/>
      <c r="MP10" s="269"/>
      <c r="MQ10" s="265"/>
      <c r="MR10" s="265"/>
      <c r="MS10" s="265"/>
      <c r="MT10" s="267"/>
      <c r="MU10" s="265"/>
      <c r="MV10" s="267"/>
      <c r="MW10" s="267"/>
      <c r="MX10" s="269"/>
      <c r="MY10" s="267"/>
      <c r="MZ10" s="267"/>
      <c r="NA10" s="272"/>
      <c r="NB10" s="275"/>
      <c r="NC10" s="278"/>
      <c r="ND10" s="262"/>
      <c r="NE10" s="265"/>
      <c r="NF10" s="267"/>
      <c r="NG10" s="267"/>
      <c r="NH10" s="269"/>
      <c r="NI10" s="265"/>
      <c r="NJ10" s="265"/>
      <c r="NK10" s="265"/>
      <c r="NL10" s="267"/>
      <c r="NM10" s="265"/>
      <c r="NN10" s="267"/>
      <c r="NO10" s="267"/>
      <c r="NP10" s="269"/>
      <c r="NQ10" s="267"/>
      <c r="NR10" s="267"/>
      <c r="NS10" s="272"/>
      <c r="NT10" s="275"/>
      <c r="NU10" s="278"/>
      <c r="NV10" s="262"/>
      <c r="NW10" s="265"/>
      <c r="NX10" s="267"/>
      <c r="NY10" s="267"/>
      <c r="NZ10" s="269"/>
      <c r="OA10" s="265"/>
      <c r="OB10" s="265"/>
      <c r="OC10" s="265"/>
      <c r="OD10" s="267"/>
      <c r="OE10" s="265"/>
      <c r="OF10" s="267"/>
      <c r="OG10" s="267"/>
      <c r="OH10" s="269"/>
      <c r="OI10" s="267"/>
      <c r="OJ10" s="267"/>
      <c r="OK10" s="272"/>
      <c r="OL10" s="275"/>
      <c r="OM10" s="278"/>
      <c r="ON10" s="262"/>
      <c r="OO10" s="265"/>
      <c r="OP10" s="267"/>
      <c r="OQ10" s="267"/>
      <c r="OR10" s="269"/>
      <c r="OS10" s="265"/>
      <c r="OT10" s="265"/>
      <c r="OU10" s="265"/>
      <c r="OV10" s="267"/>
      <c r="OW10" s="265"/>
      <c r="OX10" s="267"/>
      <c r="OY10" s="267"/>
      <c r="OZ10" s="269"/>
      <c r="PA10" s="267"/>
      <c r="PB10" s="267"/>
      <c r="PC10" s="272"/>
      <c r="PD10" s="275"/>
      <c r="PE10" s="278"/>
      <c r="PF10" s="262"/>
      <c r="PG10" s="265"/>
      <c r="PH10" s="267"/>
      <c r="PI10" s="267"/>
      <c r="PJ10" s="269"/>
      <c r="PK10" s="265"/>
      <c r="PL10" s="265"/>
      <c r="PM10" s="265"/>
      <c r="PN10" s="267"/>
      <c r="PO10" s="265"/>
      <c r="PP10" s="267"/>
      <c r="PQ10" s="267"/>
      <c r="PR10" s="269"/>
      <c r="PS10" s="267"/>
      <c r="PT10" s="267"/>
      <c r="PU10" s="272"/>
      <c r="PV10" s="275"/>
      <c r="PW10" s="278"/>
      <c r="PX10" s="262"/>
      <c r="PY10" s="265"/>
      <c r="PZ10" s="267"/>
      <c r="QA10" s="267"/>
      <c r="QB10" s="269"/>
      <c r="QC10" s="265"/>
      <c r="QD10" s="265"/>
      <c r="QE10" s="265"/>
      <c r="QF10" s="267"/>
      <c r="QG10" s="265"/>
      <c r="QH10" s="267"/>
      <c r="QI10" s="267"/>
      <c r="QJ10" s="269"/>
      <c r="QK10" s="267"/>
      <c r="QL10" s="267"/>
      <c r="QM10" s="272"/>
      <c r="QN10" s="275"/>
      <c r="QO10" s="278"/>
      <c r="QP10" s="262"/>
      <c r="QQ10" s="265"/>
      <c r="QR10" s="267"/>
      <c r="QS10" s="267"/>
      <c r="QT10" s="269"/>
      <c r="QU10" s="265"/>
      <c r="QV10" s="265"/>
      <c r="QW10" s="265"/>
      <c r="QX10" s="267"/>
      <c r="QY10" s="265"/>
      <c r="QZ10" s="267"/>
      <c r="RA10" s="267"/>
      <c r="RB10" s="269"/>
      <c r="RC10" s="267"/>
      <c r="RD10" s="267"/>
      <c r="RE10" s="272"/>
      <c r="RF10" s="275"/>
      <c r="RG10" s="278"/>
      <c r="RH10" s="262"/>
      <c r="RI10" s="265"/>
      <c r="RJ10" s="267"/>
      <c r="RK10" s="267"/>
      <c r="RL10" s="269"/>
      <c r="RM10" s="265"/>
      <c r="RN10" s="265"/>
      <c r="RO10" s="265"/>
      <c r="RP10" s="267"/>
      <c r="RQ10" s="265"/>
      <c r="RR10" s="267"/>
      <c r="RS10" s="267"/>
      <c r="RT10" s="269"/>
      <c r="RU10" s="267"/>
      <c r="RV10" s="267"/>
      <c r="RW10" s="272"/>
      <c r="RX10" s="275"/>
      <c r="RY10" s="278"/>
      <c r="RZ10" s="262"/>
      <c r="SA10" s="265"/>
      <c r="SB10" s="267"/>
      <c r="SC10" s="267"/>
      <c r="SD10" s="269"/>
      <c r="SE10" s="265"/>
      <c r="SF10" s="265"/>
      <c r="SG10" s="265"/>
      <c r="SH10" s="267"/>
      <c r="SI10" s="265"/>
      <c r="SJ10" s="267"/>
      <c r="SK10" s="267"/>
      <c r="SL10" s="269"/>
      <c r="SM10" s="267"/>
      <c r="SN10" s="267"/>
      <c r="SO10" s="272"/>
      <c r="SP10" s="275"/>
      <c r="SQ10" s="278"/>
      <c r="SR10" s="262"/>
      <c r="SS10" s="265"/>
      <c r="ST10" s="267"/>
      <c r="SU10" s="267"/>
      <c r="SV10" s="269"/>
      <c r="SW10" s="265"/>
      <c r="SX10" s="265"/>
      <c r="SY10" s="265"/>
      <c r="SZ10" s="267"/>
      <c r="TA10" s="265"/>
      <c r="TB10" s="267"/>
      <c r="TC10" s="267"/>
      <c r="TD10" s="269"/>
      <c r="TE10" s="267"/>
      <c r="TF10" s="267"/>
      <c r="TG10" s="272"/>
      <c r="TH10" s="275"/>
      <c r="TI10" s="278"/>
      <c r="TJ10" s="262"/>
      <c r="TK10" s="265"/>
      <c r="TL10" s="267"/>
      <c r="TM10" s="267"/>
      <c r="TN10" s="269"/>
      <c r="TO10" s="265"/>
      <c r="TP10" s="265"/>
      <c r="TQ10" s="265"/>
      <c r="TR10" s="267"/>
      <c r="TS10" s="265"/>
      <c r="TT10" s="267"/>
      <c r="TU10" s="267"/>
      <c r="TV10" s="269"/>
      <c r="TW10" s="267"/>
      <c r="TX10" s="267"/>
      <c r="TY10" s="272"/>
      <c r="TZ10" s="275"/>
      <c r="UA10" s="278"/>
      <c r="UB10" s="262"/>
      <c r="UC10" s="265"/>
      <c r="UD10" s="267"/>
      <c r="UE10" s="267"/>
      <c r="UF10" s="269"/>
      <c r="UG10" s="265"/>
      <c r="UH10" s="265"/>
      <c r="UI10" s="265"/>
      <c r="UJ10" s="267"/>
      <c r="UK10" s="265"/>
      <c r="UL10" s="267"/>
      <c r="UM10" s="267"/>
      <c r="UN10" s="269"/>
      <c r="UO10" s="267"/>
      <c r="UP10" s="267"/>
      <c r="UQ10" s="272"/>
      <c r="UR10" s="275"/>
      <c r="US10" s="278"/>
    </row>
    <row r="11" spans="1:565" ht="16.2" thickBot="1" x14ac:dyDescent="0.35">
      <c r="B11" s="287"/>
      <c r="C11" s="290"/>
      <c r="D11" s="164"/>
      <c r="E11" s="143"/>
      <c r="F11" s="267"/>
      <c r="G11" s="267"/>
      <c r="H11" s="262"/>
      <c r="I11" s="265"/>
      <c r="J11" s="267"/>
      <c r="K11" s="267"/>
      <c r="L11" s="269"/>
      <c r="M11" s="265"/>
      <c r="N11" s="265"/>
      <c r="O11" s="265"/>
      <c r="P11" s="267"/>
      <c r="Q11" s="265"/>
      <c r="R11" s="267"/>
      <c r="S11" s="267"/>
      <c r="T11" s="269"/>
      <c r="U11" s="267"/>
      <c r="V11" s="267"/>
      <c r="W11" s="272"/>
      <c r="X11" s="275"/>
      <c r="Y11" s="278"/>
      <c r="Z11" s="262"/>
      <c r="AA11" s="265"/>
      <c r="AB11" s="267"/>
      <c r="AC11" s="267"/>
      <c r="AD11" s="269"/>
      <c r="AE11" s="265"/>
      <c r="AF11" s="265"/>
      <c r="AG11" s="265"/>
      <c r="AH11" s="267"/>
      <c r="AI11" s="265"/>
      <c r="AJ11" s="267"/>
      <c r="AK11" s="267"/>
      <c r="AL11" s="269"/>
      <c r="AM11" s="267"/>
      <c r="AN11" s="267"/>
      <c r="AO11" s="272"/>
      <c r="AP11" s="275"/>
      <c r="AQ11" s="278"/>
      <c r="AR11" s="262"/>
      <c r="AS11" s="265"/>
      <c r="AT11" s="267"/>
      <c r="AU11" s="267"/>
      <c r="AV11" s="269"/>
      <c r="AW11" s="265"/>
      <c r="AX11" s="265"/>
      <c r="AY11" s="265"/>
      <c r="AZ11" s="267"/>
      <c r="BA11" s="265"/>
      <c r="BB11" s="267"/>
      <c r="BC11" s="267"/>
      <c r="BD11" s="269"/>
      <c r="BE11" s="267"/>
      <c r="BF11" s="267"/>
      <c r="BG11" s="272"/>
      <c r="BH11" s="275"/>
      <c r="BI11" s="278"/>
      <c r="BJ11" s="262"/>
      <c r="BK11" s="265"/>
      <c r="BL11" s="267"/>
      <c r="BM11" s="267"/>
      <c r="BN11" s="269"/>
      <c r="BO11" s="265"/>
      <c r="BP11" s="265"/>
      <c r="BQ11" s="265"/>
      <c r="BR11" s="267"/>
      <c r="BS11" s="265"/>
      <c r="BT11" s="267"/>
      <c r="BU11" s="267"/>
      <c r="BV11" s="269"/>
      <c r="BW11" s="267"/>
      <c r="BX11" s="267"/>
      <c r="BY11" s="272"/>
      <c r="BZ11" s="275"/>
      <c r="CA11" s="278"/>
      <c r="CB11" s="262"/>
      <c r="CC11" s="265"/>
      <c r="CD11" s="267"/>
      <c r="CE11" s="267"/>
      <c r="CF11" s="269"/>
      <c r="CG11" s="265"/>
      <c r="CH11" s="265"/>
      <c r="CI11" s="265"/>
      <c r="CJ11" s="267"/>
      <c r="CK11" s="265"/>
      <c r="CL11" s="267"/>
      <c r="CM11" s="267"/>
      <c r="CN11" s="269"/>
      <c r="CO11" s="267"/>
      <c r="CP11" s="267"/>
      <c r="CQ11" s="272"/>
      <c r="CR11" s="275"/>
      <c r="CS11" s="278"/>
      <c r="CT11" s="262"/>
      <c r="CU11" s="265"/>
      <c r="CV11" s="267"/>
      <c r="CW11" s="267"/>
      <c r="CX11" s="269"/>
      <c r="CY11" s="265"/>
      <c r="CZ11" s="265"/>
      <c r="DA11" s="265"/>
      <c r="DB11" s="267"/>
      <c r="DC11" s="265"/>
      <c r="DD11" s="267"/>
      <c r="DE11" s="267"/>
      <c r="DF11" s="269"/>
      <c r="DG11" s="267"/>
      <c r="DH11" s="267"/>
      <c r="DI11" s="272"/>
      <c r="DJ11" s="275"/>
      <c r="DK11" s="278"/>
      <c r="DL11" s="262"/>
      <c r="DM11" s="265"/>
      <c r="DN11" s="267"/>
      <c r="DO11" s="267"/>
      <c r="DP11" s="269"/>
      <c r="DQ11" s="265"/>
      <c r="DR11" s="265"/>
      <c r="DS11" s="265"/>
      <c r="DT11" s="267"/>
      <c r="DU11" s="265"/>
      <c r="DV11" s="267"/>
      <c r="DW11" s="267"/>
      <c r="DX11" s="269"/>
      <c r="DY11" s="267"/>
      <c r="DZ11" s="267"/>
      <c r="EA11" s="272"/>
      <c r="EB11" s="275"/>
      <c r="EC11" s="278"/>
      <c r="ED11" s="262"/>
      <c r="EE11" s="265"/>
      <c r="EF11" s="267"/>
      <c r="EG11" s="267"/>
      <c r="EH11" s="269"/>
      <c r="EI11" s="265"/>
      <c r="EJ11" s="265"/>
      <c r="EK11" s="265"/>
      <c r="EL11" s="267"/>
      <c r="EM11" s="265"/>
      <c r="EN11" s="267"/>
      <c r="EO11" s="267"/>
      <c r="EP11" s="269"/>
      <c r="EQ11" s="267"/>
      <c r="ER11" s="267"/>
      <c r="ES11" s="272"/>
      <c r="ET11" s="275"/>
      <c r="EU11" s="278"/>
      <c r="EV11" s="262"/>
      <c r="EW11" s="265"/>
      <c r="EX11" s="267"/>
      <c r="EY11" s="267"/>
      <c r="EZ11" s="269"/>
      <c r="FA11" s="265"/>
      <c r="FB11" s="265"/>
      <c r="FC11" s="265"/>
      <c r="FD11" s="267"/>
      <c r="FE11" s="265"/>
      <c r="FF11" s="267"/>
      <c r="FG11" s="267"/>
      <c r="FH11" s="269"/>
      <c r="FI11" s="267"/>
      <c r="FJ11" s="267"/>
      <c r="FK11" s="272"/>
      <c r="FL11" s="275"/>
      <c r="FM11" s="278"/>
      <c r="FN11" s="262"/>
      <c r="FO11" s="265"/>
      <c r="FP11" s="267"/>
      <c r="FQ11" s="267"/>
      <c r="FR11" s="269"/>
      <c r="FS11" s="265"/>
      <c r="FT11" s="265"/>
      <c r="FU11" s="265"/>
      <c r="FV11" s="267"/>
      <c r="FW11" s="265"/>
      <c r="FX11" s="267"/>
      <c r="FY11" s="267"/>
      <c r="FZ11" s="269"/>
      <c r="GA11" s="267"/>
      <c r="GB11" s="267"/>
      <c r="GC11" s="272"/>
      <c r="GD11" s="275"/>
      <c r="GE11" s="278"/>
      <c r="GF11" s="262"/>
      <c r="GG11" s="265"/>
      <c r="GH11" s="267"/>
      <c r="GI11" s="267"/>
      <c r="GJ11" s="269"/>
      <c r="GK11" s="265"/>
      <c r="GL11" s="265"/>
      <c r="GM11" s="265"/>
      <c r="GN11" s="267"/>
      <c r="GO11" s="265"/>
      <c r="GP11" s="267"/>
      <c r="GQ11" s="267"/>
      <c r="GR11" s="269"/>
      <c r="GS11" s="267"/>
      <c r="GT11" s="267"/>
      <c r="GU11" s="272"/>
      <c r="GV11" s="275"/>
      <c r="GW11" s="278"/>
      <c r="GX11" s="262"/>
      <c r="GY11" s="265"/>
      <c r="GZ11" s="267"/>
      <c r="HA11" s="267"/>
      <c r="HB11" s="269"/>
      <c r="HC11" s="265"/>
      <c r="HD11" s="265"/>
      <c r="HE11" s="265"/>
      <c r="HF11" s="267"/>
      <c r="HG11" s="265"/>
      <c r="HH11" s="267"/>
      <c r="HI11" s="267"/>
      <c r="HJ11" s="269"/>
      <c r="HK11" s="267"/>
      <c r="HL11" s="267"/>
      <c r="HM11" s="272"/>
      <c r="HN11" s="275"/>
      <c r="HO11" s="278"/>
      <c r="HP11" s="262"/>
      <c r="HQ11" s="265"/>
      <c r="HR11" s="267"/>
      <c r="HS11" s="267"/>
      <c r="HT11" s="269"/>
      <c r="HU11" s="265"/>
      <c r="HV11" s="265"/>
      <c r="HW11" s="265"/>
      <c r="HX11" s="267"/>
      <c r="HY11" s="265"/>
      <c r="HZ11" s="267"/>
      <c r="IA11" s="267"/>
      <c r="IB11" s="269"/>
      <c r="IC11" s="267"/>
      <c r="ID11" s="267"/>
      <c r="IE11" s="272"/>
      <c r="IF11" s="275"/>
      <c r="IG11" s="278"/>
      <c r="IH11" s="262"/>
      <c r="II11" s="265"/>
      <c r="IJ11" s="267"/>
      <c r="IK11" s="267"/>
      <c r="IL11" s="269"/>
      <c r="IM11" s="265"/>
      <c r="IN11" s="265"/>
      <c r="IO11" s="265"/>
      <c r="IP11" s="267"/>
      <c r="IQ11" s="265"/>
      <c r="IR11" s="267"/>
      <c r="IS11" s="267"/>
      <c r="IT11" s="269"/>
      <c r="IU11" s="267"/>
      <c r="IV11" s="267"/>
      <c r="IW11" s="272"/>
      <c r="IX11" s="275"/>
      <c r="IY11" s="278"/>
      <c r="IZ11" s="262"/>
      <c r="JA11" s="265"/>
      <c r="JB11" s="267"/>
      <c r="JC11" s="267"/>
      <c r="JD11" s="269"/>
      <c r="JE11" s="265"/>
      <c r="JF11" s="265"/>
      <c r="JG11" s="265"/>
      <c r="JH11" s="267"/>
      <c r="JI11" s="265"/>
      <c r="JJ11" s="267"/>
      <c r="JK11" s="267"/>
      <c r="JL11" s="269"/>
      <c r="JM11" s="267"/>
      <c r="JN11" s="267"/>
      <c r="JO11" s="272"/>
      <c r="JP11" s="275"/>
      <c r="JQ11" s="278"/>
      <c r="JR11" s="262"/>
      <c r="JS11" s="265"/>
      <c r="JT11" s="267"/>
      <c r="JU11" s="267"/>
      <c r="JV11" s="269"/>
      <c r="JW11" s="265"/>
      <c r="JX11" s="265"/>
      <c r="JY11" s="265"/>
      <c r="JZ11" s="267"/>
      <c r="KA11" s="265"/>
      <c r="KB11" s="267"/>
      <c r="KC11" s="267"/>
      <c r="KD11" s="269"/>
      <c r="KE11" s="267"/>
      <c r="KF11" s="267"/>
      <c r="KG11" s="272"/>
      <c r="KH11" s="275"/>
      <c r="KI11" s="278"/>
      <c r="KJ11" s="262"/>
      <c r="KK11" s="265"/>
      <c r="KL11" s="267"/>
      <c r="KM11" s="267"/>
      <c r="KN11" s="269"/>
      <c r="KO11" s="265"/>
      <c r="KP11" s="265"/>
      <c r="KQ11" s="265"/>
      <c r="KR11" s="267"/>
      <c r="KS11" s="265"/>
      <c r="KT11" s="267"/>
      <c r="KU11" s="267"/>
      <c r="KV11" s="269"/>
      <c r="KW11" s="267"/>
      <c r="KX11" s="267"/>
      <c r="KY11" s="272"/>
      <c r="KZ11" s="275"/>
      <c r="LA11" s="278"/>
      <c r="LB11" s="262"/>
      <c r="LC11" s="265"/>
      <c r="LD11" s="267"/>
      <c r="LE11" s="267"/>
      <c r="LF11" s="269"/>
      <c r="LG11" s="265"/>
      <c r="LH11" s="265"/>
      <c r="LI11" s="265"/>
      <c r="LJ11" s="267"/>
      <c r="LK11" s="265"/>
      <c r="LL11" s="267"/>
      <c r="LM11" s="267"/>
      <c r="LN11" s="269"/>
      <c r="LO11" s="267"/>
      <c r="LP11" s="267"/>
      <c r="LQ11" s="272"/>
      <c r="LR11" s="275"/>
      <c r="LS11" s="278"/>
      <c r="LT11" s="262"/>
      <c r="LU11" s="265"/>
      <c r="LV11" s="267"/>
      <c r="LW11" s="267"/>
      <c r="LX11" s="269"/>
      <c r="LY11" s="265"/>
      <c r="LZ11" s="265"/>
      <c r="MA11" s="265"/>
      <c r="MB11" s="267"/>
      <c r="MC11" s="265"/>
      <c r="MD11" s="267"/>
      <c r="ME11" s="267"/>
      <c r="MF11" s="269"/>
      <c r="MG11" s="267"/>
      <c r="MH11" s="267"/>
      <c r="MI11" s="272"/>
      <c r="MJ11" s="275"/>
      <c r="MK11" s="278"/>
      <c r="ML11" s="262"/>
      <c r="MM11" s="265"/>
      <c r="MN11" s="267"/>
      <c r="MO11" s="267"/>
      <c r="MP11" s="269"/>
      <c r="MQ11" s="265"/>
      <c r="MR11" s="265"/>
      <c r="MS11" s="265"/>
      <c r="MT11" s="267"/>
      <c r="MU11" s="265"/>
      <c r="MV11" s="267"/>
      <c r="MW11" s="267"/>
      <c r="MX11" s="269"/>
      <c r="MY11" s="267"/>
      <c r="MZ11" s="267"/>
      <c r="NA11" s="272"/>
      <c r="NB11" s="275"/>
      <c r="NC11" s="278"/>
      <c r="ND11" s="262"/>
      <c r="NE11" s="265"/>
      <c r="NF11" s="267"/>
      <c r="NG11" s="267"/>
      <c r="NH11" s="269"/>
      <c r="NI11" s="265"/>
      <c r="NJ11" s="265"/>
      <c r="NK11" s="265"/>
      <c r="NL11" s="267"/>
      <c r="NM11" s="265"/>
      <c r="NN11" s="267"/>
      <c r="NO11" s="267"/>
      <c r="NP11" s="269"/>
      <c r="NQ11" s="267"/>
      <c r="NR11" s="267"/>
      <c r="NS11" s="272"/>
      <c r="NT11" s="275"/>
      <c r="NU11" s="278"/>
      <c r="NV11" s="262"/>
      <c r="NW11" s="265"/>
      <c r="NX11" s="267"/>
      <c r="NY11" s="267"/>
      <c r="NZ11" s="269"/>
      <c r="OA11" s="265"/>
      <c r="OB11" s="265"/>
      <c r="OC11" s="265"/>
      <c r="OD11" s="267"/>
      <c r="OE11" s="265"/>
      <c r="OF11" s="267"/>
      <c r="OG11" s="267"/>
      <c r="OH11" s="269"/>
      <c r="OI11" s="267"/>
      <c r="OJ11" s="267"/>
      <c r="OK11" s="272"/>
      <c r="OL11" s="275"/>
      <c r="OM11" s="278"/>
      <c r="ON11" s="262"/>
      <c r="OO11" s="265"/>
      <c r="OP11" s="267"/>
      <c r="OQ11" s="267"/>
      <c r="OR11" s="269"/>
      <c r="OS11" s="265"/>
      <c r="OT11" s="265"/>
      <c r="OU11" s="265"/>
      <c r="OV11" s="267"/>
      <c r="OW11" s="265"/>
      <c r="OX11" s="267"/>
      <c r="OY11" s="267"/>
      <c r="OZ11" s="269"/>
      <c r="PA11" s="267"/>
      <c r="PB11" s="267"/>
      <c r="PC11" s="272"/>
      <c r="PD11" s="275"/>
      <c r="PE11" s="278"/>
      <c r="PF11" s="262"/>
      <c r="PG11" s="265"/>
      <c r="PH11" s="267"/>
      <c r="PI11" s="267"/>
      <c r="PJ11" s="269"/>
      <c r="PK11" s="265"/>
      <c r="PL11" s="265"/>
      <c r="PM11" s="265"/>
      <c r="PN11" s="267"/>
      <c r="PO11" s="265"/>
      <c r="PP11" s="267"/>
      <c r="PQ11" s="267"/>
      <c r="PR11" s="269"/>
      <c r="PS11" s="267"/>
      <c r="PT11" s="267"/>
      <c r="PU11" s="272"/>
      <c r="PV11" s="275"/>
      <c r="PW11" s="278"/>
      <c r="PX11" s="262"/>
      <c r="PY11" s="265"/>
      <c r="PZ11" s="267"/>
      <c r="QA11" s="267"/>
      <c r="QB11" s="269"/>
      <c r="QC11" s="265"/>
      <c r="QD11" s="265"/>
      <c r="QE11" s="265"/>
      <c r="QF11" s="267"/>
      <c r="QG11" s="265"/>
      <c r="QH11" s="267"/>
      <c r="QI11" s="267"/>
      <c r="QJ11" s="269"/>
      <c r="QK11" s="267"/>
      <c r="QL11" s="267"/>
      <c r="QM11" s="272"/>
      <c r="QN11" s="275"/>
      <c r="QO11" s="278"/>
      <c r="QP11" s="262"/>
      <c r="QQ11" s="265"/>
      <c r="QR11" s="267"/>
      <c r="QS11" s="267"/>
      <c r="QT11" s="269"/>
      <c r="QU11" s="265"/>
      <c r="QV11" s="265"/>
      <c r="QW11" s="265"/>
      <c r="QX11" s="267"/>
      <c r="QY11" s="265"/>
      <c r="QZ11" s="267"/>
      <c r="RA11" s="267"/>
      <c r="RB11" s="269"/>
      <c r="RC11" s="267"/>
      <c r="RD11" s="267"/>
      <c r="RE11" s="272"/>
      <c r="RF11" s="275"/>
      <c r="RG11" s="278"/>
      <c r="RH11" s="262"/>
      <c r="RI11" s="265"/>
      <c r="RJ11" s="267"/>
      <c r="RK11" s="267"/>
      <c r="RL11" s="269"/>
      <c r="RM11" s="265"/>
      <c r="RN11" s="265"/>
      <c r="RO11" s="265"/>
      <c r="RP11" s="267"/>
      <c r="RQ11" s="265"/>
      <c r="RR11" s="267"/>
      <c r="RS11" s="267"/>
      <c r="RT11" s="269"/>
      <c r="RU11" s="267"/>
      <c r="RV11" s="267"/>
      <c r="RW11" s="272"/>
      <c r="RX11" s="275"/>
      <c r="RY11" s="278"/>
      <c r="RZ11" s="262"/>
      <c r="SA11" s="265"/>
      <c r="SB11" s="267"/>
      <c r="SC11" s="267"/>
      <c r="SD11" s="269"/>
      <c r="SE11" s="265"/>
      <c r="SF11" s="265"/>
      <c r="SG11" s="265"/>
      <c r="SH11" s="267"/>
      <c r="SI11" s="265"/>
      <c r="SJ11" s="267"/>
      <c r="SK11" s="267"/>
      <c r="SL11" s="269"/>
      <c r="SM11" s="267"/>
      <c r="SN11" s="267"/>
      <c r="SO11" s="272"/>
      <c r="SP11" s="275"/>
      <c r="SQ11" s="278"/>
      <c r="SR11" s="262"/>
      <c r="SS11" s="265"/>
      <c r="ST11" s="267"/>
      <c r="SU11" s="267"/>
      <c r="SV11" s="269"/>
      <c r="SW11" s="265"/>
      <c r="SX11" s="265"/>
      <c r="SY11" s="265"/>
      <c r="SZ11" s="267"/>
      <c r="TA11" s="265"/>
      <c r="TB11" s="267"/>
      <c r="TC11" s="267"/>
      <c r="TD11" s="269"/>
      <c r="TE11" s="267"/>
      <c r="TF11" s="267"/>
      <c r="TG11" s="272"/>
      <c r="TH11" s="275"/>
      <c r="TI11" s="278"/>
      <c r="TJ11" s="262"/>
      <c r="TK11" s="265"/>
      <c r="TL11" s="267"/>
      <c r="TM11" s="267"/>
      <c r="TN11" s="269"/>
      <c r="TO11" s="265"/>
      <c r="TP11" s="265"/>
      <c r="TQ11" s="265"/>
      <c r="TR11" s="267"/>
      <c r="TS11" s="265"/>
      <c r="TT11" s="267"/>
      <c r="TU11" s="267"/>
      <c r="TV11" s="269"/>
      <c r="TW11" s="267"/>
      <c r="TX11" s="267"/>
      <c r="TY11" s="272"/>
      <c r="TZ11" s="275"/>
      <c r="UA11" s="278"/>
      <c r="UB11" s="262"/>
      <c r="UC11" s="265"/>
      <c r="UD11" s="267"/>
      <c r="UE11" s="267"/>
      <c r="UF11" s="269"/>
      <c r="UG11" s="265"/>
      <c r="UH11" s="265"/>
      <c r="UI11" s="265"/>
      <c r="UJ11" s="267"/>
      <c r="UK11" s="265"/>
      <c r="UL11" s="267"/>
      <c r="UM11" s="267"/>
      <c r="UN11" s="269"/>
      <c r="UO11" s="267"/>
      <c r="UP11" s="267"/>
      <c r="UQ11" s="272"/>
      <c r="UR11" s="275"/>
      <c r="US11" s="278"/>
    </row>
    <row r="12" spans="1:565" ht="15" thickBot="1" x14ac:dyDescent="0.35">
      <c r="A12" s="130"/>
      <c r="B12" s="288"/>
      <c r="C12" s="291"/>
      <c r="D12" s="144"/>
      <c r="E12" s="145"/>
      <c r="F12" s="268"/>
      <c r="G12" s="268"/>
      <c r="H12" s="263"/>
      <c r="I12" s="266"/>
      <c r="J12" s="268"/>
      <c r="K12" s="268"/>
      <c r="L12" s="270"/>
      <c r="M12" s="266"/>
      <c r="N12" s="266"/>
      <c r="O12" s="266"/>
      <c r="P12" s="268"/>
      <c r="Q12" s="266"/>
      <c r="R12" s="268"/>
      <c r="S12" s="268"/>
      <c r="T12" s="270"/>
      <c r="U12" s="268"/>
      <c r="V12" s="268"/>
      <c r="W12" s="273"/>
      <c r="X12" s="276"/>
      <c r="Y12" s="279"/>
      <c r="Z12" s="263"/>
      <c r="AA12" s="266"/>
      <c r="AB12" s="268"/>
      <c r="AC12" s="268"/>
      <c r="AD12" s="270"/>
      <c r="AE12" s="266"/>
      <c r="AF12" s="266"/>
      <c r="AG12" s="266"/>
      <c r="AH12" s="268"/>
      <c r="AI12" s="266"/>
      <c r="AJ12" s="268"/>
      <c r="AK12" s="268"/>
      <c r="AL12" s="270"/>
      <c r="AM12" s="268"/>
      <c r="AN12" s="268"/>
      <c r="AO12" s="273"/>
      <c r="AP12" s="276"/>
      <c r="AQ12" s="279"/>
      <c r="AR12" s="263"/>
      <c r="AS12" s="266"/>
      <c r="AT12" s="268"/>
      <c r="AU12" s="268"/>
      <c r="AV12" s="270"/>
      <c r="AW12" s="266"/>
      <c r="AX12" s="266"/>
      <c r="AY12" s="266"/>
      <c r="AZ12" s="268"/>
      <c r="BA12" s="266"/>
      <c r="BB12" s="268"/>
      <c r="BC12" s="268"/>
      <c r="BD12" s="270"/>
      <c r="BE12" s="268"/>
      <c r="BF12" s="268"/>
      <c r="BG12" s="273"/>
      <c r="BH12" s="276"/>
      <c r="BI12" s="279"/>
      <c r="BJ12" s="263"/>
      <c r="BK12" s="266"/>
      <c r="BL12" s="268"/>
      <c r="BM12" s="268"/>
      <c r="BN12" s="270"/>
      <c r="BO12" s="266"/>
      <c r="BP12" s="266"/>
      <c r="BQ12" s="266"/>
      <c r="BR12" s="268"/>
      <c r="BS12" s="266"/>
      <c r="BT12" s="268"/>
      <c r="BU12" s="268"/>
      <c r="BV12" s="270"/>
      <c r="BW12" s="268"/>
      <c r="BX12" s="268"/>
      <c r="BY12" s="273"/>
      <c r="BZ12" s="276"/>
      <c r="CA12" s="279"/>
      <c r="CB12" s="263"/>
      <c r="CC12" s="266"/>
      <c r="CD12" s="268"/>
      <c r="CE12" s="268"/>
      <c r="CF12" s="270"/>
      <c r="CG12" s="266"/>
      <c r="CH12" s="266"/>
      <c r="CI12" s="266"/>
      <c r="CJ12" s="268"/>
      <c r="CK12" s="266"/>
      <c r="CL12" s="268"/>
      <c r="CM12" s="268"/>
      <c r="CN12" s="270"/>
      <c r="CO12" s="268"/>
      <c r="CP12" s="268"/>
      <c r="CQ12" s="273"/>
      <c r="CR12" s="276"/>
      <c r="CS12" s="279"/>
      <c r="CT12" s="263"/>
      <c r="CU12" s="266"/>
      <c r="CV12" s="268"/>
      <c r="CW12" s="268"/>
      <c r="CX12" s="270"/>
      <c r="CY12" s="266"/>
      <c r="CZ12" s="266"/>
      <c r="DA12" s="266"/>
      <c r="DB12" s="268"/>
      <c r="DC12" s="266"/>
      <c r="DD12" s="268"/>
      <c r="DE12" s="268"/>
      <c r="DF12" s="270"/>
      <c r="DG12" s="268"/>
      <c r="DH12" s="268"/>
      <c r="DI12" s="273"/>
      <c r="DJ12" s="276"/>
      <c r="DK12" s="279"/>
      <c r="DL12" s="263"/>
      <c r="DM12" s="266"/>
      <c r="DN12" s="268"/>
      <c r="DO12" s="268"/>
      <c r="DP12" s="270"/>
      <c r="DQ12" s="266"/>
      <c r="DR12" s="266"/>
      <c r="DS12" s="266"/>
      <c r="DT12" s="268"/>
      <c r="DU12" s="266"/>
      <c r="DV12" s="268"/>
      <c r="DW12" s="268"/>
      <c r="DX12" s="270"/>
      <c r="DY12" s="268"/>
      <c r="DZ12" s="268"/>
      <c r="EA12" s="273"/>
      <c r="EB12" s="276"/>
      <c r="EC12" s="279"/>
      <c r="ED12" s="263"/>
      <c r="EE12" s="266"/>
      <c r="EF12" s="268"/>
      <c r="EG12" s="268"/>
      <c r="EH12" s="270"/>
      <c r="EI12" s="266"/>
      <c r="EJ12" s="266"/>
      <c r="EK12" s="266"/>
      <c r="EL12" s="268"/>
      <c r="EM12" s="266"/>
      <c r="EN12" s="268"/>
      <c r="EO12" s="268"/>
      <c r="EP12" s="270"/>
      <c r="EQ12" s="268"/>
      <c r="ER12" s="268"/>
      <c r="ES12" s="273"/>
      <c r="ET12" s="276"/>
      <c r="EU12" s="279"/>
      <c r="EV12" s="263"/>
      <c r="EW12" s="266"/>
      <c r="EX12" s="268"/>
      <c r="EY12" s="268"/>
      <c r="EZ12" s="270"/>
      <c r="FA12" s="266"/>
      <c r="FB12" s="266"/>
      <c r="FC12" s="266"/>
      <c r="FD12" s="268"/>
      <c r="FE12" s="266"/>
      <c r="FF12" s="268"/>
      <c r="FG12" s="268"/>
      <c r="FH12" s="270"/>
      <c r="FI12" s="268"/>
      <c r="FJ12" s="268"/>
      <c r="FK12" s="273"/>
      <c r="FL12" s="276"/>
      <c r="FM12" s="279"/>
      <c r="FN12" s="263"/>
      <c r="FO12" s="266"/>
      <c r="FP12" s="268"/>
      <c r="FQ12" s="268"/>
      <c r="FR12" s="270"/>
      <c r="FS12" s="266"/>
      <c r="FT12" s="266"/>
      <c r="FU12" s="266"/>
      <c r="FV12" s="268"/>
      <c r="FW12" s="266"/>
      <c r="FX12" s="268"/>
      <c r="FY12" s="268"/>
      <c r="FZ12" s="270"/>
      <c r="GA12" s="268"/>
      <c r="GB12" s="268"/>
      <c r="GC12" s="273"/>
      <c r="GD12" s="276"/>
      <c r="GE12" s="279"/>
      <c r="GF12" s="263"/>
      <c r="GG12" s="266"/>
      <c r="GH12" s="268"/>
      <c r="GI12" s="268"/>
      <c r="GJ12" s="270"/>
      <c r="GK12" s="266"/>
      <c r="GL12" s="266"/>
      <c r="GM12" s="266"/>
      <c r="GN12" s="268"/>
      <c r="GO12" s="266"/>
      <c r="GP12" s="268"/>
      <c r="GQ12" s="268"/>
      <c r="GR12" s="270"/>
      <c r="GS12" s="268"/>
      <c r="GT12" s="268"/>
      <c r="GU12" s="273"/>
      <c r="GV12" s="276"/>
      <c r="GW12" s="279"/>
      <c r="GX12" s="263"/>
      <c r="GY12" s="266"/>
      <c r="GZ12" s="268"/>
      <c r="HA12" s="268"/>
      <c r="HB12" s="270"/>
      <c r="HC12" s="266"/>
      <c r="HD12" s="266"/>
      <c r="HE12" s="266"/>
      <c r="HF12" s="268"/>
      <c r="HG12" s="266"/>
      <c r="HH12" s="268"/>
      <c r="HI12" s="268"/>
      <c r="HJ12" s="270"/>
      <c r="HK12" s="268"/>
      <c r="HL12" s="268"/>
      <c r="HM12" s="273"/>
      <c r="HN12" s="276"/>
      <c r="HO12" s="279"/>
      <c r="HP12" s="263"/>
      <c r="HQ12" s="266"/>
      <c r="HR12" s="268"/>
      <c r="HS12" s="268"/>
      <c r="HT12" s="270"/>
      <c r="HU12" s="266"/>
      <c r="HV12" s="266"/>
      <c r="HW12" s="266"/>
      <c r="HX12" s="268"/>
      <c r="HY12" s="266"/>
      <c r="HZ12" s="268"/>
      <c r="IA12" s="268"/>
      <c r="IB12" s="270"/>
      <c r="IC12" s="268"/>
      <c r="ID12" s="268"/>
      <c r="IE12" s="273"/>
      <c r="IF12" s="276"/>
      <c r="IG12" s="279"/>
      <c r="IH12" s="263"/>
      <c r="II12" s="266"/>
      <c r="IJ12" s="268"/>
      <c r="IK12" s="268"/>
      <c r="IL12" s="270"/>
      <c r="IM12" s="266"/>
      <c r="IN12" s="266"/>
      <c r="IO12" s="266"/>
      <c r="IP12" s="268"/>
      <c r="IQ12" s="266"/>
      <c r="IR12" s="268"/>
      <c r="IS12" s="268"/>
      <c r="IT12" s="270"/>
      <c r="IU12" s="268"/>
      <c r="IV12" s="268"/>
      <c r="IW12" s="273"/>
      <c r="IX12" s="276"/>
      <c r="IY12" s="279"/>
      <c r="IZ12" s="263"/>
      <c r="JA12" s="266"/>
      <c r="JB12" s="268"/>
      <c r="JC12" s="268"/>
      <c r="JD12" s="270"/>
      <c r="JE12" s="266"/>
      <c r="JF12" s="266"/>
      <c r="JG12" s="266"/>
      <c r="JH12" s="268"/>
      <c r="JI12" s="266"/>
      <c r="JJ12" s="268"/>
      <c r="JK12" s="268"/>
      <c r="JL12" s="270"/>
      <c r="JM12" s="268"/>
      <c r="JN12" s="268"/>
      <c r="JO12" s="273"/>
      <c r="JP12" s="276"/>
      <c r="JQ12" s="279"/>
      <c r="JR12" s="263"/>
      <c r="JS12" s="266"/>
      <c r="JT12" s="268"/>
      <c r="JU12" s="268"/>
      <c r="JV12" s="270"/>
      <c r="JW12" s="266"/>
      <c r="JX12" s="266"/>
      <c r="JY12" s="266"/>
      <c r="JZ12" s="268"/>
      <c r="KA12" s="266"/>
      <c r="KB12" s="268"/>
      <c r="KC12" s="268"/>
      <c r="KD12" s="270"/>
      <c r="KE12" s="268"/>
      <c r="KF12" s="268"/>
      <c r="KG12" s="273"/>
      <c r="KH12" s="276"/>
      <c r="KI12" s="279"/>
      <c r="KJ12" s="263"/>
      <c r="KK12" s="266"/>
      <c r="KL12" s="268"/>
      <c r="KM12" s="268"/>
      <c r="KN12" s="270"/>
      <c r="KO12" s="266"/>
      <c r="KP12" s="266"/>
      <c r="KQ12" s="266"/>
      <c r="KR12" s="268"/>
      <c r="KS12" s="266"/>
      <c r="KT12" s="268"/>
      <c r="KU12" s="268"/>
      <c r="KV12" s="270"/>
      <c r="KW12" s="268"/>
      <c r="KX12" s="268"/>
      <c r="KY12" s="273"/>
      <c r="KZ12" s="276"/>
      <c r="LA12" s="279"/>
      <c r="LB12" s="263"/>
      <c r="LC12" s="266"/>
      <c r="LD12" s="268"/>
      <c r="LE12" s="268"/>
      <c r="LF12" s="270"/>
      <c r="LG12" s="266"/>
      <c r="LH12" s="266"/>
      <c r="LI12" s="266"/>
      <c r="LJ12" s="268"/>
      <c r="LK12" s="266"/>
      <c r="LL12" s="268"/>
      <c r="LM12" s="268"/>
      <c r="LN12" s="270"/>
      <c r="LO12" s="268"/>
      <c r="LP12" s="268"/>
      <c r="LQ12" s="273"/>
      <c r="LR12" s="276"/>
      <c r="LS12" s="279"/>
      <c r="LT12" s="263"/>
      <c r="LU12" s="266"/>
      <c r="LV12" s="268"/>
      <c r="LW12" s="268"/>
      <c r="LX12" s="270"/>
      <c r="LY12" s="266"/>
      <c r="LZ12" s="266"/>
      <c r="MA12" s="266"/>
      <c r="MB12" s="268"/>
      <c r="MC12" s="266"/>
      <c r="MD12" s="268"/>
      <c r="ME12" s="268"/>
      <c r="MF12" s="270"/>
      <c r="MG12" s="268"/>
      <c r="MH12" s="268"/>
      <c r="MI12" s="273"/>
      <c r="MJ12" s="276"/>
      <c r="MK12" s="279"/>
      <c r="ML12" s="263"/>
      <c r="MM12" s="266"/>
      <c r="MN12" s="268"/>
      <c r="MO12" s="268"/>
      <c r="MP12" s="270"/>
      <c r="MQ12" s="266"/>
      <c r="MR12" s="266"/>
      <c r="MS12" s="266"/>
      <c r="MT12" s="268"/>
      <c r="MU12" s="266"/>
      <c r="MV12" s="268"/>
      <c r="MW12" s="268"/>
      <c r="MX12" s="270"/>
      <c r="MY12" s="268"/>
      <c r="MZ12" s="268"/>
      <c r="NA12" s="273"/>
      <c r="NB12" s="276"/>
      <c r="NC12" s="279"/>
      <c r="ND12" s="263"/>
      <c r="NE12" s="266"/>
      <c r="NF12" s="268"/>
      <c r="NG12" s="268"/>
      <c r="NH12" s="270"/>
      <c r="NI12" s="266"/>
      <c r="NJ12" s="266"/>
      <c r="NK12" s="266"/>
      <c r="NL12" s="268"/>
      <c r="NM12" s="266"/>
      <c r="NN12" s="268"/>
      <c r="NO12" s="268"/>
      <c r="NP12" s="270"/>
      <c r="NQ12" s="268"/>
      <c r="NR12" s="268"/>
      <c r="NS12" s="273"/>
      <c r="NT12" s="276"/>
      <c r="NU12" s="279"/>
      <c r="NV12" s="263"/>
      <c r="NW12" s="266"/>
      <c r="NX12" s="268"/>
      <c r="NY12" s="268"/>
      <c r="NZ12" s="270"/>
      <c r="OA12" s="266"/>
      <c r="OB12" s="266"/>
      <c r="OC12" s="266"/>
      <c r="OD12" s="268"/>
      <c r="OE12" s="266"/>
      <c r="OF12" s="268"/>
      <c r="OG12" s="268"/>
      <c r="OH12" s="270"/>
      <c r="OI12" s="268"/>
      <c r="OJ12" s="268"/>
      <c r="OK12" s="273"/>
      <c r="OL12" s="276"/>
      <c r="OM12" s="279"/>
      <c r="ON12" s="263"/>
      <c r="OO12" s="266"/>
      <c r="OP12" s="268"/>
      <c r="OQ12" s="268"/>
      <c r="OR12" s="270"/>
      <c r="OS12" s="266"/>
      <c r="OT12" s="266"/>
      <c r="OU12" s="266"/>
      <c r="OV12" s="268"/>
      <c r="OW12" s="266"/>
      <c r="OX12" s="268"/>
      <c r="OY12" s="268"/>
      <c r="OZ12" s="270"/>
      <c r="PA12" s="268"/>
      <c r="PB12" s="268"/>
      <c r="PC12" s="273"/>
      <c r="PD12" s="276"/>
      <c r="PE12" s="279"/>
      <c r="PF12" s="263"/>
      <c r="PG12" s="266"/>
      <c r="PH12" s="268"/>
      <c r="PI12" s="268"/>
      <c r="PJ12" s="270"/>
      <c r="PK12" s="266"/>
      <c r="PL12" s="266"/>
      <c r="PM12" s="266"/>
      <c r="PN12" s="268"/>
      <c r="PO12" s="266"/>
      <c r="PP12" s="268"/>
      <c r="PQ12" s="268"/>
      <c r="PR12" s="270"/>
      <c r="PS12" s="268"/>
      <c r="PT12" s="268"/>
      <c r="PU12" s="273"/>
      <c r="PV12" s="276"/>
      <c r="PW12" s="279"/>
      <c r="PX12" s="263"/>
      <c r="PY12" s="266"/>
      <c r="PZ12" s="268"/>
      <c r="QA12" s="268"/>
      <c r="QB12" s="270"/>
      <c r="QC12" s="266"/>
      <c r="QD12" s="266"/>
      <c r="QE12" s="266"/>
      <c r="QF12" s="268"/>
      <c r="QG12" s="266"/>
      <c r="QH12" s="268"/>
      <c r="QI12" s="268"/>
      <c r="QJ12" s="270"/>
      <c r="QK12" s="268"/>
      <c r="QL12" s="268"/>
      <c r="QM12" s="273"/>
      <c r="QN12" s="276"/>
      <c r="QO12" s="279"/>
      <c r="QP12" s="263"/>
      <c r="QQ12" s="266"/>
      <c r="QR12" s="268"/>
      <c r="QS12" s="268"/>
      <c r="QT12" s="270"/>
      <c r="QU12" s="266"/>
      <c r="QV12" s="266"/>
      <c r="QW12" s="266"/>
      <c r="QX12" s="268"/>
      <c r="QY12" s="266"/>
      <c r="QZ12" s="268"/>
      <c r="RA12" s="268"/>
      <c r="RB12" s="270"/>
      <c r="RC12" s="268"/>
      <c r="RD12" s="268"/>
      <c r="RE12" s="273"/>
      <c r="RF12" s="276"/>
      <c r="RG12" s="279"/>
      <c r="RH12" s="263"/>
      <c r="RI12" s="266"/>
      <c r="RJ12" s="268"/>
      <c r="RK12" s="268"/>
      <c r="RL12" s="270"/>
      <c r="RM12" s="266"/>
      <c r="RN12" s="266"/>
      <c r="RO12" s="266"/>
      <c r="RP12" s="268"/>
      <c r="RQ12" s="266"/>
      <c r="RR12" s="268"/>
      <c r="RS12" s="268"/>
      <c r="RT12" s="270"/>
      <c r="RU12" s="268"/>
      <c r="RV12" s="268"/>
      <c r="RW12" s="273"/>
      <c r="RX12" s="276"/>
      <c r="RY12" s="279"/>
      <c r="RZ12" s="263"/>
      <c r="SA12" s="266"/>
      <c r="SB12" s="268"/>
      <c r="SC12" s="268"/>
      <c r="SD12" s="270"/>
      <c r="SE12" s="266"/>
      <c r="SF12" s="266"/>
      <c r="SG12" s="266"/>
      <c r="SH12" s="268"/>
      <c r="SI12" s="266"/>
      <c r="SJ12" s="268"/>
      <c r="SK12" s="268"/>
      <c r="SL12" s="270"/>
      <c r="SM12" s="268"/>
      <c r="SN12" s="268"/>
      <c r="SO12" s="273"/>
      <c r="SP12" s="276"/>
      <c r="SQ12" s="279"/>
      <c r="SR12" s="263"/>
      <c r="SS12" s="266"/>
      <c r="ST12" s="268"/>
      <c r="SU12" s="268"/>
      <c r="SV12" s="270"/>
      <c r="SW12" s="266"/>
      <c r="SX12" s="266"/>
      <c r="SY12" s="266"/>
      <c r="SZ12" s="268"/>
      <c r="TA12" s="266"/>
      <c r="TB12" s="268"/>
      <c r="TC12" s="268"/>
      <c r="TD12" s="270"/>
      <c r="TE12" s="268"/>
      <c r="TF12" s="268"/>
      <c r="TG12" s="273"/>
      <c r="TH12" s="276"/>
      <c r="TI12" s="279"/>
      <c r="TJ12" s="263"/>
      <c r="TK12" s="266"/>
      <c r="TL12" s="268"/>
      <c r="TM12" s="268"/>
      <c r="TN12" s="270"/>
      <c r="TO12" s="266"/>
      <c r="TP12" s="266"/>
      <c r="TQ12" s="266"/>
      <c r="TR12" s="268"/>
      <c r="TS12" s="266"/>
      <c r="TT12" s="268"/>
      <c r="TU12" s="268"/>
      <c r="TV12" s="270"/>
      <c r="TW12" s="268"/>
      <c r="TX12" s="268"/>
      <c r="TY12" s="273"/>
      <c r="TZ12" s="276"/>
      <c r="UA12" s="279"/>
      <c r="UB12" s="263"/>
      <c r="UC12" s="266"/>
      <c r="UD12" s="268"/>
      <c r="UE12" s="268"/>
      <c r="UF12" s="270"/>
      <c r="UG12" s="266"/>
      <c r="UH12" s="266"/>
      <c r="UI12" s="266"/>
      <c r="UJ12" s="268"/>
      <c r="UK12" s="266"/>
      <c r="UL12" s="268"/>
      <c r="UM12" s="268"/>
      <c r="UN12" s="270"/>
      <c r="UO12" s="268"/>
      <c r="UP12" s="268"/>
      <c r="UQ12" s="273"/>
      <c r="UR12" s="276"/>
      <c r="US12" s="279"/>
    </row>
    <row r="13" spans="1:565" x14ac:dyDescent="0.3">
      <c r="A13" s="131"/>
      <c r="B13" s="132"/>
      <c r="C13" s="132"/>
      <c r="D13" s="132" t="s">
        <v>269</v>
      </c>
      <c r="E13" s="146" t="s">
        <v>270</v>
      </c>
      <c r="F13" s="153" t="s">
        <v>323</v>
      </c>
      <c r="G13" s="153" t="s">
        <v>324</v>
      </c>
      <c r="H13" s="147" t="str">
        <f>H5&amp;"04"</f>
        <v>3704</v>
      </c>
      <c r="I13" s="147" t="str">
        <f>H5&amp;"05"</f>
        <v>3705</v>
      </c>
      <c r="J13" s="147" t="str">
        <f>H5&amp;"06"</f>
        <v>3706</v>
      </c>
      <c r="K13" s="147" t="str">
        <f>H5&amp;"07"</f>
        <v>3707</v>
      </c>
      <c r="L13" s="147" t="str">
        <f>H5&amp;"08"</f>
        <v>3708</v>
      </c>
      <c r="M13" s="147" t="str">
        <f>H5&amp;"09"</f>
        <v>3709</v>
      </c>
      <c r="N13" s="147" t="str">
        <f>H5&amp;"52"</f>
        <v>3752</v>
      </c>
      <c r="O13" s="147" t="str">
        <f>H5&amp;"10"</f>
        <v>3710</v>
      </c>
      <c r="P13" s="147" t="str">
        <f>H5&amp;"11"</f>
        <v>3711</v>
      </c>
      <c r="Q13" s="147" t="str">
        <f>H5&amp;"12"</f>
        <v>3712</v>
      </c>
      <c r="R13" s="147" t="str">
        <f>H5&amp;"13"</f>
        <v>3713</v>
      </c>
      <c r="S13" s="147" t="str">
        <f>H5&amp;"14"</f>
        <v>3714</v>
      </c>
      <c r="T13" s="147" t="str">
        <f>H5&amp;"15"</f>
        <v>3715</v>
      </c>
      <c r="U13" s="147" t="str">
        <f>H5&amp;"16"</f>
        <v>3716</v>
      </c>
      <c r="V13" s="147" t="str">
        <f>H5&amp;"21"</f>
        <v>3721</v>
      </c>
      <c r="W13" s="152" t="str">
        <f>H5&amp;"19"</f>
        <v>3719</v>
      </c>
      <c r="X13" s="132" t="str">
        <f>H5&amp;"51"</f>
        <v>3751</v>
      </c>
      <c r="Y13" s="151" t="str">
        <f>H5&amp;"23"</f>
        <v>3723</v>
      </c>
      <c r="Z13" s="147" t="str">
        <f>Z5&amp;"04"</f>
        <v>6204</v>
      </c>
      <c r="AA13" s="147" t="str">
        <f>Z5&amp;"05"</f>
        <v>6205</v>
      </c>
      <c r="AB13" s="147" t="str">
        <f>Z5&amp;"06"</f>
        <v>6206</v>
      </c>
      <c r="AC13" s="147" t="str">
        <f>Z5&amp;"07"</f>
        <v>6207</v>
      </c>
      <c r="AD13" s="147" t="str">
        <f>Z5&amp;"08"</f>
        <v>6208</v>
      </c>
      <c r="AE13" s="147" t="str">
        <f>Z5&amp;"09"</f>
        <v>6209</v>
      </c>
      <c r="AF13" s="147" t="str">
        <f>Z5&amp;"52"</f>
        <v>6252</v>
      </c>
      <c r="AG13" s="147" t="str">
        <f>Z5&amp;"10"</f>
        <v>6210</v>
      </c>
      <c r="AH13" s="147" t="str">
        <f>Z5&amp;"11"</f>
        <v>6211</v>
      </c>
      <c r="AI13" s="147" t="str">
        <f>Z5&amp;"12"</f>
        <v>6212</v>
      </c>
      <c r="AJ13" s="147" t="str">
        <f>Z5&amp;"13"</f>
        <v>6213</v>
      </c>
      <c r="AK13" s="147" t="str">
        <f>Z5&amp;"14"</f>
        <v>6214</v>
      </c>
      <c r="AL13" s="147" t="str">
        <f>Z5&amp;"15"</f>
        <v>6215</v>
      </c>
      <c r="AM13" s="147" t="str">
        <f>Z5&amp;"16"</f>
        <v>6216</v>
      </c>
      <c r="AN13" s="147" t="str">
        <f>Z5&amp;"21"</f>
        <v>6221</v>
      </c>
      <c r="AO13" s="152" t="str">
        <f>Z5&amp;"19"</f>
        <v>6219</v>
      </c>
      <c r="AP13" s="132" t="str">
        <f>Z5&amp;"51"</f>
        <v>6251</v>
      </c>
      <c r="AQ13" s="151" t="str">
        <f>Z5&amp;"23"</f>
        <v>6223</v>
      </c>
      <c r="AR13" s="147" t="str">
        <f>AR5&amp;"04"</f>
        <v>4504</v>
      </c>
      <c r="AS13" s="147" t="str">
        <f>AR5&amp;"05"</f>
        <v>4505</v>
      </c>
      <c r="AT13" s="147" t="str">
        <f>AR5&amp;"06"</f>
        <v>4506</v>
      </c>
      <c r="AU13" s="147" t="str">
        <f>AR5&amp;"07"</f>
        <v>4507</v>
      </c>
      <c r="AV13" s="147" t="str">
        <f>AR5&amp;"08"</f>
        <v>4508</v>
      </c>
      <c r="AW13" s="147" t="str">
        <f>AR5&amp;"09"</f>
        <v>4509</v>
      </c>
      <c r="AX13" s="147" t="str">
        <f>AR5&amp;"52"</f>
        <v>4552</v>
      </c>
      <c r="AY13" s="147" t="str">
        <f>AR5&amp;"10"</f>
        <v>4510</v>
      </c>
      <c r="AZ13" s="147" t="str">
        <f>AR5&amp;"11"</f>
        <v>4511</v>
      </c>
      <c r="BA13" s="147" t="str">
        <f>AR5&amp;"12"</f>
        <v>4512</v>
      </c>
      <c r="BB13" s="147" t="str">
        <f>AR5&amp;"13"</f>
        <v>4513</v>
      </c>
      <c r="BC13" s="147" t="str">
        <f>AR5&amp;"14"</f>
        <v>4514</v>
      </c>
      <c r="BD13" s="147" t="str">
        <f>AR5&amp;"15"</f>
        <v>4515</v>
      </c>
      <c r="BE13" s="147" t="str">
        <f>AR5&amp;"16"</f>
        <v>4516</v>
      </c>
      <c r="BF13" s="147" t="str">
        <f>AR5&amp;"21"</f>
        <v>4521</v>
      </c>
      <c r="BG13" s="152" t="str">
        <f>AR5&amp;"19"</f>
        <v>4519</v>
      </c>
      <c r="BH13" s="132" t="str">
        <f>AR5&amp;"51"</f>
        <v>4551</v>
      </c>
      <c r="BI13" s="151" t="str">
        <f>AR5&amp;"23"</f>
        <v>4523</v>
      </c>
      <c r="BJ13" s="147" t="str">
        <f>BJ5&amp;"04"</f>
        <v>КОЛ06104</v>
      </c>
      <c r="BK13" s="147" t="str">
        <f>BJ5&amp;"05"</f>
        <v>КОЛ06105</v>
      </c>
      <c r="BL13" s="147" t="str">
        <f>BJ5&amp;"06"</f>
        <v>КОЛ06106</v>
      </c>
      <c r="BM13" s="147" t="str">
        <f>BJ5&amp;"07"</f>
        <v>КОЛ06107</v>
      </c>
      <c r="BN13" s="147" t="str">
        <f>BJ5&amp;"08"</f>
        <v>КОЛ06108</v>
      </c>
      <c r="BO13" s="147" t="str">
        <f>BJ5&amp;"09"</f>
        <v>КОЛ06109</v>
      </c>
      <c r="BP13" s="147" t="str">
        <f>BJ5&amp;"52"</f>
        <v>КОЛ06152</v>
      </c>
      <c r="BQ13" s="147" t="str">
        <f>BJ5&amp;"10"</f>
        <v>КОЛ06110</v>
      </c>
      <c r="BR13" s="147" t="str">
        <f>BJ5&amp;"11"</f>
        <v>КОЛ06111</v>
      </c>
      <c r="BS13" s="147" t="str">
        <f>BJ5&amp;"12"</f>
        <v>КОЛ06112</v>
      </c>
      <c r="BT13" s="147" t="str">
        <f>BJ5&amp;"13"</f>
        <v>КОЛ06113</v>
      </c>
      <c r="BU13" s="147" t="str">
        <f>BJ5&amp;"14"</f>
        <v>КОЛ06114</v>
      </c>
      <c r="BV13" s="147" t="str">
        <f>BJ5&amp;"15"</f>
        <v>КОЛ06115</v>
      </c>
      <c r="BW13" s="147" t="str">
        <f>BJ5&amp;"16"</f>
        <v>КОЛ06116</v>
      </c>
      <c r="BX13" s="147" t="str">
        <f>BJ5&amp;"21"</f>
        <v>КОЛ06121</v>
      </c>
      <c r="BY13" s="152" t="str">
        <f>BJ5&amp;"19"</f>
        <v>КОЛ06119</v>
      </c>
      <c r="BZ13" s="132" t="str">
        <f>BJ5&amp;"51"</f>
        <v>КОЛ06151</v>
      </c>
      <c r="CA13" s="151" t="str">
        <f>BJ5&amp;"23"</f>
        <v>КОЛ06123</v>
      </c>
      <c r="CB13" s="147" t="str">
        <f>CB5&amp;"04"</f>
        <v>1704</v>
      </c>
      <c r="CC13" s="147" t="str">
        <f>CB5&amp;"05"</f>
        <v>1705</v>
      </c>
      <c r="CD13" s="147" t="str">
        <f>CB5&amp;"06"</f>
        <v>1706</v>
      </c>
      <c r="CE13" s="147" t="str">
        <f>CB5&amp;"07"</f>
        <v>1707</v>
      </c>
      <c r="CF13" s="147" t="str">
        <f>CB5&amp;"08"</f>
        <v>1708</v>
      </c>
      <c r="CG13" s="147" t="str">
        <f>CB5&amp;"09"</f>
        <v>1709</v>
      </c>
      <c r="CH13" s="147" t="str">
        <f>CB5&amp;"52"</f>
        <v>1752</v>
      </c>
      <c r="CI13" s="147" t="str">
        <f>CB5&amp;"10"</f>
        <v>1710</v>
      </c>
      <c r="CJ13" s="147" t="str">
        <f>CB5&amp;"11"</f>
        <v>1711</v>
      </c>
      <c r="CK13" s="147" t="str">
        <f>CB5&amp;"12"</f>
        <v>1712</v>
      </c>
      <c r="CL13" s="147" t="str">
        <f>CB5&amp;"13"</f>
        <v>1713</v>
      </c>
      <c r="CM13" s="147" t="str">
        <f>CB5&amp;"14"</f>
        <v>1714</v>
      </c>
      <c r="CN13" s="147" t="str">
        <f>CB5&amp;"15"</f>
        <v>1715</v>
      </c>
      <c r="CO13" s="147" t="str">
        <f>CB5&amp;"16"</f>
        <v>1716</v>
      </c>
      <c r="CP13" s="147" t="str">
        <f>CB5&amp;"21"</f>
        <v>1721</v>
      </c>
      <c r="CQ13" s="152" t="str">
        <f>CB5&amp;"19"</f>
        <v>1719</v>
      </c>
      <c r="CR13" s="132" t="str">
        <f>CB5&amp;"51"</f>
        <v>1751</v>
      </c>
      <c r="CS13" s="151" t="str">
        <f>CB5&amp;"23"</f>
        <v>1723</v>
      </c>
      <c r="CT13" s="147" t="str">
        <f>CT5&amp;"04"</f>
        <v>КОЛ01704</v>
      </c>
      <c r="CU13" s="147" t="str">
        <f>CT5&amp;"05"</f>
        <v>КОЛ01705</v>
      </c>
      <c r="CV13" s="147" t="str">
        <f>CT5&amp;"06"</f>
        <v>КОЛ01706</v>
      </c>
      <c r="CW13" s="147" t="str">
        <f>CT5&amp;"07"</f>
        <v>КОЛ01707</v>
      </c>
      <c r="CX13" s="147" t="str">
        <f>CT5&amp;"08"</f>
        <v>КОЛ01708</v>
      </c>
      <c r="CY13" s="147" t="str">
        <f>CT5&amp;"09"</f>
        <v>КОЛ01709</v>
      </c>
      <c r="CZ13" s="147" t="str">
        <f>CT5&amp;"52"</f>
        <v>КОЛ01752</v>
      </c>
      <c r="DA13" s="147" t="str">
        <f>CT5&amp;"10"</f>
        <v>КОЛ01710</v>
      </c>
      <c r="DB13" s="147" t="str">
        <f>CT5&amp;"11"</f>
        <v>КОЛ01711</v>
      </c>
      <c r="DC13" s="147" t="str">
        <f>CT5&amp;"12"</f>
        <v>КОЛ01712</v>
      </c>
      <c r="DD13" s="147" t="str">
        <f>CT5&amp;"13"</f>
        <v>КОЛ01713</v>
      </c>
      <c r="DE13" s="147" t="str">
        <f>CT5&amp;"14"</f>
        <v>КОЛ01714</v>
      </c>
      <c r="DF13" s="147" t="str">
        <f>CT5&amp;"15"</f>
        <v>КОЛ01715</v>
      </c>
      <c r="DG13" s="147" t="str">
        <f>CT5&amp;"16"</f>
        <v>КОЛ01716</v>
      </c>
      <c r="DH13" s="147" t="str">
        <f>CT5&amp;"21"</f>
        <v>КОЛ01721</v>
      </c>
      <c r="DI13" s="152" t="str">
        <f>CT5&amp;"19"</f>
        <v>КОЛ01719</v>
      </c>
      <c r="DJ13" s="132" t="str">
        <f>CT5&amp;"51"</f>
        <v>КОЛ01751</v>
      </c>
      <c r="DK13" s="151" t="str">
        <f>CT5&amp;"23"</f>
        <v>КОЛ01723</v>
      </c>
      <c r="DL13" s="147" t="str">
        <f>DL5&amp;"04"</f>
        <v>5904</v>
      </c>
      <c r="DM13" s="147" t="str">
        <f>DL5&amp;"05"</f>
        <v>5905</v>
      </c>
      <c r="DN13" s="147" t="str">
        <f>DL5&amp;"06"</f>
        <v>5906</v>
      </c>
      <c r="DO13" s="147" t="str">
        <f>DL5&amp;"07"</f>
        <v>5907</v>
      </c>
      <c r="DP13" s="147" t="str">
        <f>DL5&amp;"08"</f>
        <v>5908</v>
      </c>
      <c r="DQ13" s="147" t="str">
        <f>DL5&amp;"09"</f>
        <v>5909</v>
      </c>
      <c r="DR13" s="147" t="str">
        <f>DL5&amp;"52"</f>
        <v>5952</v>
      </c>
      <c r="DS13" s="147" t="str">
        <f>DL5&amp;"10"</f>
        <v>5910</v>
      </c>
      <c r="DT13" s="147" t="str">
        <f>DL5&amp;"11"</f>
        <v>5911</v>
      </c>
      <c r="DU13" s="147" t="str">
        <f>DL5&amp;"12"</f>
        <v>5912</v>
      </c>
      <c r="DV13" s="147" t="str">
        <f>DL5&amp;"13"</f>
        <v>5913</v>
      </c>
      <c r="DW13" s="147" t="str">
        <f>DL5&amp;"14"</f>
        <v>5914</v>
      </c>
      <c r="DX13" s="147" t="str">
        <f>DL5&amp;"15"</f>
        <v>5915</v>
      </c>
      <c r="DY13" s="147" t="str">
        <f>DL5&amp;"16"</f>
        <v>5916</v>
      </c>
      <c r="DZ13" s="147" t="str">
        <f>DL5&amp;"21"</f>
        <v>5921</v>
      </c>
      <c r="EA13" s="152" t="str">
        <f>DL5&amp;"19"</f>
        <v>5919</v>
      </c>
      <c r="EB13" s="132" t="str">
        <f>DL5&amp;"51"</f>
        <v>5951</v>
      </c>
      <c r="EC13" s="151" t="str">
        <f>DL5&amp;"23"</f>
        <v>5923</v>
      </c>
      <c r="ED13" s="147" t="str">
        <f>ED5&amp;"04"</f>
        <v>КОЛ03704</v>
      </c>
      <c r="EE13" s="147" t="str">
        <f>ED5&amp;"05"</f>
        <v>КОЛ03705</v>
      </c>
      <c r="EF13" s="147" t="str">
        <f>ED5&amp;"06"</f>
        <v>КОЛ03706</v>
      </c>
      <c r="EG13" s="147" t="str">
        <f>ED5&amp;"07"</f>
        <v>КОЛ03707</v>
      </c>
      <c r="EH13" s="147" t="str">
        <f>ED5&amp;"08"</f>
        <v>КОЛ03708</v>
      </c>
      <c r="EI13" s="147" t="str">
        <f>ED5&amp;"09"</f>
        <v>КОЛ03709</v>
      </c>
      <c r="EJ13" s="147" t="str">
        <f>ED5&amp;"52"</f>
        <v>КОЛ03752</v>
      </c>
      <c r="EK13" s="147" t="str">
        <f>ED5&amp;"10"</f>
        <v>КОЛ03710</v>
      </c>
      <c r="EL13" s="147" t="str">
        <f>ED5&amp;"11"</f>
        <v>КОЛ03711</v>
      </c>
      <c r="EM13" s="147" t="str">
        <f>ED5&amp;"12"</f>
        <v>КОЛ03712</v>
      </c>
      <c r="EN13" s="147" t="str">
        <f>ED5&amp;"13"</f>
        <v>КОЛ03713</v>
      </c>
      <c r="EO13" s="147" t="str">
        <f>ED5&amp;"14"</f>
        <v>КОЛ03714</v>
      </c>
      <c r="EP13" s="147" t="str">
        <f>ED5&amp;"15"</f>
        <v>КОЛ03715</v>
      </c>
      <c r="EQ13" s="147" t="str">
        <f>ED5&amp;"16"</f>
        <v>КОЛ03716</v>
      </c>
      <c r="ER13" s="147" t="str">
        <f>ED5&amp;"21"</f>
        <v>КОЛ03721</v>
      </c>
      <c r="ES13" s="152" t="str">
        <f>ED5&amp;"19"</f>
        <v>КОЛ03719</v>
      </c>
      <c r="ET13" s="132" t="str">
        <f>ED5&amp;"51"</f>
        <v>КОЛ03751</v>
      </c>
      <c r="EU13" s="151" t="str">
        <f>ED5&amp;"23"</f>
        <v>КОЛ03723</v>
      </c>
      <c r="EV13" s="147" t="str">
        <f>EV5&amp;"04"</f>
        <v>6104</v>
      </c>
      <c r="EW13" s="147" t="str">
        <f>EV5&amp;"05"</f>
        <v>6105</v>
      </c>
      <c r="EX13" s="147" t="str">
        <f>EV5&amp;"06"</f>
        <v>6106</v>
      </c>
      <c r="EY13" s="147" t="str">
        <f>EV5&amp;"07"</f>
        <v>6107</v>
      </c>
      <c r="EZ13" s="147" t="str">
        <f>EV5&amp;"08"</f>
        <v>6108</v>
      </c>
      <c r="FA13" s="147" t="str">
        <f>EV5&amp;"09"</f>
        <v>6109</v>
      </c>
      <c r="FB13" s="147" t="str">
        <f>EV5&amp;"52"</f>
        <v>6152</v>
      </c>
      <c r="FC13" s="147" t="str">
        <f>EV5&amp;"10"</f>
        <v>6110</v>
      </c>
      <c r="FD13" s="147" t="str">
        <f>EV5&amp;"11"</f>
        <v>6111</v>
      </c>
      <c r="FE13" s="147" t="str">
        <f>EV5&amp;"12"</f>
        <v>6112</v>
      </c>
      <c r="FF13" s="147" t="str">
        <f>EV5&amp;"13"</f>
        <v>6113</v>
      </c>
      <c r="FG13" s="147" t="str">
        <f>EV5&amp;"14"</f>
        <v>6114</v>
      </c>
      <c r="FH13" s="147" t="str">
        <f>EV5&amp;"15"</f>
        <v>6115</v>
      </c>
      <c r="FI13" s="147" t="str">
        <f>EV5&amp;"16"</f>
        <v>6116</v>
      </c>
      <c r="FJ13" s="147" t="str">
        <f>EV5&amp;"21"</f>
        <v>6121</v>
      </c>
      <c r="FK13" s="152" t="str">
        <f>EV5&amp;"19"</f>
        <v>6119</v>
      </c>
      <c r="FL13" s="132" t="str">
        <f>EV5&amp;"51"</f>
        <v>6151</v>
      </c>
      <c r="FM13" s="151" t="str">
        <f>EV5&amp;"23"</f>
        <v>6123</v>
      </c>
      <c r="FN13" s="147" t="str">
        <f>FN5&amp;"04"</f>
        <v>КОЛ04904</v>
      </c>
      <c r="FO13" s="147" t="str">
        <f>FN5&amp;"05"</f>
        <v>КОЛ04905</v>
      </c>
      <c r="FP13" s="147" t="str">
        <f>FN5&amp;"06"</f>
        <v>КОЛ04906</v>
      </c>
      <c r="FQ13" s="147" t="str">
        <f>FN5&amp;"07"</f>
        <v>КОЛ04907</v>
      </c>
      <c r="FR13" s="147" t="str">
        <f>FN5&amp;"08"</f>
        <v>КОЛ04908</v>
      </c>
      <c r="FS13" s="147" t="str">
        <f>FN5&amp;"09"</f>
        <v>КОЛ04909</v>
      </c>
      <c r="FT13" s="147" t="str">
        <f>FN5&amp;"52"</f>
        <v>КОЛ04952</v>
      </c>
      <c r="FU13" s="147" t="str">
        <f>FN5&amp;"10"</f>
        <v>КОЛ04910</v>
      </c>
      <c r="FV13" s="147" t="str">
        <f>FN5&amp;"11"</f>
        <v>КОЛ04911</v>
      </c>
      <c r="FW13" s="147" t="str">
        <f>FN5&amp;"12"</f>
        <v>КОЛ04912</v>
      </c>
      <c r="FX13" s="147" t="str">
        <f>FN5&amp;"13"</f>
        <v>КОЛ04913</v>
      </c>
      <c r="FY13" s="147" t="str">
        <f>FN5&amp;"14"</f>
        <v>КОЛ04914</v>
      </c>
      <c r="FZ13" s="147" t="str">
        <f>FN5&amp;"15"</f>
        <v>КОЛ04915</v>
      </c>
      <c r="GA13" s="147" t="str">
        <f>FN5&amp;"16"</f>
        <v>КОЛ04916</v>
      </c>
      <c r="GB13" s="147" t="str">
        <f>FN5&amp;"21"</f>
        <v>КОЛ04921</v>
      </c>
      <c r="GC13" s="152" t="str">
        <f>FN5&amp;"19"</f>
        <v>КОЛ04919</v>
      </c>
      <c r="GD13" s="132" t="str">
        <f>FN5&amp;"51"</f>
        <v>КОЛ04951</v>
      </c>
      <c r="GE13" s="151" t="str">
        <f>FN5&amp;"23"</f>
        <v>КОЛ04923</v>
      </c>
      <c r="GF13" s="147" t="str">
        <f>GF5&amp;"04"</f>
        <v>5104</v>
      </c>
      <c r="GG13" s="147" t="str">
        <f>GF5&amp;"05"</f>
        <v>5105</v>
      </c>
      <c r="GH13" s="147" t="str">
        <f>GF5&amp;"06"</f>
        <v>5106</v>
      </c>
      <c r="GI13" s="147" t="str">
        <f>GF5&amp;"07"</f>
        <v>5107</v>
      </c>
      <c r="GJ13" s="147" t="str">
        <f>GF5&amp;"08"</f>
        <v>5108</v>
      </c>
      <c r="GK13" s="147" t="str">
        <f>GF5&amp;"09"</f>
        <v>5109</v>
      </c>
      <c r="GL13" s="147" t="str">
        <f>GF5&amp;"52"</f>
        <v>5152</v>
      </c>
      <c r="GM13" s="147" t="str">
        <f>GF5&amp;"10"</f>
        <v>5110</v>
      </c>
      <c r="GN13" s="147" t="str">
        <f>GF5&amp;"11"</f>
        <v>5111</v>
      </c>
      <c r="GO13" s="147" t="str">
        <f>GF5&amp;"12"</f>
        <v>5112</v>
      </c>
      <c r="GP13" s="147" t="str">
        <f>GF5&amp;"13"</f>
        <v>5113</v>
      </c>
      <c r="GQ13" s="147" t="str">
        <f>GF5&amp;"14"</f>
        <v>5114</v>
      </c>
      <c r="GR13" s="147" t="str">
        <f>GF5&amp;"15"</f>
        <v>5115</v>
      </c>
      <c r="GS13" s="147" t="str">
        <f>GF5&amp;"16"</f>
        <v>5116</v>
      </c>
      <c r="GT13" s="147" t="str">
        <f>GF5&amp;"21"</f>
        <v>5121</v>
      </c>
      <c r="GU13" s="152" t="str">
        <f>GF5&amp;"19"</f>
        <v>5119</v>
      </c>
      <c r="GV13" s="132" t="str">
        <f>GF5&amp;"51"</f>
        <v>5151</v>
      </c>
      <c r="GW13" s="151" t="str">
        <f>GF5&amp;"23"</f>
        <v>5123</v>
      </c>
      <c r="GX13" s="147" t="str">
        <f>GX5&amp;"04"</f>
        <v>КОЛ05104</v>
      </c>
      <c r="GY13" s="147" t="str">
        <f>GX5&amp;"05"</f>
        <v>КОЛ05105</v>
      </c>
      <c r="GZ13" s="147" t="str">
        <f>GX5&amp;"06"</f>
        <v>КОЛ05106</v>
      </c>
      <c r="HA13" s="147" t="str">
        <f>GX5&amp;"07"</f>
        <v>КОЛ05107</v>
      </c>
      <c r="HB13" s="147" t="str">
        <f>GX5&amp;"08"</f>
        <v>КОЛ05108</v>
      </c>
      <c r="HC13" s="147" t="str">
        <f>GX5&amp;"09"</f>
        <v>КОЛ05109</v>
      </c>
      <c r="HD13" s="147" t="str">
        <f>GX5&amp;"52"</f>
        <v>КОЛ05152</v>
      </c>
      <c r="HE13" s="147" t="str">
        <f>GX5&amp;"10"</f>
        <v>КОЛ05110</v>
      </c>
      <c r="HF13" s="147" t="str">
        <f>GX5&amp;"11"</f>
        <v>КОЛ05111</v>
      </c>
      <c r="HG13" s="147" t="str">
        <f>GX5&amp;"12"</f>
        <v>КОЛ05112</v>
      </c>
      <c r="HH13" s="147" t="str">
        <f>GX5&amp;"13"</f>
        <v>КОЛ05113</v>
      </c>
      <c r="HI13" s="147" t="str">
        <f>GX5&amp;"14"</f>
        <v>КОЛ05114</v>
      </c>
      <c r="HJ13" s="147" t="str">
        <f>GX5&amp;"15"</f>
        <v>КОЛ05115</v>
      </c>
      <c r="HK13" s="147" t="str">
        <f>GX5&amp;"16"</f>
        <v>КОЛ05116</v>
      </c>
      <c r="HL13" s="147" t="str">
        <f>GX5&amp;"21"</f>
        <v>КОЛ05121</v>
      </c>
      <c r="HM13" s="152" t="str">
        <f>GX5&amp;"19"</f>
        <v>КОЛ05119</v>
      </c>
      <c r="HN13" s="132" t="str">
        <f>GX5&amp;"51"</f>
        <v>КОЛ05151</v>
      </c>
      <c r="HO13" s="151" t="str">
        <f>GX5&amp;"23"</f>
        <v>КОЛ05123</v>
      </c>
      <c r="HP13" s="147" t="str">
        <f>HP5&amp;"04"</f>
        <v>5204</v>
      </c>
      <c r="HQ13" s="147" t="str">
        <f>HP5&amp;"05"</f>
        <v>5205</v>
      </c>
      <c r="HR13" s="147" t="str">
        <f>HP5&amp;"06"</f>
        <v>5206</v>
      </c>
      <c r="HS13" s="147" t="str">
        <f>HP5&amp;"07"</f>
        <v>5207</v>
      </c>
      <c r="HT13" s="147" t="str">
        <f>HP5&amp;"08"</f>
        <v>5208</v>
      </c>
      <c r="HU13" s="147" t="str">
        <f>HP5&amp;"09"</f>
        <v>5209</v>
      </c>
      <c r="HV13" s="147" t="str">
        <f>HP5&amp;"52"</f>
        <v>5252</v>
      </c>
      <c r="HW13" s="147" t="str">
        <f>HP5&amp;"10"</f>
        <v>5210</v>
      </c>
      <c r="HX13" s="147" t="str">
        <f>HP5&amp;"11"</f>
        <v>5211</v>
      </c>
      <c r="HY13" s="147" t="str">
        <f>HP5&amp;"12"</f>
        <v>5212</v>
      </c>
      <c r="HZ13" s="147" t="str">
        <f>HP5&amp;"13"</f>
        <v>5213</v>
      </c>
      <c r="IA13" s="147" t="str">
        <f>HP5&amp;"14"</f>
        <v>5214</v>
      </c>
      <c r="IB13" s="147" t="str">
        <f>HP5&amp;"15"</f>
        <v>5215</v>
      </c>
      <c r="IC13" s="147" t="str">
        <f>HP5&amp;"16"</f>
        <v>5216</v>
      </c>
      <c r="ID13" s="147" t="str">
        <f>HP5&amp;"21"</f>
        <v>5221</v>
      </c>
      <c r="IE13" s="152" t="str">
        <f>HP5&amp;"19"</f>
        <v>5219</v>
      </c>
      <c r="IF13" s="132" t="str">
        <f>HP5&amp;"51"</f>
        <v>5251</v>
      </c>
      <c r="IG13" s="151" t="str">
        <f>HP5&amp;"23"</f>
        <v>5223</v>
      </c>
      <c r="IH13" s="147" t="str">
        <f>IH5&amp;"04"</f>
        <v>КОЛ05204</v>
      </c>
      <c r="II13" s="147" t="str">
        <f>IH5&amp;"05"</f>
        <v>КОЛ05205</v>
      </c>
      <c r="IJ13" s="147" t="str">
        <f>IH5&amp;"06"</f>
        <v>КОЛ05206</v>
      </c>
      <c r="IK13" s="147" t="str">
        <f>IH5&amp;"07"</f>
        <v>КОЛ05207</v>
      </c>
      <c r="IL13" s="147" t="str">
        <f>IH5&amp;"08"</f>
        <v>КОЛ05208</v>
      </c>
      <c r="IM13" s="147" t="str">
        <f>IH5&amp;"09"</f>
        <v>КОЛ05209</v>
      </c>
      <c r="IN13" s="147" t="str">
        <f>IH5&amp;"52"</f>
        <v>КОЛ05252</v>
      </c>
      <c r="IO13" s="147" t="str">
        <f>IH5&amp;"10"</f>
        <v>КОЛ05210</v>
      </c>
      <c r="IP13" s="147" t="str">
        <f>IH5&amp;"11"</f>
        <v>КОЛ05211</v>
      </c>
      <c r="IQ13" s="147" t="str">
        <f>IH5&amp;"12"</f>
        <v>КОЛ05212</v>
      </c>
      <c r="IR13" s="147" t="str">
        <f>IH5&amp;"13"</f>
        <v>КОЛ05213</v>
      </c>
      <c r="IS13" s="147" t="str">
        <f>IH5&amp;"14"</f>
        <v>КОЛ05214</v>
      </c>
      <c r="IT13" s="147" t="str">
        <f>IH5&amp;"15"</f>
        <v>КОЛ05215</v>
      </c>
      <c r="IU13" s="147" t="str">
        <f>IH5&amp;"16"</f>
        <v>КОЛ05216</v>
      </c>
      <c r="IV13" s="147" t="str">
        <f>IH5&amp;"21"</f>
        <v>КОЛ05221</v>
      </c>
      <c r="IW13" s="152" t="str">
        <f>IH5&amp;"19"</f>
        <v>КОЛ05219</v>
      </c>
      <c r="IX13" s="132" t="str">
        <f>IH5&amp;"51"</f>
        <v>КОЛ05251</v>
      </c>
      <c r="IY13" s="151" t="str">
        <f>IH5&amp;"23"</f>
        <v>КОЛ05223</v>
      </c>
      <c r="IZ13" s="147" t="str">
        <f>IZ5&amp;"04"</f>
        <v>5304</v>
      </c>
      <c r="JA13" s="147" t="str">
        <f>IZ5&amp;"05"</f>
        <v>5305</v>
      </c>
      <c r="JB13" s="147" t="str">
        <f>IZ5&amp;"06"</f>
        <v>5306</v>
      </c>
      <c r="JC13" s="147" t="str">
        <f>IZ5&amp;"07"</f>
        <v>5307</v>
      </c>
      <c r="JD13" s="147" t="str">
        <f>IZ5&amp;"08"</f>
        <v>5308</v>
      </c>
      <c r="JE13" s="147" t="str">
        <f>IZ5&amp;"09"</f>
        <v>5309</v>
      </c>
      <c r="JF13" s="147" t="str">
        <f>IZ5&amp;"52"</f>
        <v>5352</v>
      </c>
      <c r="JG13" s="147" t="str">
        <f>IZ5&amp;"10"</f>
        <v>5310</v>
      </c>
      <c r="JH13" s="147" t="str">
        <f>IZ5&amp;"11"</f>
        <v>5311</v>
      </c>
      <c r="JI13" s="147" t="str">
        <f>IZ5&amp;"12"</f>
        <v>5312</v>
      </c>
      <c r="JJ13" s="147" t="str">
        <f>IZ5&amp;"13"</f>
        <v>5313</v>
      </c>
      <c r="JK13" s="147" t="str">
        <f>IZ5&amp;"14"</f>
        <v>5314</v>
      </c>
      <c r="JL13" s="147" t="str">
        <f>IZ5&amp;"15"</f>
        <v>5315</v>
      </c>
      <c r="JM13" s="147" t="str">
        <f>IZ5&amp;"16"</f>
        <v>5316</v>
      </c>
      <c r="JN13" s="147" t="str">
        <f>IZ5&amp;"21"</f>
        <v>5321</v>
      </c>
      <c r="JO13" s="152" t="str">
        <f>IZ5&amp;"19"</f>
        <v>5319</v>
      </c>
      <c r="JP13" s="132" t="str">
        <f>IZ5&amp;"51"</f>
        <v>5351</v>
      </c>
      <c r="JQ13" s="151" t="str">
        <f>IZ5&amp;"23"</f>
        <v>5323</v>
      </c>
      <c r="JR13" s="147" t="str">
        <f>JR5&amp;"04"</f>
        <v>КОЛ05304</v>
      </c>
      <c r="JS13" s="147" t="str">
        <f>JR5&amp;"05"</f>
        <v>КОЛ05305</v>
      </c>
      <c r="JT13" s="147" t="str">
        <f>JR5&amp;"06"</f>
        <v>КОЛ05306</v>
      </c>
      <c r="JU13" s="147" t="str">
        <f>JR5&amp;"07"</f>
        <v>КОЛ05307</v>
      </c>
      <c r="JV13" s="147" t="str">
        <f>JR5&amp;"08"</f>
        <v>КОЛ05308</v>
      </c>
      <c r="JW13" s="147" t="str">
        <f>JR5&amp;"09"</f>
        <v>КОЛ05309</v>
      </c>
      <c r="JX13" s="147" t="str">
        <f>JR5&amp;"52"</f>
        <v>КОЛ05352</v>
      </c>
      <c r="JY13" s="147" t="str">
        <f>JR5&amp;"10"</f>
        <v>КОЛ05310</v>
      </c>
      <c r="JZ13" s="147" t="str">
        <f>JR5&amp;"11"</f>
        <v>КОЛ05311</v>
      </c>
      <c r="KA13" s="147" t="str">
        <f>JR5&amp;"12"</f>
        <v>КОЛ05312</v>
      </c>
      <c r="KB13" s="147" t="str">
        <f>JR5&amp;"13"</f>
        <v>КОЛ05313</v>
      </c>
      <c r="KC13" s="147" t="str">
        <f>JR5&amp;"14"</f>
        <v>КОЛ05314</v>
      </c>
      <c r="KD13" s="147" t="str">
        <f>JR5&amp;"15"</f>
        <v>КОЛ05315</v>
      </c>
      <c r="KE13" s="147" t="str">
        <f>JR5&amp;"16"</f>
        <v>КОЛ05316</v>
      </c>
      <c r="KF13" s="147" t="str">
        <f>JR5&amp;"21"</f>
        <v>КОЛ05321</v>
      </c>
      <c r="KG13" s="152" t="str">
        <f>JR5&amp;"19"</f>
        <v>КОЛ05319</v>
      </c>
      <c r="KH13" s="132" t="str">
        <f>JR5&amp;"51"</f>
        <v>КОЛ05351</v>
      </c>
      <c r="KI13" s="151" t="str">
        <f>JR5&amp;"23"</f>
        <v>КОЛ05323</v>
      </c>
      <c r="KJ13" s="147" t="str">
        <f>KJ5&amp;"04"</f>
        <v>5404</v>
      </c>
      <c r="KK13" s="147" t="str">
        <f>KJ5&amp;"05"</f>
        <v>5405</v>
      </c>
      <c r="KL13" s="147" t="str">
        <f>KJ5&amp;"06"</f>
        <v>5406</v>
      </c>
      <c r="KM13" s="147" t="str">
        <f>KJ5&amp;"07"</f>
        <v>5407</v>
      </c>
      <c r="KN13" s="147" t="str">
        <f>KJ5&amp;"08"</f>
        <v>5408</v>
      </c>
      <c r="KO13" s="147" t="str">
        <f>KJ5&amp;"09"</f>
        <v>5409</v>
      </c>
      <c r="KP13" s="147" t="str">
        <f>KJ5&amp;"52"</f>
        <v>5452</v>
      </c>
      <c r="KQ13" s="147" t="str">
        <f>KJ5&amp;"10"</f>
        <v>5410</v>
      </c>
      <c r="KR13" s="147" t="str">
        <f>KJ5&amp;"11"</f>
        <v>5411</v>
      </c>
      <c r="KS13" s="147" t="str">
        <f>KJ5&amp;"12"</f>
        <v>5412</v>
      </c>
      <c r="KT13" s="147" t="str">
        <f>KJ5&amp;"13"</f>
        <v>5413</v>
      </c>
      <c r="KU13" s="147" t="str">
        <f>KJ5&amp;"14"</f>
        <v>5414</v>
      </c>
      <c r="KV13" s="147" t="str">
        <f>KJ5&amp;"15"</f>
        <v>5415</v>
      </c>
      <c r="KW13" s="147" t="str">
        <f>KJ5&amp;"16"</f>
        <v>5416</v>
      </c>
      <c r="KX13" s="147" t="str">
        <f>KJ5&amp;"21"</f>
        <v>5421</v>
      </c>
      <c r="KY13" s="152" t="str">
        <f>KJ5&amp;"19"</f>
        <v>5419</v>
      </c>
      <c r="KZ13" s="132" t="str">
        <f>KJ5&amp;"51"</f>
        <v>5451</v>
      </c>
      <c r="LA13" s="151" t="str">
        <f>KJ5&amp;"23"</f>
        <v>5423</v>
      </c>
      <c r="LB13" s="147" t="str">
        <f>LB5&amp;"04"</f>
        <v>КОЛ05404</v>
      </c>
      <c r="LC13" s="147" t="str">
        <f>LB5&amp;"05"</f>
        <v>КОЛ05405</v>
      </c>
      <c r="LD13" s="147" t="str">
        <f>LB5&amp;"06"</f>
        <v>КОЛ05406</v>
      </c>
      <c r="LE13" s="147" t="str">
        <f>LB5&amp;"07"</f>
        <v>КОЛ05407</v>
      </c>
      <c r="LF13" s="147" t="str">
        <f>LB5&amp;"08"</f>
        <v>КОЛ05408</v>
      </c>
      <c r="LG13" s="147" t="str">
        <f>LB5&amp;"09"</f>
        <v>КОЛ05409</v>
      </c>
      <c r="LH13" s="147" t="str">
        <f>LB5&amp;"52"</f>
        <v>КОЛ05452</v>
      </c>
      <c r="LI13" s="147" t="str">
        <f>LB5&amp;"10"</f>
        <v>КОЛ05410</v>
      </c>
      <c r="LJ13" s="147" t="str">
        <f>LB5&amp;"11"</f>
        <v>КОЛ05411</v>
      </c>
      <c r="LK13" s="147" t="str">
        <f>LB5&amp;"12"</f>
        <v>КОЛ05412</v>
      </c>
      <c r="LL13" s="147" t="str">
        <f>LB5&amp;"13"</f>
        <v>КОЛ05413</v>
      </c>
      <c r="LM13" s="147" t="str">
        <f>LB5&amp;"14"</f>
        <v>КОЛ05414</v>
      </c>
      <c r="LN13" s="147" t="str">
        <f>LB5&amp;"15"</f>
        <v>КОЛ05415</v>
      </c>
      <c r="LO13" s="147" t="str">
        <f>LB5&amp;"16"</f>
        <v>КОЛ05416</v>
      </c>
      <c r="LP13" s="147" t="str">
        <f>LB5&amp;"21"</f>
        <v>КОЛ05421</v>
      </c>
      <c r="LQ13" s="152" t="str">
        <f>LB5&amp;"19"</f>
        <v>КОЛ05419</v>
      </c>
      <c r="LR13" s="132" t="str">
        <f>LB5&amp;"51"</f>
        <v>КОЛ05451</v>
      </c>
      <c r="LS13" s="151" t="str">
        <f>LB5&amp;"23"</f>
        <v>КОЛ05423</v>
      </c>
      <c r="LT13" s="147" t="str">
        <f>LT5&amp;"04"</f>
        <v>5804</v>
      </c>
      <c r="LU13" s="147" t="str">
        <f>LT5&amp;"05"</f>
        <v>5805</v>
      </c>
      <c r="LV13" s="147" t="str">
        <f>LT5&amp;"06"</f>
        <v>5806</v>
      </c>
      <c r="LW13" s="147" t="str">
        <f>LT5&amp;"07"</f>
        <v>5807</v>
      </c>
      <c r="LX13" s="147" t="str">
        <f>LT5&amp;"08"</f>
        <v>5808</v>
      </c>
      <c r="LY13" s="147" t="str">
        <f>LT5&amp;"09"</f>
        <v>5809</v>
      </c>
      <c r="LZ13" s="147" t="str">
        <f>LT5&amp;"52"</f>
        <v>5852</v>
      </c>
      <c r="MA13" s="147" t="str">
        <f>LT5&amp;"10"</f>
        <v>5810</v>
      </c>
      <c r="MB13" s="147" t="str">
        <f>LT5&amp;"11"</f>
        <v>5811</v>
      </c>
      <c r="MC13" s="147" t="str">
        <f>LT5&amp;"12"</f>
        <v>5812</v>
      </c>
      <c r="MD13" s="147" t="str">
        <f>LT5&amp;"13"</f>
        <v>5813</v>
      </c>
      <c r="ME13" s="147" t="str">
        <f>LT5&amp;"14"</f>
        <v>5814</v>
      </c>
      <c r="MF13" s="147" t="str">
        <f>LT5&amp;"15"</f>
        <v>5815</v>
      </c>
      <c r="MG13" s="147" t="str">
        <f>LT5&amp;"16"</f>
        <v>5816</v>
      </c>
      <c r="MH13" s="147" t="str">
        <f>LT5&amp;"21"</f>
        <v>5821</v>
      </c>
      <c r="MI13" s="152" t="str">
        <f>LT5&amp;"19"</f>
        <v>5819</v>
      </c>
      <c r="MJ13" s="132" t="str">
        <f>LT5&amp;"51"</f>
        <v>5851</v>
      </c>
      <c r="MK13" s="151" t="str">
        <f>LT5&amp;"23"</f>
        <v>5823</v>
      </c>
      <c r="ML13" s="147" t="str">
        <f>ML5&amp;"04"</f>
        <v>КОЛ05504</v>
      </c>
      <c r="MM13" s="147" t="str">
        <f>ML5&amp;"05"</f>
        <v>КОЛ05505</v>
      </c>
      <c r="MN13" s="147" t="str">
        <f>ML5&amp;"06"</f>
        <v>КОЛ05506</v>
      </c>
      <c r="MO13" s="147" t="str">
        <f>ML5&amp;"07"</f>
        <v>КОЛ05507</v>
      </c>
      <c r="MP13" s="147" t="str">
        <f>ML5&amp;"08"</f>
        <v>КОЛ05508</v>
      </c>
      <c r="MQ13" s="147" t="str">
        <f>ML5&amp;"09"</f>
        <v>КОЛ05509</v>
      </c>
      <c r="MR13" s="147" t="str">
        <f>ML5&amp;"52"</f>
        <v>КОЛ05552</v>
      </c>
      <c r="MS13" s="147" t="str">
        <f>ML5&amp;"10"</f>
        <v>КОЛ05510</v>
      </c>
      <c r="MT13" s="147" t="str">
        <f>ML5&amp;"11"</f>
        <v>КОЛ05511</v>
      </c>
      <c r="MU13" s="147" t="str">
        <f>ML5&amp;"12"</f>
        <v>КОЛ05512</v>
      </c>
      <c r="MV13" s="147" t="str">
        <f>ML5&amp;"13"</f>
        <v>КОЛ05513</v>
      </c>
      <c r="MW13" s="147" t="str">
        <f>ML5&amp;"14"</f>
        <v>КОЛ05514</v>
      </c>
      <c r="MX13" s="147" t="str">
        <f>ML5&amp;"15"</f>
        <v>КОЛ05515</v>
      </c>
      <c r="MY13" s="147" t="str">
        <f>ML5&amp;"16"</f>
        <v>КОЛ05516</v>
      </c>
      <c r="MZ13" s="147" t="str">
        <f>ML5&amp;"21"</f>
        <v>КОЛ05521</v>
      </c>
      <c r="NA13" s="152" t="str">
        <f>ML5&amp;"19"</f>
        <v>КОЛ05519</v>
      </c>
      <c r="NB13" s="132" t="str">
        <f>ML5&amp;"51"</f>
        <v>КОЛ05551</v>
      </c>
      <c r="NC13" s="151" t="str">
        <f>ML5&amp;"23"</f>
        <v>КОЛ05523</v>
      </c>
      <c r="ND13" s="147" t="str">
        <f>ND5&amp;"04"</f>
        <v>6004</v>
      </c>
      <c r="NE13" s="147" t="str">
        <f>ND5&amp;"05"</f>
        <v>6005</v>
      </c>
      <c r="NF13" s="147" t="str">
        <f>ND5&amp;"06"</f>
        <v>6006</v>
      </c>
      <c r="NG13" s="147" t="str">
        <f>ND5&amp;"07"</f>
        <v>6007</v>
      </c>
      <c r="NH13" s="147" t="str">
        <f>ND5&amp;"08"</f>
        <v>6008</v>
      </c>
      <c r="NI13" s="147" t="str">
        <f>ND5&amp;"09"</f>
        <v>6009</v>
      </c>
      <c r="NJ13" s="147" t="str">
        <f>ND5&amp;"52"</f>
        <v>6052</v>
      </c>
      <c r="NK13" s="147" t="str">
        <f>ND5&amp;"10"</f>
        <v>6010</v>
      </c>
      <c r="NL13" s="147" t="str">
        <f>ND5&amp;"11"</f>
        <v>6011</v>
      </c>
      <c r="NM13" s="147" t="str">
        <f>ND5&amp;"12"</f>
        <v>6012</v>
      </c>
      <c r="NN13" s="147" t="str">
        <f>ND5&amp;"13"</f>
        <v>6013</v>
      </c>
      <c r="NO13" s="147" t="str">
        <f>ND5&amp;"14"</f>
        <v>6014</v>
      </c>
      <c r="NP13" s="147" t="str">
        <f>ND5&amp;"15"</f>
        <v>6015</v>
      </c>
      <c r="NQ13" s="147" t="str">
        <f>ND5&amp;"16"</f>
        <v>6016</v>
      </c>
      <c r="NR13" s="147" t="str">
        <f>ND5&amp;"21"</f>
        <v>6021</v>
      </c>
      <c r="NS13" s="152" t="str">
        <f>ND5&amp;"19"</f>
        <v>6019</v>
      </c>
      <c r="NT13" s="132" t="str">
        <f>ND5&amp;"51"</f>
        <v>6051</v>
      </c>
      <c r="NU13" s="151" t="str">
        <f>ND5&amp;"23"</f>
        <v>6023</v>
      </c>
      <c r="NV13" s="147" t="str">
        <f>NV5&amp;"04"</f>
        <v>КОЛ06004</v>
      </c>
      <c r="NW13" s="147" t="str">
        <f>NV5&amp;"05"</f>
        <v>КОЛ06005</v>
      </c>
      <c r="NX13" s="147" t="str">
        <f>NV5&amp;"06"</f>
        <v>КОЛ06006</v>
      </c>
      <c r="NY13" s="147" t="str">
        <f>NV5&amp;"07"</f>
        <v>КОЛ06007</v>
      </c>
      <c r="NZ13" s="147" t="str">
        <f>NV5&amp;"08"</f>
        <v>КОЛ06008</v>
      </c>
      <c r="OA13" s="147" t="str">
        <f>NV5&amp;"09"</f>
        <v>КОЛ06009</v>
      </c>
      <c r="OB13" s="147" t="str">
        <f>NV5&amp;"52"</f>
        <v>КОЛ06052</v>
      </c>
      <c r="OC13" s="147" t="str">
        <f>NV5&amp;"10"</f>
        <v>КОЛ06010</v>
      </c>
      <c r="OD13" s="147" t="str">
        <f>NV5&amp;"11"</f>
        <v>КОЛ06011</v>
      </c>
      <c r="OE13" s="147" t="str">
        <f>NV5&amp;"12"</f>
        <v>КОЛ06012</v>
      </c>
      <c r="OF13" s="147" t="str">
        <f>NV5&amp;"13"</f>
        <v>КОЛ06013</v>
      </c>
      <c r="OG13" s="147" t="str">
        <f>NV5&amp;"14"</f>
        <v>КОЛ06014</v>
      </c>
      <c r="OH13" s="147" t="str">
        <f>NV5&amp;"15"</f>
        <v>КОЛ06015</v>
      </c>
      <c r="OI13" s="147" t="str">
        <f>NV5&amp;"16"</f>
        <v>КОЛ06016</v>
      </c>
      <c r="OJ13" s="147" t="str">
        <f>NV5&amp;"21"</f>
        <v>КОЛ06021</v>
      </c>
      <c r="OK13" s="152" t="str">
        <f>NV5&amp;"19"</f>
        <v>КОЛ06019</v>
      </c>
      <c r="OL13" s="132" t="str">
        <f>NV5&amp;"51"</f>
        <v>КОЛ06051</v>
      </c>
      <c r="OM13" s="151" t="str">
        <f>NV5&amp;"23"</f>
        <v>КОЛ06023</v>
      </c>
      <c r="ON13" s="147" t="str">
        <f>ON5&amp;"04"</f>
        <v>5704</v>
      </c>
      <c r="OO13" s="147" t="str">
        <f>ON5&amp;"05"</f>
        <v>5705</v>
      </c>
      <c r="OP13" s="147" t="str">
        <f>ON5&amp;"06"</f>
        <v>5706</v>
      </c>
      <c r="OQ13" s="147" t="str">
        <f>ON5&amp;"07"</f>
        <v>5707</v>
      </c>
      <c r="OR13" s="147" t="str">
        <f>ON5&amp;"08"</f>
        <v>5708</v>
      </c>
      <c r="OS13" s="147" t="str">
        <f>ON5&amp;"09"</f>
        <v>5709</v>
      </c>
      <c r="OT13" s="147" t="str">
        <f>ON5&amp;"52"</f>
        <v>5752</v>
      </c>
      <c r="OU13" s="147" t="str">
        <f>ON5&amp;"10"</f>
        <v>5710</v>
      </c>
      <c r="OV13" s="147" t="str">
        <f>ON5&amp;"11"</f>
        <v>5711</v>
      </c>
      <c r="OW13" s="147" t="str">
        <f>ON5&amp;"12"</f>
        <v>5712</v>
      </c>
      <c r="OX13" s="147" t="str">
        <f>ON5&amp;"13"</f>
        <v>5713</v>
      </c>
      <c r="OY13" s="147" t="str">
        <f>ON5&amp;"14"</f>
        <v>5714</v>
      </c>
      <c r="OZ13" s="147" t="str">
        <f>ON5&amp;"15"</f>
        <v>5715</v>
      </c>
      <c r="PA13" s="147" t="str">
        <f>ON5&amp;"16"</f>
        <v>5716</v>
      </c>
      <c r="PB13" s="147" t="str">
        <f>ON5&amp;"21"</f>
        <v>5721</v>
      </c>
      <c r="PC13" s="152" t="str">
        <f>ON5&amp;"19"</f>
        <v>5719</v>
      </c>
      <c r="PD13" s="132" t="str">
        <f>ON5&amp;"51"</f>
        <v>5751</v>
      </c>
      <c r="PE13" s="151" t="str">
        <f>ON5&amp;"23"</f>
        <v>5723</v>
      </c>
      <c r="PF13" s="147" t="str">
        <f>PF5&amp;"04"</f>
        <v>6304</v>
      </c>
      <c r="PG13" s="147" t="str">
        <f>PF5&amp;"05"</f>
        <v>6305</v>
      </c>
      <c r="PH13" s="147" t="str">
        <f>PF5&amp;"06"</f>
        <v>6306</v>
      </c>
      <c r="PI13" s="147" t="str">
        <f>PF5&amp;"07"</f>
        <v>6307</v>
      </c>
      <c r="PJ13" s="147" t="str">
        <f>PF5&amp;"08"</f>
        <v>6308</v>
      </c>
      <c r="PK13" s="147" t="str">
        <f>PF5&amp;"09"</f>
        <v>6309</v>
      </c>
      <c r="PL13" s="147" t="str">
        <f>PF5&amp;"52"</f>
        <v>6352</v>
      </c>
      <c r="PM13" s="147" t="str">
        <f>PF5&amp;"10"</f>
        <v>6310</v>
      </c>
      <c r="PN13" s="147" t="str">
        <f>PF5&amp;"11"</f>
        <v>6311</v>
      </c>
      <c r="PO13" s="147" t="str">
        <f>PF5&amp;"12"</f>
        <v>6312</v>
      </c>
      <c r="PP13" s="147" t="str">
        <f>PF5&amp;"13"</f>
        <v>6313</v>
      </c>
      <c r="PQ13" s="147" t="str">
        <f>PF5&amp;"14"</f>
        <v>6314</v>
      </c>
      <c r="PR13" s="147" t="str">
        <f>PF5&amp;"15"</f>
        <v>6315</v>
      </c>
      <c r="PS13" s="147" t="str">
        <f>PF5&amp;"16"</f>
        <v>6316</v>
      </c>
      <c r="PT13" s="147" t="str">
        <f>PF5&amp;"21"</f>
        <v>6321</v>
      </c>
      <c r="PU13" s="152" t="str">
        <f>PF5&amp;"19"</f>
        <v>6319</v>
      </c>
      <c r="PV13" s="132" t="str">
        <f>PF5&amp;"51"</f>
        <v>6351</v>
      </c>
      <c r="PW13" s="151" t="str">
        <f>PF5&amp;"23"</f>
        <v>6323</v>
      </c>
      <c r="PX13" s="151" t="str">
        <f>PX5&amp;"04"</f>
        <v>КОЛ06404</v>
      </c>
      <c r="PY13" s="151" t="str">
        <f>PX5&amp;"05"</f>
        <v>КОЛ06405</v>
      </c>
      <c r="PZ13" s="151" t="str">
        <f>PX5&amp;"06"</f>
        <v>КОЛ06406</v>
      </c>
      <c r="QA13" s="151" t="str">
        <f>PX5&amp;"07"</f>
        <v>КОЛ06407</v>
      </c>
      <c r="QB13" s="151" t="str">
        <f>PX5&amp;"08"</f>
        <v>КОЛ06408</v>
      </c>
      <c r="QC13" s="151" t="str">
        <f>PX5&amp;"09"</f>
        <v>КОЛ06409</v>
      </c>
      <c r="QD13" s="151" t="str">
        <f>PX5&amp;"52"</f>
        <v>КОЛ06452</v>
      </c>
      <c r="QE13" s="151" t="str">
        <f>PX5&amp;"10"</f>
        <v>КОЛ06410</v>
      </c>
      <c r="QF13" s="151" t="str">
        <f>PX5&amp;"11"</f>
        <v>КОЛ06411</v>
      </c>
      <c r="QG13" s="151" t="str">
        <f>PX5&amp;"12"</f>
        <v>КОЛ06412</v>
      </c>
      <c r="QH13" s="151" t="str">
        <f>PX5&amp;"13"</f>
        <v>КОЛ06413</v>
      </c>
      <c r="QI13" s="151" t="str">
        <f>PX5&amp;"14"</f>
        <v>КОЛ06414</v>
      </c>
      <c r="QJ13" s="151" t="str">
        <f>PX5&amp;"15"</f>
        <v>КОЛ06415</v>
      </c>
      <c r="QK13" s="151" t="str">
        <f>PX5&amp;"16"</f>
        <v>КОЛ06416</v>
      </c>
      <c r="QL13" s="151" t="str">
        <f>PX5&amp;"21"</f>
        <v>КОЛ06421</v>
      </c>
      <c r="QM13" s="151" t="str">
        <f>PX5&amp;"19"</f>
        <v>КОЛ06419</v>
      </c>
      <c r="QN13" s="151" t="str">
        <f>PX5&amp;"51"</f>
        <v>КОЛ06451</v>
      </c>
      <c r="QO13" s="151" t="str">
        <f>PX5&amp;"23"</f>
        <v>КОЛ06423</v>
      </c>
      <c r="QP13" s="151" t="str">
        <f>QP5&amp;"04"</f>
        <v>6504</v>
      </c>
      <c r="QQ13" s="151" t="str">
        <f>QP5&amp;"05"</f>
        <v>6505</v>
      </c>
      <c r="QR13" s="151" t="str">
        <f>QP5&amp;"06"</f>
        <v>6506</v>
      </c>
      <c r="QS13" s="151" t="str">
        <f>QP5&amp;"07"</f>
        <v>6507</v>
      </c>
      <c r="QT13" s="151" t="str">
        <f>QP5&amp;"08"</f>
        <v>6508</v>
      </c>
      <c r="QU13" s="151" t="str">
        <f>QP5&amp;"09"</f>
        <v>6509</v>
      </c>
      <c r="QV13" s="151" t="str">
        <f>QP5&amp;"52"</f>
        <v>6552</v>
      </c>
      <c r="QW13" s="151" t="str">
        <f>QP5&amp;"10"</f>
        <v>6510</v>
      </c>
      <c r="QX13" s="151" t="str">
        <f>QP5&amp;"11"</f>
        <v>6511</v>
      </c>
      <c r="QY13" s="151" t="str">
        <f>QP5&amp;"12"</f>
        <v>6512</v>
      </c>
      <c r="QZ13" s="151" t="str">
        <f>QP5&amp;"13"</f>
        <v>6513</v>
      </c>
      <c r="RA13" s="151" t="str">
        <f>QP5&amp;"14"</f>
        <v>6514</v>
      </c>
      <c r="RB13" s="151" t="str">
        <f>QP5&amp;"15"</f>
        <v>6515</v>
      </c>
      <c r="RC13" s="151" t="str">
        <f>QP5&amp;"16"</f>
        <v>6516</v>
      </c>
      <c r="RD13" s="151" t="str">
        <f>QP5&amp;"21"</f>
        <v>6521</v>
      </c>
      <c r="RE13" s="151" t="str">
        <f>QP5&amp;"19"</f>
        <v>6519</v>
      </c>
      <c r="RF13" s="151" t="str">
        <f>QP5&amp;"51"</f>
        <v>6551</v>
      </c>
      <c r="RG13" s="151" t="str">
        <f>QP5&amp;"23"</f>
        <v>6523</v>
      </c>
      <c r="RH13" s="151" t="str">
        <f>RH5&amp;"04"</f>
        <v>КОЛ06604</v>
      </c>
      <c r="RI13" s="151" t="str">
        <f>RH5&amp;"05"</f>
        <v>КОЛ06605</v>
      </c>
      <c r="RJ13" s="151" t="str">
        <f>RH5&amp;"06"</f>
        <v>КОЛ06606</v>
      </c>
      <c r="RK13" s="151" t="str">
        <f>RH5&amp;"07"</f>
        <v>КОЛ06607</v>
      </c>
      <c r="RL13" s="151" t="str">
        <f>RH5&amp;"08"</f>
        <v>КОЛ06608</v>
      </c>
      <c r="RM13" s="151" t="str">
        <f>RH5&amp;"09"</f>
        <v>КОЛ06609</v>
      </c>
      <c r="RN13" s="151" t="str">
        <f>RH5&amp;"52"</f>
        <v>КОЛ06652</v>
      </c>
      <c r="RO13" s="151" t="str">
        <f>RH5&amp;"10"</f>
        <v>КОЛ06610</v>
      </c>
      <c r="RP13" s="151" t="str">
        <f>RH5&amp;"11"</f>
        <v>КОЛ06611</v>
      </c>
      <c r="RQ13" s="151" t="str">
        <f>RH5&amp;"12"</f>
        <v>КОЛ06612</v>
      </c>
      <c r="RR13" s="151" t="str">
        <f>RH5&amp;"13"</f>
        <v>КОЛ06613</v>
      </c>
      <c r="RS13" s="151" t="str">
        <f>RH5&amp;"14"</f>
        <v>КОЛ06614</v>
      </c>
      <c r="RT13" s="151" t="str">
        <f>RH5&amp;"15"</f>
        <v>КОЛ06615</v>
      </c>
      <c r="RU13" s="151" t="str">
        <f>RH5&amp;"16"</f>
        <v>КОЛ06616</v>
      </c>
      <c r="RV13" s="151" t="str">
        <f>RH5&amp;"21"</f>
        <v>КОЛ06621</v>
      </c>
      <c r="RW13" s="151" t="str">
        <f>RH5&amp;"19"</f>
        <v>КОЛ06619</v>
      </c>
      <c r="RX13" s="151" t="str">
        <f>RH5&amp;"51"</f>
        <v>КОЛ06651</v>
      </c>
      <c r="RY13" s="151" t="str">
        <f>RH5&amp;"23"</f>
        <v>КОЛ06623</v>
      </c>
      <c r="RZ13" s="151" t="str">
        <f>RZ5&amp;"04"</f>
        <v>6704</v>
      </c>
      <c r="SA13" s="151" t="str">
        <f>RZ5&amp;"05"</f>
        <v>6705</v>
      </c>
      <c r="SB13" s="151" t="str">
        <f>RZ5&amp;"06"</f>
        <v>6706</v>
      </c>
      <c r="SC13" s="151" t="str">
        <f>RZ5&amp;"07"</f>
        <v>6707</v>
      </c>
      <c r="SD13" s="151" t="str">
        <f>RZ5&amp;"08"</f>
        <v>6708</v>
      </c>
      <c r="SE13" s="151" t="str">
        <f>RZ5&amp;"09"</f>
        <v>6709</v>
      </c>
      <c r="SF13" s="151" t="str">
        <f>RZ5&amp;"52"</f>
        <v>6752</v>
      </c>
      <c r="SG13" s="151" t="str">
        <f>RZ5&amp;"10"</f>
        <v>6710</v>
      </c>
      <c r="SH13" s="151" t="str">
        <f>RZ5&amp;"11"</f>
        <v>6711</v>
      </c>
      <c r="SI13" s="151" t="str">
        <f>RZ5&amp;"12"</f>
        <v>6712</v>
      </c>
      <c r="SJ13" s="151" t="str">
        <f>RZ5&amp;"13"</f>
        <v>6713</v>
      </c>
      <c r="SK13" s="151" t="str">
        <f>RZ5&amp;"14"</f>
        <v>6714</v>
      </c>
      <c r="SL13" s="151" t="str">
        <f>RZ5&amp;"15"</f>
        <v>6715</v>
      </c>
      <c r="SM13" s="151" t="str">
        <f>RZ5&amp;"16"</f>
        <v>6716</v>
      </c>
      <c r="SN13" s="151" t="str">
        <f>RZ5&amp;"21"</f>
        <v>6721</v>
      </c>
      <c r="SO13" s="151" t="str">
        <f>RZ5&amp;"19"</f>
        <v>6719</v>
      </c>
      <c r="SP13" s="151" t="str">
        <f>RZ5&amp;"51"</f>
        <v>6751</v>
      </c>
      <c r="SQ13" s="151" t="str">
        <f>RZ5&amp;"23"</f>
        <v>6723</v>
      </c>
      <c r="SR13" s="151" t="str">
        <f>SR5&amp;"04"</f>
        <v>КОЛ06804</v>
      </c>
      <c r="SS13" s="151" t="str">
        <f>SR5&amp;"05"</f>
        <v>КОЛ06805</v>
      </c>
      <c r="ST13" s="151" t="str">
        <f>SR5&amp;"06"</f>
        <v>КОЛ06806</v>
      </c>
      <c r="SU13" s="151" t="str">
        <f>SR5&amp;"07"</f>
        <v>КОЛ06807</v>
      </c>
      <c r="SV13" s="151" t="str">
        <f>SR5&amp;"08"</f>
        <v>КОЛ06808</v>
      </c>
      <c r="SW13" s="151" t="str">
        <f>SR5&amp;"09"</f>
        <v>КОЛ06809</v>
      </c>
      <c r="SX13" s="151" t="str">
        <f>SR5&amp;"52"</f>
        <v>КОЛ06852</v>
      </c>
      <c r="SY13" s="151" t="str">
        <f>SR5&amp;"10"</f>
        <v>КОЛ06810</v>
      </c>
      <c r="SZ13" s="151" t="str">
        <f>SR5&amp;"11"</f>
        <v>КОЛ06811</v>
      </c>
      <c r="TA13" s="151" t="str">
        <f>SR5&amp;"12"</f>
        <v>КОЛ06812</v>
      </c>
      <c r="TB13" s="151" t="str">
        <f>SR5&amp;"13"</f>
        <v>КОЛ06813</v>
      </c>
      <c r="TC13" s="151" t="str">
        <f>SR5&amp;"14"</f>
        <v>КОЛ06814</v>
      </c>
      <c r="TD13" s="151" t="str">
        <f>SR5&amp;"15"</f>
        <v>КОЛ06815</v>
      </c>
      <c r="TE13" s="151" t="str">
        <f>SR5&amp;"16"</f>
        <v>КОЛ06816</v>
      </c>
      <c r="TF13" s="151" t="str">
        <f>SR5&amp;"21"</f>
        <v>КОЛ06821</v>
      </c>
      <c r="TG13" s="151" t="str">
        <f>SR5&amp;"19"</f>
        <v>КОЛ06819</v>
      </c>
      <c r="TH13" s="151" t="str">
        <f>SR5&amp;"51"</f>
        <v>КОЛ06851</v>
      </c>
      <c r="TI13" s="151" t="str">
        <f>SR5&amp;"23"</f>
        <v>КОЛ06823</v>
      </c>
      <c r="TJ13" s="151" t="str">
        <f>TJ5&amp;"04"</f>
        <v>6904</v>
      </c>
      <c r="TK13" s="151" t="str">
        <f>TJ5&amp;"05"</f>
        <v>6905</v>
      </c>
      <c r="TL13" s="151" t="str">
        <f>TJ5&amp;"06"</f>
        <v>6906</v>
      </c>
      <c r="TM13" s="151" t="str">
        <f>TJ5&amp;"07"</f>
        <v>6907</v>
      </c>
      <c r="TN13" s="151" t="str">
        <f>TJ5&amp;"08"</f>
        <v>6908</v>
      </c>
      <c r="TO13" s="151" t="str">
        <f>TJ5&amp;"09"</f>
        <v>6909</v>
      </c>
      <c r="TP13" s="151" t="str">
        <f>TJ5&amp;"52"</f>
        <v>6952</v>
      </c>
      <c r="TQ13" s="151" t="str">
        <f>TJ5&amp;"10"</f>
        <v>6910</v>
      </c>
      <c r="TR13" s="151" t="str">
        <f>TJ5&amp;"11"</f>
        <v>6911</v>
      </c>
      <c r="TS13" s="151" t="str">
        <f>TJ5&amp;"12"</f>
        <v>6912</v>
      </c>
      <c r="TT13" s="151" t="str">
        <f>TJ5&amp;"13"</f>
        <v>6913</v>
      </c>
      <c r="TU13" s="151" t="str">
        <f>TJ5&amp;"14"</f>
        <v>6914</v>
      </c>
      <c r="TV13" s="151" t="str">
        <f>TJ5&amp;"15"</f>
        <v>6915</v>
      </c>
      <c r="TW13" s="151" t="str">
        <f>TJ5&amp;"16"</f>
        <v>6916</v>
      </c>
      <c r="TX13" s="151" t="str">
        <f>TJ5&amp;"21"</f>
        <v>6921</v>
      </c>
      <c r="TY13" s="151" t="str">
        <f>TJ5&amp;"19"</f>
        <v>6919</v>
      </c>
      <c r="TZ13" s="151" t="str">
        <f>TJ5&amp;"51"</f>
        <v>6951</v>
      </c>
      <c r="UA13" s="151" t="str">
        <f>TJ5&amp;"23"</f>
        <v>6923</v>
      </c>
      <c r="UB13" s="151" t="str">
        <f>UB5&amp;"04"</f>
        <v>КОЛ07004</v>
      </c>
      <c r="UC13" s="151" t="str">
        <f>UB5&amp;"05"</f>
        <v>КОЛ07005</v>
      </c>
      <c r="UD13" s="151" t="str">
        <f>UB5&amp;"06"</f>
        <v>КОЛ07006</v>
      </c>
      <c r="UE13" s="151" t="str">
        <f>UB5&amp;"07"</f>
        <v>КОЛ07007</v>
      </c>
      <c r="UF13" s="151" t="str">
        <f>UB5&amp;"08"</f>
        <v>КОЛ07008</v>
      </c>
      <c r="UG13" s="151" t="str">
        <f>UB5&amp;"09"</f>
        <v>КОЛ07009</v>
      </c>
      <c r="UH13" s="151" t="str">
        <f>UB5&amp;"52"</f>
        <v>КОЛ07052</v>
      </c>
      <c r="UI13" s="151" t="str">
        <f>UB5&amp;"10"</f>
        <v>КОЛ07010</v>
      </c>
      <c r="UJ13" s="151" t="str">
        <f>UB5&amp;"11"</f>
        <v>КОЛ07011</v>
      </c>
      <c r="UK13" s="151" t="str">
        <f>UB5&amp;"12"</f>
        <v>КОЛ07012</v>
      </c>
      <c r="UL13" s="151" t="str">
        <f>UB5&amp;"13"</f>
        <v>КОЛ07013</v>
      </c>
      <c r="UM13" s="151" t="str">
        <f>UB5&amp;"14"</f>
        <v>КОЛ07014</v>
      </c>
      <c r="UN13" s="151" t="str">
        <f>UB5&amp;"15"</f>
        <v>КОЛ07015</v>
      </c>
      <c r="UO13" s="151" t="str">
        <f>UB5&amp;"16"</f>
        <v>КОЛ07016</v>
      </c>
      <c r="UP13" s="151" t="str">
        <f>UB5&amp;"21"</f>
        <v>КОЛ07021</v>
      </c>
      <c r="UQ13" s="151" t="str">
        <f>UB5&amp;"19"</f>
        <v>КОЛ07019</v>
      </c>
      <c r="UR13" s="151" t="str">
        <f>UB5&amp;"51"</f>
        <v>КОЛ07051</v>
      </c>
      <c r="US13" s="151" t="str">
        <f>UB5&amp;"23"</f>
        <v>КОЛ07023</v>
      </c>
    </row>
    <row r="14" spans="1:565" x14ac:dyDescent="0.3">
      <c r="A14" s="133" t="s">
        <v>1</v>
      </c>
      <c r="B14" s="134" t="s">
        <v>2</v>
      </c>
      <c r="C14" s="135" t="s">
        <v>3</v>
      </c>
      <c r="F14" s="149">
        <f>SUM(F15:F23)</f>
        <v>128165957600</v>
      </c>
      <c r="G14" s="149">
        <f t="shared" ref="G14:BR14" si="0">SUM(G15:G23)</f>
        <v>0</v>
      </c>
      <c r="H14" s="149">
        <f t="shared" si="0"/>
        <v>0</v>
      </c>
      <c r="I14" s="149">
        <f t="shared" si="0"/>
        <v>15135989155.950001</v>
      </c>
      <c r="J14" s="149">
        <f t="shared" si="0"/>
        <v>11341671700</v>
      </c>
      <c r="K14" s="149">
        <f t="shared" si="0"/>
        <v>3794317455.9499998</v>
      </c>
      <c r="L14" s="149">
        <f t="shared" si="0"/>
        <v>11329187300.41</v>
      </c>
      <c r="M14" s="149">
        <f t="shared" si="0"/>
        <v>105916374.52</v>
      </c>
      <c r="N14" s="149">
        <f t="shared" si="0"/>
        <v>0</v>
      </c>
      <c r="O14" s="149">
        <f t="shared" si="0"/>
        <v>15116784161.369999</v>
      </c>
      <c r="P14" s="149">
        <f t="shared" si="0"/>
        <v>11326998069.68</v>
      </c>
      <c r="Q14" s="149">
        <f t="shared" si="0"/>
        <v>0</v>
      </c>
      <c r="R14" s="149">
        <f t="shared" si="0"/>
        <v>3789786091.6899996</v>
      </c>
      <c r="S14" s="149">
        <f t="shared" si="0"/>
        <v>1419.6707699999999</v>
      </c>
      <c r="T14" s="149">
        <f t="shared" si="0"/>
        <v>105680660.16999999</v>
      </c>
      <c r="U14" s="149">
        <f t="shared" si="0"/>
        <v>2424945.08</v>
      </c>
      <c r="V14" s="149">
        <f t="shared" si="0"/>
        <v>11329187300.41</v>
      </c>
      <c r="W14" s="149">
        <f t="shared" si="0"/>
        <v>0</v>
      </c>
      <c r="X14" s="149">
        <f t="shared" si="0"/>
        <v>11341671700</v>
      </c>
      <c r="Y14" s="149">
        <f t="shared" si="0"/>
        <v>11341671700</v>
      </c>
      <c r="Z14" s="149">
        <f t="shared" si="0"/>
        <v>0</v>
      </c>
      <c r="AA14" s="149">
        <f t="shared" si="0"/>
        <v>11245799044.58</v>
      </c>
      <c r="AB14" s="149">
        <f t="shared" si="0"/>
        <v>7964395200</v>
      </c>
      <c r="AC14" s="149">
        <f t="shared" si="0"/>
        <v>3281403844.5800004</v>
      </c>
      <c r="AD14" s="149">
        <f t="shared" si="0"/>
        <v>7962939412.4699993</v>
      </c>
      <c r="AE14" s="149">
        <f t="shared" si="0"/>
        <v>22803993.389999993</v>
      </c>
      <c r="AF14" s="149">
        <f t="shared" si="0"/>
        <v>0</v>
      </c>
      <c r="AG14" s="149">
        <f t="shared" si="0"/>
        <v>11242986475.35</v>
      </c>
      <c r="AH14" s="149">
        <f t="shared" si="0"/>
        <v>7962195260.329999</v>
      </c>
      <c r="AI14" s="149">
        <f t="shared" si="0"/>
        <v>0</v>
      </c>
      <c r="AJ14" s="149">
        <f t="shared" si="0"/>
        <v>3280791215.02</v>
      </c>
      <c r="AK14" s="149">
        <f t="shared" si="0"/>
        <v>1562.6993400000001</v>
      </c>
      <c r="AL14" s="149">
        <f t="shared" si="0"/>
        <v>22803993.389999993</v>
      </c>
      <c r="AM14" s="149">
        <f t="shared" si="0"/>
        <v>744152.14</v>
      </c>
      <c r="AN14" s="149">
        <f t="shared" si="0"/>
        <v>7962939412.4699993</v>
      </c>
      <c r="AO14" s="149">
        <f t="shared" si="0"/>
        <v>0</v>
      </c>
      <c r="AP14" s="149">
        <f t="shared" si="0"/>
        <v>7964395200</v>
      </c>
      <c r="AQ14" s="149">
        <f t="shared" si="0"/>
        <v>7964395200</v>
      </c>
      <c r="AR14" s="149">
        <f t="shared" si="0"/>
        <v>0</v>
      </c>
      <c r="AS14" s="149">
        <f t="shared" si="0"/>
        <v>49727565081.490005</v>
      </c>
      <c r="AT14" s="149">
        <f t="shared" si="0"/>
        <v>40620807400</v>
      </c>
      <c r="AU14" s="149">
        <f t="shared" si="0"/>
        <v>9106757681.4899998</v>
      </c>
      <c r="AV14" s="149">
        <f t="shared" si="0"/>
        <v>40363328704.639999</v>
      </c>
      <c r="AW14" s="149">
        <f t="shared" si="0"/>
        <v>505513832.26999998</v>
      </c>
      <c r="AX14" s="149">
        <f t="shared" si="0"/>
        <v>0</v>
      </c>
      <c r="AY14" s="149">
        <f t="shared" si="0"/>
        <v>49172970349.92086</v>
      </c>
      <c r="AZ14" s="149">
        <f t="shared" si="0"/>
        <v>40360342965.020004</v>
      </c>
      <c r="BA14" s="149">
        <f t="shared" si="0"/>
        <v>0</v>
      </c>
      <c r="BB14" s="149">
        <f t="shared" si="0"/>
        <v>8812627384.9008598</v>
      </c>
      <c r="BC14" s="149">
        <f t="shared" si="0"/>
        <v>1611.30996</v>
      </c>
      <c r="BD14" s="149">
        <f t="shared" si="0"/>
        <v>480241734.23000002</v>
      </c>
      <c r="BE14" s="149">
        <f t="shared" si="0"/>
        <v>28257837.66</v>
      </c>
      <c r="BF14" s="149">
        <f t="shared" si="0"/>
        <v>40363328704.639999</v>
      </c>
      <c r="BG14" s="149">
        <f t="shared" si="0"/>
        <v>0</v>
      </c>
      <c r="BH14" s="149">
        <f t="shared" si="0"/>
        <v>40620807400</v>
      </c>
      <c r="BI14" s="149">
        <f t="shared" si="0"/>
        <v>40620807400</v>
      </c>
      <c r="BJ14" s="149">
        <f t="shared" si="0"/>
        <v>0</v>
      </c>
      <c r="BK14" s="149">
        <f t="shared" si="0"/>
        <v>36042485577.359993</v>
      </c>
      <c r="BL14" s="149">
        <f t="shared" si="0"/>
        <v>32320494600</v>
      </c>
      <c r="BM14" s="149">
        <f t="shared" si="0"/>
        <v>3721990977.3599997</v>
      </c>
      <c r="BN14" s="149">
        <f t="shared" si="0"/>
        <v>32114263908.930004</v>
      </c>
      <c r="BO14" s="149">
        <f t="shared" si="0"/>
        <v>42199285.599999994</v>
      </c>
      <c r="BP14" s="149">
        <f t="shared" si="0"/>
        <v>0</v>
      </c>
      <c r="BQ14" s="149">
        <f t="shared" si="0"/>
        <v>35823410311.914192</v>
      </c>
      <c r="BR14" s="149">
        <f t="shared" si="0"/>
        <v>32114124130.620003</v>
      </c>
      <c r="BS14" s="149">
        <f t="shared" ref="BS14:ED14" si="1">SUM(BS15:BS23)</f>
        <v>0</v>
      </c>
      <c r="BT14" s="149">
        <f t="shared" si="1"/>
        <v>3709286181.2941999</v>
      </c>
      <c r="BU14" s="149">
        <f t="shared" si="1"/>
        <v>985.23885999999993</v>
      </c>
      <c r="BV14" s="149">
        <f t="shared" si="1"/>
        <v>41154390.769999996</v>
      </c>
      <c r="BW14" s="149">
        <f t="shared" si="1"/>
        <v>1184673.1400000001</v>
      </c>
      <c r="BX14" s="149">
        <f t="shared" si="1"/>
        <v>32114263908.930004</v>
      </c>
      <c r="BY14" s="149">
        <f t="shared" si="1"/>
        <v>0</v>
      </c>
      <c r="BZ14" s="149">
        <f t="shared" si="1"/>
        <v>32320494600</v>
      </c>
      <c r="CA14" s="149">
        <f t="shared" si="1"/>
        <v>32320494600</v>
      </c>
      <c r="CB14" s="149">
        <f t="shared" si="1"/>
        <v>0</v>
      </c>
      <c r="CC14" s="149">
        <f t="shared" si="1"/>
        <v>7107775353.7300005</v>
      </c>
      <c r="CD14" s="149">
        <f t="shared" si="1"/>
        <v>5811570900</v>
      </c>
      <c r="CE14" s="149">
        <f t="shared" si="1"/>
        <v>1296204453.73</v>
      </c>
      <c r="CF14" s="149">
        <f t="shared" si="1"/>
        <v>5680631657.2199993</v>
      </c>
      <c r="CG14" s="149">
        <f t="shared" si="1"/>
        <v>18997625.350000001</v>
      </c>
      <c r="CH14" s="149">
        <f t="shared" si="1"/>
        <v>0</v>
      </c>
      <c r="CI14" s="149">
        <f t="shared" si="1"/>
        <v>6924740162.5800009</v>
      </c>
      <c r="CJ14" s="149">
        <f t="shared" si="1"/>
        <v>5679787156.4200001</v>
      </c>
      <c r="CK14" s="149">
        <f t="shared" si="1"/>
        <v>0</v>
      </c>
      <c r="CL14" s="149">
        <f t="shared" si="1"/>
        <v>1244953006.1599998</v>
      </c>
      <c r="CM14" s="149">
        <f t="shared" si="1"/>
        <v>1341.1605200000001</v>
      </c>
      <c r="CN14" s="149">
        <f t="shared" si="1"/>
        <v>18997625.350000001</v>
      </c>
      <c r="CO14" s="149">
        <f t="shared" si="1"/>
        <v>844500.8</v>
      </c>
      <c r="CP14" s="149">
        <f t="shared" si="1"/>
        <v>5680631657.2199993</v>
      </c>
      <c r="CQ14" s="149">
        <f t="shared" si="1"/>
        <v>0</v>
      </c>
      <c r="CR14" s="149">
        <f t="shared" si="1"/>
        <v>5811570900</v>
      </c>
      <c r="CS14" s="149">
        <f t="shared" si="1"/>
        <v>5811570900</v>
      </c>
      <c r="CT14" s="149">
        <f t="shared" si="1"/>
        <v>0</v>
      </c>
      <c r="CU14" s="149">
        <f t="shared" si="1"/>
        <v>2151262023.2799997</v>
      </c>
      <c r="CV14" s="149">
        <f t="shared" si="1"/>
        <v>2041800000</v>
      </c>
      <c r="CW14" s="149">
        <f t="shared" si="1"/>
        <v>109462023.28</v>
      </c>
      <c r="CX14" s="149">
        <f t="shared" si="1"/>
        <v>2006016047.1300001</v>
      </c>
      <c r="CY14" s="149">
        <f t="shared" si="1"/>
        <v>0</v>
      </c>
      <c r="CZ14" s="149">
        <f t="shared" si="1"/>
        <v>0</v>
      </c>
      <c r="DA14" s="149">
        <f t="shared" si="1"/>
        <v>2109749617.3700001</v>
      </c>
      <c r="DB14" s="149">
        <f t="shared" si="1"/>
        <v>2006016047.1300001</v>
      </c>
      <c r="DC14" s="149">
        <f t="shared" si="1"/>
        <v>0</v>
      </c>
      <c r="DD14" s="149">
        <f t="shared" si="1"/>
        <v>103733570.23999999</v>
      </c>
      <c r="DE14" s="149">
        <f t="shared" si="1"/>
        <v>83.000059999999991</v>
      </c>
      <c r="DF14" s="149">
        <f t="shared" si="1"/>
        <v>0</v>
      </c>
      <c r="DG14" s="149">
        <f t="shared" si="1"/>
        <v>0</v>
      </c>
      <c r="DH14" s="149">
        <f t="shared" si="1"/>
        <v>2006016047.1300001</v>
      </c>
      <c r="DI14" s="149">
        <f t="shared" si="1"/>
        <v>0</v>
      </c>
      <c r="DJ14" s="149">
        <f t="shared" si="1"/>
        <v>2041800000</v>
      </c>
      <c r="DK14" s="149">
        <f t="shared" si="1"/>
        <v>2041800000</v>
      </c>
      <c r="DL14" s="149">
        <f t="shared" si="1"/>
        <v>0</v>
      </c>
      <c r="DM14" s="149">
        <f t="shared" si="1"/>
        <v>6452127162.5500002</v>
      </c>
      <c r="DN14" s="149">
        <f t="shared" si="1"/>
        <v>5915524500</v>
      </c>
      <c r="DO14" s="149">
        <f t="shared" si="1"/>
        <v>536602662.55000007</v>
      </c>
      <c r="DP14" s="149">
        <f t="shared" si="1"/>
        <v>5911431169.4899988</v>
      </c>
      <c r="DQ14" s="149">
        <f t="shared" si="1"/>
        <v>6218330.04</v>
      </c>
      <c r="DR14" s="149">
        <f t="shared" si="1"/>
        <v>0</v>
      </c>
      <c r="DS14" s="149">
        <f t="shared" si="1"/>
        <v>6447707102.6800013</v>
      </c>
      <c r="DT14" s="149">
        <f t="shared" si="1"/>
        <v>5911431169.4899988</v>
      </c>
      <c r="DU14" s="149">
        <f t="shared" si="1"/>
        <v>0</v>
      </c>
      <c r="DV14" s="149">
        <f t="shared" si="1"/>
        <v>536275933.19</v>
      </c>
      <c r="DW14" s="149">
        <f t="shared" si="1"/>
        <v>438.08742999999998</v>
      </c>
      <c r="DX14" s="149">
        <f t="shared" si="1"/>
        <v>6218330.04</v>
      </c>
      <c r="DY14" s="149">
        <f t="shared" si="1"/>
        <v>0</v>
      </c>
      <c r="DZ14" s="149">
        <f t="shared" si="1"/>
        <v>5911431169.4899988</v>
      </c>
      <c r="EA14" s="149">
        <f t="shared" si="1"/>
        <v>0</v>
      </c>
      <c r="EB14" s="149">
        <f t="shared" si="1"/>
        <v>5915524500</v>
      </c>
      <c r="EC14" s="149">
        <f t="shared" si="1"/>
        <v>5915524500</v>
      </c>
      <c r="ED14" s="149">
        <f t="shared" si="1"/>
        <v>0</v>
      </c>
      <c r="EE14" s="149">
        <f t="shared" ref="EE14:GP14" si="2">SUM(EE15:EE23)</f>
        <v>5679107703.5499992</v>
      </c>
      <c r="EF14" s="149">
        <f t="shared" si="2"/>
        <v>5373000000</v>
      </c>
      <c r="EG14" s="149">
        <f t="shared" si="2"/>
        <v>306107703.54999995</v>
      </c>
      <c r="EH14" s="149">
        <f t="shared" si="2"/>
        <v>5353937257.9000006</v>
      </c>
      <c r="EI14" s="149">
        <f t="shared" si="2"/>
        <v>0</v>
      </c>
      <c r="EJ14" s="149">
        <f t="shared" si="2"/>
        <v>0</v>
      </c>
      <c r="EK14" s="149">
        <f t="shared" si="2"/>
        <v>5659362172.2293911</v>
      </c>
      <c r="EL14" s="149">
        <f t="shared" si="2"/>
        <v>5353937257.9000006</v>
      </c>
      <c r="EM14" s="149">
        <f t="shared" si="2"/>
        <v>0</v>
      </c>
      <c r="EN14" s="149">
        <f t="shared" si="2"/>
        <v>305424914.32938999</v>
      </c>
      <c r="EO14" s="149">
        <f t="shared" si="2"/>
        <v>554.56703000000005</v>
      </c>
      <c r="EP14" s="149">
        <f t="shared" si="2"/>
        <v>0</v>
      </c>
      <c r="EQ14" s="149">
        <f t="shared" si="2"/>
        <v>0</v>
      </c>
      <c r="ER14" s="149">
        <f t="shared" si="2"/>
        <v>5353937257.9000006</v>
      </c>
      <c r="ES14" s="149">
        <f t="shared" si="2"/>
        <v>0</v>
      </c>
      <c r="ET14" s="149">
        <f t="shared" si="2"/>
        <v>5373000000</v>
      </c>
      <c r="EU14" s="149">
        <f t="shared" si="2"/>
        <v>5373000000</v>
      </c>
      <c r="EV14" s="149">
        <f t="shared" si="2"/>
        <v>0</v>
      </c>
      <c r="EW14" s="149">
        <f t="shared" si="2"/>
        <v>9004052132.8400002</v>
      </c>
      <c r="EX14" s="149">
        <f t="shared" si="2"/>
        <v>6810759900</v>
      </c>
      <c r="EY14" s="149">
        <f t="shared" si="2"/>
        <v>2193292232.8399997</v>
      </c>
      <c r="EZ14" s="149">
        <f t="shared" si="2"/>
        <v>6806809077.7399998</v>
      </c>
      <c r="FA14" s="149">
        <f t="shared" si="2"/>
        <v>43612464.130000003</v>
      </c>
      <c r="FB14" s="149">
        <f t="shared" si="2"/>
        <v>0</v>
      </c>
      <c r="FC14" s="149">
        <f t="shared" si="2"/>
        <v>8996324729.8800011</v>
      </c>
      <c r="FD14" s="149">
        <f t="shared" si="2"/>
        <v>6805759642.3000002</v>
      </c>
      <c r="FE14" s="149">
        <f t="shared" si="2"/>
        <v>0</v>
      </c>
      <c r="FF14" s="149">
        <f t="shared" si="2"/>
        <v>2190565087.5799999</v>
      </c>
      <c r="FG14" s="149">
        <f t="shared" si="2"/>
        <v>2125.8009499999998</v>
      </c>
      <c r="FH14" s="149">
        <f t="shared" si="2"/>
        <v>43026680.07</v>
      </c>
      <c r="FI14" s="149">
        <f t="shared" si="2"/>
        <v>1635219.5</v>
      </c>
      <c r="FJ14" s="149">
        <f t="shared" si="2"/>
        <v>6806809077.7399998</v>
      </c>
      <c r="FK14" s="149">
        <f t="shared" si="2"/>
        <v>0</v>
      </c>
      <c r="FL14" s="149">
        <f t="shared" si="2"/>
        <v>6810759900</v>
      </c>
      <c r="FM14" s="149">
        <f t="shared" si="2"/>
        <v>6810759900</v>
      </c>
      <c r="FN14" s="149">
        <f t="shared" si="2"/>
        <v>0</v>
      </c>
      <c r="FO14" s="149">
        <f t="shared" si="2"/>
        <v>0</v>
      </c>
      <c r="FP14" s="149">
        <f t="shared" si="2"/>
        <v>0</v>
      </c>
      <c r="FQ14" s="149">
        <f t="shared" si="2"/>
        <v>0</v>
      </c>
      <c r="FR14" s="149">
        <f t="shared" si="2"/>
        <v>0</v>
      </c>
      <c r="FS14" s="149">
        <f t="shared" si="2"/>
        <v>22485911.479999997</v>
      </c>
      <c r="FT14" s="149">
        <f t="shared" si="2"/>
        <v>0</v>
      </c>
      <c r="FU14" s="149">
        <f t="shared" si="2"/>
        <v>0</v>
      </c>
      <c r="FV14" s="149">
        <f t="shared" si="2"/>
        <v>0</v>
      </c>
      <c r="FW14" s="149">
        <f t="shared" si="2"/>
        <v>0</v>
      </c>
      <c r="FX14" s="149">
        <f t="shared" si="2"/>
        <v>0</v>
      </c>
      <c r="FY14" s="149">
        <f t="shared" si="2"/>
        <v>0</v>
      </c>
      <c r="FZ14" s="149">
        <f t="shared" si="2"/>
        <v>19975225.879999999</v>
      </c>
      <c r="GA14" s="149">
        <f t="shared" si="2"/>
        <v>2510685.6</v>
      </c>
      <c r="GB14" s="149">
        <f t="shared" si="2"/>
        <v>0</v>
      </c>
      <c r="GC14" s="149">
        <f t="shared" si="2"/>
        <v>0</v>
      </c>
      <c r="GD14" s="149">
        <f t="shared" si="2"/>
        <v>0</v>
      </c>
      <c r="GE14" s="149">
        <f t="shared" si="2"/>
        <v>0</v>
      </c>
      <c r="GF14" s="149">
        <f t="shared" si="2"/>
        <v>0</v>
      </c>
      <c r="GG14" s="149">
        <f t="shared" si="2"/>
        <v>2608551077.4100003</v>
      </c>
      <c r="GH14" s="149">
        <f t="shared" si="2"/>
        <v>1709049700</v>
      </c>
      <c r="GI14" s="149">
        <f t="shared" si="2"/>
        <v>899501377.40999985</v>
      </c>
      <c r="GJ14" s="149">
        <f t="shared" si="2"/>
        <v>1637095913.8800001</v>
      </c>
      <c r="GK14" s="149">
        <f t="shared" si="2"/>
        <v>3023126.3200000003</v>
      </c>
      <c r="GL14" s="149">
        <f t="shared" si="2"/>
        <v>0</v>
      </c>
      <c r="GM14" s="149">
        <f t="shared" si="2"/>
        <v>2500048644.2900004</v>
      </c>
      <c r="GN14" s="149">
        <f t="shared" si="2"/>
        <v>1637076113.6300001</v>
      </c>
      <c r="GO14" s="149">
        <f t="shared" si="2"/>
        <v>0</v>
      </c>
      <c r="GP14" s="149">
        <f t="shared" si="2"/>
        <v>862972530.66000009</v>
      </c>
      <c r="GQ14" s="149">
        <f t="shared" ref="GQ14:JB14" si="3">SUM(GQ15:GQ23)</f>
        <v>1538.9083699999999</v>
      </c>
      <c r="GR14" s="149">
        <f t="shared" si="3"/>
        <v>3023126.3200000003</v>
      </c>
      <c r="GS14" s="149">
        <f t="shared" si="3"/>
        <v>19800.25</v>
      </c>
      <c r="GT14" s="149">
        <f t="shared" si="3"/>
        <v>1637095913.8800001</v>
      </c>
      <c r="GU14" s="149">
        <f t="shared" si="3"/>
        <v>0</v>
      </c>
      <c r="GV14" s="149">
        <f t="shared" si="3"/>
        <v>1709049700</v>
      </c>
      <c r="GW14" s="149">
        <f t="shared" si="3"/>
        <v>1709049700</v>
      </c>
      <c r="GX14" s="149">
        <f t="shared" si="3"/>
        <v>0</v>
      </c>
      <c r="GY14" s="149">
        <f t="shared" si="3"/>
        <v>0</v>
      </c>
      <c r="GZ14" s="149">
        <f t="shared" si="3"/>
        <v>0</v>
      </c>
      <c r="HA14" s="149">
        <f t="shared" si="3"/>
        <v>0</v>
      </c>
      <c r="HB14" s="149">
        <f t="shared" si="3"/>
        <v>0</v>
      </c>
      <c r="HC14" s="149">
        <f t="shared" si="3"/>
        <v>19926260.200000003</v>
      </c>
      <c r="HD14" s="149">
        <f t="shared" si="3"/>
        <v>0</v>
      </c>
      <c r="HE14" s="149">
        <f t="shared" si="3"/>
        <v>0</v>
      </c>
      <c r="HF14" s="149">
        <f t="shared" si="3"/>
        <v>0</v>
      </c>
      <c r="HG14" s="149">
        <f t="shared" si="3"/>
        <v>0</v>
      </c>
      <c r="HH14" s="149">
        <f t="shared" si="3"/>
        <v>0</v>
      </c>
      <c r="HI14" s="149">
        <f t="shared" si="3"/>
        <v>0</v>
      </c>
      <c r="HJ14" s="149">
        <f t="shared" si="3"/>
        <v>19926260.200000003</v>
      </c>
      <c r="HK14" s="149">
        <f t="shared" si="3"/>
        <v>0</v>
      </c>
      <c r="HL14" s="149">
        <f t="shared" si="3"/>
        <v>0</v>
      </c>
      <c r="HM14" s="149">
        <f t="shared" si="3"/>
        <v>0</v>
      </c>
      <c r="HN14" s="149">
        <f t="shared" si="3"/>
        <v>0</v>
      </c>
      <c r="HO14" s="149">
        <f t="shared" si="3"/>
        <v>0</v>
      </c>
      <c r="HP14" s="149">
        <f t="shared" si="3"/>
        <v>0</v>
      </c>
      <c r="HQ14" s="149">
        <f t="shared" si="3"/>
        <v>447662955.54999995</v>
      </c>
      <c r="HR14" s="149">
        <f t="shared" si="3"/>
        <v>371183800</v>
      </c>
      <c r="HS14" s="149">
        <f t="shared" si="3"/>
        <v>76479155.549999997</v>
      </c>
      <c r="HT14" s="149">
        <f t="shared" si="3"/>
        <v>257987366.94999999</v>
      </c>
      <c r="HU14" s="149">
        <f t="shared" si="3"/>
        <v>0</v>
      </c>
      <c r="HV14" s="149">
        <f t="shared" si="3"/>
        <v>0</v>
      </c>
      <c r="HW14" s="149">
        <f t="shared" si="3"/>
        <v>311281710.90999997</v>
      </c>
      <c r="HX14" s="149">
        <f t="shared" si="3"/>
        <v>257987366.94999999</v>
      </c>
      <c r="HY14" s="149">
        <f t="shared" si="3"/>
        <v>0</v>
      </c>
      <c r="HZ14" s="149">
        <f t="shared" si="3"/>
        <v>53294343.960000001</v>
      </c>
      <c r="IA14" s="149">
        <f t="shared" si="3"/>
        <v>108.00005</v>
      </c>
      <c r="IB14" s="149">
        <f t="shared" si="3"/>
        <v>0</v>
      </c>
      <c r="IC14" s="149">
        <f t="shared" si="3"/>
        <v>0</v>
      </c>
      <c r="ID14" s="149">
        <f t="shared" si="3"/>
        <v>257987366.94999999</v>
      </c>
      <c r="IE14" s="149">
        <f t="shared" si="3"/>
        <v>0</v>
      </c>
      <c r="IF14" s="149">
        <f t="shared" si="3"/>
        <v>371183800</v>
      </c>
      <c r="IG14" s="149">
        <f t="shared" si="3"/>
        <v>371183800</v>
      </c>
      <c r="IH14" s="149">
        <f t="shared" si="3"/>
        <v>0</v>
      </c>
      <c r="II14" s="149">
        <f t="shared" si="3"/>
        <v>0</v>
      </c>
      <c r="IJ14" s="149">
        <f t="shared" si="3"/>
        <v>0</v>
      </c>
      <c r="IK14" s="149">
        <f t="shared" si="3"/>
        <v>0</v>
      </c>
      <c r="IL14" s="149">
        <f t="shared" si="3"/>
        <v>0</v>
      </c>
      <c r="IM14" s="149">
        <f t="shared" si="3"/>
        <v>9750000</v>
      </c>
      <c r="IN14" s="149">
        <f t="shared" si="3"/>
        <v>0</v>
      </c>
      <c r="IO14" s="149">
        <f t="shared" si="3"/>
        <v>0</v>
      </c>
      <c r="IP14" s="149">
        <f t="shared" si="3"/>
        <v>0</v>
      </c>
      <c r="IQ14" s="149">
        <f t="shared" si="3"/>
        <v>0</v>
      </c>
      <c r="IR14" s="149">
        <f t="shared" si="3"/>
        <v>0</v>
      </c>
      <c r="IS14" s="149">
        <f t="shared" si="3"/>
        <v>0</v>
      </c>
      <c r="IT14" s="149">
        <f t="shared" si="3"/>
        <v>9750000</v>
      </c>
      <c r="IU14" s="149">
        <f t="shared" si="3"/>
        <v>0</v>
      </c>
      <c r="IV14" s="149">
        <f t="shared" si="3"/>
        <v>0</v>
      </c>
      <c r="IW14" s="149">
        <f t="shared" si="3"/>
        <v>0</v>
      </c>
      <c r="IX14" s="149">
        <f t="shared" si="3"/>
        <v>0</v>
      </c>
      <c r="IY14" s="149">
        <f t="shared" si="3"/>
        <v>0</v>
      </c>
      <c r="IZ14" s="149">
        <f t="shared" si="3"/>
        <v>0</v>
      </c>
      <c r="JA14" s="149">
        <f t="shared" si="3"/>
        <v>229129414.25</v>
      </c>
      <c r="JB14" s="149">
        <f t="shared" si="3"/>
        <v>142755100</v>
      </c>
      <c r="JC14" s="149">
        <f t="shared" ref="JC14:LN14" si="4">SUM(JC15:JC23)</f>
        <v>86374314.25</v>
      </c>
      <c r="JD14" s="149">
        <f t="shared" si="4"/>
        <v>139394111.09</v>
      </c>
      <c r="JE14" s="149">
        <f t="shared" si="4"/>
        <v>0</v>
      </c>
      <c r="JF14" s="149">
        <f t="shared" si="4"/>
        <v>0</v>
      </c>
      <c r="JG14" s="149">
        <f t="shared" si="4"/>
        <v>223327312.91999999</v>
      </c>
      <c r="JH14" s="149">
        <f t="shared" si="4"/>
        <v>139394111.09</v>
      </c>
      <c r="JI14" s="149">
        <f t="shared" si="4"/>
        <v>0</v>
      </c>
      <c r="JJ14" s="149">
        <f t="shared" si="4"/>
        <v>83933201.829999998</v>
      </c>
      <c r="JK14" s="149">
        <f t="shared" si="4"/>
        <v>991.6199499999999</v>
      </c>
      <c r="JL14" s="149">
        <f t="shared" si="4"/>
        <v>0</v>
      </c>
      <c r="JM14" s="149">
        <f t="shared" si="4"/>
        <v>0</v>
      </c>
      <c r="JN14" s="149">
        <f t="shared" si="4"/>
        <v>139394111.09</v>
      </c>
      <c r="JO14" s="149">
        <f t="shared" si="4"/>
        <v>0</v>
      </c>
      <c r="JP14" s="149">
        <f t="shared" si="4"/>
        <v>148434500</v>
      </c>
      <c r="JQ14" s="149">
        <f t="shared" si="4"/>
        <v>146284400</v>
      </c>
      <c r="JR14" s="149">
        <f t="shared" si="4"/>
        <v>0</v>
      </c>
      <c r="JS14" s="149">
        <f t="shared" si="4"/>
        <v>0</v>
      </c>
      <c r="JT14" s="149">
        <f t="shared" si="4"/>
        <v>0</v>
      </c>
      <c r="JU14" s="149">
        <f t="shared" si="4"/>
        <v>0</v>
      </c>
      <c r="JV14" s="149">
        <f t="shared" si="4"/>
        <v>0</v>
      </c>
      <c r="JW14" s="149">
        <f t="shared" si="4"/>
        <v>443838.42</v>
      </c>
      <c r="JX14" s="149">
        <f t="shared" si="4"/>
        <v>0</v>
      </c>
      <c r="JY14" s="149">
        <f t="shared" si="4"/>
        <v>0</v>
      </c>
      <c r="JZ14" s="149">
        <f t="shared" si="4"/>
        <v>0</v>
      </c>
      <c r="KA14" s="149">
        <f t="shared" si="4"/>
        <v>0</v>
      </c>
      <c r="KB14" s="149">
        <f t="shared" si="4"/>
        <v>0</v>
      </c>
      <c r="KC14" s="149">
        <f t="shared" si="4"/>
        <v>0</v>
      </c>
      <c r="KD14" s="149">
        <f t="shared" si="4"/>
        <v>443838.42</v>
      </c>
      <c r="KE14" s="149">
        <f t="shared" si="4"/>
        <v>0</v>
      </c>
      <c r="KF14" s="149">
        <f t="shared" si="4"/>
        <v>0</v>
      </c>
      <c r="KG14" s="149">
        <f t="shared" si="4"/>
        <v>0</v>
      </c>
      <c r="KH14" s="149">
        <f t="shared" si="4"/>
        <v>0</v>
      </c>
      <c r="KI14" s="149">
        <f t="shared" si="4"/>
        <v>0</v>
      </c>
      <c r="KJ14" s="149">
        <f t="shared" si="4"/>
        <v>0</v>
      </c>
      <c r="KK14" s="149">
        <f t="shared" si="4"/>
        <v>196216368.76999998</v>
      </c>
      <c r="KL14" s="149">
        <f t="shared" si="4"/>
        <v>111342100</v>
      </c>
      <c r="KM14" s="149">
        <f t="shared" si="4"/>
        <v>84874268.769999996</v>
      </c>
      <c r="KN14" s="149">
        <f t="shared" si="4"/>
        <v>110052176.86</v>
      </c>
      <c r="KO14" s="149">
        <f t="shared" si="4"/>
        <v>0</v>
      </c>
      <c r="KP14" s="149">
        <f t="shared" si="4"/>
        <v>0</v>
      </c>
      <c r="KQ14" s="149">
        <f t="shared" si="4"/>
        <v>193576076.47999999</v>
      </c>
      <c r="KR14" s="149">
        <f t="shared" si="4"/>
        <v>110052176.86</v>
      </c>
      <c r="KS14" s="149">
        <f t="shared" si="4"/>
        <v>0</v>
      </c>
      <c r="KT14" s="149">
        <f t="shared" si="4"/>
        <v>83523899.61999999</v>
      </c>
      <c r="KU14" s="149">
        <f t="shared" si="4"/>
        <v>1087.7943599999999</v>
      </c>
      <c r="KV14" s="149">
        <f t="shared" si="4"/>
        <v>0</v>
      </c>
      <c r="KW14" s="149">
        <f t="shared" si="4"/>
        <v>0</v>
      </c>
      <c r="KX14" s="149">
        <f t="shared" si="4"/>
        <v>110052176.86</v>
      </c>
      <c r="KY14" s="149">
        <f t="shared" si="4"/>
        <v>0</v>
      </c>
      <c r="KZ14" s="149">
        <f t="shared" si="4"/>
        <v>111342100</v>
      </c>
      <c r="LA14" s="149">
        <f t="shared" si="4"/>
        <v>111342100</v>
      </c>
      <c r="LB14" s="149">
        <f t="shared" si="4"/>
        <v>0</v>
      </c>
      <c r="LC14" s="149">
        <f t="shared" si="4"/>
        <v>0</v>
      </c>
      <c r="LD14" s="149">
        <f t="shared" si="4"/>
        <v>0</v>
      </c>
      <c r="LE14" s="149">
        <f t="shared" si="4"/>
        <v>0</v>
      </c>
      <c r="LF14" s="149">
        <f t="shared" si="4"/>
        <v>0</v>
      </c>
      <c r="LG14" s="149">
        <f t="shared" si="4"/>
        <v>5390.21</v>
      </c>
      <c r="LH14" s="149">
        <f t="shared" si="4"/>
        <v>0</v>
      </c>
      <c r="LI14" s="149">
        <f t="shared" si="4"/>
        <v>0</v>
      </c>
      <c r="LJ14" s="149">
        <f t="shared" si="4"/>
        <v>0</v>
      </c>
      <c r="LK14" s="149">
        <f t="shared" si="4"/>
        <v>0</v>
      </c>
      <c r="LL14" s="149">
        <f t="shared" si="4"/>
        <v>0</v>
      </c>
      <c r="LM14" s="149">
        <f t="shared" si="4"/>
        <v>0</v>
      </c>
      <c r="LN14" s="149">
        <f t="shared" si="4"/>
        <v>5390.21</v>
      </c>
      <c r="LO14" s="149">
        <f t="shared" ref="LO14:NZ14" si="5">SUM(LO15:LO23)</f>
        <v>0</v>
      </c>
      <c r="LP14" s="149">
        <f t="shared" si="5"/>
        <v>0</v>
      </c>
      <c r="LQ14" s="149">
        <f t="shared" si="5"/>
        <v>0</v>
      </c>
      <c r="LR14" s="149">
        <f t="shared" si="5"/>
        <v>0</v>
      </c>
      <c r="LS14" s="149">
        <f t="shared" si="5"/>
        <v>0</v>
      </c>
      <c r="LT14" s="149">
        <f t="shared" si="5"/>
        <v>0</v>
      </c>
      <c r="LU14" s="149">
        <f t="shared" si="5"/>
        <v>1040791256.0599999</v>
      </c>
      <c r="LV14" s="149">
        <f t="shared" si="5"/>
        <v>742302800</v>
      </c>
      <c r="LW14" s="149">
        <f t="shared" si="5"/>
        <v>298488456.06</v>
      </c>
      <c r="LX14" s="149">
        <f t="shared" si="5"/>
        <v>737926483.85000002</v>
      </c>
      <c r="LY14" s="149">
        <f t="shared" si="5"/>
        <v>4660860.5</v>
      </c>
      <c r="LZ14" s="149">
        <f t="shared" si="5"/>
        <v>0</v>
      </c>
      <c r="MA14" s="149">
        <f t="shared" si="5"/>
        <v>1033643875.1600001</v>
      </c>
      <c r="MB14" s="149">
        <f t="shared" si="5"/>
        <v>737926483.26999998</v>
      </c>
      <c r="MC14" s="149">
        <f t="shared" si="5"/>
        <v>0</v>
      </c>
      <c r="MD14" s="149">
        <f t="shared" si="5"/>
        <v>295717391.88999999</v>
      </c>
      <c r="ME14" s="149">
        <f t="shared" si="5"/>
        <v>557.62373000000014</v>
      </c>
      <c r="MF14" s="149">
        <f t="shared" si="5"/>
        <v>4660860.5</v>
      </c>
      <c r="MG14" s="149">
        <f t="shared" si="5"/>
        <v>0.57999999999999996</v>
      </c>
      <c r="MH14" s="149">
        <f t="shared" si="5"/>
        <v>737926483.85000002</v>
      </c>
      <c r="MI14" s="149">
        <f t="shared" si="5"/>
        <v>0</v>
      </c>
      <c r="MJ14" s="149">
        <f t="shared" si="5"/>
        <v>742302800</v>
      </c>
      <c r="MK14" s="149">
        <f t="shared" si="5"/>
        <v>742302800</v>
      </c>
      <c r="ML14" s="149">
        <f t="shared" si="5"/>
        <v>0</v>
      </c>
      <c r="MM14" s="149">
        <f t="shared" si="5"/>
        <v>0</v>
      </c>
      <c r="MN14" s="149">
        <f t="shared" si="5"/>
        <v>0</v>
      </c>
      <c r="MO14" s="149">
        <f t="shared" si="5"/>
        <v>0</v>
      </c>
      <c r="MP14" s="149">
        <f t="shared" si="5"/>
        <v>0</v>
      </c>
      <c r="MQ14" s="149">
        <f t="shared" si="5"/>
        <v>8730459.6799999997</v>
      </c>
      <c r="MR14" s="149">
        <f t="shared" si="5"/>
        <v>0</v>
      </c>
      <c r="MS14" s="149">
        <f t="shared" si="5"/>
        <v>0</v>
      </c>
      <c r="MT14" s="149">
        <f t="shared" si="5"/>
        <v>0</v>
      </c>
      <c r="MU14" s="149">
        <f t="shared" si="5"/>
        <v>0</v>
      </c>
      <c r="MV14" s="149">
        <f t="shared" si="5"/>
        <v>0</v>
      </c>
      <c r="MW14" s="149">
        <f t="shared" si="5"/>
        <v>0</v>
      </c>
      <c r="MX14" s="149">
        <f t="shared" si="5"/>
        <v>8730459.6799999997</v>
      </c>
      <c r="MY14" s="149">
        <f t="shared" si="5"/>
        <v>0</v>
      </c>
      <c r="MZ14" s="149">
        <f t="shared" si="5"/>
        <v>0</v>
      </c>
      <c r="NA14" s="149">
        <f t="shared" si="5"/>
        <v>0</v>
      </c>
      <c r="NB14" s="149">
        <f t="shared" si="5"/>
        <v>0</v>
      </c>
      <c r="NC14" s="149">
        <f t="shared" si="5"/>
        <v>0</v>
      </c>
      <c r="ND14" s="149">
        <f t="shared" si="5"/>
        <v>0</v>
      </c>
      <c r="NE14" s="149">
        <f t="shared" si="5"/>
        <v>131990082.50999999</v>
      </c>
      <c r="NF14" s="149">
        <f t="shared" si="5"/>
        <v>72431200</v>
      </c>
      <c r="NG14" s="149">
        <f t="shared" si="5"/>
        <v>59558882.509999998</v>
      </c>
      <c r="NH14" s="149">
        <f t="shared" si="5"/>
        <v>70659112.24000001</v>
      </c>
      <c r="NI14" s="149">
        <f t="shared" si="5"/>
        <v>0</v>
      </c>
      <c r="NJ14" s="149">
        <f t="shared" si="5"/>
        <v>0</v>
      </c>
      <c r="NK14" s="149">
        <f t="shared" si="5"/>
        <v>128266661.37</v>
      </c>
      <c r="NL14" s="149">
        <f t="shared" si="5"/>
        <v>70637184.570000008</v>
      </c>
      <c r="NM14" s="149">
        <f t="shared" si="5"/>
        <v>0</v>
      </c>
      <c r="NN14" s="149">
        <f t="shared" si="5"/>
        <v>57629476.800000004</v>
      </c>
      <c r="NO14" s="149">
        <f t="shared" si="5"/>
        <v>1761.83231</v>
      </c>
      <c r="NP14" s="149">
        <f t="shared" si="5"/>
        <v>0</v>
      </c>
      <c r="NQ14" s="149">
        <f t="shared" si="5"/>
        <v>21927.67</v>
      </c>
      <c r="NR14" s="149">
        <f t="shared" si="5"/>
        <v>70659112.24000001</v>
      </c>
      <c r="NS14" s="149">
        <f t="shared" si="5"/>
        <v>0</v>
      </c>
      <c r="NT14" s="149">
        <f t="shared" si="5"/>
        <v>72431200</v>
      </c>
      <c r="NU14" s="149">
        <f t="shared" si="5"/>
        <v>72431200</v>
      </c>
      <c r="NV14" s="149">
        <f t="shared" si="5"/>
        <v>0</v>
      </c>
      <c r="NW14" s="149">
        <f t="shared" si="5"/>
        <v>0</v>
      </c>
      <c r="NX14" s="149">
        <f t="shared" si="5"/>
        <v>0</v>
      </c>
      <c r="NY14" s="149">
        <f t="shared" si="5"/>
        <v>0</v>
      </c>
      <c r="NZ14" s="149">
        <f t="shared" si="5"/>
        <v>0</v>
      </c>
      <c r="OA14" s="149">
        <f t="shared" ref="OA14:PW14" si="6">SUM(OA15:OA23)</f>
        <v>368127.6</v>
      </c>
      <c r="OB14" s="149">
        <f t="shared" si="6"/>
        <v>0</v>
      </c>
      <c r="OC14" s="149">
        <f t="shared" si="6"/>
        <v>0</v>
      </c>
      <c r="OD14" s="149">
        <f t="shared" si="6"/>
        <v>0</v>
      </c>
      <c r="OE14" s="149">
        <f t="shared" si="6"/>
        <v>0</v>
      </c>
      <c r="OF14" s="149">
        <f t="shared" si="6"/>
        <v>0</v>
      </c>
      <c r="OG14" s="149">
        <f t="shared" si="6"/>
        <v>0</v>
      </c>
      <c r="OH14" s="149">
        <f t="shared" si="6"/>
        <v>333600</v>
      </c>
      <c r="OI14" s="149">
        <f t="shared" si="6"/>
        <v>34527.599999999999</v>
      </c>
      <c r="OJ14" s="149">
        <f t="shared" si="6"/>
        <v>0</v>
      </c>
      <c r="OK14" s="149">
        <f t="shared" si="6"/>
        <v>0</v>
      </c>
      <c r="OL14" s="149">
        <f t="shared" si="6"/>
        <v>0</v>
      </c>
      <c r="OM14" s="149">
        <f t="shared" si="6"/>
        <v>0</v>
      </c>
      <c r="ON14" s="149">
        <f t="shared" si="6"/>
        <v>0</v>
      </c>
      <c r="OO14" s="149">
        <f t="shared" si="6"/>
        <v>0</v>
      </c>
      <c r="OP14" s="149">
        <f t="shared" si="6"/>
        <v>0</v>
      </c>
      <c r="OQ14" s="149">
        <f t="shared" si="6"/>
        <v>0</v>
      </c>
      <c r="OR14" s="149">
        <f t="shared" si="6"/>
        <v>0</v>
      </c>
      <c r="OS14" s="149">
        <f t="shared" si="6"/>
        <v>397966010.89999998</v>
      </c>
      <c r="OT14" s="149">
        <f t="shared" si="6"/>
        <v>0</v>
      </c>
      <c r="OU14" s="149">
        <f t="shared" si="6"/>
        <v>0</v>
      </c>
      <c r="OV14" s="149">
        <f t="shared" si="6"/>
        <v>0</v>
      </c>
      <c r="OW14" s="149">
        <f t="shared" si="6"/>
        <v>0</v>
      </c>
      <c r="OX14" s="149">
        <f t="shared" si="6"/>
        <v>0</v>
      </c>
      <c r="OY14" s="149">
        <f t="shared" si="6"/>
        <v>0</v>
      </c>
      <c r="OZ14" s="149">
        <f t="shared" si="6"/>
        <v>394630471.75</v>
      </c>
      <c r="PA14" s="149">
        <f t="shared" si="6"/>
        <v>3335539.1500000004</v>
      </c>
      <c r="PB14" s="149">
        <f t="shared" si="6"/>
        <v>0</v>
      </c>
      <c r="PC14" s="149">
        <f t="shared" si="6"/>
        <v>0</v>
      </c>
      <c r="PD14" s="149">
        <f t="shared" si="6"/>
        <v>0</v>
      </c>
      <c r="PE14" s="149">
        <f t="shared" si="6"/>
        <v>0</v>
      </c>
      <c r="PF14" s="149">
        <f t="shared" si="6"/>
        <v>0</v>
      </c>
      <c r="PG14" s="149">
        <f t="shared" si="6"/>
        <v>0</v>
      </c>
      <c r="PH14" s="149">
        <f t="shared" si="6"/>
        <v>0</v>
      </c>
      <c r="PI14" s="149">
        <f t="shared" si="6"/>
        <v>0</v>
      </c>
      <c r="PJ14" s="149">
        <f t="shared" si="6"/>
        <v>0</v>
      </c>
      <c r="PK14" s="149">
        <f t="shared" si="6"/>
        <v>270062853.59000003</v>
      </c>
      <c r="PL14" s="149">
        <f t="shared" si="6"/>
        <v>0</v>
      </c>
      <c r="PM14" s="149">
        <f t="shared" si="6"/>
        <v>0</v>
      </c>
      <c r="PN14" s="149">
        <f t="shared" si="6"/>
        <v>0</v>
      </c>
      <c r="PO14" s="149">
        <f t="shared" si="6"/>
        <v>0</v>
      </c>
      <c r="PP14" s="149">
        <f t="shared" si="6"/>
        <v>0</v>
      </c>
      <c r="PQ14" s="149">
        <f t="shared" si="6"/>
        <v>0</v>
      </c>
      <c r="PR14" s="149">
        <f t="shared" si="6"/>
        <v>270062853.59000003</v>
      </c>
      <c r="PS14" s="149">
        <f t="shared" si="6"/>
        <v>0</v>
      </c>
      <c r="PT14" s="149">
        <f t="shared" si="6"/>
        <v>0</v>
      </c>
      <c r="PU14" s="149">
        <f t="shared" si="6"/>
        <v>0</v>
      </c>
      <c r="PV14" s="149">
        <f t="shared" si="6"/>
        <v>0</v>
      </c>
      <c r="PW14" s="149">
        <f t="shared" si="6"/>
        <v>0</v>
      </c>
      <c r="PX14" s="149">
        <f t="shared" ref="PX14:QO14" si="7">SUM(PX15:PX23)</f>
        <v>0</v>
      </c>
      <c r="PY14" s="149">
        <f t="shared" si="7"/>
        <v>7461578.9500000002</v>
      </c>
      <c r="PZ14" s="149">
        <f t="shared" si="7"/>
        <v>7088500</v>
      </c>
      <c r="QA14" s="149">
        <f t="shared" si="7"/>
        <v>373078.95</v>
      </c>
      <c r="QB14" s="149">
        <f t="shared" si="7"/>
        <v>7088500</v>
      </c>
      <c r="QC14" s="149">
        <f t="shared" si="7"/>
        <v>0</v>
      </c>
      <c r="QD14" s="149">
        <f t="shared" si="7"/>
        <v>0</v>
      </c>
      <c r="QE14" s="149">
        <f t="shared" si="7"/>
        <v>7461578.9500000002</v>
      </c>
      <c r="QF14" s="149">
        <f t="shared" si="7"/>
        <v>7088500</v>
      </c>
      <c r="QG14" s="149">
        <f t="shared" si="7"/>
        <v>0</v>
      </c>
      <c r="QH14" s="149">
        <f t="shared" si="7"/>
        <v>373078.95</v>
      </c>
      <c r="QI14" s="149">
        <f t="shared" si="7"/>
        <v>5</v>
      </c>
      <c r="QJ14" s="149">
        <f t="shared" si="7"/>
        <v>0</v>
      </c>
      <c r="QK14" s="149">
        <f t="shared" si="7"/>
        <v>0</v>
      </c>
      <c r="QL14" s="149">
        <f t="shared" si="7"/>
        <v>7088500</v>
      </c>
      <c r="QM14" s="149">
        <f t="shared" si="7"/>
        <v>0</v>
      </c>
      <c r="QN14" s="149">
        <f t="shared" si="7"/>
        <v>7088500</v>
      </c>
      <c r="QO14" s="149">
        <f t="shared" si="7"/>
        <v>7088500</v>
      </c>
      <c r="QP14" s="149">
        <f t="shared" ref="QP14:TA14" si="8">SUM(QP15:QP23)</f>
        <v>0</v>
      </c>
      <c r="QQ14" s="149">
        <f t="shared" si="8"/>
        <v>3306666.5</v>
      </c>
      <c r="QR14" s="149">
        <f t="shared" si="8"/>
        <v>2480000</v>
      </c>
      <c r="QS14" s="149">
        <f t="shared" si="8"/>
        <v>826666.5</v>
      </c>
      <c r="QT14" s="149">
        <f t="shared" si="8"/>
        <v>2480000</v>
      </c>
      <c r="QU14" s="149">
        <f t="shared" si="8"/>
        <v>0</v>
      </c>
      <c r="QV14" s="149">
        <f t="shared" si="8"/>
        <v>0</v>
      </c>
      <c r="QW14" s="149">
        <f t="shared" si="8"/>
        <v>3306666.5</v>
      </c>
      <c r="QX14" s="149">
        <f t="shared" si="8"/>
        <v>2480000</v>
      </c>
      <c r="QY14" s="149">
        <f t="shared" si="8"/>
        <v>0</v>
      </c>
      <c r="QZ14" s="149">
        <f t="shared" si="8"/>
        <v>826666.5</v>
      </c>
      <c r="RA14" s="149">
        <f t="shared" si="8"/>
        <v>25</v>
      </c>
      <c r="RB14" s="149">
        <f t="shared" si="8"/>
        <v>0</v>
      </c>
      <c r="RC14" s="149">
        <f t="shared" si="8"/>
        <v>0</v>
      </c>
      <c r="RD14" s="149">
        <f t="shared" si="8"/>
        <v>2480000</v>
      </c>
      <c r="RE14" s="149">
        <f t="shared" si="8"/>
        <v>0</v>
      </c>
      <c r="RF14" s="149">
        <f t="shared" si="8"/>
        <v>2480000</v>
      </c>
      <c r="RG14" s="149">
        <f t="shared" si="8"/>
        <v>2480000</v>
      </c>
      <c r="RH14" s="149">
        <f t="shared" si="8"/>
        <v>0</v>
      </c>
      <c r="RI14" s="149">
        <f t="shared" si="8"/>
        <v>0</v>
      </c>
      <c r="RJ14" s="149">
        <f t="shared" si="8"/>
        <v>0</v>
      </c>
      <c r="RK14" s="149">
        <f t="shared" si="8"/>
        <v>0</v>
      </c>
      <c r="RL14" s="149">
        <f t="shared" si="8"/>
        <v>0</v>
      </c>
      <c r="RM14" s="149">
        <f t="shared" si="8"/>
        <v>515092799.34000009</v>
      </c>
      <c r="RN14" s="149">
        <f t="shared" si="8"/>
        <v>0</v>
      </c>
      <c r="RO14" s="149">
        <f t="shared" si="8"/>
        <v>0</v>
      </c>
      <c r="RP14" s="149">
        <f t="shared" si="8"/>
        <v>0</v>
      </c>
      <c r="RQ14" s="149">
        <f t="shared" si="8"/>
        <v>0</v>
      </c>
      <c r="RR14" s="149">
        <f t="shared" si="8"/>
        <v>0</v>
      </c>
      <c r="RS14" s="149">
        <f t="shared" si="8"/>
        <v>0</v>
      </c>
      <c r="RT14" s="149">
        <f t="shared" si="8"/>
        <v>515067385.80000007</v>
      </c>
      <c r="RU14" s="149">
        <f t="shared" si="8"/>
        <v>25413.54</v>
      </c>
      <c r="RV14" s="149">
        <f t="shared" si="8"/>
        <v>0</v>
      </c>
      <c r="RW14" s="149">
        <f t="shared" si="8"/>
        <v>0</v>
      </c>
      <c r="RX14" s="149">
        <f t="shared" si="8"/>
        <v>0</v>
      </c>
      <c r="RY14" s="149">
        <f t="shared" si="8"/>
        <v>0</v>
      </c>
      <c r="RZ14" s="149">
        <f t="shared" si="8"/>
        <v>0</v>
      </c>
      <c r="SA14" s="149">
        <f t="shared" si="8"/>
        <v>16786000</v>
      </c>
      <c r="SB14" s="149">
        <f t="shared" si="8"/>
        <v>16786000</v>
      </c>
      <c r="SC14" s="149">
        <f t="shared" si="8"/>
        <v>0</v>
      </c>
      <c r="SD14" s="149">
        <f t="shared" si="8"/>
        <v>16785915</v>
      </c>
      <c r="SE14" s="149">
        <f t="shared" si="8"/>
        <v>0</v>
      </c>
      <c r="SF14" s="149">
        <f t="shared" si="8"/>
        <v>0</v>
      </c>
      <c r="SG14" s="149">
        <f t="shared" si="8"/>
        <v>16785915</v>
      </c>
      <c r="SH14" s="149">
        <f t="shared" si="8"/>
        <v>16785915</v>
      </c>
      <c r="SI14" s="149">
        <f t="shared" si="8"/>
        <v>0</v>
      </c>
      <c r="SJ14" s="149">
        <f t="shared" si="8"/>
        <v>0</v>
      </c>
      <c r="SK14" s="149">
        <f t="shared" si="8"/>
        <v>0</v>
      </c>
      <c r="SL14" s="149">
        <f t="shared" si="8"/>
        <v>0</v>
      </c>
      <c r="SM14" s="149">
        <f t="shared" si="8"/>
        <v>0</v>
      </c>
      <c r="SN14" s="149">
        <f t="shared" si="8"/>
        <v>16785915</v>
      </c>
      <c r="SO14" s="149">
        <f t="shared" si="8"/>
        <v>0</v>
      </c>
      <c r="SP14" s="149">
        <f t="shared" si="8"/>
        <v>16786000</v>
      </c>
      <c r="SQ14" s="149">
        <f t="shared" si="8"/>
        <v>16786000</v>
      </c>
      <c r="SR14" s="149">
        <f t="shared" si="8"/>
        <v>0</v>
      </c>
      <c r="SS14" s="149">
        <f t="shared" si="8"/>
        <v>820909700</v>
      </c>
      <c r="ST14" s="149">
        <f t="shared" si="8"/>
        <v>820909700</v>
      </c>
      <c r="SU14" s="149">
        <f t="shared" si="8"/>
        <v>0</v>
      </c>
      <c r="SV14" s="149">
        <f t="shared" si="8"/>
        <v>820909700</v>
      </c>
      <c r="SW14" s="149">
        <f t="shared" si="8"/>
        <v>0</v>
      </c>
      <c r="SX14" s="149">
        <f t="shared" si="8"/>
        <v>0</v>
      </c>
      <c r="SY14" s="149">
        <f t="shared" si="8"/>
        <v>804062945.33000004</v>
      </c>
      <c r="SZ14" s="149">
        <f t="shared" si="8"/>
        <v>804062945.33000004</v>
      </c>
      <c r="TA14" s="149">
        <f t="shared" si="8"/>
        <v>0</v>
      </c>
      <c r="TB14" s="149">
        <f t="shared" ref="TB14:UA14" si="9">SUM(TB15:TB23)</f>
        <v>0</v>
      </c>
      <c r="TC14" s="149">
        <f t="shared" si="9"/>
        <v>0</v>
      </c>
      <c r="TD14" s="149">
        <f t="shared" si="9"/>
        <v>0</v>
      </c>
      <c r="TE14" s="149">
        <f t="shared" si="9"/>
        <v>16846754.670000002</v>
      </c>
      <c r="TF14" s="149">
        <f t="shared" si="9"/>
        <v>820909700</v>
      </c>
      <c r="TG14" s="149">
        <f t="shared" si="9"/>
        <v>0</v>
      </c>
      <c r="TH14" s="149">
        <f t="shared" si="9"/>
        <v>820909700</v>
      </c>
      <c r="TI14" s="149">
        <f t="shared" si="9"/>
        <v>820909700</v>
      </c>
      <c r="TJ14" s="149">
        <f t="shared" si="9"/>
        <v>0</v>
      </c>
      <c r="TK14" s="149">
        <f t="shared" si="9"/>
        <v>5489574600</v>
      </c>
      <c r="TL14" s="149">
        <f t="shared" si="9"/>
        <v>5489574600</v>
      </c>
      <c r="TM14" s="149">
        <f t="shared" si="9"/>
        <v>0</v>
      </c>
      <c r="TN14" s="149">
        <f t="shared" si="9"/>
        <v>5146439723.75</v>
      </c>
      <c r="TO14" s="149">
        <f t="shared" si="9"/>
        <v>0</v>
      </c>
      <c r="TP14" s="149">
        <f t="shared" si="9"/>
        <v>0</v>
      </c>
      <c r="TQ14" s="149">
        <f t="shared" si="9"/>
        <v>5135726492.829999</v>
      </c>
      <c r="TR14" s="149">
        <f t="shared" si="9"/>
        <v>5135726492.829999</v>
      </c>
      <c r="TS14" s="149">
        <f t="shared" si="9"/>
        <v>0</v>
      </c>
      <c r="TT14" s="149">
        <f t="shared" si="9"/>
        <v>0</v>
      </c>
      <c r="TU14" s="149">
        <f t="shared" si="9"/>
        <v>0</v>
      </c>
      <c r="TV14" s="149">
        <f t="shared" si="9"/>
        <v>0</v>
      </c>
      <c r="TW14" s="149">
        <f t="shared" si="9"/>
        <v>10713230.92</v>
      </c>
      <c r="TX14" s="149">
        <f t="shared" si="9"/>
        <v>5146439723.75</v>
      </c>
      <c r="TY14" s="149">
        <f t="shared" si="9"/>
        <v>0</v>
      </c>
      <c r="TZ14" s="149">
        <f t="shared" si="9"/>
        <v>5489574600</v>
      </c>
      <c r="UA14" s="149">
        <f t="shared" si="9"/>
        <v>5489574600</v>
      </c>
      <c r="UB14" s="149">
        <f t="shared" ref="UB14:US14" si="10">SUM(UB15:UB23)</f>
        <v>0</v>
      </c>
      <c r="UC14" s="149">
        <f t="shared" si="10"/>
        <v>476500600</v>
      </c>
      <c r="UD14" s="149">
        <f t="shared" si="10"/>
        <v>476500600</v>
      </c>
      <c r="UE14" s="149">
        <f t="shared" si="10"/>
        <v>0</v>
      </c>
      <c r="UF14" s="149">
        <f t="shared" si="10"/>
        <v>476500003.10000002</v>
      </c>
      <c r="UG14" s="149">
        <f t="shared" si="10"/>
        <v>0</v>
      </c>
      <c r="UH14" s="149">
        <f t="shared" si="10"/>
        <v>0</v>
      </c>
      <c r="UI14" s="149">
        <f t="shared" si="10"/>
        <v>476500003.10000002</v>
      </c>
      <c r="UJ14" s="149">
        <f t="shared" si="10"/>
        <v>476500003.10000002</v>
      </c>
      <c r="UK14" s="149">
        <f t="shared" si="10"/>
        <v>0</v>
      </c>
      <c r="UL14" s="149">
        <f t="shared" si="10"/>
        <v>0</v>
      </c>
      <c r="UM14" s="149">
        <f t="shared" si="10"/>
        <v>0</v>
      </c>
      <c r="UN14" s="149">
        <f t="shared" si="10"/>
        <v>0</v>
      </c>
      <c r="UO14" s="149">
        <f t="shared" si="10"/>
        <v>0</v>
      </c>
      <c r="UP14" s="149">
        <f t="shared" si="10"/>
        <v>476500003.10000002</v>
      </c>
      <c r="UQ14" s="149">
        <f t="shared" si="10"/>
        <v>0</v>
      </c>
      <c r="UR14" s="149">
        <f t="shared" si="10"/>
        <v>476500600</v>
      </c>
      <c r="US14" s="149">
        <f t="shared" si="10"/>
        <v>476500600</v>
      </c>
    </row>
    <row r="15" spans="1:565" x14ac:dyDescent="0.3">
      <c r="A15" s="133" t="s">
        <v>1</v>
      </c>
      <c r="B15" s="134" t="s">
        <v>2</v>
      </c>
      <c r="C15" s="135" t="s">
        <v>4</v>
      </c>
      <c r="F15" s="149">
        <f>data_1!F15</f>
        <v>0</v>
      </c>
      <c r="G15" s="149">
        <f>data_1!G15</f>
        <v>0</v>
      </c>
      <c r="H15" s="149">
        <f>data_1!H15</f>
        <v>0</v>
      </c>
      <c r="I15" s="149">
        <f>data_1!I15</f>
        <v>0</v>
      </c>
      <c r="J15" s="149">
        <f>data_1!J15</f>
        <v>0</v>
      </c>
      <c r="K15" s="149">
        <f>data_1!K15</f>
        <v>0</v>
      </c>
      <c r="L15" s="149">
        <f>data_1!L15</f>
        <v>0</v>
      </c>
      <c r="M15" s="149">
        <f>data_1!M15</f>
        <v>0</v>
      </c>
      <c r="N15" s="149">
        <f>data_1!N15</f>
        <v>0</v>
      </c>
      <c r="O15" s="149">
        <f>data_1!O15</f>
        <v>0</v>
      </c>
      <c r="P15" s="149">
        <f>data_1!P15</f>
        <v>0</v>
      </c>
      <c r="Q15" s="149">
        <f>data_1!Q15</f>
        <v>0</v>
      </c>
      <c r="R15" s="149">
        <f>data_1!R15</f>
        <v>0</v>
      </c>
      <c r="S15" s="149">
        <f>data_1!S15</f>
        <v>0</v>
      </c>
      <c r="T15" s="149">
        <f>data_1!T15</f>
        <v>0</v>
      </c>
      <c r="U15" s="149">
        <f>data_1!U15</f>
        <v>0</v>
      </c>
      <c r="V15" s="149">
        <f>data_1!V15</f>
        <v>0</v>
      </c>
      <c r="W15" s="149">
        <f>data_1!W15</f>
        <v>0</v>
      </c>
      <c r="X15" s="149">
        <f>data_1!X15</f>
        <v>0</v>
      </c>
      <c r="Y15" s="149">
        <f>data_1!Y15</f>
        <v>0</v>
      </c>
      <c r="Z15" s="149">
        <f>data_1!Z15</f>
        <v>0</v>
      </c>
      <c r="AA15" s="149">
        <f>data_1!AA15</f>
        <v>0</v>
      </c>
      <c r="AB15" s="149">
        <f>data_1!AB15</f>
        <v>0</v>
      </c>
      <c r="AC15" s="149">
        <f>data_1!AC15</f>
        <v>0</v>
      </c>
      <c r="AD15" s="149">
        <f>data_1!AD15</f>
        <v>0</v>
      </c>
      <c r="AE15" s="149">
        <f>data_1!AE15</f>
        <v>0</v>
      </c>
      <c r="AF15" s="149">
        <f>data_1!AF15</f>
        <v>0</v>
      </c>
      <c r="AG15" s="149">
        <f>data_1!AG15</f>
        <v>0</v>
      </c>
      <c r="AH15" s="149">
        <f>data_1!AH15</f>
        <v>0</v>
      </c>
      <c r="AI15" s="149">
        <f>data_1!AI15</f>
        <v>0</v>
      </c>
      <c r="AJ15" s="149">
        <f>data_1!AJ15</f>
        <v>0</v>
      </c>
      <c r="AK15" s="149">
        <f>data_1!AK15</f>
        <v>0</v>
      </c>
      <c r="AL15" s="149">
        <f>data_1!AL15</f>
        <v>0</v>
      </c>
      <c r="AM15" s="149">
        <f>data_1!AM15</f>
        <v>0</v>
      </c>
      <c r="AN15" s="149">
        <f>data_1!AN15</f>
        <v>0</v>
      </c>
      <c r="AO15" s="149">
        <f>data_1!AO15</f>
        <v>0</v>
      </c>
      <c r="AP15" s="149">
        <f>data_1!AP15</f>
        <v>0</v>
      </c>
      <c r="AQ15" s="149">
        <f>data_1!AQ15</f>
        <v>0</v>
      </c>
      <c r="AR15" s="149">
        <f>data_1!AR15</f>
        <v>0</v>
      </c>
      <c r="AS15" s="149">
        <f>data_1!AS15</f>
        <v>0</v>
      </c>
      <c r="AT15" s="149">
        <f>data_1!AT15</f>
        <v>0</v>
      </c>
      <c r="AU15" s="149">
        <f>data_1!AU15</f>
        <v>0</v>
      </c>
      <c r="AV15" s="149">
        <f>data_1!AV15</f>
        <v>0</v>
      </c>
      <c r="AW15" s="149">
        <f>data_1!AW15</f>
        <v>0</v>
      </c>
      <c r="AX15" s="149">
        <f>data_1!AX15</f>
        <v>0</v>
      </c>
      <c r="AY15" s="149">
        <f>data_1!AY15</f>
        <v>0</v>
      </c>
      <c r="AZ15" s="149">
        <f>data_1!AZ15</f>
        <v>0</v>
      </c>
      <c r="BA15" s="149">
        <f>data_1!BA15</f>
        <v>0</v>
      </c>
      <c r="BB15" s="149">
        <f>data_1!BB15</f>
        <v>0</v>
      </c>
      <c r="BC15" s="149">
        <f>data_1!BC15</f>
        <v>0</v>
      </c>
      <c r="BD15" s="149">
        <f>data_1!BD15</f>
        <v>0</v>
      </c>
      <c r="BE15" s="149">
        <f>data_1!BE15</f>
        <v>0</v>
      </c>
      <c r="BF15" s="149">
        <f>data_1!BF15</f>
        <v>0</v>
      </c>
      <c r="BG15" s="149">
        <f>data_1!BG15</f>
        <v>0</v>
      </c>
      <c r="BH15" s="149">
        <f>data_1!BH15</f>
        <v>0</v>
      </c>
      <c r="BI15" s="149">
        <f>data_1!BI15</f>
        <v>0</v>
      </c>
      <c r="BJ15" s="149">
        <f>data_1!BJ15</f>
        <v>0</v>
      </c>
      <c r="BK15" s="149">
        <f>data_1!BK15</f>
        <v>0</v>
      </c>
      <c r="BL15" s="149">
        <f>data_1!BL15</f>
        <v>0</v>
      </c>
      <c r="BM15" s="149">
        <f>data_1!BM15</f>
        <v>0</v>
      </c>
      <c r="BN15" s="149">
        <f>data_1!BN15</f>
        <v>0</v>
      </c>
      <c r="BO15" s="149">
        <f>data_1!BO15</f>
        <v>0</v>
      </c>
      <c r="BP15" s="149">
        <f>data_1!BP15</f>
        <v>0</v>
      </c>
      <c r="BQ15" s="149">
        <f>data_1!BQ15</f>
        <v>0</v>
      </c>
      <c r="BR15" s="149">
        <f>data_1!BR15</f>
        <v>0</v>
      </c>
      <c r="BS15" s="149">
        <f>data_1!BS15</f>
        <v>0</v>
      </c>
      <c r="BT15" s="149">
        <f>data_1!BT15</f>
        <v>0</v>
      </c>
      <c r="BU15" s="149">
        <f>data_1!BU15</f>
        <v>0</v>
      </c>
      <c r="BV15" s="149">
        <f>data_1!BV15</f>
        <v>0</v>
      </c>
      <c r="BW15" s="149">
        <f>data_1!BW15</f>
        <v>0</v>
      </c>
      <c r="BX15" s="149">
        <f>data_1!BX15</f>
        <v>0</v>
      </c>
      <c r="BY15" s="149">
        <f>data_1!BY15</f>
        <v>0</v>
      </c>
      <c r="BZ15" s="149">
        <f>data_1!BZ15</f>
        <v>0</v>
      </c>
      <c r="CA15" s="149">
        <f>data_1!CA15</f>
        <v>0</v>
      </c>
      <c r="CB15" s="149">
        <f>data_1!CB15</f>
        <v>0</v>
      </c>
      <c r="CC15" s="149">
        <f>data_1!CC15</f>
        <v>0</v>
      </c>
      <c r="CD15" s="149">
        <f>data_1!CD15</f>
        <v>0</v>
      </c>
      <c r="CE15" s="149">
        <f>data_1!CE15</f>
        <v>0</v>
      </c>
      <c r="CF15" s="149">
        <f>data_1!CF15</f>
        <v>0</v>
      </c>
      <c r="CG15" s="149">
        <f>data_1!CG15</f>
        <v>0</v>
      </c>
      <c r="CH15" s="149">
        <f>data_1!CH15</f>
        <v>0</v>
      </c>
      <c r="CI15" s="149">
        <f>data_1!CI15</f>
        <v>0</v>
      </c>
      <c r="CJ15" s="149">
        <f>data_1!CJ15</f>
        <v>0</v>
      </c>
      <c r="CK15" s="149">
        <f>data_1!CK15</f>
        <v>0</v>
      </c>
      <c r="CL15" s="149">
        <f>data_1!CL15</f>
        <v>0</v>
      </c>
      <c r="CM15" s="149">
        <f>data_1!CM15</f>
        <v>0</v>
      </c>
      <c r="CN15" s="149">
        <f>data_1!CN15</f>
        <v>0</v>
      </c>
      <c r="CO15" s="149">
        <f>data_1!CO15</f>
        <v>0</v>
      </c>
      <c r="CP15" s="149">
        <f>data_1!CP15</f>
        <v>0</v>
      </c>
      <c r="CQ15" s="149">
        <f>data_1!CQ15</f>
        <v>0</v>
      </c>
      <c r="CR15" s="149">
        <f>data_1!CR15</f>
        <v>0</v>
      </c>
      <c r="CS15" s="149">
        <f>data_1!CS15</f>
        <v>0</v>
      </c>
      <c r="CT15" s="149">
        <f>data_1!CT15</f>
        <v>0</v>
      </c>
      <c r="CU15" s="149">
        <f>data_1!CU15</f>
        <v>0</v>
      </c>
      <c r="CV15" s="149">
        <f>data_1!CV15</f>
        <v>0</v>
      </c>
      <c r="CW15" s="149">
        <f>data_1!CW15</f>
        <v>0</v>
      </c>
      <c r="CX15" s="149">
        <f>data_1!CX15</f>
        <v>0</v>
      </c>
      <c r="CY15" s="149">
        <f>data_1!CY15</f>
        <v>0</v>
      </c>
      <c r="CZ15" s="149">
        <f>data_1!CZ15</f>
        <v>0</v>
      </c>
      <c r="DA15" s="149">
        <f>data_1!DA15</f>
        <v>0</v>
      </c>
      <c r="DB15" s="149">
        <f>data_1!DB15</f>
        <v>0</v>
      </c>
      <c r="DC15" s="149">
        <f>data_1!DC15</f>
        <v>0</v>
      </c>
      <c r="DD15" s="149">
        <f>data_1!DD15</f>
        <v>0</v>
      </c>
      <c r="DE15" s="149">
        <f>data_1!DE15</f>
        <v>0</v>
      </c>
      <c r="DF15" s="149">
        <f>data_1!DF15</f>
        <v>0</v>
      </c>
      <c r="DG15" s="149">
        <f>data_1!DG15</f>
        <v>0</v>
      </c>
      <c r="DH15" s="149">
        <f>data_1!DH15</f>
        <v>0</v>
      </c>
      <c r="DI15" s="149">
        <f>data_1!DI15</f>
        <v>0</v>
      </c>
      <c r="DJ15" s="149">
        <f>data_1!DJ15</f>
        <v>0</v>
      </c>
      <c r="DK15" s="149">
        <f>data_1!DK15</f>
        <v>0</v>
      </c>
      <c r="DL15" s="149">
        <f>data_1!DL15</f>
        <v>0</v>
      </c>
      <c r="DM15" s="149">
        <f>data_1!DM15</f>
        <v>0</v>
      </c>
      <c r="DN15" s="149">
        <f>data_1!DN15</f>
        <v>0</v>
      </c>
      <c r="DO15" s="149">
        <f>data_1!DO15</f>
        <v>0</v>
      </c>
      <c r="DP15" s="149">
        <f>data_1!DP15</f>
        <v>0</v>
      </c>
      <c r="DQ15" s="149">
        <f>data_1!DQ15</f>
        <v>0</v>
      </c>
      <c r="DR15" s="149">
        <f>data_1!DR15</f>
        <v>0</v>
      </c>
      <c r="DS15" s="149">
        <f>data_1!DS15</f>
        <v>0</v>
      </c>
      <c r="DT15" s="149">
        <f>data_1!DT15</f>
        <v>0</v>
      </c>
      <c r="DU15" s="149">
        <f>data_1!DU15</f>
        <v>0</v>
      </c>
      <c r="DV15" s="149">
        <f>data_1!DV15</f>
        <v>0</v>
      </c>
      <c r="DW15" s="149">
        <f>data_1!DW15</f>
        <v>0</v>
      </c>
      <c r="DX15" s="149">
        <f>data_1!DX15</f>
        <v>0</v>
      </c>
      <c r="DY15" s="149">
        <f>data_1!DY15</f>
        <v>0</v>
      </c>
      <c r="DZ15" s="149">
        <f>data_1!DZ15</f>
        <v>0</v>
      </c>
      <c r="EA15" s="149">
        <f>data_1!EA15</f>
        <v>0</v>
      </c>
      <c r="EB15" s="149">
        <f>data_1!EB15</f>
        <v>0</v>
      </c>
      <c r="EC15" s="149">
        <f>data_1!EC15</f>
        <v>0</v>
      </c>
      <c r="ED15" s="149">
        <f>data_1!ED15</f>
        <v>0</v>
      </c>
      <c r="EE15" s="149">
        <f>data_1!EE15</f>
        <v>0</v>
      </c>
      <c r="EF15" s="149">
        <f>data_1!EF15</f>
        <v>0</v>
      </c>
      <c r="EG15" s="149">
        <f>data_1!EG15</f>
        <v>0</v>
      </c>
      <c r="EH15" s="149">
        <f>data_1!EH15</f>
        <v>0</v>
      </c>
      <c r="EI15" s="149">
        <f>data_1!EI15</f>
        <v>0</v>
      </c>
      <c r="EJ15" s="149">
        <f>data_1!EJ15</f>
        <v>0</v>
      </c>
      <c r="EK15" s="149">
        <f>data_1!EK15</f>
        <v>0</v>
      </c>
      <c r="EL15" s="149">
        <f>data_1!EL15</f>
        <v>0</v>
      </c>
      <c r="EM15" s="149">
        <f>data_1!EM15</f>
        <v>0</v>
      </c>
      <c r="EN15" s="149">
        <f>data_1!EN15</f>
        <v>0</v>
      </c>
      <c r="EO15" s="149">
        <f>data_1!EO15</f>
        <v>0</v>
      </c>
      <c r="EP15" s="149">
        <f>data_1!EP15</f>
        <v>0</v>
      </c>
      <c r="EQ15" s="149">
        <f>data_1!EQ15</f>
        <v>0</v>
      </c>
      <c r="ER15" s="149">
        <f>data_1!ER15</f>
        <v>0</v>
      </c>
      <c r="ES15" s="149">
        <f>data_1!ES15</f>
        <v>0</v>
      </c>
      <c r="ET15" s="149">
        <f>data_1!ET15</f>
        <v>0</v>
      </c>
      <c r="EU15" s="149">
        <f>data_1!EU15</f>
        <v>0</v>
      </c>
      <c r="EV15" s="149">
        <f>data_1!EV15</f>
        <v>0</v>
      </c>
      <c r="EW15" s="149">
        <f>data_1!EW15</f>
        <v>0</v>
      </c>
      <c r="EX15" s="149">
        <f>data_1!EX15</f>
        <v>0</v>
      </c>
      <c r="EY15" s="149">
        <f>data_1!EY15</f>
        <v>0</v>
      </c>
      <c r="EZ15" s="149">
        <f>data_1!EZ15</f>
        <v>0</v>
      </c>
      <c r="FA15" s="149">
        <f>data_1!FA15</f>
        <v>0</v>
      </c>
      <c r="FB15" s="149">
        <f>data_1!FB15</f>
        <v>0</v>
      </c>
      <c r="FC15" s="149">
        <f>data_1!FC15</f>
        <v>0</v>
      </c>
      <c r="FD15" s="149">
        <f>data_1!FD15</f>
        <v>0</v>
      </c>
      <c r="FE15" s="149">
        <f>data_1!FE15</f>
        <v>0</v>
      </c>
      <c r="FF15" s="149">
        <f>data_1!FF15</f>
        <v>0</v>
      </c>
      <c r="FG15" s="149">
        <f>data_1!FG15</f>
        <v>0</v>
      </c>
      <c r="FH15" s="149">
        <f>data_1!FH15</f>
        <v>0</v>
      </c>
      <c r="FI15" s="149">
        <f>data_1!FI15</f>
        <v>0</v>
      </c>
      <c r="FJ15" s="149">
        <f>data_1!FJ15</f>
        <v>0</v>
      </c>
      <c r="FK15" s="149">
        <f>data_1!FK15</f>
        <v>0</v>
      </c>
      <c r="FL15" s="149">
        <f>data_1!FL15</f>
        <v>0</v>
      </c>
      <c r="FM15" s="149">
        <f>data_1!FM15</f>
        <v>0</v>
      </c>
      <c r="FN15" s="149">
        <f>data_1!FN15</f>
        <v>0</v>
      </c>
      <c r="FO15" s="149">
        <f>data_1!FO15</f>
        <v>0</v>
      </c>
      <c r="FP15" s="149">
        <f>data_1!FP15</f>
        <v>0</v>
      </c>
      <c r="FQ15" s="149">
        <f>data_1!FQ15</f>
        <v>0</v>
      </c>
      <c r="FR15" s="149">
        <f>data_1!FR15</f>
        <v>0</v>
      </c>
      <c r="FS15" s="149">
        <f>data_1!FS15</f>
        <v>0</v>
      </c>
      <c r="FT15" s="149">
        <f>data_1!FT15</f>
        <v>0</v>
      </c>
      <c r="FU15" s="149">
        <f>data_1!FU15</f>
        <v>0</v>
      </c>
      <c r="FV15" s="149">
        <f>data_1!FV15</f>
        <v>0</v>
      </c>
      <c r="FW15" s="149">
        <f>data_1!FW15</f>
        <v>0</v>
      </c>
      <c r="FX15" s="149">
        <f>data_1!FX15</f>
        <v>0</v>
      </c>
      <c r="FY15" s="149">
        <f>data_1!FY15</f>
        <v>0</v>
      </c>
      <c r="FZ15" s="149">
        <f>data_1!FZ15</f>
        <v>0</v>
      </c>
      <c r="GA15" s="149">
        <f>data_1!GA15</f>
        <v>0</v>
      </c>
      <c r="GB15" s="149">
        <f>data_1!GB15</f>
        <v>0</v>
      </c>
      <c r="GC15" s="149">
        <f>data_1!GC15</f>
        <v>0</v>
      </c>
      <c r="GD15" s="149">
        <f>data_1!GD15</f>
        <v>0</v>
      </c>
      <c r="GE15" s="149">
        <f>data_1!GE15</f>
        <v>0</v>
      </c>
      <c r="GF15" s="149">
        <f>data_1!GF15</f>
        <v>0</v>
      </c>
      <c r="GG15" s="149">
        <f>data_1!GG15</f>
        <v>0</v>
      </c>
      <c r="GH15" s="149">
        <f>data_1!GH15</f>
        <v>0</v>
      </c>
      <c r="GI15" s="149">
        <f>data_1!GI15</f>
        <v>0</v>
      </c>
      <c r="GJ15" s="149">
        <f>data_1!GJ15</f>
        <v>0</v>
      </c>
      <c r="GK15" s="149">
        <f>data_1!GK15</f>
        <v>0</v>
      </c>
      <c r="GL15" s="149">
        <f>data_1!GL15</f>
        <v>0</v>
      </c>
      <c r="GM15" s="149">
        <f>data_1!GM15</f>
        <v>0</v>
      </c>
      <c r="GN15" s="149">
        <f>data_1!GN15</f>
        <v>0</v>
      </c>
      <c r="GO15" s="149">
        <f>data_1!GO15</f>
        <v>0</v>
      </c>
      <c r="GP15" s="149">
        <f>data_1!GP15</f>
        <v>0</v>
      </c>
      <c r="GQ15" s="149">
        <f>data_1!GQ15</f>
        <v>0</v>
      </c>
      <c r="GR15" s="149">
        <f>data_1!GR15</f>
        <v>0</v>
      </c>
      <c r="GS15" s="149">
        <f>data_1!GS15</f>
        <v>0</v>
      </c>
      <c r="GT15" s="149">
        <f>data_1!GT15</f>
        <v>0</v>
      </c>
      <c r="GU15" s="149">
        <f>data_1!GU15</f>
        <v>0</v>
      </c>
      <c r="GV15" s="149">
        <f>data_1!GV15</f>
        <v>0</v>
      </c>
      <c r="GW15" s="149">
        <f>data_1!GW15</f>
        <v>0</v>
      </c>
      <c r="GX15" s="149">
        <f>data_1!GX15</f>
        <v>0</v>
      </c>
      <c r="GY15" s="149">
        <f>data_1!GY15</f>
        <v>0</v>
      </c>
      <c r="GZ15" s="149">
        <f>data_1!GZ15</f>
        <v>0</v>
      </c>
      <c r="HA15" s="149">
        <f>data_1!HA15</f>
        <v>0</v>
      </c>
      <c r="HB15" s="149">
        <f>data_1!HB15</f>
        <v>0</v>
      </c>
      <c r="HC15" s="149">
        <f>data_1!HC15</f>
        <v>0</v>
      </c>
      <c r="HD15" s="149">
        <f>data_1!HD15</f>
        <v>0</v>
      </c>
      <c r="HE15" s="149">
        <f>data_1!HE15</f>
        <v>0</v>
      </c>
      <c r="HF15" s="149">
        <f>data_1!HF15</f>
        <v>0</v>
      </c>
      <c r="HG15" s="149">
        <f>data_1!HG15</f>
        <v>0</v>
      </c>
      <c r="HH15" s="149">
        <f>data_1!HH15</f>
        <v>0</v>
      </c>
      <c r="HI15" s="149">
        <f>data_1!HI15</f>
        <v>0</v>
      </c>
      <c r="HJ15" s="149">
        <f>data_1!HJ15</f>
        <v>0</v>
      </c>
      <c r="HK15" s="149">
        <f>data_1!HK15</f>
        <v>0</v>
      </c>
      <c r="HL15" s="149">
        <f>data_1!HL15</f>
        <v>0</v>
      </c>
      <c r="HM15" s="149">
        <f>data_1!HM15</f>
        <v>0</v>
      </c>
      <c r="HN15" s="149">
        <f>data_1!HN15</f>
        <v>0</v>
      </c>
      <c r="HO15" s="149">
        <f>data_1!HO15</f>
        <v>0</v>
      </c>
      <c r="HP15" s="149">
        <f>data_1!HP15</f>
        <v>0</v>
      </c>
      <c r="HQ15" s="149">
        <f>data_1!HQ15</f>
        <v>0</v>
      </c>
      <c r="HR15" s="149">
        <f>data_1!HR15</f>
        <v>0</v>
      </c>
      <c r="HS15" s="149">
        <f>data_1!HS15</f>
        <v>0</v>
      </c>
      <c r="HT15" s="149">
        <f>data_1!HT15</f>
        <v>0</v>
      </c>
      <c r="HU15" s="149">
        <f>data_1!HU15</f>
        <v>0</v>
      </c>
      <c r="HV15" s="149">
        <f>data_1!HV15</f>
        <v>0</v>
      </c>
      <c r="HW15" s="149">
        <f>data_1!HW15</f>
        <v>0</v>
      </c>
      <c r="HX15" s="149">
        <f>data_1!HX15</f>
        <v>0</v>
      </c>
      <c r="HY15" s="149">
        <f>data_1!HY15</f>
        <v>0</v>
      </c>
      <c r="HZ15" s="149">
        <f>data_1!HZ15</f>
        <v>0</v>
      </c>
      <c r="IA15" s="149">
        <f>data_1!IA15</f>
        <v>0</v>
      </c>
      <c r="IB15" s="149">
        <f>data_1!IB15</f>
        <v>0</v>
      </c>
      <c r="IC15" s="149">
        <f>data_1!IC15</f>
        <v>0</v>
      </c>
      <c r="ID15" s="149">
        <f>data_1!ID15</f>
        <v>0</v>
      </c>
      <c r="IE15" s="149">
        <f>data_1!IE15</f>
        <v>0</v>
      </c>
      <c r="IF15" s="149">
        <f>data_1!IF15</f>
        <v>0</v>
      </c>
      <c r="IG15" s="149">
        <f>data_1!IG15</f>
        <v>0</v>
      </c>
      <c r="IH15" s="149">
        <f>data_1!IH15</f>
        <v>0</v>
      </c>
      <c r="II15" s="149">
        <f>data_1!II15</f>
        <v>0</v>
      </c>
      <c r="IJ15" s="149">
        <f>data_1!IJ15</f>
        <v>0</v>
      </c>
      <c r="IK15" s="149">
        <f>data_1!IK15</f>
        <v>0</v>
      </c>
      <c r="IL15" s="149">
        <f>data_1!IL15</f>
        <v>0</v>
      </c>
      <c r="IM15" s="149">
        <f>data_1!IM15</f>
        <v>0</v>
      </c>
      <c r="IN15" s="149">
        <f>data_1!IN15</f>
        <v>0</v>
      </c>
      <c r="IO15" s="149">
        <f>data_1!IO15</f>
        <v>0</v>
      </c>
      <c r="IP15" s="149">
        <f>data_1!IP15</f>
        <v>0</v>
      </c>
      <c r="IQ15" s="149">
        <f>data_1!IQ15</f>
        <v>0</v>
      </c>
      <c r="IR15" s="149">
        <f>data_1!IR15</f>
        <v>0</v>
      </c>
      <c r="IS15" s="149">
        <f>data_1!IS15</f>
        <v>0</v>
      </c>
      <c r="IT15" s="149">
        <f>data_1!IT15</f>
        <v>0</v>
      </c>
      <c r="IU15" s="149">
        <f>data_1!IU15</f>
        <v>0</v>
      </c>
      <c r="IV15" s="149">
        <f>data_1!IV15</f>
        <v>0</v>
      </c>
      <c r="IW15" s="149">
        <f>data_1!IW15</f>
        <v>0</v>
      </c>
      <c r="IX15" s="149">
        <f>data_1!IX15</f>
        <v>0</v>
      </c>
      <c r="IY15" s="149">
        <f>data_1!IY15</f>
        <v>0</v>
      </c>
      <c r="IZ15" s="149">
        <f>data_1!IZ15</f>
        <v>0</v>
      </c>
      <c r="JA15" s="149">
        <f>data_1!JA15</f>
        <v>0</v>
      </c>
      <c r="JB15" s="149">
        <f>data_1!JB15</f>
        <v>0</v>
      </c>
      <c r="JC15" s="149">
        <f>data_1!JC15</f>
        <v>0</v>
      </c>
      <c r="JD15" s="149">
        <f>data_1!JD15</f>
        <v>0</v>
      </c>
      <c r="JE15" s="149">
        <f>data_1!JE15</f>
        <v>0</v>
      </c>
      <c r="JF15" s="149">
        <f>data_1!JF15</f>
        <v>0</v>
      </c>
      <c r="JG15" s="149">
        <f>data_1!JG15</f>
        <v>0</v>
      </c>
      <c r="JH15" s="149">
        <f>data_1!JH15</f>
        <v>0</v>
      </c>
      <c r="JI15" s="149">
        <f>data_1!JI15</f>
        <v>0</v>
      </c>
      <c r="JJ15" s="149">
        <f>data_1!JJ15</f>
        <v>0</v>
      </c>
      <c r="JK15" s="149">
        <f>data_1!JK15</f>
        <v>0</v>
      </c>
      <c r="JL15" s="149">
        <f>data_1!JL15</f>
        <v>0</v>
      </c>
      <c r="JM15" s="149">
        <f>data_1!JM15</f>
        <v>0</v>
      </c>
      <c r="JN15" s="149">
        <f>data_1!JN15</f>
        <v>0</v>
      </c>
      <c r="JO15" s="149">
        <f>data_1!JO15</f>
        <v>0</v>
      </c>
      <c r="JP15" s="149">
        <f>data_1!JP15</f>
        <v>0</v>
      </c>
      <c r="JQ15" s="149">
        <f>data_1!JQ15</f>
        <v>0</v>
      </c>
      <c r="JR15" s="149">
        <f>data_1!JR15</f>
        <v>0</v>
      </c>
      <c r="JS15" s="149">
        <f>data_1!JS15</f>
        <v>0</v>
      </c>
      <c r="JT15" s="149">
        <f>data_1!JT15</f>
        <v>0</v>
      </c>
      <c r="JU15" s="149">
        <f>data_1!JU15</f>
        <v>0</v>
      </c>
      <c r="JV15" s="149">
        <f>data_1!JV15</f>
        <v>0</v>
      </c>
      <c r="JW15" s="149">
        <f>data_1!JW15</f>
        <v>0</v>
      </c>
      <c r="JX15" s="149">
        <f>data_1!JX15</f>
        <v>0</v>
      </c>
      <c r="JY15" s="149">
        <f>data_1!JY15</f>
        <v>0</v>
      </c>
      <c r="JZ15" s="149">
        <f>data_1!JZ15</f>
        <v>0</v>
      </c>
      <c r="KA15" s="149">
        <f>data_1!KA15</f>
        <v>0</v>
      </c>
      <c r="KB15" s="149">
        <f>data_1!KB15</f>
        <v>0</v>
      </c>
      <c r="KC15" s="149">
        <f>data_1!KC15</f>
        <v>0</v>
      </c>
      <c r="KD15" s="149">
        <f>data_1!KD15</f>
        <v>0</v>
      </c>
      <c r="KE15" s="149">
        <f>data_1!KE15</f>
        <v>0</v>
      </c>
      <c r="KF15" s="149">
        <f>data_1!KF15</f>
        <v>0</v>
      </c>
      <c r="KG15" s="149">
        <f>data_1!KG15</f>
        <v>0</v>
      </c>
      <c r="KH15" s="149">
        <f>data_1!KH15</f>
        <v>0</v>
      </c>
      <c r="KI15" s="149">
        <f>data_1!KI15</f>
        <v>0</v>
      </c>
      <c r="KJ15" s="149">
        <f>data_1!KJ15</f>
        <v>0</v>
      </c>
      <c r="KK15" s="149">
        <f>data_1!KK15</f>
        <v>0</v>
      </c>
      <c r="KL15" s="149">
        <f>data_1!KL15</f>
        <v>0</v>
      </c>
      <c r="KM15" s="149">
        <f>data_1!KM15</f>
        <v>0</v>
      </c>
      <c r="KN15" s="149">
        <f>data_1!KN15</f>
        <v>0</v>
      </c>
      <c r="KO15" s="149">
        <f>data_1!KO15</f>
        <v>0</v>
      </c>
      <c r="KP15" s="149">
        <f>data_1!KP15</f>
        <v>0</v>
      </c>
      <c r="KQ15" s="149">
        <f>data_1!KQ15</f>
        <v>0</v>
      </c>
      <c r="KR15" s="149">
        <f>data_1!KR15</f>
        <v>0</v>
      </c>
      <c r="KS15" s="149">
        <f>data_1!KS15</f>
        <v>0</v>
      </c>
      <c r="KT15" s="149">
        <f>data_1!KT15</f>
        <v>0</v>
      </c>
      <c r="KU15" s="149">
        <f>data_1!KU15</f>
        <v>0</v>
      </c>
      <c r="KV15" s="149">
        <f>data_1!KV15</f>
        <v>0</v>
      </c>
      <c r="KW15" s="149">
        <f>data_1!KW15</f>
        <v>0</v>
      </c>
      <c r="KX15" s="149">
        <f>data_1!KX15</f>
        <v>0</v>
      </c>
      <c r="KY15" s="149">
        <f>data_1!KY15</f>
        <v>0</v>
      </c>
      <c r="KZ15" s="149">
        <f>data_1!KZ15</f>
        <v>0</v>
      </c>
      <c r="LA15" s="149">
        <f>data_1!LA15</f>
        <v>0</v>
      </c>
      <c r="LB15" s="149">
        <f>data_1!LB15</f>
        <v>0</v>
      </c>
      <c r="LC15" s="149">
        <f>data_1!LC15</f>
        <v>0</v>
      </c>
      <c r="LD15" s="149">
        <f>data_1!LD15</f>
        <v>0</v>
      </c>
      <c r="LE15" s="149">
        <f>data_1!LE15</f>
        <v>0</v>
      </c>
      <c r="LF15" s="149">
        <f>data_1!LF15</f>
        <v>0</v>
      </c>
      <c r="LG15" s="149">
        <f>data_1!LG15</f>
        <v>0</v>
      </c>
      <c r="LH15" s="149">
        <f>data_1!LH15</f>
        <v>0</v>
      </c>
      <c r="LI15" s="149">
        <f>data_1!LI15</f>
        <v>0</v>
      </c>
      <c r="LJ15" s="149">
        <f>data_1!LJ15</f>
        <v>0</v>
      </c>
      <c r="LK15" s="149">
        <f>data_1!LK15</f>
        <v>0</v>
      </c>
      <c r="LL15" s="149">
        <f>data_1!LL15</f>
        <v>0</v>
      </c>
      <c r="LM15" s="149">
        <f>data_1!LM15</f>
        <v>0</v>
      </c>
      <c r="LN15" s="149">
        <f>data_1!LN15</f>
        <v>0</v>
      </c>
      <c r="LO15" s="149">
        <f>data_1!LO15</f>
        <v>0</v>
      </c>
      <c r="LP15" s="149">
        <f>data_1!LP15</f>
        <v>0</v>
      </c>
      <c r="LQ15" s="149">
        <f>data_1!LQ15</f>
        <v>0</v>
      </c>
      <c r="LR15" s="149">
        <f>data_1!LR15</f>
        <v>0</v>
      </c>
      <c r="LS15" s="149">
        <f>data_1!LS15</f>
        <v>0</v>
      </c>
      <c r="LT15" s="149">
        <f>data_1!LT15</f>
        <v>0</v>
      </c>
      <c r="LU15" s="149">
        <f>data_1!LU15</f>
        <v>0</v>
      </c>
      <c r="LV15" s="149">
        <f>data_1!LV15</f>
        <v>0</v>
      </c>
      <c r="LW15" s="149">
        <f>data_1!LW15</f>
        <v>0</v>
      </c>
      <c r="LX15" s="149">
        <f>data_1!LX15</f>
        <v>0</v>
      </c>
      <c r="LY15" s="149">
        <f>data_1!LY15</f>
        <v>0</v>
      </c>
      <c r="LZ15" s="149">
        <f>data_1!LZ15</f>
        <v>0</v>
      </c>
      <c r="MA15" s="149">
        <f>data_1!MA15</f>
        <v>0</v>
      </c>
      <c r="MB15" s="149">
        <f>data_1!MB15</f>
        <v>0</v>
      </c>
      <c r="MC15" s="149">
        <f>data_1!MC15</f>
        <v>0</v>
      </c>
      <c r="MD15" s="149">
        <f>data_1!MD15</f>
        <v>0</v>
      </c>
      <c r="ME15" s="149">
        <f>data_1!ME15</f>
        <v>0</v>
      </c>
      <c r="MF15" s="149">
        <f>data_1!MF15</f>
        <v>0</v>
      </c>
      <c r="MG15" s="149">
        <f>data_1!MG15</f>
        <v>0</v>
      </c>
      <c r="MH15" s="149">
        <f>data_1!MH15</f>
        <v>0</v>
      </c>
      <c r="MI15" s="149">
        <f>data_1!MI15</f>
        <v>0</v>
      </c>
      <c r="MJ15" s="149">
        <f>data_1!MJ15</f>
        <v>0</v>
      </c>
      <c r="MK15" s="149">
        <f>data_1!MK15</f>
        <v>0</v>
      </c>
      <c r="ML15" s="149">
        <f>data_1!ML15</f>
        <v>0</v>
      </c>
      <c r="MM15" s="149">
        <f>data_1!MM15</f>
        <v>0</v>
      </c>
      <c r="MN15" s="149">
        <f>data_1!MN15</f>
        <v>0</v>
      </c>
      <c r="MO15" s="149">
        <f>data_1!MO15</f>
        <v>0</v>
      </c>
      <c r="MP15" s="149">
        <f>data_1!MP15</f>
        <v>0</v>
      </c>
      <c r="MQ15" s="149">
        <f>data_1!MQ15</f>
        <v>0</v>
      </c>
      <c r="MR15" s="149">
        <f>data_1!MR15</f>
        <v>0</v>
      </c>
      <c r="MS15" s="149">
        <f>data_1!MS15</f>
        <v>0</v>
      </c>
      <c r="MT15" s="149">
        <f>data_1!MT15</f>
        <v>0</v>
      </c>
      <c r="MU15" s="149">
        <f>data_1!MU15</f>
        <v>0</v>
      </c>
      <c r="MV15" s="149">
        <f>data_1!MV15</f>
        <v>0</v>
      </c>
      <c r="MW15" s="149">
        <f>data_1!MW15</f>
        <v>0</v>
      </c>
      <c r="MX15" s="149">
        <f>data_1!MX15</f>
        <v>0</v>
      </c>
      <c r="MY15" s="149">
        <f>data_1!MY15</f>
        <v>0</v>
      </c>
      <c r="MZ15" s="149">
        <f>data_1!MZ15</f>
        <v>0</v>
      </c>
      <c r="NA15" s="149">
        <f>data_1!NA15</f>
        <v>0</v>
      </c>
      <c r="NB15" s="149">
        <f>data_1!NB15</f>
        <v>0</v>
      </c>
      <c r="NC15" s="149">
        <f>data_1!NC15</f>
        <v>0</v>
      </c>
      <c r="ND15" s="149">
        <f>data_1!ND15</f>
        <v>0</v>
      </c>
      <c r="NE15" s="149">
        <f>data_1!NE15</f>
        <v>0</v>
      </c>
      <c r="NF15" s="149">
        <f>data_1!NF15</f>
        <v>0</v>
      </c>
      <c r="NG15" s="149">
        <f>data_1!NG15</f>
        <v>0</v>
      </c>
      <c r="NH15" s="149">
        <f>data_1!NH15</f>
        <v>0</v>
      </c>
      <c r="NI15" s="149">
        <f>data_1!NI15</f>
        <v>0</v>
      </c>
      <c r="NJ15" s="149">
        <f>data_1!NJ15</f>
        <v>0</v>
      </c>
      <c r="NK15" s="149">
        <f>data_1!NK15</f>
        <v>0</v>
      </c>
      <c r="NL15" s="149">
        <f>data_1!NL15</f>
        <v>0</v>
      </c>
      <c r="NM15" s="149">
        <f>data_1!NM15</f>
        <v>0</v>
      </c>
      <c r="NN15" s="149">
        <f>data_1!NN15</f>
        <v>0</v>
      </c>
      <c r="NO15" s="149">
        <f>data_1!NO15</f>
        <v>0</v>
      </c>
      <c r="NP15" s="149">
        <f>data_1!NP15</f>
        <v>0</v>
      </c>
      <c r="NQ15" s="149">
        <f>data_1!NQ15</f>
        <v>0</v>
      </c>
      <c r="NR15" s="149">
        <f>data_1!NR15</f>
        <v>0</v>
      </c>
      <c r="NS15" s="149">
        <f>data_1!NS15</f>
        <v>0</v>
      </c>
      <c r="NT15" s="149">
        <f>data_1!NT15</f>
        <v>0</v>
      </c>
      <c r="NU15" s="149">
        <f>data_1!NU15</f>
        <v>0</v>
      </c>
      <c r="NV15" s="149">
        <f>data_1!NV15</f>
        <v>0</v>
      </c>
      <c r="NW15" s="149">
        <f>data_1!NW15</f>
        <v>0</v>
      </c>
      <c r="NX15" s="149">
        <f>data_1!NX15</f>
        <v>0</v>
      </c>
      <c r="NY15" s="149">
        <f>data_1!NY15</f>
        <v>0</v>
      </c>
      <c r="NZ15" s="149">
        <f>data_1!NZ15</f>
        <v>0</v>
      </c>
      <c r="OA15" s="149">
        <f>data_1!OA15</f>
        <v>0</v>
      </c>
      <c r="OB15" s="149">
        <f>data_1!OB15</f>
        <v>0</v>
      </c>
      <c r="OC15" s="149">
        <f>data_1!OC15</f>
        <v>0</v>
      </c>
      <c r="OD15" s="149">
        <f>data_1!OD15</f>
        <v>0</v>
      </c>
      <c r="OE15" s="149">
        <f>data_1!OE15</f>
        <v>0</v>
      </c>
      <c r="OF15" s="149">
        <f>data_1!OF15</f>
        <v>0</v>
      </c>
      <c r="OG15" s="149">
        <f>data_1!OG15</f>
        <v>0</v>
      </c>
      <c r="OH15" s="149">
        <f>data_1!OH15</f>
        <v>0</v>
      </c>
      <c r="OI15" s="149">
        <f>data_1!OI15</f>
        <v>0</v>
      </c>
      <c r="OJ15" s="149">
        <f>data_1!OJ15</f>
        <v>0</v>
      </c>
      <c r="OK15" s="149">
        <f>data_1!OK15</f>
        <v>0</v>
      </c>
      <c r="OL15" s="149">
        <f>data_1!OL15</f>
        <v>0</v>
      </c>
      <c r="OM15" s="149">
        <f>data_1!OM15</f>
        <v>0</v>
      </c>
      <c r="ON15" s="149">
        <f>data_1!ON15</f>
        <v>0</v>
      </c>
      <c r="OO15" s="149">
        <f>data_1!OO15</f>
        <v>0</v>
      </c>
      <c r="OP15" s="149">
        <f>data_1!OP15</f>
        <v>0</v>
      </c>
      <c r="OQ15" s="149">
        <f>data_1!OQ15</f>
        <v>0</v>
      </c>
      <c r="OR15" s="149">
        <f>data_1!OR15</f>
        <v>0</v>
      </c>
      <c r="OS15" s="149">
        <f>data_1!OS15</f>
        <v>0</v>
      </c>
      <c r="OT15" s="149">
        <f>data_1!OT15</f>
        <v>0</v>
      </c>
      <c r="OU15" s="149">
        <f>data_1!OU15</f>
        <v>0</v>
      </c>
      <c r="OV15" s="149">
        <f>data_1!OV15</f>
        <v>0</v>
      </c>
      <c r="OW15" s="149">
        <f>data_1!OW15</f>
        <v>0</v>
      </c>
      <c r="OX15" s="149">
        <f>data_1!OX15</f>
        <v>0</v>
      </c>
      <c r="OY15" s="149">
        <f>data_1!OY15</f>
        <v>0</v>
      </c>
      <c r="OZ15" s="149">
        <f>data_1!OZ15</f>
        <v>0</v>
      </c>
      <c r="PA15" s="149">
        <f>data_1!PA15</f>
        <v>0</v>
      </c>
      <c r="PB15" s="149">
        <f>data_1!PB15</f>
        <v>0</v>
      </c>
      <c r="PC15" s="149">
        <f>data_1!PC15</f>
        <v>0</v>
      </c>
      <c r="PD15" s="149">
        <f>data_1!PD15</f>
        <v>0</v>
      </c>
      <c r="PE15" s="149">
        <f>data_1!PE15</f>
        <v>0</v>
      </c>
      <c r="PF15" s="149">
        <f>data_1!PF15</f>
        <v>0</v>
      </c>
      <c r="PG15" s="149">
        <f>data_1!PG15</f>
        <v>0</v>
      </c>
      <c r="PH15" s="149">
        <f>data_1!PH15</f>
        <v>0</v>
      </c>
      <c r="PI15" s="149">
        <f>data_1!PI15</f>
        <v>0</v>
      </c>
      <c r="PJ15" s="149">
        <f>data_1!PJ15</f>
        <v>0</v>
      </c>
      <c r="PK15" s="149">
        <f>data_1!PK15</f>
        <v>0</v>
      </c>
      <c r="PL15" s="149">
        <f>data_1!PL15</f>
        <v>0</v>
      </c>
      <c r="PM15" s="149">
        <f>data_1!PM15</f>
        <v>0</v>
      </c>
      <c r="PN15" s="149">
        <f>data_1!PN15</f>
        <v>0</v>
      </c>
      <c r="PO15" s="149">
        <f>data_1!PO15</f>
        <v>0</v>
      </c>
      <c r="PP15" s="149">
        <f>data_1!PP15</f>
        <v>0</v>
      </c>
      <c r="PQ15" s="149">
        <f>data_1!PQ15</f>
        <v>0</v>
      </c>
      <c r="PR15" s="149">
        <f>data_1!PR15</f>
        <v>0</v>
      </c>
      <c r="PS15" s="149">
        <f>data_1!PS15</f>
        <v>0</v>
      </c>
      <c r="PT15" s="149">
        <f>data_1!PT15</f>
        <v>0</v>
      </c>
      <c r="PU15" s="149">
        <f>data_1!PU15</f>
        <v>0</v>
      </c>
      <c r="PV15" s="149">
        <f>data_1!PV15</f>
        <v>0</v>
      </c>
      <c r="PW15" s="149">
        <f>data_1!PW15</f>
        <v>0</v>
      </c>
      <c r="PX15" s="149">
        <f>data_1!PX15</f>
        <v>0</v>
      </c>
      <c r="PY15" s="149">
        <f>data_1!PY15</f>
        <v>0</v>
      </c>
      <c r="PZ15" s="149">
        <f>data_1!PZ15</f>
        <v>0</v>
      </c>
      <c r="QA15" s="149">
        <f>data_1!QA15</f>
        <v>0</v>
      </c>
      <c r="QB15" s="149">
        <f>data_1!QB15</f>
        <v>0</v>
      </c>
      <c r="QC15" s="149">
        <f>data_1!QC15</f>
        <v>0</v>
      </c>
      <c r="QD15" s="149">
        <f>data_1!QD15</f>
        <v>0</v>
      </c>
      <c r="QE15" s="149">
        <f>data_1!QE15</f>
        <v>0</v>
      </c>
      <c r="QF15" s="149">
        <f>data_1!QF15</f>
        <v>0</v>
      </c>
      <c r="QG15" s="149">
        <f>data_1!QG15</f>
        <v>0</v>
      </c>
      <c r="QH15" s="149">
        <f>data_1!QH15</f>
        <v>0</v>
      </c>
      <c r="QI15" s="149">
        <f>data_1!QI15</f>
        <v>0</v>
      </c>
      <c r="QJ15" s="149">
        <f>data_1!QJ15</f>
        <v>0</v>
      </c>
      <c r="QK15" s="149">
        <f>data_1!QK15</f>
        <v>0</v>
      </c>
      <c r="QL15" s="149">
        <f>data_1!QL15</f>
        <v>0</v>
      </c>
      <c r="QM15" s="149">
        <f>data_1!QM15</f>
        <v>0</v>
      </c>
      <c r="QN15" s="149">
        <f>data_1!QN15</f>
        <v>0</v>
      </c>
      <c r="QO15" s="149">
        <f>data_1!QO15</f>
        <v>0</v>
      </c>
      <c r="QP15" s="149">
        <f>data_1!QP15</f>
        <v>0</v>
      </c>
      <c r="QQ15" s="149">
        <f>data_1!QQ15</f>
        <v>0</v>
      </c>
      <c r="QR15" s="149">
        <f>data_1!QR15</f>
        <v>0</v>
      </c>
      <c r="QS15" s="149">
        <f>data_1!QS15</f>
        <v>0</v>
      </c>
      <c r="QT15" s="149">
        <f>data_1!QT15</f>
        <v>0</v>
      </c>
      <c r="QU15" s="149">
        <f>data_1!QU15</f>
        <v>0</v>
      </c>
      <c r="QV15" s="149">
        <f>data_1!QV15</f>
        <v>0</v>
      </c>
      <c r="QW15" s="149">
        <f>data_1!QW15</f>
        <v>0</v>
      </c>
      <c r="QX15" s="149">
        <f>data_1!QX15</f>
        <v>0</v>
      </c>
      <c r="QY15" s="149">
        <f>data_1!QY15</f>
        <v>0</v>
      </c>
      <c r="QZ15" s="149">
        <f>data_1!QZ15</f>
        <v>0</v>
      </c>
      <c r="RA15" s="149">
        <f>data_1!RA15</f>
        <v>0</v>
      </c>
      <c r="RB15" s="149">
        <f>data_1!RB15</f>
        <v>0</v>
      </c>
      <c r="RC15" s="149">
        <f>data_1!RC15</f>
        <v>0</v>
      </c>
      <c r="RD15" s="149">
        <f>data_1!RD15</f>
        <v>0</v>
      </c>
      <c r="RE15" s="149">
        <f>data_1!RE15</f>
        <v>0</v>
      </c>
      <c r="RF15" s="149">
        <f>data_1!RF15</f>
        <v>0</v>
      </c>
      <c r="RG15" s="149">
        <f>data_1!RG15</f>
        <v>0</v>
      </c>
      <c r="RH15" s="149">
        <f>data_1!RH15</f>
        <v>0</v>
      </c>
      <c r="RI15" s="149">
        <f>data_1!RI15</f>
        <v>0</v>
      </c>
      <c r="RJ15" s="149">
        <f>data_1!RJ15</f>
        <v>0</v>
      </c>
      <c r="RK15" s="149">
        <f>data_1!RK15</f>
        <v>0</v>
      </c>
      <c r="RL15" s="149">
        <f>data_1!RL15</f>
        <v>0</v>
      </c>
      <c r="RM15" s="149">
        <f>data_1!RM15</f>
        <v>0</v>
      </c>
      <c r="RN15" s="149">
        <f>data_1!RN15</f>
        <v>0</v>
      </c>
      <c r="RO15" s="149">
        <f>data_1!RO15</f>
        <v>0</v>
      </c>
      <c r="RP15" s="149">
        <f>data_1!RP15</f>
        <v>0</v>
      </c>
      <c r="RQ15" s="149">
        <f>data_1!RQ15</f>
        <v>0</v>
      </c>
      <c r="RR15" s="149">
        <f>data_1!RR15</f>
        <v>0</v>
      </c>
      <c r="RS15" s="149">
        <f>data_1!RS15</f>
        <v>0</v>
      </c>
      <c r="RT15" s="149">
        <f>data_1!RT15</f>
        <v>0</v>
      </c>
      <c r="RU15" s="149">
        <f>data_1!RU15</f>
        <v>0</v>
      </c>
      <c r="RV15" s="149">
        <f>data_1!RV15</f>
        <v>0</v>
      </c>
      <c r="RW15" s="149">
        <f>data_1!RW15</f>
        <v>0</v>
      </c>
      <c r="RX15" s="149">
        <f>data_1!RX15</f>
        <v>0</v>
      </c>
      <c r="RY15" s="149">
        <f>data_1!RY15</f>
        <v>0</v>
      </c>
      <c r="RZ15" s="149">
        <f>data_1!RZ15</f>
        <v>0</v>
      </c>
      <c r="SA15" s="149">
        <f>data_1!SA15</f>
        <v>0</v>
      </c>
      <c r="SB15" s="149">
        <f>data_1!SB15</f>
        <v>0</v>
      </c>
      <c r="SC15" s="149">
        <f>data_1!SC15</f>
        <v>0</v>
      </c>
      <c r="SD15" s="149">
        <f>data_1!SD15</f>
        <v>0</v>
      </c>
      <c r="SE15" s="149">
        <f>data_1!SE15</f>
        <v>0</v>
      </c>
      <c r="SF15" s="149">
        <f>data_1!SF15</f>
        <v>0</v>
      </c>
      <c r="SG15" s="149">
        <f>data_1!SG15</f>
        <v>0</v>
      </c>
      <c r="SH15" s="149">
        <f>data_1!SH15</f>
        <v>0</v>
      </c>
      <c r="SI15" s="149">
        <f>data_1!SI15</f>
        <v>0</v>
      </c>
      <c r="SJ15" s="149">
        <f>data_1!SJ15</f>
        <v>0</v>
      </c>
      <c r="SK15" s="149">
        <f>data_1!SK15</f>
        <v>0</v>
      </c>
      <c r="SL15" s="149">
        <f>data_1!SL15</f>
        <v>0</v>
      </c>
      <c r="SM15" s="149">
        <f>data_1!SM15</f>
        <v>0</v>
      </c>
      <c r="SN15" s="149">
        <f>data_1!SN15</f>
        <v>0</v>
      </c>
      <c r="SO15" s="149">
        <f>data_1!SO15</f>
        <v>0</v>
      </c>
      <c r="SP15" s="149">
        <f>data_1!SP15</f>
        <v>0</v>
      </c>
      <c r="SQ15" s="149">
        <f>data_1!SQ15</f>
        <v>0</v>
      </c>
      <c r="SR15" s="149">
        <f>data_1!SR15</f>
        <v>0</v>
      </c>
      <c r="SS15" s="149">
        <f>data_1!SS15</f>
        <v>0</v>
      </c>
      <c r="ST15" s="149">
        <f>data_1!ST15</f>
        <v>0</v>
      </c>
      <c r="SU15" s="149">
        <f>data_1!SU15</f>
        <v>0</v>
      </c>
      <c r="SV15" s="149">
        <f>data_1!SV15</f>
        <v>0</v>
      </c>
      <c r="SW15" s="149">
        <f>data_1!SW15</f>
        <v>0</v>
      </c>
      <c r="SX15" s="149">
        <f>data_1!SX15</f>
        <v>0</v>
      </c>
      <c r="SY15" s="149">
        <f>data_1!SY15</f>
        <v>0</v>
      </c>
      <c r="SZ15" s="149">
        <f>data_1!SZ15</f>
        <v>0</v>
      </c>
      <c r="TA15" s="149">
        <f>data_1!TA15</f>
        <v>0</v>
      </c>
      <c r="TB15" s="149">
        <f>data_1!TB15</f>
        <v>0</v>
      </c>
      <c r="TC15" s="149">
        <f>data_1!TC15</f>
        <v>0</v>
      </c>
      <c r="TD15" s="149">
        <f>data_1!TD15</f>
        <v>0</v>
      </c>
      <c r="TE15" s="149">
        <f>data_1!TE15</f>
        <v>0</v>
      </c>
      <c r="TF15" s="149">
        <f>data_1!TF15</f>
        <v>0</v>
      </c>
      <c r="TG15" s="149">
        <f>data_1!TG15</f>
        <v>0</v>
      </c>
      <c r="TH15" s="149">
        <f>data_1!TH15</f>
        <v>0</v>
      </c>
      <c r="TI15" s="149">
        <f>data_1!TI15</f>
        <v>0</v>
      </c>
      <c r="TJ15" s="149">
        <f>data_1!TJ15</f>
        <v>0</v>
      </c>
      <c r="TK15" s="149">
        <f>data_1!TK15</f>
        <v>0</v>
      </c>
      <c r="TL15" s="149">
        <f>data_1!TL15</f>
        <v>0</v>
      </c>
      <c r="TM15" s="149">
        <f>data_1!TM15</f>
        <v>0</v>
      </c>
      <c r="TN15" s="149">
        <f>data_1!TN15</f>
        <v>0</v>
      </c>
      <c r="TO15" s="149">
        <f>data_1!TO15</f>
        <v>0</v>
      </c>
      <c r="TP15" s="149">
        <f>data_1!TP15</f>
        <v>0</v>
      </c>
      <c r="TQ15" s="149">
        <f>data_1!TQ15</f>
        <v>0</v>
      </c>
      <c r="TR15" s="149">
        <f>data_1!TR15</f>
        <v>0</v>
      </c>
      <c r="TS15" s="149">
        <f>data_1!TS15</f>
        <v>0</v>
      </c>
      <c r="TT15" s="149">
        <f>data_1!TT15</f>
        <v>0</v>
      </c>
      <c r="TU15" s="149">
        <f>data_1!TU15</f>
        <v>0</v>
      </c>
      <c r="TV15" s="149">
        <f>data_1!TV15</f>
        <v>0</v>
      </c>
      <c r="TW15" s="149">
        <f>data_1!TW15</f>
        <v>0</v>
      </c>
      <c r="TX15" s="149">
        <f>data_1!TX15</f>
        <v>0</v>
      </c>
      <c r="TY15" s="149">
        <f>data_1!TY15</f>
        <v>0</v>
      </c>
      <c r="TZ15" s="149">
        <f>data_1!TZ15</f>
        <v>0</v>
      </c>
      <c r="UA15" s="149">
        <f>data_1!UA15</f>
        <v>0</v>
      </c>
      <c r="UB15" s="149">
        <f>data_1!UB15</f>
        <v>0</v>
      </c>
      <c r="UC15" s="149">
        <f>data_1!UC15</f>
        <v>0</v>
      </c>
      <c r="UD15" s="149">
        <f>data_1!UD15</f>
        <v>0</v>
      </c>
      <c r="UE15" s="149">
        <f>data_1!UE15</f>
        <v>0</v>
      </c>
      <c r="UF15" s="149">
        <f>data_1!UF15</f>
        <v>0</v>
      </c>
      <c r="UG15" s="149">
        <f>data_1!UG15</f>
        <v>0</v>
      </c>
      <c r="UH15" s="149">
        <f>data_1!UH15</f>
        <v>0</v>
      </c>
      <c r="UI15" s="149">
        <f>data_1!UI15</f>
        <v>0</v>
      </c>
      <c r="UJ15" s="149">
        <f>data_1!UJ15</f>
        <v>0</v>
      </c>
      <c r="UK15" s="149">
        <f>data_1!UK15</f>
        <v>0</v>
      </c>
      <c r="UL15" s="149">
        <f>data_1!UL15</f>
        <v>0</v>
      </c>
      <c r="UM15" s="149">
        <f>data_1!UM15</f>
        <v>0</v>
      </c>
      <c r="UN15" s="149">
        <f>data_1!UN15</f>
        <v>0</v>
      </c>
      <c r="UO15" s="149">
        <f>data_1!UO15</f>
        <v>0</v>
      </c>
      <c r="UP15" s="149">
        <f>data_1!UP15</f>
        <v>0</v>
      </c>
      <c r="UQ15" s="149">
        <f>data_1!UQ15</f>
        <v>0</v>
      </c>
      <c r="UR15" s="149">
        <f>data_1!UR15</f>
        <v>0</v>
      </c>
      <c r="US15" s="149">
        <f>data_1!US15</f>
        <v>0</v>
      </c>
    </row>
    <row r="16" spans="1:565" ht="15" thickBot="1" x14ac:dyDescent="0.35">
      <c r="A16" s="133" t="s">
        <v>5</v>
      </c>
      <c r="B16" s="136" t="s">
        <v>6</v>
      </c>
      <c r="C16" s="137" t="s">
        <v>7</v>
      </c>
      <c r="F16" s="150">
        <f>SUM(data_1!F17:F34)</f>
        <v>44352228400</v>
      </c>
      <c r="G16" s="150">
        <f>SUM(data_1!G17:G34)</f>
        <v>0</v>
      </c>
      <c r="H16" s="150">
        <f>SUM(data_1!H17:H34)</f>
        <v>0</v>
      </c>
      <c r="I16" s="150">
        <f>SUM(data_1!I17:I34)</f>
        <v>2644491147.0599999</v>
      </c>
      <c r="J16" s="150">
        <f>SUM(data_1!J17:J34)</f>
        <v>2005983300</v>
      </c>
      <c r="K16" s="150">
        <f>SUM(data_1!K17:K34)</f>
        <v>638507847.05999994</v>
      </c>
      <c r="L16" s="150">
        <f>SUM(data_1!L17:L34)</f>
        <v>2005573149.4500003</v>
      </c>
      <c r="M16" s="150">
        <f>SUM(data_1!M17:M34)</f>
        <v>19082405.680000003</v>
      </c>
      <c r="N16" s="150">
        <f>SUM(data_1!N17:N34)</f>
        <v>0</v>
      </c>
      <c r="O16" s="150">
        <f>SUM(data_1!O17:O34)</f>
        <v>2644002854.2199998</v>
      </c>
      <c r="P16" s="150">
        <f>SUM(data_1!P17:P34)</f>
        <v>2005573122.7700002</v>
      </c>
      <c r="Q16" s="150">
        <f>SUM(data_1!Q17:Q34)</f>
        <v>0</v>
      </c>
      <c r="R16" s="150">
        <f>SUM(data_1!R17:R34)</f>
        <v>638429731.44999993</v>
      </c>
      <c r="S16" s="150">
        <f>SUM(data_1!S17:S34)</f>
        <v>328.91132999999996</v>
      </c>
      <c r="T16" s="150">
        <f>SUM(data_1!T17:T34)</f>
        <v>19006923.280000001</v>
      </c>
      <c r="U16" s="150">
        <f>SUM(data_1!U17:U34)</f>
        <v>75509.079999999987</v>
      </c>
      <c r="V16" s="150">
        <f>SUM(data_1!V17:V34)</f>
        <v>2005573149.4500003</v>
      </c>
      <c r="W16" s="150">
        <f>SUM(data_1!W17:W34)</f>
        <v>0</v>
      </c>
      <c r="X16" s="150">
        <f>SUM(data_1!X17:X34)</f>
        <v>2005983300</v>
      </c>
      <c r="Y16" s="150">
        <f>SUM(data_1!Y17:Y34)</f>
        <v>2005983300</v>
      </c>
      <c r="Z16" s="150">
        <f>SUM(data_1!Z17:Z34)</f>
        <v>0</v>
      </c>
      <c r="AA16" s="150">
        <f>SUM(data_1!AA17:AA34)</f>
        <v>2809724090.2200003</v>
      </c>
      <c r="AB16" s="150">
        <f>SUM(data_1!AB17:AB34)</f>
        <v>2199756100</v>
      </c>
      <c r="AC16" s="150">
        <f>SUM(data_1!AC17:AC34)</f>
        <v>609967990.22000003</v>
      </c>
      <c r="AD16" s="150">
        <f>SUM(data_1!AD17:AD34)</f>
        <v>2199755936.9699998</v>
      </c>
      <c r="AE16" s="150">
        <f>SUM(data_1!AE17:AE34)</f>
        <v>12513043.659999998</v>
      </c>
      <c r="AF16" s="150">
        <f>SUM(data_1!AF17:AF34)</f>
        <v>0</v>
      </c>
      <c r="AG16" s="150">
        <f>SUM(data_1!AG17:AG34)</f>
        <v>2809723918.1100001</v>
      </c>
      <c r="AH16" s="150">
        <f>SUM(data_1!AH17:AH34)</f>
        <v>2199755936.9699998</v>
      </c>
      <c r="AI16" s="150">
        <f>SUM(data_1!AI17:AI34)</f>
        <v>0</v>
      </c>
      <c r="AJ16" s="150">
        <f>SUM(data_1!AJ17:AJ34)</f>
        <v>609967981.13999999</v>
      </c>
      <c r="AK16" s="150">
        <f>SUM(data_1!AK17:AK34)</f>
        <v>299.00022000000001</v>
      </c>
      <c r="AL16" s="150">
        <f>SUM(data_1!AL17:AL34)</f>
        <v>12513043.659999998</v>
      </c>
      <c r="AM16" s="150">
        <f>SUM(data_1!AM17:AM34)</f>
        <v>0</v>
      </c>
      <c r="AN16" s="150">
        <f>SUM(data_1!AN17:AN34)</f>
        <v>2199755936.9699998</v>
      </c>
      <c r="AO16" s="150">
        <f>SUM(data_1!AO17:AO34)</f>
        <v>0</v>
      </c>
      <c r="AP16" s="150">
        <f>SUM(data_1!AP17:AP34)</f>
        <v>2199756100</v>
      </c>
      <c r="AQ16" s="150">
        <f>SUM(data_1!AQ17:AQ34)</f>
        <v>2199756100</v>
      </c>
      <c r="AR16" s="150">
        <f>SUM(data_1!AR17:AR34)</f>
        <v>0</v>
      </c>
      <c r="AS16" s="150">
        <f>SUM(data_1!AS17:AS34)</f>
        <v>12313378266.790001</v>
      </c>
      <c r="AT16" s="150">
        <f>SUM(data_1!AT17:AT34)</f>
        <v>10030506400</v>
      </c>
      <c r="AU16" s="150">
        <f>SUM(data_1!AU17:AU34)</f>
        <v>2282871866.79</v>
      </c>
      <c r="AV16" s="150">
        <f>SUM(data_1!AV17:AV34)</f>
        <v>9996305709.0300007</v>
      </c>
      <c r="AW16" s="150">
        <f>SUM(data_1!AW17:AW34)</f>
        <v>93109146.469999999</v>
      </c>
      <c r="AX16" s="150">
        <f>SUM(data_1!AX17:AX34)</f>
        <v>0</v>
      </c>
      <c r="AY16" s="150">
        <f>SUM(data_1!AY17:AY34)</f>
        <v>12271889314.400862</v>
      </c>
      <c r="AZ16" s="150">
        <f>SUM(data_1!AZ17:AZ34)</f>
        <v>9996102107.9800014</v>
      </c>
      <c r="BA16" s="150">
        <f>SUM(data_1!BA17:BA34)</f>
        <v>0</v>
      </c>
      <c r="BB16" s="150">
        <f>SUM(data_1!BB17:BB34)</f>
        <v>2275787206.4208598</v>
      </c>
      <c r="BC16" s="150">
        <f>SUM(data_1!BC17:BC34)</f>
        <v>324.28778999999997</v>
      </c>
      <c r="BD16" s="150">
        <f>SUM(data_1!BD17:BD34)</f>
        <v>93105409.079999998</v>
      </c>
      <c r="BE16" s="150">
        <f>SUM(data_1!BE17:BE34)</f>
        <v>207338.44</v>
      </c>
      <c r="BF16" s="150">
        <f>SUM(data_1!BF17:BF34)</f>
        <v>9996305709.0300007</v>
      </c>
      <c r="BG16" s="150">
        <f>SUM(data_1!BG17:BG34)</f>
        <v>0</v>
      </c>
      <c r="BH16" s="150">
        <f>SUM(data_1!BH17:BH34)</f>
        <v>10030506400</v>
      </c>
      <c r="BI16" s="150">
        <f>SUM(data_1!BI17:BI34)</f>
        <v>10030506400</v>
      </c>
      <c r="BJ16" s="150">
        <f>SUM(data_1!BJ17:BJ34)</f>
        <v>0</v>
      </c>
      <c r="BK16" s="150">
        <f>SUM(data_1!BK17:BK34)</f>
        <v>24294252458.809998</v>
      </c>
      <c r="BL16" s="150">
        <f>SUM(data_1!BL17:BL34)</f>
        <v>22355190500</v>
      </c>
      <c r="BM16" s="150">
        <f>SUM(data_1!BM17:BM34)</f>
        <v>1939061958.8100002</v>
      </c>
      <c r="BN16" s="150">
        <f>SUM(data_1!BN17:BN34)</f>
        <v>22225460350.16</v>
      </c>
      <c r="BO16" s="150">
        <f>SUM(data_1!BO17:BO34)</f>
        <v>11163075.810000001</v>
      </c>
      <c r="BP16" s="150">
        <f>SUM(data_1!BP17:BP34)</f>
        <v>0</v>
      </c>
      <c r="BQ16" s="150">
        <f>SUM(data_1!BQ17:BQ34)</f>
        <v>24158231359.239998</v>
      </c>
      <c r="BR16" s="150">
        <f>SUM(data_1!BR17:BR34)</f>
        <v>22225357761.920002</v>
      </c>
      <c r="BS16" s="150">
        <f>SUM(data_1!BS17:BS34)</f>
        <v>0</v>
      </c>
      <c r="BT16" s="150">
        <f>SUM(data_1!BT17:BT34)</f>
        <v>1932873597.3200004</v>
      </c>
      <c r="BU16" s="150">
        <f>SUM(data_1!BU17:BU34)</f>
        <v>193.69918999999999</v>
      </c>
      <c r="BV16" s="150">
        <f>SUM(data_1!BV17:BV34)</f>
        <v>11163075.810000001</v>
      </c>
      <c r="BW16" s="150">
        <f>SUM(data_1!BW17:BW34)</f>
        <v>102588.24</v>
      </c>
      <c r="BX16" s="150">
        <f>SUM(data_1!BX17:BX34)</f>
        <v>22225460350.16</v>
      </c>
      <c r="BY16" s="150">
        <f>SUM(data_1!BY17:BY34)</f>
        <v>0</v>
      </c>
      <c r="BZ16" s="150">
        <f>SUM(data_1!BZ17:BZ34)</f>
        <v>22355190500</v>
      </c>
      <c r="CA16" s="150">
        <f>SUM(data_1!CA17:CA34)</f>
        <v>22355190500</v>
      </c>
      <c r="CB16" s="150">
        <f>SUM(data_1!CB17:CB34)</f>
        <v>0</v>
      </c>
      <c r="CC16" s="150">
        <f>SUM(data_1!CC17:CC34)</f>
        <v>1576565884.47</v>
      </c>
      <c r="CD16" s="150">
        <f>SUM(data_1!CD17:CD34)</f>
        <v>1186735700</v>
      </c>
      <c r="CE16" s="150">
        <f>SUM(data_1!CE17:CE34)</f>
        <v>389830184.46999997</v>
      </c>
      <c r="CF16" s="150">
        <f>SUM(data_1!CF17:CF34)</f>
        <v>1173149126.9399998</v>
      </c>
      <c r="CG16" s="150">
        <f>SUM(data_1!CG17:CG34)</f>
        <v>679641.22</v>
      </c>
      <c r="CH16" s="150">
        <f>SUM(data_1!CH17:CH34)</f>
        <v>0</v>
      </c>
      <c r="CI16" s="150">
        <f>SUM(data_1!CI17:CI34)</f>
        <v>1559857343</v>
      </c>
      <c r="CJ16" s="150">
        <f>SUM(data_1!CJ17:CJ34)</f>
        <v>1173149126.9399998</v>
      </c>
      <c r="CK16" s="150">
        <f>SUM(data_1!CK17:CK34)</f>
        <v>0</v>
      </c>
      <c r="CL16" s="150">
        <f>SUM(data_1!CL17:CL34)</f>
        <v>386708216.05999994</v>
      </c>
      <c r="CM16" s="150">
        <f>SUM(data_1!CM17:CM34)</f>
        <v>310.12180000000001</v>
      </c>
      <c r="CN16" s="150">
        <f>SUM(data_1!CN17:CN34)</f>
        <v>679641.22</v>
      </c>
      <c r="CO16" s="150">
        <f>SUM(data_1!CO17:CO34)</f>
        <v>0</v>
      </c>
      <c r="CP16" s="150">
        <f>SUM(data_1!CP17:CP34)</f>
        <v>1173149126.9399998</v>
      </c>
      <c r="CQ16" s="150">
        <f>SUM(data_1!CQ17:CQ34)</f>
        <v>0</v>
      </c>
      <c r="CR16" s="150">
        <f>SUM(data_1!CR17:CR34)</f>
        <v>1186735700</v>
      </c>
      <c r="CS16" s="150">
        <f>SUM(data_1!CS17:CS34)</f>
        <v>1186735700</v>
      </c>
      <c r="CT16" s="150">
        <f>SUM(data_1!CT17:CT34)</f>
        <v>0</v>
      </c>
      <c r="CU16" s="150">
        <f>SUM(data_1!CU17:CU34)</f>
        <v>21108606.800000001</v>
      </c>
      <c r="CV16" s="150">
        <f>SUM(data_1!CV17:CV34)</f>
        <v>20382000</v>
      </c>
      <c r="CW16" s="150">
        <f>SUM(data_1!CW17:CW34)</f>
        <v>726606.8</v>
      </c>
      <c r="CX16" s="150">
        <f>SUM(data_1!CX17:CX34)</f>
        <v>20382000</v>
      </c>
      <c r="CY16" s="150">
        <f>SUM(data_1!CY17:CY34)</f>
        <v>0</v>
      </c>
      <c r="CZ16" s="150">
        <f>SUM(data_1!CZ17:CZ34)</f>
        <v>0</v>
      </c>
      <c r="DA16" s="150">
        <f>SUM(data_1!DA17:DA34)</f>
        <v>21108606.800000001</v>
      </c>
      <c r="DB16" s="150">
        <f>SUM(data_1!DB17:DB34)</f>
        <v>20382000</v>
      </c>
      <c r="DC16" s="150">
        <f>SUM(data_1!DC17:DC34)</f>
        <v>0</v>
      </c>
      <c r="DD16" s="150">
        <f>SUM(data_1!DD17:DD34)</f>
        <v>726606.8</v>
      </c>
      <c r="DE16" s="150">
        <f>SUM(data_1!DE17:DE34)</f>
        <v>7.0000499999999999</v>
      </c>
      <c r="DF16" s="150">
        <f>SUM(data_1!DF17:DF34)</f>
        <v>0</v>
      </c>
      <c r="DG16" s="150">
        <f>SUM(data_1!DG17:DG34)</f>
        <v>0</v>
      </c>
      <c r="DH16" s="150">
        <f>SUM(data_1!DH17:DH34)</f>
        <v>20382000</v>
      </c>
      <c r="DI16" s="150">
        <f>SUM(data_1!DI17:DI34)</f>
        <v>0</v>
      </c>
      <c r="DJ16" s="150">
        <f>SUM(data_1!DJ17:DJ34)</f>
        <v>20382000</v>
      </c>
      <c r="DK16" s="150">
        <f>SUM(data_1!DK17:DK34)</f>
        <v>20382000</v>
      </c>
      <c r="DL16" s="150">
        <f>SUM(data_1!DL17:DL34)</f>
        <v>0</v>
      </c>
      <c r="DM16" s="150">
        <f>SUM(data_1!DM17:DM34)</f>
        <v>4435012470.5100002</v>
      </c>
      <c r="DN16" s="150">
        <f>SUM(data_1!DN17:DN34)</f>
        <v>4070565600</v>
      </c>
      <c r="DO16" s="150">
        <f>SUM(data_1!DO17:DO34)</f>
        <v>364446870.51000005</v>
      </c>
      <c r="DP16" s="150">
        <f>SUM(data_1!DP17:DP34)</f>
        <v>4069632773.6500001</v>
      </c>
      <c r="DQ16" s="150">
        <f>SUM(data_1!DQ17:DQ34)</f>
        <v>462159.6</v>
      </c>
      <c r="DR16" s="150">
        <f>SUM(data_1!DR17:DR34)</f>
        <v>0</v>
      </c>
      <c r="DS16" s="150">
        <f>SUM(data_1!DS17:DS34)</f>
        <v>4433985452.2400007</v>
      </c>
      <c r="DT16" s="150">
        <f>SUM(data_1!DT17:DT34)</f>
        <v>4069632773.6500001</v>
      </c>
      <c r="DU16" s="150">
        <f>SUM(data_1!DU17:DU34)</f>
        <v>0</v>
      </c>
      <c r="DV16" s="150">
        <f>SUM(data_1!DV17:DV34)</f>
        <v>364352678.59000003</v>
      </c>
      <c r="DW16" s="150">
        <f>SUM(data_1!DW17:DW34)</f>
        <v>162.05723000000003</v>
      </c>
      <c r="DX16" s="150">
        <f>SUM(data_1!DX17:DX34)</f>
        <v>462159.6</v>
      </c>
      <c r="DY16" s="150">
        <f>SUM(data_1!DY17:DY34)</f>
        <v>0</v>
      </c>
      <c r="DZ16" s="150">
        <f>SUM(data_1!DZ17:DZ34)</f>
        <v>4069632773.6500001</v>
      </c>
      <c r="EA16" s="150">
        <f>SUM(data_1!EA17:EA34)</f>
        <v>0</v>
      </c>
      <c r="EB16" s="150">
        <f>SUM(data_1!EB17:EB34)</f>
        <v>4070565600</v>
      </c>
      <c r="EC16" s="150">
        <f>SUM(data_1!EC17:EC34)</f>
        <v>4070565600</v>
      </c>
      <c r="ED16" s="150">
        <f>SUM(data_1!ED17:ED34)</f>
        <v>0</v>
      </c>
      <c r="EE16" s="150">
        <f>SUM(data_1!EE17:EE34)</f>
        <v>929310580.33000004</v>
      </c>
      <c r="EF16" s="150">
        <f>SUM(data_1!EF17:EF34)</f>
        <v>884539400</v>
      </c>
      <c r="EG16" s="150">
        <f>SUM(data_1!EG17:EG34)</f>
        <v>44771180.330000006</v>
      </c>
      <c r="EH16" s="150">
        <f>SUM(data_1!EH17:EH34)</f>
        <v>883510118.75999999</v>
      </c>
      <c r="EI16" s="150">
        <f>SUM(data_1!EI17:EI34)</f>
        <v>0</v>
      </c>
      <c r="EJ16" s="150">
        <f>SUM(data_1!EJ17:EJ34)</f>
        <v>0</v>
      </c>
      <c r="EK16" s="150">
        <f>SUM(data_1!EK17:EK34)</f>
        <v>928233908.77999997</v>
      </c>
      <c r="EL16" s="150">
        <f>SUM(data_1!EL17:EL34)</f>
        <v>883510118.75999999</v>
      </c>
      <c r="EM16" s="150">
        <f>SUM(data_1!EM17:EM34)</f>
        <v>0</v>
      </c>
      <c r="EN16" s="150">
        <f>SUM(data_1!EN17:EN34)</f>
        <v>44723790.020000003</v>
      </c>
      <c r="EO16" s="150">
        <f>SUM(data_1!EO17:EO34)</f>
        <v>69.246049999999997</v>
      </c>
      <c r="EP16" s="150">
        <f>SUM(data_1!EP17:EP34)</f>
        <v>0</v>
      </c>
      <c r="EQ16" s="150">
        <f>SUM(data_1!EQ17:EQ34)</f>
        <v>0</v>
      </c>
      <c r="ER16" s="150">
        <f>SUM(data_1!ER17:ER34)</f>
        <v>883510118.75999999</v>
      </c>
      <c r="ES16" s="150">
        <f>SUM(data_1!ES17:ES34)</f>
        <v>0</v>
      </c>
      <c r="ET16" s="150">
        <f>SUM(data_1!ET17:ET34)</f>
        <v>884539400</v>
      </c>
      <c r="EU16" s="150">
        <f>SUM(data_1!EU17:EU34)</f>
        <v>884539400</v>
      </c>
      <c r="EV16" s="150">
        <f>SUM(data_1!EV17:EV34)</f>
        <v>0</v>
      </c>
      <c r="EW16" s="150">
        <f>SUM(data_1!EW17:EW34)</f>
        <v>1255337948.0699999</v>
      </c>
      <c r="EX16" s="150">
        <f>SUM(data_1!EX17:EX34)</f>
        <v>982923000</v>
      </c>
      <c r="EY16" s="150">
        <f>SUM(data_1!EY17:EY34)</f>
        <v>272414948.06999993</v>
      </c>
      <c r="EZ16" s="150">
        <f>SUM(data_1!EZ17:EZ34)</f>
        <v>981321243.39999998</v>
      </c>
      <c r="FA16" s="150">
        <f>SUM(data_1!FA17:FA34)</f>
        <v>6262337.3899999987</v>
      </c>
      <c r="FB16" s="150">
        <f>SUM(data_1!FB17:FB34)</f>
        <v>0</v>
      </c>
      <c r="FC16" s="150">
        <f>SUM(data_1!FC17:FC34)</f>
        <v>1251415665.6000001</v>
      </c>
      <c r="FD16" s="150">
        <f>SUM(data_1!FD17:FD34)</f>
        <v>980614455.58000004</v>
      </c>
      <c r="FE16" s="150">
        <f>SUM(data_1!FE17:FE34)</f>
        <v>0</v>
      </c>
      <c r="FF16" s="150">
        <f>SUM(data_1!FF17:FF34)</f>
        <v>270801210.01999998</v>
      </c>
      <c r="FG16" s="150">
        <f>SUM(data_1!FG17:FG34)</f>
        <v>419.61399999999998</v>
      </c>
      <c r="FH16" s="150">
        <f>SUM(data_1!FH17:FH34)</f>
        <v>6172205.1899999995</v>
      </c>
      <c r="FI16" s="150">
        <f>SUM(data_1!FI17:FI34)</f>
        <v>796920.02</v>
      </c>
      <c r="FJ16" s="150">
        <f>SUM(data_1!FJ17:FJ34)</f>
        <v>981321243.39999998</v>
      </c>
      <c r="FK16" s="150">
        <f>SUM(data_1!FK17:FK34)</f>
        <v>0</v>
      </c>
      <c r="FL16" s="150">
        <f>SUM(data_1!FL17:FL34)</f>
        <v>982923000</v>
      </c>
      <c r="FM16" s="150">
        <f>SUM(data_1!FM17:FM34)</f>
        <v>982923000</v>
      </c>
      <c r="FN16" s="150">
        <f>SUM(data_1!FN17:FN34)</f>
        <v>0</v>
      </c>
      <c r="FO16" s="150">
        <f>SUM(data_1!FO17:FO34)</f>
        <v>0</v>
      </c>
      <c r="FP16" s="150">
        <f>SUM(data_1!FP17:FP34)</f>
        <v>0</v>
      </c>
      <c r="FQ16" s="150">
        <f>SUM(data_1!FQ17:FQ34)</f>
        <v>0</v>
      </c>
      <c r="FR16" s="150">
        <f>SUM(data_1!FR17:FR34)</f>
        <v>0</v>
      </c>
      <c r="FS16" s="150">
        <f>SUM(data_1!FS17:FS34)</f>
        <v>3146337.2199999997</v>
      </c>
      <c r="FT16" s="150">
        <f>SUM(data_1!FT17:FT34)</f>
        <v>0</v>
      </c>
      <c r="FU16" s="150">
        <f>SUM(data_1!FU17:FU34)</f>
        <v>0</v>
      </c>
      <c r="FV16" s="150">
        <f>SUM(data_1!FV17:FV34)</f>
        <v>0</v>
      </c>
      <c r="FW16" s="150">
        <f>SUM(data_1!FW17:FW34)</f>
        <v>0</v>
      </c>
      <c r="FX16" s="150">
        <f>SUM(data_1!FX17:FX34)</f>
        <v>0</v>
      </c>
      <c r="FY16" s="150">
        <f>SUM(data_1!FY17:FY34)</f>
        <v>0</v>
      </c>
      <c r="FZ16" s="150">
        <f>SUM(data_1!FZ17:FZ34)</f>
        <v>3145337.2199999997</v>
      </c>
      <c r="GA16" s="150">
        <f>SUM(data_1!GA17:GA34)</f>
        <v>1000</v>
      </c>
      <c r="GB16" s="150">
        <f>SUM(data_1!GB17:GB34)</f>
        <v>0</v>
      </c>
      <c r="GC16" s="150">
        <f>SUM(data_1!GC17:GC34)</f>
        <v>0</v>
      </c>
      <c r="GD16" s="150">
        <f>SUM(data_1!GD17:GD34)</f>
        <v>0</v>
      </c>
      <c r="GE16" s="150">
        <f>SUM(data_1!GE17:GE34)</f>
        <v>0</v>
      </c>
      <c r="GF16" s="150">
        <f>SUM(data_1!GF17:GF34)</f>
        <v>0</v>
      </c>
      <c r="GG16" s="150">
        <f>SUM(data_1!GG17:GG34)</f>
        <v>630415659.72000003</v>
      </c>
      <c r="GH16" s="150">
        <f>SUM(data_1!GH17:GH34)</f>
        <v>443252300</v>
      </c>
      <c r="GI16" s="150">
        <f>SUM(data_1!GI17:GI34)</f>
        <v>187163359.72000003</v>
      </c>
      <c r="GJ16" s="150">
        <f>SUM(data_1!GJ17:GJ34)</f>
        <v>430304363.47000003</v>
      </c>
      <c r="GK16" s="150">
        <f>SUM(data_1!GK17:GK34)</f>
        <v>0</v>
      </c>
      <c r="GL16" s="150">
        <f>SUM(data_1!GL17:GL34)</f>
        <v>0</v>
      </c>
      <c r="GM16" s="150">
        <f>SUM(data_1!GM17:GM34)</f>
        <v>614340065.38999999</v>
      </c>
      <c r="GN16" s="150">
        <f>SUM(data_1!GN17:GN34)</f>
        <v>430304299.38999999</v>
      </c>
      <c r="GO16" s="150">
        <f>SUM(data_1!GO17:GO34)</f>
        <v>0</v>
      </c>
      <c r="GP16" s="150">
        <f>SUM(data_1!GP17:GP34)</f>
        <v>184035766</v>
      </c>
      <c r="GQ16" s="150">
        <f>SUM(data_1!GQ17:GQ34)</f>
        <v>413.57124999999996</v>
      </c>
      <c r="GR16" s="150">
        <f>SUM(data_1!GR17:GR34)</f>
        <v>0</v>
      </c>
      <c r="GS16" s="150">
        <f>SUM(data_1!GS17:GS34)</f>
        <v>64.08</v>
      </c>
      <c r="GT16" s="150">
        <f>SUM(data_1!GT17:GT34)</f>
        <v>430304363.47000003</v>
      </c>
      <c r="GU16" s="150">
        <f>SUM(data_1!GU17:GU34)</f>
        <v>0</v>
      </c>
      <c r="GV16" s="150">
        <f>SUM(data_1!GV17:GV34)</f>
        <v>443252300</v>
      </c>
      <c r="GW16" s="150">
        <f>SUM(data_1!GW17:GW34)</f>
        <v>443252300</v>
      </c>
      <c r="GX16" s="150">
        <f>SUM(data_1!GX17:GX34)</f>
        <v>0</v>
      </c>
      <c r="GY16" s="150">
        <f>SUM(data_1!GY17:GY34)</f>
        <v>0</v>
      </c>
      <c r="GZ16" s="150">
        <f>SUM(data_1!GZ17:GZ34)</f>
        <v>0</v>
      </c>
      <c r="HA16" s="150">
        <f>SUM(data_1!HA17:HA34)</f>
        <v>0</v>
      </c>
      <c r="HB16" s="150">
        <f>SUM(data_1!HB17:HB34)</f>
        <v>0</v>
      </c>
      <c r="HC16" s="150">
        <f>SUM(data_1!HC17:HC34)</f>
        <v>2033.01</v>
      </c>
      <c r="HD16" s="150">
        <f>SUM(data_1!HD17:HD34)</f>
        <v>0</v>
      </c>
      <c r="HE16" s="150">
        <f>SUM(data_1!HE17:HE34)</f>
        <v>0</v>
      </c>
      <c r="HF16" s="150">
        <f>SUM(data_1!HF17:HF34)</f>
        <v>0</v>
      </c>
      <c r="HG16" s="150">
        <f>SUM(data_1!HG17:HG34)</f>
        <v>0</v>
      </c>
      <c r="HH16" s="150">
        <f>SUM(data_1!HH17:HH34)</f>
        <v>0</v>
      </c>
      <c r="HI16" s="150">
        <f>SUM(data_1!HI17:HI34)</f>
        <v>0</v>
      </c>
      <c r="HJ16" s="150">
        <f>SUM(data_1!HJ17:HJ34)</f>
        <v>2033.01</v>
      </c>
      <c r="HK16" s="150">
        <f>SUM(data_1!HK17:HK34)</f>
        <v>0</v>
      </c>
      <c r="HL16" s="150">
        <f>SUM(data_1!HL17:HL34)</f>
        <v>0</v>
      </c>
      <c r="HM16" s="150">
        <f>SUM(data_1!HM17:HM34)</f>
        <v>0</v>
      </c>
      <c r="HN16" s="150">
        <f>SUM(data_1!HN17:HN34)</f>
        <v>0</v>
      </c>
      <c r="HO16" s="150">
        <f>SUM(data_1!HO17:HO34)</f>
        <v>0</v>
      </c>
      <c r="HP16" s="150">
        <f>SUM(data_1!HP17:HP34)</f>
        <v>0</v>
      </c>
      <c r="HQ16" s="150">
        <f>SUM(data_1!HQ17:HQ34)</f>
        <v>0</v>
      </c>
      <c r="HR16" s="150">
        <f>SUM(data_1!HR17:HR34)</f>
        <v>0</v>
      </c>
      <c r="HS16" s="150">
        <f>SUM(data_1!HS17:HS34)</f>
        <v>0</v>
      </c>
      <c r="HT16" s="150">
        <f>SUM(data_1!HT17:HT34)</f>
        <v>0</v>
      </c>
      <c r="HU16" s="150">
        <f>SUM(data_1!HU17:HU34)</f>
        <v>0</v>
      </c>
      <c r="HV16" s="150">
        <f>SUM(data_1!HV17:HV34)</f>
        <v>0</v>
      </c>
      <c r="HW16" s="150">
        <f>SUM(data_1!HW17:HW34)</f>
        <v>0</v>
      </c>
      <c r="HX16" s="150">
        <f>SUM(data_1!HX17:HX34)</f>
        <v>0</v>
      </c>
      <c r="HY16" s="150">
        <f>SUM(data_1!HY17:HY34)</f>
        <v>0</v>
      </c>
      <c r="HZ16" s="150">
        <f>SUM(data_1!HZ17:HZ34)</f>
        <v>0</v>
      </c>
      <c r="IA16" s="150">
        <f>SUM(data_1!IA17:IA34)</f>
        <v>0</v>
      </c>
      <c r="IB16" s="150">
        <f>SUM(data_1!IB17:IB34)</f>
        <v>0</v>
      </c>
      <c r="IC16" s="150">
        <f>SUM(data_1!IC17:IC34)</f>
        <v>0</v>
      </c>
      <c r="ID16" s="150">
        <f>SUM(data_1!ID17:ID34)</f>
        <v>0</v>
      </c>
      <c r="IE16" s="150">
        <f>SUM(data_1!IE17:IE34)</f>
        <v>0</v>
      </c>
      <c r="IF16" s="150">
        <f>SUM(data_1!IF17:IF34)</f>
        <v>0</v>
      </c>
      <c r="IG16" s="150">
        <f>SUM(data_1!IG17:IG34)</f>
        <v>0</v>
      </c>
      <c r="IH16" s="150">
        <f>SUM(data_1!IH17:IH34)</f>
        <v>0</v>
      </c>
      <c r="II16" s="150">
        <f>SUM(data_1!II17:II34)</f>
        <v>0</v>
      </c>
      <c r="IJ16" s="150">
        <f>SUM(data_1!IJ17:IJ34)</f>
        <v>0</v>
      </c>
      <c r="IK16" s="150">
        <f>SUM(data_1!IK17:IK34)</f>
        <v>0</v>
      </c>
      <c r="IL16" s="150">
        <f>SUM(data_1!IL17:IL34)</f>
        <v>0</v>
      </c>
      <c r="IM16" s="150">
        <f>SUM(data_1!IM17:IM34)</f>
        <v>0</v>
      </c>
      <c r="IN16" s="150">
        <f>SUM(data_1!IN17:IN34)</f>
        <v>0</v>
      </c>
      <c r="IO16" s="150">
        <f>SUM(data_1!IO17:IO34)</f>
        <v>0</v>
      </c>
      <c r="IP16" s="150">
        <f>SUM(data_1!IP17:IP34)</f>
        <v>0</v>
      </c>
      <c r="IQ16" s="150">
        <f>SUM(data_1!IQ17:IQ34)</f>
        <v>0</v>
      </c>
      <c r="IR16" s="150">
        <f>SUM(data_1!IR17:IR34)</f>
        <v>0</v>
      </c>
      <c r="IS16" s="150">
        <f>SUM(data_1!IS17:IS34)</f>
        <v>0</v>
      </c>
      <c r="IT16" s="150">
        <f>SUM(data_1!IT17:IT34)</f>
        <v>0</v>
      </c>
      <c r="IU16" s="150">
        <f>SUM(data_1!IU17:IU34)</f>
        <v>0</v>
      </c>
      <c r="IV16" s="150">
        <f>SUM(data_1!IV17:IV34)</f>
        <v>0</v>
      </c>
      <c r="IW16" s="150">
        <f>SUM(data_1!IW17:IW34)</f>
        <v>0</v>
      </c>
      <c r="IX16" s="150">
        <f>SUM(data_1!IX17:IX34)</f>
        <v>0</v>
      </c>
      <c r="IY16" s="150">
        <f>SUM(data_1!IY17:IY34)</f>
        <v>0</v>
      </c>
      <c r="IZ16" s="150">
        <f>SUM(data_1!IZ17:IZ34)</f>
        <v>0</v>
      </c>
      <c r="JA16" s="150">
        <f>SUM(data_1!JA17:JA34)</f>
        <v>28974700.130000003</v>
      </c>
      <c r="JB16" s="150">
        <f>SUM(data_1!JB17:JB34)</f>
        <v>18551300</v>
      </c>
      <c r="JC16" s="150">
        <f>SUM(data_1!JC17:JC34)</f>
        <v>10423400.130000001</v>
      </c>
      <c r="JD16" s="150">
        <f>SUM(data_1!JD17:JD34)</f>
        <v>18390260.009999998</v>
      </c>
      <c r="JE16" s="150">
        <f>SUM(data_1!JE17:JE34)</f>
        <v>0</v>
      </c>
      <c r="JF16" s="150">
        <f>SUM(data_1!JF17:JF34)</f>
        <v>0</v>
      </c>
      <c r="JG16" s="150">
        <f>SUM(data_1!JG17:JG34)</f>
        <v>28452876.550000004</v>
      </c>
      <c r="JH16" s="150">
        <f>SUM(data_1!JH17:JH34)</f>
        <v>18390260.009999998</v>
      </c>
      <c r="JI16" s="150">
        <f>SUM(data_1!JI17:JI34)</f>
        <v>0</v>
      </c>
      <c r="JJ16" s="150">
        <f>SUM(data_1!JJ17:JJ34)</f>
        <v>10062616.540000001</v>
      </c>
      <c r="JK16" s="150">
        <f>SUM(data_1!JK17:JK34)</f>
        <v>169.08258999999998</v>
      </c>
      <c r="JL16" s="150">
        <f>SUM(data_1!JL17:JL34)</f>
        <v>0</v>
      </c>
      <c r="JM16" s="150">
        <f>SUM(data_1!JM17:JM34)</f>
        <v>0</v>
      </c>
      <c r="JN16" s="150">
        <f>SUM(data_1!JN17:JN34)</f>
        <v>18390260.009999998</v>
      </c>
      <c r="JO16" s="150">
        <f>SUM(data_1!JO17:JO34)</f>
        <v>0</v>
      </c>
      <c r="JP16" s="150">
        <f>SUM(data_1!JP17:JP34)</f>
        <v>20701400</v>
      </c>
      <c r="JQ16" s="150">
        <f>SUM(data_1!JQ17:JQ34)</f>
        <v>18551300</v>
      </c>
      <c r="JR16" s="150">
        <f>SUM(data_1!JR17:JR34)</f>
        <v>0</v>
      </c>
      <c r="JS16" s="150">
        <f>SUM(data_1!JS17:JS34)</f>
        <v>0</v>
      </c>
      <c r="JT16" s="150">
        <f>SUM(data_1!JT17:JT34)</f>
        <v>0</v>
      </c>
      <c r="JU16" s="150">
        <f>SUM(data_1!JU17:JU34)</f>
        <v>0</v>
      </c>
      <c r="JV16" s="150">
        <f>SUM(data_1!JV17:JV34)</f>
        <v>0</v>
      </c>
      <c r="JW16" s="150">
        <f>SUM(data_1!JW17:JW34)</f>
        <v>0</v>
      </c>
      <c r="JX16" s="150">
        <f>SUM(data_1!JX17:JX34)</f>
        <v>0</v>
      </c>
      <c r="JY16" s="150">
        <f>SUM(data_1!JY17:JY34)</f>
        <v>0</v>
      </c>
      <c r="JZ16" s="150">
        <f>SUM(data_1!JZ17:JZ34)</f>
        <v>0</v>
      </c>
      <c r="KA16" s="150">
        <f>SUM(data_1!KA17:KA34)</f>
        <v>0</v>
      </c>
      <c r="KB16" s="150">
        <f>SUM(data_1!KB17:KB34)</f>
        <v>0</v>
      </c>
      <c r="KC16" s="150">
        <f>SUM(data_1!KC17:KC34)</f>
        <v>0</v>
      </c>
      <c r="KD16" s="150">
        <f>SUM(data_1!KD17:KD34)</f>
        <v>0</v>
      </c>
      <c r="KE16" s="150">
        <f>SUM(data_1!KE17:KE34)</f>
        <v>0</v>
      </c>
      <c r="KF16" s="150">
        <f>SUM(data_1!KF17:KF34)</f>
        <v>0</v>
      </c>
      <c r="KG16" s="150">
        <f>SUM(data_1!KG17:KG34)</f>
        <v>0</v>
      </c>
      <c r="KH16" s="150">
        <f>SUM(data_1!KH17:KH34)</f>
        <v>0</v>
      </c>
      <c r="KI16" s="150">
        <f>SUM(data_1!KI17:KI34)</f>
        <v>0</v>
      </c>
      <c r="KJ16" s="150">
        <f>SUM(data_1!KJ17:KJ34)</f>
        <v>0</v>
      </c>
      <c r="KK16" s="150">
        <f>SUM(data_1!KK17:KK34)</f>
        <v>32757336.410000004</v>
      </c>
      <c r="KL16" s="150">
        <f>SUM(data_1!KL17:KL34)</f>
        <v>18733900</v>
      </c>
      <c r="KM16" s="150">
        <f>SUM(data_1!KM17:KM34)</f>
        <v>14023436.41</v>
      </c>
      <c r="KN16" s="150">
        <f>SUM(data_1!KN17:KN34)</f>
        <v>18618493.539999999</v>
      </c>
      <c r="KO16" s="150">
        <f>SUM(data_1!KO17:KO34)</f>
        <v>0</v>
      </c>
      <c r="KP16" s="150">
        <f>SUM(data_1!KP17:KP34)</f>
        <v>0</v>
      </c>
      <c r="KQ16" s="150">
        <f>SUM(data_1!KQ17:KQ34)</f>
        <v>32624685.310000002</v>
      </c>
      <c r="KR16" s="150">
        <f>SUM(data_1!KR17:KR34)</f>
        <v>18618493.539999999</v>
      </c>
      <c r="KS16" s="150">
        <f>SUM(data_1!KS17:KS34)</f>
        <v>0</v>
      </c>
      <c r="KT16" s="150">
        <f>SUM(data_1!KT17:KT34)</f>
        <v>14006191.77</v>
      </c>
      <c r="KU16" s="150">
        <f>SUM(data_1!KU17:KU34)</f>
        <v>329.92461999999995</v>
      </c>
      <c r="KV16" s="150">
        <f>SUM(data_1!KV17:KV34)</f>
        <v>0</v>
      </c>
      <c r="KW16" s="150">
        <f>SUM(data_1!KW17:KW34)</f>
        <v>0</v>
      </c>
      <c r="KX16" s="150">
        <f>SUM(data_1!KX17:KX34)</f>
        <v>18618493.539999999</v>
      </c>
      <c r="KY16" s="150">
        <f>SUM(data_1!KY17:KY34)</f>
        <v>0</v>
      </c>
      <c r="KZ16" s="150">
        <f>SUM(data_1!KZ17:KZ34)</f>
        <v>18733900</v>
      </c>
      <c r="LA16" s="150">
        <f>SUM(data_1!LA17:LA34)</f>
        <v>18733900</v>
      </c>
      <c r="LB16" s="150">
        <f>SUM(data_1!LB17:LB34)</f>
        <v>0</v>
      </c>
      <c r="LC16" s="150">
        <f>SUM(data_1!LC17:LC34)</f>
        <v>0</v>
      </c>
      <c r="LD16" s="150">
        <f>SUM(data_1!LD17:LD34)</f>
        <v>0</v>
      </c>
      <c r="LE16" s="150">
        <f>SUM(data_1!LE17:LE34)</f>
        <v>0</v>
      </c>
      <c r="LF16" s="150">
        <f>SUM(data_1!LF17:LF34)</f>
        <v>0</v>
      </c>
      <c r="LG16" s="150">
        <f>SUM(data_1!LG17:LG34)</f>
        <v>0</v>
      </c>
      <c r="LH16" s="150">
        <f>SUM(data_1!LH17:LH34)</f>
        <v>0</v>
      </c>
      <c r="LI16" s="150">
        <f>SUM(data_1!LI17:LI34)</f>
        <v>0</v>
      </c>
      <c r="LJ16" s="150">
        <f>SUM(data_1!LJ17:LJ34)</f>
        <v>0</v>
      </c>
      <c r="LK16" s="150">
        <f>SUM(data_1!LK17:LK34)</f>
        <v>0</v>
      </c>
      <c r="LL16" s="150">
        <f>SUM(data_1!LL17:LL34)</f>
        <v>0</v>
      </c>
      <c r="LM16" s="150">
        <f>SUM(data_1!LM17:LM34)</f>
        <v>0</v>
      </c>
      <c r="LN16" s="150">
        <f>SUM(data_1!LN17:LN34)</f>
        <v>0</v>
      </c>
      <c r="LO16" s="150">
        <f>SUM(data_1!LO17:LO34)</f>
        <v>0</v>
      </c>
      <c r="LP16" s="150">
        <f>SUM(data_1!LP17:LP34)</f>
        <v>0</v>
      </c>
      <c r="LQ16" s="150">
        <f>SUM(data_1!LQ17:LQ34)</f>
        <v>0</v>
      </c>
      <c r="LR16" s="150">
        <f>SUM(data_1!LR17:LR34)</f>
        <v>0</v>
      </c>
      <c r="LS16" s="150">
        <f>SUM(data_1!LS17:LS34)</f>
        <v>0</v>
      </c>
      <c r="LT16" s="150">
        <f>SUM(data_1!LT17:LT34)</f>
        <v>0</v>
      </c>
      <c r="LU16" s="150">
        <f>SUM(data_1!LU17:LU34)</f>
        <v>181814238.27999997</v>
      </c>
      <c r="LV16" s="150">
        <f>SUM(data_1!LV17:LV34)</f>
        <v>115570400</v>
      </c>
      <c r="LW16" s="150">
        <f>SUM(data_1!LW17:LW34)</f>
        <v>66243838.280000001</v>
      </c>
      <c r="LX16" s="150">
        <f>SUM(data_1!LX17:LX34)</f>
        <v>114113306.98999999</v>
      </c>
      <c r="LY16" s="150">
        <f>SUM(data_1!LY17:LY34)</f>
        <v>2864560</v>
      </c>
      <c r="LZ16" s="150">
        <f>SUM(data_1!LZ17:LZ34)</f>
        <v>0</v>
      </c>
      <c r="MA16" s="150">
        <f>SUM(data_1!MA17:MA34)</f>
        <v>178651941.65000004</v>
      </c>
      <c r="MB16" s="150">
        <f>SUM(data_1!MB17:MB34)</f>
        <v>114113306.98999999</v>
      </c>
      <c r="MC16" s="150">
        <f>SUM(data_1!MC17:MC34)</f>
        <v>0</v>
      </c>
      <c r="MD16" s="150">
        <f>SUM(data_1!MD17:MD34)</f>
        <v>64538634.659999996</v>
      </c>
      <c r="ME16" s="150">
        <f>SUM(data_1!ME17:ME34)</f>
        <v>104.01252000000001</v>
      </c>
      <c r="MF16" s="150">
        <f>SUM(data_1!MF17:MF34)</f>
        <v>2864560</v>
      </c>
      <c r="MG16" s="150">
        <f>SUM(data_1!MG17:MG34)</f>
        <v>0</v>
      </c>
      <c r="MH16" s="150">
        <f>SUM(data_1!MH17:MH34)</f>
        <v>114113306.98999999</v>
      </c>
      <c r="MI16" s="150">
        <f>SUM(data_1!MI17:MI34)</f>
        <v>0</v>
      </c>
      <c r="MJ16" s="150">
        <f>SUM(data_1!MJ17:MJ34)</f>
        <v>115570400</v>
      </c>
      <c r="MK16" s="150">
        <f>SUM(data_1!MK17:MK34)</f>
        <v>115570400</v>
      </c>
      <c r="ML16" s="150">
        <f>SUM(data_1!ML17:ML34)</f>
        <v>0</v>
      </c>
      <c r="MM16" s="150">
        <f>SUM(data_1!MM17:MM34)</f>
        <v>0</v>
      </c>
      <c r="MN16" s="150">
        <f>SUM(data_1!MN17:MN34)</f>
        <v>0</v>
      </c>
      <c r="MO16" s="150">
        <f>SUM(data_1!MO17:MO34)</f>
        <v>0</v>
      </c>
      <c r="MP16" s="150">
        <f>SUM(data_1!MP17:MP34)</f>
        <v>0</v>
      </c>
      <c r="MQ16" s="150">
        <f>SUM(data_1!MQ17:MQ34)</f>
        <v>0</v>
      </c>
      <c r="MR16" s="150">
        <f>SUM(data_1!MR17:MR34)</f>
        <v>0</v>
      </c>
      <c r="MS16" s="150">
        <f>SUM(data_1!MS17:MS34)</f>
        <v>0</v>
      </c>
      <c r="MT16" s="150">
        <f>SUM(data_1!MT17:MT34)</f>
        <v>0</v>
      </c>
      <c r="MU16" s="150">
        <f>SUM(data_1!MU17:MU34)</f>
        <v>0</v>
      </c>
      <c r="MV16" s="150">
        <f>SUM(data_1!MV17:MV34)</f>
        <v>0</v>
      </c>
      <c r="MW16" s="150">
        <f>SUM(data_1!MW17:MW34)</f>
        <v>0</v>
      </c>
      <c r="MX16" s="150">
        <f>SUM(data_1!MX17:MX34)</f>
        <v>0</v>
      </c>
      <c r="MY16" s="150">
        <f>SUM(data_1!MY17:MY34)</f>
        <v>0</v>
      </c>
      <c r="MZ16" s="150">
        <f>SUM(data_1!MZ17:MZ34)</f>
        <v>0</v>
      </c>
      <c r="NA16" s="150">
        <f>SUM(data_1!NA17:NA34)</f>
        <v>0</v>
      </c>
      <c r="NB16" s="150">
        <f>SUM(data_1!NB17:NB34)</f>
        <v>0</v>
      </c>
      <c r="NC16" s="150">
        <f>SUM(data_1!NC17:NC34)</f>
        <v>0</v>
      </c>
      <c r="ND16" s="150">
        <f>SUM(data_1!ND17:ND34)</f>
        <v>0</v>
      </c>
      <c r="NE16" s="150">
        <f>SUM(data_1!NE17:NE34)</f>
        <v>28396627.02</v>
      </c>
      <c r="NF16" s="150">
        <f>SUM(data_1!NF17:NF34)</f>
        <v>19538500</v>
      </c>
      <c r="NG16" s="150">
        <f>SUM(data_1!NG17:NG34)</f>
        <v>8858127.0199999996</v>
      </c>
      <c r="NH16" s="150">
        <f>SUM(data_1!NH17:NH34)</f>
        <v>19364387.900000002</v>
      </c>
      <c r="NI16" s="150">
        <f>SUM(data_1!NI17:NI34)</f>
        <v>0</v>
      </c>
      <c r="NJ16" s="150">
        <f>SUM(data_1!NJ17:NJ34)</f>
        <v>0</v>
      </c>
      <c r="NK16" s="150">
        <f>SUM(data_1!NK17:NK34)</f>
        <v>28015500.309999999</v>
      </c>
      <c r="NL16" s="150">
        <f>SUM(data_1!NL17:NL34)</f>
        <v>19364387.900000002</v>
      </c>
      <c r="NM16" s="150">
        <f>SUM(data_1!NM17:NM34)</f>
        <v>0</v>
      </c>
      <c r="NN16" s="150">
        <f>SUM(data_1!NN17:NN34)</f>
        <v>8651112.4100000001</v>
      </c>
      <c r="NO16" s="150">
        <f>SUM(data_1!NO17:NO34)</f>
        <v>481.08569</v>
      </c>
      <c r="NP16" s="150">
        <f>SUM(data_1!NP17:NP34)</f>
        <v>0</v>
      </c>
      <c r="NQ16" s="150">
        <f>SUM(data_1!NQ17:NQ34)</f>
        <v>0</v>
      </c>
      <c r="NR16" s="150">
        <f>SUM(data_1!NR17:NR34)</f>
        <v>19364387.900000002</v>
      </c>
      <c r="NS16" s="150">
        <f>SUM(data_1!NS17:NS34)</f>
        <v>0</v>
      </c>
      <c r="NT16" s="150">
        <f>SUM(data_1!NT17:NT34)</f>
        <v>19538500</v>
      </c>
      <c r="NU16" s="150">
        <f>SUM(data_1!NU17:NU34)</f>
        <v>19538500</v>
      </c>
      <c r="NV16" s="150">
        <f>SUM(data_1!NV17:NV34)</f>
        <v>0</v>
      </c>
      <c r="NW16" s="150">
        <f>SUM(data_1!NW17:NW34)</f>
        <v>0</v>
      </c>
      <c r="NX16" s="150">
        <f>SUM(data_1!NX17:NX34)</f>
        <v>0</v>
      </c>
      <c r="NY16" s="150">
        <f>SUM(data_1!NY17:NY34)</f>
        <v>0</v>
      </c>
      <c r="NZ16" s="150">
        <f>SUM(data_1!NZ17:NZ34)</f>
        <v>0</v>
      </c>
      <c r="OA16" s="150">
        <f>SUM(data_1!OA17:OA34)</f>
        <v>0</v>
      </c>
      <c r="OB16" s="150">
        <f>SUM(data_1!OB17:OB34)</f>
        <v>0</v>
      </c>
      <c r="OC16" s="150">
        <f>SUM(data_1!OC17:OC34)</f>
        <v>0</v>
      </c>
      <c r="OD16" s="150">
        <f>SUM(data_1!OD17:OD34)</f>
        <v>0</v>
      </c>
      <c r="OE16" s="150">
        <f>SUM(data_1!OE17:OE34)</f>
        <v>0</v>
      </c>
      <c r="OF16" s="150">
        <f>SUM(data_1!OF17:OF34)</f>
        <v>0</v>
      </c>
      <c r="OG16" s="150">
        <f>SUM(data_1!OG17:OG34)</f>
        <v>0</v>
      </c>
      <c r="OH16" s="150">
        <f>SUM(data_1!OH17:OH34)</f>
        <v>0</v>
      </c>
      <c r="OI16" s="150">
        <f>SUM(data_1!OI17:OI34)</f>
        <v>0</v>
      </c>
      <c r="OJ16" s="150">
        <f>SUM(data_1!OJ17:OJ34)</f>
        <v>0</v>
      </c>
      <c r="OK16" s="150">
        <f>SUM(data_1!OK17:OK34)</f>
        <v>0</v>
      </c>
      <c r="OL16" s="150">
        <f>SUM(data_1!OL17:OL34)</f>
        <v>0</v>
      </c>
      <c r="OM16" s="150">
        <f>SUM(data_1!OM17:OM34)</f>
        <v>0</v>
      </c>
      <c r="ON16" s="150">
        <f>SUM(data_1!ON17:ON34)</f>
        <v>0</v>
      </c>
      <c r="OO16" s="150">
        <f>SUM(data_1!OO17:OO34)</f>
        <v>0</v>
      </c>
      <c r="OP16" s="150">
        <f>SUM(data_1!OP17:OP34)</f>
        <v>0</v>
      </c>
      <c r="OQ16" s="150">
        <f>SUM(data_1!OQ17:OQ34)</f>
        <v>0</v>
      </c>
      <c r="OR16" s="150">
        <f>SUM(data_1!OR17:OR34)</f>
        <v>0</v>
      </c>
      <c r="OS16" s="150">
        <f>SUM(data_1!OS17:OS34)</f>
        <v>147007701.60000002</v>
      </c>
      <c r="OT16" s="150">
        <f>SUM(data_1!OT17:OT34)</f>
        <v>0</v>
      </c>
      <c r="OU16" s="150">
        <f>SUM(data_1!OU17:OU34)</f>
        <v>0</v>
      </c>
      <c r="OV16" s="150">
        <f>SUM(data_1!OV17:OV34)</f>
        <v>0</v>
      </c>
      <c r="OW16" s="150">
        <f>SUM(data_1!OW17:OW34)</f>
        <v>0</v>
      </c>
      <c r="OX16" s="150">
        <f>SUM(data_1!OX17:OX34)</f>
        <v>0</v>
      </c>
      <c r="OY16" s="150">
        <f>SUM(data_1!OY17:OY34)</f>
        <v>0</v>
      </c>
      <c r="OZ16" s="150">
        <f>SUM(data_1!OZ17:OZ34)</f>
        <v>147007701.60000002</v>
      </c>
      <c r="PA16" s="150">
        <f>SUM(data_1!PA17:PA34)</f>
        <v>0</v>
      </c>
      <c r="PB16" s="150">
        <f>SUM(data_1!PB17:PB34)</f>
        <v>0</v>
      </c>
      <c r="PC16" s="150">
        <f>SUM(data_1!PC17:PC34)</f>
        <v>0</v>
      </c>
      <c r="PD16" s="150">
        <f>SUM(data_1!PD17:PD34)</f>
        <v>0</v>
      </c>
      <c r="PE16" s="150">
        <f>SUM(data_1!PE17:PE34)</f>
        <v>0</v>
      </c>
      <c r="PF16" s="150">
        <f>SUM(data_1!PF17:PF34)</f>
        <v>0</v>
      </c>
      <c r="PG16" s="150">
        <f>SUM(data_1!PG17:PG34)</f>
        <v>0</v>
      </c>
      <c r="PH16" s="150">
        <f>SUM(data_1!PH17:PH34)</f>
        <v>0</v>
      </c>
      <c r="PI16" s="150">
        <f>SUM(data_1!PI17:PI34)</f>
        <v>0</v>
      </c>
      <c r="PJ16" s="150">
        <f>SUM(data_1!PJ17:PJ34)</f>
        <v>0</v>
      </c>
      <c r="PK16" s="150">
        <f>SUM(data_1!PK17:PK34)</f>
        <v>69293489.519999996</v>
      </c>
      <c r="PL16" s="150">
        <f>SUM(data_1!PL17:PL34)</f>
        <v>0</v>
      </c>
      <c r="PM16" s="150">
        <f>SUM(data_1!PM17:PM34)</f>
        <v>0</v>
      </c>
      <c r="PN16" s="150">
        <f>SUM(data_1!PN17:PN34)</f>
        <v>0</v>
      </c>
      <c r="PO16" s="150">
        <f>SUM(data_1!PO17:PO34)</f>
        <v>0</v>
      </c>
      <c r="PP16" s="150">
        <f>SUM(data_1!PP17:PP34)</f>
        <v>0</v>
      </c>
      <c r="PQ16" s="150">
        <f>SUM(data_1!PQ17:PQ34)</f>
        <v>0</v>
      </c>
      <c r="PR16" s="150">
        <f>SUM(data_1!PR17:PR34)</f>
        <v>69293489.519999996</v>
      </c>
      <c r="PS16" s="150">
        <f>SUM(data_1!PS17:PS34)</f>
        <v>0</v>
      </c>
      <c r="PT16" s="150">
        <f>SUM(data_1!PT17:PT34)</f>
        <v>0</v>
      </c>
      <c r="PU16" s="150">
        <f>SUM(data_1!PU17:PU34)</f>
        <v>0</v>
      </c>
      <c r="PV16" s="150">
        <f>SUM(data_1!PV17:PV34)</f>
        <v>0</v>
      </c>
      <c r="PW16" s="150">
        <f>SUM(data_1!PW17:PW34)</f>
        <v>0</v>
      </c>
      <c r="PX16" s="150">
        <f>SUM(data_1!PX17:PX34)</f>
        <v>0</v>
      </c>
      <c r="PY16" s="150">
        <f>SUM(data_1!PY17:PY34)</f>
        <v>0</v>
      </c>
      <c r="PZ16" s="150">
        <f>SUM(data_1!PZ17:PZ34)</f>
        <v>0</v>
      </c>
      <c r="QA16" s="150">
        <f>SUM(data_1!QA17:QA34)</f>
        <v>0</v>
      </c>
      <c r="QB16" s="150">
        <f>SUM(data_1!QB17:QB34)</f>
        <v>0</v>
      </c>
      <c r="QC16" s="150">
        <f>SUM(data_1!QC17:QC34)</f>
        <v>0</v>
      </c>
      <c r="QD16" s="150">
        <f>SUM(data_1!QD17:QD34)</f>
        <v>0</v>
      </c>
      <c r="QE16" s="150">
        <f>SUM(data_1!QE17:QE34)</f>
        <v>0</v>
      </c>
      <c r="QF16" s="150">
        <f>SUM(data_1!QF17:QF34)</f>
        <v>0</v>
      </c>
      <c r="QG16" s="150">
        <f>SUM(data_1!QG17:QG34)</f>
        <v>0</v>
      </c>
      <c r="QH16" s="150">
        <f>SUM(data_1!QH17:QH34)</f>
        <v>0</v>
      </c>
      <c r="QI16" s="150">
        <f>SUM(data_1!QI17:QI34)</f>
        <v>0</v>
      </c>
      <c r="QJ16" s="150">
        <f>SUM(data_1!QJ17:QJ34)</f>
        <v>0</v>
      </c>
      <c r="QK16" s="150">
        <f>SUM(data_1!QK17:QK34)</f>
        <v>0</v>
      </c>
      <c r="QL16" s="150">
        <f>SUM(data_1!QL17:QL34)</f>
        <v>0</v>
      </c>
      <c r="QM16" s="150">
        <f>SUM(data_1!QM17:QM34)</f>
        <v>0</v>
      </c>
      <c r="QN16" s="150">
        <f>SUM(data_1!QN17:QN34)</f>
        <v>0</v>
      </c>
      <c r="QO16" s="150">
        <f>SUM(data_1!QO17:QO34)</f>
        <v>0</v>
      </c>
      <c r="QP16" s="150">
        <f>SUM(data_1!QP17:QP34)</f>
        <v>0</v>
      </c>
      <c r="QQ16" s="150">
        <f>SUM(data_1!QQ17:QQ34)</f>
        <v>0</v>
      </c>
      <c r="QR16" s="150">
        <f>SUM(data_1!QR17:QR34)</f>
        <v>0</v>
      </c>
      <c r="QS16" s="150">
        <f>SUM(data_1!QS17:QS34)</f>
        <v>0</v>
      </c>
      <c r="QT16" s="150">
        <f>SUM(data_1!QT17:QT34)</f>
        <v>0</v>
      </c>
      <c r="QU16" s="150">
        <f>SUM(data_1!QU17:QU34)</f>
        <v>0</v>
      </c>
      <c r="QV16" s="150">
        <f>SUM(data_1!QV17:QV34)</f>
        <v>0</v>
      </c>
      <c r="QW16" s="150">
        <f>SUM(data_1!QW17:QW34)</f>
        <v>0</v>
      </c>
      <c r="QX16" s="150">
        <f>SUM(data_1!QX17:QX34)</f>
        <v>0</v>
      </c>
      <c r="QY16" s="150">
        <f>SUM(data_1!QY17:QY34)</f>
        <v>0</v>
      </c>
      <c r="QZ16" s="150">
        <f>SUM(data_1!QZ17:QZ34)</f>
        <v>0</v>
      </c>
      <c r="RA16" s="150">
        <f>SUM(data_1!RA17:RA34)</f>
        <v>0</v>
      </c>
      <c r="RB16" s="150">
        <f>SUM(data_1!RB17:RB34)</f>
        <v>0</v>
      </c>
      <c r="RC16" s="150">
        <f>SUM(data_1!RC17:RC34)</f>
        <v>0</v>
      </c>
      <c r="RD16" s="150">
        <f>SUM(data_1!RD17:RD34)</f>
        <v>0</v>
      </c>
      <c r="RE16" s="150">
        <f>SUM(data_1!RE17:RE34)</f>
        <v>0</v>
      </c>
      <c r="RF16" s="150">
        <f>SUM(data_1!RF17:RF34)</f>
        <v>0</v>
      </c>
      <c r="RG16" s="150">
        <f>SUM(data_1!RG17:RG34)</f>
        <v>0</v>
      </c>
      <c r="RH16" s="150">
        <f>SUM(data_1!RH17:RH34)</f>
        <v>0</v>
      </c>
      <c r="RI16" s="150">
        <f>SUM(data_1!RI17:RI34)</f>
        <v>0</v>
      </c>
      <c r="RJ16" s="150">
        <f>SUM(data_1!RJ17:RJ34)</f>
        <v>0</v>
      </c>
      <c r="RK16" s="150">
        <f>SUM(data_1!RK17:RK34)</f>
        <v>0</v>
      </c>
      <c r="RL16" s="150">
        <f>SUM(data_1!RL17:RL34)</f>
        <v>0</v>
      </c>
      <c r="RM16" s="150">
        <f>SUM(data_1!RM17:RM34)</f>
        <v>191669064.49000001</v>
      </c>
      <c r="RN16" s="150">
        <f>SUM(data_1!RN17:RN34)</f>
        <v>0</v>
      </c>
      <c r="RO16" s="150">
        <f>SUM(data_1!RO17:RO34)</f>
        <v>0</v>
      </c>
      <c r="RP16" s="150">
        <f>SUM(data_1!RP17:RP34)</f>
        <v>0</v>
      </c>
      <c r="RQ16" s="150">
        <f>SUM(data_1!RQ17:RQ34)</f>
        <v>0</v>
      </c>
      <c r="RR16" s="150">
        <f>SUM(data_1!RR17:RR34)</f>
        <v>0</v>
      </c>
      <c r="RS16" s="150">
        <f>SUM(data_1!RS17:RS34)</f>
        <v>0</v>
      </c>
      <c r="RT16" s="150">
        <f>SUM(data_1!RT17:RT34)</f>
        <v>191643650.95000002</v>
      </c>
      <c r="RU16" s="150">
        <f>SUM(data_1!RU17:RU34)</f>
        <v>25413.54</v>
      </c>
      <c r="RV16" s="150">
        <f>SUM(data_1!RV17:RV34)</f>
        <v>0</v>
      </c>
      <c r="RW16" s="150">
        <f>SUM(data_1!RW17:RW34)</f>
        <v>0</v>
      </c>
      <c r="RX16" s="150">
        <f>SUM(data_1!RX17:RX34)</f>
        <v>0</v>
      </c>
      <c r="RY16" s="150">
        <f>SUM(data_1!RY17:RY34)</f>
        <v>0</v>
      </c>
      <c r="RZ16" s="150">
        <f>SUM(data_1!RZ17:RZ34)</f>
        <v>0</v>
      </c>
      <c r="SA16" s="150">
        <f>SUM(data_1!SA17:SA34)</f>
        <v>0</v>
      </c>
      <c r="SB16" s="150">
        <f>SUM(data_1!SB17:SB34)</f>
        <v>0</v>
      </c>
      <c r="SC16" s="150">
        <f>SUM(data_1!SC17:SC34)</f>
        <v>0</v>
      </c>
      <c r="SD16" s="150">
        <f>SUM(data_1!SD17:SD34)</f>
        <v>0</v>
      </c>
      <c r="SE16" s="150">
        <f>SUM(data_1!SE17:SE34)</f>
        <v>0</v>
      </c>
      <c r="SF16" s="150">
        <f>SUM(data_1!SF17:SF34)</f>
        <v>0</v>
      </c>
      <c r="SG16" s="150">
        <f>SUM(data_1!SG17:SG34)</f>
        <v>0</v>
      </c>
      <c r="SH16" s="150">
        <f>SUM(data_1!SH17:SH34)</f>
        <v>0</v>
      </c>
      <c r="SI16" s="150">
        <f>SUM(data_1!SI17:SI34)</f>
        <v>0</v>
      </c>
      <c r="SJ16" s="150">
        <f>SUM(data_1!SJ17:SJ34)</f>
        <v>0</v>
      </c>
      <c r="SK16" s="150">
        <f>SUM(data_1!SK17:SK34)</f>
        <v>0</v>
      </c>
      <c r="SL16" s="150">
        <f>SUM(data_1!SL17:SL34)</f>
        <v>0</v>
      </c>
      <c r="SM16" s="150">
        <f>SUM(data_1!SM17:SM34)</f>
        <v>0</v>
      </c>
      <c r="SN16" s="150">
        <f>SUM(data_1!SN17:SN34)</f>
        <v>0</v>
      </c>
      <c r="SO16" s="150">
        <f>SUM(data_1!SO17:SO34)</f>
        <v>0</v>
      </c>
      <c r="SP16" s="150">
        <f>SUM(data_1!SP17:SP34)</f>
        <v>0</v>
      </c>
      <c r="SQ16" s="150">
        <f>SUM(data_1!SQ17:SQ34)</f>
        <v>0</v>
      </c>
      <c r="SR16" s="150">
        <f>SUM(data_1!SR17:SR34)</f>
        <v>0</v>
      </c>
      <c r="SS16" s="150">
        <f>SUM(data_1!SS17:SS34)</f>
        <v>0</v>
      </c>
      <c r="ST16" s="150">
        <f>SUM(data_1!ST17:ST34)</f>
        <v>0</v>
      </c>
      <c r="SU16" s="150">
        <f>SUM(data_1!SU17:SU34)</f>
        <v>0</v>
      </c>
      <c r="SV16" s="150">
        <f>SUM(data_1!SV17:SV34)</f>
        <v>0</v>
      </c>
      <c r="SW16" s="150">
        <f>SUM(data_1!SW17:SW34)</f>
        <v>0</v>
      </c>
      <c r="SX16" s="150">
        <f>SUM(data_1!SX17:SX34)</f>
        <v>0</v>
      </c>
      <c r="SY16" s="150">
        <f>SUM(data_1!SY17:SY34)</f>
        <v>0</v>
      </c>
      <c r="SZ16" s="150">
        <f>SUM(data_1!SZ17:SZ34)</f>
        <v>0</v>
      </c>
      <c r="TA16" s="150">
        <f>SUM(data_1!TA17:TA34)</f>
        <v>0</v>
      </c>
      <c r="TB16" s="150">
        <f>SUM(data_1!TB17:TB34)</f>
        <v>0</v>
      </c>
      <c r="TC16" s="150">
        <f>SUM(data_1!TC17:TC34)</f>
        <v>0</v>
      </c>
      <c r="TD16" s="150">
        <f>SUM(data_1!TD17:TD34)</f>
        <v>0</v>
      </c>
      <c r="TE16" s="150">
        <f>SUM(data_1!TE17:TE34)</f>
        <v>0</v>
      </c>
      <c r="TF16" s="150">
        <f>SUM(data_1!TF17:TF34)</f>
        <v>0</v>
      </c>
      <c r="TG16" s="150">
        <f>SUM(data_1!TG17:TG34)</f>
        <v>0</v>
      </c>
      <c r="TH16" s="150">
        <f>SUM(data_1!TH17:TH34)</f>
        <v>0</v>
      </c>
      <c r="TI16" s="150">
        <f>SUM(data_1!TI17:TI34)</f>
        <v>0</v>
      </c>
      <c r="TJ16" s="150">
        <f>SUM(data_1!TJ17:TJ34)</f>
        <v>0</v>
      </c>
      <c r="TK16" s="150">
        <f>SUM(data_1!TK17:TK34)</f>
        <v>0</v>
      </c>
      <c r="TL16" s="150">
        <f>SUM(data_1!TL17:TL34)</f>
        <v>0</v>
      </c>
      <c r="TM16" s="150">
        <f>SUM(data_1!TM17:TM34)</f>
        <v>0</v>
      </c>
      <c r="TN16" s="150">
        <f>SUM(data_1!TN17:TN34)</f>
        <v>0</v>
      </c>
      <c r="TO16" s="150">
        <f>SUM(data_1!TO17:TO34)</f>
        <v>0</v>
      </c>
      <c r="TP16" s="150">
        <f>SUM(data_1!TP17:TP34)</f>
        <v>0</v>
      </c>
      <c r="TQ16" s="150">
        <f>SUM(data_1!TQ17:TQ34)</f>
        <v>0</v>
      </c>
      <c r="TR16" s="150">
        <f>SUM(data_1!TR17:TR34)</f>
        <v>0</v>
      </c>
      <c r="TS16" s="150">
        <f>SUM(data_1!TS17:TS34)</f>
        <v>0</v>
      </c>
      <c r="TT16" s="150">
        <f>SUM(data_1!TT17:TT34)</f>
        <v>0</v>
      </c>
      <c r="TU16" s="150">
        <f>SUM(data_1!TU17:TU34)</f>
        <v>0</v>
      </c>
      <c r="TV16" s="150">
        <f>SUM(data_1!TV17:TV34)</f>
        <v>0</v>
      </c>
      <c r="TW16" s="150">
        <f>SUM(data_1!TW17:TW34)</f>
        <v>0</v>
      </c>
      <c r="TX16" s="150">
        <f>SUM(data_1!TX17:TX34)</f>
        <v>0</v>
      </c>
      <c r="TY16" s="150">
        <f>SUM(data_1!TY17:TY34)</f>
        <v>0</v>
      </c>
      <c r="TZ16" s="150">
        <f>SUM(data_1!TZ17:TZ34)</f>
        <v>0</v>
      </c>
      <c r="UA16" s="150">
        <f>SUM(data_1!UA17:UA34)</f>
        <v>0</v>
      </c>
      <c r="UB16" s="150">
        <f>SUM(data_1!UB17:UB34)</f>
        <v>0</v>
      </c>
      <c r="UC16" s="150">
        <f>SUM(data_1!UC17:UC34)</f>
        <v>0</v>
      </c>
      <c r="UD16" s="150">
        <f>SUM(data_1!UD17:UD34)</f>
        <v>0</v>
      </c>
      <c r="UE16" s="150">
        <f>SUM(data_1!UE17:UE34)</f>
        <v>0</v>
      </c>
      <c r="UF16" s="150">
        <f>SUM(data_1!UF17:UF34)</f>
        <v>0</v>
      </c>
      <c r="UG16" s="150">
        <f>SUM(data_1!UG17:UG34)</f>
        <v>0</v>
      </c>
      <c r="UH16" s="150">
        <f>SUM(data_1!UH17:UH34)</f>
        <v>0</v>
      </c>
      <c r="UI16" s="150">
        <f>SUM(data_1!UI17:UI34)</f>
        <v>0</v>
      </c>
      <c r="UJ16" s="150">
        <f>SUM(data_1!UJ17:UJ34)</f>
        <v>0</v>
      </c>
      <c r="UK16" s="150">
        <f>SUM(data_1!UK17:UK34)</f>
        <v>0</v>
      </c>
      <c r="UL16" s="150">
        <f>SUM(data_1!UL17:UL34)</f>
        <v>0</v>
      </c>
      <c r="UM16" s="150">
        <f>SUM(data_1!UM17:UM34)</f>
        <v>0</v>
      </c>
      <c r="UN16" s="150">
        <f>SUM(data_1!UN17:UN34)</f>
        <v>0</v>
      </c>
      <c r="UO16" s="150">
        <f>SUM(data_1!UO17:UO34)</f>
        <v>0</v>
      </c>
      <c r="UP16" s="150">
        <f>SUM(data_1!UP17:UP34)</f>
        <v>0</v>
      </c>
      <c r="UQ16" s="150">
        <f>SUM(data_1!UQ17:UQ34)</f>
        <v>0</v>
      </c>
      <c r="UR16" s="150">
        <f>SUM(data_1!UR17:UR34)</f>
        <v>0</v>
      </c>
      <c r="US16" s="150">
        <f>SUM(data_1!US17:US34)</f>
        <v>0</v>
      </c>
    </row>
    <row r="17" spans="1:565" x14ac:dyDescent="0.3">
      <c r="A17" s="133" t="s">
        <v>61</v>
      </c>
      <c r="B17" s="134" t="s">
        <v>62</v>
      </c>
      <c r="C17" s="137" t="s">
        <v>63</v>
      </c>
      <c r="F17" s="148">
        <f>SUM(data_1!F36:F46)</f>
        <v>5857359700</v>
      </c>
      <c r="G17" s="148">
        <f>SUM(data_1!G36:G46)</f>
        <v>0</v>
      </c>
      <c r="H17" s="148">
        <f>SUM(data_1!H36:H46)</f>
        <v>0</v>
      </c>
      <c r="I17" s="148">
        <f>SUM(data_1!I36:I46)</f>
        <v>531673319.64999998</v>
      </c>
      <c r="J17" s="148">
        <f>SUM(data_1!J36:J46)</f>
        <v>383791600</v>
      </c>
      <c r="K17" s="148">
        <f>SUM(data_1!K36:K46)</f>
        <v>147881719.65000001</v>
      </c>
      <c r="L17" s="148">
        <f>SUM(data_1!L36:L46)</f>
        <v>383789059</v>
      </c>
      <c r="M17" s="148">
        <f>SUM(data_1!M36:M46)</f>
        <v>1814298.49</v>
      </c>
      <c r="N17" s="148">
        <f>SUM(data_1!N36:N46)</f>
        <v>0</v>
      </c>
      <c r="O17" s="148">
        <f>SUM(data_1!O36:O46)</f>
        <v>529796536.48000002</v>
      </c>
      <c r="P17" s="148">
        <f>SUM(data_1!P36:P46)</f>
        <v>382346476.97000003</v>
      </c>
      <c r="Q17" s="148">
        <f>SUM(data_1!Q36:Q46)</f>
        <v>0</v>
      </c>
      <c r="R17" s="148">
        <f>SUM(data_1!R36:R46)</f>
        <v>147450059.51000002</v>
      </c>
      <c r="S17" s="148">
        <f>SUM(data_1!S36:S46)</f>
        <v>202.00005999999999</v>
      </c>
      <c r="T17" s="148">
        <f>SUM(data_1!T36:T46)</f>
        <v>1814298.49</v>
      </c>
      <c r="U17" s="148">
        <f>SUM(data_1!U36:U46)</f>
        <v>1442582.03</v>
      </c>
      <c r="V17" s="148">
        <f>SUM(data_1!V36:V46)</f>
        <v>383789059</v>
      </c>
      <c r="W17" s="148">
        <f>SUM(data_1!W36:W46)</f>
        <v>0</v>
      </c>
      <c r="X17" s="148">
        <f>SUM(data_1!X36:X46)</f>
        <v>383791600</v>
      </c>
      <c r="Y17" s="148">
        <f>SUM(data_1!Y36:Y46)</f>
        <v>383791600</v>
      </c>
      <c r="Z17" s="148">
        <f>SUM(data_1!Z36:Z46)</f>
        <v>0</v>
      </c>
      <c r="AA17" s="148">
        <f>SUM(data_1!AA36:AA46)</f>
        <v>1113442984.1200001</v>
      </c>
      <c r="AB17" s="148">
        <f>SUM(data_1!AB36:AB46)</f>
        <v>776081500</v>
      </c>
      <c r="AC17" s="148">
        <f>SUM(data_1!AC36:AC46)</f>
        <v>337361484.12</v>
      </c>
      <c r="AD17" s="148">
        <f>SUM(data_1!AD36:AD46)</f>
        <v>774700111.68999994</v>
      </c>
      <c r="AE17" s="148">
        <f>SUM(data_1!AE36:AE46)</f>
        <v>1947516.82</v>
      </c>
      <c r="AF17" s="148">
        <f>SUM(data_1!AF36:AF46)</f>
        <v>0</v>
      </c>
      <c r="AG17" s="148">
        <f>SUM(data_1!AG36:AG46)</f>
        <v>1111496847.5999999</v>
      </c>
      <c r="AH17" s="148">
        <f>SUM(data_1!AH36:AH46)</f>
        <v>774700111.65999997</v>
      </c>
      <c r="AI17" s="148">
        <f>SUM(data_1!AI36:AI46)</f>
        <v>0</v>
      </c>
      <c r="AJ17" s="148">
        <f>SUM(data_1!AJ36:AJ46)</f>
        <v>336796735.94000006</v>
      </c>
      <c r="AK17" s="148">
        <f>SUM(data_1!AK36:AK46)</f>
        <v>303.00137999999998</v>
      </c>
      <c r="AL17" s="148">
        <f>SUM(data_1!AL36:AL46)</f>
        <v>1947516.82</v>
      </c>
      <c r="AM17" s="148">
        <f>SUM(data_1!AM36:AM46)</f>
        <v>0.03</v>
      </c>
      <c r="AN17" s="148">
        <f>SUM(data_1!AN36:AN46)</f>
        <v>774700111.68999994</v>
      </c>
      <c r="AO17" s="148">
        <f>SUM(data_1!AO36:AO46)</f>
        <v>0</v>
      </c>
      <c r="AP17" s="148">
        <f>SUM(data_1!AP36:AP46)</f>
        <v>776081500</v>
      </c>
      <c r="AQ17" s="148">
        <f>SUM(data_1!AQ36:AQ46)</f>
        <v>776081500</v>
      </c>
      <c r="AR17" s="148">
        <f>SUM(data_1!AR36:AR46)</f>
        <v>0</v>
      </c>
      <c r="AS17" s="148">
        <f>SUM(data_1!AS36:AS46)</f>
        <v>2491131901.6399999</v>
      </c>
      <c r="AT17" s="148">
        <f>SUM(data_1!AT36:AT46)</f>
        <v>1734538100</v>
      </c>
      <c r="AU17" s="148">
        <f>SUM(data_1!AU36:AU46)</f>
        <v>756593801.63999999</v>
      </c>
      <c r="AV17" s="148">
        <f>SUM(data_1!AV36:AV46)</f>
        <v>1732293452.6400001</v>
      </c>
      <c r="AW17" s="148">
        <f>SUM(data_1!AW36:AW46)</f>
        <v>22062420.100000001</v>
      </c>
      <c r="AX17" s="148">
        <f>SUM(data_1!AX36:AX46)</f>
        <v>0</v>
      </c>
      <c r="AY17" s="148">
        <f>SUM(data_1!AY36:AY46)</f>
        <v>2485099342.2400002</v>
      </c>
      <c r="AZ17" s="148">
        <f>SUM(data_1!AZ36:AZ46)</f>
        <v>1729639863.6400001</v>
      </c>
      <c r="BA17" s="148">
        <f>SUM(data_1!BA36:BA46)</f>
        <v>0</v>
      </c>
      <c r="BB17" s="148">
        <f>SUM(data_1!BB36:BB46)</f>
        <v>755459478.60000002</v>
      </c>
      <c r="BC17" s="148">
        <f>SUM(data_1!BC36:BC46)</f>
        <v>303.00006000000002</v>
      </c>
      <c r="BD17" s="148">
        <f>SUM(data_1!BD36:BD46)</f>
        <v>22062420.100000001</v>
      </c>
      <c r="BE17" s="148">
        <f>SUM(data_1!BE36:BE46)</f>
        <v>2653589</v>
      </c>
      <c r="BF17" s="148">
        <f>SUM(data_1!BF36:BF46)</f>
        <v>1732293452.6400001</v>
      </c>
      <c r="BG17" s="148">
        <f>SUM(data_1!BG36:BG46)</f>
        <v>0</v>
      </c>
      <c r="BH17" s="148">
        <f>SUM(data_1!BH36:BH46)</f>
        <v>1734538100</v>
      </c>
      <c r="BI17" s="148">
        <f>SUM(data_1!BI36:BI46)</f>
        <v>1734538100</v>
      </c>
      <c r="BJ17" s="148">
        <f>SUM(data_1!BJ36:BJ46)</f>
        <v>0</v>
      </c>
      <c r="BK17" s="148">
        <f>SUM(data_1!BK36:BK46)</f>
        <v>1905701306.45</v>
      </c>
      <c r="BL17" s="148">
        <f>SUM(data_1!BL36:BL46)</f>
        <v>1772416100</v>
      </c>
      <c r="BM17" s="148">
        <f>SUM(data_1!BM36:BM46)</f>
        <v>133285206.44999999</v>
      </c>
      <c r="BN17" s="148">
        <f>SUM(data_1!BN36:BN46)</f>
        <v>1772305984.1099999</v>
      </c>
      <c r="BO17" s="148">
        <f>SUM(data_1!BO36:BO46)</f>
        <v>674902.91</v>
      </c>
      <c r="BP17" s="148">
        <f>SUM(data_1!BP36:BP46)</f>
        <v>0</v>
      </c>
      <c r="BQ17" s="148">
        <f>SUM(data_1!BQ36:BQ46)</f>
        <v>1905569982.96</v>
      </c>
      <c r="BR17" s="148">
        <f>SUM(data_1!BR36:BR46)</f>
        <v>1772305984.1099999</v>
      </c>
      <c r="BS17" s="148">
        <f>SUM(data_1!BS36:BS46)</f>
        <v>0</v>
      </c>
      <c r="BT17" s="148">
        <f>SUM(data_1!BT36:BT46)</f>
        <v>133263998.84999999</v>
      </c>
      <c r="BU17" s="148">
        <f>SUM(data_1!BU36:BU46)</f>
        <v>100.62923000000001</v>
      </c>
      <c r="BV17" s="148">
        <f>SUM(data_1!BV36:BV46)</f>
        <v>674902.91</v>
      </c>
      <c r="BW17" s="148">
        <f>SUM(data_1!BW36:BW46)</f>
        <v>0</v>
      </c>
      <c r="BX17" s="148">
        <f>SUM(data_1!BX36:BX46)</f>
        <v>1772305984.1099999</v>
      </c>
      <c r="BY17" s="148">
        <f>SUM(data_1!BY36:BY46)</f>
        <v>0</v>
      </c>
      <c r="BZ17" s="148">
        <f>SUM(data_1!BZ36:BZ46)</f>
        <v>1772416100</v>
      </c>
      <c r="CA17" s="148">
        <f>SUM(data_1!CA36:CA46)</f>
        <v>1772416100</v>
      </c>
      <c r="CB17" s="148">
        <f>SUM(data_1!CB36:CB46)</f>
        <v>0</v>
      </c>
      <c r="CC17" s="148">
        <f>SUM(data_1!CC36:CC46)</f>
        <v>607506767.08000004</v>
      </c>
      <c r="CD17" s="148">
        <f>SUM(data_1!CD36:CD46)</f>
        <v>435471400</v>
      </c>
      <c r="CE17" s="148">
        <f>SUM(data_1!CE36:CE46)</f>
        <v>172035367.07999998</v>
      </c>
      <c r="CF17" s="148">
        <f>SUM(data_1!CF36:CF46)</f>
        <v>430562829.44</v>
      </c>
      <c r="CG17" s="148">
        <f>SUM(data_1!CG36:CG46)</f>
        <v>611870.32999999996</v>
      </c>
      <c r="CH17" s="148">
        <f>SUM(data_1!CH36:CH46)</f>
        <v>0</v>
      </c>
      <c r="CI17" s="148">
        <f>SUM(data_1!CI36:CI46)</f>
        <v>599963700.54999995</v>
      </c>
      <c r="CJ17" s="148">
        <f>SUM(data_1!CJ36:CJ46)</f>
        <v>430562829.44</v>
      </c>
      <c r="CK17" s="148">
        <f>SUM(data_1!CK36:CK46)</f>
        <v>0</v>
      </c>
      <c r="CL17" s="148">
        <f>SUM(data_1!CL36:CL46)</f>
        <v>169400871.10999998</v>
      </c>
      <c r="CM17" s="148">
        <f>SUM(data_1!CM36:CM46)</f>
        <v>226.78614999999999</v>
      </c>
      <c r="CN17" s="148">
        <f>SUM(data_1!CN36:CN46)</f>
        <v>611870.32999999996</v>
      </c>
      <c r="CO17" s="148">
        <f>SUM(data_1!CO36:CO46)</f>
        <v>0</v>
      </c>
      <c r="CP17" s="148">
        <f>SUM(data_1!CP36:CP46)</f>
        <v>430562829.44</v>
      </c>
      <c r="CQ17" s="148">
        <f>SUM(data_1!CQ36:CQ46)</f>
        <v>0</v>
      </c>
      <c r="CR17" s="148">
        <f>SUM(data_1!CR36:CR46)</f>
        <v>435471400</v>
      </c>
      <c r="CS17" s="148">
        <f>SUM(data_1!CS36:CS46)</f>
        <v>435471400</v>
      </c>
      <c r="CT17" s="148">
        <f>SUM(data_1!CT36:CT46)</f>
        <v>0</v>
      </c>
      <c r="CU17" s="148">
        <f>SUM(data_1!CU36:CU46)</f>
        <v>15948450</v>
      </c>
      <c r="CV17" s="148">
        <f>SUM(data_1!CV36:CV46)</f>
        <v>15470000</v>
      </c>
      <c r="CW17" s="148">
        <f>SUM(data_1!CW36:CW46)</f>
        <v>478450</v>
      </c>
      <c r="CX17" s="148">
        <f>SUM(data_1!CX36:CX46)</f>
        <v>15470000</v>
      </c>
      <c r="CY17" s="148">
        <f>SUM(data_1!CY36:CY46)</f>
        <v>0</v>
      </c>
      <c r="CZ17" s="148">
        <f>SUM(data_1!CZ36:CZ46)</f>
        <v>0</v>
      </c>
      <c r="DA17" s="148">
        <f>SUM(data_1!DA36:DA46)</f>
        <v>15948450</v>
      </c>
      <c r="DB17" s="148">
        <f>SUM(data_1!DB36:DB46)</f>
        <v>15470000</v>
      </c>
      <c r="DC17" s="148">
        <f>SUM(data_1!DC36:DC46)</f>
        <v>0</v>
      </c>
      <c r="DD17" s="148">
        <f>SUM(data_1!DD36:DD46)</f>
        <v>478450</v>
      </c>
      <c r="DE17" s="148">
        <f>SUM(data_1!DE36:DE46)</f>
        <v>2.9999799999999999</v>
      </c>
      <c r="DF17" s="148">
        <f>SUM(data_1!DF36:DF46)</f>
        <v>0</v>
      </c>
      <c r="DG17" s="148">
        <f>SUM(data_1!DG36:DG46)</f>
        <v>0</v>
      </c>
      <c r="DH17" s="148">
        <f>SUM(data_1!DH36:DH46)</f>
        <v>15470000</v>
      </c>
      <c r="DI17" s="148">
        <f>SUM(data_1!DI36:DI46)</f>
        <v>0</v>
      </c>
      <c r="DJ17" s="148">
        <f>SUM(data_1!DJ36:DJ46)</f>
        <v>15470000</v>
      </c>
      <c r="DK17" s="148">
        <f>SUM(data_1!DK36:DK46)</f>
        <v>15470000</v>
      </c>
      <c r="DL17" s="148">
        <f>SUM(data_1!DL36:DL46)</f>
        <v>0</v>
      </c>
      <c r="DM17" s="148">
        <f>SUM(data_1!DM36:DM46)</f>
        <v>57415337.780000001</v>
      </c>
      <c r="DN17" s="148">
        <f>SUM(data_1!DN36:DN46)</f>
        <v>43263500</v>
      </c>
      <c r="DO17" s="148">
        <f>SUM(data_1!DO36:DO46)</f>
        <v>14151837.780000001</v>
      </c>
      <c r="DP17" s="148">
        <f>SUM(data_1!DP36:DP46)</f>
        <v>43263467.950000003</v>
      </c>
      <c r="DQ17" s="148">
        <f>SUM(data_1!DQ36:DQ46)</f>
        <v>341256.74</v>
      </c>
      <c r="DR17" s="148">
        <f>SUM(data_1!DR36:DR46)</f>
        <v>0</v>
      </c>
      <c r="DS17" s="148">
        <f>SUM(data_1!DS36:DS46)</f>
        <v>57415299.32</v>
      </c>
      <c r="DT17" s="148">
        <f>SUM(data_1!DT36:DT46)</f>
        <v>43263467.950000003</v>
      </c>
      <c r="DU17" s="148">
        <f>SUM(data_1!DU36:DU46)</f>
        <v>0</v>
      </c>
      <c r="DV17" s="148">
        <f>SUM(data_1!DV36:DV46)</f>
        <v>14151831.370000001</v>
      </c>
      <c r="DW17" s="148">
        <f>SUM(data_1!DW36:DW46)</f>
        <v>76.666669999999996</v>
      </c>
      <c r="DX17" s="148">
        <f>SUM(data_1!DX36:DX46)</f>
        <v>341256.74</v>
      </c>
      <c r="DY17" s="148">
        <f>SUM(data_1!DY36:DY46)</f>
        <v>0</v>
      </c>
      <c r="DZ17" s="148">
        <f>SUM(data_1!DZ36:DZ46)</f>
        <v>43263467.950000003</v>
      </c>
      <c r="EA17" s="148">
        <f>SUM(data_1!EA36:EA46)</f>
        <v>0</v>
      </c>
      <c r="EB17" s="148">
        <f>SUM(data_1!EB36:EB46)</f>
        <v>43263500</v>
      </c>
      <c r="EC17" s="148">
        <f>SUM(data_1!EC36:EC46)</f>
        <v>43263500</v>
      </c>
      <c r="ED17" s="148">
        <f>SUM(data_1!ED36:ED46)</f>
        <v>0</v>
      </c>
      <c r="EE17" s="148">
        <f>SUM(data_1!EE36:EE46)</f>
        <v>305565406.04000002</v>
      </c>
      <c r="EF17" s="148">
        <f>SUM(data_1!EF36:EF46)</f>
        <v>289180500</v>
      </c>
      <c r="EG17" s="148">
        <f>SUM(data_1!EG36:EG46)</f>
        <v>16384906.040000001</v>
      </c>
      <c r="EH17" s="148">
        <f>SUM(data_1!EH36:EH46)</f>
        <v>286020802.40999997</v>
      </c>
      <c r="EI17" s="148">
        <f>SUM(data_1!EI36:EI46)</f>
        <v>0</v>
      </c>
      <c r="EJ17" s="148">
        <f>SUM(data_1!EJ36:EJ46)</f>
        <v>0</v>
      </c>
      <c r="EK17" s="148">
        <f>SUM(data_1!EK36:EK46)</f>
        <v>302341224.53000003</v>
      </c>
      <c r="EL17" s="148">
        <f>SUM(data_1!EL36:EL46)</f>
        <v>286020802.40999997</v>
      </c>
      <c r="EM17" s="148">
        <f>SUM(data_1!EM36:EM46)</f>
        <v>0</v>
      </c>
      <c r="EN17" s="148">
        <f>SUM(data_1!EN36:EN46)</f>
        <v>16320422.120000001</v>
      </c>
      <c r="EO17" s="148">
        <f>SUM(data_1!EO36:EO46)</f>
        <v>68.000689999999992</v>
      </c>
      <c r="EP17" s="148">
        <f>SUM(data_1!EP36:EP46)</f>
        <v>0</v>
      </c>
      <c r="EQ17" s="148">
        <f>SUM(data_1!EQ36:EQ46)</f>
        <v>0</v>
      </c>
      <c r="ER17" s="148">
        <f>SUM(data_1!ER36:ER46)</f>
        <v>286020802.40999997</v>
      </c>
      <c r="ES17" s="148">
        <f>SUM(data_1!ES36:ES46)</f>
        <v>0</v>
      </c>
      <c r="ET17" s="148">
        <f>SUM(data_1!ET36:ET46)</f>
        <v>289180500</v>
      </c>
      <c r="EU17" s="148">
        <f>SUM(data_1!EU36:EU46)</f>
        <v>289180500</v>
      </c>
      <c r="EV17" s="148">
        <f>SUM(data_1!EV36:EV46)</f>
        <v>0</v>
      </c>
      <c r="EW17" s="148">
        <f>SUM(data_1!EW36:EW46)</f>
        <v>465246509.96000004</v>
      </c>
      <c r="EX17" s="148">
        <f>SUM(data_1!EX36:EX46)</f>
        <v>249677900</v>
      </c>
      <c r="EY17" s="148">
        <f>SUM(data_1!EY36:EY46)</f>
        <v>215568609.95999998</v>
      </c>
      <c r="EZ17" s="148">
        <f>SUM(data_1!EZ36:EZ46)</f>
        <v>249322298.41</v>
      </c>
      <c r="FA17" s="148">
        <f>SUM(data_1!FA36:FA46)</f>
        <v>3748856.9900000007</v>
      </c>
      <c r="FB17" s="148">
        <f>SUM(data_1!FB36:FB46)</f>
        <v>0</v>
      </c>
      <c r="FC17" s="148">
        <f>SUM(data_1!FC36:FC46)</f>
        <v>464261333.41000003</v>
      </c>
      <c r="FD17" s="148">
        <f>SUM(data_1!FD36:FD46)</f>
        <v>249168337.12</v>
      </c>
      <c r="FE17" s="148">
        <f>SUM(data_1!FE36:FE46)</f>
        <v>0</v>
      </c>
      <c r="FF17" s="148">
        <f>SUM(data_1!FF36:FF46)</f>
        <v>215092996.28999999</v>
      </c>
      <c r="FG17" s="148">
        <f>SUM(data_1!FG36:FG46)</f>
        <v>364.92041999999998</v>
      </c>
      <c r="FH17" s="148">
        <f>SUM(data_1!FH36:FH46)</f>
        <v>3687520.2000000007</v>
      </c>
      <c r="FI17" s="148">
        <f>SUM(data_1!FI36:FI46)</f>
        <v>215298.08000000002</v>
      </c>
      <c r="FJ17" s="148">
        <f>SUM(data_1!FJ36:FJ46)</f>
        <v>249322298.41</v>
      </c>
      <c r="FK17" s="148">
        <f>SUM(data_1!FK36:FK46)</f>
        <v>0</v>
      </c>
      <c r="FL17" s="148">
        <f>SUM(data_1!FL36:FL46)</f>
        <v>249677900</v>
      </c>
      <c r="FM17" s="148">
        <f>SUM(data_1!FM36:FM46)</f>
        <v>249677900</v>
      </c>
      <c r="FN17" s="148">
        <f>SUM(data_1!FN36:FN46)</f>
        <v>0</v>
      </c>
      <c r="FO17" s="148">
        <f>SUM(data_1!FO36:FO46)</f>
        <v>0</v>
      </c>
      <c r="FP17" s="148">
        <f>SUM(data_1!FP36:FP46)</f>
        <v>0</v>
      </c>
      <c r="FQ17" s="148">
        <f>SUM(data_1!FQ36:FQ46)</f>
        <v>0</v>
      </c>
      <c r="FR17" s="148">
        <f>SUM(data_1!FR36:FR46)</f>
        <v>0</v>
      </c>
      <c r="FS17" s="148">
        <f>SUM(data_1!FS36:FS46)</f>
        <v>1494728.17</v>
      </c>
      <c r="FT17" s="148">
        <f>SUM(data_1!FT36:FT46)</f>
        <v>0</v>
      </c>
      <c r="FU17" s="148">
        <f>SUM(data_1!FU36:FU46)</f>
        <v>0</v>
      </c>
      <c r="FV17" s="148">
        <f>SUM(data_1!FV36:FV46)</f>
        <v>0</v>
      </c>
      <c r="FW17" s="148">
        <f>SUM(data_1!FW36:FW46)</f>
        <v>0</v>
      </c>
      <c r="FX17" s="148">
        <f>SUM(data_1!FX36:FX46)</f>
        <v>0</v>
      </c>
      <c r="FY17" s="148">
        <f>SUM(data_1!FY36:FY46)</f>
        <v>0</v>
      </c>
      <c r="FZ17" s="148">
        <f>SUM(data_1!FZ36:FZ46)</f>
        <v>1494728.17</v>
      </c>
      <c r="GA17" s="148">
        <f>SUM(data_1!GA36:GA46)</f>
        <v>0</v>
      </c>
      <c r="GB17" s="148">
        <f>SUM(data_1!GB36:GB46)</f>
        <v>0</v>
      </c>
      <c r="GC17" s="148">
        <f>SUM(data_1!GC36:GC46)</f>
        <v>0</v>
      </c>
      <c r="GD17" s="148">
        <f>SUM(data_1!GD36:GD46)</f>
        <v>0</v>
      </c>
      <c r="GE17" s="148">
        <f>SUM(data_1!GE36:GE46)</f>
        <v>0</v>
      </c>
      <c r="GF17" s="148">
        <f>SUM(data_1!GF36:GF46)</f>
        <v>0</v>
      </c>
      <c r="GG17" s="148">
        <f>SUM(data_1!GG36:GG46)</f>
        <v>196084515.94999999</v>
      </c>
      <c r="GH17" s="148">
        <f>SUM(data_1!GH36:GH46)</f>
        <v>118703300</v>
      </c>
      <c r="GI17" s="148">
        <f>SUM(data_1!GI36:GI46)</f>
        <v>77381215.950000003</v>
      </c>
      <c r="GJ17" s="148">
        <f>SUM(data_1!GJ36:GJ46)</f>
        <v>113660935.85000001</v>
      </c>
      <c r="GK17" s="148">
        <f>SUM(data_1!GK36:GK46)</f>
        <v>1710666.6</v>
      </c>
      <c r="GL17" s="148">
        <f>SUM(data_1!GL36:GL46)</f>
        <v>0</v>
      </c>
      <c r="GM17" s="148">
        <f>SUM(data_1!GM36:GM46)</f>
        <v>187990233.99000001</v>
      </c>
      <c r="GN17" s="148">
        <f>SUM(data_1!GN36:GN46)</f>
        <v>113657220.60000001</v>
      </c>
      <c r="GO17" s="148">
        <f>SUM(data_1!GO36:GO46)</f>
        <v>0</v>
      </c>
      <c r="GP17" s="148">
        <f>SUM(data_1!GP36:GP46)</f>
        <v>74333013.390000001</v>
      </c>
      <c r="GQ17" s="148">
        <f>SUM(data_1!GQ36:GQ46)</f>
        <v>127.96984</v>
      </c>
      <c r="GR17" s="148">
        <f>SUM(data_1!GR36:GR46)</f>
        <v>1710666.6</v>
      </c>
      <c r="GS17" s="148">
        <f>SUM(data_1!GS36:GS46)</f>
        <v>3715.25</v>
      </c>
      <c r="GT17" s="148">
        <f>SUM(data_1!GT36:GT46)</f>
        <v>113660935.85000001</v>
      </c>
      <c r="GU17" s="148">
        <f>SUM(data_1!GU36:GU46)</f>
        <v>0</v>
      </c>
      <c r="GV17" s="148">
        <f>SUM(data_1!GV36:GV46)</f>
        <v>118703300</v>
      </c>
      <c r="GW17" s="148">
        <f>SUM(data_1!GW36:GW46)</f>
        <v>118703300</v>
      </c>
      <c r="GX17" s="148">
        <f>SUM(data_1!GX36:GX46)</f>
        <v>0</v>
      </c>
      <c r="GY17" s="148">
        <f>SUM(data_1!GY36:GY46)</f>
        <v>0</v>
      </c>
      <c r="GZ17" s="148">
        <f>SUM(data_1!GZ36:GZ46)</f>
        <v>0</v>
      </c>
      <c r="HA17" s="148">
        <f>SUM(data_1!HA36:HA46)</f>
        <v>0</v>
      </c>
      <c r="HB17" s="148">
        <f>SUM(data_1!HB36:HB46)</f>
        <v>0</v>
      </c>
      <c r="HC17" s="148">
        <f>SUM(data_1!HC36:HC46)</f>
        <v>0</v>
      </c>
      <c r="HD17" s="148">
        <f>SUM(data_1!HD36:HD46)</f>
        <v>0</v>
      </c>
      <c r="HE17" s="148">
        <f>SUM(data_1!HE36:HE46)</f>
        <v>0</v>
      </c>
      <c r="HF17" s="148">
        <f>SUM(data_1!HF36:HF46)</f>
        <v>0</v>
      </c>
      <c r="HG17" s="148">
        <f>SUM(data_1!HG36:HG46)</f>
        <v>0</v>
      </c>
      <c r="HH17" s="148">
        <f>SUM(data_1!HH36:HH46)</f>
        <v>0</v>
      </c>
      <c r="HI17" s="148">
        <f>SUM(data_1!HI36:HI46)</f>
        <v>0</v>
      </c>
      <c r="HJ17" s="148">
        <f>SUM(data_1!HJ36:HJ46)</f>
        <v>0</v>
      </c>
      <c r="HK17" s="148">
        <f>SUM(data_1!HK36:HK46)</f>
        <v>0</v>
      </c>
      <c r="HL17" s="148">
        <f>SUM(data_1!HL36:HL46)</f>
        <v>0</v>
      </c>
      <c r="HM17" s="148">
        <f>SUM(data_1!HM36:HM46)</f>
        <v>0</v>
      </c>
      <c r="HN17" s="148">
        <f>SUM(data_1!HN36:HN46)</f>
        <v>0</v>
      </c>
      <c r="HO17" s="148">
        <f>SUM(data_1!HO36:HO46)</f>
        <v>0</v>
      </c>
      <c r="HP17" s="148">
        <f>SUM(data_1!HP36:HP46)</f>
        <v>0</v>
      </c>
      <c r="HQ17" s="148">
        <f>SUM(data_1!HQ36:HQ46)</f>
        <v>0</v>
      </c>
      <c r="HR17" s="148">
        <f>SUM(data_1!HR36:HR46)</f>
        <v>0</v>
      </c>
      <c r="HS17" s="148">
        <f>SUM(data_1!HS36:HS46)</f>
        <v>0</v>
      </c>
      <c r="HT17" s="148">
        <f>SUM(data_1!HT36:HT46)</f>
        <v>0</v>
      </c>
      <c r="HU17" s="148">
        <f>SUM(data_1!HU36:HU46)</f>
        <v>0</v>
      </c>
      <c r="HV17" s="148">
        <f>SUM(data_1!HV36:HV46)</f>
        <v>0</v>
      </c>
      <c r="HW17" s="148">
        <f>SUM(data_1!HW36:HW46)</f>
        <v>0</v>
      </c>
      <c r="HX17" s="148">
        <f>SUM(data_1!HX36:HX46)</f>
        <v>0</v>
      </c>
      <c r="HY17" s="148">
        <f>SUM(data_1!HY36:HY46)</f>
        <v>0</v>
      </c>
      <c r="HZ17" s="148">
        <f>SUM(data_1!HZ36:HZ46)</f>
        <v>0</v>
      </c>
      <c r="IA17" s="148">
        <f>SUM(data_1!IA36:IA46)</f>
        <v>0</v>
      </c>
      <c r="IB17" s="148">
        <f>SUM(data_1!IB36:IB46)</f>
        <v>0</v>
      </c>
      <c r="IC17" s="148">
        <f>SUM(data_1!IC36:IC46)</f>
        <v>0</v>
      </c>
      <c r="ID17" s="148">
        <f>SUM(data_1!ID36:ID46)</f>
        <v>0</v>
      </c>
      <c r="IE17" s="148">
        <f>SUM(data_1!IE36:IE46)</f>
        <v>0</v>
      </c>
      <c r="IF17" s="148">
        <f>SUM(data_1!IF36:IF46)</f>
        <v>0</v>
      </c>
      <c r="IG17" s="148">
        <f>SUM(data_1!IG36:IG46)</f>
        <v>0</v>
      </c>
      <c r="IH17" s="148">
        <f>SUM(data_1!IH36:IH46)</f>
        <v>0</v>
      </c>
      <c r="II17" s="148">
        <f>SUM(data_1!II36:II46)</f>
        <v>0</v>
      </c>
      <c r="IJ17" s="148">
        <f>SUM(data_1!IJ36:IJ46)</f>
        <v>0</v>
      </c>
      <c r="IK17" s="148">
        <f>SUM(data_1!IK36:IK46)</f>
        <v>0</v>
      </c>
      <c r="IL17" s="148">
        <f>SUM(data_1!IL36:IL46)</f>
        <v>0</v>
      </c>
      <c r="IM17" s="148">
        <f>SUM(data_1!IM36:IM46)</f>
        <v>0</v>
      </c>
      <c r="IN17" s="148">
        <f>SUM(data_1!IN36:IN46)</f>
        <v>0</v>
      </c>
      <c r="IO17" s="148">
        <f>SUM(data_1!IO36:IO46)</f>
        <v>0</v>
      </c>
      <c r="IP17" s="148">
        <f>SUM(data_1!IP36:IP46)</f>
        <v>0</v>
      </c>
      <c r="IQ17" s="148">
        <f>SUM(data_1!IQ36:IQ46)</f>
        <v>0</v>
      </c>
      <c r="IR17" s="148">
        <f>SUM(data_1!IR36:IR46)</f>
        <v>0</v>
      </c>
      <c r="IS17" s="148">
        <f>SUM(data_1!IS36:IS46)</f>
        <v>0</v>
      </c>
      <c r="IT17" s="148">
        <f>SUM(data_1!IT36:IT46)</f>
        <v>0</v>
      </c>
      <c r="IU17" s="148">
        <f>SUM(data_1!IU36:IU46)</f>
        <v>0</v>
      </c>
      <c r="IV17" s="148">
        <f>SUM(data_1!IV36:IV46)</f>
        <v>0</v>
      </c>
      <c r="IW17" s="148">
        <f>SUM(data_1!IW36:IW46)</f>
        <v>0</v>
      </c>
      <c r="IX17" s="148">
        <f>SUM(data_1!IX36:IX46)</f>
        <v>0</v>
      </c>
      <c r="IY17" s="148">
        <f>SUM(data_1!IY36:IY46)</f>
        <v>0</v>
      </c>
      <c r="IZ17" s="148">
        <f>SUM(data_1!IZ36:IZ46)</f>
        <v>0</v>
      </c>
      <c r="JA17" s="148">
        <f>SUM(data_1!JA36:JA46)</f>
        <v>10973633.300000001</v>
      </c>
      <c r="JB17" s="148">
        <f>SUM(data_1!JB36:JB46)</f>
        <v>6272200</v>
      </c>
      <c r="JC17" s="148">
        <f>SUM(data_1!JC36:JC46)</f>
        <v>4701433.3</v>
      </c>
      <c r="JD17" s="148">
        <f>SUM(data_1!JD36:JD46)</f>
        <v>6272200</v>
      </c>
      <c r="JE17" s="148">
        <f>SUM(data_1!JE36:JE46)</f>
        <v>0</v>
      </c>
      <c r="JF17" s="148">
        <f>SUM(data_1!JF36:JF46)</f>
        <v>0</v>
      </c>
      <c r="JG17" s="148">
        <f>SUM(data_1!JG36:JG46)</f>
        <v>10973633</v>
      </c>
      <c r="JH17" s="148">
        <f>SUM(data_1!JH36:JH46)</f>
        <v>6272200</v>
      </c>
      <c r="JI17" s="148">
        <f>SUM(data_1!JI36:JI46)</f>
        <v>0</v>
      </c>
      <c r="JJ17" s="148">
        <f>SUM(data_1!JJ36:JJ46)</f>
        <v>4701433</v>
      </c>
      <c r="JK17" s="148">
        <f>SUM(data_1!JK36:JK46)</f>
        <v>61.000519999999995</v>
      </c>
      <c r="JL17" s="148">
        <f>SUM(data_1!JL36:JL46)</f>
        <v>0</v>
      </c>
      <c r="JM17" s="148">
        <f>SUM(data_1!JM36:JM46)</f>
        <v>0</v>
      </c>
      <c r="JN17" s="148">
        <f>SUM(data_1!JN36:JN46)</f>
        <v>6272200</v>
      </c>
      <c r="JO17" s="148">
        <f>SUM(data_1!JO36:JO46)</f>
        <v>0</v>
      </c>
      <c r="JP17" s="148">
        <f>SUM(data_1!JP36:JP46)</f>
        <v>6272200</v>
      </c>
      <c r="JQ17" s="148">
        <f>SUM(data_1!JQ36:JQ46)</f>
        <v>6272200</v>
      </c>
      <c r="JR17" s="148">
        <f>SUM(data_1!JR36:JR46)</f>
        <v>0</v>
      </c>
      <c r="JS17" s="148">
        <f>SUM(data_1!JS36:JS46)</f>
        <v>0</v>
      </c>
      <c r="JT17" s="148">
        <f>SUM(data_1!JT36:JT46)</f>
        <v>0</v>
      </c>
      <c r="JU17" s="148">
        <f>SUM(data_1!JU36:JU46)</f>
        <v>0</v>
      </c>
      <c r="JV17" s="148">
        <f>SUM(data_1!JV36:JV46)</f>
        <v>0</v>
      </c>
      <c r="JW17" s="148">
        <f>SUM(data_1!JW36:JW46)</f>
        <v>382160</v>
      </c>
      <c r="JX17" s="148">
        <f>SUM(data_1!JX36:JX46)</f>
        <v>0</v>
      </c>
      <c r="JY17" s="148">
        <f>SUM(data_1!JY36:JY46)</f>
        <v>0</v>
      </c>
      <c r="JZ17" s="148">
        <f>SUM(data_1!JZ36:JZ46)</f>
        <v>0</v>
      </c>
      <c r="KA17" s="148">
        <f>SUM(data_1!KA36:KA46)</f>
        <v>0</v>
      </c>
      <c r="KB17" s="148">
        <f>SUM(data_1!KB36:KB46)</f>
        <v>0</v>
      </c>
      <c r="KC17" s="148">
        <f>SUM(data_1!KC36:KC46)</f>
        <v>0</v>
      </c>
      <c r="KD17" s="148">
        <f>SUM(data_1!KD36:KD46)</f>
        <v>382160</v>
      </c>
      <c r="KE17" s="148">
        <f>SUM(data_1!KE36:KE46)</f>
        <v>0</v>
      </c>
      <c r="KF17" s="148">
        <f>SUM(data_1!KF36:KF46)</f>
        <v>0</v>
      </c>
      <c r="KG17" s="148">
        <f>SUM(data_1!KG36:KG46)</f>
        <v>0</v>
      </c>
      <c r="KH17" s="148">
        <f>SUM(data_1!KH36:KH46)</f>
        <v>0</v>
      </c>
      <c r="KI17" s="148">
        <f>SUM(data_1!KI36:KI46)</f>
        <v>0</v>
      </c>
      <c r="KJ17" s="148">
        <f>SUM(data_1!KJ36:KJ46)</f>
        <v>0</v>
      </c>
      <c r="KK17" s="148">
        <f>SUM(data_1!KK36:KK46)</f>
        <v>22303343.27</v>
      </c>
      <c r="KL17" s="148">
        <f>SUM(data_1!KL36:KL46)</f>
        <v>9499400</v>
      </c>
      <c r="KM17" s="148">
        <f>SUM(data_1!KM36:KM46)</f>
        <v>12803943.27</v>
      </c>
      <c r="KN17" s="148">
        <f>SUM(data_1!KN36:KN46)</f>
        <v>9499400</v>
      </c>
      <c r="KO17" s="148">
        <f>SUM(data_1!KO36:KO46)</f>
        <v>0</v>
      </c>
      <c r="KP17" s="148">
        <f>SUM(data_1!KP36:KP46)</f>
        <v>0</v>
      </c>
      <c r="KQ17" s="148">
        <f>SUM(data_1!KQ36:KQ46)</f>
        <v>22303343.27</v>
      </c>
      <c r="KR17" s="148">
        <f>SUM(data_1!KR36:KR46)</f>
        <v>9499400</v>
      </c>
      <c r="KS17" s="148">
        <f>SUM(data_1!KS36:KS46)</f>
        <v>0</v>
      </c>
      <c r="KT17" s="148">
        <f>SUM(data_1!KT36:KT46)</f>
        <v>12803943.27</v>
      </c>
      <c r="KU17" s="148">
        <f>SUM(data_1!KU36:KU46)</f>
        <v>169.55171999999999</v>
      </c>
      <c r="KV17" s="148">
        <f>SUM(data_1!KV36:KV46)</f>
        <v>0</v>
      </c>
      <c r="KW17" s="148">
        <f>SUM(data_1!KW36:KW46)</f>
        <v>0</v>
      </c>
      <c r="KX17" s="148">
        <f>SUM(data_1!KX36:KX46)</f>
        <v>9499400</v>
      </c>
      <c r="KY17" s="148">
        <f>SUM(data_1!KY36:KY46)</f>
        <v>0</v>
      </c>
      <c r="KZ17" s="148">
        <f>SUM(data_1!KZ36:KZ46)</f>
        <v>9499400</v>
      </c>
      <c r="LA17" s="148">
        <f>SUM(data_1!LA36:LA46)</f>
        <v>9499400</v>
      </c>
      <c r="LB17" s="148">
        <f>SUM(data_1!LB36:LB46)</f>
        <v>0</v>
      </c>
      <c r="LC17" s="148">
        <f>SUM(data_1!LC36:LC46)</f>
        <v>0</v>
      </c>
      <c r="LD17" s="148">
        <f>SUM(data_1!LD36:LD46)</f>
        <v>0</v>
      </c>
      <c r="LE17" s="148">
        <f>SUM(data_1!LE36:LE46)</f>
        <v>0</v>
      </c>
      <c r="LF17" s="148">
        <f>SUM(data_1!LF36:LF46)</f>
        <v>0</v>
      </c>
      <c r="LG17" s="148">
        <f>SUM(data_1!LG36:LG46)</f>
        <v>0</v>
      </c>
      <c r="LH17" s="148">
        <f>SUM(data_1!LH36:LH46)</f>
        <v>0</v>
      </c>
      <c r="LI17" s="148">
        <f>SUM(data_1!LI36:LI46)</f>
        <v>0</v>
      </c>
      <c r="LJ17" s="148">
        <f>SUM(data_1!LJ36:LJ46)</f>
        <v>0</v>
      </c>
      <c r="LK17" s="148">
        <f>SUM(data_1!LK36:LK46)</f>
        <v>0</v>
      </c>
      <c r="LL17" s="148">
        <f>SUM(data_1!LL36:LL46)</f>
        <v>0</v>
      </c>
      <c r="LM17" s="148">
        <f>SUM(data_1!LM36:LM46)</f>
        <v>0</v>
      </c>
      <c r="LN17" s="148">
        <f>SUM(data_1!LN36:LN46)</f>
        <v>0</v>
      </c>
      <c r="LO17" s="148">
        <f>SUM(data_1!LO36:LO46)</f>
        <v>0</v>
      </c>
      <c r="LP17" s="148">
        <f>SUM(data_1!LP36:LP46)</f>
        <v>0</v>
      </c>
      <c r="LQ17" s="148">
        <f>SUM(data_1!LQ36:LQ46)</f>
        <v>0</v>
      </c>
      <c r="LR17" s="148">
        <f>SUM(data_1!LR36:LR46)</f>
        <v>0</v>
      </c>
      <c r="LS17" s="148">
        <f>SUM(data_1!LS36:LS46)</f>
        <v>0</v>
      </c>
      <c r="LT17" s="148">
        <f>SUM(data_1!LT36:LT46)</f>
        <v>0</v>
      </c>
      <c r="LU17" s="148">
        <f>SUM(data_1!LU36:LU46)</f>
        <v>25928880</v>
      </c>
      <c r="LV17" s="148">
        <f>SUM(data_1!LV36:LV46)</f>
        <v>16604900</v>
      </c>
      <c r="LW17" s="148">
        <f>SUM(data_1!LW36:LW46)</f>
        <v>9323980</v>
      </c>
      <c r="LX17" s="148">
        <f>SUM(data_1!LX36:LX46)</f>
        <v>16604215.58</v>
      </c>
      <c r="LY17" s="148">
        <f>SUM(data_1!LY36:LY46)</f>
        <v>1783980</v>
      </c>
      <c r="LZ17" s="148">
        <f>SUM(data_1!LZ36:LZ46)</f>
        <v>0</v>
      </c>
      <c r="MA17" s="148">
        <f>SUM(data_1!MA36:MA46)</f>
        <v>25927483.23</v>
      </c>
      <c r="MB17" s="148">
        <f>SUM(data_1!MB36:MB46)</f>
        <v>16604215.58</v>
      </c>
      <c r="MC17" s="148">
        <f>SUM(data_1!MC36:MC46)</f>
        <v>0</v>
      </c>
      <c r="MD17" s="148">
        <f>SUM(data_1!MD36:MD46)</f>
        <v>9323267.6500000004</v>
      </c>
      <c r="ME17" s="148">
        <f>SUM(data_1!ME36:ME46)</f>
        <v>81.000110000000006</v>
      </c>
      <c r="MF17" s="148">
        <f>SUM(data_1!MF36:MF46)</f>
        <v>1783980</v>
      </c>
      <c r="MG17" s="148">
        <f>SUM(data_1!MG36:MG46)</f>
        <v>0</v>
      </c>
      <c r="MH17" s="148">
        <f>SUM(data_1!MH36:MH46)</f>
        <v>16604215.58</v>
      </c>
      <c r="MI17" s="148">
        <f>SUM(data_1!MI36:MI46)</f>
        <v>0</v>
      </c>
      <c r="MJ17" s="148">
        <f>SUM(data_1!MJ36:MJ46)</f>
        <v>16604900</v>
      </c>
      <c r="MK17" s="148">
        <f>SUM(data_1!MK36:MK46)</f>
        <v>16604900</v>
      </c>
      <c r="ML17" s="148">
        <f>SUM(data_1!ML36:ML46)</f>
        <v>0</v>
      </c>
      <c r="MM17" s="148">
        <f>SUM(data_1!MM36:MM46)</f>
        <v>0</v>
      </c>
      <c r="MN17" s="148">
        <f>SUM(data_1!MN36:MN46)</f>
        <v>0</v>
      </c>
      <c r="MO17" s="148">
        <f>SUM(data_1!MO36:MO46)</f>
        <v>0</v>
      </c>
      <c r="MP17" s="148">
        <f>SUM(data_1!MP36:MP46)</f>
        <v>0</v>
      </c>
      <c r="MQ17" s="148">
        <f>SUM(data_1!MQ36:MQ46)</f>
        <v>0</v>
      </c>
      <c r="MR17" s="148">
        <f>SUM(data_1!MR36:MR46)</f>
        <v>0</v>
      </c>
      <c r="MS17" s="148">
        <f>SUM(data_1!MS36:MS46)</f>
        <v>0</v>
      </c>
      <c r="MT17" s="148">
        <f>SUM(data_1!MT36:MT46)</f>
        <v>0</v>
      </c>
      <c r="MU17" s="148">
        <f>SUM(data_1!MU36:MU46)</f>
        <v>0</v>
      </c>
      <c r="MV17" s="148">
        <f>SUM(data_1!MV36:MV46)</f>
        <v>0</v>
      </c>
      <c r="MW17" s="148">
        <f>SUM(data_1!MW36:MW46)</f>
        <v>0</v>
      </c>
      <c r="MX17" s="148">
        <f>SUM(data_1!MX36:MX46)</f>
        <v>0</v>
      </c>
      <c r="MY17" s="148">
        <f>SUM(data_1!MY36:MY46)</f>
        <v>0</v>
      </c>
      <c r="MZ17" s="148">
        <f>SUM(data_1!MZ36:MZ46)</f>
        <v>0</v>
      </c>
      <c r="NA17" s="148">
        <f>SUM(data_1!NA36:NA46)</f>
        <v>0</v>
      </c>
      <c r="NB17" s="148">
        <f>SUM(data_1!NB36:NB46)</f>
        <v>0</v>
      </c>
      <c r="NC17" s="148">
        <f>SUM(data_1!NC36:NC46)</f>
        <v>0</v>
      </c>
      <c r="ND17" s="148">
        <f>SUM(data_1!ND36:ND46)</f>
        <v>0</v>
      </c>
      <c r="NE17" s="148">
        <f>SUM(data_1!NE36:NE46)</f>
        <v>12088924.49</v>
      </c>
      <c r="NF17" s="148">
        <f>SUM(data_1!NF36:NF46)</f>
        <v>6389300</v>
      </c>
      <c r="NG17" s="148">
        <f>SUM(data_1!NG36:NG46)</f>
        <v>5699624.4900000002</v>
      </c>
      <c r="NH17" s="148">
        <f>SUM(data_1!NH36:NH46)</f>
        <v>6389300</v>
      </c>
      <c r="NI17" s="148">
        <f>SUM(data_1!NI36:NI46)</f>
        <v>0</v>
      </c>
      <c r="NJ17" s="148">
        <f>SUM(data_1!NJ36:NJ46)</f>
        <v>0</v>
      </c>
      <c r="NK17" s="148">
        <f>SUM(data_1!NK36:NK46)</f>
        <v>12088924.49</v>
      </c>
      <c r="NL17" s="148">
        <f>SUM(data_1!NL36:NL46)</f>
        <v>6389300</v>
      </c>
      <c r="NM17" s="148">
        <f>SUM(data_1!NM36:NM46)</f>
        <v>0</v>
      </c>
      <c r="NN17" s="148">
        <f>SUM(data_1!NN36:NN46)</f>
        <v>5699624.4900000002</v>
      </c>
      <c r="NO17" s="148">
        <f>SUM(data_1!NO36:NO46)</f>
        <v>213.06932</v>
      </c>
      <c r="NP17" s="148">
        <f>SUM(data_1!NP36:NP46)</f>
        <v>0</v>
      </c>
      <c r="NQ17" s="148">
        <f>SUM(data_1!NQ36:NQ46)</f>
        <v>0</v>
      </c>
      <c r="NR17" s="148">
        <f>SUM(data_1!NR36:NR46)</f>
        <v>6389300</v>
      </c>
      <c r="NS17" s="148">
        <f>SUM(data_1!NS36:NS46)</f>
        <v>0</v>
      </c>
      <c r="NT17" s="148">
        <f>SUM(data_1!NT36:NT46)</f>
        <v>6389300</v>
      </c>
      <c r="NU17" s="148">
        <f>SUM(data_1!NU36:NU46)</f>
        <v>6389300</v>
      </c>
      <c r="NV17" s="148">
        <f>SUM(data_1!NV36:NV46)</f>
        <v>0</v>
      </c>
      <c r="NW17" s="148">
        <f>SUM(data_1!NW36:NW46)</f>
        <v>0</v>
      </c>
      <c r="NX17" s="148">
        <f>SUM(data_1!NX36:NX46)</f>
        <v>0</v>
      </c>
      <c r="NY17" s="148">
        <f>SUM(data_1!NY36:NY46)</f>
        <v>0</v>
      </c>
      <c r="NZ17" s="148">
        <f>SUM(data_1!NZ36:NZ46)</f>
        <v>0</v>
      </c>
      <c r="OA17" s="148">
        <f>SUM(data_1!OA36:OA46)</f>
        <v>0</v>
      </c>
      <c r="OB17" s="148">
        <f>SUM(data_1!OB36:OB46)</f>
        <v>0</v>
      </c>
      <c r="OC17" s="148">
        <f>SUM(data_1!OC36:OC46)</f>
        <v>0</v>
      </c>
      <c r="OD17" s="148">
        <f>SUM(data_1!OD36:OD46)</f>
        <v>0</v>
      </c>
      <c r="OE17" s="148">
        <f>SUM(data_1!OE36:OE46)</f>
        <v>0</v>
      </c>
      <c r="OF17" s="148">
        <f>SUM(data_1!OF36:OF46)</f>
        <v>0</v>
      </c>
      <c r="OG17" s="148">
        <f>SUM(data_1!OG36:OG46)</f>
        <v>0</v>
      </c>
      <c r="OH17" s="148">
        <f>SUM(data_1!OH36:OH46)</f>
        <v>0</v>
      </c>
      <c r="OI17" s="148">
        <f>SUM(data_1!OI36:OI46)</f>
        <v>0</v>
      </c>
      <c r="OJ17" s="148">
        <f>SUM(data_1!OJ36:OJ46)</f>
        <v>0</v>
      </c>
      <c r="OK17" s="148">
        <f>SUM(data_1!OK36:OK46)</f>
        <v>0</v>
      </c>
      <c r="OL17" s="148">
        <f>SUM(data_1!OL36:OL46)</f>
        <v>0</v>
      </c>
      <c r="OM17" s="148">
        <f>SUM(data_1!OM36:OM46)</f>
        <v>0</v>
      </c>
      <c r="ON17" s="148">
        <f>SUM(data_1!ON36:ON46)</f>
        <v>0</v>
      </c>
      <c r="OO17" s="148">
        <f>SUM(data_1!OO36:OO46)</f>
        <v>0</v>
      </c>
      <c r="OP17" s="148">
        <f>SUM(data_1!OP36:OP46)</f>
        <v>0</v>
      </c>
      <c r="OQ17" s="148">
        <f>SUM(data_1!OQ36:OQ46)</f>
        <v>0</v>
      </c>
      <c r="OR17" s="148">
        <f>SUM(data_1!OR36:OR46)</f>
        <v>0</v>
      </c>
      <c r="OS17" s="148">
        <f>SUM(data_1!OS36:OS46)</f>
        <v>4164505.8499999996</v>
      </c>
      <c r="OT17" s="148">
        <f>SUM(data_1!OT36:OT46)</f>
        <v>0</v>
      </c>
      <c r="OU17" s="148">
        <f>SUM(data_1!OU36:OU46)</f>
        <v>0</v>
      </c>
      <c r="OV17" s="148">
        <f>SUM(data_1!OV36:OV46)</f>
        <v>0</v>
      </c>
      <c r="OW17" s="148">
        <f>SUM(data_1!OW36:OW46)</f>
        <v>0</v>
      </c>
      <c r="OX17" s="148">
        <f>SUM(data_1!OX36:OX46)</f>
        <v>0</v>
      </c>
      <c r="OY17" s="148">
        <f>SUM(data_1!OY36:OY46)</f>
        <v>0</v>
      </c>
      <c r="OZ17" s="148">
        <f>SUM(data_1!OZ36:OZ46)</f>
        <v>4164505.8499999996</v>
      </c>
      <c r="PA17" s="148">
        <f>SUM(data_1!PA36:PA46)</f>
        <v>0</v>
      </c>
      <c r="PB17" s="148">
        <f>SUM(data_1!PB36:PB46)</f>
        <v>0</v>
      </c>
      <c r="PC17" s="148">
        <f>SUM(data_1!PC36:PC46)</f>
        <v>0</v>
      </c>
      <c r="PD17" s="148">
        <f>SUM(data_1!PD36:PD46)</f>
        <v>0</v>
      </c>
      <c r="PE17" s="148">
        <f>SUM(data_1!PE36:PE46)</f>
        <v>0</v>
      </c>
      <c r="PF17" s="148">
        <f>SUM(data_1!PF36:PF46)</f>
        <v>0</v>
      </c>
      <c r="PG17" s="148">
        <f>SUM(data_1!PG36:PG46)</f>
        <v>0</v>
      </c>
      <c r="PH17" s="148">
        <f>SUM(data_1!PH36:PH46)</f>
        <v>0</v>
      </c>
      <c r="PI17" s="148">
        <f>SUM(data_1!PI36:PI46)</f>
        <v>0</v>
      </c>
      <c r="PJ17" s="148">
        <f>SUM(data_1!PJ36:PJ46)</f>
        <v>0</v>
      </c>
      <c r="PK17" s="148">
        <f>SUM(data_1!PK36:PK46)</f>
        <v>4666.47</v>
      </c>
      <c r="PL17" s="148">
        <f>SUM(data_1!PL36:PL46)</f>
        <v>0</v>
      </c>
      <c r="PM17" s="148">
        <f>SUM(data_1!PM36:PM46)</f>
        <v>0</v>
      </c>
      <c r="PN17" s="148">
        <f>SUM(data_1!PN36:PN46)</f>
        <v>0</v>
      </c>
      <c r="PO17" s="148">
        <f>SUM(data_1!PO36:PO46)</f>
        <v>0</v>
      </c>
      <c r="PP17" s="148">
        <f>SUM(data_1!PP36:PP46)</f>
        <v>0</v>
      </c>
      <c r="PQ17" s="148">
        <f>SUM(data_1!PQ36:PQ46)</f>
        <v>0</v>
      </c>
      <c r="PR17" s="148">
        <f>SUM(data_1!PR36:PR46)</f>
        <v>4666.47</v>
      </c>
      <c r="PS17" s="148">
        <f>SUM(data_1!PS36:PS46)</f>
        <v>0</v>
      </c>
      <c r="PT17" s="148">
        <f>SUM(data_1!PT36:PT46)</f>
        <v>0</v>
      </c>
      <c r="PU17" s="148">
        <f>SUM(data_1!PU36:PU46)</f>
        <v>0</v>
      </c>
      <c r="PV17" s="148">
        <f>SUM(data_1!PV36:PV46)</f>
        <v>0</v>
      </c>
      <c r="PW17" s="148">
        <f>SUM(data_1!PW36:PW46)</f>
        <v>0</v>
      </c>
      <c r="PX17" s="148">
        <f>SUM(data_1!PX36:PX46)</f>
        <v>0</v>
      </c>
      <c r="PY17" s="148">
        <f>SUM(data_1!PY36:PY46)</f>
        <v>0</v>
      </c>
      <c r="PZ17" s="148">
        <f>SUM(data_1!PZ36:PZ46)</f>
        <v>0</v>
      </c>
      <c r="QA17" s="148">
        <f>SUM(data_1!QA36:QA46)</f>
        <v>0</v>
      </c>
      <c r="QB17" s="148">
        <f>SUM(data_1!QB36:QB46)</f>
        <v>0</v>
      </c>
      <c r="QC17" s="148">
        <f>SUM(data_1!QC36:QC46)</f>
        <v>0</v>
      </c>
      <c r="QD17" s="148">
        <f>SUM(data_1!QD36:QD46)</f>
        <v>0</v>
      </c>
      <c r="QE17" s="148">
        <f>SUM(data_1!QE36:QE46)</f>
        <v>0</v>
      </c>
      <c r="QF17" s="148">
        <f>SUM(data_1!QF36:QF46)</f>
        <v>0</v>
      </c>
      <c r="QG17" s="148">
        <f>SUM(data_1!QG36:QG46)</f>
        <v>0</v>
      </c>
      <c r="QH17" s="148">
        <f>SUM(data_1!QH36:QH46)</f>
        <v>0</v>
      </c>
      <c r="QI17" s="148">
        <f>SUM(data_1!QI36:QI46)</f>
        <v>0</v>
      </c>
      <c r="QJ17" s="148">
        <f>SUM(data_1!QJ36:QJ46)</f>
        <v>0</v>
      </c>
      <c r="QK17" s="148">
        <f>SUM(data_1!QK36:QK46)</f>
        <v>0</v>
      </c>
      <c r="QL17" s="148">
        <f>SUM(data_1!QL36:QL46)</f>
        <v>0</v>
      </c>
      <c r="QM17" s="148">
        <f>SUM(data_1!QM36:QM46)</f>
        <v>0</v>
      </c>
      <c r="QN17" s="148">
        <f>SUM(data_1!QN36:QN46)</f>
        <v>0</v>
      </c>
      <c r="QO17" s="148">
        <f>SUM(data_1!QO36:QO46)</f>
        <v>0</v>
      </c>
      <c r="QP17" s="148">
        <f>SUM(data_1!QP36:QP46)</f>
        <v>0</v>
      </c>
      <c r="QQ17" s="148">
        <f>SUM(data_1!QQ36:QQ46)</f>
        <v>0</v>
      </c>
      <c r="QR17" s="148">
        <f>SUM(data_1!QR36:QR46)</f>
        <v>0</v>
      </c>
      <c r="QS17" s="148">
        <f>SUM(data_1!QS36:QS46)</f>
        <v>0</v>
      </c>
      <c r="QT17" s="148">
        <f>SUM(data_1!QT36:QT46)</f>
        <v>0</v>
      </c>
      <c r="QU17" s="148">
        <f>SUM(data_1!QU36:QU46)</f>
        <v>0</v>
      </c>
      <c r="QV17" s="148">
        <f>SUM(data_1!QV36:QV46)</f>
        <v>0</v>
      </c>
      <c r="QW17" s="148">
        <f>SUM(data_1!QW36:QW46)</f>
        <v>0</v>
      </c>
      <c r="QX17" s="148">
        <f>SUM(data_1!QX36:QX46)</f>
        <v>0</v>
      </c>
      <c r="QY17" s="148">
        <f>SUM(data_1!QY36:QY46)</f>
        <v>0</v>
      </c>
      <c r="QZ17" s="148">
        <f>SUM(data_1!QZ36:QZ46)</f>
        <v>0</v>
      </c>
      <c r="RA17" s="148">
        <f>SUM(data_1!RA36:RA46)</f>
        <v>0</v>
      </c>
      <c r="RB17" s="148">
        <f>SUM(data_1!RB36:RB46)</f>
        <v>0</v>
      </c>
      <c r="RC17" s="148">
        <f>SUM(data_1!RC36:RC46)</f>
        <v>0</v>
      </c>
      <c r="RD17" s="148">
        <f>SUM(data_1!RD36:RD46)</f>
        <v>0</v>
      </c>
      <c r="RE17" s="148">
        <f>SUM(data_1!RE36:RE46)</f>
        <v>0</v>
      </c>
      <c r="RF17" s="148">
        <f>SUM(data_1!RF36:RF46)</f>
        <v>0</v>
      </c>
      <c r="RG17" s="148">
        <f>SUM(data_1!RG36:RG46)</f>
        <v>0</v>
      </c>
      <c r="RH17" s="148">
        <f>SUM(data_1!RH36:RH46)</f>
        <v>0</v>
      </c>
      <c r="RI17" s="148">
        <f>SUM(data_1!RI36:RI46)</f>
        <v>0</v>
      </c>
      <c r="RJ17" s="148">
        <f>SUM(data_1!RJ36:RJ46)</f>
        <v>0</v>
      </c>
      <c r="RK17" s="148">
        <f>SUM(data_1!RK36:RK46)</f>
        <v>0</v>
      </c>
      <c r="RL17" s="148">
        <f>SUM(data_1!RL36:RL46)</f>
        <v>0</v>
      </c>
      <c r="RM17" s="148">
        <f>SUM(data_1!RM36:RM46)</f>
        <v>505546.91000000003</v>
      </c>
      <c r="RN17" s="148">
        <f>SUM(data_1!RN36:RN46)</f>
        <v>0</v>
      </c>
      <c r="RO17" s="148">
        <f>SUM(data_1!RO36:RO46)</f>
        <v>0</v>
      </c>
      <c r="RP17" s="148">
        <f>SUM(data_1!RP36:RP46)</f>
        <v>0</v>
      </c>
      <c r="RQ17" s="148">
        <f>SUM(data_1!RQ36:RQ46)</f>
        <v>0</v>
      </c>
      <c r="RR17" s="148">
        <f>SUM(data_1!RR36:RR46)</f>
        <v>0</v>
      </c>
      <c r="RS17" s="148">
        <f>SUM(data_1!RS36:RS46)</f>
        <v>0</v>
      </c>
      <c r="RT17" s="148">
        <f>SUM(data_1!RT36:RT46)</f>
        <v>505546.91000000003</v>
      </c>
      <c r="RU17" s="148">
        <f>SUM(data_1!RU36:RU46)</f>
        <v>0</v>
      </c>
      <c r="RV17" s="148">
        <f>SUM(data_1!RV36:RV46)</f>
        <v>0</v>
      </c>
      <c r="RW17" s="148">
        <f>SUM(data_1!RW36:RW46)</f>
        <v>0</v>
      </c>
      <c r="RX17" s="148">
        <f>SUM(data_1!RX36:RX46)</f>
        <v>0</v>
      </c>
      <c r="RY17" s="148">
        <f>SUM(data_1!RY36:RY46)</f>
        <v>0</v>
      </c>
      <c r="RZ17" s="148">
        <f>SUM(data_1!RZ36:RZ46)</f>
        <v>0</v>
      </c>
      <c r="SA17" s="148">
        <f>SUM(data_1!SA36:SA46)</f>
        <v>0</v>
      </c>
      <c r="SB17" s="148">
        <f>SUM(data_1!SB36:SB46)</f>
        <v>0</v>
      </c>
      <c r="SC17" s="148">
        <f>SUM(data_1!SC36:SC46)</f>
        <v>0</v>
      </c>
      <c r="SD17" s="148">
        <f>SUM(data_1!SD36:SD46)</f>
        <v>0</v>
      </c>
      <c r="SE17" s="148">
        <f>SUM(data_1!SE36:SE46)</f>
        <v>0</v>
      </c>
      <c r="SF17" s="148">
        <f>SUM(data_1!SF36:SF46)</f>
        <v>0</v>
      </c>
      <c r="SG17" s="148">
        <f>SUM(data_1!SG36:SG46)</f>
        <v>0</v>
      </c>
      <c r="SH17" s="148">
        <f>SUM(data_1!SH36:SH46)</f>
        <v>0</v>
      </c>
      <c r="SI17" s="148">
        <f>SUM(data_1!SI36:SI46)</f>
        <v>0</v>
      </c>
      <c r="SJ17" s="148">
        <f>SUM(data_1!SJ36:SJ46)</f>
        <v>0</v>
      </c>
      <c r="SK17" s="148">
        <f>SUM(data_1!SK36:SK46)</f>
        <v>0</v>
      </c>
      <c r="SL17" s="148">
        <f>SUM(data_1!SL36:SL46)</f>
        <v>0</v>
      </c>
      <c r="SM17" s="148">
        <f>SUM(data_1!SM36:SM46)</f>
        <v>0</v>
      </c>
      <c r="SN17" s="148">
        <f>SUM(data_1!SN36:SN46)</f>
        <v>0</v>
      </c>
      <c r="SO17" s="148">
        <f>SUM(data_1!SO36:SO46)</f>
        <v>0</v>
      </c>
      <c r="SP17" s="148">
        <f>SUM(data_1!SP36:SP46)</f>
        <v>0</v>
      </c>
      <c r="SQ17" s="148">
        <f>SUM(data_1!SQ36:SQ46)</f>
        <v>0</v>
      </c>
      <c r="SR17" s="148">
        <f>SUM(data_1!SR36:SR46)</f>
        <v>0</v>
      </c>
      <c r="SS17" s="148">
        <f>SUM(data_1!SS36:SS46)</f>
        <v>0</v>
      </c>
      <c r="ST17" s="148">
        <f>SUM(data_1!ST36:ST46)</f>
        <v>0</v>
      </c>
      <c r="SU17" s="148">
        <f>SUM(data_1!SU36:SU46)</f>
        <v>0</v>
      </c>
      <c r="SV17" s="148">
        <f>SUM(data_1!SV36:SV46)</f>
        <v>0</v>
      </c>
      <c r="SW17" s="148">
        <f>SUM(data_1!SW36:SW46)</f>
        <v>0</v>
      </c>
      <c r="SX17" s="148">
        <f>SUM(data_1!SX36:SX46)</f>
        <v>0</v>
      </c>
      <c r="SY17" s="148">
        <f>SUM(data_1!SY36:SY46)</f>
        <v>0</v>
      </c>
      <c r="SZ17" s="148">
        <f>SUM(data_1!SZ36:SZ46)</f>
        <v>0</v>
      </c>
      <c r="TA17" s="148">
        <f>SUM(data_1!TA36:TA46)</f>
        <v>0</v>
      </c>
      <c r="TB17" s="148">
        <f>SUM(data_1!TB36:TB46)</f>
        <v>0</v>
      </c>
      <c r="TC17" s="148">
        <f>SUM(data_1!TC36:TC46)</f>
        <v>0</v>
      </c>
      <c r="TD17" s="148">
        <f>SUM(data_1!TD36:TD46)</f>
        <v>0</v>
      </c>
      <c r="TE17" s="148">
        <f>SUM(data_1!TE36:TE46)</f>
        <v>0</v>
      </c>
      <c r="TF17" s="148">
        <f>SUM(data_1!TF36:TF46)</f>
        <v>0</v>
      </c>
      <c r="TG17" s="148">
        <f>SUM(data_1!TG36:TG46)</f>
        <v>0</v>
      </c>
      <c r="TH17" s="148">
        <f>SUM(data_1!TH36:TH46)</f>
        <v>0</v>
      </c>
      <c r="TI17" s="148">
        <f>SUM(data_1!TI36:TI46)</f>
        <v>0</v>
      </c>
      <c r="TJ17" s="148">
        <f>SUM(data_1!TJ36:TJ46)</f>
        <v>0</v>
      </c>
      <c r="TK17" s="148">
        <f>SUM(data_1!TK36:TK46)</f>
        <v>0</v>
      </c>
      <c r="TL17" s="148">
        <f>SUM(data_1!TL36:TL46)</f>
        <v>0</v>
      </c>
      <c r="TM17" s="148">
        <f>SUM(data_1!TM36:TM46)</f>
        <v>0</v>
      </c>
      <c r="TN17" s="148">
        <f>SUM(data_1!TN36:TN46)</f>
        <v>0</v>
      </c>
      <c r="TO17" s="148">
        <f>SUM(data_1!TO36:TO46)</f>
        <v>0</v>
      </c>
      <c r="TP17" s="148">
        <f>SUM(data_1!TP36:TP46)</f>
        <v>0</v>
      </c>
      <c r="TQ17" s="148">
        <f>SUM(data_1!TQ36:TQ46)</f>
        <v>0</v>
      </c>
      <c r="TR17" s="148">
        <f>SUM(data_1!TR36:TR46)</f>
        <v>0</v>
      </c>
      <c r="TS17" s="148">
        <f>SUM(data_1!TS36:TS46)</f>
        <v>0</v>
      </c>
      <c r="TT17" s="148">
        <f>SUM(data_1!TT36:TT46)</f>
        <v>0</v>
      </c>
      <c r="TU17" s="148">
        <f>SUM(data_1!TU36:TU46)</f>
        <v>0</v>
      </c>
      <c r="TV17" s="148">
        <f>SUM(data_1!TV36:TV46)</f>
        <v>0</v>
      </c>
      <c r="TW17" s="148">
        <f>SUM(data_1!TW36:TW46)</f>
        <v>0</v>
      </c>
      <c r="TX17" s="148">
        <f>SUM(data_1!TX36:TX46)</f>
        <v>0</v>
      </c>
      <c r="TY17" s="148">
        <f>SUM(data_1!TY36:TY46)</f>
        <v>0</v>
      </c>
      <c r="TZ17" s="148">
        <f>SUM(data_1!TZ36:TZ46)</f>
        <v>0</v>
      </c>
      <c r="UA17" s="148">
        <f>SUM(data_1!UA36:UA46)</f>
        <v>0</v>
      </c>
      <c r="UB17" s="148">
        <f>SUM(data_1!UB36:UB46)</f>
        <v>0</v>
      </c>
      <c r="UC17" s="148">
        <f>SUM(data_1!UC36:UC46)</f>
        <v>0</v>
      </c>
      <c r="UD17" s="148">
        <f>SUM(data_1!UD36:UD46)</f>
        <v>0</v>
      </c>
      <c r="UE17" s="148">
        <f>SUM(data_1!UE36:UE46)</f>
        <v>0</v>
      </c>
      <c r="UF17" s="148">
        <f>SUM(data_1!UF36:UF46)</f>
        <v>0</v>
      </c>
      <c r="UG17" s="148">
        <f>SUM(data_1!UG36:UG46)</f>
        <v>0</v>
      </c>
      <c r="UH17" s="148">
        <f>SUM(data_1!UH36:UH46)</f>
        <v>0</v>
      </c>
      <c r="UI17" s="148">
        <f>SUM(data_1!UI36:UI46)</f>
        <v>0</v>
      </c>
      <c r="UJ17" s="148">
        <f>SUM(data_1!UJ36:UJ46)</f>
        <v>0</v>
      </c>
      <c r="UK17" s="148">
        <f>SUM(data_1!UK36:UK46)</f>
        <v>0</v>
      </c>
      <c r="UL17" s="148">
        <f>SUM(data_1!UL36:UL46)</f>
        <v>0</v>
      </c>
      <c r="UM17" s="148">
        <f>SUM(data_1!UM36:UM46)</f>
        <v>0</v>
      </c>
      <c r="UN17" s="148">
        <f>SUM(data_1!UN36:UN46)</f>
        <v>0</v>
      </c>
      <c r="UO17" s="148">
        <f>SUM(data_1!UO36:UO46)</f>
        <v>0</v>
      </c>
      <c r="UP17" s="148">
        <f>SUM(data_1!UP36:UP46)</f>
        <v>0</v>
      </c>
      <c r="UQ17" s="148">
        <f>SUM(data_1!UQ36:UQ46)</f>
        <v>0</v>
      </c>
      <c r="UR17" s="148">
        <f>SUM(data_1!UR36:UR46)</f>
        <v>0</v>
      </c>
      <c r="US17" s="148">
        <f>SUM(data_1!US36:US46)</f>
        <v>0</v>
      </c>
    </row>
    <row r="18" spans="1:565" x14ac:dyDescent="0.3">
      <c r="A18" s="139" t="s">
        <v>94</v>
      </c>
      <c r="B18" s="138">
        <v>33</v>
      </c>
      <c r="C18" s="140" t="s">
        <v>95</v>
      </c>
      <c r="F18" s="148">
        <f>SUM(data_1!F48:F55)</f>
        <v>14346620400</v>
      </c>
      <c r="G18" s="148">
        <f>SUM(data_1!G48:G55)</f>
        <v>0</v>
      </c>
      <c r="H18" s="148">
        <f>SUM(data_1!H48:H55)</f>
        <v>0</v>
      </c>
      <c r="I18" s="148">
        <f>SUM(data_1!I48:I55)</f>
        <v>1668002506.0799999</v>
      </c>
      <c r="J18" s="148">
        <f>SUM(data_1!J48:J55)</f>
        <v>1411037600</v>
      </c>
      <c r="K18" s="148">
        <f>SUM(data_1!K48:K55)</f>
        <v>256964906.07999998</v>
      </c>
      <c r="L18" s="148">
        <f>SUM(data_1!L48:L55)</f>
        <v>1409280075.9000001</v>
      </c>
      <c r="M18" s="148">
        <f>SUM(data_1!M48:M55)</f>
        <v>30231434.490000002</v>
      </c>
      <c r="N18" s="148">
        <f>SUM(data_1!N48:N55)</f>
        <v>0</v>
      </c>
      <c r="O18" s="148">
        <f>SUM(data_1!O48:O55)</f>
        <v>1665931559.54</v>
      </c>
      <c r="P18" s="148">
        <f>SUM(data_1!P48:P55)</f>
        <v>1409280075.9000001</v>
      </c>
      <c r="Q18" s="148">
        <f>SUM(data_1!Q48:Q55)</f>
        <v>0</v>
      </c>
      <c r="R18" s="148">
        <f>SUM(data_1!R48:R55)</f>
        <v>256651483.63999999</v>
      </c>
      <c r="S18" s="148">
        <f>SUM(data_1!S48:S55)</f>
        <v>95.000050000000016</v>
      </c>
      <c r="T18" s="148">
        <f>SUM(data_1!T48:T55)</f>
        <v>30231434.490000002</v>
      </c>
      <c r="U18" s="148">
        <f>SUM(data_1!U48:U55)</f>
        <v>0</v>
      </c>
      <c r="V18" s="148">
        <f>SUM(data_1!V48:V55)</f>
        <v>1409280075.9000001</v>
      </c>
      <c r="W18" s="148">
        <f>SUM(data_1!W48:W55)</f>
        <v>0</v>
      </c>
      <c r="X18" s="148">
        <f>SUM(data_1!X48:X55)</f>
        <v>1411037600</v>
      </c>
      <c r="Y18" s="148">
        <f>SUM(data_1!Y48:Y55)</f>
        <v>1411037600</v>
      </c>
      <c r="Z18" s="148">
        <f>SUM(data_1!Z48:Z55)</f>
        <v>0</v>
      </c>
      <c r="AA18" s="148">
        <f>SUM(data_1!AA48:AA55)</f>
        <v>738234305.11000001</v>
      </c>
      <c r="AB18" s="148">
        <f>SUM(data_1!AB48:AB55)</f>
        <v>583107300</v>
      </c>
      <c r="AC18" s="148">
        <f>SUM(data_1!AC48:AC55)</f>
        <v>155127005.11000001</v>
      </c>
      <c r="AD18" s="148">
        <f>SUM(data_1!AD48:AD55)</f>
        <v>583107300</v>
      </c>
      <c r="AE18" s="148">
        <f>SUM(data_1!AE48:AE55)</f>
        <v>2751471.42</v>
      </c>
      <c r="AF18" s="148">
        <f>SUM(data_1!AF48:AF55)</f>
        <v>0</v>
      </c>
      <c r="AG18" s="148">
        <f>SUM(data_1!AG48:AG55)</f>
        <v>738234305.09000003</v>
      </c>
      <c r="AH18" s="148">
        <f>SUM(data_1!AH48:AH55)</f>
        <v>583107299.98000002</v>
      </c>
      <c r="AI18" s="148">
        <f>SUM(data_1!AI48:AI55)</f>
        <v>0</v>
      </c>
      <c r="AJ18" s="148">
        <f>SUM(data_1!AJ48:AJ55)</f>
        <v>155127005.11000001</v>
      </c>
      <c r="AK18" s="148">
        <f>SUM(data_1!AK48:AK55)</f>
        <v>84.000129999999984</v>
      </c>
      <c r="AL18" s="148">
        <f>SUM(data_1!AL48:AL55)</f>
        <v>2751471.42</v>
      </c>
      <c r="AM18" s="148">
        <f>SUM(data_1!AM48:AM55)</f>
        <v>0.02</v>
      </c>
      <c r="AN18" s="148">
        <f>SUM(data_1!AN48:AN55)</f>
        <v>583107300</v>
      </c>
      <c r="AO18" s="148">
        <f>SUM(data_1!AO48:AO55)</f>
        <v>0</v>
      </c>
      <c r="AP18" s="148">
        <f>SUM(data_1!AP48:AP55)</f>
        <v>583107300</v>
      </c>
      <c r="AQ18" s="148">
        <f>SUM(data_1!AQ48:AQ55)</f>
        <v>583107300</v>
      </c>
      <c r="AR18" s="148">
        <f>SUM(data_1!AR48:AR55)</f>
        <v>0</v>
      </c>
      <c r="AS18" s="148">
        <f>SUM(data_1!AS48:AS55)</f>
        <v>9086412698.9300003</v>
      </c>
      <c r="AT18" s="148">
        <f>SUM(data_1!AT48:AT55)</f>
        <v>7770702700</v>
      </c>
      <c r="AU18" s="148">
        <f>SUM(data_1!AU48:AU55)</f>
        <v>1315709998.9299998</v>
      </c>
      <c r="AV18" s="148">
        <f>SUM(data_1!AV48:AV55)</f>
        <v>7690481551.5199995</v>
      </c>
      <c r="AW18" s="148">
        <f>SUM(data_1!AW48:AW55)</f>
        <v>136745792.05000001</v>
      </c>
      <c r="AX18" s="148">
        <f>SUM(data_1!AX48:AX55)</f>
        <v>0</v>
      </c>
      <c r="AY18" s="148">
        <f>SUM(data_1!AY48:AY55)</f>
        <v>8993559836.9499989</v>
      </c>
      <c r="AZ18" s="148">
        <f>SUM(data_1!AZ48:AZ55)</f>
        <v>7690472140.2699995</v>
      </c>
      <c r="BA18" s="148">
        <f>SUM(data_1!BA48:BA55)</f>
        <v>0</v>
      </c>
      <c r="BB18" s="148">
        <f>SUM(data_1!BB48:BB55)</f>
        <v>1303087696.6799998</v>
      </c>
      <c r="BC18" s="148">
        <f>SUM(data_1!BC48:BC55)</f>
        <v>95</v>
      </c>
      <c r="BD18" s="148">
        <f>SUM(data_1!BD48:BD55)</f>
        <v>135906487.23999998</v>
      </c>
      <c r="BE18" s="148">
        <f>SUM(data_1!BE48:BE55)</f>
        <v>848716.06</v>
      </c>
      <c r="BF18" s="148">
        <f>SUM(data_1!BF48:BF55)</f>
        <v>7690481551.5199995</v>
      </c>
      <c r="BG18" s="148">
        <f>SUM(data_1!BG48:BG55)</f>
        <v>0</v>
      </c>
      <c r="BH18" s="148">
        <f>SUM(data_1!BH48:BH55)</f>
        <v>7770702700</v>
      </c>
      <c r="BI18" s="148">
        <f>SUM(data_1!BI48:BI55)</f>
        <v>7770702700</v>
      </c>
      <c r="BJ18" s="148">
        <f>SUM(data_1!BJ48:BJ55)</f>
        <v>0</v>
      </c>
      <c r="BK18" s="148">
        <f>SUM(data_1!BK48:BK55)</f>
        <v>759662152.70000005</v>
      </c>
      <c r="BL18" s="148">
        <f>SUM(data_1!BL48:BL55)</f>
        <v>658982800</v>
      </c>
      <c r="BM18" s="148">
        <f>SUM(data_1!BM48:BM55)</f>
        <v>100679352.7</v>
      </c>
      <c r="BN18" s="148">
        <f>SUM(data_1!BN48:BN55)</f>
        <v>658934603.65999997</v>
      </c>
      <c r="BO18" s="148">
        <f>SUM(data_1!BO48:BO55)</f>
        <v>1818003.82</v>
      </c>
      <c r="BP18" s="148">
        <f>SUM(data_1!BP48:BP55)</f>
        <v>0</v>
      </c>
      <c r="BQ18" s="148">
        <f>SUM(data_1!BQ48:BQ55)</f>
        <v>759589922.38999999</v>
      </c>
      <c r="BR18" s="148">
        <f>SUM(data_1!BR48:BR55)</f>
        <v>658934603.65999997</v>
      </c>
      <c r="BS18" s="148">
        <f>SUM(data_1!BS48:BS55)</f>
        <v>0</v>
      </c>
      <c r="BT18" s="148">
        <f>SUM(data_1!BT48:BT55)</f>
        <v>100655318.73</v>
      </c>
      <c r="BU18" s="148">
        <f>SUM(data_1!BU48:BU55)</f>
        <v>87.364239999999995</v>
      </c>
      <c r="BV18" s="148">
        <f>SUM(data_1!BV48:BV55)</f>
        <v>1818003.82</v>
      </c>
      <c r="BW18" s="148">
        <f>SUM(data_1!BW48:BW55)</f>
        <v>0</v>
      </c>
      <c r="BX18" s="148">
        <f>SUM(data_1!BX48:BX55)</f>
        <v>658934603.65999997</v>
      </c>
      <c r="BY18" s="148">
        <f>SUM(data_1!BY48:BY55)</f>
        <v>0</v>
      </c>
      <c r="BZ18" s="148">
        <f>SUM(data_1!BZ48:BZ55)</f>
        <v>658982800</v>
      </c>
      <c r="CA18" s="148">
        <f>SUM(data_1!CA48:CA55)</f>
        <v>658982800</v>
      </c>
      <c r="CB18" s="148">
        <f>SUM(data_1!CB48:CB55)</f>
        <v>0</v>
      </c>
      <c r="CC18" s="148">
        <f>SUM(data_1!CC48:CC55)</f>
        <v>1663776135</v>
      </c>
      <c r="CD18" s="148">
        <f>SUM(data_1!CD48:CD55)</f>
        <v>1451642300</v>
      </c>
      <c r="CE18" s="148">
        <f>SUM(data_1!CE48:CE55)</f>
        <v>212133834.99999997</v>
      </c>
      <c r="CF18" s="148">
        <f>SUM(data_1!CF48:CF55)</f>
        <v>1412856630.02</v>
      </c>
      <c r="CG18" s="148">
        <f>SUM(data_1!CG48:CG55)</f>
        <v>1889608.4</v>
      </c>
      <c r="CH18" s="148">
        <f>SUM(data_1!CH48:CH55)</f>
        <v>0</v>
      </c>
      <c r="CI18" s="148">
        <f>SUM(data_1!CI48:CI55)</f>
        <v>1616537576.0400002</v>
      </c>
      <c r="CJ18" s="148">
        <f>SUM(data_1!CJ48:CJ55)</f>
        <v>1412856630.02</v>
      </c>
      <c r="CK18" s="148">
        <f>SUM(data_1!CK48:CK55)</f>
        <v>0</v>
      </c>
      <c r="CL18" s="148">
        <f>SUM(data_1!CL48:CL55)</f>
        <v>203680946.02000001</v>
      </c>
      <c r="CM18" s="148">
        <f>SUM(data_1!CM48:CM55)</f>
        <v>95.000029999999995</v>
      </c>
      <c r="CN18" s="148">
        <f>SUM(data_1!CN48:CN55)</f>
        <v>1889608.4</v>
      </c>
      <c r="CO18" s="148">
        <f>SUM(data_1!CO48:CO55)</f>
        <v>0</v>
      </c>
      <c r="CP18" s="148">
        <f>SUM(data_1!CP48:CP55)</f>
        <v>1412856630.02</v>
      </c>
      <c r="CQ18" s="148">
        <f>SUM(data_1!CQ48:CQ55)</f>
        <v>0</v>
      </c>
      <c r="CR18" s="148">
        <f>SUM(data_1!CR48:CR55)</f>
        <v>1451642300</v>
      </c>
      <c r="CS18" s="148">
        <f>SUM(data_1!CS48:CS55)</f>
        <v>1451642300</v>
      </c>
      <c r="CT18" s="148">
        <f>SUM(data_1!CT48:CT55)</f>
        <v>0</v>
      </c>
      <c r="CU18" s="148">
        <f>SUM(data_1!CU48:CU55)</f>
        <v>865255510.87</v>
      </c>
      <c r="CV18" s="148">
        <f>SUM(data_1!CV48:CV55)</f>
        <v>840684000</v>
      </c>
      <c r="CW18" s="148">
        <f>SUM(data_1!CW48:CW55)</f>
        <v>24571510.869999997</v>
      </c>
      <c r="CX18" s="148">
        <f>SUM(data_1!CX48:CX55)</f>
        <v>839884365.71000004</v>
      </c>
      <c r="CY18" s="148">
        <f>SUM(data_1!CY48:CY55)</f>
        <v>0</v>
      </c>
      <c r="CZ18" s="148">
        <f>SUM(data_1!CZ48:CZ55)</f>
        <v>0</v>
      </c>
      <c r="DA18" s="148">
        <f>SUM(data_1!DA48:DA55)</f>
        <v>864422558.46000004</v>
      </c>
      <c r="DB18" s="148">
        <f>SUM(data_1!DB48:DB55)</f>
        <v>839884365.71000004</v>
      </c>
      <c r="DC18" s="148">
        <f>SUM(data_1!DC48:DC55)</f>
        <v>0</v>
      </c>
      <c r="DD18" s="148">
        <f>SUM(data_1!DD48:DD55)</f>
        <v>24538192.75</v>
      </c>
      <c r="DE18" s="148">
        <f>SUM(data_1!DE48:DE55)</f>
        <v>14</v>
      </c>
      <c r="DF18" s="148">
        <f>SUM(data_1!DF48:DF55)</f>
        <v>0</v>
      </c>
      <c r="DG18" s="148">
        <f>SUM(data_1!DG48:DG55)</f>
        <v>0</v>
      </c>
      <c r="DH18" s="148">
        <f>SUM(data_1!DH48:DH55)</f>
        <v>839884365.71000004</v>
      </c>
      <c r="DI18" s="148">
        <f>SUM(data_1!DI48:DI55)</f>
        <v>0</v>
      </c>
      <c r="DJ18" s="148">
        <f>SUM(data_1!DJ48:DJ55)</f>
        <v>840684000</v>
      </c>
      <c r="DK18" s="148">
        <f>SUM(data_1!DK48:DK55)</f>
        <v>840684000</v>
      </c>
      <c r="DL18" s="148">
        <f>SUM(data_1!DL48:DL55)</f>
        <v>0</v>
      </c>
      <c r="DM18" s="148">
        <f>SUM(data_1!DM48:DM55)</f>
        <v>153129032.46000001</v>
      </c>
      <c r="DN18" s="148">
        <f>SUM(data_1!DN48:DN55)</f>
        <v>152469600</v>
      </c>
      <c r="DO18" s="148">
        <f>SUM(data_1!DO48:DO55)</f>
        <v>659432.46</v>
      </c>
      <c r="DP18" s="148">
        <f>SUM(data_1!DP48:DP55)</f>
        <v>152469504.50999999</v>
      </c>
      <c r="DQ18" s="148">
        <f>SUM(data_1!DQ48:DQ55)</f>
        <v>0</v>
      </c>
      <c r="DR18" s="148">
        <f>SUM(data_1!DR48:DR55)</f>
        <v>0</v>
      </c>
      <c r="DS18" s="148">
        <f>SUM(data_1!DS48:DS55)</f>
        <v>153128936.91</v>
      </c>
      <c r="DT18" s="148">
        <f>SUM(data_1!DT48:DT55)</f>
        <v>152469504.50999999</v>
      </c>
      <c r="DU18" s="148">
        <f>SUM(data_1!DU48:DU55)</f>
        <v>0</v>
      </c>
      <c r="DV18" s="148">
        <f>SUM(data_1!DV48:DV55)</f>
        <v>659432.4</v>
      </c>
      <c r="DW18" s="148">
        <f>SUM(data_1!DW48:DW55)</f>
        <v>5.0599600000000002</v>
      </c>
      <c r="DX18" s="148">
        <f>SUM(data_1!DX48:DX55)</f>
        <v>0</v>
      </c>
      <c r="DY18" s="148">
        <f>SUM(data_1!DY48:DY55)</f>
        <v>0</v>
      </c>
      <c r="DZ18" s="148">
        <f>SUM(data_1!DZ48:DZ55)</f>
        <v>152469504.50999999</v>
      </c>
      <c r="EA18" s="148">
        <f>SUM(data_1!EA48:EA55)</f>
        <v>0</v>
      </c>
      <c r="EB18" s="148">
        <f>SUM(data_1!EB48:EB55)</f>
        <v>152469600</v>
      </c>
      <c r="EC18" s="148">
        <f>SUM(data_1!EC48:EC55)</f>
        <v>152469600</v>
      </c>
      <c r="ED18" s="148">
        <f>SUM(data_1!ED48:ED55)</f>
        <v>0</v>
      </c>
      <c r="EE18" s="148">
        <f>SUM(data_1!EE48:EE55)</f>
        <v>620627072.72000003</v>
      </c>
      <c r="EF18" s="148">
        <f>SUM(data_1!EF48:EF55)</f>
        <v>605475700</v>
      </c>
      <c r="EG18" s="148">
        <f>SUM(data_1!EG48:EG55)</f>
        <v>15151372.719999999</v>
      </c>
      <c r="EH18" s="148">
        <f>SUM(data_1!EH48:EH55)</f>
        <v>591951114.43000007</v>
      </c>
      <c r="EI18" s="148">
        <f>SUM(data_1!EI48:EI55)</f>
        <v>0</v>
      </c>
      <c r="EJ18" s="148">
        <f>SUM(data_1!EJ48:EJ55)</f>
        <v>0</v>
      </c>
      <c r="EK18" s="148">
        <f>SUM(data_1!EK48:EK55)</f>
        <v>606550945.36000001</v>
      </c>
      <c r="EL18" s="148">
        <f>SUM(data_1!EL48:EL55)</f>
        <v>591951114.43000007</v>
      </c>
      <c r="EM18" s="148">
        <f>SUM(data_1!EM48:EM55)</f>
        <v>0</v>
      </c>
      <c r="EN18" s="148">
        <f>SUM(data_1!EN48:EN55)</f>
        <v>14599830.93</v>
      </c>
      <c r="EO18" s="148">
        <f>SUM(data_1!EO48:EO55)</f>
        <v>16.000120000000003</v>
      </c>
      <c r="EP18" s="148">
        <f>SUM(data_1!EP48:EP55)</f>
        <v>0</v>
      </c>
      <c r="EQ18" s="148">
        <f>SUM(data_1!EQ48:EQ55)</f>
        <v>0</v>
      </c>
      <c r="ER18" s="148">
        <f>SUM(data_1!ER48:ER55)</f>
        <v>591951114.43000007</v>
      </c>
      <c r="ES18" s="148">
        <f>SUM(data_1!ES48:ES55)</f>
        <v>0</v>
      </c>
      <c r="ET18" s="148">
        <f>SUM(data_1!ET48:ET55)</f>
        <v>605475700</v>
      </c>
      <c r="EU18" s="148">
        <f>SUM(data_1!EU48:EU55)</f>
        <v>605475700</v>
      </c>
      <c r="EV18" s="148">
        <f>SUM(data_1!EV48:EV55)</f>
        <v>0</v>
      </c>
      <c r="EW18" s="148">
        <f>SUM(data_1!EW48:EW55)</f>
        <v>725982635.34000003</v>
      </c>
      <c r="EX18" s="148">
        <f>SUM(data_1!EX48:EX55)</f>
        <v>601223000</v>
      </c>
      <c r="EY18" s="148">
        <f>SUM(data_1!EY48:EY55)</f>
        <v>124759635.34</v>
      </c>
      <c r="EZ18" s="148">
        <f>SUM(data_1!EZ48:EZ55)</f>
        <v>600286108.61000001</v>
      </c>
      <c r="FA18" s="148">
        <f>SUM(data_1!FA48:FA55)</f>
        <v>14383935.960000001</v>
      </c>
      <c r="FB18" s="148">
        <f>SUM(data_1!FB48:FB55)</f>
        <v>0</v>
      </c>
      <c r="FC18" s="148">
        <f>SUM(data_1!FC48:FC55)</f>
        <v>724916295.21000004</v>
      </c>
      <c r="FD18" s="148">
        <f>SUM(data_1!FD48:FD55)</f>
        <v>600286108.61000001</v>
      </c>
      <c r="FE18" s="148">
        <f>SUM(data_1!FE48:FE55)</f>
        <v>0</v>
      </c>
      <c r="FF18" s="148">
        <f>SUM(data_1!FF48:FF55)</f>
        <v>124630186.60000001</v>
      </c>
      <c r="FG18" s="148">
        <f>SUM(data_1!FG48:FG55)</f>
        <v>140.72681</v>
      </c>
      <c r="FH18" s="148">
        <f>SUM(data_1!FH48:FH55)</f>
        <v>14383935.960000001</v>
      </c>
      <c r="FI18" s="148">
        <f>SUM(data_1!FI48:FI55)</f>
        <v>0</v>
      </c>
      <c r="FJ18" s="148">
        <f>SUM(data_1!FJ48:FJ55)</f>
        <v>600286108.61000001</v>
      </c>
      <c r="FK18" s="148">
        <f>SUM(data_1!FK48:FK55)</f>
        <v>0</v>
      </c>
      <c r="FL18" s="148">
        <f>SUM(data_1!FL48:FL55)</f>
        <v>601223000</v>
      </c>
      <c r="FM18" s="148">
        <f>SUM(data_1!FM48:FM55)</f>
        <v>601223000</v>
      </c>
      <c r="FN18" s="148">
        <f>SUM(data_1!FN48:FN55)</f>
        <v>0</v>
      </c>
      <c r="FO18" s="148">
        <f>SUM(data_1!FO48:FO55)</f>
        <v>0</v>
      </c>
      <c r="FP18" s="148">
        <f>SUM(data_1!FP48:FP55)</f>
        <v>0</v>
      </c>
      <c r="FQ18" s="148">
        <f>SUM(data_1!FQ48:FQ55)</f>
        <v>0</v>
      </c>
      <c r="FR18" s="148">
        <f>SUM(data_1!FR48:FR55)</f>
        <v>0</v>
      </c>
      <c r="FS18" s="148">
        <f>SUM(data_1!FS48:FS55)</f>
        <v>3398450.13</v>
      </c>
      <c r="FT18" s="148">
        <f>SUM(data_1!FT48:FT55)</f>
        <v>0</v>
      </c>
      <c r="FU18" s="148">
        <f>SUM(data_1!FU48:FU55)</f>
        <v>0</v>
      </c>
      <c r="FV18" s="148">
        <f>SUM(data_1!FV48:FV55)</f>
        <v>0</v>
      </c>
      <c r="FW18" s="148">
        <f>SUM(data_1!FW48:FW55)</f>
        <v>0</v>
      </c>
      <c r="FX18" s="148">
        <f>SUM(data_1!FX48:FX55)</f>
        <v>0</v>
      </c>
      <c r="FY18" s="148">
        <f>SUM(data_1!FY48:FY55)</f>
        <v>0</v>
      </c>
      <c r="FZ18" s="148">
        <f>SUM(data_1!FZ48:FZ55)</f>
        <v>3310234.13</v>
      </c>
      <c r="GA18" s="148">
        <f>SUM(data_1!GA48:GA55)</f>
        <v>88216</v>
      </c>
      <c r="GB18" s="148">
        <f>SUM(data_1!GB48:GB55)</f>
        <v>0</v>
      </c>
      <c r="GC18" s="148">
        <f>SUM(data_1!GC48:GC55)</f>
        <v>0</v>
      </c>
      <c r="GD18" s="148">
        <f>SUM(data_1!GD48:GD55)</f>
        <v>0</v>
      </c>
      <c r="GE18" s="148">
        <f>SUM(data_1!GE48:GE55)</f>
        <v>0</v>
      </c>
      <c r="GF18" s="148">
        <f>SUM(data_1!GF48:GF55)</f>
        <v>0</v>
      </c>
      <c r="GG18" s="148">
        <f>SUM(data_1!GG48:GG55)</f>
        <v>301975925.13999999</v>
      </c>
      <c r="GH18" s="148">
        <f>SUM(data_1!GH48:GH55)</f>
        <v>172945200</v>
      </c>
      <c r="GI18" s="148">
        <f>SUM(data_1!GI48:GI55)</f>
        <v>129030725.14</v>
      </c>
      <c r="GJ18" s="148">
        <f>SUM(data_1!GJ48:GJ55)</f>
        <v>167785861.78</v>
      </c>
      <c r="GK18" s="148">
        <f>SUM(data_1!GK48:GK55)</f>
        <v>630282.32999999996</v>
      </c>
      <c r="GL18" s="148">
        <f>SUM(data_1!GL48:GL55)</f>
        <v>0</v>
      </c>
      <c r="GM18" s="148">
        <f>SUM(data_1!GM48:GM55)</f>
        <v>291273121.11000001</v>
      </c>
      <c r="GN18" s="148">
        <f>SUM(data_1!GN48:GN55)</f>
        <v>167785859.88</v>
      </c>
      <c r="GO18" s="148">
        <f>SUM(data_1!GO48:GO55)</f>
        <v>0</v>
      </c>
      <c r="GP18" s="148">
        <f>SUM(data_1!GP48:GP55)</f>
        <v>123487261.23</v>
      </c>
      <c r="GQ18" s="148">
        <f>SUM(data_1!GQ48:GQ55)</f>
        <v>187.12079</v>
      </c>
      <c r="GR18" s="148">
        <f>SUM(data_1!GR48:GR55)</f>
        <v>630282.32999999996</v>
      </c>
      <c r="GS18" s="148">
        <f>SUM(data_1!GS48:GS55)</f>
        <v>1.9</v>
      </c>
      <c r="GT18" s="148">
        <f>SUM(data_1!GT48:GT55)</f>
        <v>167785861.78</v>
      </c>
      <c r="GU18" s="148">
        <f>SUM(data_1!GU48:GU55)</f>
        <v>0</v>
      </c>
      <c r="GV18" s="148">
        <f>SUM(data_1!GV48:GV55)</f>
        <v>172945200</v>
      </c>
      <c r="GW18" s="148">
        <f>SUM(data_1!GW48:GW55)</f>
        <v>172945200</v>
      </c>
      <c r="GX18" s="148">
        <f>SUM(data_1!GX48:GX55)</f>
        <v>0</v>
      </c>
      <c r="GY18" s="148">
        <f>SUM(data_1!GY48:GY55)</f>
        <v>0</v>
      </c>
      <c r="GZ18" s="148">
        <f>SUM(data_1!GZ48:GZ55)</f>
        <v>0</v>
      </c>
      <c r="HA18" s="148">
        <f>SUM(data_1!HA48:HA55)</f>
        <v>0</v>
      </c>
      <c r="HB18" s="148">
        <f>SUM(data_1!HB48:HB55)</f>
        <v>0</v>
      </c>
      <c r="HC18" s="148">
        <f>SUM(data_1!HC48:HC55)</f>
        <v>19259887.050000001</v>
      </c>
      <c r="HD18" s="148">
        <f>SUM(data_1!HD48:HD55)</f>
        <v>0</v>
      </c>
      <c r="HE18" s="148">
        <f>SUM(data_1!HE48:HE55)</f>
        <v>0</v>
      </c>
      <c r="HF18" s="148">
        <f>SUM(data_1!HF48:HF55)</f>
        <v>0</v>
      </c>
      <c r="HG18" s="148">
        <f>SUM(data_1!HG48:HG55)</f>
        <v>0</v>
      </c>
      <c r="HH18" s="148">
        <f>SUM(data_1!HH48:HH55)</f>
        <v>0</v>
      </c>
      <c r="HI18" s="148">
        <f>SUM(data_1!HI48:HI55)</f>
        <v>0</v>
      </c>
      <c r="HJ18" s="148">
        <f>SUM(data_1!HJ48:HJ55)</f>
        <v>19259887.050000001</v>
      </c>
      <c r="HK18" s="148">
        <f>SUM(data_1!HK48:HK55)</f>
        <v>0</v>
      </c>
      <c r="HL18" s="148">
        <f>SUM(data_1!HL48:HL55)</f>
        <v>0</v>
      </c>
      <c r="HM18" s="148">
        <f>SUM(data_1!HM48:HM55)</f>
        <v>0</v>
      </c>
      <c r="HN18" s="148">
        <f>SUM(data_1!HN48:HN55)</f>
        <v>0</v>
      </c>
      <c r="HO18" s="148">
        <f>SUM(data_1!HO48:HO55)</f>
        <v>0</v>
      </c>
      <c r="HP18" s="148">
        <f>SUM(data_1!HP48:HP55)</f>
        <v>0</v>
      </c>
      <c r="HQ18" s="148">
        <f>SUM(data_1!HQ48:HQ55)</f>
        <v>0</v>
      </c>
      <c r="HR18" s="148">
        <f>SUM(data_1!HR48:HR55)</f>
        <v>0</v>
      </c>
      <c r="HS18" s="148">
        <f>SUM(data_1!HS48:HS55)</f>
        <v>0</v>
      </c>
      <c r="HT18" s="148">
        <f>SUM(data_1!HT48:HT55)</f>
        <v>0</v>
      </c>
      <c r="HU18" s="148">
        <f>SUM(data_1!HU48:HU55)</f>
        <v>0</v>
      </c>
      <c r="HV18" s="148">
        <f>SUM(data_1!HV48:HV55)</f>
        <v>0</v>
      </c>
      <c r="HW18" s="148">
        <f>SUM(data_1!HW48:HW55)</f>
        <v>0</v>
      </c>
      <c r="HX18" s="148">
        <f>SUM(data_1!HX48:HX55)</f>
        <v>0</v>
      </c>
      <c r="HY18" s="148">
        <f>SUM(data_1!HY48:HY55)</f>
        <v>0</v>
      </c>
      <c r="HZ18" s="148">
        <f>SUM(data_1!HZ48:HZ55)</f>
        <v>0</v>
      </c>
      <c r="IA18" s="148">
        <f>SUM(data_1!IA48:IA55)</f>
        <v>0</v>
      </c>
      <c r="IB18" s="148">
        <f>SUM(data_1!IB48:IB55)</f>
        <v>0</v>
      </c>
      <c r="IC18" s="148">
        <f>SUM(data_1!IC48:IC55)</f>
        <v>0</v>
      </c>
      <c r="ID18" s="148">
        <f>SUM(data_1!ID48:ID55)</f>
        <v>0</v>
      </c>
      <c r="IE18" s="148">
        <f>SUM(data_1!IE48:IE55)</f>
        <v>0</v>
      </c>
      <c r="IF18" s="148">
        <f>SUM(data_1!IF48:IF55)</f>
        <v>0</v>
      </c>
      <c r="IG18" s="148">
        <f>SUM(data_1!IG48:IG55)</f>
        <v>0</v>
      </c>
      <c r="IH18" s="148">
        <f>SUM(data_1!IH48:IH55)</f>
        <v>0</v>
      </c>
      <c r="II18" s="148">
        <f>SUM(data_1!II48:II55)</f>
        <v>0</v>
      </c>
      <c r="IJ18" s="148">
        <f>SUM(data_1!IJ48:IJ55)</f>
        <v>0</v>
      </c>
      <c r="IK18" s="148">
        <f>SUM(data_1!IK48:IK55)</f>
        <v>0</v>
      </c>
      <c r="IL18" s="148">
        <f>SUM(data_1!IL48:IL55)</f>
        <v>0</v>
      </c>
      <c r="IM18" s="148">
        <f>SUM(data_1!IM48:IM55)</f>
        <v>9750000</v>
      </c>
      <c r="IN18" s="148">
        <f>SUM(data_1!IN48:IN55)</f>
        <v>0</v>
      </c>
      <c r="IO18" s="148">
        <f>SUM(data_1!IO48:IO55)</f>
        <v>0</v>
      </c>
      <c r="IP18" s="148">
        <f>SUM(data_1!IP48:IP55)</f>
        <v>0</v>
      </c>
      <c r="IQ18" s="148">
        <f>SUM(data_1!IQ48:IQ55)</f>
        <v>0</v>
      </c>
      <c r="IR18" s="148">
        <f>SUM(data_1!IR48:IR55)</f>
        <v>0</v>
      </c>
      <c r="IS18" s="148">
        <f>SUM(data_1!IS48:IS55)</f>
        <v>0</v>
      </c>
      <c r="IT18" s="148">
        <f>SUM(data_1!IT48:IT55)</f>
        <v>9750000</v>
      </c>
      <c r="IU18" s="148">
        <f>SUM(data_1!IU48:IU55)</f>
        <v>0</v>
      </c>
      <c r="IV18" s="148">
        <f>SUM(data_1!IV48:IV55)</f>
        <v>0</v>
      </c>
      <c r="IW18" s="148">
        <f>SUM(data_1!IW48:IW55)</f>
        <v>0</v>
      </c>
      <c r="IX18" s="148">
        <f>SUM(data_1!IX48:IX55)</f>
        <v>0</v>
      </c>
      <c r="IY18" s="148">
        <f>SUM(data_1!IY48:IY55)</f>
        <v>0</v>
      </c>
      <c r="IZ18" s="148">
        <f>SUM(data_1!IZ48:IZ55)</f>
        <v>0</v>
      </c>
      <c r="JA18" s="148">
        <f>SUM(data_1!JA48:JA55)</f>
        <v>37399321</v>
      </c>
      <c r="JB18" s="148">
        <f>SUM(data_1!JB48:JB55)</f>
        <v>27794600</v>
      </c>
      <c r="JC18" s="148">
        <f>SUM(data_1!JC48:JC55)</f>
        <v>9604721</v>
      </c>
      <c r="JD18" s="148">
        <f>SUM(data_1!JD48:JD55)</f>
        <v>26332024.539999999</v>
      </c>
      <c r="JE18" s="148">
        <f>SUM(data_1!JE48:JE55)</f>
        <v>0</v>
      </c>
      <c r="JF18" s="148">
        <f>SUM(data_1!JF48:JF55)</f>
        <v>0</v>
      </c>
      <c r="JG18" s="148">
        <f>SUM(data_1!JG48:JG55)</f>
        <v>35128426.799999997</v>
      </c>
      <c r="JH18" s="148">
        <f>SUM(data_1!JH48:JH55)</f>
        <v>26332024.539999999</v>
      </c>
      <c r="JI18" s="148">
        <f>SUM(data_1!JI48:JI55)</f>
        <v>0</v>
      </c>
      <c r="JJ18" s="148">
        <f>SUM(data_1!JJ48:JJ55)</f>
        <v>8796402.2599999998</v>
      </c>
      <c r="JK18" s="148">
        <f>SUM(data_1!JK48:JK55)</f>
        <v>105.82901000000001</v>
      </c>
      <c r="JL18" s="148">
        <f>SUM(data_1!JL48:JL55)</f>
        <v>0</v>
      </c>
      <c r="JM18" s="148">
        <f>SUM(data_1!JM48:JM55)</f>
        <v>0</v>
      </c>
      <c r="JN18" s="148">
        <f>SUM(data_1!JN48:JN55)</f>
        <v>26332024.539999999</v>
      </c>
      <c r="JO18" s="148">
        <f>SUM(data_1!JO48:JO55)</f>
        <v>0</v>
      </c>
      <c r="JP18" s="148">
        <f>SUM(data_1!JP48:JP55)</f>
        <v>27794600</v>
      </c>
      <c r="JQ18" s="148">
        <f>SUM(data_1!JQ48:JQ55)</f>
        <v>27794600</v>
      </c>
      <c r="JR18" s="148">
        <f>SUM(data_1!JR48:JR55)</f>
        <v>0</v>
      </c>
      <c r="JS18" s="148">
        <f>SUM(data_1!JS48:JS55)</f>
        <v>0</v>
      </c>
      <c r="JT18" s="148">
        <f>SUM(data_1!JT48:JT55)</f>
        <v>0</v>
      </c>
      <c r="JU18" s="148">
        <f>SUM(data_1!JU48:JU55)</f>
        <v>0</v>
      </c>
      <c r="JV18" s="148">
        <f>SUM(data_1!JV48:JV55)</f>
        <v>0</v>
      </c>
      <c r="JW18" s="148">
        <f>SUM(data_1!JW48:JW55)</f>
        <v>61678.42</v>
      </c>
      <c r="JX18" s="148">
        <f>SUM(data_1!JX48:JX55)</f>
        <v>0</v>
      </c>
      <c r="JY18" s="148">
        <f>SUM(data_1!JY48:JY55)</f>
        <v>0</v>
      </c>
      <c r="JZ18" s="148">
        <f>SUM(data_1!JZ48:JZ55)</f>
        <v>0</v>
      </c>
      <c r="KA18" s="148">
        <f>SUM(data_1!KA48:KA55)</f>
        <v>0</v>
      </c>
      <c r="KB18" s="148">
        <f>SUM(data_1!KB48:KB55)</f>
        <v>0</v>
      </c>
      <c r="KC18" s="148">
        <f>SUM(data_1!KC48:KC55)</f>
        <v>0</v>
      </c>
      <c r="KD18" s="148">
        <f>SUM(data_1!KD48:KD55)</f>
        <v>61678.42</v>
      </c>
      <c r="KE18" s="148">
        <f>SUM(data_1!KE48:KE55)</f>
        <v>0</v>
      </c>
      <c r="KF18" s="148">
        <f>SUM(data_1!KF48:KF55)</f>
        <v>0</v>
      </c>
      <c r="KG18" s="148">
        <f>SUM(data_1!KG48:KG55)</f>
        <v>0</v>
      </c>
      <c r="KH18" s="148">
        <f>SUM(data_1!KH48:KH55)</f>
        <v>0</v>
      </c>
      <c r="KI18" s="148">
        <f>SUM(data_1!KI48:KI55)</f>
        <v>0</v>
      </c>
      <c r="KJ18" s="148">
        <f>SUM(data_1!KJ48:KJ55)</f>
        <v>0</v>
      </c>
      <c r="KK18" s="148">
        <f>SUM(data_1!KK48:KK55)</f>
        <v>23079958.509999998</v>
      </c>
      <c r="KL18" s="148">
        <f>SUM(data_1!KL48:KL55)</f>
        <v>17296800</v>
      </c>
      <c r="KM18" s="148">
        <f>SUM(data_1!KM48:KM55)</f>
        <v>5783158.5099999998</v>
      </c>
      <c r="KN18" s="148">
        <f>SUM(data_1!KN48:KN55)</f>
        <v>17296800</v>
      </c>
      <c r="KO18" s="148">
        <f>SUM(data_1!KO48:KO55)</f>
        <v>0</v>
      </c>
      <c r="KP18" s="148">
        <f>SUM(data_1!KP48:KP55)</f>
        <v>0</v>
      </c>
      <c r="KQ18" s="148">
        <f>SUM(data_1!KQ48:KQ55)</f>
        <v>23079958.509999998</v>
      </c>
      <c r="KR18" s="148">
        <f>SUM(data_1!KR48:KR55)</f>
        <v>17296800</v>
      </c>
      <c r="KS18" s="148">
        <f>SUM(data_1!KS48:KS55)</f>
        <v>0</v>
      </c>
      <c r="KT18" s="148">
        <f>SUM(data_1!KT48:KT55)</f>
        <v>5783158.5099999998</v>
      </c>
      <c r="KU18" s="148">
        <f>SUM(data_1!KU48:KU55)</f>
        <v>62.8065</v>
      </c>
      <c r="KV18" s="148">
        <f>SUM(data_1!KV48:KV55)</f>
        <v>0</v>
      </c>
      <c r="KW18" s="148">
        <f>SUM(data_1!KW48:KW55)</f>
        <v>0</v>
      </c>
      <c r="KX18" s="148">
        <f>SUM(data_1!KX48:KX55)</f>
        <v>17296800</v>
      </c>
      <c r="KY18" s="148">
        <f>SUM(data_1!KY48:KY55)</f>
        <v>0</v>
      </c>
      <c r="KZ18" s="148">
        <f>SUM(data_1!KZ48:KZ55)</f>
        <v>17296800</v>
      </c>
      <c r="LA18" s="148">
        <f>SUM(data_1!LA48:LA55)</f>
        <v>17296800</v>
      </c>
      <c r="LB18" s="148">
        <f>SUM(data_1!LB48:LB55)</f>
        <v>0</v>
      </c>
      <c r="LC18" s="148">
        <f>SUM(data_1!LC48:LC55)</f>
        <v>0</v>
      </c>
      <c r="LD18" s="148">
        <f>SUM(data_1!LD48:LD55)</f>
        <v>0</v>
      </c>
      <c r="LE18" s="148">
        <f>SUM(data_1!LE48:LE55)</f>
        <v>0</v>
      </c>
      <c r="LF18" s="148">
        <f>SUM(data_1!LF48:LF55)</f>
        <v>0</v>
      </c>
      <c r="LG18" s="148">
        <f>SUM(data_1!LG48:LG55)</f>
        <v>0</v>
      </c>
      <c r="LH18" s="148">
        <f>SUM(data_1!LH48:LH55)</f>
        <v>0</v>
      </c>
      <c r="LI18" s="148">
        <f>SUM(data_1!LI48:LI55)</f>
        <v>0</v>
      </c>
      <c r="LJ18" s="148">
        <f>SUM(data_1!LJ48:LJ55)</f>
        <v>0</v>
      </c>
      <c r="LK18" s="148">
        <f>SUM(data_1!LK48:LK55)</f>
        <v>0</v>
      </c>
      <c r="LL18" s="148">
        <f>SUM(data_1!LL48:LL55)</f>
        <v>0</v>
      </c>
      <c r="LM18" s="148">
        <f>SUM(data_1!LM48:LM55)</f>
        <v>0</v>
      </c>
      <c r="LN18" s="148">
        <f>SUM(data_1!LN48:LN55)</f>
        <v>0</v>
      </c>
      <c r="LO18" s="148">
        <f>SUM(data_1!LO48:LO55)</f>
        <v>0</v>
      </c>
      <c r="LP18" s="148">
        <f>SUM(data_1!LP48:LP55)</f>
        <v>0</v>
      </c>
      <c r="LQ18" s="148">
        <f>SUM(data_1!LQ48:LQ55)</f>
        <v>0</v>
      </c>
      <c r="LR18" s="148">
        <f>SUM(data_1!LR48:LR55)</f>
        <v>0</v>
      </c>
      <c r="LS18" s="148">
        <f>SUM(data_1!LS48:LS55)</f>
        <v>0</v>
      </c>
      <c r="LT18" s="148">
        <f>SUM(data_1!LT48:LT55)</f>
        <v>0</v>
      </c>
      <c r="LU18" s="148">
        <f>SUM(data_1!LU48:LU55)</f>
        <v>57666900</v>
      </c>
      <c r="LV18" s="148">
        <f>SUM(data_1!LV48:LV55)</f>
        <v>42175700</v>
      </c>
      <c r="LW18" s="148">
        <f>SUM(data_1!LW48:LW55)</f>
        <v>15491200</v>
      </c>
      <c r="LX18" s="148">
        <f>SUM(data_1!LX48:LX55)</f>
        <v>41654504.230000004</v>
      </c>
      <c r="LY18" s="148">
        <f>SUM(data_1!LY48:LY55)</f>
        <v>0</v>
      </c>
      <c r="LZ18" s="148">
        <f>SUM(data_1!LZ48:LZ55)</f>
        <v>0</v>
      </c>
      <c r="MA18" s="148">
        <f>SUM(data_1!MA48:MA55)</f>
        <v>56885355.390000001</v>
      </c>
      <c r="MB18" s="148">
        <f>SUM(data_1!MB48:MB55)</f>
        <v>41654504.230000004</v>
      </c>
      <c r="MC18" s="148">
        <f>SUM(data_1!MC48:MC55)</f>
        <v>0</v>
      </c>
      <c r="MD18" s="148">
        <f>SUM(data_1!MD48:MD55)</f>
        <v>15230851.16</v>
      </c>
      <c r="ME18" s="148">
        <f>SUM(data_1!ME48:ME55)</f>
        <v>57.312249999999999</v>
      </c>
      <c r="MF18" s="148">
        <f>SUM(data_1!MF48:MF55)</f>
        <v>0</v>
      </c>
      <c r="MG18" s="148">
        <f>SUM(data_1!MG48:MG55)</f>
        <v>0</v>
      </c>
      <c r="MH18" s="148">
        <f>SUM(data_1!MH48:MH55)</f>
        <v>41654504.230000004</v>
      </c>
      <c r="MI18" s="148">
        <f>SUM(data_1!MI48:MI55)</f>
        <v>0</v>
      </c>
      <c r="MJ18" s="148">
        <f>SUM(data_1!MJ48:MJ55)</f>
        <v>42175700</v>
      </c>
      <c r="MK18" s="148">
        <f>SUM(data_1!MK48:MK55)</f>
        <v>42175700</v>
      </c>
      <c r="ML18" s="148">
        <f>SUM(data_1!ML48:ML55)</f>
        <v>0</v>
      </c>
      <c r="MM18" s="148">
        <f>SUM(data_1!MM48:MM55)</f>
        <v>0</v>
      </c>
      <c r="MN18" s="148">
        <f>SUM(data_1!MN48:MN55)</f>
        <v>0</v>
      </c>
      <c r="MO18" s="148">
        <f>SUM(data_1!MO48:MO55)</f>
        <v>0</v>
      </c>
      <c r="MP18" s="148">
        <f>SUM(data_1!MP48:MP55)</f>
        <v>0</v>
      </c>
      <c r="MQ18" s="148">
        <f>SUM(data_1!MQ48:MQ55)</f>
        <v>8730459.6799999997</v>
      </c>
      <c r="MR18" s="148">
        <f>SUM(data_1!MR48:MR55)</f>
        <v>0</v>
      </c>
      <c r="MS18" s="148">
        <f>SUM(data_1!MS48:MS55)</f>
        <v>0</v>
      </c>
      <c r="MT18" s="148">
        <f>SUM(data_1!MT48:MT55)</f>
        <v>0</v>
      </c>
      <c r="MU18" s="148">
        <f>SUM(data_1!MU48:MU55)</f>
        <v>0</v>
      </c>
      <c r="MV18" s="148">
        <f>SUM(data_1!MV48:MV55)</f>
        <v>0</v>
      </c>
      <c r="MW18" s="148">
        <f>SUM(data_1!MW48:MW55)</f>
        <v>0</v>
      </c>
      <c r="MX18" s="148">
        <f>SUM(data_1!MX48:MX55)</f>
        <v>8730459.6799999997</v>
      </c>
      <c r="MY18" s="148">
        <f>SUM(data_1!MY48:MY55)</f>
        <v>0</v>
      </c>
      <c r="MZ18" s="148">
        <f>SUM(data_1!MZ48:MZ55)</f>
        <v>0</v>
      </c>
      <c r="NA18" s="148">
        <f>SUM(data_1!NA48:NA55)</f>
        <v>0</v>
      </c>
      <c r="NB18" s="148">
        <f>SUM(data_1!NB48:NB55)</f>
        <v>0</v>
      </c>
      <c r="NC18" s="148">
        <f>SUM(data_1!NC48:NC55)</f>
        <v>0</v>
      </c>
      <c r="ND18" s="148">
        <f>SUM(data_1!ND48:ND55)</f>
        <v>0</v>
      </c>
      <c r="NE18" s="148">
        <f>SUM(data_1!NE48:NE55)</f>
        <v>14767320.98</v>
      </c>
      <c r="NF18" s="148">
        <f>SUM(data_1!NF48:NF55)</f>
        <v>11083100</v>
      </c>
      <c r="NG18" s="148">
        <f>SUM(data_1!NG48:NG55)</f>
        <v>3684220.98</v>
      </c>
      <c r="NH18" s="148">
        <f>SUM(data_1!NH48:NH55)</f>
        <v>10239508.800000001</v>
      </c>
      <c r="NI18" s="148">
        <f>SUM(data_1!NI48:NI55)</f>
        <v>0</v>
      </c>
      <c r="NJ18" s="148">
        <f>SUM(data_1!NJ48:NJ55)</f>
        <v>0</v>
      </c>
      <c r="NK18" s="148">
        <f>SUM(data_1!NK48:NK55)</f>
        <v>12751833.5</v>
      </c>
      <c r="NL18" s="148">
        <f>SUM(data_1!NL48:NL55)</f>
        <v>10217581.129999999</v>
      </c>
      <c r="NM18" s="148">
        <f>SUM(data_1!NM48:NM55)</f>
        <v>0</v>
      </c>
      <c r="NN18" s="148">
        <f>SUM(data_1!NN48:NN55)</f>
        <v>2534252.37</v>
      </c>
      <c r="NO18" s="148">
        <f>SUM(data_1!NO48:NO55)</f>
        <v>170.88956000000002</v>
      </c>
      <c r="NP18" s="148">
        <f>SUM(data_1!NP48:NP55)</f>
        <v>0</v>
      </c>
      <c r="NQ18" s="148">
        <f>SUM(data_1!NQ48:NQ55)</f>
        <v>21927.67</v>
      </c>
      <c r="NR18" s="148">
        <f>SUM(data_1!NR48:NR55)</f>
        <v>10239508.800000001</v>
      </c>
      <c r="NS18" s="148">
        <f>SUM(data_1!NS48:NS55)</f>
        <v>0</v>
      </c>
      <c r="NT18" s="148">
        <f>SUM(data_1!NT48:NT55)</f>
        <v>11083100</v>
      </c>
      <c r="NU18" s="148">
        <f>SUM(data_1!NU48:NU55)</f>
        <v>11083100</v>
      </c>
      <c r="NV18" s="148">
        <f>SUM(data_1!NV48:NV55)</f>
        <v>0</v>
      </c>
      <c r="NW18" s="148">
        <f>SUM(data_1!NW48:NW55)</f>
        <v>0</v>
      </c>
      <c r="NX18" s="148">
        <f>SUM(data_1!NX48:NX55)</f>
        <v>0</v>
      </c>
      <c r="NY18" s="148">
        <f>SUM(data_1!NY48:NY55)</f>
        <v>0</v>
      </c>
      <c r="NZ18" s="148">
        <f>SUM(data_1!NZ48:NZ55)</f>
        <v>0</v>
      </c>
      <c r="OA18" s="148">
        <f>SUM(data_1!OA48:OA55)</f>
        <v>0</v>
      </c>
      <c r="OB18" s="148">
        <f>SUM(data_1!OB48:OB55)</f>
        <v>0</v>
      </c>
      <c r="OC18" s="148">
        <f>SUM(data_1!OC48:OC55)</f>
        <v>0</v>
      </c>
      <c r="OD18" s="148">
        <f>SUM(data_1!OD48:OD55)</f>
        <v>0</v>
      </c>
      <c r="OE18" s="148">
        <f>SUM(data_1!OE48:OE55)</f>
        <v>0</v>
      </c>
      <c r="OF18" s="148">
        <f>SUM(data_1!OF48:OF55)</f>
        <v>0</v>
      </c>
      <c r="OG18" s="148">
        <f>SUM(data_1!OG48:OG55)</f>
        <v>0</v>
      </c>
      <c r="OH18" s="148">
        <f>SUM(data_1!OH48:OH55)</f>
        <v>0</v>
      </c>
      <c r="OI18" s="148">
        <f>SUM(data_1!OI48:OI55)</f>
        <v>0</v>
      </c>
      <c r="OJ18" s="148">
        <f>SUM(data_1!OJ48:OJ55)</f>
        <v>0</v>
      </c>
      <c r="OK18" s="148">
        <f>SUM(data_1!OK48:OK55)</f>
        <v>0</v>
      </c>
      <c r="OL18" s="148">
        <f>SUM(data_1!OL48:OL55)</f>
        <v>0</v>
      </c>
      <c r="OM18" s="148">
        <f>SUM(data_1!OM48:OM55)</f>
        <v>0</v>
      </c>
      <c r="ON18" s="148">
        <f>SUM(data_1!ON48:ON55)</f>
        <v>0</v>
      </c>
      <c r="OO18" s="148">
        <f>SUM(data_1!OO48:OO55)</f>
        <v>0</v>
      </c>
      <c r="OP18" s="148">
        <f>SUM(data_1!OP48:OP55)</f>
        <v>0</v>
      </c>
      <c r="OQ18" s="148">
        <f>SUM(data_1!OQ48:OQ55)</f>
        <v>0</v>
      </c>
      <c r="OR18" s="148">
        <f>SUM(data_1!OR48:OR55)</f>
        <v>0</v>
      </c>
      <c r="OS18" s="148">
        <f>SUM(data_1!OS48:OS55)</f>
        <v>132567089.68999998</v>
      </c>
      <c r="OT18" s="148">
        <f>SUM(data_1!OT48:OT55)</f>
        <v>0</v>
      </c>
      <c r="OU18" s="148">
        <f>SUM(data_1!OU48:OU55)</f>
        <v>0</v>
      </c>
      <c r="OV18" s="148">
        <f>SUM(data_1!OV48:OV55)</f>
        <v>0</v>
      </c>
      <c r="OW18" s="148">
        <f>SUM(data_1!OW48:OW55)</f>
        <v>0</v>
      </c>
      <c r="OX18" s="148">
        <f>SUM(data_1!OX48:OX55)</f>
        <v>0</v>
      </c>
      <c r="OY18" s="148">
        <f>SUM(data_1!OY48:OY55)</f>
        <v>0</v>
      </c>
      <c r="OZ18" s="148">
        <f>SUM(data_1!OZ48:OZ55)</f>
        <v>132567089.68999998</v>
      </c>
      <c r="PA18" s="148">
        <f>SUM(data_1!PA48:PA55)</f>
        <v>0</v>
      </c>
      <c r="PB18" s="148">
        <f>SUM(data_1!PB48:PB55)</f>
        <v>0</v>
      </c>
      <c r="PC18" s="148">
        <f>SUM(data_1!PC48:PC55)</f>
        <v>0</v>
      </c>
      <c r="PD18" s="148">
        <f>SUM(data_1!PD48:PD55)</f>
        <v>0</v>
      </c>
      <c r="PE18" s="148">
        <f>SUM(data_1!PE48:PE55)</f>
        <v>0</v>
      </c>
      <c r="PF18" s="148">
        <f>SUM(data_1!PF48:PF55)</f>
        <v>0</v>
      </c>
      <c r="PG18" s="148">
        <f>SUM(data_1!PG48:PG55)</f>
        <v>0</v>
      </c>
      <c r="PH18" s="148">
        <f>SUM(data_1!PH48:PH55)</f>
        <v>0</v>
      </c>
      <c r="PI18" s="148">
        <f>SUM(data_1!PI48:PI55)</f>
        <v>0</v>
      </c>
      <c r="PJ18" s="148">
        <f>SUM(data_1!PJ48:PJ55)</f>
        <v>0</v>
      </c>
      <c r="PK18" s="148">
        <f>SUM(data_1!PK48:PK55)</f>
        <v>192949293.27000001</v>
      </c>
      <c r="PL18" s="148">
        <f>SUM(data_1!PL48:PL55)</f>
        <v>0</v>
      </c>
      <c r="PM18" s="148">
        <f>SUM(data_1!PM48:PM55)</f>
        <v>0</v>
      </c>
      <c r="PN18" s="148">
        <f>SUM(data_1!PN48:PN55)</f>
        <v>0</v>
      </c>
      <c r="PO18" s="148">
        <f>SUM(data_1!PO48:PO55)</f>
        <v>0</v>
      </c>
      <c r="PP18" s="148">
        <f>SUM(data_1!PP48:PP55)</f>
        <v>0</v>
      </c>
      <c r="PQ18" s="148">
        <f>SUM(data_1!PQ48:PQ55)</f>
        <v>0</v>
      </c>
      <c r="PR18" s="148">
        <f>SUM(data_1!PR48:PR55)</f>
        <v>192949293.27000001</v>
      </c>
      <c r="PS18" s="148">
        <f>SUM(data_1!PS48:PS55)</f>
        <v>0</v>
      </c>
      <c r="PT18" s="148">
        <f>SUM(data_1!PT48:PT55)</f>
        <v>0</v>
      </c>
      <c r="PU18" s="148">
        <f>SUM(data_1!PU48:PU55)</f>
        <v>0</v>
      </c>
      <c r="PV18" s="148">
        <f>SUM(data_1!PV48:PV55)</f>
        <v>0</v>
      </c>
      <c r="PW18" s="148">
        <f>SUM(data_1!PW48:PW55)</f>
        <v>0</v>
      </c>
      <c r="PX18" s="148">
        <f>SUM(data_1!PX48:PX55)</f>
        <v>0</v>
      </c>
      <c r="PY18" s="148">
        <f>SUM(data_1!PY48:PY55)</f>
        <v>0</v>
      </c>
      <c r="PZ18" s="148">
        <f>SUM(data_1!PZ48:PZ55)</f>
        <v>0</v>
      </c>
      <c r="QA18" s="148">
        <f>SUM(data_1!QA48:QA55)</f>
        <v>0</v>
      </c>
      <c r="QB18" s="148">
        <f>SUM(data_1!QB48:QB55)</f>
        <v>0</v>
      </c>
      <c r="QC18" s="148">
        <f>SUM(data_1!QC48:QC55)</f>
        <v>0</v>
      </c>
      <c r="QD18" s="148">
        <f>SUM(data_1!QD48:QD55)</f>
        <v>0</v>
      </c>
      <c r="QE18" s="148">
        <f>SUM(data_1!QE48:QE55)</f>
        <v>0</v>
      </c>
      <c r="QF18" s="148">
        <f>SUM(data_1!QF48:QF55)</f>
        <v>0</v>
      </c>
      <c r="QG18" s="148">
        <f>SUM(data_1!QG48:QG55)</f>
        <v>0</v>
      </c>
      <c r="QH18" s="148">
        <f>SUM(data_1!QH48:QH55)</f>
        <v>0</v>
      </c>
      <c r="QI18" s="148">
        <f>SUM(data_1!QI48:QI55)</f>
        <v>0</v>
      </c>
      <c r="QJ18" s="148">
        <f>SUM(data_1!QJ48:QJ55)</f>
        <v>0</v>
      </c>
      <c r="QK18" s="148">
        <f>SUM(data_1!QK48:QK55)</f>
        <v>0</v>
      </c>
      <c r="QL18" s="148">
        <f>SUM(data_1!QL48:QL55)</f>
        <v>0</v>
      </c>
      <c r="QM18" s="148">
        <f>SUM(data_1!QM48:QM55)</f>
        <v>0</v>
      </c>
      <c r="QN18" s="148">
        <f>SUM(data_1!QN48:QN55)</f>
        <v>0</v>
      </c>
      <c r="QO18" s="148">
        <f>SUM(data_1!QO48:QO55)</f>
        <v>0</v>
      </c>
      <c r="QP18" s="148">
        <f>SUM(data_1!QP48:QP55)</f>
        <v>0</v>
      </c>
      <c r="QQ18" s="148">
        <f>SUM(data_1!QQ48:QQ55)</f>
        <v>0</v>
      </c>
      <c r="QR18" s="148">
        <f>SUM(data_1!QR48:QR55)</f>
        <v>0</v>
      </c>
      <c r="QS18" s="148">
        <f>SUM(data_1!QS48:QS55)</f>
        <v>0</v>
      </c>
      <c r="QT18" s="148">
        <f>SUM(data_1!QT48:QT55)</f>
        <v>0</v>
      </c>
      <c r="QU18" s="148">
        <f>SUM(data_1!QU48:QU55)</f>
        <v>0</v>
      </c>
      <c r="QV18" s="148">
        <f>SUM(data_1!QV48:QV55)</f>
        <v>0</v>
      </c>
      <c r="QW18" s="148">
        <f>SUM(data_1!QW48:QW55)</f>
        <v>0</v>
      </c>
      <c r="QX18" s="148">
        <f>SUM(data_1!QX48:QX55)</f>
        <v>0</v>
      </c>
      <c r="QY18" s="148">
        <f>SUM(data_1!QY48:QY55)</f>
        <v>0</v>
      </c>
      <c r="QZ18" s="148">
        <f>SUM(data_1!QZ48:QZ55)</f>
        <v>0</v>
      </c>
      <c r="RA18" s="148">
        <f>SUM(data_1!RA48:RA55)</f>
        <v>0</v>
      </c>
      <c r="RB18" s="148">
        <f>SUM(data_1!RB48:RB55)</f>
        <v>0</v>
      </c>
      <c r="RC18" s="148">
        <f>SUM(data_1!RC48:RC55)</f>
        <v>0</v>
      </c>
      <c r="RD18" s="148">
        <f>SUM(data_1!RD48:RD55)</f>
        <v>0</v>
      </c>
      <c r="RE18" s="148">
        <f>SUM(data_1!RE48:RE55)</f>
        <v>0</v>
      </c>
      <c r="RF18" s="148">
        <f>SUM(data_1!RF48:RF55)</f>
        <v>0</v>
      </c>
      <c r="RG18" s="148">
        <f>SUM(data_1!RG48:RG55)</f>
        <v>0</v>
      </c>
      <c r="RH18" s="148">
        <f>SUM(data_1!RH48:RH55)</f>
        <v>0</v>
      </c>
      <c r="RI18" s="148">
        <f>SUM(data_1!RI48:RI55)</f>
        <v>0</v>
      </c>
      <c r="RJ18" s="148">
        <f>SUM(data_1!RJ48:RJ55)</f>
        <v>0</v>
      </c>
      <c r="RK18" s="148">
        <f>SUM(data_1!RK48:RK55)</f>
        <v>0</v>
      </c>
      <c r="RL18" s="148">
        <f>SUM(data_1!RL48:RL55)</f>
        <v>0</v>
      </c>
      <c r="RM18" s="148">
        <f>SUM(data_1!RM48:RM55)</f>
        <v>10640643.85</v>
      </c>
      <c r="RN18" s="148">
        <f>SUM(data_1!RN48:RN55)</f>
        <v>0</v>
      </c>
      <c r="RO18" s="148">
        <f>SUM(data_1!RO48:RO55)</f>
        <v>0</v>
      </c>
      <c r="RP18" s="148">
        <f>SUM(data_1!RP48:RP55)</f>
        <v>0</v>
      </c>
      <c r="RQ18" s="148">
        <f>SUM(data_1!RQ48:RQ55)</f>
        <v>0</v>
      </c>
      <c r="RR18" s="148">
        <f>SUM(data_1!RR48:RR55)</f>
        <v>0</v>
      </c>
      <c r="RS18" s="148">
        <f>SUM(data_1!RS48:RS55)</f>
        <v>0</v>
      </c>
      <c r="RT18" s="148">
        <f>SUM(data_1!RT48:RT55)</f>
        <v>10640643.85</v>
      </c>
      <c r="RU18" s="148">
        <f>SUM(data_1!RU48:RU55)</f>
        <v>0</v>
      </c>
      <c r="RV18" s="148">
        <f>SUM(data_1!RV48:RV55)</f>
        <v>0</v>
      </c>
      <c r="RW18" s="148">
        <f>SUM(data_1!RW48:RW55)</f>
        <v>0</v>
      </c>
      <c r="RX18" s="148">
        <f>SUM(data_1!RX48:RX55)</f>
        <v>0</v>
      </c>
      <c r="RY18" s="148">
        <f>SUM(data_1!RY48:RY55)</f>
        <v>0</v>
      </c>
      <c r="RZ18" s="148">
        <f>SUM(data_1!RZ48:RZ55)</f>
        <v>0</v>
      </c>
      <c r="SA18" s="148">
        <f>SUM(data_1!SA48:SA55)</f>
        <v>0</v>
      </c>
      <c r="SB18" s="148">
        <f>SUM(data_1!SB48:SB55)</f>
        <v>0</v>
      </c>
      <c r="SC18" s="148">
        <f>SUM(data_1!SC48:SC55)</f>
        <v>0</v>
      </c>
      <c r="SD18" s="148">
        <f>SUM(data_1!SD48:SD55)</f>
        <v>0</v>
      </c>
      <c r="SE18" s="148">
        <f>SUM(data_1!SE48:SE55)</f>
        <v>0</v>
      </c>
      <c r="SF18" s="148">
        <f>SUM(data_1!SF48:SF55)</f>
        <v>0</v>
      </c>
      <c r="SG18" s="148">
        <f>SUM(data_1!SG48:SG55)</f>
        <v>0</v>
      </c>
      <c r="SH18" s="148">
        <f>SUM(data_1!SH48:SH55)</f>
        <v>0</v>
      </c>
      <c r="SI18" s="148">
        <f>SUM(data_1!SI48:SI55)</f>
        <v>0</v>
      </c>
      <c r="SJ18" s="148">
        <f>SUM(data_1!SJ48:SJ55)</f>
        <v>0</v>
      </c>
      <c r="SK18" s="148">
        <f>SUM(data_1!SK48:SK55)</f>
        <v>0</v>
      </c>
      <c r="SL18" s="148">
        <f>SUM(data_1!SL48:SL55)</f>
        <v>0</v>
      </c>
      <c r="SM18" s="148">
        <f>SUM(data_1!SM48:SM55)</f>
        <v>0</v>
      </c>
      <c r="SN18" s="148">
        <f>SUM(data_1!SN48:SN55)</f>
        <v>0</v>
      </c>
      <c r="SO18" s="148">
        <f>SUM(data_1!SO48:SO55)</f>
        <v>0</v>
      </c>
      <c r="SP18" s="148">
        <f>SUM(data_1!SP48:SP55)</f>
        <v>0</v>
      </c>
      <c r="SQ18" s="148">
        <f>SUM(data_1!SQ48:SQ55)</f>
        <v>0</v>
      </c>
      <c r="SR18" s="148">
        <f>SUM(data_1!SR48:SR55)</f>
        <v>0</v>
      </c>
      <c r="SS18" s="148">
        <f>SUM(data_1!SS48:SS55)</f>
        <v>0</v>
      </c>
      <c r="ST18" s="148">
        <f>SUM(data_1!ST48:ST55)</f>
        <v>0</v>
      </c>
      <c r="SU18" s="148">
        <f>SUM(data_1!SU48:SU55)</f>
        <v>0</v>
      </c>
      <c r="SV18" s="148">
        <f>SUM(data_1!SV48:SV55)</f>
        <v>0</v>
      </c>
      <c r="SW18" s="148">
        <f>SUM(data_1!SW48:SW55)</f>
        <v>0</v>
      </c>
      <c r="SX18" s="148">
        <f>SUM(data_1!SX48:SX55)</f>
        <v>0</v>
      </c>
      <c r="SY18" s="148">
        <f>SUM(data_1!SY48:SY55)</f>
        <v>0</v>
      </c>
      <c r="SZ18" s="148">
        <f>SUM(data_1!SZ48:SZ55)</f>
        <v>0</v>
      </c>
      <c r="TA18" s="148">
        <f>SUM(data_1!TA48:TA55)</f>
        <v>0</v>
      </c>
      <c r="TB18" s="148">
        <f>SUM(data_1!TB48:TB55)</f>
        <v>0</v>
      </c>
      <c r="TC18" s="148">
        <f>SUM(data_1!TC48:TC55)</f>
        <v>0</v>
      </c>
      <c r="TD18" s="148">
        <f>SUM(data_1!TD48:TD55)</f>
        <v>0</v>
      </c>
      <c r="TE18" s="148">
        <f>SUM(data_1!TE48:TE55)</f>
        <v>0</v>
      </c>
      <c r="TF18" s="148">
        <f>SUM(data_1!TF48:TF55)</f>
        <v>0</v>
      </c>
      <c r="TG18" s="148">
        <f>SUM(data_1!TG48:TG55)</f>
        <v>0</v>
      </c>
      <c r="TH18" s="148">
        <f>SUM(data_1!TH48:TH55)</f>
        <v>0</v>
      </c>
      <c r="TI18" s="148">
        <f>SUM(data_1!TI48:TI55)</f>
        <v>0</v>
      </c>
      <c r="TJ18" s="148">
        <f>SUM(data_1!TJ48:TJ55)</f>
        <v>0</v>
      </c>
      <c r="TK18" s="148">
        <f>SUM(data_1!TK48:TK55)</f>
        <v>0</v>
      </c>
      <c r="TL18" s="148">
        <f>SUM(data_1!TL48:TL55)</f>
        <v>0</v>
      </c>
      <c r="TM18" s="148">
        <f>SUM(data_1!TM48:TM55)</f>
        <v>0</v>
      </c>
      <c r="TN18" s="148">
        <f>SUM(data_1!TN48:TN55)</f>
        <v>0</v>
      </c>
      <c r="TO18" s="148">
        <f>SUM(data_1!TO48:TO55)</f>
        <v>0</v>
      </c>
      <c r="TP18" s="148">
        <f>SUM(data_1!TP48:TP55)</f>
        <v>0</v>
      </c>
      <c r="TQ18" s="148">
        <f>SUM(data_1!TQ48:TQ55)</f>
        <v>0</v>
      </c>
      <c r="TR18" s="148">
        <f>SUM(data_1!TR48:TR55)</f>
        <v>0</v>
      </c>
      <c r="TS18" s="148">
        <f>SUM(data_1!TS48:TS55)</f>
        <v>0</v>
      </c>
      <c r="TT18" s="148">
        <f>SUM(data_1!TT48:TT55)</f>
        <v>0</v>
      </c>
      <c r="TU18" s="148">
        <f>SUM(data_1!TU48:TU55)</f>
        <v>0</v>
      </c>
      <c r="TV18" s="148">
        <f>SUM(data_1!TV48:TV55)</f>
        <v>0</v>
      </c>
      <c r="TW18" s="148">
        <f>SUM(data_1!TW48:TW55)</f>
        <v>0</v>
      </c>
      <c r="TX18" s="148">
        <f>SUM(data_1!TX48:TX55)</f>
        <v>0</v>
      </c>
      <c r="TY18" s="148">
        <f>SUM(data_1!TY48:TY55)</f>
        <v>0</v>
      </c>
      <c r="TZ18" s="148">
        <f>SUM(data_1!TZ48:TZ55)</f>
        <v>0</v>
      </c>
      <c r="UA18" s="148">
        <f>SUM(data_1!UA48:UA55)</f>
        <v>0</v>
      </c>
      <c r="UB18" s="148">
        <f>SUM(data_1!UB48:UB55)</f>
        <v>0</v>
      </c>
      <c r="UC18" s="148">
        <f>SUM(data_1!UC48:UC55)</f>
        <v>0</v>
      </c>
      <c r="UD18" s="148">
        <f>SUM(data_1!UD48:UD55)</f>
        <v>0</v>
      </c>
      <c r="UE18" s="148">
        <f>SUM(data_1!UE48:UE55)</f>
        <v>0</v>
      </c>
      <c r="UF18" s="148">
        <f>SUM(data_1!UF48:UF55)</f>
        <v>0</v>
      </c>
      <c r="UG18" s="148">
        <f>SUM(data_1!UG48:UG55)</f>
        <v>0</v>
      </c>
      <c r="UH18" s="148">
        <f>SUM(data_1!UH48:UH55)</f>
        <v>0</v>
      </c>
      <c r="UI18" s="148">
        <f>SUM(data_1!UI48:UI55)</f>
        <v>0</v>
      </c>
      <c r="UJ18" s="148">
        <f>SUM(data_1!UJ48:UJ55)</f>
        <v>0</v>
      </c>
      <c r="UK18" s="148">
        <f>SUM(data_1!UK48:UK55)</f>
        <v>0</v>
      </c>
      <c r="UL18" s="148">
        <f>SUM(data_1!UL48:UL55)</f>
        <v>0</v>
      </c>
      <c r="UM18" s="148">
        <f>SUM(data_1!UM48:UM55)</f>
        <v>0</v>
      </c>
      <c r="UN18" s="148">
        <f>SUM(data_1!UN48:UN55)</f>
        <v>0</v>
      </c>
      <c r="UO18" s="148">
        <f>SUM(data_1!UO48:UO55)</f>
        <v>0</v>
      </c>
      <c r="UP18" s="148">
        <f>SUM(data_1!UP48:UP55)</f>
        <v>0</v>
      </c>
      <c r="UQ18" s="148">
        <f>SUM(data_1!UQ48:UQ55)</f>
        <v>0</v>
      </c>
      <c r="UR18" s="148">
        <f>SUM(data_1!UR48:UR55)</f>
        <v>0</v>
      </c>
      <c r="US18" s="148">
        <f>SUM(data_1!US48:US55)</f>
        <v>0</v>
      </c>
    </row>
    <row r="19" spans="1:565" x14ac:dyDescent="0.3">
      <c r="A19" s="139" t="s">
        <v>108</v>
      </c>
      <c r="B19" s="138">
        <v>40</v>
      </c>
      <c r="C19" s="141" t="s">
        <v>109</v>
      </c>
      <c r="F19" s="148">
        <f>SUM(data_1!F57:F63)</f>
        <v>13381150700</v>
      </c>
      <c r="G19" s="148">
        <f>SUM(data_1!G57:G63)</f>
        <v>0</v>
      </c>
      <c r="H19" s="148">
        <f>SUM(data_1!H57:H63)</f>
        <v>0</v>
      </c>
      <c r="I19" s="148">
        <f>SUM(data_1!I57:I63)</f>
        <v>585074932.77999997</v>
      </c>
      <c r="J19" s="148">
        <f>SUM(data_1!J57:J63)</f>
        <v>549327900</v>
      </c>
      <c r="K19" s="148">
        <f>SUM(data_1!K57:K63)</f>
        <v>35747032.780000001</v>
      </c>
      <c r="L19" s="148">
        <f>SUM(data_1!L57:L63)</f>
        <v>549327889.48000002</v>
      </c>
      <c r="M19" s="148">
        <f>SUM(data_1!M57:M63)</f>
        <v>1426900</v>
      </c>
      <c r="N19" s="148">
        <f>SUM(data_1!N57:N63)</f>
        <v>0</v>
      </c>
      <c r="O19" s="148">
        <f>SUM(data_1!O57:O63)</f>
        <v>585074921.67999995</v>
      </c>
      <c r="P19" s="148">
        <f>SUM(data_1!P57:P63)</f>
        <v>549327889.43000007</v>
      </c>
      <c r="Q19" s="148">
        <f>SUM(data_1!Q57:Q63)</f>
        <v>0</v>
      </c>
      <c r="R19" s="148">
        <f>SUM(data_1!R57:R63)</f>
        <v>35747032.25</v>
      </c>
      <c r="S19" s="148">
        <f>SUM(data_1!S57:S63)</f>
        <v>40.000140000000002</v>
      </c>
      <c r="T19" s="148">
        <f>SUM(data_1!T57:T63)</f>
        <v>1426900</v>
      </c>
      <c r="U19" s="148">
        <f>SUM(data_1!U57:U63)</f>
        <v>0.05</v>
      </c>
      <c r="V19" s="148">
        <f>SUM(data_1!V57:V63)</f>
        <v>549327889.48000002</v>
      </c>
      <c r="W19" s="148">
        <f>SUM(data_1!W57:W63)</f>
        <v>0</v>
      </c>
      <c r="X19" s="148">
        <f>SUM(data_1!X57:X63)</f>
        <v>549327900</v>
      </c>
      <c r="Y19" s="148">
        <f>SUM(data_1!Y57:Y63)</f>
        <v>549327900</v>
      </c>
      <c r="Z19" s="148">
        <f>SUM(data_1!Z57:Z63)</f>
        <v>0</v>
      </c>
      <c r="AA19" s="148">
        <f>SUM(data_1!AA57:AA63)</f>
        <v>338377768.60000002</v>
      </c>
      <c r="AB19" s="148">
        <f>SUM(data_1!AB57:AB63)</f>
        <v>318829500</v>
      </c>
      <c r="AC19" s="148">
        <f>SUM(data_1!AC57:AC63)</f>
        <v>19548268.600000001</v>
      </c>
      <c r="AD19" s="148">
        <f>SUM(data_1!AD57:AD63)</f>
        <v>318829468.97000003</v>
      </c>
      <c r="AE19" s="148">
        <f>SUM(data_1!AE57:AE63)</f>
        <v>205495.04000000001</v>
      </c>
      <c r="AF19" s="148">
        <f>SUM(data_1!AF57:AF63)</f>
        <v>0</v>
      </c>
      <c r="AG19" s="148">
        <f>SUM(data_1!AG57:AG63)</f>
        <v>337594417.89999998</v>
      </c>
      <c r="AH19" s="148">
        <f>SUM(data_1!AH57:AH63)</f>
        <v>318085316.88</v>
      </c>
      <c r="AI19" s="148">
        <f>SUM(data_1!AI57:AI63)</f>
        <v>0</v>
      </c>
      <c r="AJ19" s="148">
        <f>SUM(data_1!AJ57:AJ63)</f>
        <v>19509101.02</v>
      </c>
      <c r="AK19" s="148">
        <f>SUM(data_1!AK57:AK63)</f>
        <v>40.000019999999999</v>
      </c>
      <c r="AL19" s="148">
        <f>SUM(data_1!AL57:AL63)</f>
        <v>205495.04000000001</v>
      </c>
      <c r="AM19" s="148">
        <f>SUM(data_1!AM57:AM63)</f>
        <v>744152.09</v>
      </c>
      <c r="AN19" s="148">
        <f>SUM(data_1!AN57:AN63)</f>
        <v>318829468.97000003</v>
      </c>
      <c r="AO19" s="148">
        <f>SUM(data_1!AO57:AO63)</f>
        <v>0</v>
      </c>
      <c r="AP19" s="148">
        <f>SUM(data_1!AP57:AP63)</f>
        <v>318829500</v>
      </c>
      <c r="AQ19" s="148">
        <f>SUM(data_1!AQ57:AQ63)</f>
        <v>318829500</v>
      </c>
      <c r="AR19" s="148">
        <f>SUM(data_1!AR57:AR63)</f>
        <v>0</v>
      </c>
      <c r="AS19" s="148">
        <f>SUM(data_1!AS57:AS63)</f>
        <v>6911740080.3899994</v>
      </c>
      <c r="AT19" s="148">
        <f>SUM(data_1!AT57:AT63)</f>
        <v>6522342700</v>
      </c>
      <c r="AU19" s="148">
        <f>SUM(data_1!AU57:AU63)</f>
        <v>389397380.38999999</v>
      </c>
      <c r="AV19" s="148">
        <f>SUM(data_1!AV57:AV63)</f>
        <v>6515050945.3400002</v>
      </c>
      <c r="AW19" s="148">
        <f>SUM(data_1!AW57:AW63)</f>
        <v>141329523.30000001</v>
      </c>
      <c r="AX19" s="148">
        <f>SUM(data_1!AX57:AX63)</f>
        <v>0</v>
      </c>
      <c r="AY19" s="148">
        <f>SUM(data_1!AY57:AY63)</f>
        <v>6903983628.5200005</v>
      </c>
      <c r="AZ19" s="148">
        <f>SUM(data_1!AZ57:AZ63)</f>
        <v>6515050945.3199997</v>
      </c>
      <c r="BA19" s="148">
        <f>SUM(data_1!BA57:BA63)</f>
        <v>0</v>
      </c>
      <c r="BB19" s="148">
        <f>SUM(data_1!BB57:BB63)</f>
        <v>388932683.20000005</v>
      </c>
      <c r="BC19" s="148">
        <f>SUM(data_1!BC57:BC63)</f>
        <v>40.000010000000003</v>
      </c>
      <c r="BD19" s="148">
        <f>SUM(data_1!BD57:BD63)</f>
        <v>118403967.46000001</v>
      </c>
      <c r="BE19" s="148">
        <f>SUM(data_1!BE57:BE63)</f>
        <v>22925555.859999999</v>
      </c>
      <c r="BF19" s="148">
        <f>SUM(data_1!BF57:BF63)</f>
        <v>6515050945.3400002</v>
      </c>
      <c r="BG19" s="148">
        <f>SUM(data_1!BG57:BG63)</f>
        <v>0</v>
      </c>
      <c r="BH19" s="148">
        <f>SUM(data_1!BH57:BH63)</f>
        <v>6522342700</v>
      </c>
      <c r="BI19" s="148">
        <f>SUM(data_1!BI57:BI63)</f>
        <v>6522342700</v>
      </c>
      <c r="BJ19" s="148">
        <f>SUM(data_1!BJ57:BJ63)</f>
        <v>0</v>
      </c>
      <c r="BK19" s="148">
        <f>SUM(data_1!BK57:BK63)</f>
        <v>2144218106.8499999</v>
      </c>
      <c r="BL19" s="148">
        <f>SUM(data_1!BL57:BL63)</f>
        <v>1621794000</v>
      </c>
      <c r="BM19" s="148">
        <f>SUM(data_1!BM57:BM63)</f>
        <v>522424106.84999996</v>
      </c>
      <c r="BN19" s="148">
        <f>SUM(data_1!BN57:BN63)</f>
        <v>1616925230.1100001</v>
      </c>
      <c r="BO19" s="148">
        <f>SUM(data_1!BO57:BO63)</f>
        <v>0</v>
      </c>
      <c r="BP19" s="148">
        <f>SUM(data_1!BP57:BP63)</f>
        <v>0</v>
      </c>
      <c r="BQ19" s="148">
        <f>SUM(data_1!BQ57:BQ63)</f>
        <v>2137676581.3541999</v>
      </c>
      <c r="BR19" s="148">
        <f>SUM(data_1!BR57:BR63)</f>
        <v>1616921546.23</v>
      </c>
      <c r="BS19" s="148">
        <f>SUM(data_1!BS57:BS63)</f>
        <v>0</v>
      </c>
      <c r="BT19" s="148">
        <f>SUM(data_1!BT57:BT63)</f>
        <v>520755035.12419999</v>
      </c>
      <c r="BU19" s="148">
        <f>SUM(data_1!BU57:BU63)</f>
        <v>81.292929999999998</v>
      </c>
      <c r="BV19" s="148">
        <f>SUM(data_1!BV57:BV63)</f>
        <v>0</v>
      </c>
      <c r="BW19" s="148">
        <f>SUM(data_1!BW57:BW63)</f>
        <v>3683.88</v>
      </c>
      <c r="BX19" s="148">
        <f>SUM(data_1!BX57:BX63)</f>
        <v>1616925230.1100001</v>
      </c>
      <c r="BY19" s="148">
        <f>SUM(data_1!BY57:BY63)</f>
        <v>0</v>
      </c>
      <c r="BZ19" s="148">
        <f>SUM(data_1!BZ57:BZ63)</f>
        <v>1621794000</v>
      </c>
      <c r="CA19" s="148">
        <f>SUM(data_1!CA57:CA63)</f>
        <v>1621794000</v>
      </c>
      <c r="CB19" s="148">
        <f>SUM(data_1!CB57:CB63)</f>
        <v>0</v>
      </c>
      <c r="CC19" s="148">
        <f>SUM(data_1!CC57:CC63)</f>
        <v>1315099371.7</v>
      </c>
      <c r="CD19" s="148">
        <f>SUM(data_1!CD57:CD63)</f>
        <v>1238072100</v>
      </c>
      <c r="CE19" s="148">
        <f>SUM(data_1!CE57:CE63)</f>
        <v>77027271.700000003</v>
      </c>
      <c r="CF19" s="148">
        <f>SUM(data_1!CF57:CF63)</f>
        <v>1237713157.1100001</v>
      </c>
      <c r="CG19" s="148">
        <f>SUM(data_1!CG57:CG63)</f>
        <v>11183702.15</v>
      </c>
      <c r="CH19" s="148">
        <f>SUM(data_1!CH57:CH63)</f>
        <v>0</v>
      </c>
      <c r="CI19" s="148">
        <f>SUM(data_1!CI57:CI63)</f>
        <v>1314713412.3600001</v>
      </c>
      <c r="CJ19" s="148">
        <f>SUM(data_1!CJ57:CJ63)</f>
        <v>1237713157.1100001</v>
      </c>
      <c r="CK19" s="148">
        <f>SUM(data_1!CK57:CK63)</f>
        <v>0</v>
      </c>
      <c r="CL19" s="148">
        <f>SUM(data_1!CL57:CL63)</f>
        <v>77000255.25</v>
      </c>
      <c r="CM19" s="148">
        <f>SUM(data_1!CM57:CM63)</f>
        <v>40.000070000000001</v>
      </c>
      <c r="CN19" s="148">
        <f>SUM(data_1!CN57:CN63)</f>
        <v>11183702.15</v>
      </c>
      <c r="CO19" s="148">
        <f>SUM(data_1!CO57:CO63)</f>
        <v>0</v>
      </c>
      <c r="CP19" s="148">
        <f>SUM(data_1!CP57:CP63)</f>
        <v>1237713157.1100001</v>
      </c>
      <c r="CQ19" s="148">
        <f>SUM(data_1!CQ57:CQ63)</f>
        <v>0</v>
      </c>
      <c r="CR19" s="148">
        <f>SUM(data_1!CR57:CR63)</f>
        <v>1238072100</v>
      </c>
      <c r="CS19" s="148">
        <f>SUM(data_1!CS57:CS63)</f>
        <v>1238072100</v>
      </c>
      <c r="CT19" s="148">
        <f>SUM(data_1!CT57:CT63)</f>
        <v>0</v>
      </c>
      <c r="CU19" s="148">
        <f>SUM(data_1!CU57:CU63)</f>
        <v>477961003.63999999</v>
      </c>
      <c r="CV19" s="148">
        <f>SUM(data_1!CV57:CV63)</f>
        <v>457184000</v>
      </c>
      <c r="CW19" s="148">
        <f>SUM(data_1!CW57:CW63)</f>
        <v>20777003.640000001</v>
      </c>
      <c r="CX19" s="148">
        <f>SUM(data_1!CX57:CX63)</f>
        <v>457184000</v>
      </c>
      <c r="CY19" s="148">
        <f>SUM(data_1!CY57:CY63)</f>
        <v>0</v>
      </c>
      <c r="CZ19" s="148">
        <f>SUM(data_1!CZ57:CZ63)</f>
        <v>0</v>
      </c>
      <c r="DA19" s="148">
        <f>SUM(data_1!DA57:DA63)</f>
        <v>477961003.63999999</v>
      </c>
      <c r="DB19" s="148">
        <f>SUM(data_1!DB57:DB63)</f>
        <v>457184000</v>
      </c>
      <c r="DC19" s="148">
        <f>SUM(data_1!DC57:DC63)</f>
        <v>0</v>
      </c>
      <c r="DD19" s="148">
        <f>SUM(data_1!DD57:DD63)</f>
        <v>20777003.640000001</v>
      </c>
      <c r="DE19" s="148">
        <f>SUM(data_1!DE57:DE63)</f>
        <v>8</v>
      </c>
      <c r="DF19" s="148">
        <f>SUM(data_1!DF57:DF63)</f>
        <v>0</v>
      </c>
      <c r="DG19" s="148">
        <f>SUM(data_1!DG57:DG63)</f>
        <v>0</v>
      </c>
      <c r="DH19" s="148">
        <f>SUM(data_1!DH57:DH63)</f>
        <v>457184000</v>
      </c>
      <c r="DI19" s="148">
        <f>SUM(data_1!DI57:DI63)</f>
        <v>0</v>
      </c>
      <c r="DJ19" s="148">
        <f>SUM(data_1!DJ57:DJ63)</f>
        <v>457184000</v>
      </c>
      <c r="DK19" s="148">
        <f>SUM(data_1!DK57:DK63)</f>
        <v>457184000</v>
      </c>
      <c r="DL19" s="148">
        <f>SUM(data_1!DL57:DL63)</f>
        <v>0</v>
      </c>
      <c r="DM19" s="148">
        <f>SUM(data_1!DM57:DM63)</f>
        <v>284116284.5</v>
      </c>
      <c r="DN19" s="148">
        <f>SUM(data_1!DN57:DN63)</f>
        <v>277579800</v>
      </c>
      <c r="DO19" s="148">
        <f>SUM(data_1!DO57:DO63)</f>
        <v>6536484.5</v>
      </c>
      <c r="DP19" s="148">
        <f>SUM(data_1!DP57:DP63)</f>
        <v>277579799.65999997</v>
      </c>
      <c r="DQ19" s="148">
        <f>SUM(data_1!DQ57:DQ63)</f>
        <v>0</v>
      </c>
      <c r="DR19" s="148">
        <f>SUM(data_1!DR57:DR63)</f>
        <v>0</v>
      </c>
      <c r="DS19" s="148">
        <f>SUM(data_1!DS57:DS63)</f>
        <v>284116284.13999999</v>
      </c>
      <c r="DT19" s="148">
        <f>SUM(data_1!DT57:DT63)</f>
        <v>277579799.65999997</v>
      </c>
      <c r="DU19" s="148">
        <f>SUM(data_1!DU57:DU63)</f>
        <v>0</v>
      </c>
      <c r="DV19" s="148">
        <f>SUM(data_1!DV57:DV63)</f>
        <v>6536484.4800000004</v>
      </c>
      <c r="DW19" s="148">
        <f>SUM(data_1!DW57:DW63)</f>
        <v>5.83392</v>
      </c>
      <c r="DX19" s="148">
        <f>SUM(data_1!DX57:DX63)</f>
        <v>0</v>
      </c>
      <c r="DY19" s="148">
        <f>SUM(data_1!DY57:DY63)</f>
        <v>0</v>
      </c>
      <c r="DZ19" s="148">
        <f>SUM(data_1!DZ57:DZ63)</f>
        <v>277579799.65999997</v>
      </c>
      <c r="EA19" s="148">
        <f>SUM(data_1!EA57:EA63)</f>
        <v>0</v>
      </c>
      <c r="EB19" s="148">
        <f>SUM(data_1!EB57:EB63)</f>
        <v>277579800</v>
      </c>
      <c r="EC19" s="148">
        <f>SUM(data_1!EC57:EC63)</f>
        <v>277579800</v>
      </c>
      <c r="ED19" s="148">
        <f>SUM(data_1!ED57:ED63)</f>
        <v>0</v>
      </c>
      <c r="EE19" s="148">
        <f>SUM(data_1!EE57:EE63)</f>
        <v>992365762.88</v>
      </c>
      <c r="EF19" s="148">
        <f>SUM(data_1!EF57:EF63)</f>
        <v>982442100</v>
      </c>
      <c r="EG19" s="148">
        <f>SUM(data_1!EG57:EG63)</f>
        <v>9923662.879999999</v>
      </c>
      <c r="EH19" s="148">
        <f>SUM(data_1!EH57:EH63)</f>
        <v>981096537.08000004</v>
      </c>
      <c r="EI19" s="148">
        <f>SUM(data_1!EI57:EI63)</f>
        <v>0</v>
      </c>
      <c r="EJ19" s="148">
        <f>SUM(data_1!EJ57:EJ63)</f>
        <v>0</v>
      </c>
      <c r="EK19" s="148">
        <f>SUM(data_1!EK57:EK63)</f>
        <v>991006607.95939004</v>
      </c>
      <c r="EL19" s="148">
        <f>SUM(data_1!EL57:EL63)</f>
        <v>981096537.08000004</v>
      </c>
      <c r="EM19" s="148">
        <f>SUM(data_1!EM57:EM63)</f>
        <v>0</v>
      </c>
      <c r="EN19" s="148">
        <f>SUM(data_1!EN57:EN63)</f>
        <v>9910070.8793899994</v>
      </c>
      <c r="EO19" s="148">
        <f>SUM(data_1!EO57:EO63)</f>
        <v>7</v>
      </c>
      <c r="EP19" s="148">
        <f>SUM(data_1!EP57:EP63)</f>
        <v>0</v>
      </c>
      <c r="EQ19" s="148">
        <f>SUM(data_1!EQ57:EQ63)</f>
        <v>0</v>
      </c>
      <c r="ER19" s="148">
        <f>SUM(data_1!ER57:ER63)</f>
        <v>981096537.08000004</v>
      </c>
      <c r="ES19" s="148">
        <f>SUM(data_1!ES57:ES63)</f>
        <v>0</v>
      </c>
      <c r="ET19" s="148">
        <f>SUM(data_1!ET57:ET63)</f>
        <v>982442100</v>
      </c>
      <c r="EU19" s="148">
        <f>SUM(data_1!EU57:EU63)</f>
        <v>982442100</v>
      </c>
      <c r="EV19" s="148">
        <f>SUM(data_1!EV57:EV63)</f>
        <v>0</v>
      </c>
      <c r="EW19" s="148">
        <f>SUM(data_1!EW57:EW63)</f>
        <v>1003370971.4400001</v>
      </c>
      <c r="EX19" s="148">
        <f>SUM(data_1!EX57:EX63)</f>
        <v>894001700</v>
      </c>
      <c r="EY19" s="148">
        <f>SUM(data_1!EY57:EY63)</f>
        <v>109369271.44</v>
      </c>
      <c r="EZ19" s="148">
        <f>SUM(data_1!EZ57:EZ63)</f>
        <v>893745111.36999989</v>
      </c>
      <c r="FA19" s="148">
        <f>SUM(data_1!FA57:FA63)</f>
        <v>2305789.2400000002</v>
      </c>
      <c r="FB19" s="148">
        <f>SUM(data_1!FB57:FB63)</f>
        <v>0</v>
      </c>
      <c r="FC19" s="148">
        <f>SUM(data_1!FC57:FC63)</f>
        <v>1003002784.45</v>
      </c>
      <c r="FD19" s="148">
        <f>SUM(data_1!FD57:FD63)</f>
        <v>893676769.37999988</v>
      </c>
      <c r="FE19" s="148">
        <f>SUM(data_1!FE57:FE63)</f>
        <v>0</v>
      </c>
      <c r="FF19" s="148">
        <f>SUM(data_1!FF57:FF63)</f>
        <v>109326015.06999999</v>
      </c>
      <c r="FG19" s="148">
        <f>SUM(data_1!FG57:FG63)</f>
        <v>70.612409999999997</v>
      </c>
      <c r="FH19" s="148">
        <f>SUM(data_1!FH57:FH63)</f>
        <v>2305789.2400000002</v>
      </c>
      <c r="FI19" s="148">
        <f>SUM(data_1!FI57:FI63)</f>
        <v>68341.990000000005</v>
      </c>
      <c r="FJ19" s="148">
        <f>SUM(data_1!FJ57:FJ63)</f>
        <v>893745111.36999989</v>
      </c>
      <c r="FK19" s="148">
        <f>SUM(data_1!FK57:FK63)</f>
        <v>0</v>
      </c>
      <c r="FL19" s="148">
        <f>SUM(data_1!FL57:FL63)</f>
        <v>894001700</v>
      </c>
      <c r="FM19" s="148">
        <f>SUM(data_1!FM57:FM63)</f>
        <v>894001700</v>
      </c>
      <c r="FN19" s="148">
        <f>SUM(data_1!FN57:FN63)</f>
        <v>0</v>
      </c>
      <c r="FO19" s="148">
        <f>SUM(data_1!FO57:FO63)</f>
        <v>0</v>
      </c>
      <c r="FP19" s="148">
        <f>SUM(data_1!FP57:FP63)</f>
        <v>0</v>
      </c>
      <c r="FQ19" s="148">
        <f>SUM(data_1!FQ57:FQ63)</f>
        <v>0</v>
      </c>
      <c r="FR19" s="148">
        <f>SUM(data_1!FR57:FR63)</f>
        <v>0</v>
      </c>
      <c r="FS19" s="148">
        <f>SUM(data_1!FS57:FS63)</f>
        <v>186431.67</v>
      </c>
      <c r="FT19" s="148">
        <f>SUM(data_1!FT57:FT63)</f>
        <v>0</v>
      </c>
      <c r="FU19" s="148">
        <f>SUM(data_1!FU57:FU63)</f>
        <v>0</v>
      </c>
      <c r="FV19" s="148">
        <f>SUM(data_1!FV57:FV63)</f>
        <v>0</v>
      </c>
      <c r="FW19" s="148">
        <f>SUM(data_1!FW57:FW63)</f>
        <v>0</v>
      </c>
      <c r="FX19" s="148">
        <f>SUM(data_1!FX57:FX63)</f>
        <v>0</v>
      </c>
      <c r="FY19" s="148">
        <f>SUM(data_1!FY57:FY63)</f>
        <v>0</v>
      </c>
      <c r="FZ19" s="148">
        <f>SUM(data_1!FZ57:FZ63)</f>
        <v>186431.67</v>
      </c>
      <c r="GA19" s="148">
        <f>SUM(data_1!GA57:GA63)</f>
        <v>0</v>
      </c>
      <c r="GB19" s="148">
        <f>SUM(data_1!GB57:GB63)</f>
        <v>0</v>
      </c>
      <c r="GC19" s="148">
        <f>SUM(data_1!GC57:GC63)</f>
        <v>0</v>
      </c>
      <c r="GD19" s="148">
        <f>SUM(data_1!GD57:GD63)</f>
        <v>0</v>
      </c>
      <c r="GE19" s="148">
        <f>SUM(data_1!GE57:GE63)</f>
        <v>0</v>
      </c>
      <c r="GF19" s="148">
        <f>SUM(data_1!GF57:GF63)</f>
        <v>0</v>
      </c>
      <c r="GG19" s="148">
        <f>SUM(data_1!GG57:GG63)</f>
        <v>208025721.96000001</v>
      </c>
      <c r="GH19" s="148">
        <f>SUM(data_1!GH57:GH63)</f>
        <v>192193800</v>
      </c>
      <c r="GI19" s="148">
        <f>SUM(data_1!GI57:GI63)</f>
        <v>15831921.960000001</v>
      </c>
      <c r="GJ19" s="148">
        <f>SUM(data_1!GJ57:GJ63)</f>
        <v>174427953.73999998</v>
      </c>
      <c r="GK19" s="148">
        <f>SUM(data_1!GK57:GK63)</f>
        <v>2545.15</v>
      </c>
      <c r="GL19" s="148">
        <f>SUM(data_1!GL57:GL63)</f>
        <v>0</v>
      </c>
      <c r="GM19" s="148">
        <f>SUM(data_1!GM57:GM63)</f>
        <v>188243569.64999998</v>
      </c>
      <c r="GN19" s="148">
        <f>SUM(data_1!GN57:GN63)</f>
        <v>174427953.73999998</v>
      </c>
      <c r="GO19" s="148">
        <f>SUM(data_1!GO57:GO63)</f>
        <v>0</v>
      </c>
      <c r="GP19" s="148">
        <f>SUM(data_1!GP57:GP63)</f>
        <v>13815615.91</v>
      </c>
      <c r="GQ19" s="148">
        <f>SUM(data_1!GQ57:GQ63)</f>
        <v>51.348390000000002</v>
      </c>
      <c r="GR19" s="148">
        <f>SUM(data_1!GR57:GR63)</f>
        <v>2545.15</v>
      </c>
      <c r="GS19" s="148">
        <f>SUM(data_1!GS57:GS63)</f>
        <v>0</v>
      </c>
      <c r="GT19" s="148">
        <f>SUM(data_1!GT57:GT63)</f>
        <v>174427953.73999998</v>
      </c>
      <c r="GU19" s="148">
        <f>SUM(data_1!GU57:GU63)</f>
        <v>0</v>
      </c>
      <c r="GV19" s="148">
        <f>SUM(data_1!GV57:GV63)</f>
        <v>192193800</v>
      </c>
      <c r="GW19" s="148">
        <f>SUM(data_1!GW57:GW63)</f>
        <v>192193800</v>
      </c>
      <c r="GX19" s="148">
        <f>SUM(data_1!GX57:GX63)</f>
        <v>0</v>
      </c>
      <c r="GY19" s="148">
        <f>SUM(data_1!GY57:GY63)</f>
        <v>0</v>
      </c>
      <c r="GZ19" s="148">
        <f>SUM(data_1!GZ57:GZ63)</f>
        <v>0</v>
      </c>
      <c r="HA19" s="148">
        <f>SUM(data_1!HA57:HA63)</f>
        <v>0</v>
      </c>
      <c r="HB19" s="148">
        <f>SUM(data_1!HB57:HB63)</f>
        <v>0</v>
      </c>
      <c r="HC19" s="148">
        <f>SUM(data_1!HC57:HC63)</f>
        <v>28722.45</v>
      </c>
      <c r="HD19" s="148">
        <f>SUM(data_1!HD57:HD63)</f>
        <v>0</v>
      </c>
      <c r="HE19" s="148">
        <f>SUM(data_1!HE57:HE63)</f>
        <v>0</v>
      </c>
      <c r="HF19" s="148">
        <f>SUM(data_1!HF57:HF63)</f>
        <v>0</v>
      </c>
      <c r="HG19" s="148">
        <f>SUM(data_1!HG57:HG63)</f>
        <v>0</v>
      </c>
      <c r="HH19" s="148">
        <f>SUM(data_1!HH57:HH63)</f>
        <v>0</v>
      </c>
      <c r="HI19" s="148">
        <f>SUM(data_1!HI57:HI63)</f>
        <v>0</v>
      </c>
      <c r="HJ19" s="148">
        <f>SUM(data_1!HJ57:HJ63)</f>
        <v>28722.45</v>
      </c>
      <c r="HK19" s="148">
        <f>SUM(data_1!HK57:HK63)</f>
        <v>0</v>
      </c>
      <c r="HL19" s="148">
        <f>SUM(data_1!HL57:HL63)</f>
        <v>0</v>
      </c>
      <c r="HM19" s="148">
        <f>SUM(data_1!HM57:HM63)</f>
        <v>0</v>
      </c>
      <c r="HN19" s="148">
        <f>SUM(data_1!HN57:HN63)</f>
        <v>0</v>
      </c>
      <c r="HO19" s="148">
        <f>SUM(data_1!HO57:HO63)</f>
        <v>0</v>
      </c>
      <c r="HP19" s="148">
        <f>SUM(data_1!HP57:HP63)</f>
        <v>0</v>
      </c>
      <c r="HQ19" s="148">
        <f>SUM(data_1!HQ57:HQ63)</f>
        <v>197444315.78999999</v>
      </c>
      <c r="HR19" s="148">
        <f>SUM(data_1!HR57:HR63)</f>
        <v>187572100</v>
      </c>
      <c r="HS19" s="148">
        <f>SUM(data_1!HS57:HS63)</f>
        <v>9872215.7899999991</v>
      </c>
      <c r="HT19" s="148">
        <f>SUM(data_1!HT57:HT63)</f>
        <v>187572100</v>
      </c>
      <c r="HU19" s="148">
        <f>SUM(data_1!HU57:HU63)</f>
        <v>0</v>
      </c>
      <c r="HV19" s="148">
        <f>SUM(data_1!HV57:HV63)</f>
        <v>0</v>
      </c>
      <c r="HW19" s="148">
        <f>SUM(data_1!HW57:HW63)</f>
        <v>197444315.78999999</v>
      </c>
      <c r="HX19" s="148">
        <f>SUM(data_1!HX57:HX63)</f>
        <v>187572100</v>
      </c>
      <c r="HY19" s="148">
        <f>SUM(data_1!HY57:HY63)</f>
        <v>0</v>
      </c>
      <c r="HZ19" s="148">
        <f>SUM(data_1!HZ57:HZ63)</f>
        <v>9872215.7899999991</v>
      </c>
      <c r="IA19" s="148">
        <f>SUM(data_1!IA57:IA63)</f>
        <v>5</v>
      </c>
      <c r="IB19" s="148">
        <f>SUM(data_1!IB57:IB63)</f>
        <v>0</v>
      </c>
      <c r="IC19" s="148">
        <f>SUM(data_1!IC57:IC63)</f>
        <v>0</v>
      </c>
      <c r="ID19" s="148">
        <f>SUM(data_1!ID57:ID63)</f>
        <v>187572100</v>
      </c>
      <c r="IE19" s="148">
        <f>SUM(data_1!IE57:IE63)</f>
        <v>0</v>
      </c>
      <c r="IF19" s="148">
        <f>SUM(data_1!IF57:IF63)</f>
        <v>187572100</v>
      </c>
      <c r="IG19" s="148">
        <f>SUM(data_1!IG57:IG63)</f>
        <v>187572100</v>
      </c>
      <c r="IH19" s="148">
        <f>SUM(data_1!IH57:IH63)</f>
        <v>0</v>
      </c>
      <c r="II19" s="148">
        <f>SUM(data_1!II57:II63)</f>
        <v>0</v>
      </c>
      <c r="IJ19" s="148">
        <f>SUM(data_1!IJ57:IJ63)</f>
        <v>0</v>
      </c>
      <c r="IK19" s="148">
        <f>SUM(data_1!IK57:IK63)</f>
        <v>0</v>
      </c>
      <c r="IL19" s="148">
        <f>SUM(data_1!IL57:IL63)</f>
        <v>0</v>
      </c>
      <c r="IM19" s="148">
        <f>SUM(data_1!IM57:IM63)</f>
        <v>0</v>
      </c>
      <c r="IN19" s="148">
        <f>SUM(data_1!IN57:IN63)</f>
        <v>0</v>
      </c>
      <c r="IO19" s="148">
        <f>SUM(data_1!IO57:IO63)</f>
        <v>0</v>
      </c>
      <c r="IP19" s="148">
        <f>SUM(data_1!IP57:IP63)</f>
        <v>0</v>
      </c>
      <c r="IQ19" s="148">
        <f>SUM(data_1!IQ57:IQ63)</f>
        <v>0</v>
      </c>
      <c r="IR19" s="148">
        <f>SUM(data_1!IR57:IR63)</f>
        <v>0</v>
      </c>
      <c r="IS19" s="148">
        <f>SUM(data_1!IS57:IS63)</f>
        <v>0</v>
      </c>
      <c r="IT19" s="148">
        <f>SUM(data_1!IT57:IT63)</f>
        <v>0</v>
      </c>
      <c r="IU19" s="148">
        <f>SUM(data_1!IU57:IU63)</f>
        <v>0</v>
      </c>
      <c r="IV19" s="148">
        <f>SUM(data_1!IV57:IV63)</f>
        <v>0</v>
      </c>
      <c r="IW19" s="148">
        <f>SUM(data_1!IW57:IW63)</f>
        <v>0</v>
      </c>
      <c r="IX19" s="148">
        <f>SUM(data_1!IX57:IX63)</f>
        <v>0</v>
      </c>
      <c r="IY19" s="148">
        <f>SUM(data_1!IY57:IY63)</f>
        <v>0</v>
      </c>
      <c r="IZ19" s="148">
        <f>SUM(data_1!IZ57:IZ63)</f>
        <v>0</v>
      </c>
      <c r="JA19" s="148">
        <f>SUM(data_1!JA57:JA63)</f>
        <v>30387277.5</v>
      </c>
      <c r="JB19" s="148">
        <f>SUM(data_1!JB57:JB63)</f>
        <v>28677000</v>
      </c>
      <c r="JC19" s="148">
        <f>SUM(data_1!JC57:JC63)</f>
        <v>1710277.5</v>
      </c>
      <c r="JD19" s="148">
        <f>SUM(data_1!JD57:JD63)</f>
        <v>28576572.870000001</v>
      </c>
      <c r="JE19" s="148">
        <f>SUM(data_1!JE57:JE63)</f>
        <v>0</v>
      </c>
      <c r="JF19" s="148">
        <f>SUM(data_1!JF57:JF63)</f>
        <v>0</v>
      </c>
      <c r="JG19" s="148">
        <f>SUM(data_1!JG57:JG63)</f>
        <v>30279291.309999999</v>
      </c>
      <c r="JH19" s="148">
        <f>SUM(data_1!JH57:JH63)</f>
        <v>28576572.870000001</v>
      </c>
      <c r="JI19" s="148">
        <f>SUM(data_1!JI57:JI63)</f>
        <v>0</v>
      </c>
      <c r="JJ19" s="148">
        <f>SUM(data_1!JJ57:JJ63)</f>
        <v>1702718.44</v>
      </c>
      <c r="JK19" s="148">
        <f>SUM(data_1!JK57:JK63)</f>
        <v>29.000209999999999</v>
      </c>
      <c r="JL19" s="148">
        <f>SUM(data_1!JL57:JL63)</f>
        <v>0</v>
      </c>
      <c r="JM19" s="148">
        <f>SUM(data_1!JM57:JM63)</f>
        <v>0</v>
      </c>
      <c r="JN19" s="148">
        <f>SUM(data_1!JN57:JN63)</f>
        <v>28576572.870000001</v>
      </c>
      <c r="JO19" s="148">
        <f>SUM(data_1!JO57:JO63)</f>
        <v>0</v>
      </c>
      <c r="JP19" s="148">
        <f>SUM(data_1!JP57:JP63)</f>
        <v>28677000</v>
      </c>
      <c r="JQ19" s="148">
        <f>SUM(data_1!JQ57:JQ63)</f>
        <v>28677000</v>
      </c>
      <c r="JR19" s="148">
        <f>SUM(data_1!JR57:JR63)</f>
        <v>0</v>
      </c>
      <c r="JS19" s="148">
        <f>SUM(data_1!JS57:JS63)</f>
        <v>0</v>
      </c>
      <c r="JT19" s="148">
        <f>SUM(data_1!JT57:JT63)</f>
        <v>0</v>
      </c>
      <c r="JU19" s="148">
        <f>SUM(data_1!JU57:JU63)</f>
        <v>0</v>
      </c>
      <c r="JV19" s="148">
        <f>SUM(data_1!JV57:JV63)</f>
        <v>0</v>
      </c>
      <c r="JW19" s="148">
        <f>SUM(data_1!JW57:JW63)</f>
        <v>0</v>
      </c>
      <c r="JX19" s="148">
        <f>SUM(data_1!JX57:JX63)</f>
        <v>0</v>
      </c>
      <c r="JY19" s="148">
        <f>SUM(data_1!JY57:JY63)</f>
        <v>0</v>
      </c>
      <c r="JZ19" s="148">
        <f>SUM(data_1!JZ57:JZ63)</f>
        <v>0</v>
      </c>
      <c r="KA19" s="148">
        <f>SUM(data_1!KA57:KA63)</f>
        <v>0</v>
      </c>
      <c r="KB19" s="148">
        <f>SUM(data_1!KB57:KB63)</f>
        <v>0</v>
      </c>
      <c r="KC19" s="148">
        <f>SUM(data_1!KC57:KC63)</f>
        <v>0</v>
      </c>
      <c r="KD19" s="148">
        <f>SUM(data_1!KD57:KD63)</f>
        <v>0</v>
      </c>
      <c r="KE19" s="148">
        <f>SUM(data_1!KE57:KE63)</f>
        <v>0</v>
      </c>
      <c r="KF19" s="148">
        <f>SUM(data_1!KF57:KF63)</f>
        <v>0</v>
      </c>
      <c r="KG19" s="148">
        <f>SUM(data_1!KG57:KG63)</f>
        <v>0</v>
      </c>
      <c r="KH19" s="148">
        <f>SUM(data_1!KH57:KH63)</f>
        <v>0</v>
      </c>
      <c r="KI19" s="148">
        <f>SUM(data_1!KI57:KI63)</f>
        <v>0</v>
      </c>
      <c r="KJ19" s="148">
        <f>SUM(data_1!KJ57:KJ63)</f>
        <v>0</v>
      </c>
      <c r="KK19" s="148">
        <f>SUM(data_1!KK57:KK63)</f>
        <v>61276354.25</v>
      </c>
      <c r="KL19" s="148">
        <f>SUM(data_1!KL57:KL63)</f>
        <v>27058700</v>
      </c>
      <c r="KM19" s="148">
        <f>SUM(data_1!KM57:KM63)</f>
        <v>34217654.25</v>
      </c>
      <c r="KN19" s="148">
        <f>SUM(data_1!KN57:KN63)</f>
        <v>25948160.100000001</v>
      </c>
      <c r="KO19" s="148">
        <f>SUM(data_1!KO57:KO63)</f>
        <v>0</v>
      </c>
      <c r="KP19" s="148">
        <f>SUM(data_1!KP57:KP63)</f>
        <v>0</v>
      </c>
      <c r="KQ19" s="148">
        <f>SUM(data_1!KQ57:KQ63)</f>
        <v>58881321.340000004</v>
      </c>
      <c r="KR19" s="148">
        <f>SUM(data_1!KR57:KR63)</f>
        <v>25948160.100000001</v>
      </c>
      <c r="KS19" s="148">
        <f>SUM(data_1!KS57:KS63)</f>
        <v>0</v>
      </c>
      <c r="KT19" s="148">
        <f>SUM(data_1!KT57:KT63)</f>
        <v>32933161.239999998</v>
      </c>
      <c r="KU19" s="148">
        <f>SUM(data_1!KU57:KU63)</f>
        <v>112.71431</v>
      </c>
      <c r="KV19" s="148">
        <f>SUM(data_1!KV57:KV63)</f>
        <v>0</v>
      </c>
      <c r="KW19" s="148">
        <f>SUM(data_1!KW57:KW63)</f>
        <v>0</v>
      </c>
      <c r="KX19" s="148">
        <f>SUM(data_1!KX57:KX63)</f>
        <v>25948160.100000001</v>
      </c>
      <c r="KY19" s="148">
        <f>SUM(data_1!KY57:KY63)</f>
        <v>0</v>
      </c>
      <c r="KZ19" s="148">
        <f>SUM(data_1!KZ57:KZ63)</f>
        <v>27058700</v>
      </c>
      <c r="LA19" s="148">
        <f>SUM(data_1!LA57:LA63)</f>
        <v>27058700</v>
      </c>
      <c r="LB19" s="148">
        <f>SUM(data_1!LB57:LB63)</f>
        <v>0</v>
      </c>
      <c r="LC19" s="148">
        <f>SUM(data_1!LC57:LC63)</f>
        <v>0</v>
      </c>
      <c r="LD19" s="148">
        <f>SUM(data_1!LD57:LD63)</f>
        <v>0</v>
      </c>
      <c r="LE19" s="148">
        <f>SUM(data_1!LE57:LE63)</f>
        <v>0</v>
      </c>
      <c r="LF19" s="148">
        <f>SUM(data_1!LF57:LF63)</f>
        <v>0</v>
      </c>
      <c r="LG19" s="148">
        <f>SUM(data_1!LG57:LG63)</f>
        <v>5390.21</v>
      </c>
      <c r="LH19" s="148">
        <f>SUM(data_1!LH57:LH63)</f>
        <v>0</v>
      </c>
      <c r="LI19" s="148">
        <f>SUM(data_1!LI57:LI63)</f>
        <v>0</v>
      </c>
      <c r="LJ19" s="148">
        <f>SUM(data_1!LJ57:LJ63)</f>
        <v>0</v>
      </c>
      <c r="LK19" s="148">
        <f>SUM(data_1!LK57:LK63)</f>
        <v>0</v>
      </c>
      <c r="LL19" s="148">
        <f>SUM(data_1!LL57:LL63)</f>
        <v>0</v>
      </c>
      <c r="LM19" s="148">
        <f>SUM(data_1!LM57:LM63)</f>
        <v>0</v>
      </c>
      <c r="LN19" s="148">
        <f>SUM(data_1!LN57:LN63)</f>
        <v>5390.21</v>
      </c>
      <c r="LO19" s="148">
        <f>SUM(data_1!LO57:LO63)</f>
        <v>0</v>
      </c>
      <c r="LP19" s="148">
        <f>SUM(data_1!LP57:LP63)</f>
        <v>0</v>
      </c>
      <c r="LQ19" s="148">
        <f>SUM(data_1!LQ57:LQ63)</f>
        <v>0</v>
      </c>
      <c r="LR19" s="148">
        <f>SUM(data_1!LR57:LR63)</f>
        <v>0</v>
      </c>
      <c r="LS19" s="148">
        <f>SUM(data_1!LS57:LS63)</f>
        <v>0</v>
      </c>
      <c r="LT19" s="148">
        <f>SUM(data_1!LT57:LT63)</f>
        <v>0</v>
      </c>
      <c r="LU19" s="148">
        <f>SUM(data_1!LU57:LU63)</f>
        <v>66138905.269999996</v>
      </c>
      <c r="LV19" s="148">
        <f>SUM(data_1!LV57:LV63)</f>
        <v>61688900</v>
      </c>
      <c r="LW19" s="148">
        <f>SUM(data_1!LW57:LW63)</f>
        <v>4450005.2699999996</v>
      </c>
      <c r="LX19" s="148">
        <f>SUM(data_1!LX57:LX63)</f>
        <v>61688900</v>
      </c>
      <c r="LY19" s="148">
        <f>SUM(data_1!LY57:LY63)</f>
        <v>0</v>
      </c>
      <c r="LZ19" s="148">
        <f>SUM(data_1!LZ57:LZ63)</f>
        <v>0</v>
      </c>
      <c r="MA19" s="148">
        <f>SUM(data_1!MA57:MA63)</f>
        <v>66138905.269999996</v>
      </c>
      <c r="MB19" s="148">
        <f>SUM(data_1!MB57:MB63)</f>
        <v>61688900</v>
      </c>
      <c r="MC19" s="148">
        <f>SUM(data_1!MC57:MC63)</f>
        <v>0</v>
      </c>
      <c r="MD19" s="148">
        <f>SUM(data_1!MD57:MD63)</f>
        <v>4450005.2699999996</v>
      </c>
      <c r="ME19" s="148">
        <f>SUM(data_1!ME57:ME63)</f>
        <v>19.2119</v>
      </c>
      <c r="MF19" s="148">
        <f>SUM(data_1!MF57:MF63)</f>
        <v>0</v>
      </c>
      <c r="MG19" s="148">
        <f>SUM(data_1!MG57:MG63)</f>
        <v>0</v>
      </c>
      <c r="MH19" s="148">
        <f>SUM(data_1!MH57:MH63)</f>
        <v>61688900</v>
      </c>
      <c r="MI19" s="148">
        <f>SUM(data_1!MI57:MI63)</f>
        <v>0</v>
      </c>
      <c r="MJ19" s="148">
        <f>SUM(data_1!MJ57:MJ63)</f>
        <v>61688900</v>
      </c>
      <c r="MK19" s="148">
        <f>SUM(data_1!MK57:MK63)</f>
        <v>61688900</v>
      </c>
      <c r="ML19" s="148">
        <f>SUM(data_1!ML57:ML63)</f>
        <v>0</v>
      </c>
      <c r="MM19" s="148">
        <f>SUM(data_1!MM57:MM63)</f>
        <v>0</v>
      </c>
      <c r="MN19" s="148">
        <f>SUM(data_1!MN57:MN63)</f>
        <v>0</v>
      </c>
      <c r="MO19" s="148">
        <f>SUM(data_1!MO57:MO63)</f>
        <v>0</v>
      </c>
      <c r="MP19" s="148">
        <f>SUM(data_1!MP57:MP63)</f>
        <v>0</v>
      </c>
      <c r="MQ19" s="148">
        <f>SUM(data_1!MQ57:MQ63)</f>
        <v>0</v>
      </c>
      <c r="MR19" s="148">
        <f>SUM(data_1!MR57:MR63)</f>
        <v>0</v>
      </c>
      <c r="MS19" s="148">
        <f>SUM(data_1!MS57:MS63)</f>
        <v>0</v>
      </c>
      <c r="MT19" s="148">
        <f>SUM(data_1!MT57:MT63)</f>
        <v>0</v>
      </c>
      <c r="MU19" s="148">
        <f>SUM(data_1!MU57:MU63)</f>
        <v>0</v>
      </c>
      <c r="MV19" s="148">
        <f>SUM(data_1!MV57:MV63)</f>
        <v>0</v>
      </c>
      <c r="MW19" s="148">
        <f>SUM(data_1!MW57:MW63)</f>
        <v>0</v>
      </c>
      <c r="MX19" s="148">
        <f>SUM(data_1!MX57:MX63)</f>
        <v>0</v>
      </c>
      <c r="MY19" s="148">
        <f>SUM(data_1!MY57:MY63)</f>
        <v>0</v>
      </c>
      <c r="MZ19" s="148">
        <f>SUM(data_1!MZ57:MZ63)</f>
        <v>0</v>
      </c>
      <c r="NA19" s="148">
        <f>SUM(data_1!NA57:NA63)</f>
        <v>0</v>
      </c>
      <c r="NB19" s="148">
        <f>SUM(data_1!NB57:NB63)</f>
        <v>0</v>
      </c>
      <c r="NC19" s="148">
        <f>SUM(data_1!NC57:NC63)</f>
        <v>0</v>
      </c>
      <c r="ND19" s="148">
        <f>SUM(data_1!ND57:ND63)</f>
        <v>0</v>
      </c>
      <c r="NE19" s="148">
        <f>SUM(data_1!NE57:NE63)</f>
        <v>2063789.53</v>
      </c>
      <c r="NF19" s="148">
        <f>SUM(data_1!NF57:NF63)</f>
        <v>1960600</v>
      </c>
      <c r="NG19" s="148">
        <f>SUM(data_1!NG57:NG63)</f>
        <v>103189.53</v>
      </c>
      <c r="NH19" s="148">
        <f>SUM(data_1!NH57:NH63)</f>
        <v>1369500</v>
      </c>
      <c r="NI19" s="148">
        <f>SUM(data_1!NI57:NI63)</f>
        <v>0</v>
      </c>
      <c r="NJ19" s="148">
        <f>SUM(data_1!NJ57:NJ63)</f>
        <v>0</v>
      </c>
      <c r="NK19" s="148">
        <f>SUM(data_1!NK57:NK63)</f>
        <v>1441579</v>
      </c>
      <c r="NL19" s="148">
        <f>SUM(data_1!NL57:NL63)</f>
        <v>1369500</v>
      </c>
      <c r="NM19" s="148">
        <f>SUM(data_1!NM57:NM63)</f>
        <v>0</v>
      </c>
      <c r="NN19" s="148">
        <f>SUM(data_1!NN57:NN63)</f>
        <v>72079</v>
      </c>
      <c r="NO19" s="148">
        <f>SUM(data_1!NO57:NO63)</f>
        <v>5</v>
      </c>
      <c r="NP19" s="148">
        <f>SUM(data_1!NP57:NP63)</f>
        <v>0</v>
      </c>
      <c r="NQ19" s="148">
        <f>SUM(data_1!NQ57:NQ63)</f>
        <v>0</v>
      </c>
      <c r="NR19" s="148">
        <f>SUM(data_1!NR57:NR63)</f>
        <v>1369500</v>
      </c>
      <c r="NS19" s="148">
        <f>SUM(data_1!NS57:NS63)</f>
        <v>0</v>
      </c>
      <c r="NT19" s="148">
        <f>SUM(data_1!NT57:NT63)</f>
        <v>1960600</v>
      </c>
      <c r="NU19" s="148">
        <f>SUM(data_1!NU57:NU63)</f>
        <v>1960600</v>
      </c>
      <c r="NV19" s="148">
        <f>SUM(data_1!NV57:NV63)</f>
        <v>0</v>
      </c>
      <c r="NW19" s="148">
        <f>SUM(data_1!NW57:NW63)</f>
        <v>0</v>
      </c>
      <c r="NX19" s="148">
        <f>SUM(data_1!NX57:NX63)</f>
        <v>0</v>
      </c>
      <c r="NY19" s="148">
        <f>SUM(data_1!NY57:NY63)</f>
        <v>0</v>
      </c>
      <c r="NZ19" s="148">
        <f>SUM(data_1!NZ57:NZ63)</f>
        <v>0</v>
      </c>
      <c r="OA19" s="148">
        <f>SUM(data_1!OA57:OA63)</f>
        <v>0</v>
      </c>
      <c r="OB19" s="148">
        <f>SUM(data_1!OB57:OB63)</f>
        <v>0</v>
      </c>
      <c r="OC19" s="148">
        <f>SUM(data_1!OC57:OC63)</f>
        <v>0</v>
      </c>
      <c r="OD19" s="148">
        <f>SUM(data_1!OD57:OD63)</f>
        <v>0</v>
      </c>
      <c r="OE19" s="148">
        <f>SUM(data_1!OE57:OE63)</f>
        <v>0</v>
      </c>
      <c r="OF19" s="148">
        <f>SUM(data_1!OF57:OF63)</f>
        <v>0</v>
      </c>
      <c r="OG19" s="148">
        <f>SUM(data_1!OG57:OG63)</f>
        <v>0</v>
      </c>
      <c r="OH19" s="148">
        <f>SUM(data_1!OH57:OH63)</f>
        <v>0</v>
      </c>
      <c r="OI19" s="148">
        <f>SUM(data_1!OI57:OI63)</f>
        <v>0</v>
      </c>
      <c r="OJ19" s="148">
        <f>SUM(data_1!OJ57:OJ63)</f>
        <v>0</v>
      </c>
      <c r="OK19" s="148">
        <f>SUM(data_1!OK57:OK63)</f>
        <v>0</v>
      </c>
      <c r="OL19" s="148">
        <f>SUM(data_1!OL57:OL63)</f>
        <v>0</v>
      </c>
      <c r="OM19" s="148">
        <f>SUM(data_1!OM57:OM63)</f>
        <v>0</v>
      </c>
      <c r="ON19" s="148">
        <f>SUM(data_1!ON57:ON63)</f>
        <v>0</v>
      </c>
      <c r="OO19" s="148">
        <f>SUM(data_1!OO57:OO63)</f>
        <v>0</v>
      </c>
      <c r="OP19" s="148">
        <f>SUM(data_1!OP57:OP63)</f>
        <v>0</v>
      </c>
      <c r="OQ19" s="148">
        <f>SUM(data_1!OQ57:OQ63)</f>
        <v>0</v>
      </c>
      <c r="OR19" s="148">
        <f>SUM(data_1!OR57:OR63)</f>
        <v>0</v>
      </c>
      <c r="OS19" s="148">
        <f>SUM(data_1!OS57:OS63)</f>
        <v>11858309.9</v>
      </c>
      <c r="OT19" s="148">
        <f>SUM(data_1!OT57:OT63)</f>
        <v>0</v>
      </c>
      <c r="OU19" s="148">
        <f>SUM(data_1!OU57:OU63)</f>
        <v>0</v>
      </c>
      <c r="OV19" s="148">
        <f>SUM(data_1!OV57:OV63)</f>
        <v>0</v>
      </c>
      <c r="OW19" s="148">
        <f>SUM(data_1!OW57:OW63)</f>
        <v>0</v>
      </c>
      <c r="OX19" s="148">
        <f>SUM(data_1!OX57:OX63)</f>
        <v>0</v>
      </c>
      <c r="OY19" s="148">
        <f>SUM(data_1!OY57:OY63)</f>
        <v>0</v>
      </c>
      <c r="OZ19" s="148">
        <f>SUM(data_1!OZ57:OZ63)</f>
        <v>11842783.879999999</v>
      </c>
      <c r="PA19" s="148">
        <f>SUM(data_1!PA57:PA63)</f>
        <v>15526.02</v>
      </c>
      <c r="PB19" s="148">
        <f>SUM(data_1!PB57:PB63)</f>
        <v>0</v>
      </c>
      <c r="PC19" s="148">
        <f>SUM(data_1!PC57:PC63)</f>
        <v>0</v>
      </c>
      <c r="PD19" s="148">
        <f>SUM(data_1!PD57:PD63)</f>
        <v>0</v>
      </c>
      <c r="PE19" s="148">
        <f>SUM(data_1!PE57:PE63)</f>
        <v>0</v>
      </c>
      <c r="PF19" s="148">
        <f>SUM(data_1!PF57:PF63)</f>
        <v>0</v>
      </c>
      <c r="PG19" s="148">
        <f>SUM(data_1!PG57:PG63)</f>
        <v>0</v>
      </c>
      <c r="PH19" s="148">
        <f>SUM(data_1!PH57:PH63)</f>
        <v>0</v>
      </c>
      <c r="PI19" s="148">
        <f>SUM(data_1!PI57:PI63)</f>
        <v>0</v>
      </c>
      <c r="PJ19" s="148">
        <f>SUM(data_1!PJ57:PJ63)</f>
        <v>0</v>
      </c>
      <c r="PK19" s="148">
        <f>SUM(data_1!PK57:PK63)</f>
        <v>7802650</v>
      </c>
      <c r="PL19" s="148">
        <f>SUM(data_1!PL57:PL63)</f>
        <v>0</v>
      </c>
      <c r="PM19" s="148">
        <f>SUM(data_1!PM57:PM63)</f>
        <v>0</v>
      </c>
      <c r="PN19" s="148">
        <f>SUM(data_1!PN57:PN63)</f>
        <v>0</v>
      </c>
      <c r="PO19" s="148">
        <f>SUM(data_1!PO57:PO63)</f>
        <v>0</v>
      </c>
      <c r="PP19" s="148">
        <f>SUM(data_1!PP57:PP63)</f>
        <v>0</v>
      </c>
      <c r="PQ19" s="148">
        <f>SUM(data_1!PQ57:PQ63)</f>
        <v>0</v>
      </c>
      <c r="PR19" s="148">
        <f>SUM(data_1!PR57:PR63)</f>
        <v>7802650</v>
      </c>
      <c r="PS19" s="148">
        <f>SUM(data_1!PS57:PS63)</f>
        <v>0</v>
      </c>
      <c r="PT19" s="148">
        <f>SUM(data_1!PT57:PT63)</f>
        <v>0</v>
      </c>
      <c r="PU19" s="148">
        <f>SUM(data_1!PU57:PU63)</f>
        <v>0</v>
      </c>
      <c r="PV19" s="148">
        <f>SUM(data_1!PV57:PV63)</f>
        <v>0</v>
      </c>
      <c r="PW19" s="148">
        <f>SUM(data_1!PW57:PW63)</f>
        <v>0</v>
      </c>
      <c r="PX19" s="148">
        <f>SUM(data_1!PX57:PX63)</f>
        <v>0</v>
      </c>
      <c r="PY19" s="148">
        <f>SUM(data_1!PY57:PY63)</f>
        <v>7461578.9500000002</v>
      </c>
      <c r="PZ19" s="148">
        <f>SUM(data_1!PZ57:PZ63)</f>
        <v>7088500</v>
      </c>
      <c r="QA19" s="148">
        <f>SUM(data_1!QA57:QA63)</f>
        <v>373078.95</v>
      </c>
      <c r="QB19" s="148">
        <f>SUM(data_1!QB57:QB63)</f>
        <v>7088500</v>
      </c>
      <c r="QC19" s="148">
        <f>SUM(data_1!QC57:QC63)</f>
        <v>0</v>
      </c>
      <c r="QD19" s="148">
        <f>SUM(data_1!QD57:QD63)</f>
        <v>0</v>
      </c>
      <c r="QE19" s="148">
        <f>SUM(data_1!QE57:QE63)</f>
        <v>7461578.9500000002</v>
      </c>
      <c r="QF19" s="148">
        <f>SUM(data_1!QF57:QF63)</f>
        <v>7088500</v>
      </c>
      <c r="QG19" s="148">
        <f>SUM(data_1!QG57:QG63)</f>
        <v>0</v>
      </c>
      <c r="QH19" s="148">
        <f>SUM(data_1!QH57:QH63)</f>
        <v>373078.95</v>
      </c>
      <c r="QI19" s="148">
        <f>SUM(data_1!QI57:QI63)</f>
        <v>5</v>
      </c>
      <c r="QJ19" s="148">
        <f>SUM(data_1!QJ57:QJ63)</f>
        <v>0</v>
      </c>
      <c r="QK19" s="148">
        <f>SUM(data_1!QK57:QK63)</f>
        <v>0</v>
      </c>
      <c r="QL19" s="148">
        <f>SUM(data_1!QL57:QL63)</f>
        <v>7088500</v>
      </c>
      <c r="QM19" s="148">
        <f>SUM(data_1!QM57:QM63)</f>
        <v>0</v>
      </c>
      <c r="QN19" s="148">
        <f>SUM(data_1!QN57:QN63)</f>
        <v>7088500</v>
      </c>
      <c r="QO19" s="148">
        <f>SUM(data_1!QO57:QO63)</f>
        <v>7088500</v>
      </c>
      <c r="QP19" s="148">
        <f>SUM(data_1!QP57:QP63)</f>
        <v>0</v>
      </c>
      <c r="QQ19" s="148">
        <f>SUM(data_1!QQ57:QQ63)</f>
        <v>0</v>
      </c>
      <c r="QR19" s="148">
        <f>SUM(data_1!QR57:QR63)</f>
        <v>0</v>
      </c>
      <c r="QS19" s="148">
        <f>SUM(data_1!QS57:QS63)</f>
        <v>0</v>
      </c>
      <c r="QT19" s="148">
        <f>SUM(data_1!QT57:QT63)</f>
        <v>0</v>
      </c>
      <c r="QU19" s="148">
        <f>SUM(data_1!QU57:QU63)</f>
        <v>0</v>
      </c>
      <c r="QV19" s="148">
        <f>SUM(data_1!QV57:QV63)</f>
        <v>0</v>
      </c>
      <c r="QW19" s="148">
        <f>SUM(data_1!QW57:QW63)</f>
        <v>0</v>
      </c>
      <c r="QX19" s="148">
        <f>SUM(data_1!QX57:QX63)</f>
        <v>0</v>
      </c>
      <c r="QY19" s="148">
        <f>SUM(data_1!QY57:QY63)</f>
        <v>0</v>
      </c>
      <c r="QZ19" s="148">
        <f>SUM(data_1!QZ57:QZ63)</f>
        <v>0</v>
      </c>
      <c r="RA19" s="148">
        <f>SUM(data_1!RA57:RA63)</f>
        <v>0</v>
      </c>
      <c r="RB19" s="148">
        <f>SUM(data_1!RB57:RB63)</f>
        <v>0</v>
      </c>
      <c r="RC19" s="148">
        <f>SUM(data_1!RC57:RC63)</f>
        <v>0</v>
      </c>
      <c r="RD19" s="148">
        <f>SUM(data_1!RD57:RD63)</f>
        <v>0</v>
      </c>
      <c r="RE19" s="148">
        <f>SUM(data_1!RE57:RE63)</f>
        <v>0</v>
      </c>
      <c r="RF19" s="148">
        <f>SUM(data_1!RF57:RF63)</f>
        <v>0</v>
      </c>
      <c r="RG19" s="148">
        <f>SUM(data_1!RG57:RG63)</f>
        <v>0</v>
      </c>
      <c r="RH19" s="148">
        <f>SUM(data_1!RH57:RH63)</f>
        <v>0</v>
      </c>
      <c r="RI19" s="148">
        <f>SUM(data_1!RI57:RI63)</f>
        <v>0</v>
      </c>
      <c r="RJ19" s="148">
        <f>SUM(data_1!RJ57:RJ63)</f>
        <v>0</v>
      </c>
      <c r="RK19" s="148">
        <f>SUM(data_1!RK57:RK63)</f>
        <v>0</v>
      </c>
      <c r="RL19" s="148">
        <f>SUM(data_1!RL57:RL63)</f>
        <v>0</v>
      </c>
      <c r="RM19" s="148">
        <f>SUM(data_1!RM57:RM63)</f>
        <v>49917382.600000001</v>
      </c>
      <c r="RN19" s="148">
        <f>SUM(data_1!RN57:RN63)</f>
        <v>0</v>
      </c>
      <c r="RO19" s="148">
        <f>SUM(data_1!RO57:RO63)</f>
        <v>0</v>
      </c>
      <c r="RP19" s="148">
        <f>SUM(data_1!RP57:RP63)</f>
        <v>0</v>
      </c>
      <c r="RQ19" s="148">
        <f>SUM(data_1!RQ57:RQ63)</f>
        <v>0</v>
      </c>
      <c r="RR19" s="148">
        <f>SUM(data_1!RR57:RR63)</f>
        <v>0</v>
      </c>
      <c r="RS19" s="148">
        <f>SUM(data_1!RS57:RS63)</f>
        <v>0</v>
      </c>
      <c r="RT19" s="148">
        <f>SUM(data_1!RT57:RT63)</f>
        <v>49917382.600000001</v>
      </c>
      <c r="RU19" s="148">
        <f>SUM(data_1!RU57:RU63)</f>
        <v>0</v>
      </c>
      <c r="RV19" s="148">
        <f>SUM(data_1!RV57:RV63)</f>
        <v>0</v>
      </c>
      <c r="RW19" s="148">
        <f>SUM(data_1!RW57:RW63)</f>
        <v>0</v>
      </c>
      <c r="RX19" s="148">
        <f>SUM(data_1!RX57:RX63)</f>
        <v>0</v>
      </c>
      <c r="RY19" s="148">
        <f>SUM(data_1!RY57:RY63)</f>
        <v>0</v>
      </c>
      <c r="RZ19" s="148">
        <f>SUM(data_1!RZ57:RZ63)</f>
        <v>0</v>
      </c>
      <c r="SA19" s="148">
        <f>SUM(data_1!SA57:SA63)</f>
        <v>0</v>
      </c>
      <c r="SB19" s="148">
        <f>SUM(data_1!SB57:SB63)</f>
        <v>0</v>
      </c>
      <c r="SC19" s="148">
        <f>SUM(data_1!SC57:SC63)</f>
        <v>0</v>
      </c>
      <c r="SD19" s="148">
        <f>SUM(data_1!SD57:SD63)</f>
        <v>0</v>
      </c>
      <c r="SE19" s="148">
        <f>SUM(data_1!SE57:SE63)</f>
        <v>0</v>
      </c>
      <c r="SF19" s="148">
        <f>SUM(data_1!SF57:SF63)</f>
        <v>0</v>
      </c>
      <c r="SG19" s="148">
        <f>SUM(data_1!SG57:SG63)</f>
        <v>0</v>
      </c>
      <c r="SH19" s="148">
        <f>SUM(data_1!SH57:SH63)</f>
        <v>0</v>
      </c>
      <c r="SI19" s="148">
        <f>SUM(data_1!SI57:SI63)</f>
        <v>0</v>
      </c>
      <c r="SJ19" s="148">
        <f>SUM(data_1!SJ57:SJ63)</f>
        <v>0</v>
      </c>
      <c r="SK19" s="148">
        <f>SUM(data_1!SK57:SK63)</f>
        <v>0</v>
      </c>
      <c r="SL19" s="148">
        <f>SUM(data_1!SL57:SL63)</f>
        <v>0</v>
      </c>
      <c r="SM19" s="148">
        <f>SUM(data_1!SM57:SM63)</f>
        <v>0</v>
      </c>
      <c r="SN19" s="148">
        <f>SUM(data_1!SN57:SN63)</f>
        <v>0</v>
      </c>
      <c r="SO19" s="148">
        <f>SUM(data_1!SO57:SO63)</f>
        <v>0</v>
      </c>
      <c r="SP19" s="148">
        <f>SUM(data_1!SP57:SP63)</f>
        <v>0</v>
      </c>
      <c r="SQ19" s="148">
        <f>SUM(data_1!SQ57:SQ63)</f>
        <v>0</v>
      </c>
      <c r="SR19" s="148">
        <f>SUM(data_1!SR57:SR63)</f>
        <v>0</v>
      </c>
      <c r="SS19" s="148">
        <f>SUM(data_1!SS57:SS63)</f>
        <v>0</v>
      </c>
      <c r="ST19" s="148">
        <f>SUM(data_1!ST57:ST63)</f>
        <v>0</v>
      </c>
      <c r="SU19" s="148">
        <f>SUM(data_1!SU57:SU63)</f>
        <v>0</v>
      </c>
      <c r="SV19" s="148">
        <f>SUM(data_1!SV57:SV63)</f>
        <v>0</v>
      </c>
      <c r="SW19" s="148">
        <f>SUM(data_1!SW57:SW63)</f>
        <v>0</v>
      </c>
      <c r="SX19" s="148">
        <f>SUM(data_1!SX57:SX63)</f>
        <v>0</v>
      </c>
      <c r="SY19" s="148">
        <f>SUM(data_1!SY57:SY63)</f>
        <v>0</v>
      </c>
      <c r="SZ19" s="148">
        <f>SUM(data_1!SZ57:SZ63)</f>
        <v>0</v>
      </c>
      <c r="TA19" s="148">
        <f>SUM(data_1!TA57:TA63)</f>
        <v>0</v>
      </c>
      <c r="TB19" s="148">
        <f>SUM(data_1!TB57:TB63)</f>
        <v>0</v>
      </c>
      <c r="TC19" s="148">
        <f>SUM(data_1!TC57:TC63)</f>
        <v>0</v>
      </c>
      <c r="TD19" s="148">
        <f>SUM(data_1!TD57:TD63)</f>
        <v>0</v>
      </c>
      <c r="TE19" s="148">
        <f>SUM(data_1!TE57:TE63)</f>
        <v>0</v>
      </c>
      <c r="TF19" s="148">
        <f>SUM(data_1!TF57:TF63)</f>
        <v>0</v>
      </c>
      <c r="TG19" s="148">
        <f>SUM(data_1!TG57:TG63)</f>
        <v>0</v>
      </c>
      <c r="TH19" s="148">
        <f>SUM(data_1!TH57:TH63)</f>
        <v>0</v>
      </c>
      <c r="TI19" s="148">
        <f>SUM(data_1!TI57:TI63)</f>
        <v>0</v>
      </c>
      <c r="TJ19" s="148">
        <f>SUM(data_1!TJ57:TJ63)</f>
        <v>0</v>
      </c>
      <c r="TK19" s="148">
        <f>SUM(data_1!TK57:TK63)</f>
        <v>0</v>
      </c>
      <c r="TL19" s="148">
        <f>SUM(data_1!TL57:TL63)</f>
        <v>0</v>
      </c>
      <c r="TM19" s="148">
        <f>SUM(data_1!TM57:TM63)</f>
        <v>0</v>
      </c>
      <c r="TN19" s="148">
        <f>SUM(data_1!TN57:TN63)</f>
        <v>0</v>
      </c>
      <c r="TO19" s="148">
        <f>SUM(data_1!TO57:TO63)</f>
        <v>0</v>
      </c>
      <c r="TP19" s="148">
        <f>SUM(data_1!TP57:TP63)</f>
        <v>0</v>
      </c>
      <c r="TQ19" s="148">
        <f>SUM(data_1!TQ57:TQ63)</f>
        <v>0</v>
      </c>
      <c r="TR19" s="148">
        <f>SUM(data_1!TR57:TR63)</f>
        <v>0</v>
      </c>
      <c r="TS19" s="148">
        <f>SUM(data_1!TS57:TS63)</f>
        <v>0</v>
      </c>
      <c r="TT19" s="148">
        <f>SUM(data_1!TT57:TT63)</f>
        <v>0</v>
      </c>
      <c r="TU19" s="148">
        <f>SUM(data_1!TU57:TU63)</f>
        <v>0</v>
      </c>
      <c r="TV19" s="148">
        <f>SUM(data_1!TV57:TV63)</f>
        <v>0</v>
      </c>
      <c r="TW19" s="148">
        <f>SUM(data_1!TW57:TW63)</f>
        <v>0</v>
      </c>
      <c r="TX19" s="148">
        <f>SUM(data_1!TX57:TX63)</f>
        <v>0</v>
      </c>
      <c r="TY19" s="148">
        <f>SUM(data_1!TY57:TY63)</f>
        <v>0</v>
      </c>
      <c r="TZ19" s="148">
        <f>SUM(data_1!TZ57:TZ63)</f>
        <v>0</v>
      </c>
      <c r="UA19" s="148">
        <f>SUM(data_1!UA57:UA63)</f>
        <v>0</v>
      </c>
      <c r="UB19" s="148">
        <f>SUM(data_1!UB57:UB63)</f>
        <v>0</v>
      </c>
      <c r="UC19" s="148">
        <f>SUM(data_1!UC57:UC63)</f>
        <v>13337300</v>
      </c>
      <c r="UD19" s="148">
        <f>SUM(data_1!UD57:UD63)</f>
        <v>13337300</v>
      </c>
      <c r="UE19" s="148">
        <f>SUM(data_1!UE57:UE63)</f>
        <v>0</v>
      </c>
      <c r="UF19" s="148">
        <f>SUM(data_1!UF57:UF63)</f>
        <v>13337300</v>
      </c>
      <c r="UG19" s="148">
        <f>SUM(data_1!UG57:UG63)</f>
        <v>0</v>
      </c>
      <c r="UH19" s="148">
        <f>SUM(data_1!UH57:UH63)</f>
        <v>0</v>
      </c>
      <c r="UI19" s="148">
        <f>SUM(data_1!UI57:UI63)</f>
        <v>13337300</v>
      </c>
      <c r="UJ19" s="148">
        <f>SUM(data_1!UJ57:UJ63)</f>
        <v>13337300</v>
      </c>
      <c r="UK19" s="148">
        <f>SUM(data_1!UK57:UK63)</f>
        <v>0</v>
      </c>
      <c r="UL19" s="148">
        <f>SUM(data_1!UL57:UL63)</f>
        <v>0</v>
      </c>
      <c r="UM19" s="148">
        <f>SUM(data_1!UM57:UM63)</f>
        <v>0</v>
      </c>
      <c r="UN19" s="148">
        <f>SUM(data_1!UN57:UN63)</f>
        <v>0</v>
      </c>
      <c r="UO19" s="148">
        <f>SUM(data_1!UO57:UO63)</f>
        <v>0</v>
      </c>
      <c r="UP19" s="148">
        <f>SUM(data_1!UP57:UP63)</f>
        <v>13337300</v>
      </c>
      <c r="UQ19" s="148">
        <f>SUM(data_1!UQ57:UQ63)</f>
        <v>0</v>
      </c>
      <c r="UR19" s="148">
        <f>SUM(data_1!UR57:UR63)</f>
        <v>13337300</v>
      </c>
      <c r="US19" s="148">
        <f>SUM(data_1!US57:US63)</f>
        <v>13337300</v>
      </c>
    </row>
    <row r="20" spans="1:565" x14ac:dyDescent="0.3">
      <c r="A20" s="133" t="s">
        <v>126</v>
      </c>
      <c r="B20" s="136" t="s">
        <v>127</v>
      </c>
      <c r="C20" s="137" t="s">
        <v>128</v>
      </c>
      <c r="F20" s="148">
        <f>SUM(data_1!F65:F78)</f>
        <v>24064744700</v>
      </c>
      <c r="G20" s="148">
        <f>SUM(data_1!G65:G78)</f>
        <v>0</v>
      </c>
      <c r="H20" s="148">
        <f>SUM(data_1!H65:H78)</f>
        <v>0</v>
      </c>
      <c r="I20" s="148">
        <f>SUM(data_1!I65:I78)</f>
        <v>4796546529.4300003</v>
      </c>
      <c r="J20" s="148">
        <f>SUM(data_1!J65:J78)</f>
        <v>3581733000</v>
      </c>
      <c r="K20" s="148">
        <f>SUM(data_1!K65:K78)</f>
        <v>1214813529.4299998</v>
      </c>
      <c r="L20" s="148">
        <f>SUM(data_1!L65:L78)</f>
        <v>3574404611.7399998</v>
      </c>
      <c r="M20" s="148">
        <f>SUM(data_1!M65:M78)</f>
        <v>14210126.219999999</v>
      </c>
      <c r="N20" s="148">
        <f>SUM(data_1!N65:N78)</f>
        <v>0</v>
      </c>
      <c r="O20" s="148">
        <f>SUM(data_1!O65:O78)</f>
        <v>4785768704.3500004</v>
      </c>
      <c r="P20" s="148">
        <f>SUM(data_1!P65:P78)</f>
        <v>3573843570.2699995</v>
      </c>
      <c r="Q20" s="148">
        <f>SUM(data_1!Q65:Q78)</f>
        <v>0</v>
      </c>
      <c r="R20" s="148">
        <f>SUM(data_1!R65:R78)</f>
        <v>1211925134.0799999</v>
      </c>
      <c r="S20" s="148">
        <f>SUM(data_1!S65:S78)</f>
        <v>293.16618000000005</v>
      </c>
      <c r="T20" s="148">
        <f>SUM(data_1!T65:T78)</f>
        <v>14103742.07</v>
      </c>
      <c r="U20" s="148">
        <f>SUM(data_1!U65:U78)</f>
        <v>667425.62</v>
      </c>
      <c r="V20" s="148">
        <f>SUM(data_1!V65:V78)</f>
        <v>3574404611.7399998</v>
      </c>
      <c r="W20" s="148">
        <f>SUM(data_1!W65:W78)</f>
        <v>0</v>
      </c>
      <c r="X20" s="148">
        <f>SUM(data_1!X65:X78)</f>
        <v>3581733000</v>
      </c>
      <c r="Y20" s="148">
        <f>SUM(data_1!Y65:Y78)</f>
        <v>3581733000</v>
      </c>
      <c r="Z20" s="148">
        <f>SUM(data_1!Z65:Z78)</f>
        <v>0</v>
      </c>
      <c r="AA20" s="148">
        <f>SUM(data_1!AA65:AA78)</f>
        <v>3347608670.75</v>
      </c>
      <c r="AB20" s="148">
        <f>SUM(data_1!AB65:AB78)</f>
        <v>2595755400</v>
      </c>
      <c r="AC20" s="148">
        <f>SUM(data_1!AC65:AC78)</f>
        <v>751853270.75</v>
      </c>
      <c r="AD20" s="148">
        <f>SUM(data_1!AD65:AD78)</f>
        <v>2595751680.9099998</v>
      </c>
      <c r="AE20" s="148">
        <f>SUM(data_1!AE65:AE78)</f>
        <v>2162113.9899999998</v>
      </c>
      <c r="AF20" s="148">
        <f>SUM(data_1!AF65:AF78)</f>
        <v>0</v>
      </c>
      <c r="AG20" s="148">
        <f>SUM(data_1!AG65:AG78)</f>
        <v>3347604079.25</v>
      </c>
      <c r="AH20" s="148">
        <f>SUM(data_1!AH65:AH78)</f>
        <v>2595751680.9099998</v>
      </c>
      <c r="AI20" s="148">
        <f>SUM(data_1!AI65:AI78)</f>
        <v>0</v>
      </c>
      <c r="AJ20" s="148">
        <f>SUM(data_1!AJ65:AJ78)</f>
        <v>751852398.33999991</v>
      </c>
      <c r="AK20" s="148">
        <f>SUM(data_1!AK65:AK78)</f>
        <v>262.00013000000001</v>
      </c>
      <c r="AL20" s="148">
        <f>SUM(data_1!AL65:AL78)</f>
        <v>2162113.9899999998</v>
      </c>
      <c r="AM20" s="148">
        <f>SUM(data_1!AM65:AM78)</f>
        <v>0</v>
      </c>
      <c r="AN20" s="148">
        <f>SUM(data_1!AN65:AN78)</f>
        <v>2595751680.9099998</v>
      </c>
      <c r="AO20" s="148">
        <f>SUM(data_1!AO65:AO78)</f>
        <v>0</v>
      </c>
      <c r="AP20" s="148">
        <f>SUM(data_1!AP65:AP78)</f>
        <v>2595755400</v>
      </c>
      <c r="AQ20" s="148">
        <f>SUM(data_1!AQ65:AQ78)</f>
        <v>2595755400</v>
      </c>
      <c r="AR20" s="148">
        <f>SUM(data_1!AR65:AR78)</f>
        <v>0</v>
      </c>
      <c r="AS20" s="148">
        <f>SUM(data_1!AS65:AS78)</f>
        <v>10016920072.02</v>
      </c>
      <c r="AT20" s="148">
        <f>SUM(data_1!AT65:AT78)</f>
        <v>7563905800</v>
      </c>
      <c r="AU20" s="148">
        <f>SUM(data_1!AU65:AU78)</f>
        <v>2453014272.02</v>
      </c>
      <c r="AV20" s="148">
        <f>SUM(data_1!AV65:AV78)</f>
        <v>7523804952.3800001</v>
      </c>
      <c r="AW20" s="148">
        <f>SUM(data_1!AW65:AW78)</f>
        <v>55393712.630000003</v>
      </c>
      <c r="AX20" s="148">
        <f>SUM(data_1!AX65:AX78)</f>
        <v>0</v>
      </c>
      <c r="AY20" s="148">
        <f>SUM(data_1!AY65:AY78)</f>
        <v>9962231856.9300003</v>
      </c>
      <c r="AZ20" s="148">
        <f>SUM(data_1!AZ65:AZ78)</f>
        <v>7523804933.1599998</v>
      </c>
      <c r="BA20" s="148">
        <f>SUM(data_1!BA65:BA78)</f>
        <v>0</v>
      </c>
      <c r="BB20" s="148">
        <f>SUM(data_1!BB65:BB78)</f>
        <v>2438426923.7700005</v>
      </c>
      <c r="BC20" s="148">
        <f>SUM(data_1!BC65:BC78)</f>
        <v>262.00012000000004</v>
      </c>
      <c r="BD20" s="148">
        <f>SUM(data_1!BD65:BD78)</f>
        <v>55393712.630000003</v>
      </c>
      <c r="BE20" s="148">
        <f>SUM(data_1!BE65:BE78)</f>
        <v>19.22</v>
      </c>
      <c r="BF20" s="148">
        <f>SUM(data_1!BF65:BF78)</f>
        <v>7523804952.3800001</v>
      </c>
      <c r="BG20" s="148">
        <f>SUM(data_1!BG65:BG78)</f>
        <v>0</v>
      </c>
      <c r="BH20" s="148">
        <f>SUM(data_1!BH65:BH78)</f>
        <v>7563905800</v>
      </c>
      <c r="BI20" s="148">
        <f>SUM(data_1!BI65:BI78)</f>
        <v>7563905800</v>
      </c>
      <c r="BJ20" s="148">
        <f>SUM(data_1!BJ65:BJ78)</f>
        <v>0</v>
      </c>
      <c r="BK20" s="148">
        <f>SUM(data_1!BK65:BK78)</f>
        <v>3762056541.71</v>
      </c>
      <c r="BL20" s="148">
        <f>SUM(data_1!BL65:BL78)</f>
        <v>3444092100</v>
      </c>
      <c r="BM20" s="148">
        <f>SUM(data_1!BM65:BM78)</f>
        <v>317964441.70999998</v>
      </c>
      <c r="BN20" s="148">
        <f>SUM(data_1!BN65:BN78)</f>
        <v>3375295941.0100002</v>
      </c>
      <c r="BO20" s="148">
        <f>SUM(data_1!BO65:BO78)</f>
        <v>5042486.54</v>
      </c>
      <c r="BP20" s="148">
        <f>SUM(data_1!BP65:BP78)</f>
        <v>0</v>
      </c>
      <c r="BQ20" s="148">
        <f>SUM(data_1!BQ65:BQ78)</f>
        <v>3689161634.8299994</v>
      </c>
      <c r="BR20" s="148">
        <f>SUM(data_1!BR65:BR78)</f>
        <v>3375295941.0100002</v>
      </c>
      <c r="BS20" s="148">
        <f>SUM(data_1!BS65:BS78)</f>
        <v>0</v>
      </c>
      <c r="BT20" s="148">
        <f>SUM(data_1!BT65:BT78)</f>
        <v>313865693.81999999</v>
      </c>
      <c r="BU20" s="148">
        <f>SUM(data_1!BU65:BU78)</f>
        <v>127.16732</v>
      </c>
      <c r="BV20" s="148">
        <f>SUM(data_1!BV65:BV78)</f>
        <v>5042486.54</v>
      </c>
      <c r="BW20" s="148">
        <f>SUM(data_1!BW65:BW78)</f>
        <v>0</v>
      </c>
      <c r="BX20" s="148">
        <f>SUM(data_1!BX65:BX78)</f>
        <v>3375295941.0100002</v>
      </c>
      <c r="BY20" s="148">
        <f>SUM(data_1!BY65:BY78)</f>
        <v>0</v>
      </c>
      <c r="BZ20" s="148">
        <f>SUM(data_1!BZ65:BZ78)</f>
        <v>3444092100</v>
      </c>
      <c r="CA20" s="148">
        <f>SUM(data_1!CA65:CA78)</f>
        <v>3444092100</v>
      </c>
      <c r="CB20" s="148">
        <f>SUM(data_1!CB65:CB78)</f>
        <v>0</v>
      </c>
      <c r="CC20" s="148">
        <f>SUM(data_1!CC65:CC78)</f>
        <v>1066685730.5600001</v>
      </c>
      <c r="CD20" s="148">
        <f>SUM(data_1!CD65:CD78)</f>
        <v>784472700</v>
      </c>
      <c r="CE20" s="148">
        <f>SUM(data_1!CE65:CE78)</f>
        <v>282213030.56</v>
      </c>
      <c r="CF20" s="148">
        <f>SUM(data_1!CF65:CF78)</f>
        <v>730459038.71000004</v>
      </c>
      <c r="CG20" s="148">
        <f>SUM(data_1!CG65:CG78)</f>
        <v>1094441.83</v>
      </c>
      <c r="CH20" s="148">
        <f>SUM(data_1!CH65:CH78)</f>
        <v>0</v>
      </c>
      <c r="CI20" s="148">
        <f>SUM(data_1!CI65:CI78)</f>
        <v>986525754.44000006</v>
      </c>
      <c r="CJ20" s="148">
        <f>SUM(data_1!CJ65:CJ78)</f>
        <v>729614537.90999997</v>
      </c>
      <c r="CK20" s="148">
        <f>SUM(data_1!CK65:CK78)</f>
        <v>0</v>
      </c>
      <c r="CL20" s="148">
        <f>SUM(data_1!CL65:CL78)</f>
        <v>256911216.52999997</v>
      </c>
      <c r="CM20" s="148">
        <f>SUM(data_1!CM65:CM78)</f>
        <v>333.00635</v>
      </c>
      <c r="CN20" s="148">
        <f>SUM(data_1!CN65:CN78)</f>
        <v>1094441.83</v>
      </c>
      <c r="CO20" s="148">
        <f>SUM(data_1!CO65:CO78)</f>
        <v>844500.8</v>
      </c>
      <c r="CP20" s="148">
        <f>SUM(data_1!CP65:CP78)</f>
        <v>730459038.71000004</v>
      </c>
      <c r="CQ20" s="148">
        <f>SUM(data_1!CQ65:CQ78)</f>
        <v>0</v>
      </c>
      <c r="CR20" s="148">
        <f>SUM(data_1!CR65:CR78)</f>
        <v>784472700</v>
      </c>
      <c r="CS20" s="148">
        <f>SUM(data_1!CS65:CS78)</f>
        <v>784472700</v>
      </c>
      <c r="CT20" s="148">
        <f>SUM(data_1!CT65:CT78)</f>
        <v>0</v>
      </c>
      <c r="CU20" s="148">
        <f>SUM(data_1!CU65:CU78)</f>
        <v>646745153</v>
      </c>
      <c r="CV20" s="148">
        <f>SUM(data_1!CV65:CV78)</f>
        <v>587564000</v>
      </c>
      <c r="CW20" s="148">
        <f>SUM(data_1!CW65:CW78)</f>
        <v>59181153</v>
      </c>
      <c r="CX20" s="148">
        <f>SUM(data_1!CX65:CX78)</f>
        <v>552579681.42000008</v>
      </c>
      <c r="CY20" s="148">
        <f>SUM(data_1!CY65:CY78)</f>
        <v>0</v>
      </c>
      <c r="CZ20" s="148">
        <f>SUM(data_1!CZ65:CZ78)</f>
        <v>0</v>
      </c>
      <c r="DA20" s="148">
        <f>SUM(data_1!DA65:DA78)</f>
        <v>606065699.5</v>
      </c>
      <c r="DB20" s="148">
        <f>SUM(data_1!DB65:DB78)</f>
        <v>552579681.42000008</v>
      </c>
      <c r="DC20" s="148">
        <f>SUM(data_1!DC65:DC78)</f>
        <v>0</v>
      </c>
      <c r="DD20" s="148">
        <f>SUM(data_1!DD65:DD78)</f>
        <v>53486018.079999998</v>
      </c>
      <c r="DE20" s="148">
        <f>SUM(data_1!DE65:DE78)</f>
        <v>48.000030000000002</v>
      </c>
      <c r="DF20" s="148">
        <f>SUM(data_1!DF65:DF78)</f>
        <v>0</v>
      </c>
      <c r="DG20" s="148">
        <f>SUM(data_1!DG65:DG78)</f>
        <v>0</v>
      </c>
      <c r="DH20" s="148">
        <f>SUM(data_1!DH65:DH78)</f>
        <v>552579681.42000008</v>
      </c>
      <c r="DI20" s="148">
        <f>SUM(data_1!DI65:DI78)</f>
        <v>0</v>
      </c>
      <c r="DJ20" s="148">
        <f>SUM(data_1!DJ65:DJ78)</f>
        <v>587564000</v>
      </c>
      <c r="DK20" s="148">
        <f>SUM(data_1!DK65:DK78)</f>
        <v>587564000</v>
      </c>
      <c r="DL20" s="148">
        <f>SUM(data_1!DL65:DL78)</f>
        <v>0</v>
      </c>
      <c r="DM20" s="148">
        <f>SUM(data_1!DM65:DM78)</f>
        <v>1218928679.1000001</v>
      </c>
      <c r="DN20" s="148">
        <f>SUM(data_1!DN65:DN78)</f>
        <v>1139317500</v>
      </c>
      <c r="DO20" s="148">
        <f>SUM(data_1!DO65:DO78)</f>
        <v>79611179.100000009</v>
      </c>
      <c r="DP20" s="148">
        <f>SUM(data_1!DP65:DP78)</f>
        <v>1138850086.74</v>
      </c>
      <c r="DQ20" s="148">
        <f>SUM(data_1!DQ65:DQ78)</f>
        <v>0</v>
      </c>
      <c r="DR20" s="148">
        <f>SUM(data_1!DR65:DR78)</f>
        <v>0</v>
      </c>
      <c r="DS20" s="148">
        <f>SUM(data_1!DS65:DS78)</f>
        <v>1218431430.9400001</v>
      </c>
      <c r="DT20" s="148">
        <f>SUM(data_1!DT65:DT78)</f>
        <v>1138850086.74</v>
      </c>
      <c r="DU20" s="148">
        <f>SUM(data_1!DU65:DU78)</f>
        <v>0</v>
      </c>
      <c r="DV20" s="148">
        <f>SUM(data_1!DV65:DV78)</f>
        <v>79581344.200000003</v>
      </c>
      <c r="DW20" s="148">
        <f>SUM(data_1!DW65:DW78)</f>
        <v>77.753090000000014</v>
      </c>
      <c r="DX20" s="148">
        <f>SUM(data_1!DX65:DX78)</f>
        <v>0</v>
      </c>
      <c r="DY20" s="148">
        <f>SUM(data_1!DY65:DY78)</f>
        <v>0</v>
      </c>
      <c r="DZ20" s="148">
        <f>SUM(data_1!DZ65:DZ78)</f>
        <v>1138850086.74</v>
      </c>
      <c r="EA20" s="148">
        <f>SUM(data_1!EA65:EA78)</f>
        <v>0</v>
      </c>
      <c r="EB20" s="148">
        <f>SUM(data_1!EB65:EB78)</f>
        <v>1139317500</v>
      </c>
      <c r="EC20" s="148">
        <f>SUM(data_1!EC65:EC78)</f>
        <v>1139317500</v>
      </c>
      <c r="ED20" s="148">
        <f>SUM(data_1!ED65:ED78)</f>
        <v>0</v>
      </c>
      <c r="EE20" s="148">
        <f>SUM(data_1!EE65:EE78)</f>
        <v>1665400395.7900002</v>
      </c>
      <c r="EF20" s="148">
        <f>SUM(data_1!EF65:EF78)</f>
        <v>1547945900</v>
      </c>
      <c r="EG20" s="148">
        <f>SUM(data_1!EG65:EG78)</f>
        <v>117454495.78999999</v>
      </c>
      <c r="EH20" s="148">
        <f>SUM(data_1!EH65:EH78)</f>
        <v>1547945850.27</v>
      </c>
      <c r="EI20" s="148">
        <f>SUM(data_1!EI65:EI78)</f>
        <v>0</v>
      </c>
      <c r="EJ20" s="148">
        <f>SUM(data_1!EJ65:EJ78)</f>
        <v>0</v>
      </c>
      <c r="EK20" s="148">
        <f>SUM(data_1!EK65:EK78)</f>
        <v>1665400343.9900002</v>
      </c>
      <c r="EL20" s="148">
        <f>SUM(data_1!EL65:EL78)</f>
        <v>1547945850.27</v>
      </c>
      <c r="EM20" s="148">
        <f>SUM(data_1!EM65:EM78)</f>
        <v>0</v>
      </c>
      <c r="EN20" s="148">
        <f>SUM(data_1!EN65:EN78)</f>
        <v>117454493.72</v>
      </c>
      <c r="EO20" s="148">
        <f>SUM(data_1!EO65:EO78)</f>
        <v>63.000110000000006</v>
      </c>
      <c r="EP20" s="148">
        <f>SUM(data_1!EP65:EP78)</f>
        <v>0</v>
      </c>
      <c r="EQ20" s="148">
        <f>SUM(data_1!EQ65:EQ78)</f>
        <v>0</v>
      </c>
      <c r="ER20" s="148">
        <f>SUM(data_1!ER65:ER78)</f>
        <v>1547945850.27</v>
      </c>
      <c r="ES20" s="148">
        <f>SUM(data_1!ES65:ES78)</f>
        <v>0</v>
      </c>
      <c r="ET20" s="148">
        <f>SUM(data_1!ET65:ET78)</f>
        <v>1547945900</v>
      </c>
      <c r="EU20" s="148">
        <f>SUM(data_1!EU65:EU78)</f>
        <v>1547945900</v>
      </c>
      <c r="EV20" s="148">
        <f>SUM(data_1!EV65:EV78)</f>
        <v>0</v>
      </c>
      <c r="EW20" s="148">
        <f>SUM(data_1!EW65:EW78)</f>
        <v>2635559020.3600001</v>
      </c>
      <c r="EX20" s="148">
        <f>SUM(data_1!EX65:EX78)</f>
        <v>1765276700</v>
      </c>
      <c r="EY20" s="148">
        <f>SUM(data_1!EY65:EY78)</f>
        <v>870282320.3599999</v>
      </c>
      <c r="EZ20" s="148">
        <f>SUM(data_1!EZ65:EZ78)</f>
        <v>1765175307.4300001</v>
      </c>
      <c r="FA20" s="148">
        <f>SUM(data_1!FA65:FA78)</f>
        <v>12538919.600000001</v>
      </c>
      <c r="FB20" s="148">
        <f>SUM(data_1!FB65:FB78)</f>
        <v>0</v>
      </c>
      <c r="FC20" s="148">
        <f>SUM(data_1!FC65:FC78)</f>
        <v>2635323328.9899998</v>
      </c>
      <c r="FD20" s="148">
        <f>SUM(data_1!FD65:FD78)</f>
        <v>1765111667.97</v>
      </c>
      <c r="FE20" s="148">
        <f>SUM(data_1!FE65:FE78)</f>
        <v>0</v>
      </c>
      <c r="FF20" s="148">
        <f>SUM(data_1!FF65:FF78)</f>
        <v>870211661.0200001</v>
      </c>
      <c r="FG20" s="148">
        <f>SUM(data_1!FG65:FG78)</f>
        <v>390.81500000000005</v>
      </c>
      <c r="FH20" s="148">
        <f>SUM(data_1!FH65:FH78)</f>
        <v>12530722.16</v>
      </c>
      <c r="FI20" s="148">
        <f>SUM(data_1!FI65:FI78)</f>
        <v>71836.899999999994</v>
      </c>
      <c r="FJ20" s="148">
        <f>SUM(data_1!FJ65:FJ78)</f>
        <v>1765175307.4300001</v>
      </c>
      <c r="FK20" s="148">
        <f>SUM(data_1!FK65:FK78)</f>
        <v>0</v>
      </c>
      <c r="FL20" s="148">
        <f>SUM(data_1!FL65:FL78)</f>
        <v>1765276700</v>
      </c>
      <c r="FM20" s="148">
        <f>SUM(data_1!FM65:FM78)</f>
        <v>1765276700</v>
      </c>
      <c r="FN20" s="148">
        <f>SUM(data_1!FN65:FN78)</f>
        <v>0</v>
      </c>
      <c r="FO20" s="148">
        <f>SUM(data_1!FO65:FO78)</f>
        <v>0</v>
      </c>
      <c r="FP20" s="148">
        <f>SUM(data_1!FP65:FP78)</f>
        <v>0</v>
      </c>
      <c r="FQ20" s="148">
        <f>SUM(data_1!FQ65:FQ78)</f>
        <v>0</v>
      </c>
      <c r="FR20" s="148">
        <f>SUM(data_1!FR65:FR78)</f>
        <v>0</v>
      </c>
      <c r="FS20" s="148">
        <f>SUM(data_1!FS65:FS78)</f>
        <v>8725940.2000000011</v>
      </c>
      <c r="FT20" s="148">
        <f>SUM(data_1!FT65:FT78)</f>
        <v>0</v>
      </c>
      <c r="FU20" s="148">
        <f>SUM(data_1!FU65:FU78)</f>
        <v>0</v>
      </c>
      <c r="FV20" s="148">
        <f>SUM(data_1!FV65:FV78)</f>
        <v>0</v>
      </c>
      <c r="FW20" s="148">
        <f>SUM(data_1!FW65:FW78)</f>
        <v>0</v>
      </c>
      <c r="FX20" s="148">
        <f>SUM(data_1!FX65:FX78)</f>
        <v>0</v>
      </c>
      <c r="FY20" s="148">
        <f>SUM(data_1!FY65:FY78)</f>
        <v>0</v>
      </c>
      <c r="FZ20" s="148">
        <f>SUM(data_1!FZ65:FZ78)</f>
        <v>6314473.7199999997</v>
      </c>
      <c r="GA20" s="148">
        <f>SUM(data_1!GA65:GA78)</f>
        <v>2411466.48</v>
      </c>
      <c r="GB20" s="148">
        <f>SUM(data_1!GB65:GB78)</f>
        <v>0</v>
      </c>
      <c r="GC20" s="148">
        <f>SUM(data_1!GC65:GC78)</f>
        <v>0</v>
      </c>
      <c r="GD20" s="148">
        <f>SUM(data_1!GD65:GD78)</f>
        <v>0</v>
      </c>
      <c r="GE20" s="148">
        <f>SUM(data_1!GE65:GE78)</f>
        <v>0</v>
      </c>
      <c r="GF20" s="148">
        <f>SUM(data_1!GF65:GF78)</f>
        <v>0</v>
      </c>
      <c r="GG20" s="148">
        <f>SUM(data_1!GG65:GG78)</f>
        <v>471238575.06</v>
      </c>
      <c r="GH20" s="148">
        <f>SUM(data_1!GH65:GH78)</f>
        <v>326049200</v>
      </c>
      <c r="GI20" s="148">
        <f>SUM(data_1!GI65:GI78)</f>
        <v>145189375.06</v>
      </c>
      <c r="GJ20" s="148">
        <f>SUM(data_1!GJ65:GJ78)</f>
        <v>307879588.44999999</v>
      </c>
      <c r="GK20" s="148">
        <f>SUM(data_1!GK65:GK78)</f>
        <v>75368.91</v>
      </c>
      <c r="GL20" s="148">
        <f>SUM(data_1!GL65:GL78)</f>
        <v>0</v>
      </c>
      <c r="GM20" s="148">
        <f>SUM(data_1!GM65:GM78)</f>
        <v>449100903.73000002</v>
      </c>
      <c r="GN20" s="148">
        <f>SUM(data_1!GN65:GN78)</f>
        <v>307863569.44</v>
      </c>
      <c r="GO20" s="148">
        <f>SUM(data_1!GO65:GO78)</f>
        <v>0</v>
      </c>
      <c r="GP20" s="148">
        <f>SUM(data_1!GP65:GP78)</f>
        <v>141237334.29000002</v>
      </c>
      <c r="GQ20" s="148">
        <f>SUM(data_1!GQ65:GQ78)</f>
        <v>363.72735999999998</v>
      </c>
      <c r="GR20" s="148">
        <f>SUM(data_1!GR65:GR78)</f>
        <v>75368.91</v>
      </c>
      <c r="GS20" s="148">
        <f>SUM(data_1!GS65:GS78)</f>
        <v>16019.01</v>
      </c>
      <c r="GT20" s="148">
        <f>SUM(data_1!GT65:GT78)</f>
        <v>307879588.44999999</v>
      </c>
      <c r="GU20" s="148">
        <f>SUM(data_1!GU65:GU78)</f>
        <v>0</v>
      </c>
      <c r="GV20" s="148">
        <f>SUM(data_1!GV65:GV78)</f>
        <v>326049200</v>
      </c>
      <c r="GW20" s="148">
        <f>SUM(data_1!GW65:GW78)</f>
        <v>326049200</v>
      </c>
      <c r="GX20" s="148">
        <f>SUM(data_1!GX65:GX78)</f>
        <v>0</v>
      </c>
      <c r="GY20" s="148">
        <f>SUM(data_1!GY65:GY78)</f>
        <v>0</v>
      </c>
      <c r="GZ20" s="148">
        <f>SUM(data_1!GZ65:GZ78)</f>
        <v>0</v>
      </c>
      <c r="HA20" s="148">
        <f>SUM(data_1!HA65:HA78)</f>
        <v>0</v>
      </c>
      <c r="HB20" s="148">
        <f>SUM(data_1!HB65:HB78)</f>
        <v>0</v>
      </c>
      <c r="HC20" s="148">
        <f>SUM(data_1!HC65:HC78)</f>
        <v>0</v>
      </c>
      <c r="HD20" s="148">
        <f>SUM(data_1!HD65:HD78)</f>
        <v>0</v>
      </c>
      <c r="HE20" s="148">
        <f>SUM(data_1!HE65:HE78)</f>
        <v>0</v>
      </c>
      <c r="HF20" s="148">
        <f>SUM(data_1!HF65:HF78)</f>
        <v>0</v>
      </c>
      <c r="HG20" s="148">
        <f>SUM(data_1!HG65:HG78)</f>
        <v>0</v>
      </c>
      <c r="HH20" s="148">
        <f>SUM(data_1!HH65:HH78)</f>
        <v>0</v>
      </c>
      <c r="HI20" s="148">
        <f>SUM(data_1!HI65:HI78)</f>
        <v>0</v>
      </c>
      <c r="HJ20" s="148">
        <f>SUM(data_1!HJ65:HJ78)</f>
        <v>0</v>
      </c>
      <c r="HK20" s="148">
        <f>SUM(data_1!HK65:HK78)</f>
        <v>0</v>
      </c>
      <c r="HL20" s="148">
        <f>SUM(data_1!HL65:HL78)</f>
        <v>0</v>
      </c>
      <c r="HM20" s="148">
        <f>SUM(data_1!HM65:HM78)</f>
        <v>0</v>
      </c>
      <c r="HN20" s="148">
        <f>SUM(data_1!HN65:HN78)</f>
        <v>0</v>
      </c>
      <c r="HO20" s="148">
        <f>SUM(data_1!HO65:HO78)</f>
        <v>0</v>
      </c>
      <c r="HP20" s="148">
        <f>SUM(data_1!HP65:HP78)</f>
        <v>0</v>
      </c>
      <c r="HQ20" s="148">
        <f>SUM(data_1!HQ65:HQ78)</f>
        <v>0</v>
      </c>
      <c r="HR20" s="148">
        <f>SUM(data_1!HR65:HR78)</f>
        <v>0</v>
      </c>
      <c r="HS20" s="148">
        <f>SUM(data_1!HS65:HS78)</f>
        <v>0</v>
      </c>
      <c r="HT20" s="148">
        <f>SUM(data_1!HT65:HT78)</f>
        <v>0</v>
      </c>
      <c r="HU20" s="148">
        <f>SUM(data_1!HU65:HU78)</f>
        <v>0</v>
      </c>
      <c r="HV20" s="148">
        <f>SUM(data_1!HV65:HV78)</f>
        <v>0</v>
      </c>
      <c r="HW20" s="148">
        <f>SUM(data_1!HW65:HW78)</f>
        <v>0</v>
      </c>
      <c r="HX20" s="148">
        <f>SUM(data_1!HX65:HX78)</f>
        <v>0</v>
      </c>
      <c r="HY20" s="148">
        <f>SUM(data_1!HY65:HY78)</f>
        <v>0</v>
      </c>
      <c r="HZ20" s="148">
        <f>SUM(data_1!HZ65:HZ78)</f>
        <v>0</v>
      </c>
      <c r="IA20" s="148">
        <f>SUM(data_1!IA65:IA78)</f>
        <v>0</v>
      </c>
      <c r="IB20" s="148">
        <f>SUM(data_1!IB65:IB78)</f>
        <v>0</v>
      </c>
      <c r="IC20" s="148">
        <f>SUM(data_1!IC65:IC78)</f>
        <v>0</v>
      </c>
      <c r="ID20" s="148">
        <f>SUM(data_1!ID65:ID78)</f>
        <v>0</v>
      </c>
      <c r="IE20" s="148">
        <f>SUM(data_1!IE65:IE78)</f>
        <v>0</v>
      </c>
      <c r="IF20" s="148">
        <f>SUM(data_1!IF65:IF78)</f>
        <v>0</v>
      </c>
      <c r="IG20" s="148">
        <f>SUM(data_1!IG65:IG78)</f>
        <v>0</v>
      </c>
      <c r="IH20" s="148">
        <f>SUM(data_1!IH65:IH78)</f>
        <v>0</v>
      </c>
      <c r="II20" s="148">
        <f>SUM(data_1!II65:II78)</f>
        <v>0</v>
      </c>
      <c r="IJ20" s="148">
        <f>SUM(data_1!IJ65:IJ78)</f>
        <v>0</v>
      </c>
      <c r="IK20" s="148">
        <f>SUM(data_1!IK65:IK78)</f>
        <v>0</v>
      </c>
      <c r="IL20" s="148">
        <f>SUM(data_1!IL65:IL78)</f>
        <v>0</v>
      </c>
      <c r="IM20" s="148">
        <f>SUM(data_1!IM65:IM78)</f>
        <v>0</v>
      </c>
      <c r="IN20" s="148">
        <f>SUM(data_1!IN65:IN78)</f>
        <v>0</v>
      </c>
      <c r="IO20" s="148">
        <f>SUM(data_1!IO65:IO78)</f>
        <v>0</v>
      </c>
      <c r="IP20" s="148">
        <f>SUM(data_1!IP65:IP78)</f>
        <v>0</v>
      </c>
      <c r="IQ20" s="148">
        <f>SUM(data_1!IQ65:IQ78)</f>
        <v>0</v>
      </c>
      <c r="IR20" s="148">
        <f>SUM(data_1!IR65:IR78)</f>
        <v>0</v>
      </c>
      <c r="IS20" s="148">
        <f>SUM(data_1!IS65:IS78)</f>
        <v>0</v>
      </c>
      <c r="IT20" s="148">
        <f>SUM(data_1!IT65:IT78)</f>
        <v>0</v>
      </c>
      <c r="IU20" s="148">
        <f>SUM(data_1!IU65:IU78)</f>
        <v>0</v>
      </c>
      <c r="IV20" s="148">
        <f>SUM(data_1!IV65:IV78)</f>
        <v>0</v>
      </c>
      <c r="IW20" s="148">
        <f>SUM(data_1!IW65:IW78)</f>
        <v>0</v>
      </c>
      <c r="IX20" s="148">
        <f>SUM(data_1!IX65:IX78)</f>
        <v>0</v>
      </c>
      <c r="IY20" s="148">
        <f>SUM(data_1!IY65:IY78)</f>
        <v>0</v>
      </c>
      <c r="IZ20" s="148">
        <f>SUM(data_1!IZ65:IZ78)</f>
        <v>0</v>
      </c>
      <c r="JA20" s="148">
        <f>SUM(data_1!JA65:JA78)</f>
        <v>80764568.590000004</v>
      </c>
      <c r="JB20" s="148">
        <f>SUM(data_1!JB65:JB78)</f>
        <v>35719400</v>
      </c>
      <c r="JC20" s="148">
        <f>SUM(data_1!JC65:JC78)</f>
        <v>45045168.589999996</v>
      </c>
      <c r="JD20" s="148">
        <f>SUM(data_1!JD65:JD78)</f>
        <v>34307161.07</v>
      </c>
      <c r="JE20" s="148">
        <f>SUM(data_1!JE65:JE78)</f>
        <v>0</v>
      </c>
      <c r="JF20" s="148">
        <f>SUM(data_1!JF65:JF78)</f>
        <v>0</v>
      </c>
      <c r="JG20" s="148">
        <f>SUM(data_1!JG65:JG78)</f>
        <v>78131923.699999988</v>
      </c>
      <c r="JH20" s="148">
        <f>SUM(data_1!JH65:JH78)</f>
        <v>34307161.07</v>
      </c>
      <c r="JI20" s="148">
        <f>SUM(data_1!JI65:JI78)</f>
        <v>0</v>
      </c>
      <c r="JJ20" s="148">
        <f>SUM(data_1!JJ65:JJ78)</f>
        <v>43824762.629999995</v>
      </c>
      <c r="JK20" s="148">
        <f>SUM(data_1!JK65:JK78)</f>
        <v>403.00566000000003</v>
      </c>
      <c r="JL20" s="148">
        <f>SUM(data_1!JL65:JL78)</f>
        <v>0</v>
      </c>
      <c r="JM20" s="148">
        <f>SUM(data_1!JM65:JM78)</f>
        <v>0</v>
      </c>
      <c r="JN20" s="148">
        <f>SUM(data_1!JN65:JN78)</f>
        <v>34307161.07</v>
      </c>
      <c r="JO20" s="148">
        <f>SUM(data_1!JO65:JO78)</f>
        <v>0</v>
      </c>
      <c r="JP20" s="148">
        <f>SUM(data_1!JP65:JP78)</f>
        <v>35719400</v>
      </c>
      <c r="JQ20" s="148">
        <f>SUM(data_1!JQ65:JQ78)</f>
        <v>35719400</v>
      </c>
      <c r="JR20" s="148">
        <f>SUM(data_1!JR65:JR78)</f>
        <v>0</v>
      </c>
      <c r="JS20" s="148">
        <f>SUM(data_1!JS65:JS78)</f>
        <v>0</v>
      </c>
      <c r="JT20" s="148">
        <f>SUM(data_1!JT65:JT78)</f>
        <v>0</v>
      </c>
      <c r="JU20" s="148">
        <f>SUM(data_1!JU65:JU78)</f>
        <v>0</v>
      </c>
      <c r="JV20" s="148">
        <f>SUM(data_1!JV65:JV78)</f>
        <v>0</v>
      </c>
      <c r="JW20" s="148">
        <f>SUM(data_1!JW65:JW78)</f>
        <v>0</v>
      </c>
      <c r="JX20" s="148">
        <f>SUM(data_1!JX65:JX78)</f>
        <v>0</v>
      </c>
      <c r="JY20" s="148">
        <f>SUM(data_1!JY65:JY78)</f>
        <v>0</v>
      </c>
      <c r="JZ20" s="148">
        <f>SUM(data_1!JZ65:JZ78)</f>
        <v>0</v>
      </c>
      <c r="KA20" s="148">
        <f>SUM(data_1!KA65:KA78)</f>
        <v>0</v>
      </c>
      <c r="KB20" s="148">
        <f>SUM(data_1!KB65:KB78)</f>
        <v>0</v>
      </c>
      <c r="KC20" s="148">
        <f>SUM(data_1!KC65:KC78)</f>
        <v>0</v>
      </c>
      <c r="KD20" s="148">
        <f>SUM(data_1!KD65:KD78)</f>
        <v>0</v>
      </c>
      <c r="KE20" s="148">
        <f>SUM(data_1!KE65:KE78)</f>
        <v>0</v>
      </c>
      <c r="KF20" s="148">
        <f>SUM(data_1!KF65:KF78)</f>
        <v>0</v>
      </c>
      <c r="KG20" s="148">
        <f>SUM(data_1!KG65:KG78)</f>
        <v>0</v>
      </c>
      <c r="KH20" s="148">
        <f>SUM(data_1!KH65:KH78)</f>
        <v>0</v>
      </c>
      <c r="KI20" s="148">
        <f>SUM(data_1!KI65:KI78)</f>
        <v>0</v>
      </c>
      <c r="KJ20" s="148">
        <f>SUM(data_1!KJ65:KJ78)</f>
        <v>0</v>
      </c>
      <c r="KK20" s="148">
        <f>SUM(data_1!KK65:KK78)</f>
        <v>23189561.82</v>
      </c>
      <c r="KL20" s="148">
        <f>SUM(data_1!KL65:KL78)</f>
        <v>16980400</v>
      </c>
      <c r="KM20" s="148">
        <f>SUM(data_1!KM65:KM78)</f>
        <v>6209161.8200000003</v>
      </c>
      <c r="KN20" s="148">
        <f>SUM(data_1!KN65:KN78)</f>
        <v>16920098.310000002</v>
      </c>
      <c r="KO20" s="148">
        <f>SUM(data_1!KO65:KO78)</f>
        <v>0</v>
      </c>
      <c r="KP20" s="148">
        <f>SUM(data_1!KP65:KP78)</f>
        <v>0</v>
      </c>
      <c r="KQ20" s="148">
        <f>SUM(data_1!KQ65:KQ78)</f>
        <v>23085593.390000001</v>
      </c>
      <c r="KR20" s="148">
        <f>SUM(data_1!KR65:KR78)</f>
        <v>16920098.310000002</v>
      </c>
      <c r="KS20" s="148">
        <f>SUM(data_1!KS65:KS78)</f>
        <v>0</v>
      </c>
      <c r="KT20" s="148">
        <f>SUM(data_1!KT65:KT78)</f>
        <v>6165495.0800000001</v>
      </c>
      <c r="KU20" s="148">
        <f>SUM(data_1!KU65:KU78)</f>
        <v>152.99973</v>
      </c>
      <c r="KV20" s="148">
        <f>SUM(data_1!KV65:KV78)</f>
        <v>0</v>
      </c>
      <c r="KW20" s="148">
        <f>SUM(data_1!KW65:KW78)</f>
        <v>0</v>
      </c>
      <c r="KX20" s="148">
        <f>SUM(data_1!KX65:KX78)</f>
        <v>16920098.310000002</v>
      </c>
      <c r="KY20" s="148">
        <f>SUM(data_1!KY65:KY78)</f>
        <v>0</v>
      </c>
      <c r="KZ20" s="148">
        <f>SUM(data_1!KZ65:KZ78)</f>
        <v>16980400</v>
      </c>
      <c r="LA20" s="148">
        <f>SUM(data_1!LA65:LA78)</f>
        <v>16980400</v>
      </c>
      <c r="LB20" s="148">
        <f>SUM(data_1!LB65:LB78)</f>
        <v>0</v>
      </c>
      <c r="LC20" s="148">
        <f>SUM(data_1!LC65:LC78)</f>
        <v>0</v>
      </c>
      <c r="LD20" s="148">
        <f>SUM(data_1!LD65:LD78)</f>
        <v>0</v>
      </c>
      <c r="LE20" s="148">
        <f>SUM(data_1!LE65:LE78)</f>
        <v>0</v>
      </c>
      <c r="LF20" s="148">
        <f>SUM(data_1!LF65:LF78)</f>
        <v>0</v>
      </c>
      <c r="LG20" s="148">
        <f>SUM(data_1!LG65:LG78)</f>
        <v>0</v>
      </c>
      <c r="LH20" s="148">
        <f>SUM(data_1!LH65:LH78)</f>
        <v>0</v>
      </c>
      <c r="LI20" s="148">
        <f>SUM(data_1!LI65:LI78)</f>
        <v>0</v>
      </c>
      <c r="LJ20" s="148">
        <f>SUM(data_1!LJ65:LJ78)</f>
        <v>0</v>
      </c>
      <c r="LK20" s="148">
        <f>SUM(data_1!LK65:LK78)</f>
        <v>0</v>
      </c>
      <c r="LL20" s="148">
        <f>SUM(data_1!LL65:LL78)</f>
        <v>0</v>
      </c>
      <c r="LM20" s="148">
        <f>SUM(data_1!LM65:LM78)</f>
        <v>0</v>
      </c>
      <c r="LN20" s="148">
        <f>SUM(data_1!LN65:LN78)</f>
        <v>0</v>
      </c>
      <c r="LO20" s="148">
        <f>SUM(data_1!LO65:LO78)</f>
        <v>0</v>
      </c>
      <c r="LP20" s="148">
        <f>SUM(data_1!LP65:LP78)</f>
        <v>0</v>
      </c>
      <c r="LQ20" s="148">
        <f>SUM(data_1!LQ65:LQ78)</f>
        <v>0</v>
      </c>
      <c r="LR20" s="148">
        <f>SUM(data_1!LR65:LR78)</f>
        <v>0</v>
      </c>
      <c r="LS20" s="148">
        <f>SUM(data_1!LS65:LS78)</f>
        <v>0</v>
      </c>
      <c r="LT20" s="148">
        <f>SUM(data_1!LT65:LT78)</f>
        <v>0</v>
      </c>
      <c r="LU20" s="148">
        <f>SUM(data_1!LU65:LU78)</f>
        <v>444775998.50999999</v>
      </c>
      <c r="LV20" s="148">
        <f>SUM(data_1!LV65:LV78)</f>
        <v>299275800</v>
      </c>
      <c r="LW20" s="148">
        <f>SUM(data_1!LW65:LW78)</f>
        <v>145500198.50999999</v>
      </c>
      <c r="LX20" s="148">
        <f>SUM(data_1!LX65:LX78)</f>
        <v>298752777.38999999</v>
      </c>
      <c r="LY20" s="148">
        <f>SUM(data_1!LY65:LY78)</f>
        <v>12320.5</v>
      </c>
      <c r="LZ20" s="148">
        <f>SUM(data_1!LZ65:LZ78)</f>
        <v>0</v>
      </c>
      <c r="MA20" s="148">
        <f>SUM(data_1!MA65:MA78)</f>
        <v>443874234.38999999</v>
      </c>
      <c r="MB20" s="148">
        <f>SUM(data_1!MB65:MB78)</f>
        <v>298752776.81</v>
      </c>
      <c r="MC20" s="148">
        <f>SUM(data_1!MC65:MC78)</f>
        <v>0</v>
      </c>
      <c r="MD20" s="148">
        <f>SUM(data_1!MD65:MD78)</f>
        <v>145121457.57999998</v>
      </c>
      <c r="ME20" s="148">
        <f>SUM(data_1!ME65:ME78)</f>
        <v>155.45672000000002</v>
      </c>
      <c r="MF20" s="148">
        <f>SUM(data_1!MF65:MF78)</f>
        <v>12320.5</v>
      </c>
      <c r="MG20" s="148">
        <f>SUM(data_1!MG65:MG78)</f>
        <v>0.57999999999999996</v>
      </c>
      <c r="MH20" s="148">
        <f>SUM(data_1!MH65:MH78)</f>
        <v>298752777.38999999</v>
      </c>
      <c r="MI20" s="148">
        <f>SUM(data_1!MI65:MI78)</f>
        <v>0</v>
      </c>
      <c r="MJ20" s="148">
        <f>SUM(data_1!MJ65:MJ78)</f>
        <v>299275800</v>
      </c>
      <c r="MK20" s="148">
        <f>SUM(data_1!MK65:MK78)</f>
        <v>299275800</v>
      </c>
      <c r="ML20" s="148">
        <f>SUM(data_1!ML65:ML78)</f>
        <v>0</v>
      </c>
      <c r="MM20" s="148">
        <f>SUM(data_1!MM65:MM78)</f>
        <v>0</v>
      </c>
      <c r="MN20" s="148">
        <f>SUM(data_1!MN65:MN78)</f>
        <v>0</v>
      </c>
      <c r="MO20" s="148">
        <f>SUM(data_1!MO65:MO78)</f>
        <v>0</v>
      </c>
      <c r="MP20" s="148">
        <f>SUM(data_1!MP65:MP78)</f>
        <v>0</v>
      </c>
      <c r="MQ20" s="148">
        <f>SUM(data_1!MQ65:MQ78)</f>
        <v>0</v>
      </c>
      <c r="MR20" s="148">
        <f>SUM(data_1!MR65:MR78)</f>
        <v>0</v>
      </c>
      <c r="MS20" s="148">
        <f>SUM(data_1!MS65:MS78)</f>
        <v>0</v>
      </c>
      <c r="MT20" s="148">
        <f>SUM(data_1!MT65:MT78)</f>
        <v>0</v>
      </c>
      <c r="MU20" s="148">
        <f>SUM(data_1!MU65:MU78)</f>
        <v>0</v>
      </c>
      <c r="MV20" s="148">
        <f>SUM(data_1!MV65:MV78)</f>
        <v>0</v>
      </c>
      <c r="MW20" s="148">
        <f>SUM(data_1!MW65:MW78)</f>
        <v>0</v>
      </c>
      <c r="MX20" s="148">
        <f>SUM(data_1!MX65:MX78)</f>
        <v>0</v>
      </c>
      <c r="MY20" s="148">
        <f>SUM(data_1!MY65:MY78)</f>
        <v>0</v>
      </c>
      <c r="MZ20" s="148">
        <f>SUM(data_1!MZ65:MZ78)</f>
        <v>0</v>
      </c>
      <c r="NA20" s="148">
        <f>SUM(data_1!NA65:NA78)</f>
        <v>0</v>
      </c>
      <c r="NB20" s="148">
        <f>SUM(data_1!NB65:NB78)</f>
        <v>0</v>
      </c>
      <c r="NC20" s="148">
        <f>SUM(data_1!NC65:NC78)</f>
        <v>0</v>
      </c>
      <c r="ND20" s="148">
        <f>SUM(data_1!ND65:ND78)</f>
        <v>0</v>
      </c>
      <c r="NE20" s="148">
        <f>SUM(data_1!NE65:NE78)</f>
        <v>15143896.880000001</v>
      </c>
      <c r="NF20" s="148">
        <f>SUM(data_1!NF65:NF78)</f>
        <v>10668000</v>
      </c>
      <c r="NG20" s="148">
        <f>SUM(data_1!NG65:NG78)</f>
        <v>4475896.88</v>
      </c>
      <c r="NH20" s="148">
        <f>SUM(data_1!NH65:NH78)</f>
        <v>10666111.460000001</v>
      </c>
      <c r="NI20" s="148">
        <f>SUM(data_1!NI65:NI78)</f>
        <v>0</v>
      </c>
      <c r="NJ20" s="148">
        <f>SUM(data_1!NJ65:NJ78)</f>
        <v>0</v>
      </c>
      <c r="NK20" s="148">
        <f>SUM(data_1!NK65:NK78)</f>
        <v>15141593.790000001</v>
      </c>
      <c r="NL20" s="148">
        <f>SUM(data_1!NL65:NL78)</f>
        <v>10666111.460000001</v>
      </c>
      <c r="NM20" s="148">
        <f>SUM(data_1!NM65:NM78)</f>
        <v>0</v>
      </c>
      <c r="NN20" s="148">
        <f>SUM(data_1!NN65:NN78)</f>
        <v>4475482.33</v>
      </c>
      <c r="NO20" s="148">
        <f>SUM(data_1!NO65:NO78)</f>
        <v>254.62142999999998</v>
      </c>
      <c r="NP20" s="148">
        <f>SUM(data_1!NP65:NP78)</f>
        <v>0</v>
      </c>
      <c r="NQ20" s="148">
        <f>SUM(data_1!NQ65:NQ78)</f>
        <v>0</v>
      </c>
      <c r="NR20" s="148">
        <f>SUM(data_1!NR65:NR78)</f>
        <v>10666111.460000001</v>
      </c>
      <c r="NS20" s="148">
        <f>SUM(data_1!NS65:NS78)</f>
        <v>0</v>
      </c>
      <c r="NT20" s="148">
        <f>SUM(data_1!NT65:NT78)</f>
        <v>10668000</v>
      </c>
      <c r="NU20" s="148">
        <f>SUM(data_1!NU65:NU78)</f>
        <v>10668000</v>
      </c>
      <c r="NV20" s="148">
        <f>SUM(data_1!NV65:NV78)</f>
        <v>0</v>
      </c>
      <c r="NW20" s="148">
        <f>SUM(data_1!NW65:NW78)</f>
        <v>0</v>
      </c>
      <c r="NX20" s="148">
        <f>SUM(data_1!NX65:NX78)</f>
        <v>0</v>
      </c>
      <c r="NY20" s="148">
        <f>SUM(data_1!NY65:NY78)</f>
        <v>0</v>
      </c>
      <c r="NZ20" s="148">
        <f>SUM(data_1!NZ65:NZ78)</f>
        <v>0</v>
      </c>
      <c r="OA20" s="148">
        <f>SUM(data_1!OA65:OA78)</f>
        <v>0</v>
      </c>
      <c r="OB20" s="148">
        <f>SUM(data_1!OB65:OB78)</f>
        <v>0</v>
      </c>
      <c r="OC20" s="148">
        <f>SUM(data_1!OC65:OC78)</f>
        <v>0</v>
      </c>
      <c r="OD20" s="148">
        <f>SUM(data_1!OD65:OD78)</f>
        <v>0</v>
      </c>
      <c r="OE20" s="148">
        <f>SUM(data_1!OE65:OE78)</f>
        <v>0</v>
      </c>
      <c r="OF20" s="148">
        <f>SUM(data_1!OF65:OF78)</f>
        <v>0</v>
      </c>
      <c r="OG20" s="148">
        <f>SUM(data_1!OG65:OG78)</f>
        <v>0</v>
      </c>
      <c r="OH20" s="148">
        <f>SUM(data_1!OH65:OH78)</f>
        <v>0</v>
      </c>
      <c r="OI20" s="148">
        <f>SUM(data_1!OI65:OI78)</f>
        <v>0</v>
      </c>
      <c r="OJ20" s="148">
        <f>SUM(data_1!OJ65:OJ78)</f>
        <v>0</v>
      </c>
      <c r="OK20" s="148">
        <f>SUM(data_1!OK65:OK78)</f>
        <v>0</v>
      </c>
      <c r="OL20" s="148">
        <f>SUM(data_1!OL65:OL78)</f>
        <v>0</v>
      </c>
      <c r="OM20" s="148">
        <f>SUM(data_1!OM65:OM78)</f>
        <v>0</v>
      </c>
      <c r="ON20" s="148">
        <f>SUM(data_1!ON65:ON78)</f>
        <v>0</v>
      </c>
      <c r="OO20" s="148">
        <f>SUM(data_1!OO65:OO78)</f>
        <v>0</v>
      </c>
      <c r="OP20" s="148">
        <f>SUM(data_1!OP65:OP78)</f>
        <v>0</v>
      </c>
      <c r="OQ20" s="148">
        <f>SUM(data_1!OQ65:OQ78)</f>
        <v>0</v>
      </c>
      <c r="OR20" s="148">
        <f>SUM(data_1!OR65:OR78)</f>
        <v>0</v>
      </c>
      <c r="OS20" s="148">
        <f>SUM(data_1!OS65:OS78)</f>
        <v>67027387.240000002</v>
      </c>
      <c r="OT20" s="148">
        <f>SUM(data_1!OT65:OT78)</f>
        <v>0</v>
      </c>
      <c r="OU20" s="148">
        <f>SUM(data_1!OU65:OU78)</f>
        <v>0</v>
      </c>
      <c r="OV20" s="148">
        <f>SUM(data_1!OV65:OV78)</f>
        <v>0</v>
      </c>
      <c r="OW20" s="148">
        <f>SUM(data_1!OW65:OW78)</f>
        <v>0</v>
      </c>
      <c r="OX20" s="148">
        <f>SUM(data_1!OX65:OX78)</f>
        <v>0</v>
      </c>
      <c r="OY20" s="148">
        <f>SUM(data_1!OY65:OY78)</f>
        <v>0</v>
      </c>
      <c r="OZ20" s="148">
        <f>SUM(data_1!OZ65:OZ78)</f>
        <v>66304742.540000007</v>
      </c>
      <c r="PA20" s="148">
        <f>SUM(data_1!PA65:PA78)</f>
        <v>722644.7</v>
      </c>
      <c r="PB20" s="148">
        <f>SUM(data_1!PB65:PB78)</f>
        <v>0</v>
      </c>
      <c r="PC20" s="148">
        <f>SUM(data_1!PC65:PC78)</f>
        <v>0</v>
      </c>
      <c r="PD20" s="148">
        <f>SUM(data_1!PD65:PD78)</f>
        <v>0</v>
      </c>
      <c r="PE20" s="148">
        <f>SUM(data_1!PE65:PE78)</f>
        <v>0</v>
      </c>
      <c r="PF20" s="148">
        <f>SUM(data_1!PF65:PF78)</f>
        <v>0</v>
      </c>
      <c r="PG20" s="148">
        <f>SUM(data_1!PG65:PG78)</f>
        <v>0</v>
      </c>
      <c r="PH20" s="148">
        <f>SUM(data_1!PH65:PH78)</f>
        <v>0</v>
      </c>
      <c r="PI20" s="148">
        <f>SUM(data_1!PI65:PI78)</f>
        <v>0</v>
      </c>
      <c r="PJ20" s="148">
        <f>SUM(data_1!PJ65:PJ78)</f>
        <v>0</v>
      </c>
      <c r="PK20" s="148">
        <f>SUM(data_1!PK65:PK78)</f>
        <v>0</v>
      </c>
      <c r="PL20" s="148">
        <f>SUM(data_1!PL65:PL78)</f>
        <v>0</v>
      </c>
      <c r="PM20" s="148">
        <f>SUM(data_1!PM65:PM78)</f>
        <v>0</v>
      </c>
      <c r="PN20" s="148">
        <f>SUM(data_1!PN65:PN78)</f>
        <v>0</v>
      </c>
      <c r="PO20" s="148">
        <f>SUM(data_1!PO65:PO78)</f>
        <v>0</v>
      </c>
      <c r="PP20" s="148">
        <f>SUM(data_1!PP65:PP78)</f>
        <v>0</v>
      </c>
      <c r="PQ20" s="148">
        <f>SUM(data_1!PQ65:PQ78)</f>
        <v>0</v>
      </c>
      <c r="PR20" s="148">
        <f>SUM(data_1!PR65:PR78)</f>
        <v>0</v>
      </c>
      <c r="PS20" s="148">
        <f>SUM(data_1!PS65:PS78)</f>
        <v>0</v>
      </c>
      <c r="PT20" s="148">
        <f>SUM(data_1!PT65:PT78)</f>
        <v>0</v>
      </c>
      <c r="PU20" s="148">
        <f>SUM(data_1!PU65:PU78)</f>
        <v>0</v>
      </c>
      <c r="PV20" s="148">
        <f>SUM(data_1!PV65:PV78)</f>
        <v>0</v>
      </c>
      <c r="PW20" s="148">
        <f>SUM(data_1!PW65:PW78)</f>
        <v>0</v>
      </c>
      <c r="PX20" s="148">
        <f>SUM(data_1!PX65:PX78)</f>
        <v>0</v>
      </c>
      <c r="PY20" s="148">
        <f>SUM(data_1!PY65:PY78)</f>
        <v>0</v>
      </c>
      <c r="PZ20" s="148">
        <f>SUM(data_1!PZ65:PZ78)</f>
        <v>0</v>
      </c>
      <c r="QA20" s="148">
        <f>SUM(data_1!QA65:QA78)</f>
        <v>0</v>
      </c>
      <c r="QB20" s="148">
        <f>SUM(data_1!QB65:QB78)</f>
        <v>0</v>
      </c>
      <c r="QC20" s="148">
        <f>SUM(data_1!QC65:QC78)</f>
        <v>0</v>
      </c>
      <c r="QD20" s="148">
        <f>SUM(data_1!QD65:QD78)</f>
        <v>0</v>
      </c>
      <c r="QE20" s="148">
        <f>SUM(data_1!QE65:QE78)</f>
        <v>0</v>
      </c>
      <c r="QF20" s="148">
        <f>SUM(data_1!QF65:QF78)</f>
        <v>0</v>
      </c>
      <c r="QG20" s="148">
        <f>SUM(data_1!QG65:QG78)</f>
        <v>0</v>
      </c>
      <c r="QH20" s="148">
        <f>SUM(data_1!QH65:QH78)</f>
        <v>0</v>
      </c>
      <c r="QI20" s="148">
        <f>SUM(data_1!QI65:QI78)</f>
        <v>0</v>
      </c>
      <c r="QJ20" s="148">
        <f>SUM(data_1!QJ65:QJ78)</f>
        <v>0</v>
      </c>
      <c r="QK20" s="148">
        <f>SUM(data_1!QK65:QK78)</f>
        <v>0</v>
      </c>
      <c r="QL20" s="148">
        <f>SUM(data_1!QL65:QL78)</f>
        <v>0</v>
      </c>
      <c r="QM20" s="148">
        <f>SUM(data_1!QM65:QM78)</f>
        <v>0</v>
      </c>
      <c r="QN20" s="148">
        <f>SUM(data_1!QN65:QN78)</f>
        <v>0</v>
      </c>
      <c r="QO20" s="148">
        <f>SUM(data_1!QO65:QO78)</f>
        <v>0</v>
      </c>
      <c r="QP20" s="148">
        <f>SUM(data_1!QP65:QP78)</f>
        <v>0</v>
      </c>
      <c r="QQ20" s="148">
        <f>SUM(data_1!QQ65:QQ78)</f>
        <v>3306666.5</v>
      </c>
      <c r="QR20" s="148">
        <f>SUM(data_1!QR65:QR78)</f>
        <v>2480000</v>
      </c>
      <c r="QS20" s="148">
        <f>SUM(data_1!QS65:QS78)</f>
        <v>826666.5</v>
      </c>
      <c r="QT20" s="148">
        <f>SUM(data_1!QT65:QT78)</f>
        <v>2480000</v>
      </c>
      <c r="QU20" s="148">
        <f>SUM(data_1!QU65:QU78)</f>
        <v>0</v>
      </c>
      <c r="QV20" s="148">
        <f>SUM(data_1!QV65:QV78)</f>
        <v>0</v>
      </c>
      <c r="QW20" s="148">
        <f>SUM(data_1!QW65:QW78)</f>
        <v>3306666.5</v>
      </c>
      <c r="QX20" s="148">
        <f>SUM(data_1!QX65:QX78)</f>
        <v>2480000</v>
      </c>
      <c r="QY20" s="148">
        <f>SUM(data_1!QY65:QY78)</f>
        <v>0</v>
      </c>
      <c r="QZ20" s="148">
        <f>SUM(data_1!QZ65:QZ78)</f>
        <v>826666.5</v>
      </c>
      <c r="RA20" s="148">
        <f>SUM(data_1!RA65:RA78)</f>
        <v>25</v>
      </c>
      <c r="RB20" s="148">
        <f>SUM(data_1!RB65:RB78)</f>
        <v>0</v>
      </c>
      <c r="RC20" s="148">
        <f>SUM(data_1!RC65:RC78)</f>
        <v>0</v>
      </c>
      <c r="RD20" s="148">
        <f>SUM(data_1!RD65:RD78)</f>
        <v>2480000</v>
      </c>
      <c r="RE20" s="148">
        <f>SUM(data_1!RE65:RE78)</f>
        <v>0</v>
      </c>
      <c r="RF20" s="148">
        <f>SUM(data_1!RF65:RF78)</f>
        <v>2480000</v>
      </c>
      <c r="RG20" s="148">
        <f>SUM(data_1!RG65:RG78)</f>
        <v>2480000</v>
      </c>
      <c r="RH20" s="148">
        <f>SUM(data_1!RH65:RH78)</f>
        <v>0</v>
      </c>
      <c r="RI20" s="148">
        <f>SUM(data_1!RI65:RI78)</f>
        <v>0</v>
      </c>
      <c r="RJ20" s="148">
        <f>SUM(data_1!RJ65:RJ78)</f>
        <v>0</v>
      </c>
      <c r="RK20" s="148">
        <f>SUM(data_1!RK65:RK78)</f>
        <v>0</v>
      </c>
      <c r="RL20" s="148">
        <f>SUM(data_1!RL65:RL78)</f>
        <v>0</v>
      </c>
      <c r="RM20" s="148">
        <f>SUM(data_1!RM65:RM78)</f>
        <v>238194119.09000003</v>
      </c>
      <c r="RN20" s="148">
        <f>SUM(data_1!RN65:RN78)</f>
        <v>0</v>
      </c>
      <c r="RO20" s="148">
        <f>SUM(data_1!RO65:RO78)</f>
        <v>0</v>
      </c>
      <c r="RP20" s="148">
        <f>SUM(data_1!RP65:RP78)</f>
        <v>0</v>
      </c>
      <c r="RQ20" s="148">
        <f>SUM(data_1!RQ65:RQ78)</f>
        <v>0</v>
      </c>
      <c r="RR20" s="148">
        <f>SUM(data_1!RR65:RR78)</f>
        <v>0</v>
      </c>
      <c r="RS20" s="148">
        <f>SUM(data_1!RS65:RS78)</f>
        <v>0</v>
      </c>
      <c r="RT20" s="148">
        <f>SUM(data_1!RT65:RT78)</f>
        <v>238194119.09000003</v>
      </c>
      <c r="RU20" s="148">
        <f>SUM(data_1!RU65:RU78)</f>
        <v>0</v>
      </c>
      <c r="RV20" s="148">
        <f>SUM(data_1!RV65:RV78)</f>
        <v>0</v>
      </c>
      <c r="RW20" s="148">
        <f>SUM(data_1!RW65:RW78)</f>
        <v>0</v>
      </c>
      <c r="RX20" s="148">
        <f>SUM(data_1!RX65:RX78)</f>
        <v>0</v>
      </c>
      <c r="RY20" s="148">
        <f>SUM(data_1!RY65:RY78)</f>
        <v>0</v>
      </c>
      <c r="RZ20" s="148">
        <f>SUM(data_1!RZ65:RZ78)</f>
        <v>0</v>
      </c>
      <c r="SA20" s="148">
        <f>SUM(data_1!SA65:SA78)</f>
        <v>0</v>
      </c>
      <c r="SB20" s="148">
        <f>SUM(data_1!SB65:SB78)</f>
        <v>0</v>
      </c>
      <c r="SC20" s="148">
        <f>SUM(data_1!SC65:SC78)</f>
        <v>0</v>
      </c>
      <c r="SD20" s="148">
        <f>SUM(data_1!SD65:SD78)</f>
        <v>0</v>
      </c>
      <c r="SE20" s="148">
        <f>SUM(data_1!SE65:SE78)</f>
        <v>0</v>
      </c>
      <c r="SF20" s="148">
        <f>SUM(data_1!SF65:SF78)</f>
        <v>0</v>
      </c>
      <c r="SG20" s="148">
        <f>SUM(data_1!SG65:SG78)</f>
        <v>0</v>
      </c>
      <c r="SH20" s="148">
        <f>SUM(data_1!SH65:SH78)</f>
        <v>0</v>
      </c>
      <c r="SI20" s="148">
        <f>SUM(data_1!SI65:SI78)</f>
        <v>0</v>
      </c>
      <c r="SJ20" s="148">
        <f>SUM(data_1!SJ65:SJ78)</f>
        <v>0</v>
      </c>
      <c r="SK20" s="148">
        <f>SUM(data_1!SK65:SK78)</f>
        <v>0</v>
      </c>
      <c r="SL20" s="148">
        <f>SUM(data_1!SL65:SL78)</f>
        <v>0</v>
      </c>
      <c r="SM20" s="148">
        <f>SUM(data_1!SM65:SM78)</f>
        <v>0</v>
      </c>
      <c r="SN20" s="148">
        <f>SUM(data_1!SN65:SN78)</f>
        <v>0</v>
      </c>
      <c r="SO20" s="148">
        <f>SUM(data_1!SO65:SO78)</f>
        <v>0</v>
      </c>
      <c r="SP20" s="148">
        <f>SUM(data_1!SP65:SP78)</f>
        <v>0</v>
      </c>
      <c r="SQ20" s="148">
        <f>SUM(data_1!SQ65:SQ78)</f>
        <v>0</v>
      </c>
      <c r="SR20" s="148">
        <f>SUM(data_1!SR65:SR78)</f>
        <v>0</v>
      </c>
      <c r="SS20" s="148">
        <f>SUM(data_1!SS65:SS78)</f>
        <v>0</v>
      </c>
      <c r="ST20" s="148">
        <f>SUM(data_1!ST65:ST78)</f>
        <v>0</v>
      </c>
      <c r="SU20" s="148">
        <f>SUM(data_1!SU65:SU78)</f>
        <v>0</v>
      </c>
      <c r="SV20" s="148">
        <f>SUM(data_1!SV65:SV78)</f>
        <v>0</v>
      </c>
      <c r="SW20" s="148">
        <f>SUM(data_1!SW65:SW78)</f>
        <v>0</v>
      </c>
      <c r="SX20" s="148">
        <f>SUM(data_1!SX65:SX78)</f>
        <v>0</v>
      </c>
      <c r="SY20" s="148">
        <f>SUM(data_1!SY65:SY78)</f>
        <v>0</v>
      </c>
      <c r="SZ20" s="148">
        <f>SUM(data_1!SZ65:SZ78)</f>
        <v>0</v>
      </c>
      <c r="TA20" s="148">
        <f>SUM(data_1!TA65:TA78)</f>
        <v>0</v>
      </c>
      <c r="TB20" s="148">
        <f>SUM(data_1!TB65:TB78)</f>
        <v>0</v>
      </c>
      <c r="TC20" s="148">
        <f>SUM(data_1!TC65:TC78)</f>
        <v>0</v>
      </c>
      <c r="TD20" s="148">
        <f>SUM(data_1!TD65:TD78)</f>
        <v>0</v>
      </c>
      <c r="TE20" s="148">
        <f>SUM(data_1!TE65:TE78)</f>
        <v>0</v>
      </c>
      <c r="TF20" s="148">
        <f>SUM(data_1!TF65:TF78)</f>
        <v>0</v>
      </c>
      <c r="TG20" s="148">
        <f>SUM(data_1!TG65:TG78)</f>
        <v>0</v>
      </c>
      <c r="TH20" s="148">
        <f>SUM(data_1!TH65:TH78)</f>
        <v>0</v>
      </c>
      <c r="TI20" s="148">
        <f>SUM(data_1!TI65:TI78)</f>
        <v>0</v>
      </c>
      <c r="TJ20" s="148">
        <f>SUM(data_1!TJ65:TJ78)</f>
        <v>0</v>
      </c>
      <c r="TK20" s="148">
        <f>SUM(data_1!TK65:TK78)</f>
        <v>0</v>
      </c>
      <c r="TL20" s="148">
        <f>SUM(data_1!TL65:TL78)</f>
        <v>0</v>
      </c>
      <c r="TM20" s="148">
        <f>SUM(data_1!TM65:TM78)</f>
        <v>0</v>
      </c>
      <c r="TN20" s="148">
        <f>SUM(data_1!TN65:TN78)</f>
        <v>0</v>
      </c>
      <c r="TO20" s="148">
        <f>SUM(data_1!TO65:TO78)</f>
        <v>0</v>
      </c>
      <c r="TP20" s="148">
        <f>SUM(data_1!TP65:TP78)</f>
        <v>0</v>
      </c>
      <c r="TQ20" s="148">
        <f>SUM(data_1!TQ65:TQ78)</f>
        <v>0</v>
      </c>
      <c r="TR20" s="148">
        <f>SUM(data_1!TR65:TR78)</f>
        <v>0</v>
      </c>
      <c r="TS20" s="148">
        <f>SUM(data_1!TS65:TS78)</f>
        <v>0</v>
      </c>
      <c r="TT20" s="148">
        <f>SUM(data_1!TT65:TT78)</f>
        <v>0</v>
      </c>
      <c r="TU20" s="148">
        <f>SUM(data_1!TU65:TU78)</f>
        <v>0</v>
      </c>
      <c r="TV20" s="148">
        <f>SUM(data_1!TV65:TV78)</f>
        <v>0</v>
      </c>
      <c r="TW20" s="148">
        <f>SUM(data_1!TW65:TW78)</f>
        <v>0</v>
      </c>
      <c r="TX20" s="148">
        <f>SUM(data_1!TX65:TX78)</f>
        <v>0</v>
      </c>
      <c r="TY20" s="148">
        <f>SUM(data_1!TY65:TY78)</f>
        <v>0</v>
      </c>
      <c r="TZ20" s="148">
        <f>SUM(data_1!TZ65:TZ78)</f>
        <v>0</v>
      </c>
      <c r="UA20" s="148">
        <f>SUM(data_1!UA65:UA78)</f>
        <v>0</v>
      </c>
      <c r="UB20" s="148">
        <f>SUM(data_1!UB65:UB78)</f>
        <v>0</v>
      </c>
      <c r="UC20" s="148">
        <f>SUM(data_1!UC65:UC78)</f>
        <v>363508800</v>
      </c>
      <c r="UD20" s="148">
        <f>SUM(data_1!UD65:UD78)</f>
        <v>363508800</v>
      </c>
      <c r="UE20" s="148">
        <f>SUM(data_1!UE65:UE78)</f>
        <v>0</v>
      </c>
      <c r="UF20" s="148">
        <f>SUM(data_1!UF65:UF78)</f>
        <v>363508293.10000002</v>
      </c>
      <c r="UG20" s="148">
        <f>SUM(data_1!UG65:UG78)</f>
        <v>0</v>
      </c>
      <c r="UH20" s="148">
        <f>SUM(data_1!UH65:UH78)</f>
        <v>0</v>
      </c>
      <c r="UI20" s="148">
        <f>SUM(data_1!UI65:UI78)</f>
        <v>363508293.10000002</v>
      </c>
      <c r="UJ20" s="148">
        <f>SUM(data_1!UJ65:UJ78)</f>
        <v>363508293.10000002</v>
      </c>
      <c r="UK20" s="148">
        <f>SUM(data_1!UK65:UK78)</f>
        <v>0</v>
      </c>
      <c r="UL20" s="148">
        <f>SUM(data_1!UL65:UL78)</f>
        <v>0</v>
      </c>
      <c r="UM20" s="148">
        <f>SUM(data_1!UM65:UM78)</f>
        <v>0</v>
      </c>
      <c r="UN20" s="148">
        <f>SUM(data_1!UN65:UN78)</f>
        <v>0</v>
      </c>
      <c r="UO20" s="148">
        <f>SUM(data_1!UO65:UO78)</f>
        <v>0</v>
      </c>
      <c r="UP20" s="148">
        <f>SUM(data_1!UP65:UP78)</f>
        <v>363508293.10000002</v>
      </c>
      <c r="UQ20" s="148">
        <f>SUM(data_1!UQ65:UQ78)</f>
        <v>0</v>
      </c>
      <c r="UR20" s="148">
        <f>SUM(data_1!UR65:UR78)</f>
        <v>363508800</v>
      </c>
      <c r="US20" s="148">
        <f>SUM(data_1!US65:US78)</f>
        <v>363508800</v>
      </c>
    </row>
    <row r="21" spans="1:565" x14ac:dyDescent="0.3">
      <c r="A21" s="133" t="s">
        <v>171</v>
      </c>
      <c r="B21" s="134" t="s">
        <v>172</v>
      </c>
      <c r="C21" s="137" t="s">
        <v>173</v>
      </c>
      <c r="F21" s="148">
        <f>SUM(data_1!F80:F85)</f>
        <v>4196659700</v>
      </c>
      <c r="G21" s="148">
        <f>SUM(data_1!G80:G85)</f>
        <v>0</v>
      </c>
      <c r="H21" s="148">
        <f>SUM(data_1!H80:H85)</f>
        <v>0</v>
      </c>
      <c r="I21" s="148">
        <f>SUM(data_1!I80:I85)</f>
        <v>1602096784</v>
      </c>
      <c r="J21" s="148">
        <f>SUM(data_1!J80:J85)</f>
        <v>830552500</v>
      </c>
      <c r="K21" s="148">
        <f>SUM(data_1!K80:K85)</f>
        <v>771544284</v>
      </c>
      <c r="L21" s="148">
        <f>SUM(data_1!L80:L85)</f>
        <v>830135303.5</v>
      </c>
      <c r="M21" s="148">
        <f>SUM(data_1!M80:M85)</f>
        <v>8779043.5299999993</v>
      </c>
      <c r="N21" s="148">
        <f>SUM(data_1!N80:N85)</f>
        <v>0</v>
      </c>
      <c r="O21" s="148">
        <f>SUM(data_1!O80:O85)</f>
        <v>1601581726.5599999</v>
      </c>
      <c r="P21" s="148">
        <f>SUM(data_1!P80:P85)</f>
        <v>830135303.5</v>
      </c>
      <c r="Q21" s="148">
        <f>SUM(data_1!Q80:Q85)</f>
        <v>0</v>
      </c>
      <c r="R21" s="148">
        <f>SUM(data_1!R80:R85)</f>
        <v>771446423.05999994</v>
      </c>
      <c r="S21" s="148">
        <f>SUM(data_1!S80:S85)</f>
        <v>138.54096000000001</v>
      </c>
      <c r="T21" s="148">
        <f>SUM(data_1!T80:T85)</f>
        <v>8779043.5299999993</v>
      </c>
      <c r="U21" s="148">
        <f>SUM(data_1!U80:U85)</f>
        <v>0</v>
      </c>
      <c r="V21" s="148">
        <f>SUM(data_1!V80:V85)</f>
        <v>830135303.5</v>
      </c>
      <c r="W21" s="148">
        <f>SUM(data_1!W80:W85)</f>
        <v>0</v>
      </c>
      <c r="X21" s="148">
        <f>SUM(data_1!X80:X85)</f>
        <v>830552500</v>
      </c>
      <c r="Y21" s="148">
        <f>SUM(data_1!Y80:Y85)</f>
        <v>830552500</v>
      </c>
      <c r="Z21" s="148">
        <f>SUM(data_1!Z80:Z85)</f>
        <v>0</v>
      </c>
      <c r="AA21" s="148">
        <f>SUM(data_1!AA80:AA85)</f>
        <v>1310535179</v>
      </c>
      <c r="AB21" s="148">
        <f>SUM(data_1!AB80:AB85)</f>
        <v>415908500</v>
      </c>
      <c r="AC21" s="148">
        <f>SUM(data_1!AC80:AC85)</f>
        <v>894626679</v>
      </c>
      <c r="AD21" s="148">
        <f>SUM(data_1!AD80:AD85)</f>
        <v>415908499.99000001</v>
      </c>
      <c r="AE21" s="148">
        <f>SUM(data_1!AE80:AE85)</f>
        <v>2095826.54</v>
      </c>
      <c r="AF21" s="148">
        <f>SUM(data_1!AF80:AF85)</f>
        <v>0</v>
      </c>
      <c r="AG21" s="148">
        <f>SUM(data_1!AG80:AG85)</f>
        <v>1310535178.98</v>
      </c>
      <c r="AH21" s="148">
        <f>SUM(data_1!AH80:AH85)</f>
        <v>415908499.99000001</v>
      </c>
      <c r="AI21" s="148">
        <f>SUM(data_1!AI80:AI85)</f>
        <v>0</v>
      </c>
      <c r="AJ21" s="148">
        <f>SUM(data_1!AJ80:AJ85)</f>
        <v>894626678.99000001</v>
      </c>
      <c r="AK21" s="148">
        <f>SUM(data_1!AK80:AK85)</f>
        <v>223.70827000000003</v>
      </c>
      <c r="AL21" s="148">
        <f>SUM(data_1!AL80:AL85)</f>
        <v>2095826.54</v>
      </c>
      <c r="AM21" s="148">
        <f>SUM(data_1!AM80:AM85)</f>
        <v>0</v>
      </c>
      <c r="AN21" s="148">
        <f>SUM(data_1!AN80:AN85)</f>
        <v>415908499.99000001</v>
      </c>
      <c r="AO21" s="148">
        <f>SUM(data_1!AO80:AO85)</f>
        <v>0</v>
      </c>
      <c r="AP21" s="148">
        <f>SUM(data_1!AP80:AP85)</f>
        <v>415908500</v>
      </c>
      <c r="AQ21" s="148">
        <f>SUM(data_1!AQ80:AQ85)</f>
        <v>415908500</v>
      </c>
      <c r="AR21" s="148">
        <f>SUM(data_1!AR80:AR85)</f>
        <v>0</v>
      </c>
      <c r="AS21" s="148">
        <f>SUM(data_1!AS80:AS85)</f>
        <v>2234680678.3299999</v>
      </c>
      <c r="AT21" s="148">
        <f>SUM(data_1!AT80:AT85)</f>
        <v>1275999600</v>
      </c>
      <c r="AU21" s="148">
        <f>SUM(data_1!AU80:AU85)</f>
        <v>958681078.33000004</v>
      </c>
      <c r="AV21" s="148">
        <f>SUM(data_1!AV80:AV85)</f>
        <v>1204120642.96</v>
      </c>
      <c r="AW21" s="148">
        <f>SUM(data_1!AW80:AW85)</f>
        <v>20603078.469999999</v>
      </c>
      <c r="AX21" s="148">
        <f>SUM(data_1!AX80:AX85)</f>
        <v>0</v>
      </c>
      <c r="AY21" s="148">
        <f>SUM(data_1!AY80:AY85)</f>
        <v>1907958146.24</v>
      </c>
      <c r="AZ21" s="148">
        <f>SUM(data_1!AZ80:AZ85)</f>
        <v>1204120642.96</v>
      </c>
      <c r="BA21" s="148">
        <f>SUM(data_1!BA80:BA85)</f>
        <v>0</v>
      </c>
      <c r="BB21" s="148">
        <f>SUM(data_1!BB80:BB85)</f>
        <v>703837503.27999997</v>
      </c>
      <c r="BC21" s="148">
        <f>SUM(data_1!BC80:BC85)</f>
        <v>293.00002000000001</v>
      </c>
      <c r="BD21" s="148">
        <f>SUM(data_1!BD80:BD85)</f>
        <v>19099578.469999999</v>
      </c>
      <c r="BE21" s="148">
        <f>SUM(data_1!BE80:BE85)</f>
        <v>1503500</v>
      </c>
      <c r="BF21" s="148">
        <f>SUM(data_1!BF80:BF85)</f>
        <v>1204120642.96</v>
      </c>
      <c r="BG21" s="148">
        <f>SUM(data_1!BG80:BG85)</f>
        <v>0</v>
      </c>
      <c r="BH21" s="148">
        <f>SUM(data_1!BH80:BH85)</f>
        <v>1275999600</v>
      </c>
      <c r="BI21" s="148">
        <f>SUM(data_1!BI80:BI85)</f>
        <v>1275999600</v>
      </c>
      <c r="BJ21" s="148">
        <f>SUM(data_1!BJ80:BJ85)</f>
        <v>0</v>
      </c>
      <c r="BK21" s="148">
        <f>SUM(data_1!BK80:BK85)</f>
        <v>1399519681.26</v>
      </c>
      <c r="BL21" s="148">
        <f>SUM(data_1!BL80:BL85)</f>
        <v>1050323200</v>
      </c>
      <c r="BM21" s="148">
        <f>SUM(data_1!BM80:BM85)</f>
        <v>349196481.25999999</v>
      </c>
      <c r="BN21" s="148">
        <f>SUM(data_1!BN80:BN85)</f>
        <v>1049988629.5599999</v>
      </c>
      <c r="BO21" s="148">
        <f>SUM(data_1!BO80:BO85)</f>
        <v>1501429.72</v>
      </c>
      <c r="BP21" s="148">
        <f>SUM(data_1!BP80:BP85)</f>
        <v>0</v>
      </c>
      <c r="BQ21" s="148">
        <f>SUM(data_1!BQ80:BQ85)</f>
        <v>1399067480.23</v>
      </c>
      <c r="BR21" s="148">
        <f>SUM(data_1!BR80:BR85)</f>
        <v>1049988629.52</v>
      </c>
      <c r="BS21" s="148">
        <f>SUM(data_1!BS80:BS85)</f>
        <v>0</v>
      </c>
      <c r="BT21" s="148">
        <f>SUM(data_1!BT80:BT85)</f>
        <v>349078850.70999998</v>
      </c>
      <c r="BU21" s="148">
        <f>SUM(data_1!BU80:BU85)</f>
        <v>117.48792999999999</v>
      </c>
      <c r="BV21" s="148">
        <f>SUM(data_1!BV80:BV85)</f>
        <v>456534.89</v>
      </c>
      <c r="BW21" s="148">
        <f>SUM(data_1!BW80:BW85)</f>
        <v>1044894.87</v>
      </c>
      <c r="BX21" s="148">
        <f>SUM(data_1!BX80:BX85)</f>
        <v>1049988629.5599999</v>
      </c>
      <c r="BY21" s="148">
        <f>SUM(data_1!BY80:BY85)</f>
        <v>0</v>
      </c>
      <c r="BZ21" s="148">
        <f>SUM(data_1!BZ80:BZ85)</f>
        <v>1050323200</v>
      </c>
      <c r="CA21" s="148">
        <f>SUM(data_1!CA80:CA85)</f>
        <v>1050323200</v>
      </c>
      <c r="CB21" s="148">
        <f>SUM(data_1!CB80:CB85)</f>
        <v>0</v>
      </c>
      <c r="CC21" s="148">
        <f>SUM(data_1!CC80:CC85)</f>
        <v>138372489.42000002</v>
      </c>
      <c r="CD21" s="148">
        <f>SUM(data_1!CD80:CD85)</f>
        <v>115648200</v>
      </c>
      <c r="CE21" s="148">
        <f>SUM(data_1!CE80:CE85)</f>
        <v>22724289.420000002</v>
      </c>
      <c r="CF21" s="148">
        <f>SUM(data_1!CF80:CF85)</f>
        <v>109942136.28</v>
      </c>
      <c r="CG21" s="148">
        <f>SUM(data_1!CG80:CG85)</f>
        <v>738372.61</v>
      </c>
      <c r="CH21" s="148">
        <f>SUM(data_1!CH80:CH85)</f>
        <v>0</v>
      </c>
      <c r="CI21" s="148">
        <f>SUM(data_1!CI80:CI85)</f>
        <v>123871326.78</v>
      </c>
      <c r="CJ21" s="148">
        <f>SUM(data_1!CJ80:CJ85)</f>
        <v>109942136.28</v>
      </c>
      <c r="CK21" s="148">
        <f>SUM(data_1!CK80:CK85)</f>
        <v>0</v>
      </c>
      <c r="CL21" s="148">
        <f>SUM(data_1!CL80:CL85)</f>
        <v>13929190.5</v>
      </c>
      <c r="CM21" s="148">
        <f>SUM(data_1!CM80:CM85)</f>
        <v>40.000190000000003</v>
      </c>
      <c r="CN21" s="148">
        <f>SUM(data_1!CN80:CN85)</f>
        <v>738372.61</v>
      </c>
      <c r="CO21" s="148">
        <f>SUM(data_1!CO80:CO85)</f>
        <v>0</v>
      </c>
      <c r="CP21" s="148">
        <f>SUM(data_1!CP80:CP85)</f>
        <v>109942136.28</v>
      </c>
      <c r="CQ21" s="148">
        <f>SUM(data_1!CQ80:CQ85)</f>
        <v>0</v>
      </c>
      <c r="CR21" s="148">
        <f>SUM(data_1!CR80:CR85)</f>
        <v>115648200</v>
      </c>
      <c r="CS21" s="148">
        <f>SUM(data_1!CS80:CS85)</f>
        <v>115648200</v>
      </c>
      <c r="CT21" s="148">
        <f>SUM(data_1!CT80:CT85)</f>
        <v>0</v>
      </c>
      <c r="CU21" s="148">
        <f>SUM(data_1!CU80:CU85)</f>
        <v>0</v>
      </c>
      <c r="CV21" s="148">
        <f>SUM(data_1!CV80:CV85)</f>
        <v>0</v>
      </c>
      <c r="CW21" s="148">
        <f>SUM(data_1!CW80:CW85)</f>
        <v>0</v>
      </c>
      <c r="CX21" s="148">
        <f>SUM(data_1!CX80:CX85)</f>
        <v>0</v>
      </c>
      <c r="CY21" s="148">
        <f>SUM(data_1!CY80:CY85)</f>
        <v>0</v>
      </c>
      <c r="CZ21" s="148">
        <f>SUM(data_1!CZ80:CZ85)</f>
        <v>0</v>
      </c>
      <c r="DA21" s="148">
        <f>SUM(data_1!DA80:DA85)</f>
        <v>0</v>
      </c>
      <c r="DB21" s="148">
        <f>SUM(data_1!DB80:DB85)</f>
        <v>0</v>
      </c>
      <c r="DC21" s="148">
        <f>SUM(data_1!DC80:DC85)</f>
        <v>0</v>
      </c>
      <c r="DD21" s="148">
        <f>SUM(data_1!DD80:DD85)</f>
        <v>0</v>
      </c>
      <c r="DE21" s="148">
        <f>SUM(data_1!DE80:DE85)</f>
        <v>0</v>
      </c>
      <c r="DF21" s="148">
        <f>SUM(data_1!DF80:DF85)</f>
        <v>0</v>
      </c>
      <c r="DG21" s="148">
        <f>SUM(data_1!DG80:DG85)</f>
        <v>0</v>
      </c>
      <c r="DH21" s="148">
        <f>SUM(data_1!DH80:DH85)</f>
        <v>0</v>
      </c>
      <c r="DI21" s="148">
        <f>SUM(data_1!DI80:DI85)</f>
        <v>0</v>
      </c>
      <c r="DJ21" s="148">
        <f>SUM(data_1!DJ80:DJ85)</f>
        <v>0</v>
      </c>
      <c r="DK21" s="148">
        <f>SUM(data_1!DK80:DK85)</f>
        <v>0</v>
      </c>
      <c r="DL21" s="148">
        <f>SUM(data_1!DL80:DL85)</f>
        <v>0</v>
      </c>
      <c r="DM21" s="148">
        <f>SUM(data_1!DM80:DM85)</f>
        <v>104440967.74000001</v>
      </c>
      <c r="DN21" s="148">
        <f>SUM(data_1!DN80:DN85)</f>
        <v>55619700</v>
      </c>
      <c r="DO21" s="148">
        <f>SUM(data_1!DO80:DO85)</f>
        <v>48821267.740000002</v>
      </c>
      <c r="DP21" s="148">
        <f>SUM(data_1!DP80:DP85)</f>
        <v>52926740.490000002</v>
      </c>
      <c r="DQ21" s="148">
        <f>SUM(data_1!DQ80:DQ85)</f>
        <v>0</v>
      </c>
      <c r="DR21" s="148">
        <f>SUM(data_1!DR80:DR85)</f>
        <v>0</v>
      </c>
      <c r="DS21" s="148">
        <f>SUM(data_1!DS80:DS85)</f>
        <v>101545312.34999999</v>
      </c>
      <c r="DT21" s="148">
        <f>SUM(data_1!DT80:DT85)</f>
        <v>52926740.490000002</v>
      </c>
      <c r="DU21" s="148">
        <f>SUM(data_1!DU80:DU85)</f>
        <v>0</v>
      </c>
      <c r="DV21" s="148">
        <f>SUM(data_1!DV80:DV85)</f>
        <v>48618571.859999999</v>
      </c>
      <c r="DW21" s="148">
        <f>SUM(data_1!DW80:DW85)</f>
        <v>77.588239999999999</v>
      </c>
      <c r="DX21" s="148">
        <f>SUM(data_1!DX80:DX85)</f>
        <v>0</v>
      </c>
      <c r="DY21" s="148">
        <f>SUM(data_1!DY80:DY85)</f>
        <v>0</v>
      </c>
      <c r="DZ21" s="148">
        <f>SUM(data_1!DZ80:DZ85)</f>
        <v>52926740.490000002</v>
      </c>
      <c r="EA21" s="148">
        <f>SUM(data_1!EA80:EA85)</f>
        <v>0</v>
      </c>
      <c r="EB21" s="148">
        <f>SUM(data_1!EB80:EB85)</f>
        <v>55619700</v>
      </c>
      <c r="EC21" s="148">
        <f>SUM(data_1!EC80:EC85)</f>
        <v>55619700</v>
      </c>
      <c r="ED21" s="148">
        <f>SUM(data_1!ED80:ED85)</f>
        <v>0</v>
      </c>
      <c r="EE21" s="148">
        <f>SUM(data_1!EE80:EE85)</f>
        <v>292349015.89999998</v>
      </c>
      <c r="EF21" s="148">
        <f>SUM(data_1!EF80:EF85)</f>
        <v>215725700</v>
      </c>
      <c r="EG21" s="148">
        <f>SUM(data_1!EG80:EG85)</f>
        <v>76623315.900000006</v>
      </c>
      <c r="EH21" s="148">
        <f>SUM(data_1!EH80:EH85)</f>
        <v>215723289.22000003</v>
      </c>
      <c r="EI21" s="148">
        <f>SUM(data_1!EI80:EI85)</f>
        <v>0</v>
      </c>
      <c r="EJ21" s="148">
        <f>SUM(data_1!EJ80:EJ85)</f>
        <v>0</v>
      </c>
      <c r="EK21" s="148">
        <f>SUM(data_1!EK80:EK85)</f>
        <v>292340849.26999998</v>
      </c>
      <c r="EL21" s="148">
        <f>SUM(data_1!EL80:EL85)</f>
        <v>215723289.22000003</v>
      </c>
      <c r="EM21" s="148">
        <f>SUM(data_1!EM80:EM85)</f>
        <v>0</v>
      </c>
      <c r="EN21" s="148">
        <f>SUM(data_1!EN80:EN85)</f>
        <v>76617560.049999997</v>
      </c>
      <c r="EO21" s="148">
        <f>SUM(data_1!EO80:EO85)</f>
        <v>242.47212999999999</v>
      </c>
      <c r="EP21" s="148">
        <f>SUM(data_1!EP80:EP85)</f>
        <v>0</v>
      </c>
      <c r="EQ21" s="148">
        <f>SUM(data_1!EQ80:EQ85)</f>
        <v>0</v>
      </c>
      <c r="ER21" s="148">
        <f>SUM(data_1!ER80:ER85)</f>
        <v>215723289.22000003</v>
      </c>
      <c r="ES21" s="148">
        <f>SUM(data_1!ES80:ES85)</f>
        <v>0</v>
      </c>
      <c r="ET21" s="148">
        <f>SUM(data_1!ET80:ET85)</f>
        <v>215725700</v>
      </c>
      <c r="EU21" s="148">
        <f>SUM(data_1!EU80:EU85)</f>
        <v>215725700</v>
      </c>
      <c r="EV21" s="148">
        <f>SUM(data_1!EV80:EV85)</f>
        <v>0</v>
      </c>
      <c r="EW21" s="148">
        <f>SUM(data_1!EW80:EW85)</f>
        <v>385224052.38</v>
      </c>
      <c r="EX21" s="148">
        <f>SUM(data_1!EX80:EX85)</f>
        <v>121433000</v>
      </c>
      <c r="EY21" s="148">
        <f>SUM(data_1!EY80:EY85)</f>
        <v>263791052.38</v>
      </c>
      <c r="EZ21" s="148">
        <f>SUM(data_1!EZ80:EZ85)</f>
        <v>121432999.98</v>
      </c>
      <c r="FA21" s="148">
        <f>SUM(data_1!FA80:FA85)</f>
        <v>629606.86</v>
      </c>
      <c r="FB21" s="148">
        <f>SUM(data_1!FB80:FB85)</f>
        <v>0</v>
      </c>
      <c r="FC21" s="148">
        <f>SUM(data_1!FC80:FC85)</f>
        <v>385224051.81</v>
      </c>
      <c r="FD21" s="148">
        <f>SUM(data_1!FD80:FD85)</f>
        <v>121432999.97</v>
      </c>
      <c r="FE21" s="148">
        <f>SUM(data_1!FE80:FE85)</f>
        <v>0</v>
      </c>
      <c r="FF21" s="148">
        <f>SUM(data_1!FF80:FF85)</f>
        <v>263791051.84</v>
      </c>
      <c r="FG21" s="148">
        <f>SUM(data_1!FG80:FG85)</f>
        <v>401.69709999999998</v>
      </c>
      <c r="FH21" s="148">
        <f>SUM(data_1!FH80:FH85)</f>
        <v>629606.86</v>
      </c>
      <c r="FI21" s="148">
        <f>SUM(data_1!FI80:FI85)</f>
        <v>0.01</v>
      </c>
      <c r="FJ21" s="148">
        <f>SUM(data_1!FJ80:FJ85)</f>
        <v>121432999.98</v>
      </c>
      <c r="FK21" s="148">
        <f>SUM(data_1!FK80:FK85)</f>
        <v>0</v>
      </c>
      <c r="FL21" s="148">
        <f>SUM(data_1!FL80:FL85)</f>
        <v>121433000</v>
      </c>
      <c r="FM21" s="148">
        <f>SUM(data_1!FM80:FM85)</f>
        <v>121433000</v>
      </c>
      <c r="FN21" s="148">
        <f>SUM(data_1!FN80:FN85)</f>
        <v>0</v>
      </c>
      <c r="FO21" s="148">
        <f>SUM(data_1!FO80:FO85)</f>
        <v>0</v>
      </c>
      <c r="FP21" s="148">
        <f>SUM(data_1!FP80:FP85)</f>
        <v>0</v>
      </c>
      <c r="FQ21" s="148">
        <f>SUM(data_1!FQ80:FQ85)</f>
        <v>0</v>
      </c>
      <c r="FR21" s="148">
        <f>SUM(data_1!FR80:FR85)</f>
        <v>0</v>
      </c>
      <c r="FS21" s="148">
        <f>SUM(data_1!FS80:FS85)</f>
        <v>2023956.15</v>
      </c>
      <c r="FT21" s="148">
        <f>SUM(data_1!FT80:FT85)</f>
        <v>0</v>
      </c>
      <c r="FU21" s="148">
        <f>SUM(data_1!FU80:FU85)</f>
        <v>0</v>
      </c>
      <c r="FV21" s="148">
        <f>SUM(data_1!FV80:FV85)</f>
        <v>0</v>
      </c>
      <c r="FW21" s="148">
        <f>SUM(data_1!FW80:FW85)</f>
        <v>0</v>
      </c>
      <c r="FX21" s="148">
        <f>SUM(data_1!FX80:FX85)</f>
        <v>0</v>
      </c>
      <c r="FY21" s="148">
        <f>SUM(data_1!FY80:FY85)</f>
        <v>0</v>
      </c>
      <c r="FZ21" s="148">
        <f>SUM(data_1!FZ80:FZ85)</f>
        <v>2015496.5299999998</v>
      </c>
      <c r="GA21" s="148">
        <f>SUM(data_1!GA80:GA85)</f>
        <v>8459.6200000000008</v>
      </c>
      <c r="GB21" s="148">
        <f>SUM(data_1!GB80:GB85)</f>
        <v>0</v>
      </c>
      <c r="GC21" s="148">
        <f>SUM(data_1!GC80:GC85)</f>
        <v>0</v>
      </c>
      <c r="GD21" s="148">
        <f>SUM(data_1!GD80:GD85)</f>
        <v>0</v>
      </c>
      <c r="GE21" s="148">
        <f>SUM(data_1!GE80:GE85)</f>
        <v>0</v>
      </c>
      <c r="GF21" s="148">
        <f>SUM(data_1!GF80:GF85)</f>
        <v>0</v>
      </c>
      <c r="GG21" s="148">
        <f>SUM(data_1!GG80:GG85)</f>
        <v>230442400</v>
      </c>
      <c r="GH21" s="148">
        <f>SUM(data_1!GH80:GH85)</f>
        <v>90553300</v>
      </c>
      <c r="GI21" s="148">
        <f>SUM(data_1!GI80:GI85)</f>
        <v>139889100</v>
      </c>
      <c r="GJ21" s="148">
        <f>SUM(data_1!GJ80:GJ85)</f>
        <v>85172500.210000008</v>
      </c>
      <c r="GK21" s="148">
        <f>SUM(data_1!GK80:GK85)</f>
        <v>0</v>
      </c>
      <c r="GL21" s="148">
        <f>SUM(data_1!GL80:GL85)</f>
        <v>0</v>
      </c>
      <c r="GM21" s="148">
        <f>SUM(data_1!GM80:GM85)</f>
        <v>208073657.94999999</v>
      </c>
      <c r="GN21" s="148">
        <f>SUM(data_1!GN80:GN85)</f>
        <v>85172500.210000008</v>
      </c>
      <c r="GO21" s="148">
        <f>SUM(data_1!GO80:GO85)</f>
        <v>0</v>
      </c>
      <c r="GP21" s="148">
        <f>SUM(data_1!GP80:GP85)</f>
        <v>122901157.74000001</v>
      </c>
      <c r="GQ21" s="148">
        <f>SUM(data_1!GQ80:GQ85)</f>
        <v>172.01156</v>
      </c>
      <c r="GR21" s="148">
        <f>SUM(data_1!GR80:GR85)</f>
        <v>0</v>
      </c>
      <c r="GS21" s="148">
        <f>SUM(data_1!GS80:GS85)</f>
        <v>0</v>
      </c>
      <c r="GT21" s="148">
        <f>SUM(data_1!GT80:GT85)</f>
        <v>85172500.210000008</v>
      </c>
      <c r="GU21" s="148">
        <f>SUM(data_1!GU80:GU85)</f>
        <v>0</v>
      </c>
      <c r="GV21" s="148">
        <f>SUM(data_1!GV80:GV85)</f>
        <v>90553300</v>
      </c>
      <c r="GW21" s="148">
        <f>SUM(data_1!GW80:GW85)</f>
        <v>90553300</v>
      </c>
      <c r="GX21" s="148">
        <f>SUM(data_1!GX80:GX85)</f>
        <v>0</v>
      </c>
      <c r="GY21" s="148">
        <f>SUM(data_1!GY80:GY85)</f>
        <v>0</v>
      </c>
      <c r="GZ21" s="148">
        <f>SUM(data_1!GZ80:GZ85)</f>
        <v>0</v>
      </c>
      <c r="HA21" s="148">
        <f>SUM(data_1!HA80:HA85)</f>
        <v>0</v>
      </c>
      <c r="HB21" s="148">
        <f>SUM(data_1!HB80:HB85)</f>
        <v>0</v>
      </c>
      <c r="HC21" s="148">
        <f>SUM(data_1!HC80:HC85)</f>
        <v>0</v>
      </c>
      <c r="HD21" s="148">
        <f>SUM(data_1!HD80:HD85)</f>
        <v>0</v>
      </c>
      <c r="HE21" s="148">
        <f>SUM(data_1!HE80:HE85)</f>
        <v>0</v>
      </c>
      <c r="HF21" s="148">
        <f>SUM(data_1!HF80:HF85)</f>
        <v>0</v>
      </c>
      <c r="HG21" s="148">
        <f>SUM(data_1!HG80:HG85)</f>
        <v>0</v>
      </c>
      <c r="HH21" s="148">
        <f>SUM(data_1!HH80:HH85)</f>
        <v>0</v>
      </c>
      <c r="HI21" s="148">
        <f>SUM(data_1!HI80:HI85)</f>
        <v>0</v>
      </c>
      <c r="HJ21" s="148">
        <f>SUM(data_1!HJ80:HJ85)</f>
        <v>0</v>
      </c>
      <c r="HK21" s="148">
        <f>SUM(data_1!HK80:HK85)</f>
        <v>0</v>
      </c>
      <c r="HL21" s="148">
        <f>SUM(data_1!HL80:HL85)</f>
        <v>0</v>
      </c>
      <c r="HM21" s="148">
        <f>SUM(data_1!HM80:HM85)</f>
        <v>0</v>
      </c>
      <c r="HN21" s="148">
        <f>SUM(data_1!HN80:HN85)</f>
        <v>0</v>
      </c>
      <c r="HO21" s="148">
        <f>SUM(data_1!HO80:HO85)</f>
        <v>0</v>
      </c>
      <c r="HP21" s="148">
        <f>SUM(data_1!HP80:HP85)</f>
        <v>0</v>
      </c>
      <c r="HQ21" s="148">
        <f>SUM(data_1!HQ80:HQ85)</f>
        <v>34883700</v>
      </c>
      <c r="HR21" s="148">
        <f>SUM(data_1!HR80:HR85)</f>
        <v>4883700</v>
      </c>
      <c r="HS21" s="148">
        <f>SUM(data_1!HS80:HS85)</f>
        <v>30000000</v>
      </c>
      <c r="HT21" s="148">
        <f>SUM(data_1!HT80:HT85)</f>
        <v>4883700</v>
      </c>
      <c r="HU21" s="148">
        <f>SUM(data_1!HU80:HU85)</f>
        <v>0</v>
      </c>
      <c r="HV21" s="148">
        <f>SUM(data_1!HV80:HV85)</f>
        <v>0</v>
      </c>
      <c r="HW21" s="148">
        <f>SUM(data_1!HW80:HW85)</f>
        <v>34883700</v>
      </c>
      <c r="HX21" s="148">
        <f>SUM(data_1!HX80:HX85)</f>
        <v>4883700</v>
      </c>
      <c r="HY21" s="148">
        <f>SUM(data_1!HY80:HY85)</f>
        <v>0</v>
      </c>
      <c r="HZ21" s="148">
        <f>SUM(data_1!HZ80:HZ85)</f>
        <v>30000000</v>
      </c>
      <c r="IA21" s="148">
        <f>SUM(data_1!IA80:IA85)</f>
        <v>86.000050000000002</v>
      </c>
      <c r="IB21" s="148">
        <f>SUM(data_1!IB80:IB85)</f>
        <v>0</v>
      </c>
      <c r="IC21" s="148">
        <f>SUM(data_1!IC80:IC85)</f>
        <v>0</v>
      </c>
      <c r="ID21" s="148">
        <f>SUM(data_1!ID80:ID85)</f>
        <v>4883700</v>
      </c>
      <c r="IE21" s="148">
        <f>SUM(data_1!IE80:IE85)</f>
        <v>0</v>
      </c>
      <c r="IF21" s="148">
        <f>SUM(data_1!IF80:IF85)</f>
        <v>4883700</v>
      </c>
      <c r="IG21" s="148">
        <f>SUM(data_1!IG80:IG85)</f>
        <v>4883700</v>
      </c>
      <c r="IH21" s="148">
        <f>SUM(data_1!IH80:IH85)</f>
        <v>0</v>
      </c>
      <c r="II21" s="148">
        <f>SUM(data_1!II80:II85)</f>
        <v>0</v>
      </c>
      <c r="IJ21" s="148">
        <f>SUM(data_1!IJ80:IJ85)</f>
        <v>0</v>
      </c>
      <c r="IK21" s="148">
        <f>SUM(data_1!IK80:IK85)</f>
        <v>0</v>
      </c>
      <c r="IL21" s="148">
        <f>SUM(data_1!IL80:IL85)</f>
        <v>0</v>
      </c>
      <c r="IM21" s="148">
        <f>SUM(data_1!IM80:IM85)</f>
        <v>0</v>
      </c>
      <c r="IN21" s="148">
        <f>SUM(data_1!IN80:IN85)</f>
        <v>0</v>
      </c>
      <c r="IO21" s="148">
        <f>SUM(data_1!IO80:IO85)</f>
        <v>0</v>
      </c>
      <c r="IP21" s="148">
        <f>SUM(data_1!IP80:IP85)</f>
        <v>0</v>
      </c>
      <c r="IQ21" s="148">
        <f>SUM(data_1!IQ80:IQ85)</f>
        <v>0</v>
      </c>
      <c r="IR21" s="148">
        <f>SUM(data_1!IR80:IR85)</f>
        <v>0</v>
      </c>
      <c r="IS21" s="148">
        <f>SUM(data_1!IS80:IS85)</f>
        <v>0</v>
      </c>
      <c r="IT21" s="148">
        <f>SUM(data_1!IT80:IT85)</f>
        <v>0</v>
      </c>
      <c r="IU21" s="148">
        <f>SUM(data_1!IU80:IU85)</f>
        <v>0</v>
      </c>
      <c r="IV21" s="148">
        <f>SUM(data_1!IV80:IV85)</f>
        <v>0</v>
      </c>
      <c r="IW21" s="148">
        <f>SUM(data_1!IW80:IW85)</f>
        <v>0</v>
      </c>
      <c r="IX21" s="148">
        <f>SUM(data_1!IX80:IX85)</f>
        <v>0</v>
      </c>
      <c r="IY21" s="148">
        <f>SUM(data_1!IY80:IY85)</f>
        <v>0</v>
      </c>
      <c r="IZ21" s="148">
        <f>SUM(data_1!IZ80:IZ85)</f>
        <v>0</v>
      </c>
      <c r="JA21" s="148">
        <f>SUM(data_1!JA80:JA85)</f>
        <v>0</v>
      </c>
      <c r="JB21" s="148">
        <f>SUM(data_1!JB80:JB85)</f>
        <v>0</v>
      </c>
      <c r="JC21" s="148">
        <f>SUM(data_1!JC80:JC85)</f>
        <v>0</v>
      </c>
      <c r="JD21" s="148">
        <f>SUM(data_1!JD80:JD85)</f>
        <v>0</v>
      </c>
      <c r="JE21" s="148">
        <f>SUM(data_1!JE80:JE85)</f>
        <v>0</v>
      </c>
      <c r="JF21" s="148">
        <f>SUM(data_1!JF80:JF85)</f>
        <v>0</v>
      </c>
      <c r="JG21" s="148">
        <f>SUM(data_1!JG80:JG85)</f>
        <v>0</v>
      </c>
      <c r="JH21" s="148">
        <f>SUM(data_1!JH80:JH85)</f>
        <v>0</v>
      </c>
      <c r="JI21" s="148">
        <f>SUM(data_1!JI80:JI85)</f>
        <v>0</v>
      </c>
      <c r="JJ21" s="148">
        <f>SUM(data_1!JJ80:JJ85)</f>
        <v>0</v>
      </c>
      <c r="JK21" s="148">
        <f>SUM(data_1!JK80:JK85)</f>
        <v>0</v>
      </c>
      <c r="JL21" s="148">
        <f>SUM(data_1!JL80:JL85)</f>
        <v>0</v>
      </c>
      <c r="JM21" s="148">
        <f>SUM(data_1!JM80:JM85)</f>
        <v>0</v>
      </c>
      <c r="JN21" s="148">
        <f>SUM(data_1!JN80:JN85)</f>
        <v>0</v>
      </c>
      <c r="JO21" s="148">
        <f>SUM(data_1!JO80:JO85)</f>
        <v>0</v>
      </c>
      <c r="JP21" s="148">
        <f>SUM(data_1!JP80:JP85)</f>
        <v>0</v>
      </c>
      <c r="JQ21" s="148">
        <f>SUM(data_1!JQ80:JQ85)</f>
        <v>0</v>
      </c>
      <c r="JR21" s="148">
        <f>SUM(data_1!JR80:JR85)</f>
        <v>0</v>
      </c>
      <c r="JS21" s="148">
        <f>SUM(data_1!JS80:JS85)</f>
        <v>0</v>
      </c>
      <c r="JT21" s="148">
        <f>SUM(data_1!JT80:JT85)</f>
        <v>0</v>
      </c>
      <c r="JU21" s="148">
        <f>SUM(data_1!JU80:JU85)</f>
        <v>0</v>
      </c>
      <c r="JV21" s="148">
        <f>SUM(data_1!JV80:JV85)</f>
        <v>0</v>
      </c>
      <c r="JW21" s="148">
        <f>SUM(data_1!JW80:JW85)</f>
        <v>0</v>
      </c>
      <c r="JX21" s="148">
        <f>SUM(data_1!JX80:JX85)</f>
        <v>0</v>
      </c>
      <c r="JY21" s="148">
        <f>SUM(data_1!JY80:JY85)</f>
        <v>0</v>
      </c>
      <c r="JZ21" s="148">
        <f>SUM(data_1!JZ80:JZ85)</f>
        <v>0</v>
      </c>
      <c r="KA21" s="148">
        <f>SUM(data_1!KA80:KA85)</f>
        <v>0</v>
      </c>
      <c r="KB21" s="148">
        <f>SUM(data_1!KB80:KB85)</f>
        <v>0</v>
      </c>
      <c r="KC21" s="148">
        <f>SUM(data_1!KC80:KC85)</f>
        <v>0</v>
      </c>
      <c r="KD21" s="148">
        <f>SUM(data_1!KD80:KD85)</f>
        <v>0</v>
      </c>
      <c r="KE21" s="148">
        <f>SUM(data_1!KE80:KE85)</f>
        <v>0</v>
      </c>
      <c r="KF21" s="148">
        <f>SUM(data_1!KF80:KF85)</f>
        <v>0</v>
      </c>
      <c r="KG21" s="148">
        <f>SUM(data_1!KG80:KG85)</f>
        <v>0</v>
      </c>
      <c r="KH21" s="148">
        <f>SUM(data_1!KH80:KH85)</f>
        <v>0</v>
      </c>
      <c r="KI21" s="148">
        <f>SUM(data_1!KI80:KI85)</f>
        <v>0</v>
      </c>
      <c r="KJ21" s="148">
        <f>SUM(data_1!KJ80:KJ85)</f>
        <v>0</v>
      </c>
      <c r="KK21" s="148">
        <f>SUM(data_1!KK80:KK85)</f>
        <v>4708900</v>
      </c>
      <c r="KL21" s="148">
        <f>SUM(data_1!KL80:KL85)</f>
        <v>2003000</v>
      </c>
      <c r="KM21" s="148">
        <f>SUM(data_1!KM80:KM85)</f>
        <v>2705900</v>
      </c>
      <c r="KN21" s="148">
        <f>SUM(data_1!KN80:KN85)</f>
        <v>1999324.91</v>
      </c>
      <c r="KO21" s="148">
        <f>SUM(data_1!KO80:KO85)</f>
        <v>0</v>
      </c>
      <c r="KP21" s="148">
        <f>SUM(data_1!KP80:KP85)</f>
        <v>0</v>
      </c>
      <c r="KQ21" s="148">
        <f>SUM(data_1!KQ80:KQ85)</f>
        <v>4700260.1500000004</v>
      </c>
      <c r="KR21" s="148">
        <f>SUM(data_1!KR80:KR85)</f>
        <v>1999324.91</v>
      </c>
      <c r="KS21" s="148">
        <f>SUM(data_1!KS80:KS85)</f>
        <v>0</v>
      </c>
      <c r="KT21" s="148">
        <f>SUM(data_1!KT80:KT85)</f>
        <v>2700935.24</v>
      </c>
      <c r="KU21" s="148">
        <f>SUM(data_1!KU80:KU85)</f>
        <v>57.463529999999999</v>
      </c>
      <c r="KV21" s="148">
        <f>SUM(data_1!KV80:KV85)</f>
        <v>0</v>
      </c>
      <c r="KW21" s="148">
        <f>SUM(data_1!KW80:KW85)</f>
        <v>0</v>
      </c>
      <c r="KX21" s="148">
        <f>SUM(data_1!KX80:KX85)</f>
        <v>1999324.91</v>
      </c>
      <c r="KY21" s="148">
        <f>SUM(data_1!KY80:KY85)</f>
        <v>0</v>
      </c>
      <c r="KZ21" s="148">
        <f>SUM(data_1!KZ80:KZ85)</f>
        <v>2003000</v>
      </c>
      <c r="LA21" s="148">
        <f>SUM(data_1!LA80:LA85)</f>
        <v>2003000</v>
      </c>
      <c r="LB21" s="148">
        <f>SUM(data_1!LB80:LB85)</f>
        <v>0</v>
      </c>
      <c r="LC21" s="148">
        <f>SUM(data_1!LC80:LC85)</f>
        <v>0</v>
      </c>
      <c r="LD21" s="148">
        <f>SUM(data_1!LD80:LD85)</f>
        <v>0</v>
      </c>
      <c r="LE21" s="148">
        <f>SUM(data_1!LE80:LE85)</f>
        <v>0</v>
      </c>
      <c r="LF21" s="148">
        <f>SUM(data_1!LF80:LF85)</f>
        <v>0</v>
      </c>
      <c r="LG21" s="148">
        <f>SUM(data_1!LG80:LG85)</f>
        <v>0</v>
      </c>
      <c r="LH21" s="148">
        <f>SUM(data_1!LH80:LH85)</f>
        <v>0</v>
      </c>
      <c r="LI21" s="148">
        <f>SUM(data_1!LI80:LI85)</f>
        <v>0</v>
      </c>
      <c r="LJ21" s="148">
        <f>SUM(data_1!LJ80:LJ85)</f>
        <v>0</v>
      </c>
      <c r="LK21" s="148">
        <f>SUM(data_1!LK80:LK85)</f>
        <v>0</v>
      </c>
      <c r="LL21" s="148">
        <f>SUM(data_1!LL80:LL85)</f>
        <v>0</v>
      </c>
      <c r="LM21" s="148">
        <f>SUM(data_1!LM80:LM85)</f>
        <v>0</v>
      </c>
      <c r="LN21" s="148">
        <f>SUM(data_1!LN80:LN85)</f>
        <v>0</v>
      </c>
      <c r="LO21" s="148">
        <f>SUM(data_1!LO80:LO85)</f>
        <v>0</v>
      </c>
      <c r="LP21" s="148">
        <f>SUM(data_1!LP80:LP85)</f>
        <v>0</v>
      </c>
      <c r="LQ21" s="148">
        <f>SUM(data_1!LQ80:LQ85)</f>
        <v>0</v>
      </c>
      <c r="LR21" s="148">
        <f>SUM(data_1!LR80:LR85)</f>
        <v>0</v>
      </c>
      <c r="LS21" s="148">
        <f>SUM(data_1!LS80:LS85)</f>
        <v>0</v>
      </c>
      <c r="LT21" s="148">
        <f>SUM(data_1!LT80:LT85)</f>
        <v>0</v>
      </c>
      <c r="LU21" s="148">
        <f>SUM(data_1!LU80:LU85)</f>
        <v>21946300</v>
      </c>
      <c r="LV21" s="148">
        <f>SUM(data_1!LV80:LV85)</f>
        <v>15605300</v>
      </c>
      <c r="LW21" s="148">
        <f>SUM(data_1!LW80:LW85)</f>
        <v>6341000</v>
      </c>
      <c r="LX21" s="148">
        <f>SUM(data_1!LX80:LX85)</f>
        <v>14892307.539999999</v>
      </c>
      <c r="LY21" s="148">
        <f>SUM(data_1!LY80:LY85)</f>
        <v>0</v>
      </c>
      <c r="LZ21" s="148">
        <f>SUM(data_1!LZ80:LZ85)</f>
        <v>0</v>
      </c>
      <c r="MA21" s="148">
        <f>SUM(data_1!MA80:MA85)</f>
        <v>20943592.82</v>
      </c>
      <c r="MB21" s="148">
        <f>SUM(data_1!MB80:MB85)</f>
        <v>14892307.539999999</v>
      </c>
      <c r="MC21" s="148">
        <f>SUM(data_1!MC80:MC85)</f>
        <v>0</v>
      </c>
      <c r="MD21" s="148">
        <f>SUM(data_1!MD80:MD85)</f>
        <v>6051285.2800000003</v>
      </c>
      <c r="ME21" s="148">
        <f>SUM(data_1!ME80:ME85)</f>
        <v>28.893249999999998</v>
      </c>
      <c r="MF21" s="148">
        <f>SUM(data_1!MF80:MF85)</f>
        <v>0</v>
      </c>
      <c r="MG21" s="148">
        <f>SUM(data_1!MG80:MG85)</f>
        <v>0</v>
      </c>
      <c r="MH21" s="148">
        <f>SUM(data_1!MH80:MH85)</f>
        <v>14892307.539999999</v>
      </c>
      <c r="MI21" s="148">
        <f>SUM(data_1!MI80:MI85)</f>
        <v>0</v>
      </c>
      <c r="MJ21" s="148">
        <f>SUM(data_1!MJ80:MJ85)</f>
        <v>15605300</v>
      </c>
      <c r="MK21" s="148">
        <f>SUM(data_1!MK80:MK85)</f>
        <v>15605300</v>
      </c>
      <c r="ML21" s="148">
        <f>SUM(data_1!ML80:ML85)</f>
        <v>0</v>
      </c>
      <c r="MM21" s="148">
        <f>SUM(data_1!MM80:MM85)</f>
        <v>0</v>
      </c>
      <c r="MN21" s="148">
        <f>SUM(data_1!MN80:MN85)</f>
        <v>0</v>
      </c>
      <c r="MO21" s="148">
        <f>SUM(data_1!MO80:MO85)</f>
        <v>0</v>
      </c>
      <c r="MP21" s="148">
        <f>SUM(data_1!MP80:MP85)</f>
        <v>0</v>
      </c>
      <c r="MQ21" s="148">
        <f>SUM(data_1!MQ80:MQ85)</f>
        <v>0</v>
      </c>
      <c r="MR21" s="148">
        <f>SUM(data_1!MR80:MR85)</f>
        <v>0</v>
      </c>
      <c r="MS21" s="148">
        <f>SUM(data_1!MS80:MS85)</f>
        <v>0</v>
      </c>
      <c r="MT21" s="148">
        <f>SUM(data_1!MT80:MT85)</f>
        <v>0</v>
      </c>
      <c r="MU21" s="148">
        <f>SUM(data_1!MU80:MU85)</f>
        <v>0</v>
      </c>
      <c r="MV21" s="148">
        <f>SUM(data_1!MV80:MV85)</f>
        <v>0</v>
      </c>
      <c r="MW21" s="148">
        <f>SUM(data_1!MW80:MW85)</f>
        <v>0</v>
      </c>
      <c r="MX21" s="148">
        <f>SUM(data_1!MX80:MX85)</f>
        <v>0</v>
      </c>
      <c r="MY21" s="148">
        <f>SUM(data_1!MY80:MY85)</f>
        <v>0</v>
      </c>
      <c r="MZ21" s="148">
        <f>SUM(data_1!MZ80:MZ85)</f>
        <v>0</v>
      </c>
      <c r="NA21" s="148">
        <f>SUM(data_1!NA80:NA85)</f>
        <v>0</v>
      </c>
      <c r="NB21" s="148">
        <f>SUM(data_1!NB80:NB85)</f>
        <v>0</v>
      </c>
      <c r="NC21" s="148">
        <f>SUM(data_1!NC80:NC85)</f>
        <v>0</v>
      </c>
      <c r="ND21" s="148">
        <f>SUM(data_1!ND80:ND85)</f>
        <v>0</v>
      </c>
      <c r="NE21" s="148">
        <f>SUM(data_1!NE80:NE85)</f>
        <v>9985248.6699999999</v>
      </c>
      <c r="NF21" s="148">
        <f>SUM(data_1!NF80:NF85)</f>
        <v>2404000</v>
      </c>
      <c r="NG21" s="148">
        <f>SUM(data_1!NG80:NG85)</f>
        <v>7581248.6699999999</v>
      </c>
      <c r="NH21" s="148">
        <f>SUM(data_1!NH80:NH85)</f>
        <v>2394789.2599999998</v>
      </c>
      <c r="NI21" s="148">
        <f>SUM(data_1!NI80:NI85)</f>
        <v>0</v>
      </c>
      <c r="NJ21" s="148">
        <f>SUM(data_1!NJ80:NJ85)</f>
        <v>0</v>
      </c>
      <c r="NK21" s="148">
        <f>SUM(data_1!NK80:NK85)</f>
        <v>9943381.6699999999</v>
      </c>
      <c r="NL21" s="148">
        <f>SUM(data_1!NL80:NL85)</f>
        <v>2394789.2599999998</v>
      </c>
      <c r="NM21" s="148">
        <f>SUM(data_1!NM80:NM85)</f>
        <v>0</v>
      </c>
      <c r="NN21" s="148">
        <f>SUM(data_1!NN80:NN85)</f>
        <v>7548592.4100000001</v>
      </c>
      <c r="NO21" s="148">
        <f>SUM(data_1!NO80:NO85)</f>
        <v>262.02909</v>
      </c>
      <c r="NP21" s="148">
        <f>SUM(data_1!NP80:NP85)</f>
        <v>0</v>
      </c>
      <c r="NQ21" s="148">
        <f>SUM(data_1!NQ80:NQ85)</f>
        <v>0</v>
      </c>
      <c r="NR21" s="148">
        <f>SUM(data_1!NR80:NR85)</f>
        <v>2394789.2599999998</v>
      </c>
      <c r="NS21" s="148">
        <f>SUM(data_1!NS80:NS85)</f>
        <v>0</v>
      </c>
      <c r="NT21" s="148">
        <f>SUM(data_1!NT80:NT85)</f>
        <v>2404000</v>
      </c>
      <c r="NU21" s="148">
        <f>SUM(data_1!NU80:NU85)</f>
        <v>2404000</v>
      </c>
      <c r="NV21" s="148">
        <f>SUM(data_1!NV80:NV85)</f>
        <v>0</v>
      </c>
      <c r="NW21" s="148">
        <f>SUM(data_1!NW80:NW85)</f>
        <v>0</v>
      </c>
      <c r="NX21" s="148">
        <f>SUM(data_1!NX80:NX85)</f>
        <v>0</v>
      </c>
      <c r="NY21" s="148">
        <f>SUM(data_1!NY80:NY85)</f>
        <v>0</v>
      </c>
      <c r="NZ21" s="148">
        <f>SUM(data_1!NZ80:NZ85)</f>
        <v>0</v>
      </c>
      <c r="OA21" s="148">
        <f>SUM(data_1!OA80:OA85)</f>
        <v>0</v>
      </c>
      <c r="OB21" s="148">
        <f>SUM(data_1!OB80:OB85)</f>
        <v>0</v>
      </c>
      <c r="OC21" s="148">
        <f>SUM(data_1!OC80:OC85)</f>
        <v>0</v>
      </c>
      <c r="OD21" s="148">
        <f>SUM(data_1!OD80:OD85)</f>
        <v>0</v>
      </c>
      <c r="OE21" s="148">
        <f>SUM(data_1!OE80:OE85)</f>
        <v>0</v>
      </c>
      <c r="OF21" s="148">
        <f>SUM(data_1!OF80:OF85)</f>
        <v>0</v>
      </c>
      <c r="OG21" s="148">
        <f>SUM(data_1!OG80:OG85)</f>
        <v>0</v>
      </c>
      <c r="OH21" s="148">
        <f>SUM(data_1!OH80:OH85)</f>
        <v>0</v>
      </c>
      <c r="OI21" s="148">
        <f>SUM(data_1!OI80:OI85)</f>
        <v>0</v>
      </c>
      <c r="OJ21" s="148">
        <f>SUM(data_1!OJ80:OJ85)</f>
        <v>0</v>
      </c>
      <c r="OK21" s="148">
        <f>SUM(data_1!OK80:OK85)</f>
        <v>0</v>
      </c>
      <c r="OL21" s="148">
        <f>SUM(data_1!OL80:OL85)</f>
        <v>0</v>
      </c>
      <c r="OM21" s="148">
        <f>SUM(data_1!OM80:OM85)</f>
        <v>0</v>
      </c>
      <c r="ON21" s="148">
        <f>SUM(data_1!ON80:ON85)</f>
        <v>0</v>
      </c>
      <c r="OO21" s="148">
        <f>SUM(data_1!OO80:OO85)</f>
        <v>0</v>
      </c>
      <c r="OP21" s="148">
        <f>SUM(data_1!OP80:OP85)</f>
        <v>0</v>
      </c>
      <c r="OQ21" s="148">
        <f>SUM(data_1!OQ80:OQ85)</f>
        <v>0</v>
      </c>
      <c r="OR21" s="148">
        <f>SUM(data_1!OR80:OR85)</f>
        <v>0</v>
      </c>
      <c r="OS21" s="148">
        <f>SUM(data_1!OS80:OS85)</f>
        <v>9607154.8900000006</v>
      </c>
      <c r="OT21" s="148">
        <f>SUM(data_1!OT80:OT85)</f>
        <v>0</v>
      </c>
      <c r="OU21" s="148">
        <f>SUM(data_1!OU80:OU85)</f>
        <v>0</v>
      </c>
      <c r="OV21" s="148">
        <f>SUM(data_1!OV80:OV85)</f>
        <v>0</v>
      </c>
      <c r="OW21" s="148">
        <f>SUM(data_1!OW80:OW85)</f>
        <v>0</v>
      </c>
      <c r="OX21" s="148">
        <f>SUM(data_1!OX80:OX85)</f>
        <v>0</v>
      </c>
      <c r="OY21" s="148">
        <f>SUM(data_1!OY80:OY85)</f>
        <v>0</v>
      </c>
      <c r="OZ21" s="148">
        <f>SUM(data_1!OZ80:OZ85)</f>
        <v>9605037.0800000001</v>
      </c>
      <c r="PA21" s="148">
        <f>SUM(data_1!PA80:PA85)</f>
        <v>2117.81</v>
      </c>
      <c r="PB21" s="148">
        <f>SUM(data_1!PB80:PB85)</f>
        <v>0</v>
      </c>
      <c r="PC21" s="148">
        <f>SUM(data_1!PC80:PC85)</f>
        <v>0</v>
      </c>
      <c r="PD21" s="148">
        <f>SUM(data_1!PD80:PD85)</f>
        <v>0</v>
      </c>
      <c r="PE21" s="148">
        <f>SUM(data_1!PE80:PE85)</f>
        <v>0</v>
      </c>
      <c r="PF21" s="148">
        <f>SUM(data_1!PF80:PF85)</f>
        <v>0</v>
      </c>
      <c r="PG21" s="148">
        <f>SUM(data_1!PG80:PG85)</f>
        <v>0</v>
      </c>
      <c r="PH21" s="148">
        <f>SUM(data_1!PH80:PH85)</f>
        <v>0</v>
      </c>
      <c r="PI21" s="148">
        <f>SUM(data_1!PI80:PI85)</f>
        <v>0</v>
      </c>
      <c r="PJ21" s="148">
        <f>SUM(data_1!PJ80:PJ85)</f>
        <v>0</v>
      </c>
      <c r="PK21" s="148">
        <f>SUM(data_1!PK80:PK85)</f>
        <v>0</v>
      </c>
      <c r="PL21" s="148">
        <f>SUM(data_1!PL80:PL85)</f>
        <v>0</v>
      </c>
      <c r="PM21" s="148">
        <f>SUM(data_1!PM80:PM85)</f>
        <v>0</v>
      </c>
      <c r="PN21" s="148">
        <f>SUM(data_1!PN80:PN85)</f>
        <v>0</v>
      </c>
      <c r="PO21" s="148">
        <f>SUM(data_1!PO80:PO85)</f>
        <v>0</v>
      </c>
      <c r="PP21" s="148">
        <f>SUM(data_1!PP80:PP85)</f>
        <v>0</v>
      </c>
      <c r="PQ21" s="148">
        <f>SUM(data_1!PQ80:PQ85)</f>
        <v>0</v>
      </c>
      <c r="PR21" s="148">
        <f>SUM(data_1!PR80:PR85)</f>
        <v>0</v>
      </c>
      <c r="PS21" s="148">
        <f>SUM(data_1!PS80:PS85)</f>
        <v>0</v>
      </c>
      <c r="PT21" s="148">
        <f>SUM(data_1!PT80:PT85)</f>
        <v>0</v>
      </c>
      <c r="PU21" s="148">
        <f>SUM(data_1!PU80:PU85)</f>
        <v>0</v>
      </c>
      <c r="PV21" s="148">
        <f>SUM(data_1!PV80:PV85)</f>
        <v>0</v>
      </c>
      <c r="PW21" s="148">
        <f>SUM(data_1!PW80:PW85)</f>
        <v>0</v>
      </c>
      <c r="PX21" s="148">
        <f>SUM(data_1!PX80:PX85)</f>
        <v>0</v>
      </c>
      <c r="PY21" s="148">
        <f>SUM(data_1!PY80:PY85)</f>
        <v>0</v>
      </c>
      <c r="PZ21" s="148">
        <f>SUM(data_1!PZ80:PZ85)</f>
        <v>0</v>
      </c>
      <c r="QA21" s="148">
        <f>SUM(data_1!QA80:QA85)</f>
        <v>0</v>
      </c>
      <c r="QB21" s="148">
        <f>SUM(data_1!QB80:QB85)</f>
        <v>0</v>
      </c>
      <c r="QC21" s="148">
        <f>SUM(data_1!QC80:QC85)</f>
        <v>0</v>
      </c>
      <c r="QD21" s="148">
        <f>SUM(data_1!QD80:QD85)</f>
        <v>0</v>
      </c>
      <c r="QE21" s="148">
        <f>SUM(data_1!QE80:QE85)</f>
        <v>0</v>
      </c>
      <c r="QF21" s="148">
        <f>SUM(data_1!QF80:QF85)</f>
        <v>0</v>
      </c>
      <c r="QG21" s="148">
        <f>SUM(data_1!QG80:QG85)</f>
        <v>0</v>
      </c>
      <c r="QH21" s="148">
        <f>SUM(data_1!QH80:QH85)</f>
        <v>0</v>
      </c>
      <c r="QI21" s="148">
        <f>SUM(data_1!QI80:QI85)</f>
        <v>0</v>
      </c>
      <c r="QJ21" s="148">
        <f>SUM(data_1!QJ80:QJ85)</f>
        <v>0</v>
      </c>
      <c r="QK21" s="148">
        <f>SUM(data_1!QK80:QK85)</f>
        <v>0</v>
      </c>
      <c r="QL21" s="148">
        <f>SUM(data_1!QL80:QL85)</f>
        <v>0</v>
      </c>
      <c r="QM21" s="148">
        <f>SUM(data_1!QM80:QM85)</f>
        <v>0</v>
      </c>
      <c r="QN21" s="148">
        <f>SUM(data_1!QN80:QN85)</f>
        <v>0</v>
      </c>
      <c r="QO21" s="148">
        <f>SUM(data_1!QO80:QO85)</f>
        <v>0</v>
      </c>
      <c r="QP21" s="148">
        <f>SUM(data_1!QP80:QP85)</f>
        <v>0</v>
      </c>
      <c r="QQ21" s="148">
        <f>SUM(data_1!QQ80:QQ85)</f>
        <v>0</v>
      </c>
      <c r="QR21" s="148">
        <f>SUM(data_1!QR80:QR85)</f>
        <v>0</v>
      </c>
      <c r="QS21" s="148">
        <f>SUM(data_1!QS80:QS85)</f>
        <v>0</v>
      </c>
      <c r="QT21" s="148">
        <f>SUM(data_1!QT80:QT85)</f>
        <v>0</v>
      </c>
      <c r="QU21" s="148">
        <f>SUM(data_1!QU80:QU85)</f>
        <v>0</v>
      </c>
      <c r="QV21" s="148">
        <f>SUM(data_1!QV80:QV85)</f>
        <v>0</v>
      </c>
      <c r="QW21" s="148">
        <f>SUM(data_1!QW80:QW85)</f>
        <v>0</v>
      </c>
      <c r="QX21" s="148">
        <f>SUM(data_1!QX80:QX85)</f>
        <v>0</v>
      </c>
      <c r="QY21" s="148">
        <f>SUM(data_1!QY80:QY85)</f>
        <v>0</v>
      </c>
      <c r="QZ21" s="148">
        <f>SUM(data_1!QZ80:QZ85)</f>
        <v>0</v>
      </c>
      <c r="RA21" s="148">
        <f>SUM(data_1!RA80:RA85)</f>
        <v>0</v>
      </c>
      <c r="RB21" s="148">
        <f>SUM(data_1!RB80:RB85)</f>
        <v>0</v>
      </c>
      <c r="RC21" s="148">
        <f>SUM(data_1!RC80:RC85)</f>
        <v>0</v>
      </c>
      <c r="RD21" s="148">
        <f>SUM(data_1!RD80:RD85)</f>
        <v>0</v>
      </c>
      <c r="RE21" s="148">
        <f>SUM(data_1!RE80:RE85)</f>
        <v>0</v>
      </c>
      <c r="RF21" s="148">
        <f>SUM(data_1!RF80:RF85)</f>
        <v>0</v>
      </c>
      <c r="RG21" s="148">
        <f>SUM(data_1!RG80:RG85)</f>
        <v>0</v>
      </c>
      <c r="RH21" s="148">
        <f>SUM(data_1!RH80:RH85)</f>
        <v>0</v>
      </c>
      <c r="RI21" s="148">
        <f>SUM(data_1!RI80:RI85)</f>
        <v>0</v>
      </c>
      <c r="RJ21" s="148">
        <f>SUM(data_1!RJ80:RJ85)</f>
        <v>0</v>
      </c>
      <c r="RK21" s="148">
        <f>SUM(data_1!RK80:RK85)</f>
        <v>0</v>
      </c>
      <c r="RL21" s="148">
        <f>SUM(data_1!RL80:RL85)</f>
        <v>0</v>
      </c>
      <c r="RM21" s="148">
        <f>SUM(data_1!RM80:RM85)</f>
        <v>71525.56</v>
      </c>
      <c r="RN21" s="148">
        <f>SUM(data_1!RN80:RN85)</f>
        <v>0</v>
      </c>
      <c r="RO21" s="148">
        <f>SUM(data_1!RO80:RO85)</f>
        <v>0</v>
      </c>
      <c r="RP21" s="148">
        <f>SUM(data_1!RP80:RP85)</f>
        <v>0</v>
      </c>
      <c r="RQ21" s="148">
        <f>SUM(data_1!RQ80:RQ85)</f>
        <v>0</v>
      </c>
      <c r="RR21" s="148">
        <f>SUM(data_1!RR80:RR85)</f>
        <v>0</v>
      </c>
      <c r="RS21" s="148">
        <f>SUM(data_1!RS80:RS85)</f>
        <v>0</v>
      </c>
      <c r="RT21" s="148">
        <f>SUM(data_1!RT80:RT85)</f>
        <v>71525.56</v>
      </c>
      <c r="RU21" s="148">
        <f>SUM(data_1!RU80:RU85)</f>
        <v>0</v>
      </c>
      <c r="RV21" s="148">
        <f>SUM(data_1!RV80:RV85)</f>
        <v>0</v>
      </c>
      <c r="RW21" s="148">
        <f>SUM(data_1!RW80:RW85)</f>
        <v>0</v>
      </c>
      <c r="RX21" s="148">
        <f>SUM(data_1!RX80:RX85)</f>
        <v>0</v>
      </c>
      <c r="RY21" s="148">
        <f>SUM(data_1!RY80:RY85)</f>
        <v>0</v>
      </c>
      <c r="RZ21" s="148">
        <f>SUM(data_1!RZ80:RZ85)</f>
        <v>0</v>
      </c>
      <c r="SA21" s="148">
        <f>SUM(data_1!SA80:SA85)</f>
        <v>0</v>
      </c>
      <c r="SB21" s="148">
        <f>SUM(data_1!SB80:SB85)</f>
        <v>0</v>
      </c>
      <c r="SC21" s="148">
        <f>SUM(data_1!SC80:SC85)</f>
        <v>0</v>
      </c>
      <c r="SD21" s="148">
        <f>SUM(data_1!SD80:SD85)</f>
        <v>0</v>
      </c>
      <c r="SE21" s="148">
        <f>SUM(data_1!SE80:SE85)</f>
        <v>0</v>
      </c>
      <c r="SF21" s="148">
        <f>SUM(data_1!SF80:SF85)</f>
        <v>0</v>
      </c>
      <c r="SG21" s="148">
        <f>SUM(data_1!SG80:SG85)</f>
        <v>0</v>
      </c>
      <c r="SH21" s="148">
        <f>SUM(data_1!SH80:SH85)</f>
        <v>0</v>
      </c>
      <c r="SI21" s="148">
        <f>SUM(data_1!SI80:SI85)</f>
        <v>0</v>
      </c>
      <c r="SJ21" s="148">
        <f>SUM(data_1!SJ80:SJ85)</f>
        <v>0</v>
      </c>
      <c r="SK21" s="148">
        <f>SUM(data_1!SK80:SK85)</f>
        <v>0</v>
      </c>
      <c r="SL21" s="148">
        <f>SUM(data_1!SL80:SL85)</f>
        <v>0</v>
      </c>
      <c r="SM21" s="148">
        <f>SUM(data_1!SM80:SM85)</f>
        <v>0</v>
      </c>
      <c r="SN21" s="148">
        <f>SUM(data_1!SN80:SN85)</f>
        <v>0</v>
      </c>
      <c r="SO21" s="148">
        <f>SUM(data_1!SO80:SO85)</f>
        <v>0</v>
      </c>
      <c r="SP21" s="148">
        <f>SUM(data_1!SP80:SP85)</f>
        <v>0</v>
      </c>
      <c r="SQ21" s="148">
        <f>SUM(data_1!SQ80:SQ85)</f>
        <v>0</v>
      </c>
      <c r="SR21" s="148">
        <f>SUM(data_1!SR80:SR85)</f>
        <v>0</v>
      </c>
      <c r="SS21" s="148">
        <f>SUM(data_1!SS80:SS85)</f>
        <v>0</v>
      </c>
      <c r="ST21" s="148">
        <f>SUM(data_1!ST80:ST85)</f>
        <v>0</v>
      </c>
      <c r="SU21" s="148">
        <f>SUM(data_1!SU80:SU85)</f>
        <v>0</v>
      </c>
      <c r="SV21" s="148">
        <f>SUM(data_1!SV80:SV85)</f>
        <v>0</v>
      </c>
      <c r="SW21" s="148">
        <f>SUM(data_1!SW80:SW85)</f>
        <v>0</v>
      </c>
      <c r="SX21" s="148">
        <f>SUM(data_1!SX80:SX85)</f>
        <v>0</v>
      </c>
      <c r="SY21" s="148">
        <f>SUM(data_1!SY80:SY85)</f>
        <v>0</v>
      </c>
      <c r="SZ21" s="148">
        <f>SUM(data_1!SZ80:SZ85)</f>
        <v>0</v>
      </c>
      <c r="TA21" s="148">
        <f>SUM(data_1!TA80:TA85)</f>
        <v>0</v>
      </c>
      <c r="TB21" s="148">
        <f>SUM(data_1!TB80:TB85)</f>
        <v>0</v>
      </c>
      <c r="TC21" s="148">
        <f>SUM(data_1!TC80:TC85)</f>
        <v>0</v>
      </c>
      <c r="TD21" s="148">
        <f>SUM(data_1!TD80:TD85)</f>
        <v>0</v>
      </c>
      <c r="TE21" s="148">
        <f>SUM(data_1!TE80:TE85)</f>
        <v>0</v>
      </c>
      <c r="TF21" s="148">
        <f>SUM(data_1!TF80:TF85)</f>
        <v>0</v>
      </c>
      <c r="TG21" s="148">
        <f>SUM(data_1!TG80:TG85)</f>
        <v>0</v>
      </c>
      <c r="TH21" s="148">
        <f>SUM(data_1!TH80:TH85)</f>
        <v>0</v>
      </c>
      <c r="TI21" s="148">
        <f>SUM(data_1!TI80:TI85)</f>
        <v>0</v>
      </c>
      <c r="TJ21" s="148">
        <f>SUM(data_1!TJ80:TJ85)</f>
        <v>0</v>
      </c>
      <c r="TK21" s="148">
        <f>SUM(data_1!TK80:TK85)</f>
        <v>0</v>
      </c>
      <c r="TL21" s="148">
        <f>SUM(data_1!TL80:TL85)</f>
        <v>0</v>
      </c>
      <c r="TM21" s="148">
        <f>SUM(data_1!TM80:TM85)</f>
        <v>0</v>
      </c>
      <c r="TN21" s="148">
        <f>SUM(data_1!TN80:TN85)</f>
        <v>0</v>
      </c>
      <c r="TO21" s="148">
        <f>SUM(data_1!TO80:TO85)</f>
        <v>0</v>
      </c>
      <c r="TP21" s="148">
        <f>SUM(data_1!TP80:TP85)</f>
        <v>0</v>
      </c>
      <c r="TQ21" s="148">
        <f>SUM(data_1!TQ80:TQ85)</f>
        <v>0</v>
      </c>
      <c r="TR21" s="148">
        <f>SUM(data_1!TR80:TR85)</f>
        <v>0</v>
      </c>
      <c r="TS21" s="148">
        <f>SUM(data_1!TS80:TS85)</f>
        <v>0</v>
      </c>
      <c r="TT21" s="148">
        <f>SUM(data_1!TT80:TT85)</f>
        <v>0</v>
      </c>
      <c r="TU21" s="148">
        <f>SUM(data_1!TU80:TU85)</f>
        <v>0</v>
      </c>
      <c r="TV21" s="148">
        <f>SUM(data_1!TV80:TV85)</f>
        <v>0</v>
      </c>
      <c r="TW21" s="148">
        <f>SUM(data_1!TW80:TW85)</f>
        <v>0</v>
      </c>
      <c r="TX21" s="148">
        <f>SUM(data_1!TX80:TX85)</f>
        <v>0</v>
      </c>
      <c r="TY21" s="148">
        <f>SUM(data_1!TY80:TY85)</f>
        <v>0</v>
      </c>
      <c r="TZ21" s="148">
        <f>SUM(data_1!TZ80:TZ85)</f>
        <v>0</v>
      </c>
      <c r="UA21" s="148">
        <f>SUM(data_1!UA80:UA85)</f>
        <v>0</v>
      </c>
      <c r="UB21" s="148">
        <f>SUM(data_1!UB80:UB85)</f>
        <v>0</v>
      </c>
      <c r="UC21" s="148">
        <f>SUM(data_1!UC80:UC85)</f>
        <v>0</v>
      </c>
      <c r="UD21" s="148">
        <f>SUM(data_1!UD80:UD85)</f>
        <v>0</v>
      </c>
      <c r="UE21" s="148">
        <f>SUM(data_1!UE80:UE85)</f>
        <v>0</v>
      </c>
      <c r="UF21" s="148">
        <f>SUM(data_1!UF80:UF85)</f>
        <v>0</v>
      </c>
      <c r="UG21" s="148">
        <f>SUM(data_1!UG80:UG85)</f>
        <v>0</v>
      </c>
      <c r="UH21" s="148">
        <f>SUM(data_1!UH80:UH85)</f>
        <v>0</v>
      </c>
      <c r="UI21" s="148">
        <f>SUM(data_1!UI80:UI85)</f>
        <v>0</v>
      </c>
      <c r="UJ21" s="148">
        <f>SUM(data_1!UJ80:UJ85)</f>
        <v>0</v>
      </c>
      <c r="UK21" s="148">
        <f>SUM(data_1!UK80:UK85)</f>
        <v>0</v>
      </c>
      <c r="UL21" s="148">
        <f>SUM(data_1!UL80:UL85)</f>
        <v>0</v>
      </c>
      <c r="UM21" s="148">
        <f>SUM(data_1!UM80:UM85)</f>
        <v>0</v>
      </c>
      <c r="UN21" s="148">
        <f>SUM(data_1!UN80:UN85)</f>
        <v>0</v>
      </c>
      <c r="UO21" s="148">
        <f>SUM(data_1!UO80:UO85)</f>
        <v>0</v>
      </c>
      <c r="UP21" s="148">
        <f>SUM(data_1!UP80:UP85)</f>
        <v>0</v>
      </c>
      <c r="UQ21" s="148">
        <f>SUM(data_1!UQ80:UQ85)</f>
        <v>0</v>
      </c>
      <c r="UR21" s="148">
        <f>SUM(data_1!UR80:UR85)</f>
        <v>0</v>
      </c>
      <c r="US21" s="148">
        <f>SUM(data_1!US80:US85)</f>
        <v>0</v>
      </c>
    </row>
    <row r="22" spans="1:565" x14ac:dyDescent="0.3">
      <c r="A22" s="133" t="s">
        <v>190</v>
      </c>
      <c r="B22" s="136" t="s">
        <v>191</v>
      </c>
      <c r="C22" s="137" t="s">
        <v>192</v>
      </c>
      <c r="F22" s="148">
        <f>SUM(data_1!F87:F96)</f>
        <v>10957011500</v>
      </c>
      <c r="G22" s="148">
        <f>SUM(data_1!G87:G96)</f>
        <v>0</v>
      </c>
      <c r="H22" s="148">
        <f>SUM(data_1!H87:H96)</f>
        <v>0</v>
      </c>
      <c r="I22" s="148">
        <f>SUM(data_1!I87:I96)</f>
        <v>3009867956.3299999</v>
      </c>
      <c r="J22" s="148">
        <f>SUM(data_1!J87:J96)</f>
        <v>2320480100</v>
      </c>
      <c r="K22" s="148">
        <f>SUM(data_1!K87:K96)</f>
        <v>689387856.32999992</v>
      </c>
      <c r="L22" s="148">
        <f>SUM(data_1!L87:L96)</f>
        <v>2317915038.4899998</v>
      </c>
      <c r="M22" s="148">
        <f>SUM(data_1!M87:M96)</f>
        <v>24947080.199999999</v>
      </c>
      <c r="N22" s="148">
        <f>SUM(data_1!N87:N96)</f>
        <v>0</v>
      </c>
      <c r="O22" s="148">
        <f>SUM(data_1!O87:O96)</f>
        <v>3006593476.4699998</v>
      </c>
      <c r="P22" s="148">
        <f>SUM(data_1!P87:P96)</f>
        <v>2317915038.4899998</v>
      </c>
      <c r="Q22" s="148">
        <f>SUM(data_1!Q87:Q96)</f>
        <v>0</v>
      </c>
      <c r="R22" s="148">
        <f>SUM(data_1!R87:R96)</f>
        <v>688678437.9799999</v>
      </c>
      <c r="S22" s="148">
        <f>SUM(data_1!S87:S96)</f>
        <v>178.05169999999998</v>
      </c>
      <c r="T22" s="148">
        <f>SUM(data_1!T87:T96)</f>
        <v>24893232.399999999</v>
      </c>
      <c r="U22" s="148">
        <f>SUM(data_1!U87:U96)</f>
        <v>53847.8</v>
      </c>
      <c r="V22" s="148">
        <f>SUM(data_1!V87:V96)</f>
        <v>2317915038.4899998</v>
      </c>
      <c r="W22" s="148">
        <f>SUM(data_1!W87:W96)</f>
        <v>0</v>
      </c>
      <c r="X22" s="148">
        <f>SUM(data_1!X87:X96)</f>
        <v>2320480100</v>
      </c>
      <c r="Y22" s="148">
        <f>SUM(data_1!Y87:Y96)</f>
        <v>2320480100</v>
      </c>
      <c r="Z22" s="148">
        <f>SUM(data_1!Z87:Z96)</f>
        <v>0</v>
      </c>
      <c r="AA22" s="148">
        <f>SUM(data_1!AA87:AA96)</f>
        <v>1436320297.3399999</v>
      </c>
      <c r="AB22" s="148">
        <f>SUM(data_1!AB87:AB96)</f>
        <v>946986100</v>
      </c>
      <c r="AC22" s="148">
        <f>SUM(data_1!AC87:AC96)</f>
        <v>489334197.33999997</v>
      </c>
      <c r="AD22" s="148">
        <f>SUM(data_1!AD87:AD96)</f>
        <v>946986100</v>
      </c>
      <c r="AE22" s="148">
        <f>SUM(data_1!AE87:AE96)</f>
        <v>856995.13</v>
      </c>
      <c r="AF22" s="148">
        <f>SUM(data_1!AF87:AF96)</f>
        <v>0</v>
      </c>
      <c r="AG22" s="148">
        <f>SUM(data_1!AG87:AG96)</f>
        <v>1436320297.3399999</v>
      </c>
      <c r="AH22" s="148">
        <f>SUM(data_1!AH87:AH96)</f>
        <v>946986100</v>
      </c>
      <c r="AI22" s="148">
        <f>SUM(data_1!AI87:AI96)</f>
        <v>0</v>
      </c>
      <c r="AJ22" s="148">
        <f>SUM(data_1!AJ87:AJ96)</f>
        <v>489334197.33999997</v>
      </c>
      <c r="AK22" s="148">
        <f>SUM(data_1!AK87:AK96)</f>
        <v>206.98651999999998</v>
      </c>
      <c r="AL22" s="148">
        <f>SUM(data_1!AL87:AL96)</f>
        <v>856995.13</v>
      </c>
      <c r="AM22" s="148">
        <f>SUM(data_1!AM87:AM96)</f>
        <v>0</v>
      </c>
      <c r="AN22" s="148">
        <f>SUM(data_1!AN87:AN96)</f>
        <v>946986100</v>
      </c>
      <c r="AO22" s="148">
        <f>SUM(data_1!AO87:AO96)</f>
        <v>0</v>
      </c>
      <c r="AP22" s="148">
        <f>SUM(data_1!AP87:AP96)</f>
        <v>946986100</v>
      </c>
      <c r="AQ22" s="148">
        <f>SUM(data_1!AQ87:AQ96)</f>
        <v>946986100</v>
      </c>
      <c r="AR22" s="148">
        <f>SUM(data_1!AR87:AR96)</f>
        <v>0</v>
      </c>
      <c r="AS22" s="148">
        <f>SUM(data_1!AS87:AS96)</f>
        <v>4517709433.1300001</v>
      </c>
      <c r="AT22" s="148">
        <f>SUM(data_1!AT87:AT96)</f>
        <v>3808858900</v>
      </c>
      <c r="AU22" s="148">
        <f>SUM(data_1!AU87:AU96)</f>
        <v>708850533.13</v>
      </c>
      <c r="AV22" s="148">
        <f>SUM(data_1!AV87:AV96)</f>
        <v>3807569699.3499999</v>
      </c>
      <c r="AW22" s="148">
        <f>SUM(data_1!AW87:AW96)</f>
        <v>17609864.420000002</v>
      </c>
      <c r="AX22" s="148">
        <f>SUM(data_1!AX87:AX96)</f>
        <v>0</v>
      </c>
      <c r="AY22" s="148">
        <f>SUM(data_1!AY87:AY96)</f>
        <v>4516289416.2600002</v>
      </c>
      <c r="AZ22" s="148">
        <f>SUM(data_1!AZ87:AZ96)</f>
        <v>3807569697.96</v>
      </c>
      <c r="BA22" s="148">
        <f>SUM(data_1!BA87:BA96)</f>
        <v>0</v>
      </c>
      <c r="BB22" s="148">
        <f>SUM(data_1!BB87:BB96)</f>
        <v>708719718.30000007</v>
      </c>
      <c r="BC22" s="148">
        <f>SUM(data_1!BC87:BC96)</f>
        <v>142.00002000000001</v>
      </c>
      <c r="BD22" s="148">
        <f>SUM(data_1!BD87:BD96)</f>
        <v>17609864.420000002</v>
      </c>
      <c r="BE22" s="148">
        <f>SUM(data_1!BE87:BE96)</f>
        <v>1.3899999999999997</v>
      </c>
      <c r="BF22" s="148">
        <f>SUM(data_1!BF87:BF96)</f>
        <v>3807569699.3499999</v>
      </c>
      <c r="BG22" s="148">
        <f>SUM(data_1!BG87:BG96)</f>
        <v>0</v>
      </c>
      <c r="BH22" s="148">
        <f>SUM(data_1!BH87:BH96)</f>
        <v>3808858900</v>
      </c>
      <c r="BI22" s="148">
        <f>SUM(data_1!BI87:BI96)</f>
        <v>3808858900</v>
      </c>
      <c r="BJ22" s="148">
        <f>SUM(data_1!BJ87:BJ96)</f>
        <v>0</v>
      </c>
      <c r="BK22" s="148">
        <f>SUM(data_1!BK87:BK96)</f>
        <v>607799151.01999998</v>
      </c>
      <c r="BL22" s="148">
        <f>SUM(data_1!BL87:BL96)</f>
        <v>520367400</v>
      </c>
      <c r="BM22" s="148">
        <f>SUM(data_1!BM87:BM96)</f>
        <v>87431751.019999996</v>
      </c>
      <c r="BN22" s="148">
        <f>SUM(data_1!BN87:BN96)</f>
        <v>519283060.84000003</v>
      </c>
      <c r="BO22" s="148">
        <f>SUM(data_1!BO87:BO96)</f>
        <v>20766008.829999998</v>
      </c>
      <c r="BP22" s="148">
        <f>SUM(data_1!BP87:BP96)</f>
        <v>0</v>
      </c>
      <c r="BQ22" s="148">
        <f>SUM(data_1!BQ87:BQ96)</f>
        <v>606314086.13</v>
      </c>
      <c r="BR22" s="148">
        <f>SUM(data_1!BR87:BR96)</f>
        <v>519283060.74000001</v>
      </c>
      <c r="BS22" s="148">
        <f>SUM(data_1!BS87:BS96)</f>
        <v>0</v>
      </c>
      <c r="BT22" s="148">
        <f>SUM(data_1!BT87:BT96)</f>
        <v>87031025.390000001</v>
      </c>
      <c r="BU22" s="148">
        <f>SUM(data_1!BU87:BU96)</f>
        <v>129.65996000000001</v>
      </c>
      <c r="BV22" s="148">
        <f>SUM(data_1!BV87:BV96)</f>
        <v>20766008.829999998</v>
      </c>
      <c r="BW22" s="148">
        <f>SUM(data_1!BW87:BW96)</f>
        <v>0.1</v>
      </c>
      <c r="BX22" s="148">
        <f>SUM(data_1!BX87:BX96)</f>
        <v>519283060.84000003</v>
      </c>
      <c r="BY22" s="148">
        <f>SUM(data_1!BY87:BY96)</f>
        <v>0</v>
      </c>
      <c r="BZ22" s="148">
        <f>SUM(data_1!BZ87:BZ96)</f>
        <v>520367400</v>
      </c>
      <c r="CA22" s="148">
        <f>SUM(data_1!CA87:CA96)</f>
        <v>520367400</v>
      </c>
      <c r="CB22" s="148">
        <f>SUM(data_1!CB87:CB96)</f>
        <v>0</v>
      </c>
      <c r="CC22" s="148">
        <f>SUM(data_1!CC87:CC96)</f>
        <v>331136229.13</v>
      </c>
      <c r="CD22" s="148">
        <f>SUM(data_1!CD87:CD96)</f>
        <v>266584100</v>
      </c>
      <c r="CE22" s="148">
        <f>SUM(data_1!CE87:CE96)</f>
        <v>64552129.130000003</v>
      </c>
      <c r="CF22" s="148">
        <f>SUM(data_1!CF87:CF96)</f>
        <v>254125313.44999999</v>
      </c>
      <c r="CG22" s="148">
        <f>SUM(data_1!CG87:CG96)</f>
        <v>2707249.99</v>
      </c>
      <c r="CH22" s="148">
        <f>SUM(data_1!CH87:CH96)</f>
        <v>0</v>
      </c>
      <c r="CI22" s="148">
        <f>SUM(data_1!CI87:CI96)</f>
        <v>315883832.44</v>
      </c>
      <c r="CJ22" s="148">
        <f>SUM(data_1!CJ87:CJ96)</f>
        <v>254125313.44999999</v>
      </c>
      <c r="CK22" s="148">
        <f>SUM(data_1!CK87:CK96)</f>
        <v>0</v>
      </c>
      <c r="CL22" s="148">
        <f>SUM(data_1!CL87:CL96)</f>
        <v>61758518.990000002</v>
      </c>
      <c r="CM22" s="148">
        <f>SUM(data_1!CM87:CM96)</f>
        <v>143.53045</v>
      </c>
      <c r="CN22" s="148">
        <f>SUM(data_1!CN87:CN96)</f>
        <v>2707249.99</v>
      </c>
      <c r="CO22" s="148">
        <f>SUM(data_1!CO87:CO96)</f>
        <v>0</v>
      </c>
      <c r="CP22" s="148">
        <f>SUM(data_1!CP87:CP96)</f>
        <v>254125313.44999999</v>
      </c>
      <c r="CQ22" s="148">
        <f>SUM(data_1!CQ87:CQ96)</f>
        <v>0</v>
      </c>
      <c r="CR22" s="148">
        <f>SUM(data_1!CR87:CR96)</f>
        <v>266584100</v>
      </c>
      <c r="CS22" s="148">
        <f>SUM(data_1!CS87:CS96)</f>
        <v>266584100</v>
      </c>
      <c r="CT22" s="148">
        <f>SUM(data_1!CT87:CT96)</f>
        <v>0</v>
      </c>
      <c r="CU22" s="148">
        <f>SUM(data_1!CU87:CU96)</f>
        <v>0</v>
      </c>
      <c r="CV22" s="148">
        <f>SUM(data_1!CV87:CV96)</f>
        <v>0</v>
      </c>
      <c r="CW22" s="148">
        <f>SUM(data_1!CW87:CW96)</f>
        <v>0</v>
      </c>
      <c r="CX22" s="148">
        <f>SUM(data_1!CX87:CX96)</f>
        <v>0</v>
      </c>
      <c r="CY22" s="148">
        <f>SUM(data_1!CY87:CY96)</f>
        <v>0</v>
      </c>
      <c r="CZ22" s="148">
        <f>SUM(data_1!CZ87:CZ96)</f>
        <v>0</v>
      </c>
      <c r="DA22" s="148">
        <f>SUM(data_1!DA87:DA96)</f>
        <v>0</v>
      </c>
      <c r="DB22" s="148">
        <f>SUM(data_1!DB87:DB96)</f>
        <v>0</v>
      </c>
      <c r="DC22" s="148">
        <f>SUM(data_1!DC87:DC96)</f>
        <v>0</v>
      </c>
      <c r="DD22" s="148">
        <f>SUM(data_1!DD87:DD96)</f>
        <v>0</v>
      </c>
      <c r="DE22" s="148">
        <f>SUM(data_1!DE87:DE96)</f>
        <v>0</v>
      </c>
      <c r="DF22" s="148">
        <f>SUM(data_1!DF87:DF96)</f>
        <v>0</v>
      </c>
      <c r="DG22" s="148">
        <f>SUM(data_1!DG87:DG96)</f>
        <v>0</v>
      </c>
      <c r="DH22" s="148">
        <f>SUM(data_1!DH87:DH96)</f>
        <v>0</v>
      </c>
      <c r="DI22" s="148">
        <f>SUM(data_1!DI87:DI96)</f>
        <v>0</v>
      </c>
      <c r="DJ22" s="148">
        <f>SUM(data_1!DJ87:DJ96)</f>
        <v>0</v>
      </c>
      <c r="DK22" s="148">
        <f>SUM(data_1!DK87:DK96)</f>
        <v>0</v>
      </c>
      <c r="DL22" s="148">
        <f>SUM(data_1!DL87:DL96)</f>
        <v>0</v>
      </c>
      <c r="DM22" s="148">
        <f>SUM(data_1!DM87:DM96)</f>
        <v>60804958.700000003</v>
      </c>
      <c r="DN22" s="148">
        <f>SUM(data_1!DN87:DN96)</f>
        <v>43432200</v>
      </c>
      <c r="DO22" s="148">
        <f>SUM(data_1!DO87:DO96)</f>
        <v>17372758.699999999</v>
      </c>
      <c r="DP22" s="148">
        <f>SUM(data_1!DP87:DP96)</f>
        <v>43432200</v>
      </c>
      <c r="DQ22" s="148">
        <f>SUM(data_1!DQ87:DQ96)</f>
        <v>5414913.7000000002</v>
      </c>
      <c r="DR22" s="148">
        <f>SUM(data_1!DR87:DR96)</f>
        <v>0</v>
      </c>
      <c r="DS22" s="148">
        <f>SUM(data_1!DS87:DS96)</f>
        <v>60804958.700000003</v>
      </c>
      <c r="DT22" s="148">
        <f>SUM(data_1!DT87:DT96)</f>
        <v>43432200</v>
      </c>
      <c r="DU22" s="148">
        <f>SUM(data_1!DU87:DU96)</f>
        <v>0</v>
      </c>
      <c r="DV22" s="148">
        <f>SUM(data_1!DV87:DV96)</f>
        <v>17372758.699999999</v>
      </c>
      <c r="DW22" s="148">
        <f>SUM(data_1!DW87:DW96)</f>
        <v>28.571290000000001</v>
      </c>
      <c r="DX22" s="148">
        <f>SUM(data_1!DX87:DX96)</f>
        <v>5414913.7000000002</v>
      </c>
      <c r="DY22" s="148">
        <f>SUM(data_1!DY87:DY96)</f>
        <v>0</v>
      </c>
      <c r="DZ22" s="148">
        <f>SUM(data_1!DZ87:DZ96)</f>
        <v>43432200</v>
      </c>
      <c r="EA22" s="148">
        <f>SUM(data_1!EA87:EA96)</f>
        <v>0</v>
      </c>
      <c r="EB22" s="148">
        <f>SUM(data_1!EB87:EB96)</f>
        <v>43432200</v>
      </c>
      <c r="EC22" s="148">
        <f>SUM(data_1!EC87:EC96)</f>
        <v>43432200</v>
      </c>
      <c r="ED22" s="148">
        <f>SUM(data_1!ED87:ED96)</f>
        <v>0</v>
      </c>
      <c r="EE22" s="148">
        <f>SUM(data_1!EE87:EE96)</f>
        <v>502463045.19999999</v>
      </c>
      <c r="EF22" s="148">
        <f>SUM(data_1!EF87:EF96)</f>
        <v>490354400</v>
      </c>
      <c r="EG22" s="148">
        <f>SUM(data_1!EG87:EG96)</f>
        <v>12108645.200000001</v>
      </c>
      <c r="EH22" s="148">
        <f>SUM(data_1!EH87:EH96)</f>
        <v>490353981.56</v>
      </c>
      <c r="EI22" s="148">
        <f>SUM(data_1!EI87:EI96)</f>
        <v>0</v>
      </c>
      <c r="EJ22" s="148">
        <f>SUM(data_1!EJ87:EJ96)</f>
        <v>0</v>
      </c>
      <c r="EK22" s="148">
        <f>SUM(data_1!EK87:EK96)</f>
        <v>502462618.21999997</v>
      </c>
      <c r="EL22" s="148">
        <f>SUM(data_1!EL87:EL96)</f>
        <v>490353981.56</v>
      </c>
      <c r="EM22" s="148">
        <f>SUM(data_1!EM87:EM96)</f>
        <v>0</v>
      </c>
      <c r="EN22" s="148">
        <f>SUM(data_1!EN87:EN96)</f>
        <v>12108636.660000002</v>
      </c>
      <c r="EO22" s="148">
        <f>SUM(data_1!EO87:EO96)</f>
        <v>25.0002</v>
      </c>
      <c r="EP22" s="148">
        <f>SUM(data_1!EP87:EP96)</f>
        <v>0</v>
      </c>
      <c r="EQ22" s="148">
        <f>SUM(data_1!EQ87:EQ96)</f>
        <v>0</v>
      </c>
      <c r="ER22" s="148">
        <f>SUM(data_1!ER87:ER96)</f>
        <v>490353981.56</v>
      </c>
      <c r="ES22" s="148">
        <f>SUM(data_1!ES87:ES96)</f>
        <v>0</v>
      </c>
      <c r="ET22" s="148">
        <f>SUM(data_1!ET87:ET96)</f>
        <v>490354400</v>
      </c>
      <c r="EU22" s="148">
        <f>SUM(data_1!EU87:EU96)</f>
        <v>490354400</v>
      </c>
      <c r="EV22" s="148">
        <f>SUM(data_1!EV87:EV96)</f>
        <v>0</v>
      </c>
      <c r="EW22" s="148">
        <f>SUM(data_1!EW87:EW96)</f>
        <v>1717020527.6399999</v>
      </c>
      <c r="EX22" s="148">
        <f>SUM(data_1!EX87:EX96)</f>
        <v>1457696000</v>
      </c>
      <c r="EY22" s="148">
        <f>SUM(data_1!EY87:EY96)</f>
        <v>259324527.64000005</v>
      </c>
      <c r="EZ22" s="148">
        <f>SUM(data_1!EZ87:EZ96)</f>
        <v>1457047413.22</v>
      </c>
      <c r="FA22" s="148">
        <f>SUM(data_1!FA87:FA96)</f>
        <v>2401629.8800000004</v>
      </c>
      <c r="FB22" s="148">
        <f>SUM(data_1!FB87:FB96)</f>
        <v>0</v>
      </c>
      <c r="FC22" s="148">
        <f>SUM(data_1!FC87:FC96)</f>
        <v>1715982894.4499998</v>
      </c>
      <c r="FD22" s="148">
        <f>SUM(data_1!FD87:FD96)</f>
        <v>1457026696.53</v>
      </c>
      <c r="FE22" s="148">
        <f>SUM(data_1!FE87:FE96)</f>
        <v>0</v>
      </c>
      <c r="FF22" s="148">
        <f>SUM(data_1!FF87:FF96)</f>
        <v>258956197.91999996</v>
      </c>
      <c r="FG22" s="148">
        <f>SUM(data_1!FG87:FG96)</f>
        <v>173.07458</v>
      </c>
      <c r="FH22" s="148">
        <f>SUM(data_1!FH87:FH96)</f>
        <v>1975512.25</v>
      </c>
      <c r="FI22" s="148">
        <f>SUM(data_1!FI87:FI96)</f>
        <v>446834.32</v>
      </c>
      <c r="FJ22" s="148">
        <f>SUM(data_1!FJ87:FJ96)</f>
        <v>1457047413.22</v>
      </c>
      <c r="FK22" s="148">
        <f>SUM(data_1!FK87:FK96)</f>
        <v>0</v>
      </c>
      <c r="FL22" s="148">
        <f>SUM(data_1!FL87:FL96)</f>
        <v>1457696000</v>
      </c>
      <c r="FM22" s="148">
        <f>SUM(data_1!FM87:FM96)</f>
        <v>1457696000</v>
      </c>
      <c r="FN22" s="148">
        <f>SUM(data_1!FN87:FN96)</f>
        <v>0</v>
      </c>
      <c r="FO22" s="148">
        <f>SUM(data_1!FO87:FO96)</f>
        <v>0</v>
      </c>
      <c r="FP22" s="148">
        <f>SUM(data_1!FP87:FP96)</f>
        <v>0</v>
      </c>
      <c r="FQ22" s="148">
        <f>SUM(data_1!FQ87:FQ96)</f>
        <v>0</v>
      </c>
      <c r="FR22" s="148">
        <f>SUM(data_1!FR87:FR96)</f>
        <v>0</v>
      </c>
      <c r="FS22" s="148">
        <f>SUM(data_1!FS87:FS96)</f>
        <v>2212504.4</v>
      </c>
      <c r="FT22" s="148">
        <f>SUM(data_1!FT87:FT96)</f>
        <v>0</v>
      </c>
      <c r="FU22" s="148">
        <f>SUM(data_1!FU87:FU96)</f>
        <v>0</v>
      </c>
      <c r="FV22" s="148">
        <f>SUM(data_1!FV87:FV96)</f>
        <v>0</v>
      </c>
      <c r="FW22" s="148">
        <f>SUM(data_1!FW87:FW96)</f>
        <v>0</v>
      </c>
      <c r="FX22" s="148">
        <f>SUM(data_1!FX87:FX96)</f>
        <v>0</v>
      </c>
      <c r="FY22" s="148">
        <f>SUM(data_1!FY87:FY96)</f>
        <v>0</v>
      </c>
      <c r="FZ22" s="148">
        <f>SUM(data_1!FZ87:FZ96)</f>
        <v>2210960.9</v>
      </c>
      <c r="GA22" s="148">
        <f>SUM(data_1!GA87:GA96)</f>
        <v>1543.5</v>
      </c>
      <c r="GB22" s="148">
        <f>SUM(data_1!GB87:GB96)</f>
        <v>0</v>
      </c>
      <c r="GC22" s="148">
        <f>SUM(data_1!GC87:GC96)</f>
        <v>0</v>
      </c>
      <c r="GD22" s="148">
        <f>SUM(data_1!GD87:GD96)</f>
        <v>0</v>
      </c>
      <c r="GE22" s="148">
        <f>SUM(data_1!GE87:GE96)</f>
        <v>0</v>
      </c>
      <c r="GF22" s="148">
        <f>SUM(data_1!GF87:GF96)</f>
        <v>0</v>
      </c>
      <c r="GG22" s="148">
        <f>SUM(data_1!GG87:GG96)</f>
        <v>490123882.04999995</v>
      </c>
      <c r="GH22" s="148">
        <f>SUM(data_1!GH87:GH96)</f>
        <v>295990400</v>
      </c>
      <c r="GI22" s="148">
        <f>SUM(data_1!GI87:GI96)</f>
        <v>194133482.04999998</v>
      </c>
      <c r="GJ22" s="148">
        <f>SUM(data_1!GJ87:GJ96)</f>
        <v>288502510.38</v>
      </c>
      <c r="GK22" s="148">
        <f>SUM(data_1!GK87:GK96)</f>
        <v>604263.32999999996</v>
      </c>
      <c r="GL22" s="148">
        <f>SUM(data_1!GL87:GL96)</f>
        <v>0</v>
      </c>
      <c r="GM22" s="148">
        <f>SUM(data_1!GM87:GM96)</f>
        <v>480782694.94000006</v>
      </c>
      <c r="GN22" s="148">
        <f>SUM(data_1!GN87:GN96)</f>
        <v>288502510.37</v>
      </c>
      <c r="GO22" s="148">
        <f>SUM(data_1!GO87:GO96)</f>
        <v>0</v>
      </c>
      <c r="GP22" s="148">
        <f>SUM(data_1!GP87:GP96)</f>
        <v>192280184.56999999</v>
      </c>
      <c r="GQ22" s="148">
        <f>SUM(data_1!GQ87:GQ96)</f>
        <v>209.59786000000003</v>
      </c>
      <c r="GR22" s="148">
        <f>SUM(data_1!GR87:GR96)</f>
        <v>604263.32999999996</v>
      </c>
      <c r="GS22" s="148">
        <f>SUM(data_1!GS87:GS96)</f>
        <v>0.01</v>
      </c>
      <c r="GT22" s="148">
        <f>SUM(data_1!GT87:GT96)</f>
        <v>288502510.38</v>
      </c>
      <c r="GU22" s="148">
        <f>SUM(data_1!GU87:GU96)</f>
        <v>0</v>
      </c>
      <c r="GV22" s="148">
        <f>SUM(data_1!GV87:GV96)</f>
        <v>295990400</v>
      </c>
      <c r="GW22" s="148">
        <f>SUM(data_1!GW87:GW96)</f>
        <v>295990400</v>
      </c>
      <c r="GX22" s="148">
        <f>SUM(data_1!GX87:GX96)</f>
        <v>0</v>
      </c>
      <c r="GY22" s="148">
        <f>SUM(data_1!GY87:GY96)</f>
        <v>0</v>
      </c>
      <c r="GZ22" s="148">
        <f>SUM(data_1!GZ87:GZ96)</f>
        <v>0</v>
      </c>
      <c r="HA22" s="148">
        <f>SUM(data_1!HA87:HA96)</f>
        <v>0</v>
      </c>
      <c r="HB22" s="148">
        <f>SUM(data_1!HB87:HB96)</f>
        <v>0</v>
      </c>
      <c r="HC22" s="148">
        <f>SUM(data_1!HC87:HC96)</f>
        <v>635617.68999999994</v>
      </c>
      <c r="HD22" s="148">
        <f>SUM(data_1!HD87:HD96)</f>
        <v>0</v>
      </c>
      <c r="HE22" s="148">
        <f>SUM(data_1!HE87:HE96)</f>
        <v>0</v>
      </c>
      <c r="HF22" s="148">
        <f>SUM(data_1!HF87:HF96)</f>
        <v>0</v>
      </c>
      <c r="HG22" s="148">
        <f>SUM(data_1!HG87:HG96)</f>
        <v>0</v>
      </c>
      <c r="HH22" s="148">
        <f>SUM(data_1!HH87:HH96)</f>
        <v>0</v>
      </c>
      <c r="HI22" s="148">
        <f>SUM(data_1!HI87:HI96)</f>
        <v>0</v>
      </c>
      <c r="HJ22" s="148">
        <f>SUM(data_1!HJ87:HJ96)</f>
        <v>635617.68999999994</v>
      </c>
      <c r="HK22" s="148">
        <f>SUM(data_1!HK87:HK96)</f>
        <v>0</v>
      </c>
      <c r="HL22" s="148">
        <f>SUM(data_1!HL87:HL96)</f>
        <v>0</v>
      </c>
      <c r="HM22" s="148">
        <f>SUM(data_1!HM87:HM96)</f>
        <v>0</v>
      </c>
      <c r="HN22" s="148">
        <f>SUM(data_1!HN87:HN96)</f>
        <v>0</v>
      </c>
      <c r="HO22" s="148">
        <f>SUM(data_1!HO87:HO96)</f>
        <v>0</v>
      </c>
      <c r="HP22" s="148">
        <f>SUM(data_1!HP87:HP96)</f>
        <v>0</v>
      </c>
      <c r="HQ22" s="148">
        <f>SUM(data_1!HQ87:HQ96)</f>
        <v>215334939.75999999</v>
      </c>
      <c r="HR22" s="148">
        <f>SUM(data_1!HR87:HR96)</f>
        <v>178728000</v>
      </c>
      <c r="HS22" s="148">
        <f>SUM(data_1!HS87:HS96)</f>
        <v>36606939.759999998</v>
      </c>
      <c r="HT22" s="148">
        <f>SUM(data_1!HT87:HT96)</f>
        <v>65531566.950000003</v>
      </c>
      <c r="HU22" s="148">
        <f>SUM(data_1!HU87:HU96)</f>
        <v>0</v>
      </c>
      <c r="HV22" s="148">
        <f>SUM(data_1!HV87:HV96)</f>
        <v>0</v>
      </c>
      <c r="HW22" s="148">
        <f>SUM(data_1!HW87:HW96)</f>
        <v>78953695.120000005</v>
      </c>
      <c r="HX22" s="148">
        <f>SUM(data_1!HX87:HX96)</f>
        <v>65531566.950000003</v>
      </c>
      <c r="HY22" s="148">
        <f>SUM(data_1!HY87:HY96)</f>
        <v>0</v>
      </c>
      <c r="HZ22" s="148">
        <f>SUM(data_1!HZ87:HZ96)</f>
        <v>13422128.17</v>
      </c>
      <c r="IA22" s="148">
        <f>SUM(data_1!IA87:IA96)</f>
        <v>17</v>
      </c>
      <c r="IB22" s="148">
        <f>SUM(data_1!IB87:IB96)</f>
        <v>0</v>
      </c>
      <c r="IC22" s="148">
        <f>SUM(data_1!IC87:IC96)</f>
        <v>0</v>
      </c>
      <c r="ID22" s="148">
        <f>SUM(data_1!ID87:ID96)</f>
        <v>65531566.950000003</v>
      </c>
      <c r="IE22" s="148">
        <f>SUM(data_1!IE87:IE96)</f>
        <v>0</v>
      </c>
      <c r="IF22" s="148">
        <f>SUM(data_1!IF87:IF96)</f>
        <v>178728000</v>
      </c>
      <c r="IG22" s="148">
        <f>SUM(data_1!IG87:IG96)</f>
        <v>178728000</v>
      </c>
      <c r="IH22" s="148">
        <f>SUM(data_1!IH87:IH96)</f>
        <v>0</v>
      </c>
      <c r="II22" s="148">
        <f>SUM(data_1!II87:II96)</f>
        <v>0</v>
      </c>
      <c r="IJ22" s="148">
        <f>SUM(data_1!IJ87:IJ96)</f>
        <v>0</v>
      </c>
      <c r="IK22" s="148">
        <f>SUM(data_1!IK87:IK96)</f>
        <v>0</v>
      </c>
      <c r="IL22" s="148">
        <f>SUM(data_1!IL87:IL96)</f>
        <v>0</v>
      </c>
      <c r="IM22" s="148">
        <f>SUM(data_1!IM87:IM96)</f>
        <v>0</v>
      </c>
      <c r="IN22" s="148">
        <f>SUM(data_1!IN87:IN96)</f>
        <v>0</v>
      </c>
      <c r="IO22" s="148">
        <f>SUM(data_1!IO87:IO96)</f>
        <v>0</v>
      </c>
      <c r="IP22" s="148">
        <f>SUM(data_1!IP87:IP96)</f>
        <v>0</v>
      </c>
      <c r="IQ22" s="148">
        <f>SUM(data_1!IQ87:IQ96)</f>
        <v>0</v>
      </c>
      <c r="IR22" s="148">
        <f>SUM(data_1!IR87:IR96)</f>
        <v>0</v>
      </c>
      <c r="IS22" s="148">
        <f>SUM(data_1!IS87:IS96)</f>
        <v>0</v>
      </c>
      <c r="IT22" s="148">
        <f>SUM(data_1!IT87:IT96)</f>
        <v>0</v>
      </c>
      <c r="IU22" s="148">
        <f>SUM(data_1!IU87:IU96)</f>
        <v>0</v>
      </c>
      <c r="IV22" s="148">
        <f>SUM(data_1!IV87:IV96)</f>
        <v>0</v>
      </c>
      <c r="IW22" s="148">
        <f>SUM(data_1!IW87:IW96)</f>
        <v>0</v>
      </c>
      <c r="IX22" s="148">
        <f>SUM(data_1!IX87:IX96)</f>
        <v>0</v>
      </c>
      <c r="IY22" s="148">
        <f>SUM(data_1!IY87:IY96)</f>
        <v>0</v>
      </c>
      <c r="IZ22" s="148">
        <f>SUM(data_1!IZ87:IZ96)</f>
        <v>0</v>
      </c>
      <c r="JA22" s="148">
        <f>SUM(data_1!JA87:JA96)</f>
        <v>23363013.730000004</v>
      </c>
      <c r="JB22" s="148">
        <f>SUM(data_1!JB87:JB96)</f>
        <v>15287400</v>
      </c>
      <c r="JC22" s="148">
        <f>SUM(data_1!JC87:JC96)</f>
        <v>8075613.7300000004</v>
      </c>
      <c r="JD22" s="148">
        <f>SUM(data_1!JD87:JD96)</f>
        <v>15062692.6</v>
      </c>
      <c r="JE22" s="148">
        <f>SUM(data_1!JE87:JE96)</f>
        <v>0</v>
      </c>
      <c r="JF22" s="148">
        <f>SUM(data_1!JF87:JF96)</f>
        <v>0</v>
      </c>
      <c r="JG22" s="148">
        <f>SUM(data_1!JG87:JG96)</f>
        <v>23094261.559999999</v>
      </c>
      <c r="JH22" s="148">
        <f>SUM(data_1!JH87:JH96)</f>
        <v>15062692.6</v>
      </c>
      <c r="JI22" s="148">
        <f>SUM(data_1!JI87:JI96)</f>
        <v>0</v>
      </c>
      <c r="JJ22" s="148">
        <f>SUM(data_1!JJ87:JJ96)</f>
        <v>8031568.96</v>
      </c>
      <c r="JK22" s="148">
        <f>SUM(data_1!JK87:JK96)</f>
        <v>116.86221</v>
      </c>
      <c r="JL22" s="148">
        <f>SUM(data_1!JL87:JL96)</f>
        <v>0</v>
      </c>
      <c r="JM22" s="148">
        <f>SUM(data_1!JM87:JM96)</f>
        <v>0</v>
      </c>
      <c r="JN22" s="148">
        <f>SUM(data_1!JN87:JN96)</f>
        <v>15062692.6</v>
      </c>
      <c r="JO22" s="148">
        <f>SUM(data_1!JO87:JO96)</f>
        <v>0</v>
      </c>
      <c r="JP22" s="148">
        <f>SUM(data_1!JP87:JP96)</f>
        <v>15287400</v>
      </c>
      <c r="JQ22" s="148">
        <f>SUM(data_1!JQ87:JQ96)</f>
        <v>15287400</v>
      </c>
      <c r="JR22" s="148">
        <f>SUM(data_1!JR87:JR96)</f>
        <v>0</v>
      </c>
      <c r="JS22" s="148">
        <f>SUM(data_1!JS87:JS96)</f>
        <v>0</v>
      </c>
      <c r="JT22" s="148">
        <f>SUM(data_1!JT87:JT96)</f>
        <v>0</v>
      </c>
      <c r="JU22" s="148">
        <f>SUM(data_1!JU87:JU96)</f>
        <v>0</v>
      </c>
      <c r="JV22" s="148">
        <f>SUM(data_1!JV87:JV96)</f>
        <v>0</v>
      </c>
      <c r="JW22" s="148">
        <f>SUM(data_1!JW87:JW96)</f>
        <v>0</v>
      </c>
      <c r="JX22" s="148">
        <f>SUM(data_1!JX87:JX96)</f>
        <v>0</v>
      </c>
      <c r="JY22" s="148">
        <f>SUM(data_1!JY87:JY96)</f>
        <v>0</v>
      </c>
      <c r="JZ22" s="148">
        <f>SUM(data_1!JZ87:JZ96)</f>
        <v>0</v>
      </c>
      <c r="KA22" s="148">
        <f>SUM(data_1!KA87:KA96)</f>
        <v>0</v>
      </c>
      <c r="KB22" s="148">
        <f>SUM(data_1!KB87:KB96)</f>
        <v>0</v>
      </c>
      <c r="KC22" s="148">
        <f>SUM(data_1!KC87:KC96)</f>
        <v>0</v>
      </c>
      <c r="KD22" s="148">
        <f>SUM(data_1!KD87:KD96)</f>
        <v>0</v>
      </c>
      <c r="KE22" s="148">
        <f>SUM(data_1!KE87:KE96)</f>
        <v>0</v>
      </c>
      <c r="KF22" s="148">
        <f>SUM(data_1!KF87:KF96)</f>
        <v>0</v>
      </c>
      <c r="KG22" s="148">
        <f>SUM(data_1!KG87:KG96)</f>
        <v>0</v>
      </c>
      <c r="KH22" s="148">
        <f>SUM(data_1!KH87:KH96)</f>
        <v>0</v>
      </c>
      <c r="KI22" s="148">
        <f>SUM(data_1!KI87:KI96)</f>
        <v>0</v>
      </c>
      <c r="KJ22" s="148">
        <f>SUM(data_1!KJ87:KJ96)</f>
        <v>0</v>
      </c>
      <c r="KK22" s="148">
        <f>SUM(data_1!KK87:KK96)</f>
        <v>17818378.510000002</v>
      </c>
      <c r="KL22" s="148">
        <f>SUM(data_1!KL87:KL96)</f>
        <v>11938200</v>
      </c>
      <c r="KM22" s="148">
        <f>SUM(data_1!KM87:KM96)</f>
        <v>5880178.5099999998</v>
      </c>
      <c r="KN22" s="148">
        <f>SUM(data_1!KN87:KN96)</f>
        <v>11938200</v>
      </c>
      <c r="KO22" s="148">
        <f>SUM(data_1!KO87:KO96)</f>
        <v>0</v>
      </c>
      <c r="KP22" s="148">
        <f>SUM(data_1!KP87:KP96)</f>
        <v>0</v>
      </c>
      <c r="KQ22" s="148">
        <f>SUM(data_1!KQ87:KQ96)</f>
        <v>17818378.510000002</v>
      </c>
      <c r="KR22" s="148">
        <f>SUM(data_1!KR87:KR96)</f>
        <v>11938200</v>
      </c>
      <c r="KS22" s="148">
        <f>SUM(data_1!KS87:KS96)</f>
        <v>0</v>
      </c>
      <c r="KT22" s="148">
        <f>SUM(data_1!KT87:KT96)</f>
        <v>5880178.5099999998</v>
      </c>
      <c r="KU22" s="148">
        <f>SUM(data_1!KU87:KU96)</f>
        <v>127.86799999999999</v>
      </c>
      <c r="KV22" s="148">
        <f>SUM(data_1!KV87:KV96)</f>
        <v>0</v>
      </c>
      <c r="KW22" s="148">
        <f>SUM(data_1!KW87:KW96)</f>
        <v>0</v>
      </c>
      <c r="KX22" s="148">
        <f>SUM(data_1!KX87:KX96)</f>
        <v>11938200</v>
      </c>
      <c r="KY22" s="148">
        <f>SUM(data_1!KY87:KY96)</f>
        <v>0</v>
      </c>
      <c r="KZ22" s="148">
        <f>SUM(data_1!KZ87:KZ96)</f>
        <v>11938200</v>
      </c>
      <c r="LA22" s="148">
        <f>SUM(data_1!LA87:LA96)</f>
        <v>11938200</v>
      </c>
      <c r="LB22" s="148">
        <f>SUM(data_1!LB87:LB96)</f>
        <v>0</v>
      </c>
      <c r="LC22" s="148">
        <f>SUM(data_1!LC87:LC96)</f>
        <v>0</v>
      </c>
      <c r="LD22" s="148">
        <f>SUM(data_1!LD87:LD96)</f>
        <v>0</v>
      </c>
      <c r="LE22" s="148">
        <f>SUM(data_1!LE87:LE96)</f>
        <v>0</v>
      </c>
      <c r="LF22" s="148">
        <f>SUM(data_1!LF87:LF96)</f>
        <v>0</v>
      </c>
      <c r="LG22" s="148">
        <f>SUM(data_1!LG87:LG96)</f>
        <v>0</v>
      </c>
      <c r="LH22" s="148">
        <f>SUM(data_1!LH87:LH96)</f>
        <v>0</v>
      </c>
      <c r="LI22" s="148">
        <f>SUM(data_1!LI87:LI96)</f>
        <v>0</v>
      </c>
      <c r="LJ22" s="148">
        <f>SUM(data_1!LJ87:LJ96)</f>
        <v>0</v>
      </c>
      <c r="LK22" s="148">
        <f>SUM(data_1!LK87:LK96)</f>
        <v>0</v>
      </c>
      <c r="LL22" s="148">
        <f>SUM(data_1!LL87:LL96)</f>
        <v>0</v>
      </c>
      <c r="LM22" s="148">
        <f>SUM(data_1!LM87:LM96)</f>
        <v>0</v>
      </c>
      <c r="LN22" s="148">
        <f>SUM(data_1!LN87:LN96)</f>
        <v>0</v>
      </c>
      <c r="LO22" s="148">
        <f>SUM(data_1!LO87:LO96)</f>
        <v>0</v>
      </c>
      <c r="LP22" s="148">
        <f>SUM(data_1!LP87:LP96)</f>
        <v>0</v>
      </c>
      <c r="LQ22" s="148">
        <f>SUM(data_1!LQ87:LQ96)</f>
        <v>0</v>
      </c>
      <c r="LR22" s="148">
        <f>SUM(data_1!LR87:LR96)</f>
        <v>0</v>
      </c>
      <c r="LS22" s="148">
        <f>SUM(data_1!LS87:LS96)</f>
        <v>0</v>
      </c>
      <c r="LT22" s="148">
        <f>SUM(data_1!LT87:LT96)</f>
        <v>0</v>
      </c>
      <c r="LU22" s="148">
        <f>SUM(data_1!LU87:LU96)</f>
        <v>95131925.299999997</v>
      </c>
      <c r="LV22" s="148">
        <f>SUM(data_1!LV87:LV96)</f>
        <v>57934400</v>
      </c>
      <c r="LW22" s="148">
        <f>SUM(data_1!LW87:LW96)</f>
        <v>37197525.299999997</v>
      </c>
      <c r="LX22" s="148">
        <f>SUM(data_1!LX87:LX96)</f>
        <v>57507351.020000003</v>
      </c>
      <c r="LY22" s="148">
        <f>SUM(data_1!LY87:LY96)</f>
        <v>0</v>
      </c>
      <c r="LZ22" s="148">
        <f>SUM(data_1!LZ87:LZ96)</f>
        <v>0</v>
      </c>
      <c r="MA22" s="148">
        <f>SUM(data_1!MA87:MA96)</f>
        <v>94631065.00999999</v>
      </c>
      <c r="MB22" s="148">
        <f>SUM(data_1!MB87:MB96)</f>
        <v>57507351.020000003</v>
      </c>
      <c r="MC22" s="148">
        <f>SUM(data_1!MC87:MC96)</f>
        <v>0</v>
      </c>
      <c r="MD22" s="148">
        <f>SUM(data_1!MD87:MD96)</f>
        <v>37123713.990000002</v>
      </c>
      <c r="ME22" s="148">
        <f>SUM(data_1!ME87:ME96)</f>
        <v>81.736909999999995</v>
      </c>
      <c r="MF22" s="148">
        <f>SUM(data_1!MF87:MF96)</f>
        <v>0</v>
      </c>
      <c r="MG22" s="148">
        <f>SUM(data_1!MG87:MG96)</f>
        <v>0</v>
      </c>
      <c r="MH22" s="148">
        <f>SUM(data_1!MH87:MH96)</f>
        <v>57507351.020000003</v>
      </c>
      <c r="MI22" s="148">
        <f>SUM(data_1!MI87:MI96)</f>
        <v>0</v>
      </c>
      <c r="MJ22" s="148">
        <f>SUM(data_1!MJ87:MJ96)</f>
        <v>57934400</v>
      </c>
      <c r="MK22" s="148">
        <f>SUM(data_1!MK87:MK96)</f>
        <v>57934400</v>
      </c>
      <c r="ML22" s="148">
        <f>SUM(data_1!ML87:ML96)</f>
        <v>0</v>
      </c>
      <c r="MM22" s="148">
        <f>SUM(data_1!MM87:MM96)</f>
        <v>0</v>
      </c>
      <c r="MN22" s="148">
        <f>SUM(data_1!MN87:MN96)</f>
        <v>0</v>
      </c>
      <c r="MO22" s="148">
        <f>SUM(data_1!MO87:MO96)</f>
        <v>0</v>
      </c>
      <c r="MP22" s="148">
        <f>SUM(data_1!MP87:MP96)</f>
        <v>0</v>
      </c>
      <c r="MQ22" s="148">
        <f>SUM(data_1!MQ87:MQ96)</f>
        <v>0</v>
      </c>
      <c r="MR22" s="148">
        <f>SUM(data_1!MR87:MR96)</f>
        <v>0</v>
      </c>
      <c r="MS22" s="148">
        <f>SUM(data_1!MS87:MS96)</f>
        <v>0</v>
      </c>
      <c r="MT22" s="148">
        <f>SUM(data_1!MT87:MT96)</f>
        <v>0</v>
      </c>
      <c r="MU22" s="148">
        <f>SUM(data_1!MU87:MU96)</f>
        <v>0</v>
      </c>
      <c r="MV22" s="148">
        <f>SUM(data_1!MV87:MV96)</f>
        <v>0</v>
      </c>
      <c r="MW22" s="148">
        <f>SUM(data_1!MW87:MW96)</f>
        <v>0</v>
      </c>
      <c r="MX22" s="148">
        <f>SUM(data_1!MX87:MX96)</f>
        <v>0</v>
      </c>
      <c r="MY22" s="148">
        <f>SUM(data_1!MY87:MY96)</f>
        <v>0</v>
      </c>
      <c r="MZ22" s="148">
        <f>SUM(data_1!MZ87:MZ96)</f>
        <v>0</v>
      </c>
      <c r="NA22" s="148">
        <f>SUM(data_1!NA87:NA96)</f>
        <v>0</v>
      </c>
      <c r="NB22" s="148">
        <f>SUM(data_1!NB87:NB96)</f>
        <v>0</v>
      </c>
      <c r="NC22" s="148">
        <f>SUM(data_1!NC87:NC96)</f>
        <v>0</v>
      </c>
      <c r="ND22" s="148">
        <f>SUM(data_1!ND87:ND96)</f>
        <v>0</v>
      </c>
      <c r="NE22" s="148">
        <f>SUM(data_1!NE87:NE96)</f>
        <v>35289273.57</v>
      </c>
      <c r="NF22" s="148">
        <f>SUM(data_1!NF87:NF96)</f>
        <v>14234700</v>
      </c>
      <c r="NG22" s="148">
        <f>SUM(data_1!NG87:NG96)</f>
        <v>21054573.570000004</v>
      </c>
      <c r="NH22" s="148">
        <f>SUM(data_1!NH87:NH96)</f>
        <v>14227999.24</v>
      </c>
      <c r="NI22" s="148">
        <f>SUM(data_1!NI87:NI96)</f>
        <v>0</v>
      </c>
      <c r="NJ22" s="148">
        <f>SUM(data_1!NJ87:NJ96)</f>
        <v>0</v>
      </c>
      <c r="NK22" s="148">
        <f>SUM(data_1!NK87:NK96)</f>
        <v>35280792.240000002</v>
      </c>
      <c r="NL22" s="148">
        <f>SUM(data_1!NL87:NL96)</f>
        <v>14227999.24</v>
      </c>
      <c r="NM22" s="148">
        <f>SUM(data_1!NM87:NM96)</f>
        <v>0</v>
      </c>
      <c r="NN22" s="148">
        <f>SUM(data_1!NN87:NN96)</f>
        <v>21052793.000000004</v>
      </c>
      <c r="NO22" s="148">
        <f>SUM(data_1!NO87:NO96)</f>
        <v>205.17334</v>
      </c>
      <c r="NP22" s="148">
        <f>SUM(data_1!NP87:NP96)</f>
        <v>0</v>
      </c>
      <c r="NQ22" s="148">
        <f>SUM(data_1!NQ87:NQ96)</f>
        <v>0</v>
      </c>
      <c r="NR22" s="148">
        <f>SUM(data_1!NR87:NR96)</f>
        <v>14227999.24</v>
      </c>
      <c r="NS22" s="148">
        <f>SUM(data_1!NS87:NS96)</f>
        <v>0</v>
      </c>
      <c r="NT22" s="148">
        <f>SUM(data_1!NT87:NT96)</f>
        <v>14234700</v>
      </c>
      <c r="NU22" s="148">
        <f>SUM(data_1!NU87:NU96)</f>
        <v>14234700</v>
      </c>
      <c r="NV22" s="148">
        <f>SUM(data_1!NV87:NV96)</f>
        <v>0</v>
      </c>
      <c r="NW22" s="148">
        <f>SUM(data_1!NW87:NW96)</f>
        <v>0</v>
      </c>
      <c r="NX22" s="148">
        <f>SUM(data_1!NX87:NX96)</f>
        <v>0</v>
      </c>
      <c r="NY22" s="148">
        <f>SUM(data_1!NY87:NY96)</f>
        <v>0</v>
      </c>
      <c r="NZ22" s="148">
        <f>SUM(data_1!NZ87:NZ96)</f>
        <v>0</v>
      </c>
      <c r="OA22" s="148">
        <f>SUM(data_1!OA87:OA96)</f>
        <v>368127.6</v>
      </c>
      <c r="OB22" s="148">
        <f>SUM(data_1!OB87:OB96)</f>
        <v>0</v>
      </c>
      <c r="OC22" s="148">
        <f>SUM(data_1!OC87:OC96)</f>
        <v>0</v>
      </c>
      <c r="OD22" s="148">
        <f>SUM(data_1!OD87:OD96)</f>
        <v>0</v>
      </c>
      <c r="OE22" s="148">
        <f>SUM(data_1!OE87:OE96)</f>
        <v>0</v>
      </c>
      <c r="OF22" s="148">
        <f>SUM(data_1!OF87:OF96)</f>
        <v>0</v>
      </c>
      <c r="OG22" s="148">
        <f>SUM(data_1!OG87:OG96)</f>
        <v>0</v>
      </c>
      <c r="OH22" s="148">
        <f>SUM(data_1!OH87:OH96)</f>
        <v>333600</v>
      </c>
      <c r="OI22" s="148">
        <f>SUM(data_1!OI87:OI96)</f>
        <v>34527.599999999999</v>
      </c>
      <c r="OJ22" s="148">
        <f>SUM(data_1!OJ87:OJ96)</f>
        <v>0</v>
      </c>
      <c r="OK22" s="148">
        <f>SUM(data_1!OK87:OK96)</f>
        <v>0</v>
      </c>
      <c r="OL22" s="148">
        <f>SUM(data_1!OL87:OL96)</f>
        <v>0</v>
      </c>
      <c r="OM22" s="148">
        <f>SUM(data_1!OM87:OM96)</f>
        <v>0</v>
      </c>
      <c r="ON22" s="148">
        <f>SUM(data_1!ON87:ON96)</f>
        <v>0</v>
      </c>
      <c r="OO22" s="148">
        <f>SUM(data_1!OO87:OO96)</f>
        <v>0</v>
      </c>
      <c r="OP22" s="148">
        <f>SUM(data_1!OP87:OP96)</f>
        <v>0</v>
      </c>
      <c r="OQ22" s="148">
        <f>SUM(data_1!OQ87:OQ96)</f>
        <v>0</v>
      </c>
      <c r="OR22" s="148">
        <f>SUM(data_1!OR87:OR96)</f>
        <v>0</v>
      </c>
      <c r="OS22" s="148">
        <f>SUM(data_1!OS87:OS96)</f>
        <v>23866748.239999998</v>
      </c>
      <c r="OT22" s="148">
        <f>SUM(data_1!OT87:OT96)</f>
        <v>0</v>
      </c>
      <c r="OU22" s="148">
        <f>SUM(data_1!OU87:OU96)</f>
        <v>0</v>
      </c>
      <c r="OV22" s="148">
        <f>SUM(data_1!OV87:OV96)</f>
        <v>0</v>
      </c>
      <c r="OW22" s="148">
        <f>SUM(data_1!OW87:OW96)</f>
        <v>0</v>
      </c>
      <c r="OX22" s="148">
        <f>SUM(data_1!OX87:OX96)</f>
        <v>0</v>
      </c>
      <c r="OY22" s="148">
        <f>SUM(data_1!OY87:OY96)</f>
        <v>0</v>
      </c>
      <c r="OZ22" s="148">
        <f>SUM(data_1!OZ87:OZ96)</f>
        <v>21271497.619999997</v>
      </c>
      <c r="PA22" s="148">
        <f>SUM(data_1!PA87:PA96)</f>
        <v>2595250.62</v>
      </c>
      <c r="PB22" s="148">
        <f>SUM(data_1!PB87:PB96)</f>
        <v>0</v>
      </c>
      <c r="PC22" s="148">
        <f>SUM(data_1!PC87:PC96)</f>
        <v>0</v>
      </c>
      <c r="PD22" s="148">
        <f>SUM(data_1!PD87:PD96)</f>
        <v>0</v>
      </c>
      <c r="PE22" s="148">
        <f>SUM(data_1!PE87:PE96)</f>
        <v>0</v>
      </c>
      <c r="PF22" s="148">
        <f>SUM(data_1!PF87:PF96)</f>
        <v>0</v>
      </c>
      <c r="PG22" s="148">
        <f>SUM(data_1!PG87:PG96)</f>
        <v>0</v>
      </c>
      <c r="PH22" s="148">
        <f>SUM(data_1!PH87:PH96)</f>
        <v>0</v>
      </c>
      <c r="PI22" s="148">
        <f>SUM(data_1!PI87:PI96)</f>
        <v>0</v>
      </c>
      <c r="PJ22" s="148">
        <f>SUM(data_1!PJ87:PJ96)</f>
        <v>0</v>
      </c>
      <c r="PK22" s="148">
        <f>SUM(data_1!PK87:PK96)</f>
        <v>10309.36</v>
      </c>
      <c r="PL22" s="148">
        <f>SUM(data_1!PL87:PL96)</f>
        <v>0</v>
      </c>
      <c r="PM22" s="148">
        <f>SUM(data_1!PM87:PM96)</f>
        <v>0</v>
      </c>
      <c r="PN22" s="148">
        <f>SUM(data_1!PN87:PN96)</f>
        <v>0</v>
      </c>
      <c r="PO22" s="148">
        <f>SUM(data_1!PO87:PO96)</f>
        <v>0</v>
      </c>
      <c r="PP22" s="148">
        <f>SUM(data_1!PP87:PP96)</f>
        <v>0</v>
      </c>
      <c r="PQ22" s="148">
        <f>SUM(data_1!PQ87:PQ96)</f>
        <v>0</v>
      </c>
      <c r="PR22" s="148">
        <f>SUM(data_1!PR87:PR96)</f>
        <v>10309.36</v>
      </c>
      <c r="PS22" s="148">
        <f>SUM(data_1!PS87:PS96)</f>
        <v>0</v>
      </c>
      <c r="PT22" s="148">
        <f>SUM(data_1!PT87:PT96)</f>
        <v>0</v>
      </c>
      <c r="PU22" s="148">
        <f>SUM(data_1!PU87:PU96)</f>
        <v>0</v>
      </c>
      <c r="PV22" s="148">
        <f>SUM(data_1!PV87:PV96)</f>
        <v>0</v>
      </c>
      <c r="PW22" s="148">
        <f>SUM(data_1!PW87:PW96)</f>
        <v>0</v>
      </c>
      <c r="PX22" s="148">
        <f>SUM(data_1!PX87:PX96)</f>
        <v>0</v>
      </c>
      <c r="PY22" s="148">
        <f>SUM(data_1!PY87:PY96)</f>
        <v>0</v>
      </c>
      <c r="PZ22" s="148">
        <f>SUM(data_1!PZ87:PZ96)</f>
        <v>0</v>
      </c>
      <c r="QA22" s="148">
        <f>SUM(data_1!QA87:QA96)</f>
        <v>0</v>
      </c>
      <c r="QB22" s="148">
        <f>SUM(data_1!QB87:QB96)</f>
        <v>0</v>
      </c>
      <c r="QC22" s="148">
        <f>SUM(data_1!QC87:QC96)</f>
        <v>0</v>
      </c>
      <c r="QD22" s="148">
        <f>SUM(data_1!QD87:QD96)</f>
        <v>0</v>
      </c>
      <c r="QE22" s="148">
        <f>SUM(data_1!QE87:QE96)</f>
        <v>0</v>
      </c>
      <c r="QF22" s="148">
        <f>SUM(data_1!QF87:QF96)</f>
        <v>0</v>
      </c>
      <c r="QG22" s="148">
        <f>SUM(data_1!QG87:QG96)</f>
        <v>0</v>
      </c>
      <c r="QH22" s="148">
        <f>SUM(data_1!QH87:QH96)</f>
        <v>0</v>
      </c>
      <c r="QI22" s="148">
        <f>SUM(data_1!QI87:QI96)</f>
        <v>0</v>
      </c>
      <c r="QJ22" s="148">
        <f>SUM(data_1!QJ87:QJ96)</f>
        <v>0</v>
      </c>
      <c r="QK22" s="148">
        <f>SUM(data_1!QK87:QK96)</f>
        <v>0</v>
      </c>
      <c r="QL22" s="148">
        <f>SUM(data_1!QL87:QL96)</f>
        <v>0</v>
      </c>
      <c r="QM22" s="148">
        <f>SUM(data_1!QM87:QM96)</f>
        <v>0</v>
      </c>
      <c r="QN22" s="148">
        <f>SUM(data_1!QN87:QN96)</f>
        <v>0</v>
      </c>
      <c r="QO22" s="148">
        <f>SUM(data_1!QO87:QO96)</f>
        <v>0</v>
      </c>
      <c r="QP22" s="148">
        <f>SUM(data_1!QP87:QP96)</f>
        <v>0</v>
      </c>
      <c r="QQ22" s="148">
        <f>SUM(data_1!QQ87:QQ96)</f>
        <v>0</v>
      </c>
      <c r="QR22" s="148">
        <f>SUM(data_1!QR87:QR96)</f>
        <v>0</v>
      </c>
      <c r="QS22" s="148">
        <f>SUM(data_1!QS87:QS96)</f>
        <v>0</v>
      </c>
      <c r="QT22" s="148">
        <f>SUM(data_1!QT87:QT96)</f>
        <v>0</v>
      </c>
      <c r="QU22" s="148">
        <f>SUM(data_1!QU87:QU96)</f>
        <v>0</v>
      </c>
      <c r="QV22" s="148">
        <f>SUM(data_1!QV87:QV96)</f>
        <v>0</v>
      </c>
      <c r="QW22" s="148">
        <f>SUM(data_1!QW87:QW96)</f>
        <v>0</v>
      </c>
      <c r="QX22" s="148">
        <f>SUM(data_1!QX87:QX96)</f>
        <v>0</v>
      </c>
      <c r="QY22" s="148">
        <f>SUM(data_1!QY87:QY96)</f>
        <v>0</v>
      </c>
      <c r="QZ22" s="148">
        <f>SUM(data_1!QZ87:QZ96)</f>
        <v>0</v>
      </c>
      <c r="RA22" s="148">
        <f>SUM(data_1!RA87:RA96)</f>
        <v>0</v>
      </c>
      <c r="RB22" s="148">
        <f>SUM(data_1!RB87:RB96)</f>
        <v>0</v>
      </c>
      <c r="RC22" s="148">
        <f>SUM(data_1!RC87:RC96)</f>
        <v>0</v>
      </c>
      <c r="RD22" s="148">
        <f>SUM(data_1!RD87:RD96)</f>
        <v>0</v>
      </c>
      <c r="RE22" s="148">
        <f>SUM(data_1!RE87:RE96)</f>
        <v>0</v>
      </c>
      <c r="RF22" s="148">
        <f>SUM(data_1!RF87:RF96)</f>
        <v>0</v>
      </c>
      <c r="RG22" s="148">
        <f>SUM(data_1!RG87:RG96)</f>
        <v>0</v>
      </c>
      <c r="RH22" s="148">
        <f>SUM(data_1!RH87:RH96)</f>
        <v>0</v>
      </c>
      <c r="RI22" s="148">
        <f>SUM(data_1!RI87:RI96)</f>
        <v>0</v>
      </c>
      <c r="RJ22" s="148">
        <f>SUM(data_1!RJ87:RJ96)</f>
        <v>0</v>
      </c>
      <c r="RK22" s="148">
        <f>SUM(data_1!RK87:RK96)</f>
        <v>0</v>
      </c>
      <c r="RL22" s="148">
        <f>SUM(data_1!RL87:RL96)</f>
        <v>0</v>
      </c>
      <c r="RM22" s="148">
        <f>SUM(data_1!RM87:RM96)</f>
        <v>20882049.289999999</v>
      </c>
      <c r="RN22" s="148">
        <f>SUM(data_1!RN87:RN96)</f>
        <v>0</v>
      </c>
      <c r="RO22" s="148">
        <f>SUM(data_1!RO87:RO96)</f>
        <v>0</v>
      </c>
      <c r="RP22" s="148">
        <f>SUM(data_1!RP87:RP96)</f>
        <v>0</v>
      </c>
      <c r="RQ22" s="148">
        <f>SUM(data_1!RQ87:RQ96)</f>
        <v>0</v>
      </c>
      <c r="RR22" s="148">
        <f>SUM(data_1!RR87:RR96)</f>
        <v>0</v>
      </c>
      <c r="RS22" s="148">
        <f>SUM(data_1!RS87:RS96)</f>
        <v>0</v>
      </c>
      <c r="RT22" s="148">
        <f>SUM(data_1!RT87:RT96)</f>
        <v>20882049.289999999</v>
      </c>
      <c r="RU22" s="148">
        <f>SUM(data_1!RU87:RU96)</f>
        <v>0</v>
      </c>
      <c r="RV22" s="148">
        <f>SUM(data_1!RV87:RV96)</f>
        <v>0</v>
      </c>
      <c r="RW22" s="148">
        <f>SUM(data_1!RW87:RW96)</f>
        <v>0</v>
      </c>
      <c r="RX22" s="148">
        <f>SUM(data_1!RX87:RX96)</f>
        <v>0</v>
      </c>
      <c r="RY22" s="148">
        <f>SUM(data_1!RY87:RY96)</f>
        <v>0</v>
      </c>
      <c r="RZ22" s="148">
        <f>SUM(data_1!RZ87:RZ96)</f>
        <v>0</v>
      </c>
      <c r="SA22" s="148">
        <f>SUM(data_1!SA87:SA96)</f>
        <v>16786000</v>
      </c>
      <c r="SB22" s="148">
        <f>SUM(data_1!SB87:SB96)</f>
        <v>16786000</v>
      </c>
      <c r="SC22" s="148">
        <f>SUM(data_1!SC87:SC96)</f>
        <v>0</v>
      </c>
      <c r="SD22" s="148">
        <f>SUM(data_1!SD87:SD96)</f>
        <v>16785915</v>
      </c>
      <c r="SE22" s="148">
        <f>SUM(data_1!SE87:SE96)</f>
        <v>0</v>
      </c>
      <c r="SF22" s="148">
        <f>SUM(data_1!SF87:SF96)</f>
        <v>0</v>
      </c>
      <c r="SG22" s="148">
        <f>SUM(data_1!SG87:SG96)</f>
        <v>16785915</v>
      </c>
      <c r="SH22" s="148">
        <f>SUM(data_1!SH87:SH96)</f>
        <v>16785915</v>
      </c>
      <c r="SI22" s="148">
        <f>SUM(data_1!SI87:SI96)</f>
        <v>0</v>
      </c>
      <c r="SJ22" s="148">
        <f>SUM(data_1!SJ87:SJ96)</f>
        <v>0</v>
      </c>
      <c r="SK22" s="148">
        <f>SUM(data_1!SK87:SK96)</f>
        <v>0</v>
      </c>
      <c r="SL22" s="148">
        <f>SUM(data_1!SL87:SL96)</f>
        <v>0</v>
      </c>
      <c r="SM22" s="148">
        <f>SUM(data_1!SM87:SM96)</f>
        <v>0</v>
      </c>
      <c r="SN22" s="148">
        <f>SUM(data_1!SN87:SN96)</f>
        <v>16785915</v>
      </c>
      <c r="SO22" s="148">
        <f>SUM(data_1!SO87:SO96)</f>
        <v>0</v>
      </c>
      <c r="SP22" s="148">
        <f>SUM(data_1!SP87:SP96)</f>
        <v>16786000</v>
      </c>
      <c r="SQ22" s="148">
        <f>SUM(data_1!SQ87:SQ96)</f>
        <v>16786000</v>
      </c>
      <c r="SR22" s="148">
        <f>SUM(data_1!SR87:SR96)</f>
        <v>0</v>
      </c>
      <c r="SS22" s="148">
        <f>SUM(data_1!SS87:SS96)</f>
        <v>0</v>
      </c>
      <c r="ST22" s="148">
        <f>SUM(data_1!ST87:ST96)</f>
        <v>0</v>
      </c>
      <c r="SU22" s="148">
        <f>SUM(data_1!SU87:SU96)</f>
        <v>0</v>
      </c>
      <c r="SV22" s="148">
        <f>SUM(data_1!SV87:SV96)</f>
        <v>0</v>
      </c>
      <c r="SW22" s="148">
        <f>SUM(data_1!SW87:SW96)</f>
        <v>0</v>
      </c>
      <c r="SX22" s="148">
        <f>SUM(data_1!SX87:SX96)</f>
        <v>0</v>
      </c>
      <c r="SY22" s="148">
        <f>SUM(data_1!SY87:SY96)</f>
        <v>0</v>
      </c>
      <c r="SZ22" s="148">
        <f>SUM(data_1!SZ87:SZ96)</f>
        <v>0</v>
      </c>
      <c r="TA22" s="148">
        <f>SUM(data_1!TA87:TA96)</f>
        <v>0</v>
      </c>
      <c r="TB22" s="148">
        <f>SUM(data_1!TB87:TB96)</f>
        <v>0</v>
      </c>
      <c r="TC22" s="148">
        <f>SUM(data_1!TC87:TC96)</f>
        <v>0</v>
      </c>
      <c r="TD22" s="148">
        <f>SUM(data_1!TD87:TD96)</f>
        <v>0</v>
      </c>
      <c r="TE22" s="148">
        <f>SUM(data_1!TE87:TE96)</f>
        <v>0</v>
      </c>
      <c r="TF22" s="148">
        <f>SUM(data_1!TF87:TF96)</f>
        <v>0</v>
      </c>
      <c r="TG22" s="148">
        <f>SUM(data_1!TG87:TG96)</f>
        <v>0</v>
      </c>
      <c r="TH22" s="148">
        <f>SUM(data_1!TH87:TH96)</f>
        <v>0</v>
      </c>
      <c r="TI22" s="148">
        <f>SUM(data_1!TI87:TI96)</f>
        <v>0</v>
      </c>
      <c r="TJ22" s="148">
        <f>SUM(data_1!TJ87:TJ96)</f>
        <v>0</v>
      </c>
      <c r="TK22" s="148">
        <f>SUM(data_1!TK87:TK96)</f>
        <v>511353200</v>
      </c>
      <c r="TL22" s="148">
        <f>SUM(data_1!TL87:TL96)</f>
        <v>511353200</v>
      </c>
      <c r="TM22" s="148">
        <f>SUM(data_1!TM87:TM96)</f>
        <v>0</v>
      </c>
      <c r="TN22" s="148">
        <f>SUM(data_1!TN87:TN96)</f>
        <v>511353200</v>
      </c>
      <c r="TO22" s="148">
        <f>SUM(data_1!TO87:TO96)</f>
        <v>0</v>
      </c>
      <c r="TP22" s="148">
        <f>SUM(data_1!TP87:TP96)</f>
        <v>0</v>
      </c>
      <c r="TQ22" s="148">
        <f>SUM(data_1!TQ87:TQ96)</f>
        <v>500648498.44999999</v>
      </c>
      <c r="TR22" s="148">
        <f>SUM(data_1!TR87:TR96)</f>
        <v>500648498.44999999</v>
      </c>
      <c r="TS22" s="148">
        <f>SUM(data_1!TS87:TS96)</f>
        <v>0</v>
      </c>
      <c r="TT22" s="148">
        <f>SUM(data_1!TT87:TT96)</f>
        <v>0</v>
      </c>
      <c r="TU22" s="148">
        <f>SUM(data_1!TU87:TU96)</f>
        <v>0</v>
      </c>
      <c r="TV22" s="148">
        <f>SUM(data_1!TV87:TV96)</f>
        <v>0</v>
      </c>
      <c r="TW22" s="148">
        <f>SUM(data_1!TW87:TW96)</f>
        <v>10704701.550000001</v>
      </c>
      <c r="TX22" s="148">
        <f>SUM(data_1!TX87:TX96)</f>
        <v>511353200</v>
      </c>
      <c r="TY22" s="148">
        <f>SUM(data_1!TY87:TY96)</f>
        <v>0</v>
      </c>
      <c r="TZ22" s="148">
        <f>SUM(data_1!TZ87:TZ96)</f>
        <v>511353200</v>
      </c>
      <c r="UA22" s="148">
        <f>SUM(data_1!UA87:UA96)</f>
        <v>511353200</v>
      </c>
      <c r="UB22" s="148">
        <f>SUM(data_1!UB87:UB96)</f>
        <v>0</v>
      </c>
      <c r="UC22" s="148">
        <f>SUM(data_1!UC87:UC96)</f>
        <v>0</v>
      </c>
      <c r="UD22" s="148">
        <f>SUM(data_1!UD87:UD96)</f>
        <v>0</v>
      </c>
      <c r="UE22" s="148">
        <f>SUM(data_1!UE87:UE96)</f>
        <v>0</v>
      </c>
      <c r="UF22" s="148">
        <f>SUM(data_1!UF87:UF96)</f>
        <v>0</v>
      </c>
      <c r="UG22" s="148">
        <f>SUM(data_1!UG87:UG96)</f>
        <v>0</v>
      </c>
      <c r="UH22" s="148">
        <f>SUM(data_1!UH87:UH96)</f>
        <v>0</v>
      </c>
      <c r="UI22" s="148">
        <f>SUM(data_1!UI87:UI96)</f>
        <v>0</v>
      </c>
      <c r="UJ22" s="148">
        <f>SUM(data_1!UJ87:UJ96)</f>
        <v>0</v>
      </c>
      <c r="UK22" s="148">
        <f>SUM(data_1!UK87:UK96)</f>
        <v>0</v>
      </c>
      <c r="UL22" s="148">
        <f>SUM(data_1!UL87:UL96)</f>
        <v>0</v>
      </c>
      <c r="UM22" s="148">
        <f>SUM(data_1!UM87:UM96)</f>
        <v>0</v>
      </c>
      <c r="UN22" s="148">
        <f>SUM(data_1!UN87:UN96)</f>
        <v>0</v>
      </c>
      <c r="UO22" s="148">
        <f>SUM(data_1!UO87:UO96)</f>
        <v>0</v>
      </c>
      <c r="UP22" s="148">
        <f>SUM(data_1!UP87:UP96)</f>
        <v>0</v>
      </c>
      <c r="UQ22" s="148">
        <f>SUM(data_1!UQ87:UQ96)</f>
        <v>0</v>
      </c>
      <c r="UR22" s="148">
        <f>SUM(data_1!UR87:UR96)</f>
        <v>0</v>
      </c>
      <c r="US22" s="148">
        <f>SUM(data_1!US87:US96)</f>
        <v>0</v>
      </c>
    </row>
    <row r="23" spans="1:565" x14ac:dyDescent="0.3">
      <c r="A23" s="133" t="s">
        <v>229</v>
      </c>
      <c r="B23" s="134" t="s">
        <v>230</v>
      </c>
      <c r="C23" s="137" t="s">
        <v>231</v>
      </c>
      <c r="F23" s="148">
        <f>SUM(data_1!F98:F108)</f>
        <v>11010182500</v>
      </c>
      <c r="G23" s="148">
        <f>SUM(data_1!G98:G108)</f>
        <v>0</v>
      </c>
      <c r="H23" s="148">
        <f>SUM(data_1!H98:H108)</f>
        <v>0</v>
      </c>
      <c r="I23" s="148">
        <f>SUM(data_1!I98:I108)</f>
        <v>298235980.61999995</v>
      </c>
      <c r="J23" s="148">
        <f>SUM(data_1!J98:J108)</f>
        <v>258765700</v>
      </c>
      <c r="K23" s="148">
        <f>SUM(data_1!K98:K108)</f>
        <v>39470280.620000005</v>
      </c>
      <c r="L23" s="148">
        <f>SUM(data_1!L98:L108)</f>
        <v>258762172.84999999</v>
      </c>
      <c r="M23" s="148">
        <f>SUM(data_1!M98:M108)</f>
        <v>5425085.9099999992</v>
      </c>
      <c r="N23" s="148">
        <f>SUM(data_1!N98:N108)</f>
        <v>0</v>
      </c>
      <c r="O23" s="148">
        <f>SUM(data_1!O98:O108)</f>
        <v>298034382.06999999</v>
      </c>
      <c r="P23" s="148">
        <f>SUM(data_1!P98:P108)</f>
        <v>258576592.34999999</v>
      </c>
      <c r="Q23" s="148">
        <f>SUM(data_1!Q98:Q108)</f>
        <v>0</v>
      </c>
      <c r="R23" s="148">
        <f>SUM(data_1!R98:R108)</f>
        <v>39457789.720000006</v>
      </c>
      <c r="S23" s="148">
        <f>SUM(data_1!S98:S108)</f>
        <v>144.00035</v>
      </c>
      <c r="T23" s="148">
        <f>SUM(data_1!T98:T108)</f>
        <v>5425085.9099999992</v>
      </c>
      <c r="U23" s="148">
        <f>SUM(data_1!U98:U108)</f>
        <v>185580.5</v>
      </c>
      <c r="V23" s="148">
        <f>SUM(data_1!V98:V108)</f>
        <v>258762172.84999999</v>
      </c>
      <c r="W23" s="148">
        <f>SUM(data_1!W98:W108)</f>
        <v>0</v>
      </c>
      <c r="X23" s="148">
        <f>SUM(data_1!X98:X108)</f>
        <v>258765700</v>
      </c>
      <c r="Y23" s="148">
        <f>SUM(data_1!Y98:Y108)</f>
        <v>258765700</v>
      </c>
      <c r="Z23" s="148">
        <f>SUM(data_1!Z98:Z108)</f>
        <v>0</v>
      </c>
      <c r="AA23" s="148">
        <f>SUM(data_1!AA98:AA108)</f>
        <v>151555749.44</v>
      </c>
      <c r="AB23" s="148">
        <f>SUM(data_1!AB98:AB108)</f>
        <v>127970800</v>
      </c>
      <c r="AC23" s="148">
        <f>SUM(data_1!AC98:AC108)</f>
        <v>23584949.440000001</v>
      </c>
      <c r="AD23" s="148">
        <f>SUM(data_1!AD98:AD108)</f>
        <v>127900313.94</v>
      </c>
      <c r="AE23" s="148">
        <f>SUM(data_1!AE98:AE108)</f>
        <v>271530.79000000004</v>
      </c>
      <c r="AF23" s="148">
        <f>SUM(data_1!AF98:AF108)</f>
        <v>0</v>
      </c>
      <c r="AG23" s="148">
        <f>SUM(data_1!AG98:AG108)</f>
        <v>151477431.07999998</v>
      </c>
      <c r="AH23" s="148">
        <f>SUM(data_1!AH98:AH108)</f>
        <v>127900313.94</v>
      </c>
      <c r="AI23" s="148">
        <f>SUM(data_1!AI98:AI108)</f>
        <v>0</v>
      </c>
      <c r="AJ23" s="148">
        <f>SUM(data_1!AJ98:AJ108)</f>
        <v>23577117.140000004</v>
      </c>
      <c r="AK23" s="148">
        <f>SUM(data_1!AK98:AK108)</f>
        <v>144.00267000000002</v>
      </c>
      <c r="AL23" s="148">
        <f>SUM(data_1!AL98:AL108)</f>
        <v>271530.79000000004</v>
      </c>
      <c r="AM23" s="148">
        <f>SUM(data_1!AM98:AM108)</f>
        <v>0</v>
      </c>
      <c r="AN23" s="148">
        <f>SUM(data_1!AN98:AN108)</f>
        <v>127900313.94</v>
      </c>
      <c r="AO23" s="148">
        <f>SUM(data_1!AO98:AO108)</f>
        <v>0</v>
      </c>
      <c r="AP23" s="148">
        <f>SUM(data_1!AP98:AP108)</f>
        <v>127970800</v>
      </c>
      <c r="AQ23" s="148">
        <f>SUM(data_1!AQ98:AQ108)</f>
        <v>127970800</v>
      </c>
      <c r="AR23" s="148">
        <f>SUM(data_1!AR98:AR108)</f>
        <v>0</v>
      </c>
      <c r="AS23" s="148">
        <f>SUM(data_1!AS98:AS108)</f>
        <v>2155591950.2599998</v>
      </c>
      <c r="AT23" s="148">
        <f>SUM(data_1!AT98:AT108)</f>
        <v>1913953200</v>
      </c>
      <c r="AU23" s="148">
        <f>SUM(data_1!AU98:AU108)</f>
        <v>241638750.25999999</v>
      </c>
      <c r="AV23" s="148">
        <f>SUM(data_1!AV98:AV108)</f>
        <v>1893701751.4200001</v>
      </c>
      <c r="AW23" s="148">
        <f>SUM(data_1!AW98:AW108)</f>
        <v>18660294.830000002</v>
      </c>
      <c r="AX23" s="148">
        <f>SUM(data_1!AX98:AX108)</f>
        <v>0</v>
      </c>
      <c r="AY23" s="148">
        <f>SUM(data_1!AY98:AY108)</f>
        <v>2131958808.3800001</v>
      </c>
      <c r="AZ23" s="148">
        <f>SUM(data_1!AZ98:AZ108)</f>
        <v>1893582633.73</v>
      </c>
      <c r="BA23" s="148">
        <f>SUM(data_1!BA98:BA108)</f>
        <v>0</v>
      </c>
      <c r="BB23" s="148">
        <f>SUM(data_1!BB98:BB108)</f>
        <v>238376174.64999998</v>
      </c>
      <c r="BC23" s="148">
        <f>SUM(data_1!BC98:BC108)</f>
        <v>152.02194</v>
      </c>
      <c r="BD23" s="148">
        <f>SUM(data_1!BD98:BD108)</f>
        <v>18660294.830000002</v>
      </c>
      <c r="BE23" s="148">
        <f>SUM(data_1!BE98:BE108)</f>
        <v>119117.69</v>
      </c>
      <c r="BF23" s="148">
        <f>SUM(data_1!BF98:BF108)</f>
        <v>1893701751.4200001</v>
      </c>
      <c r="BG23" s="148">
        <f>SUM(data_1!BG98:BG108)</f>
        <v>0</v>
      </c>
      <c r="BH23" s="148">
        <f>SUM(data_1!BH98:BH108)</f>
        <v>1913953200</v>
      </c>
      <c r="BI23" s="148">
        <f>SUM(data_1!BI98:BI108)</f>
        <v>1913953200</v>
      </c>
      <c r="BJ23" s="148">
        <f>SUM(data_1!BJ98:BJ108)</f>
        <v>0</v>
      </c>
      <c r="BK23" s="148">
        <f>SUM(data_1!BK98:BK108)</f>
        <v>1169276178.5599999</v>
      </c>
      <c r="BL23" s="148">
        <f>SUM(data_1!BL98:BL108)</f>
        <v>897328500</v>
      </c>
      <c r="BM23" s="148">
        <f>SUM(data_1!BM98:BM108)</f>
        <v>271947678.56</v>
      </c>
      <c r="BN23" s="148">
        <f>SUM(data_1!BN98:BN108)</f>
        <v>896070109.4799999</v>
      </c>
      <c r="BO23" s="148">
        <f>SUM(data_1!BO98:BO108)</f>
        <v>1233377.97</v>
      </c>
      <c r="BP23" s="148">
        <f>SUM(data_1!BP98:BP108)</f>
        <v>0</v>
      </c>
      <c r="BQ23" s="148">
        <f>SUM(data_1!BQ98:BQ108)</f>
        <v>1167799264.7799997</v>
      </c>
      <c r="BR23" s="148">
        <f>SUM(data_1!BR98:BR108)</f>
        <v>896036603.42999995</v>
      </c>
      <c r="BS23" s="148">
        <f>SUM(data_1!BS98:BS108)</f>
        <v>0</v>
      </c>
      <c r="BT23" s="148">
        <f>SUM(data_1!BT98:BT108)</f>
        <v>271762661.34999996</v>
      </c>
      <c r="BU23" s="148">
        <f>SUM(data_1!BU98:BU108)</f>
        <v>147.93806000000001</v>
      </c>
      <c r="BV23" s="148">
        <f>SUM(data_1!BV98:BV108)</f>
        <v>1233377.97</v>
      </c>
      <c r="BW23" s="148">
        <f>SUM(data_1!BW98:BW108)</f>
        <v>33506.050000000003</v>
      </c>
      <c r="BX23" s="148">
        <f>SUM(data_1!BX98:BX108)</f>
        <v>896070109.4799999</v>
      </c>
      <c r="BY23" s="148">
        <f>SUM(data_1!BY98:BY108)</f>
        <v>0</v>
      </c>
      <c r="BZ23" s="148">
        <f>SUM(data_1!BZ98:BZ108)</f>
        <v>897328500</v>
      </c>
      <c r="CA23" s="148">
        <f>SUM(data_1!CA98:CA108)</f>
        <v>897328500</v>
      </c>
      <c r="CB23" s="148">
        <f>SUM(data_1!CB98:CB108)</f>
        <v>0</v>
      </c>
      <c r="CC23" s="148">
        <f>SUM(data_1!CC98:CC108)</f>
        <v>408632746.37</v>
      </c>
      <c r="CD23" s="148">
        <f>SUM(data_1!CD98:CD108)</f>
        <v>332944400</v>
      </c>
      <c r="CE23" s="148">
        <f>SUM(data_1!CE98:CE108)</f>
        <v>75688346.370000005</v>
      </c>
      <c r="CF23" s="148">
        <f>SUM(data_1!CF98:CF108)</f>
        <v>331823425.27000004</v>
      </c>
      <c r="CG23" s="148">
        <f>SUM(data_1!CG98:CG108)</f>
        <v>92738.82</v>
      </c>
      <c r="CH23" s="148">
        <f>SUM(data_1!CH98:CH108)</f>
        <v>0</v>
      </c>
      <c r="CI23" s="148">
        <f>SUM(data_1!CI98:CI108)</f>
        <v>407387216.97000003</v>
      </c>
      <c r="CJ23" s="148">
        <f>SUM(data_1!CJ98:CJ108)</f>
        <v>331823425.27000004</v>
      </c>
      <c r="CK23" s="148">
        <f>SUM(data_1!CK98:CK108)</f>
        <v>0</v>
      </c>
      <c r="CL23" s="148">
        <f>SUM(data_1!CL98:CL108)</f>
        <v>75563791.700000018</v>
      </c>
      <c r="CM23" s="148">
        <f>SUM(data_1!CM98:CM108)</f>
        <v>152.71547999999999</v>
      </c>
      <c r="CN23" s="148">
        <f>SUM(data_1!CN98:CN108)</f>
        <v>92738.82</v>
      </c>
      <c r="CO23" s="148">
        <f>SUM(data_1!CO98:CO108)</f>
        <v>0</v>
      </c>
      <c r="CP23" s="148">
        <f>SUM(data_1!CP98:CP108)</f>
        <v>331823425.27000004</v>
      </c>
      <c r="CQ23" s="148">
        <f>SUM(data_1!CQ98:CQ108)</f>
        <v>0</v>
      </c>
      <c r="CR23" s="148">
        <f>SUM(data_1!CR98:CR108)</f>
        <v>332944400</v>
      </c>
      <c r="CS23" s="148">
        <f>SUM(data_1!CS98:CS108)</f>
        <v>332944400</v>
      </c>
      <c r="CT23" s="148">
        <f>SUM(data_1!CT98:CT108)</f>
        <v>0</v>
      </c>
      <c r="CU23" s="148">
        <f>SUM(data_1!CU98:CU108)</f>
        <v>124243298.97</v>
      </c>
      <c r="CV23" s="148">
        <f>SUM(data_1!CV98:CV108)</f>
        <v>120516000</v>
      </c>
      <c r="CW23" s="148">
        <f>SUM(data_1!CW98:CW108)</f>
        <v>3727298.97</v>
      </c>
      <c r="CX23" s="148">
        <f>SUM(data_1!CX98:CX108)</f>
        <v>120516000</v>
      </c>
      <c r="CY23" s="148">
        <f>SUM(data_1!CY98:CY108)</f>
        <v>0</v>
      </c>
      <c r="CZ23" s="148">
        <f>SUM(data_1!CZ98:CZ108)</f>
        <v>0</v>
      </c>
      <c r="DA23" s="148">
        <f>SUM(data_1!DA98:DA108)</f>
        <v>124243298.97</v>
      </c>
      <c r="DB23" s="148">
        <f>SUM(data_1!DB98:DB108)</f>
        <v>120516000</v>
      </c>
      <c r="DC23" s="148">
        <f>SUM(data_1!DC98:DC108)</f>
        <v>0</v>
      </c>
      <c r="DD23" s="148">
        <f>SUM(data_1!DD98:DD108)</f>
        <v>3727298.97</v>
      </c>
      <c r="DE23" s="148">
        <f>SUM(data_1!DE98:DE108)</f>
        <v>3</v>
      </c>
      <c r="DF23" s="148">
        <f>SUM(data_1!DF98:DF108)</f>
        <v>0</v>
      </c>
      <c r="DG23" s="148">
        <f>SUM(data_1!DG98:DG108)</f>
        <v>0</v>
      </c>
      <c r="DH23" s="148">
        <f>SUM(data_1!DH98:DH108)</f>
        <v>120516000</v>
      </c>
      <c r="DI23" s="148">
        <f>SUM(data_1!DI98:DI108)</f>
        <v>0</v>
      </c>
      <c r="DJ23" s="148">
        <f>SUM(data_1!DJ98:DJ108)</f>
        <v>120516000</v>
      </c>
      <c r="DK23" s="148">
        <f>SUM(data_1!DK98:DK108)</f>
        <v>120516000</v>
      </c>
      <c r="DL23" s="148">
        <f>SUM(data_1!DL98:DL108)</f>
        <v>0</v>
      </c>
      <c r="DM23" s="148">
        <f>SUM(data_1!DM98:DM108)</f>
        <v>138279431.75999999</v>
      </c>
      <c r="DN23" s="148">
        <f>SUM(data_1!DN98:DN108)</f>
        <v>133276600</v>
      </c>
      <c r="DO23" s="148">
        <f>SUM(data_1!DO98:DO108)</f>
        <v>5002831.76</v>
      </c>
      <c r="DP23" s="148">
        <f>SUM(data_1!DP98:DP108)</f>
        <v>133276596.48999999</v>
      </c>
      <c r="DQ23" s="148">
        <f>SUM(data_1!DQ98:DQ108)</f>
        <v>0</v>
      </c>
      <c r="DR23" s="148">
        <f>SUM(data_1!DR98:DR108)</f>
        <v>0</v>
      </c>
      <c r="DS23" s="148">
        <f>SUM(data_1!DS98:DS108)</f>
        <v>138279428.07999998</v>
      </c>
      <c r="DT23" s="148">
        <f>SUM(data_1!DT98:DT108)</f>
        <v>133276596.48999999</v>
      </c>
      <c r="DU23" s="148">
        <f>SUM(data_1!DU98:DU108)</f>
        <v>0</v>
      </c>
      <c r="DV23" s="148">
        <f>SUM(data_1!DV98:DV108)</f>
        <v>5002831.59</v>
      </c>
      <c r="DW23" s="148">
        <f>SUM(data_1!DW98:DW108)</f>
        <v>4.5570300000000001</v>
      </c>
      <c r="DX23" s="148">
        <f>SUM(data_1!DX98:DX108)</f>
        <v>0</v>
      </c>
      <c r="DY23" s="148">
        <f>SUM(data_1!DY98:DY108)</f>
        <v>0</v>
      </c>
      <c r="DZ23" s="148">
        <f>SUM(data_1!DZ98:DZ108)</f>
        <v>133276596.48999999</v>
      </c>
      <c r="EA23" s="148">
        <f>SUM(data_1!EA98:EA108)</f>
        <v>0</v>
      </c>
      <c r="EB23" s="148">
        <f>SUM(data_1!EB98:EB108)</f>
        <v>133276600</v>
      </c>
      <c r="EC23" s="148">
        <f>SUM(data_1!EC98:EC108)</f>
        <v>133276600</v>
      </c>
      <c r="ED23" s="148">
        <f>SUM(data_1!ED98:ED108)</f>
        <v>0</v>
      </c>
      <c r="EE23" s="148">
        <f>SUM(data_1!EE98:EE108)</f>
        <v>371026424.69000006</v>
      </c>
      <c r="EF23" s="148">
        <f>SUM(data_1!EF98:EF108)</f>
        <v>357336300</v>
      </c>
      <c r="EG23" s="148">
        <f>SUM(data_1!EG98:EG108)</f>
        <v>13690124.689999999</v>
      </c>
      <c r="EH23" s="148">
        <f>SUM(data_1!EH98:EH108)</f>
        <v>357335564.17000002</v>
      </c>
      <c r="EI23" s="148">
        <f>SUM(data_1!EI98:EI108)</f>
        <v>0</v>
      </c>
      <c r="EJ23" s="148">
        <f>SUM(data_1!EJ98:EJ108)</f>
        <v>0</v>
      </c>
      <c r="EK23" s="148">
        <f>SUM(data_1!EK98:EK108)</f>
        <v>371025674.12</v>
      </c>
      <c r="EL23" s="148">
        <f>SUM(data_1!EL98:EL108)</f>
        <v>357335564.17000002</v>
      </c>
      <c r="EM23" s="148">
        <f>SUM(data_1!EM98:EM108)</f>
        <v>0</v>
      </c>
      <c r="EN23" s="148">
        <f>SUM(data_1!EN98:EN108)</f>
        <v>13690109.949999999</v>
      </c>
      <c r="EO23" s="148">
        <f>SUM(data_1!EO98:EO108)</f>
        <v>63.847729999999999</v>
      </c>
      <c r="EP23" s="148">
        <f>SUM(data_1!EP98:EP108)</f>
        <v>0</v>
      </c>
      <c r="EQ23" s="148">
        <f>SUM(data_1!EQ98:EQ108)</f>
        <v>0</v>
      </c>
      <c r="ER23" s="148">
        <f>SUM(data_1!ER98:ER108)</f>
        <v>357335564.17000002</v>
      </c>
      <c r="ES23" s="148">
        <f>SUM(data_1!ES98:ES108)</f>
        <v>0</v>
      </c>
      <c r="ET23" s="148">
        <f>SUM(data_1!ET98:ET108)</f>
        <v>357336300</v>
      </c>
      <c r="EU23" s="148">
        <f>SUM(data_1!EU98:EU108)</f>
        <v>357336300</v>
      </c>
      <c r="EV23" s="148">
        <f>SUM(data_1!EV98:EV108)</f>
        <v>0</v>
      </c>
      <c r="EW23" s="148">
        <f>SUM(data_1!EW98:EW108)</f>
        <v>816310467.64999998</v>
      </c>
      <c r="EX23" s="148">
        <f>SUM(data_1!EX98:EX108)</f>
        <v>738528600</v>
      </c>
      <c r="EY23" s="148">
        <f>SUM(data_1!EY98:EY108)</f>
        <v>77781867.650000006</v>
      </c>
      <c r="EZ23" s="148">
        <f>SUM(data_1!EZ98:EZ108)</f>
        <v>738478595.32000005</v>
      </c>
      <c r="FA23" s="148">
        <f>SUM(data_1!FA98:FA108)</f>
        <v>1341388.21</v>
      </c>
      <c r="FB23" s="148">
        <f>SUM(data_1!FB98:FB108)</f>
        <v>0</v>
      </c>
      <c r="FC23" s="148">
        <f>SUM(data_1!FC98:FC108)</f>
        <v>816198375.96000016</v>
      </c>
      <c r="FD23" s="148">
        <f>SUM(data_1!FD98:FD108)</f>
        <v>738442607.1400001</v>
      </c>
      <c r="FE23" s="148">
        <f>SUM(data_1!FE98:FE108)</f>
        <v>0</v>
      </c>
      <c r="FF23" s="148">
        <f>SUM(data_1!FF98:FF108)</f>
        <v>77755768.819999993</v>
      </c>
      <c r="FG23" s="148">
        <f>SUM(data_1!FG98:FG108)</f>
        <v>164.34063</v>
      </c>
      <c r="FH23" s="148">
        <f>SUM(data_1!FH98:FH108)</f>
        <v>1341388.21</v>
      </c>
      <c r="FI23" s="148">
        <f>SUM(data_1!FI98:FI108)</f>
        <v>35988.18</v>
      </c>
      <c r="FJ23" s="148">
        <f>SUM(data_1!FJ98:FJ108)</f>
        <v>738478595.32000005</v>
      </c>
      <c r="FK23" s="148">
        <f>SUM(data_1!FK98:FK108)</f>
        <v>0</v>
      </c>
      <c r="FL23" s="148">
        <f>SUM(data_1!FL98:FL108)</f>
        <v>738528600</v>
      </c>
      <c r="FM23" s="148">
        <f>SUM(data_1!FM98:FM108)</f>
        <v>738528600</v>
      </c>
      <c r="FN23" s="148">
        <f>SUM(data_1!FN98:FN108)</f>
        <v>0</v>
      </c>
      <c r="FO23" s="148">
        <f>SUM(data_1!FO98:FO108)</f>
        <v>0</v>
      </c>
      <c r="FP23" s="148">
        <f>SUM(data_1!FP98:FP108)</f>
        <v>0</v>
      </c>
      <c r="FQ23" s="148">
        <f>SUM(data_1!FQ98:FQ108)</f>
        <v>0</v>
      </c>
      <c r="FR23" s="148">
        <f>SUM(data_1!FR98:FR108)</f>
        <v>0</v>
      </c>
      <c r="FS23" s="148">
        <f>SUM(data_1!FS98:FS108)</f>
        <v>1297563.54</v>
      </c>
      <c r="FT23" s="148">
        <f>SUM(data_1!FT98:FT108)</f>
        <v>0</v>
      </c>
      <c r="FU23" s="148">
        <f>SUM(data_1!FU98:FU108)</f>
        <v>0</v>
      </c>
      <c r="FV23" s="148">
        <f>SUM(data_1!FV98:FV108)</f>
        <v>0</v>
      </c>
      <c r="FW23" s="148">
        <f>SUM(data_1!FW98:FW108)</f>
        <v>0</v>
      </c>
      <c r="FX23" s="148">
        <f>SUM(data_1!FX98:FX108)</f>
        <v>0</v>
      </c>
      <c r="FY23" s="148">
        <f>SUM(data_1!FY98:FY108)</f>
        <v>0</v>
      </c>
      <c r="FZ23" s="148">
        <f>SUM(data_1!FZ98:FZ108)</f>
        <v>1297563.54</v>
      </c>
      <c r="GA23" s="148">
        <f>SUM(data_1!GA98:GA108)</f>
        <v>0</v>
      </c>
      <c r="GB23" s="148">
        <f>SUM(data_1!GB98:GB108)</f>
        <v>0</v>
      </c>
      <c r="GC23" s="148">
        <f>SUM(data_1!GC98:GC108)</f>
        <v>0</v>
      </c>
      <c r="GD23" s="148">
        <f>SUM(data_1!GD98:GD108)</f>
        <v>0</v>
      </c>
      <c r="GE23" s="148">
        <f>SUM(data_1!GE98:GE108)</f>
        <v>0</v>
      </c>
      <c r="GF23" s="148">
        <f>SUM(data_1!GF98:GF108)</f>
        <v>0</v>
      </c>
      <c r="GG23" s="148">
        <f>SUM(data_1!GG98:GG108)</f>
        <v>80244397.530000001</v>
      </c>
      <c r="GH23" s="148">
        <f>SUM(data_1!GH98:GH108)</f>
        <v>69362200</v>
      </c>
      <c r="GI23" s="148">
        <f>SUM(data_1!GI98:GI108)</f>
        <v>10882197.529999999</v>
      </c>
      <c r="GJ23" s="148">
        <f>SUM(data_1!GJ98:GJ108)</f>
        <v>69362200</v>
      </c>
      <c r="GK23" s="148">
        <f>SUM(data_1!GK98:GK108)</f>
        <v>0</v>
      </c>
      <c r="GL23" s="148">
        <f>SUM(data_1!GL98:GL108)</f>
        <v>0</v>
      </c>
      <c r="GM23" s="148">
        <f>SUM(data_1!GM98:GM108)</f>
        <v>80244397.530000001</v>
      </c>
      <c r="GN23" s="148">
        <f>SUM(data_1!GN98:GN108)</f>
        <v>69362200</v>
      </c>
      <c r="GO23" s="148">
        <f>SUM(data_1!GO98:GO108)</f>
        <v>0</v>
      </c>
      <c r="GP23" s="148">
        <f>SUM(data_1!GP98:GP108)</f>
        <v>10882197.529999999</v>
      </c>
      <c r="GQ23" s="148">
        <f>SUM(data_1!GQ98:GQ108)</f>
        <v>13.56132</v>
      </c>
      <c r="GR23" s="148">
        <f>SUM(data_1!GR98:GR108)</f>
        <v>0</v>
      </c>
      <c r="GS23" s="148">
        <f>SUM(data_1!GS98:GS108)</f>
        <v>0</v>
      </c>
      <c r="GT23" s="148">
        <f>SUM(data_1!GT98:GT108)</f>
        <v>69362200</v>
      </c>
      <c r="GU23" s="148">
        <f>SUM(data_1!GU98:GU108)</f>
        <v>0</v>
      </c>
      <c r="GV23" s="148">
        <f>SUM(data_1!GV98:GV108)</f>
        <v>69362200</v>
      </c>
      <c r="GW23" s="148">
        <f>SUM(data_1!GW98:GW108)</f>
        <v>69362200</v>
      </c>
      <c r="GX23" s="148">
        <f>SUM(data_1!GX98:GX108)</f>
        <v>0</v>
      </c>
      <c r="GY23" s="148">
        <f>SUM(data_1!GY98:GY108)</f>
        <v>0</v>
      </c>
      <c r="GZ23" s="148">
        <f>SUM(data_1!GZ98:GZ108)</f>
        <v>0</v>
      </c>
      <c r="HA23" s="148">
        <f>SUM(data_1!HA98:HA108)</f>
        <v>0</v>
      </c>
      <c r="HB23" s="148">
        <f>SUM(data_1!HB98:HB108)</f>
        <v>0</v>
      </c>
      <c r="HC23" s="148">
        <f>SUM(data_1!HC98:HC108)</f>
        <v>0</v>
      </c>
      <c r="HD23" s="148">
        <f>SUM(data_1!HD98:HD108)</f>
        <v>0</v>
      </c>
      <c r="HE23" s="148">
        <f>SUM(data_1!HE98:HE108)</f>
        <v>0</v>
      </c>
      <c r="HF23" s="148">
        <f>SUM(data_1!HF98:HF108)</f>
        <v>0</v>
      </c>
      <c r="HG23" s="148">
        <f>SUM(data_1!HG98:HG108)</f>
        <v>0</v>
      </c>
      <c r="HH23" s="148">
        <f>SUM(data_1!HH98:HH108)</f>
        <v>0</v>
      </c>
      <c r="HI23" s="148">
        <f>SUM(data_1!HI98:HI108)</f>
        <v>0</v>
      </c>
      <c r="HJ23" s="148">
        <f>SUM(data_1!HJ98:HJ108)</f>
        <v>0</v>
      </c>
      <c r="HK23" s="148">
        <f>SUM(data_1!HK98:HK108)</f>
        <v>0</v>
      </c>
      <c r="HL23" s="148">
        <f>SUM(data_1!HL98:HL108)</f>
        <v>0</v>
      </c>
      <c r="HM23" s="148">
        <f>SUM(data_1!HM98:HM108)</f>
        <v>0</v>
      </c>
      <c r="HN23" s="148">
        <f>SUM(data_1!HN98:HN108)</f>
        <v>0</v>
      </c>
      <c r="HO23" s="148">
        <f>SUM(data_1!HO98:HO108)</f>
        <v>0</v>
      </c>
      <c r="HP23" s="148">
        <f>SUM(data_1!HP98:HP108)</f>
        <v>0</v>
      </c>
      <c r="HQ23" s="148">
        <f>SUM(data_1!HQ98:HQ108)</f>
        <v>0</v>
      </c>
      <c r="HR23" s="148">
        <f>SUM(data_1!HR98:HR108)</f>
        <v>0</v>
      </c>
      <c r="HS23" s="148">
        <f>SUM(data_1!HS98:HS108)</f>
        <v>0</v>
      </c>
      <c r="HT23" s="148">
        <f>SUM(data_1!HT98:HT108)</f>
        <v>0</v>
      </c>
      <c r="HU23" s="148">
        <f>SUM(data_1!HU98:HU108)</f>
        <v>0</v>
      </c>
      <c r="HV23" s="148">
        <f>SUM(data_1!HV98:HV108)</f>
        <v>0</v>
      </c>
      <c r="HW23" s="148">
        <f>SUM(data_1!HW98:HW108)</f>
        <v>0</v>
      </c>
      <c r="HX23" s="148">
        <f>SUM(data_1!HX98:HX108)</f>
        <v>0</v>
      </c>
      <c r="HY23" s="148">
        <f>SUM(data_1!HY98:HY108)</f>
        <v>0</v>
      </c>
      <c r="HZ23" s="148">
        <f>SUM(data_1!HZ98:HZ108)</f>
        <v>0</v>
      </c>
      <c r="IA23" s="148">
        <f>SUM(data_1!IA98:IA108)</f>
        <v>0</v>
      </c>
      <c r="IB23" s="148">
        <f>SUM(data_1!IB98:IB108)</f>
        <v>0</v>
      </c>
      <c r="IC23" s="148">
        <f>SUM(data_1!IC98:IC108)</f>
        <v>0</v>
      </c>
      <c r="ID23" s="148">
        <f>SUM(data_1!ID98:ID108)</f>
        <v>0</v>
      </c>
      <c r="IE23" s="148">
        <f>SUM(data_1!IE98:IE108)</f>
        <v>0</v>
      </c>
      <c r="IF23" s="148">
        <f>SUM(data_1!IF98:IF108)</f>
        <v>0</v>
      </c>
      <c r="IG23" s="148">
        <f>SUM(data_1!IG98:IG108)</f>
        <v>0</v>
      </c>
      <c r="IH23" s="148">
        <f>SUM(data_1!IH98:IH108)</f>
        <v>0</v>
      </c>
      <c r="II23" s="148">
        <f>SUM(data_1!II98:II108)</f>
        <v>0</v>
      </c>
      <c r="IJ23" s="148">
        <f>SUM(data_1!IJ98:IJ108)</f>
        <v>0</v>
      </c>
      <c r="IK23" s="148">
        <f>SUM(data_1!IK98:IK108)</f>
        <v>0</v>
      </c>
      <c r="IL23" s="148">
        <f>SUM(data_1!IL98:IL108)</f>
        <v>0</v>
      </c>
      <c r="IM23" s="148">
        <f>SUM(data_1!IM98:IM108)</f>
        <v>0</v>
      </c>
      <c r="IN23" s="148">
        <f>SUM(data_1!IN98:IN108)</f>
        <v>0</v>
      </c>
      <c r="IO23" s="148">
        <f>SUM(data_1!IO98:IO108)</f>
        <v>0</v>
      </c>
      <c r="IP23" s="148">
        <f>SUM(data_1!IP98:IP108)</f>
        <v>0</v>
      </c>
      <c r="IQ23" s="148">
        <f>SUM(data_1!IQ98:IQ108)</f>
        <v>0</v>
      </c>
      <c r="IR23" s="148">
        <f>SUM(data_1!IR98:IR108)</f>
        <v>0</v>
      </c>
      <c r="IS23" s="148">
        <f>SUM(data_1!IS98:IS108)</f>
        <v>0</v>
      </c>
      <c r="IT23" s="148">
        <f>SUM(data_1!IT98:IT108)</f>
        <v>0</v>
      </c>
      <c r="IU23" s="148">
        <f>SUM(data_1!IU98:IU108)</f>
        <v>0</v>
      </c>
      <c r="IV23" s="148">
        <f>SUM(data_1!IV98:IV108)</f>
        <v>0</v>
      </c>
      <c r="IW23" s="148">
        <f>SUM(data_1!IW98:IW108)</f>
        <v>0</v>
      </c>
      <c r="IX23" s="148">
        <f>SUM(data_1!IX98:IX108)</f>
        <v>0</v>
      </c>
      <c r="IY23" s="148">
        <f>SUM(data_1!IY98:IY108)</f>
        <v>0</v>
      </c>
      <c r="IZ23" s="148">
        <f>SUM(data_1!IZ98:IZ108)</f>
        <v>0</v>
      </c>
      <c r="JA23" s="148">
        <f>SUM(data_1!JA98:JA108)</f>
        <v>17266900</v>
      </c>
      <c r="JB23" s="148">
        <f>SUM(data_1!JB98:JB108)</f>
        <v>10453200</v>
      </c>
      <c r="JC23" s="148">
        <f>SUM(data_1!JC98:JC108)</f>
        <v>6813700</v>
      </c>
      <c r="JD23" s="148">
        <f>SUM(data_1!JD98:JD108)</f>
        <v>10453200</v>
      </c>
      <c r="JE23" s="148">
        <f>SUM(data_1!JE98:JE108)</f>
        <v>0</v>
      </c>
      <c r="JF23" s="148">
        <f>SUM(data_1!JF98:JF108)</f>
        <v>0</v>
      </c>
      <c r="JG23" s="148">
        <f>SUM(data_1!JG98:JG108)</f>
        <v>17266900</v>
      </c>
      <c r="JH23" s="148">
        <f>SUM(data_1!JH98:JH108)</f>
        <v>10453200</v>
      </c>
      <c r="JI23" s="148">
        <f>SUM(data_1!JI98:JI108)</f>
        <v>0</v>
      </c>
      <c r="JJ23" s="148">
        <f>SUM(data_1!JJ98:JJ108)</f>
        <v>6813700</v>
      </c>
      <c r="JK23" s="148">
        <f>SUM(data_1!JK98:JK108)</f>
        <v>106.83975</v>
      </c>
      <c r="JL23" s="148">
        <f>SUM(data_1!JL98:JL108)</f>
        <v>0</v>
      </c>
      <c r="JM23" s="148">
        <f>SUM(data_1!JM98:JM108)</f>
        <v>0</v>
      </c>
      <c r="JN23" s="148">
        <f>SUM(data_1!JN98:JN108)</f>
        <v>10453200</v>
      </c>
      <c r="JO23" s="148">
        <f>SUM(data_1!JO98:JO108)</f>
        <v>0</v>
      </c>
      <c r="JP23" s="148">
        <f>SUM(data_1!JP98:JP108)</f>
        <v>13982500</v>
      </c>
      <c r="JQ23" s="148">
        <f>SUM(data_1!JQ98:JQ108)</f>
        <v>13982500</v>
      </c>
      <c r="JR23" s="148">
        <f>SUM(data_1!JR98:JR108)</f>
        <v>0</v>
      </c>
      <c r="JS23" s="148">
        <f>SUM(data_1!JS98:JS108)</f>
        <v>0</v>
      </c>
      <c r="JT23" s="148">
        <f>SUM(data_1!JT98:JT108)</f>
        <v>0</v>
      </c>
      <c r="JU23" s="148">
        <f>SUM(data_1!JU98:JU108)</f>
        <v>0</v>
      </c>
      <c r="JV23" s="148">
        <f>SUM(data_1!JV98:JV108)</f>
        <v>0</v>
      </c>
      <c r="JW23" s="148">
        <f>SUM(data_1!JW98:JW108)</f>
        <v>0</v>
      </c>
      <c r="JX23" s="148">
        <f>SUM(data_1!JX98:JX108)</f>
        <v>0</v>
      </c>
      <c r="JY23" s="148">
        <f>SUM(data_1!JY98:JY108)</f>
        <v>0</v>
      </c>
      <c r="JZ23" s="148">
        <f>SUM(data_1!JZ98:JZ108)</f>
        <v>0</v>
      </c>
      <c r="KA23" s="148">
        <f>SUM(data_1!KA98:KA108)</f>
        <v>0</v>
      </c>
      <c r="KB23" s="148">
        <f>SUM(data_1!KB98:KB108)</f>
        <v>0</v>
      </c>
      <c r="KC23" s="148">
        <f>SUM(data_1!KC98:KC108)</f>
        <v>0</v>
      </c>
      <c r="KD23" s="148">
        <f>SUM(data_1!KD98:KD108)</f>
        <v>0</v>
      </c>
      <c r="KE23" s="148">
        <f>SUM(data_1!KE98:KE108)</f>
        <v>0</v>
      </c>
      <c r="KF23" s="148">
        <f>SUM(data_1!KF98:KF108)</f>
        <v>0</v>
      </c>
      <c r="KG23" s="148">
        <f>SUM(data_1!KG98:KG108)</f>
        <v>0</v>
      </c>
      <c r="KH23" s="148">
        <f>SUM(data_1!KH98:KH108)</f>
        <v>0</v>
      </c>
      <c r="KI23" s="148">
        <f>SUM(data_1!KI98:KI108)</f>
        <v>0</v>
      </c>
      <c r="KJ23" s="148">
        <f>SUM(data_1!KJ98:KJ108)</f>
        <v>0</v>
      </c>
      <c r="KK23" s="148">
        <f>SUM(data_1!KK98:KK108)</f>
        <v>11082536</v>
      </c>
      <c r="KL23" s="148">
        <f>SUM(data_1!KL98:KL108)</f>
        <v>7831700</v>
      </c>
      <c r="KM23" s="148">
        <f>SUM(data_1!KM98:KM108)</f>
        <v>3250836</v>
      </c>
      <c r="KN23" s="148">
        <f>SUM(data_1!KN98:KN108)</f>
        <v>7831700</v>
      </c>
      <c r="KO23" s="148">
        <f>SUM(data_1!KO98:KO108)</f>
        <v>0</v>
      </c>
      <c r="KP23" s="148">
        <f>SUM(data_1!KP98:KP108)</f>
        <v>0</v>
      </c>
      <c r="KQ23" s="148">
        <f>SUM(data_1!KQ98:KQ108)</f>
        <v>11082536</v>
      </c>
      <c r="KR23" s="148">
        <f>SUM(data_1!KR98:KR108)</f>
        <v>7831700</v>
      </c>
      <c r="KS23" s="148">
        <f>SUM(data_1!KS98:KS108)</f>
        <v>0</v>
      </c>
      <c r="KT23" s="148">
        <f>SUM(data_1!KT98:KT108)</f>
        <v>3250836</v>
      </c>
      <c r="KU23" s="148">
        <f>SUM(data_1!KU98:KU108)</f>
        <v>74.465950000000007</v>
      </c>
      <c r="KV23" s="148">
        <f>SUM(data_1!KV98:KV108)</f>
        <v>0</v>
      </c>
      <c r="KW23" s="148">
        <f>SUM(data_1!KW98:KW108)</f>
        <v>0</v>
      </c>
      <c r="KX23" s="148">
        <f>SUM(data_1!KX98:KX108)</f>
        <v>7831700</v>
      </c>
      <c r="KY23" s="148">
        <f>SUM(data_1!KY98:KY108)</f>
        <v>0</v>
      </c>
      <c r="KZ23" s="148">
        <f>SUM(data_1!KZ98:KZ108)</f>
        <v>7831700</v>
      </c>
      <c r="LA23" s="148">
        <f>SUM(data_1!LA98:LA108)</f>
        <v>7831700</v>
      </c>
      <c r="LB23" s="148">
        <f>SUM(data_1!LB98:LB108)</f>
        <v>0</v>
      </c>
      <c r="LC23" s="148">
        <f>SUM(data_1!LC98:LC108)</f>
        <v>0</v>
      </c>
      <c r="LD23" s="148">
        <f>SUM(data_1!LD98:LD108)</f>
        <v>0</v>
      </c>
      <c r="LE23" s="148">
        <f>SUM(data_1!LE98:LE108)</f>
        <v>0</v>
      </c>
      <c r="LF23" s="148">
        <f>SUM(data_1!LF98:LF108)</f>
        <v>0</v>
      </c>
      <c r="LG23" s="148">
        <f>SUM(data_1!LG98:LG108)</f>
        <v>0</v>
      </c>
      <c r="LH23" s="148">
        <f>SUM(data_1!LH98:LH108)</f>
        <v>0</v>
      </c>
      <c r="LI23" s="148">
        <f>SUM(data_1!LI98:LI108)</f>
        <v>0</v>
      </c>
      <c r="LJ23" s="148">
        <f>SUM(data_1!LJ98:LJ108)</f>
        <v>0</v>
      </c>
      <c r="LK23" s="148">
        <f>SUM(data_1!LK98:LK108)</f>
        <v>0</v>
      </c>
      <c r="LL23" s="148">
        <f>SUM(data_1!LL98:LL108)</f>
        <v>0</v>
      </c>
      <c r="LM23" s="148">
        <f>SUM(data_1!LM98:LM108)</f>
        <v>0</v>
      </c>
      <c r="LN23" s="148">
        <f>SUM(data_1!LN98:LN108)</f>
        <v>0</v>
      </c>
      <c r="LO23" s="148">
        <f>SUM(data_1!LO98:LO108)</f>
        <v>0</v>
      </c>
      <c r="LP23" s="148">
        <f>SUM(data_1!LP98:LP108)</f>
        <v>0</v>
      </c>
      <c r="LQ23" s="148">
        <f>SUM(data_1!LQ98:LQ108)</f>
        <v>0</v>
      </c>
      <c r="LR23" s="148">
        <f>SUM(data_1!LR98:LR108)</f>
        <v>0</v>
      </c>
      <c r="LS23" s="148">
        <f>SUM(data_1!LS98:LS108)</f>
        <v>0</v>
      </c>
      <c r="LT23" s="148">
        <f>SUM(data_1!LT98:LT108)</f>
        <v>0</v>
      </c>
      <c r="LU23" s="148">
        <f>SUM(data_1!LU98:LU108)</f>
        <v>147388108.69999999</v>
      </c>
      <c r="LV23" s="148">
        <f>SUM(data_1!LV98:LV108)</f>
        <v>133447400</v>
      </c>
      <c r="LW23" s="148">
        <f>SUM(data_1!LW98:LW108)</f>
        <v>13940708.699999999</v>
      </c>
      <c r="LX23" s="148">
        <f>SUM(data_1!LX98:LX108)</f>
        <v>132713121.09999999</v>
      </c>
      <c r="LY23" s="148">
        <f>SUM(data_1!LY98:LY108)</f>
        <v>0</v>
      </c>
      <c r="LZ23" s="148">
        <f>SUM(data_1!LZ98:LZ108)</f>
        <v>0</v>
      </c>
      <c r="MA23" s="148">
        <f>SUM(data_1!MA98:MA108)</f>
        <v>146591297.39999998</v>
      </c>
      <c r="MB23" s="148">
        <f>SUM(data_1!MB98:MB108)</f>
        <v>132713121.09999999</v>
      </c>
      <c r="MC23" s="148">
        <f>SUM(data_1!MC98:MC108)</f>
        <v>0</v>
      </c>
      <c r="MD23" s="148">
        <f>SUM(data_1!MD98:MD108)</f>
        <v>13878176.300000001</v>
      </c>
      <c r="ME23" s="148">
        <f>SUM(data_1!ME98:ME108)</f>
        <v>30.000070000000001</v>
      </c>
      <c r="MF23" s="148">
        <f>SUM(data_1!MF98:MF108)</f>
        <v>0</v>
      </c>
      <c r="MG23" s="148">
        <f>SUM(data_1!MG98:MG108)</f>
        <v>0</v>
      </c>
      <c r="MH23" s="148">
        <f>SUM(data_1!MH98:MH108)</f>
        <v>132713121.09999999</v>
      </c>
      <c r="MI23" s="148">
        <f>SUM(data_1!MI98:MI108)</f>
        <v>0</v>
      </c>
      <c r="MJ23" s="148">
        <f>SUM(data_1!MJ98:MJ108)</f>
        <v>133447400</v>
      </c>
      <c r="MK23" s="148">
        <f>SUM(data_1!MK98:MK108)</f>
        <v>133447400</v>
      </c>
      <c r="ML23" s="148">
        <f>SUM(data_1!ML98:ML108)</f>
        <v>0</v>
      </c>
      <c r="MM23" s="148">
        <f>SUM(data_1!MM98:MM108)</f>
        <v>0</v>
      </c>
      <c r="MN23" s="148">
        <f>SUM(data_1!MN98:MN108)</f>
        <v>0</v>
      </c>
      <c r="MO23" s="148">
        <f>SUM(data_1!MO98:MO108)</f>
        <v>0</v>
      </c>
      <c r="MP23" s="148">
        <f>SUM(data_1!MP98:MP108)</f>
        <v>0</v>
      </c>
      <c r="MQ23" s="148">
        <f>SUM(data_1!MQ98:MQ108)</f>
        <v>0</v>
      </c>
      <c r="MR23" s="148">
        <f>SUM(data_1!MR98:MR108)</f>
        <v>0</v>
      </c>
      <c r="MS23" s="148">
        <f>SUM(data_1!MS98:MS108)</f>
        <v>0</v>
      </c>
      <c r="MT23" s="148">
        <f>SUM(data_1!MT98:MT108)</f>
        <v>0</v>
      </c>
      <c r="MU23" s="148">
        <f>SUM(data_1!MU98:MU108)</f>
        <v>0</v>
      </c>
      <c r="MV23" s="148">
        <f>SUM(data_1!MV98:MV108)</f>
        <v>0</v>
      </c>
      <c r="MW23" s="148">
        <f>SUM(data_1!MW98:MW108)</f>
        <v>0</v>
      </c>
      <c r="MX23" s="148">
        <f>SUM(data_1!MX98:MX108)</f>
        <v>0</v>
      </c>
      <c r="MY23" s="148">
        <f>SUM(data_1!MY98:MY108)</f>
        <v>0</v>
      </c>
      <c r="MZ23" s="148">
        <f>SUM(data_1!MZ98:MZ108)</f>
        <v>0</v>
      </c>
      <c r="NA23" s="148">
        <f>SUM(data_1!NA98:NA108)</f>
        <v>0</v>
      </c>
      <c r="NB23" s="148">
        <f>SUM(data_1!NB98:NB108)</f>
        <v>0</v>
      </c>
      <c r="NC23" s="148">
        <f>SUM(data_1!NC98:NC108)</f>
        <v>0</v>
      </c>
      <c r="ND23" s="148">
        <f>SUM(data_1!ND98:ND108)</f>
        <v>0</v>
      </c>
      <c r="NE23" s="148">
        <f>SUM(data_1!NE98:NE108)</f>
        <v>14255001.370000001</v>
      </c>
      <c r="NF23" s="148">
        <f>SUM(data_1!NF98:NF108)</f>
        <v>6153000</v>
      </c>
      <c r="NG23" s="148">
        <f>SUM(data_1!NG98:NG108)</f>
        <v>8102001.3700000001</v>
      </c>
      <c r="NH23" s="148">
        <f>SUM(data_1!NH98:NH108)</f>
        <v>6007515.5800000001</v>
      </c>
      <c r="NI23" s="148">
        <f>SUM(data_1!NI98:NI108)</f>
        <v>0</v>
      </c>
      <c r="NJ23" s="148">
        <f>SUM(data_1!NJ98:NJ108)</f>
        <v>0</v>
      </c>
      <c r="NK23" s="148">
        <f>SUM(data_1!NK98:NK108)</f>
        <v>13603056.370000001</v>
      </c>
      <c r="NL23" s="148">
        <f>SUM(data_1!NL98:NL108)</f>
        <v>6007515.5800000001</v>
      </c>
      <c r="NM23" s="148">
        <f>SUM(data_1!NM98:NM108)</f>
        <v>0</v>
      </c>
      <c r="NN23" s="148">
        <f>SUM(data_1!NN98:NN108)</f>
        <v>7595540.79</v>
      </c>
      <c r="NO23" s="148">
        <f>SUM(data_1!NO98:NO108)</f>
        <v>169.96388000000002</v>
      </c>
      <c r="NP23" s="148">
        <f>SUM(data_1!NP98:NP108)</f>
        <v>0</v>
      </c>
      <c r="NQ23" s="148">
        <f>SUM(data_1!NQ98:NQ108)</f>
        <v>0</v>
      </c>
      <c r="NR23" s="148">
        <f>SUM(data_1!NR98:NR108)</f>
        <v>6007515.5800000001</v>
      </c>
      <c r="NS23" s="148">
        <f>SUM(data_1!NS98:NS108)</f>
        <v>0</v>
      </c>
      <c r="NT23" s="148">
        <f>SUM(data_1!NT98:NT108)</f>
        <v>6153000</v>
      </c>
      <c r="NU23" s="148">
        <f>SUM(data_1!NU98:NU108)</f>
        <v>6153000</v>
      </c>
      <c r="NV23" s="148">
        <f>SUM(data_1!NV98:NV108)</f>
        <v>0</v>
      </c>
      <c r="NW23" s="148">
        <f>SUM(data_1!NW98:NW108)</f>
        <v>0</v>
      </c>
      <c r="NX23" s="148">
        <f>SUM(data_1!NX98:NX108)</f>
        <v>0</v>
      </c>
      <c r="NY23" s="148">
        <f>SUM(data_1!NY98:NY108)</f>
        <v>0</v>
      </c>
      <c r="NZ23" s="148">
        <f>SUM(data_1!NZ98:NZ108)</f>
        <v>0</v>
      </c>
      <c r="OA23" s="148">
        <f>SUM(data_1!OA98:OA108)</f>
        <v>0</v>
      </c>
      <c r="OB23" s="148">
        <f>SUM(data_1!OB98:OB108)</f>
        <v>0</v>
      </c>
      <c r="OC23" s="148">
        <f>SUM(data_1!OC98:OC108)</f>
        <v>0</v>
      </c>
      <c r="OD23" s="148">
        <f>SUM(data_1!OD98:OD108)</f>
        <v>0</v>
      </c>
      <c r="OE23" s="148">
        <f>SUM(data_1!OE98:OE108)</f>
        <v>0</v>
      </c>
      <c r="OF23" s="148">
        <f>SUM(data_1!OF98:OF108)</f>
        <v>0</v>
      </c>
      <c r="OG23" s="148">
        <f>SUM(data_1!OG98:OG108)</f>
        <v>0</v>
      </c>
      <c r="OH23" s="148">
        <f>SUM(data_1!OH98:OH108)</f>
        <v>0</v>
      </c>
      <c r="OI23" s="148">
        <f>SUM(data_1!OI98:OI108)</f>
        <v>0</v>
      </c>
      <c r="OJ23" s="148">
        <f>SUM(data_1!OJ98:OJ108)</f>
        <v>0</v>
      </c>
      <c r="OK23" s="148">
        <f>SUM(data_1!OK98:OK108)</f>
        <v>0</v>
      </c>
      <c r="OL23" s="148">
        <f>SUM(data_1!OL98:OL108)</f>
        <v>0</v>
      </c>
      <c r="OM23" s="148">
        <f>SUM(data_1!OM98:OM108)</f>
        <v>0</v>
      </c>
      <c r="ON23" s="148">
        <f>SUM(data_1!ON98:ON108)</f>
        <v>0</v>
      </c>
      <c r="OO23" s="148">
        <f>SUM(data_1!OO98:OO108)</f>
        <v>0</v>
      </c>
      <c r="OP23" s="148">
        <f>SUM(data_1!OP98:OP108)</f>
        <v>0</v>
      </c>
      <c r="OQ23" s="148">
        <f>SUM(data_1!OQ98:OQ108)</f>
        <v>0</v>
      </c>
      <c r="OR23" s="148">
        <f>SUM(data_1!OR98:OR108)</f>
        <v>0</v>
      </c>
      <c r="OS23" s="148">
        <f>SUM(data_1!OS98:OS108)</f>
        <v>1867113.4899999998</v>
      </c>
      <c r="OT23" s="148">
        <f>SUM(data_1!OT98:OT108)</f>
        <v>0</v>
      </c>
      <c r="OU23" s="148">
        <f>SUM(data_1!OU98:OU108)</f>
        <v>0</v>
      </c>
      <c r="OV23" s="148">
        <f>SUM(data_1!OV98:OV108)</f>
        <v>0</v>
      </c>
      <c r="OW23" s="148">
        <f>SUM(data_1!OW98:OW108)</f>
        <v>0</v>
      </c>
      <c r="OX23" s="148">
        <f>SUM(data_1!OX98:OX108)</f>
        <v>0</v>
      </c>
      <c r="OY23" s="148">
        <f>SUM(data_1!OY98:OY108)</f>
        <v>0</v>
      </c>
      <c r="OZ23" s="148">
        <f>SUM(data_1!OZ98:OZ108)</f>
        <v>1867113.4899999998</v>
      </c>
      <c r="PA23" s="148">
        <f>SUM(data_1!PA98:PA108)</f>
        <v>0</v>
      </c>
      <c r="PB23" s="148">
        <f>SUM(data_1!PB98:PB108)</f>
        <v>0</v>
      </c>
      <c r="PC23" s="148">
        <f>SUM(data_1!PC98:PC108)</f>
        <v>0</v>
      </c>
      <c r="PD23" s="148">
        <f>SUM(data_1!PD98:PD108)</f>
        <v>0</v>
      </c>
      <c r="PE23" s="148">
        <f>SUM(data_1!PE98:PE108)</f>
        <v>0</v>
      </c>
      <c r="PF23" s="148">
        <f>SUM(data_1!PF98:PF108)</f>
        <v>0</v>
      </c>
      <c r="PG23" s="148">
        <f>SUM(data_1!PG98:PG108)</f>
        <v>0</v>
      </c>
      <c r="PH23" s="148">
        <f>SUM(data_1!PH98:PH108)</f>
        <v>0</v>
      </c>
      <c r="PI23" s="148">
        <f>SUM(data_1!PI98:PI108)</f>
        <v>0</v>
      </c>
      <c r="PJ23" s="148">
        <f>SUM(data_1!PJ98:PJ108)</f>
        <v>0</v>
      </c>
      <c r="PK23" s="148">
        <f>SUM(data_1!PK98:PK108)</f>
        <v>2444.9699999999998</v>
      </c>
      <c r="PL23" s="148">
        <f>SUM(data_1!PL98:PL108)</f>
        <v>0</v>
      </c>
      <c r="PM23" s="148">
        <f>SUM(data_1!PM98:PM108)</f>
        <v>0</v>
      </c>
      <c r="PN23" s="148">
        <f>SUM(data_1!PN98:PN108)</f>
        <v>0</v>
      </c>
      <c r="PO23" s="148">
        <f>SUM(data_1!PO98:PO108)</f>
        <v>0</v>
      </c>
      <c r="PP23" s="148">
        <f>SUM(data_1!PP98:PP108)</f>
        <v>0</v>
      </c>
      <c r="PQ23" s="148">
        <f>SUM(data_1!PQ98:PQ108)</f>
        <v>0</v>
      </c>
      <c r="PR23" s="148">
        <f>SUM(data_1!PR98:PR108)</f>
        <v>2444.9699999999998</v>
      </c>
      <c r="PS23" s="148">
        <f>SUM(data_1!PS98:PS108)</f>
        <v>0</v>
      </c>
      <c r="PT23" s="148">
        <f>SUM(data_1!PT98:PT108)</f>
        <v>0</v>
      </c>
      <c r="PU23" s="148">
        <f>SUM(data_1!PU98:PU108)</f>
        <v>0</v>
      </c>
      <c r="PV23" s="148">
        <f>SUM(data_1!PV98:PV108)</f>
        <v>0</v>
      </c>
      <c r="PW23" s="148">
        <f>SUM(data_1!PW98:PW108)</f>
        <v>0</v>
      </c>
      <c r="PX23" s="148">
        <f>SUM(data_1!PX98:PX108)</f>
        <v>0</v>
      </c>
      <c r="PY23" s="148">
        <f>SUM(data_1!PY98:PY108)</f>
        <v>0</v>
      </c>
      <c r="PZ23" s="148">
        <f>SUM(data_1!PZ98:PZ108)</f>
        <v>0</v>
      </c>
      <c r="QA23" s="148">
        <f>SUM(data_1!QA98:QA108)</f>
        <v>0</v>
      </c>
      <c r="QB23" s="148">
        <f>SUM(data_1!QB98:QB108)</f>
        <v>0</v>
      </c>
      <c r="QC23" s="148">
        <f>SUM(data_1!QC98:QC108)</f>
        <v>0</v>
      </c>
      <c r="QD23" s="148">
        <f>SUM(data_1!QD98:QD108)</f>
        <v>0</v>
      </c>
      <c r="QE23" s="148">
        <f>SUM(data_1!QE98:QE108)</f>
        <v>0</v>
      </c>
      <c r="QF23" s="148">
        <f>SUM(data_1!QF98:QF108)</f>
        <v>0</v>
      </c>
      <c r="QG23" s="148">
        <f>SUM(data_1!QG98:QG108)</f>
        <v>0</v>
      </c>
      <c r="QH23" s="148">
        <f>SUM(data_1!QH98:QH108)</f>
        <v>0</v>
      </c>
      <c r="QI23" s="148">
        <f>SUM(data_1!QI98:QI108)</f>
        <v>0</v>
      </c>
      <c r="QJ23" s="148">
        <f>SUM(data_1!QJ98:QJ108)</f>
        <v>0</v>
      </c>
      <c r="QK23" s="148">
        <f>SUM(data_1!QK98:QK108)</f>
        <v>0</v>
      </c>
      <c r="QL23" s="148">
        <f>SUM(data_1!QL98:QL108)</f>
        <v>0</v>
      </c>
      <c r="QM23" s="148">
        <f>SUM(data_1!QM98:QM108)</f>
        <v>0</v>
      </c>
      <c r="QN23" s="148">
        <f>SUM(data_1!QN98:QN108)</f>
        <v>0</v>
      </c>
      <c r="QO23" s="148">
        <f>SUM(data_1!QO98:QO108)</f>
        <v>0</v>
      </c>
      <c r="QP23" s="148">
        <f>SUM(data_1!QP98:QP108)</f>
        <v>0</v>
      </c>
      <c r="QQ23" s="148">
        <f>SUM(data_1!QQ98:QQ108)</f>
        <v>0</v>
      </c>
      <c r="QR23" s="148">
        <f>SUM(data_1!QR98:QR108)</f>
        <v>0</v>
      </c>
      <c r="QS23" s="148">
        <f>SUM(data_1!QS98:QS108)</f>
        <v>0</v>
      </c>
      <c r="QT23" s="148">
        <f>SUM(data_1!QT98:QT108)</f>
        <v>0</v>
      </c>
      <c r="QU23" s="148">
        <f>SUM(data_1!QU98:QU108)</f>
        <v>0</v>
      </c>
      <c r="QV23" s="148">
        <f>SUM(data_1!QV98:QV108)</f>
        <v>0</v>
      </c>
      <c r="QW23" s="148">
        <f>SUM(data_1!QW98:QW108)</f>
        <v>0</v>
      </c>
      <c r="QX23" s="148">
        <f>SUM(data_1!QX98:QX108)</f>
        <v>0</v>
      </c>
      <c r="QY23" s="148">
        <f>SUM(data_1!QY98:QY108)</f>
        <v>0</v>
      </c>
      <c r="QZ23" s="148">
        <f>SUM(data_1!QZ98:QZ108)</f>
        <v>0</v>
      </c>
      <c r="RA23" s="148">
        <f>SUM(data_1!RA98:RA108)</f>
        <v>0</v>
      </c>
      <c r="RB23" s="148">
        <f>SUM(data_1!RB98:RB108)</f>
        <v>0</v>
      </c>
      <c r="RC23" s="148">
        <f>SUM(data_1!RC98:RC108)</f>
        <v>0</v>
      </c>
      <c r="RD23" s="148">
        <f>SUM(data_1!RD98:RD108)</f>
        <v>0</v>
      </c>
      <c r="RE23" s="148">
        <f>SUM(data_1!RE98:RE108)</f>
        <v>0</v>
      </c>
      <c r="RF23" s="148">
        <f>SUM(data_1!RF98:RF108)</f>
        <v>0</v>
      </c>
      <c r="RG23" s="148">
        <f>SUM(data_1!RG98:RG108)</f>
        <v>0</v>
      </c>
      <c r="RH23" s="148">
        <f>SUM(data_1!RH98:RH108)</f>
        <v>0</v>
      </c>
      <c r="RI23" s="148">
        <f>SUM(data_1!RI98:RI108)</f>
        <v>0</v>
      </c>
      <c r="RJ23" s="148">
        <f>SUM(data_1!RJ98:RJ108)</f>
        <v>0</v>
      </c>
      <c r="RK23" s="148">
        <f>SUM(data_1!RK98:RK108)</f>
        <v>0</v>
      </c>
      <c r="RL23" s="148">
        <f>SUM(data_1!RL98:RL108)</f>
        <v>0</v>
      </c>
      <c r="RM23" s="148">
        <f>SUM(data_1!RM98:RM108)</f>
        <v>3212467.55</v>
      </c>
      <c r="RN23" s="148">
        <f>SUM(data_1!RN98:RN108)</f>
        <v>0</v>
      </c>
      <c r="RO23" s="148">
        <f>SUM(data_1!RO98:RO108)</f>
        <v>0</v>
      </c>
      <c r="RP23" s="148">
        <f>SUM(data_1!RP98:RP108)</f>
        <v>0</v>
      </c>
      <c r="RQ23" s="148">
        <f>SUM(data_1!RQ98:RQ108)</f>
        <v>0</v>
      </c>
      <c r="RR23" s="148">
        <f>SUM(data_1!RR98:RR108)</f>
        <v>0</v>
      </c>
      <c r="RS23" s="148">
        <f>SUM(data_1!RS98:RS108)</f>
        <v>0</v>
      </c>
      <c r="RT23" s="148">
        <f>SUM(data_1!RT98:RT108)</f>
        <v>3212467.55</v>
      </c>
      <c r="RU23" s="148">
        <f>SUM(data_1!RU98:RU108)</f>
        <v>0</v>
      </c>
      <c r="RV23" s="148">
        <f>SUM(data_1!RV98:RV108)</f>
        <v>0</v>
      </c>
      <c r="RW23" s="148">
        <f>SUM(data_1!RW98:RW108)</f>
        <v>0</v>
      </c>
      <c r="RX23" s="148">
        <f>SUM(data_1!RX98:RX108)</f>
        <v>0</v>
      </c>
      <c r="RY23" s="148">
        <f>SUM(data_1!RY98:RY108)</f>
        <v>0</v>
      </c>
      <c r="RZ23" s="148">
        <f>SUM(data_1!RZ98:RZ108)</f>
        <v>0</v>
      </c>
      <c r="SA23" s="148">
        <f>SUM(data_1!SA98:SA108)</f>
        <v>0</v>
      </c>
      <c r="SB23" s="148">
        <f>SUM(data_1!SB98:SB108)</f>
        <v>0</v>
      </c>
      <c r="SC23" s="148">
        <f>SUM(data_1!SC98:SC108)</f>
        <v>0</v>
      </c>
      <c r="SD23" s="148">
        <f>SUM(data_1!SD98:SD108)</f>
        <v>0</v>
      </c>
      <c r="SE23" s="148">
        <f>SUM(data_1!SE98:SE108)</f>
        <v>0</v>
      </c>
      <c r="SF23" s="148">
        <f>SUM(data_1!SF98:SF108)</f>
        <v>0</v>
      </c>
      <c r="SG23" s="148">
        <f>SUM(data_1!SG98:SG108)</f>
        <v>0</v>
      </c>
      <c r="SH23" s="148">
        <f>SUM(data_1!SH98:SH108)</f>
        <v>0</v>
      </c>
      <c r="SI23" s="148">
        <f>SUM(data_1!SI98:SI108)</f>
        <v>0</v>
      </c>
      <c r="SJ23" s="148">
        <f>SUM(data_1!SJ98:SJ108)</f>
        <v>0</v>
      </c>
      <c r="SK23" s="148">
        <f>SUM(data_1!SK98:SK108)</f>
        <v>0</v>
      </c>
      <c r="SL23" s="148">
        <f>SUM(data_1!SL98:SL108)</f>
        <v>0</v>
      </c>
      <c r="SM23" s="148">
        <f>SUM(data_1!SM98:SM108)</f>
        <v>0</v>
      </c>
      <c r="SN23" s="148">
        <f>SUM(data_1!SN98:SN108)</f>
        <v>0</v>
      </c>
      <c r="SO23" s="148">
        <f>SUM(data_1!SO98:SO108)</f>
        <v>0</v>
      </c>
      <c r="SP23" s="148">
        <f>SUM(data_1!SP98:SP108)</f>
        <v>0</v>
      </c>
      <c r="SQ23" s="148">
        <f>SUM(data_1!SQ98:SQ108)</f>
        <v>0</v>
      </c>
      <c r="SR23" s="148">
        <f>SUM(data_1!SR98:SR108)</f>
        <v>0</v>
      </c>
      <c r="SS23" s="148">
        <f>SUM(data_1!SS98:SS108)</f>
        <v>820909700</v>
      </c>
      <c r="ST23" s="148">
        <f>SUM(data_1!ST98:ST108)</f>
        <v>820909700</v>
      </c>
      <c r="SU23" s="148">
        <f>SUM(data_1!SU98:SU108)</f>
        <v>0</v>
      </c>
      <c r="SV23" s="148">
        <f>SUM(data_1!SV98:SV108)</f>
        <v>820909700</v>
      </c>
      <c r="SW23" s="148">
        <f>SUM(data_1!SW98:SW108)</f>
        <v>0</v>
      </c>
      <c r="SX23" s="148">
        <f>SUM(data_1!SX98:SX108)</f>
        <v>0</v>
      </c>
      <c r="SY23" s="148">
        <f>SUM(data_1!SY98:SY108)</f>
        <v>804062945.33000004</v>
      </c>
      <c r="SZ23" s="148">
        <f>SUM(data_1!SZ98:SZ108)</f>
        <v>804062945.33000004</v>
      </c>
      <c r="TA23" s="148">
        <f>SUM(data_1!TA98:TA108)</f>
        <v>0</v>
      </c>
      <c r="TB23" s="148">
        <f>SUM(data_1!TB98:TB108)</f>
        <v>0</v>
      </c>
      <c r="TC23" s="148">
        <f>SUM(data_1!TC98:TC108)</f>
        <v>0</v>
      </c>
      <c r="TD23" s="148">
        <f>SUM(data_1!TD98:TD108)</f>
        <v>0</v>
      </c>
      <c r="TE23" s="148">
        <f>SUM(data_1!TE98:TE108)</f>
        <v>16846754.670000002</v>
      </c>
      <c r="TF23" s="148">
        <f>SUM(data_1!TF98:TF108)</f>
        <v>820909700</v>
      </c>
      <c r="TG23" s="148">
        <f>SUM(data_1!TG98:TG108)</f>
        <v>0</v>
      </c>
      <c r="TH23" s="148">
        <f>SUM(data_1!TH98:TH108)</f>
        <v>820909700</v>
      </c>
      <c r="TI23" s="148">
        <f>SUM(data_1!TI98:TI108)</f>
        <v>820909700</v>
      </c>
      <c r="TJ23" s="148">
        <f>SUM(data_1!TJ98:TJ108)</f>
        <v>0</v>
      </c>
      <c r="TK23" s="148">
        <f>SUM(data_1!TK98:TK108)</f>
        <v>4978221400</v>
      </c>
      <c r="TL23" s="148">
        <f>SUM(data_1!TL98:TL108)</f>
        <v>4978221400</v>
      </c>
      <c r="TM23" s="148">
        <f>SUM(data_1!TM98:TM108)</f>
        <v>0</v>
      </c>
      <c r="TN23" s="148">
        <f>SUM(data_1!TN98:TN108)</f>
        <v>4635086523.75</v>
      </c>
      <c r="TO23" s="148">
        <f>SUM(data_1!TO98:TO108)</f>
        <v>0</v>
      </c>
      <c r="TP23" s="148">
        <f>SUM(data_1!TP98:TP108)</f>
        <v>0</v>
      </c>
      <c r="TQ23" s="148">
        <f>SUM(data_1!TQ98:TQ108)</f>
        <v>4635077994.3799992</v>
      </c>
      <c r="TR23" s="148">
        <f>SUM(data_1!TR98:TR108)</f>
        <v>4635077994.3799992</v>
      </c>
      <c r="TS23" s="148">
        <f>SUM(data_1!TS98:TS108)</f>
        <v>0</v>
      </c>
      <c r="TT23" s="148">
        <f>SUM(data_1!TT98:TT108)</f>
        <v>0</v>
      </c>
      <c r="TU23" s="148">
        <f>SUM(data_1!TU98:TU108)</f>
        <v>0</v>
      </c>
      <c r="TV23" s="148">
        <f>SUM(data_1!TV98:TV108)</f>
        <v>0</v>
      </c>
      <c r="TW23" s="148">
        <f>SUM(data_1!TW98:TW108)</f>
        <v>8529.3700000000008</v>
      </c>
      <c r="TX23" s="148">
        <f>SUM(data_1!TX98:TX108)</f>
        <v>4635086523.75</v>
      </c>
      <c r="TY23" s="148">
        <f>SUM(data_1!TY98:TY108)</f>
        <v>0</v>
      </c>
      <c r="TZ23" s="148">
        <f>SUM(data_1!TZ98:TZ108)</f>
        <v>4978221400</v>
      </c>
      <c r="UA23" s="148">
        <f>SUM(data_1!UA98:UA108)</f>
        <v>4978221400</v>
      </c>
      <c r="UB23" s="148">
        <f>SUM(data_1!UB98:UB108)</f>
        <v>0</v>
      </c>
      <c r="UC23" s="148">
        <f>SUM(data_1!UC98:UC108)</f>
        <v>99654500</v>
      </c>
      <c r="UD23" s="148">
        <f>SUM(data_1!UD98:UD108)</f>
        <v>99654500</v>
      </c>
      <c r="UE23" s="148">
        <f>SUM(data_1!UE98:UE108)</f>
        <v>0</v>
      </c>
      <c r="UF23" s="148">
        <f>SUM(data_1!UF98:UF108)</f>
        <v>99654410</v>
      </c>
      <c r="UG23" s="148">
        <f>SUM(data_1!UG98:UG108)</f>
        <v>0</v>
      </c>
      <c r="UH23" s="148">
        <f>SUM(data_1!UH98:UH108)</f>
        <v>0</v>
      </c>
      <c r="UI23" s="148">
        <f>SUM(data_1!UI98:UI108)</f>
        <v>99654410</v>
      </c>
      <c r="UJ23" s="148">
        <f>SUM(data_1!UJ98:UJ108)</f>
        <v>99654410</v>
      </c>
      <c r="UK23" s="148">
        <f>SUM(data_1!UK98:UK108)</f>
        <v>0</v>
      </c>
      <c r="UL23" s="148">
        <f>SUM(data_1!UL98:UL108)</f>
        <v>0</v>
      </c>
      <c r="UM23" s="148">
        <f>SUM(data_1!UM98:UM108)</f>
        <v>0</v>
      </c>
      <c r="UN23" s="148">
        <f>SUM(data_1!UN98:UN108)</f>
        <v>0</v>
      </c>
      <c r="UO23" s="148">
        <f>SUM(data_1!UO98:UO108)</f>
        <v>0</v>
      </c>
      <c r="UP23" s="148">
        <f>SUM(data_1!UP98:UP108)</f>
        <v>99654410</v>
      </c>
      <c r="UQ23" s="148">
        <f>SUM(data_1!UQ98:UQ108)</f>
        <v>0</v>
      </c>
      <c r="UR23" s="148">
        <f>SUM(data_1!UR98:UR108)</f>
        <v>99654500</v>
      </c>
      <c r="US23" s="148">
        <f>SUM(data_1!US98:US108)</f>
        <v>99654500</v>
      </c>
    </row>
  </sheetData>
  <mergeCells count="593">
    <mergeCell ref="TS7:TS12"/>
    <mergeCell ref="TT7:TT12"/>
    <mergeCell ref="TU7:TU12"/>
    <mergeCell ref="TV7:TV12"/>
    <mergeCell ref="TW7:TW12"/>
    <mergeCell ref="TX7:TX12"/>
    <mergeCell ref="TY7:TY12"/>
    <mergeCell ref="TZ7:TZ12"/>
    <mergeCell ref="UA7:UA12"/>
    <mergeCell ref="TJ7:TJ12"/>
    <mergeCell ref="TK7:TK12"/>
    <mergeCell ref="TL7:TL12"/>
    <mergeCell ref="TM7:TM12"/>
    <mergeCell ref="TN7:TN12"/>
    <mergeCell ref="TO7:TO12"/>
    <mergeCell ref="TP7:TP12"/>
    <mergeCell ref="TQ7:TQ12"/>
    <mergeCell ref="TR7:TR12"/>
    <mergeCell ref="TA7:TA12"/>
    <mergeCell ref="TB7:TB12"/>
    <mergeCell ref="TC7:TC12"/>
    <mergeCell ref="TD7:TD12"/>
    <mergeCell ref="TE7:TE12"/>
    <mergeCell ref="TF7:TF12"/>
    <mergeCell ref="TG7:TG12"/>
    <mergeCell ref="TH7:TH12"/>
    <mergeCell ref="TI7:TI12"/>
    <mergeCell ref="SR7:SR12"/>
    <mergeCell ref="SS7:SS12"/>
    <mergeCell ref="ST7:ST12"/>
    <mergeCell ref="SU7:SU12"/>
    <mergeCell ref="SV7:SV12"/>
    <mergeCell ref="SW7:SW12"/>
    <mergeCell ref="SX7:SX12"/>
    <mergeCell ref="SY7:SY12"/>
    <mergeCell ref="SZ7:SZ12"/>
    <mergeCell ref="SI7:SI12"/>
    <mergeCell ref="SJ7:SJ12"/>
    <mergeCell ref="SK7:SK12"/>
    <mergeCell ref="SL7:SL12"/>
    <mergeCell ref="SM7:SM12"/>
    <mergeCell ref="SN7:SN12"/>
    <mergeCell ref="SO7:SO12"/>
    <mergeCell ref="SP7:SP12"/>
    <mergeCell ref="SQ7:SQ12"/>
    <mergeCell ref="RZ7:RZ12"/>
    <mergeCell ref="SA7:SA12"/>
    <mergeCell ref="SB7:SB12"/>
    <mergeCell ref="SC7:SC12"/>
    <mergeCell ref="SD7:SD12"/>
    <mergeCell ref="SE7:SE12"/>
    <mergeCell ref="SF7:SF12"/>
    <mergeCell ref="SG7:SG12"/>
    <mergeCell ref="SH7:SH12"/>
    <mergeCell ref="RQ7:RQ12"/>
    <mergeCell ref="RR7:RR12"/>
    <mergeCell ref="RS7:RS12"/>
    <mergeCell ref="RT7:RT12"/>
    <mergeCell ref="RU7:RU12"/>
    <mergeCell ref="RV7:RV12"/>
    <mergeCell ref="RW7:RW12"/>
    <mergeCell ref="RX7:RX12"/>
    <mergeCell ref="RY7:RY12"/>
    <mergeCell ref="RH7:RH12"/>
    <mergeCell ref="RI7:RI12"/>
    <mergeCell ref="RJ7:RJ12"/>
    <mergeCell ref="RK7:RK12"/>
    <mergeCell ref="RL7:RL12"/>
    <mergeCell ref="RM7:RM12"/>
    <mergeCell ref="RN7:RN12"/>
    <mergeCell ref="RO7:RO12"/>
    <mergeCell ref="RP7:RP12"/>
    <mergeCell ref="QY7:QY12"/>
    <mergeCell ref="QZ7:QZ12"/>
    <mergeCell ref="RA7:RA12"/>
    <mergeCell ref="RB7:RB12"/>
    <mergeCell ref="RC7:RC12"/>
    <mergeCell ref="RD7:RD12"/>
    <mergeCell ref="RE7:RE12"/>
    <mergeCell ref="RF7:RF12"/>
    <mergeCell ref="RG7:RG12"/>
    <mergeCell ref="QP7:QP12"/>
    <mergeCell ref="QQ7:QQ12"/>
    <mergeCell ref="QR7:QR12"/>
    <mergeCell ref="QS7:QS12"/>
    <mergeCell ref="QT7:QT12"/>
    <mergeCell ref="QU7:QU12"/>
    <mergeCell ref="QV7:QV12"/>
    <mergeCell ref="QW7:QW12"/>
    <mergeCell ref="QX7:QX12"/>
    <mergeCell ref="PX6:QO6"/>
    <mergeCell ref="QP6:RG6"/>
    <mergeCell ref="RH6:RY6"/>
    <mergeCell ref="RZ6:SQ6"/>
    <mergeCell ref="SR6:TI6"/>
    <mergeCell ref="TJ6:UA6"/>
    <mergeCell ref="PX7:PX12"/>
    <mergeCell ref="PY7:PY12"/>
    <mergeCell ref="PZ7:PZ12"/>
    <mergeCell ref="QA7:QA12"/>
    <mergeCell ref="QB7:QB12"/>
    <mergeCell ref="QC7:QC12"/>
    <mergeCell ref="QD7:QD12"/>
    <mergeCell ref="QE7:QE12"/>
    <mergeCell ref="QF7:QF12"/>
    <mergeCell ref="QG7:QG12"/>
    <mergeCell ref="QH7:QH12"/>
    <mergeCell ref="QI7:QI12"/>
    <mergeCell ref="QJ7:QJ12"/>
    <mergeCell ref="QK7:QK12"/>
    <mergeCell ref="QL7:QL12"/>
    <mergeCell ref="QM7:QM12"/>
    <mergeCell ref="QN7:QN12"/>
    <mergeCell ref="QO7:QO12"/>
    <mergeCell ref="BJ6:CA6"/>
    <mergeCell ref="CT6:DK6"/>
    <mergeCell ref="AR6:BI6"/>
    <mergeCell ref="V7:V12"/>
    <mergeCell ref="H7:H12"/>
    <mergeCell ref="I7:I12"/>
    <mergeCell ref="J7:J12"/>
    <mergeCell ref="K7:K12"/>
    <mergeCell ref="B6:B12"/>
    <mergeCell ref="C6:C12"/>
    <mergeCell ref="H6:Y6"/>
    <mergeCell ref="N7:N12"/>
    <mergeCell ref="O7:O12"/>
    <mergeCell ref="P7:P12"/>
    <mergeCell ref="Q7:Q12"/>
    <mergeCell ref="R7:R12"/>
    <mergeCell ref="S7:S12"/>
    <mergeCell ref="T7:T12"/>
    <mergeCell ref="U7:U12"/>
    <mergeCell ref="F7:F12"/>
    <mergeCell ref="G7:G12"/>
    <mergeCell ref="L7:L12"/>
    <mergeCell ref="M7:M12"/>
    <mergeCell ref="W7:W12"/>
    <mergeCell ref="DL6:EC6"/>
    <mergeCell ref="GF6:GW6"/>
    <mergeCell ref="GX6:HO6"/>
    <mergeCell ref="HP6:IG6"/>
    <mergeCell ref="IH6:IY6"/>
    <mergeCell ref="IZ6:JQ6"/>
    <mergeCell ref="ED6:EU6"/>
    <mergeCell ref="ES7:ES12"/>
    <mergeCell ref="ET7:ET12"/>
    <mergeCell ref="EU7:EU12"/>
    <mergeCell ref="DM7:DM12"/>
    <mergeCell ref="DN7:DN12"/>
    <mergeCell ref="DO7:DO12"/>
    <mergeCell ref="DP7:DP12"/>
    <mergeCell ref="DQ7:DQ12"/>
    <mergeCell ref="DX7:DX12"/>
    <mergeCell ref="DY7:DY12"/>
    <mergeCell ref="DZ7:DZ12"/>
    <mergeCell ref="EA7:EA12"/>
    <mergeCell ref="EB7:EB12"/>
    <mergeCell ref="EC7:EC12"/>
    <mergeCell ref="GF7:GF12"/>
    <mergeCell ref="GG7:GG12"/>
    <mergeCell ref="GH7:GH12"/>
    <mergeCell ref="X7:X12"/>
    <mergeCell ref="Y7:Y12"/>
    <mergeCell ref="BD7:BD12"/>
    <mergeCell ref="BE7:BE12"/>
    <mergeCell ref="BF7:BF12"/>
    <mergeCell ref="BP7:BP12"/>
    <mergeCell ref="AR7:AR12"/>
    <mergeCell ref="AS7:AS12"/>
    <mergeCell ref="AT7:AT12"/>
    <mergeCell ref="AU7:AU12"/>
    <mergeCell ref="AV7:AV12"/>
    <mergeCell ref="AW7:AW12"/>
    <mergeCell ref="BG7:BG12"/>
    <mergeCell ref="BJ7:BJ12"/>
    <mergeCell ref="BK7:BK12"/>
    <mergeCell ref="BL7:BL12"/>
    <mergeCell ref="BM7:BM12"/>
    <mergeCell ref="BN7:BN12"/>
    <mergeCell ref="BO7:BO12"/>
    <mergeCell ref="BH7:BH12"/>
    <mergeCell ref="BI7:BI12"/>
    <mergeCell ref="AX7:AX12"/>
    <mergeCell ref="AY7:AY12"/>
    <mergeCell ref="AZ7:AZ12"/>
    <mergeCell ref="ON6:PE6"/>
    <mergeCell ref="PF6:PW6"/>
    <mergeCell ref="CV7:CV12"/>
    <mergeCell ref="CW7:CW12"/>
    <mergeCell ref="CX7:CX12"/>
    <mergeCell ref="CY7:CY12"/>
    <mergeCell ref="CZ7:CZ12"/>
    <mergeCell ref="DA7:DA12"/>
    <mergeCell ref="DB7:DB12"/>
    <mergeCell ref="DC7:DC12"/>
    <mergeCell ref="DD7:DD12"/>
    <mergeCell ref="DE7:DE12"/>
    <mergeCell ref="DF7:DF12"/>
    <mergeCell ref="DG7:DG12"/>
    <mergeCell ref="DH7:DH12"/>
    <mergeCell ref="DL7:DL12"/>
    <mergeCell ref="JR6:KI6"/>
    <mergeCell ref="KJ6:LA6"/>
    <mergeCell ref="LB6:LS6"/>
    <mergeCell ref="LT6:MK6"/>
    <mergeCell ref="ML6:NC6"/>
    <mergeCell ref="ND6:NU6"/>
    <mergeCell ref="NV6:OM6"/>
    <mergeCell ref="DI7:DI12"/>
    <mergeCell ref="BA7:BA12"/>
    <mergeCell ref="BB7:BB12"/>
    <mergeCell ref="BC7:BC12"/>
    <mergeCell ref="BX7:BX12"/>
    <mergeCell ref="CT7:CT12"/>
    <mergeCell ref="CU7:CU12"/>
    <mergeCell ref="BY7:BY12"/>
    <mergeCell ref="BZ7:BZ12"/>
    <mergeCell ref="CA7:CA12"/>
    <mergeCell ref="BQ7:BQ12"/>
    <mergeCell ref="BR7:BR12"/>
    <mergeCell ref="BS7:BS12"/>
    <mergeCell ref="BT7:BT12"/>
    <mergeCell ref="BU7:BU12"/>
    <mergeCell ref="BV7:BV12"/>
    <mergeCell ref="BW7:BW12"/>
    <mergeCell ref="CQ7:CQ12"/>
    <mergeCell ref="CR7:CR12"/>
    <mergeCell ref="CS7:CS12"/>
    <mergeCell ref="DJ7:DJ12"/>
    <mergeCell ref="DK7:DK12"/>
    <mergeCell ref="DR7:DR12"/>
    <mergeCell ref="DS7:DS12"/>
    <mergeCell ref="DT7:DT12"/>
    <mergeCell ref="DU7:DU12"/>
    <mergeCell ref="DV7:DV12"/>
    <mergeCell ref="DW7:DW12"/>
    <mergeCell ref="GI7:GI12"/>
    <mergeCell ref="FV7:FV12"/>
    <mergeCell ref="FW7:FW12"/>
    <mergeCell ref="FX7:FX12"/>
    <mergeCell ref="FY7:FY12"/>
    <mergeCell ref="FZ7:FZ12"/>
    <mergeCell ref="GA7:GA12"/>
    <mergeCell ref="GB7:GB12"/>
    <mergeCell ref="GC7:GC12"/>
    <mergeCell ref="GD7:GD12"/>
    <mergeCell ref="GE7:GE12"/>
    <mergeCell ref="GJ7:GJ12"/>
    <mergeCell ref="GK7:GK12"/>
    <mergeCell ref="ED7:ED12"/>
    <mergeCell ref="EE7:EE12"/>
    <mergeCell ref="EF7:EF12"/>
    <mergeCell ref="EG7:EG12"/>
    <mergeCell ref="EH7:EH12"/>
    <mergeCell ref="EI7:EI12"/>
    <mergeCell ref="EJ7:EJ12"/>
    <mergeCell ref="EK7:EK12"/>
    <mergeCell ref="EL7:EL12"/>
    <mergeCell ref="EM7:EM12"/>
    <mergeCell ref="EN7:EN12"/>
    <mergeCell ref="EO7:EO12"/>
    <mergeCell ref="EP7:EP12"/>
    <mergeCell ref="EQ7:EQ12"/>
    <mergeCell ref="ER7:ER12"/>
    <mergeCell ref="FM7:FM12"/>
    <mergeCell ref="FN7:FN12"/>
    <mergeCell ref="FO7:FO12"/>
    <mergeCell ref="FP7:FP12"/>
    <mergeCell ref="FQ7:FQ12"/>
    <mergeCell ref="FR7:FR12"/>
    <mergeCell ref="FU7:FU12"/>
    <mergeCell ref="GL7:GL12"/>
    <mergeCell ref="GM7:GM12"/>
    <mergeCell ref="GN7:GN12"/>
    <mergeCell ref="GO7:GO12"/>
    <mergeCell ref="GP7:GP12"/>
    <mergeCell ref="GQ7:GQ12"/>
    <mergeCell ref="GR7:GR12"/>
    <mergeCell ref="GS7:GS12"/>
    <mergeCell ref="GT7:GT12"/>
    <mergeCell ref="GU7:GU12"/>
    <mergeCell ref="GV7:GV12"/>
    <mergeCell ref="GW7:GW12"/>
    <mergeCell ref="GX7:GX12"/>
    <mergeCell ref="GY7:GY12"/>
    <mergeCell ref="GZ7:GZ12"/>
    <mergeCell ref="HA7:HA12"/>
    <mergeCell ref="HB7:HB12"/>
    <mergeCell ref="HC7:HC12"/>
    <mergeCell ref="HD7:HD12"/>
    <mergeCell ref="HE7:HE12"/>
    <mergeCell ref="HF7:HF12"/>
    <mergeCell ref="HG7:HG12"/>
    <mergeCell ref="HH7:HH12"/>
    <mergeCell ref="HI7:HI12"/>
    <mergeCell ref="HJ7:HJ12"/>
    <mergeCell ref="HK7:HK12"/>
    <mergeCell ref="HL7:HL12"/>
    <mergeCell ref="HM7:HM12"/>
    <mergeCell ref="HN7:HN12"/>
    <mergeCell ref="HO7:HO12"/>
    <mergeCell ref="HP7:HP12"/>
    <mergeCell ref="HQ7:HQ12"/>
    <mergeCell ref="HR7:HR12"/>
    <mergeCell ref="HS7:HS12"/>
    <mergeCell ref="HT7:HT12"/>
    <mergeCell ref="HU7:HU12"/>
    <mergeCell ref="HV7:HV12"/>
    <mergeCell ref="HW7:HW12"/>
    <mergeCell ref="HX7:HX12"/>
    <mergeCell ref="HY7:HY12"/>
    <mergeCell ref="HZ7:HZ12"/>
    <mergeCell ref="IA7:IA12"/>
    <mergeCell ref="IB7:IB12"/>
    <mergeCell ref="IC7:IC12"/>
    <mergeCell ref="ID7:ID12"/>
    <mergeCell ref="IE7:IE12"/>
    <mergeCell ref="IF7:IF12"/>
    <mergeCell ref="IG7:IG12"/>
    <mergeCell ref="IH7:IH12"/>
    <mergeCell ref="II7:II12"/>
    <mergeCell ref="IJ7:IJ12"/>
    <mergeCell ref="IK7:IK12"/>
    <mergeCell ref="IL7:IL12"/>
    <mergeCell ref="IM7:IM12"/>
    <mergeCell ref="IN7:IN12"/>
    <mergeCell ref="IO7:IO12"/>
    <mergeCell ref="IP7:IP12"/>
    <mergeCell ref="IQ7:IQ12"/>
    <mergeCell ref="IR7:IR12"/>
    <mergeCell ref="IS7:IS12"/>
    <mergeCell ref="IT7:IT12"/>
    <mergeCell ref="IU7:IU12"/>
    <mergeCell ref="IV7:IV12"/>
    <mergeCell ref="IW7:IW12"/>
    <mergeCell ref="IX7:IX12"/>
    <mergeCell ref="IY7:IY12"/>
    <mergeCell ref="IZ7:IZ12"/>
    <mergeCell ref="JA7:JA12"/>
    <mergeCell ref="JB7:JB12"/>
    <mergeCell ref="JC7:JC12"/>
    <mergeCell ref="JD7:JD12"/>
    <mergeCell ref="JE7:JE12"/>
    <mergeCell ref="JF7:JF12"/>
    <mergeCell ref="JG7:JG12"/>
    <mergeCell ref="JH7:JH12"/>
    <mergeCell ref="JI7:JI12"/>
    <mergeCell ref="JJ7:JJ12"/>
    <mergeCell ref="JK7:JK12"/>
    <mergeCell ref="JL7:JL12"/>
    <mergeCell ref="JM7:JM12"/>
    <mergeCell ref="JN7:JN12"/>
    <mergeCell ref="JO7:JO12"/>
    <mergeCell ref="JP7:JP12"/>
    <mergeCell ref="JQ7:JQ12"/>
    <mergeCell ref="JR7:JR12"/>
    <mergeCell ref="JS7:JS12"/>
    <mergeCell ref="JT7:JT12"/>
    <mergeCell ref="JU7:JU12"/>
    <mergeCell ref="JV7:JV12"/>
    <mergeCell ref="JW7:JW12"/>
    <mergeCell ref="JX7:JX12"/>
    <mergeCell ref="JY7:JY12"/>
    <mergeCell ref="JZ7:JZ12"/>
    <mergeCell ref="KA7:KA12"/>
    <mergeCell ref="KB7:KB12"/>
    <mergeCell ref="KC7:KC12"/>
    <mergeCell ref="KD7:KD12"/>
    <mergeCell ref="KE7:KE12"/>
    <mergeCell ref="KF7:KF12"/>
    <mergeCell ref="KG7:KG12"/>
    <mergeCell ref="KH7:KH12"/>
    <mergeCell ref="KI7:KI12"/>
    <mergeCell ref="KJ7:KJ12"/>
    <mergeCell ref="KK7:KK12"/>
    <mergeCell ref="KL7:KL12"/>
    <mergeCell ref="KM7:KM12"/>
    <mergeCell ref="KN7:KN12"/>
    <mergeCell ref="KO7:KO12"/>
    <mergeCell ref="KP7:KP12"/>
    <mergeCell ref="KQ7:KQ12"/>
    <mergeCell ref="KR7:KR12"/>
    <mergeCell ref="KS7:KS12"/>
    <mergeCell ref="KT7:KT12"/>
    <mergeCell ref="KU7:KU12"/>
    <mergeCell ref="KV7:KV12"/>
    <mergeCell ref="KW7:KW12"/>
    <mergeCell ref="KX7:KX12"/>
    <mergeCell ref="KY7:KY12"/>
    <mergeCell ref="KZ7:KZ12"/>
    <mergeCell ref="LA7:LA12"/>
    <mergeCell ref="LB7:LB12"/>
    <mergeCell ref="LC7:LC12"/>
    <mergeCell ref="LD7:LD12"/>
    <mergeCell ref="LE7:LE12"/>
    <mergeCell ref="LF7:LF12"/>
    <mergeCell ref="LG7:LG12"/>
    <mergeCell ref="LH7:LH12"/>
    <mergeCell ref="LI7:LI12"/>
    <mergeCell ref="LJ7:LJ12"/>
    <mergeCell ref="LK7:LK12"/>
    <mergeCell ref="LL7:LL12"/>
    <mergeCell ref="LM7:LM12"/>
    <mergeCell ref="LN7:LN12"/>
    <mergeCell ref="LO7:LO12"/>
    <mergeCell ref="LP7:LP12"/>
    <mergeCell ref="LQ7:LQ12"/>
    <mergeCell ref="LR7:LR12"/>
    <mergeCell ref="LS7:LS12"/>
    <mergeCell ref="LT7:LT12"/>
    <mergeCell ref="LU7:LU12"/>
    <mergeCell ref="LV7:LV12"/>
    <mergeCell ref="LW7:LW12"/>
    <mergeCell ref="LX7:LX12"/>
    <mergeCell ref="LY7:LY12"/>
    <mergeCell ref="LZ7:LZ12"/>
    <mergeCell ref="MA7:MA12"/>
    <mergeCell ref="MB7:MB12"/>
    <mergeCell ref="MC7:MC12"/>
    <mergeCell ref="MD7:MD12"/>
    <mergeCell ref="ME7:ME12"/>
    <mergeCell ref="MF7:MF12"/>
    <mergeCell ref="MG7:MG12"/>
    <mergeCell ref="MH7:MH12"/>
    <mergeCell ref="MI7:MI12"/>
    <mergeCell ref="MJ7:MJ12"/>
    <mergeCell ref="MK7:MK12"/>
    <mergeCell ref="ML7:ML12"/>
    <mergeCell ref="MM7:MM12"/>
    <mergeCell ref="MN7:MN12"/>
    <mergeCell ref="MO7:MO12"/>
    <mergeCell ref="MP7:MP12"/>
    <mergeCell ref="MQ7:MQ12"/>
    <mergeCell ref="MR7:MR12"/>
    <mergeCell ref="MS7:MS12"/>
    <mergeCell ref="MT7:MT12"/>
    <mergeCell ref="MU7:MU12"/>
    <mergeCell ref="MV7:MV12"/>
    <mergeCell ref="MW7:MW12"/>
    <mergeCell ref="MX7:MX12"/>
    <mergeCell ref="MY7:MY12"/>
    <mergeCell ref="MZ7:MZ12"/>
    <mergeCell ref="NA7:NA12"/>
    <mergeCell ref="NB7:NB12"/>
    <mergeCell ref="NC7:NC12"/>
    <mergeCell ref="ND7:ND12"/>
    <mergeCell ref="NE7:NE12"/>
    <mergeCell ref="NF7:NF12"/>
    <mergeCell ref="NG7:NG12"/>
    <mergeCell ref="NH7:NH12"/>
    <mergeCell ref="NI7:NI12"/>
    <mergeCell ref="NJ7:NJ12"/>
    <mergeCell ref="NK7:NK12"/>
    <mergeCell ref="NL7:NL12"/>
    <mergeCell ref="NM7:NM12"/>
    <mergeCell ref="NN7:NN12"/>
    <mergeCell ref="NO7:NO12"/>
    <mergeCell ref="NP7:NP12"/>
    <mergeCell ref="NQ7:NQ12"/>
    <mergeCell ref="NR7:NR12"/>
    <mergeCell ref="NS7:NS12"/>
    <mergeCell ref="NT7:NT12"/>
    <mergeCell ref="NU7:NU12"/>
    <mergeCell ref="NV7:NV12"/>
    <mergeCell ref="NW7:NW12"/>
    <mergeCell ref="NX7:NX12"/>
    <mergeCell ref="NY7:NY12"/>
    <mergeCell ref="NZ7:NZ12"/>
    <mergeCell ref="OA7:OA12"/>
    <mergeCell ref="OB7:OB12"/>
    <mergeCell ref="OC7:OC12"/>
    <mergeCell ref="OD7:OD12"/>
    <mergeCell ref="OE7:OE12"/>
    <mergeCell ref="OF7:OF12"/>
    <mergeCell ref="OG7:OG12"/>
    <mergeCell ref="OH7:OH12"/>
    <mergeCell ref="OI7:OI12"/>
    <mergeCell ref="OJ7:OJ12"/>
    <mergeCell ref="OK7:OK12"/>
    <mergeCell ref="OL7:OL12"/>
    <mergeCell ref="OM7:OM12"/>
    <mergeCell ref="ON7:ON12"/>
    <mergeCell ref="OO7:OO12"/>
    <mergeCell ref="OP7:OP12"/>
    <mergeCell ref="OQ7:OQ12"/>
    <mergeCell ref="OR7:OR12"/>
    <mergeCell ref="OS7:OS12"/>
    <mergeCell ref="OT7:OT12"/>
    <mergeCell ref="OU7:OU12"/>
    <mergeCell ref="OV7:OV12"/>
    <mergeCell ref="OW7:OW12"/>
    <mergeCell ref="OX7:OX12"/>
    <mergeCell ref="OY7:OY12"/>
    <mergeCell ref="OZ7:OZ12"/>
    <mergeCell ref="PA7:PA12"/>
    <mergeCell ref="PB7:PB12"/>
    <mergeCell ref="PM7:PM12"/>
    <mergeCell ref="PN7:PN12"/>
    <mergeCell ref="PO7:PO12"/>
    <mergeCell ref="PP7:PP12"/>
    <mergeCell ref="PQ7:PQ12"/>
    <mergeCell ref="PR7:PR12"/>
    <mergeCell ref="PS7:PS12"/>
    <mergeCell ref="PT7:PT12"/>
    <mergeCell ref="PC7:PC12"/>
    <mergeCell ref="PD7:PD12"/>
    <mergeCell ref="PE7:PE12"/>
    <mergeCell ref="PF7:PF12"/>
    <mergeCell ref="PG7:PG12"/>
    <mergeCell ref="PH7:PH12"/>
    <mergeCell ref="PI7:PI12"/>
    <mergeCell ref="PJ7:PJ12"/>
    <mergeCell ref="PK7:PK12"/>
    <mergeCell ref="AP7:AP12"/>
    <mergeCell ref="AQ7:AQ12"/>
    <mergeCell ref="PU7:PU12"/>
    <mergeCell ref="PV7:PV12"/>
    <mergeCell ref="PW7:PW12"/>
    <mergeCell ref="PL7:PL12"/>
    <mergeCell ref="Z6:AQ6"/>
    <mergeCell ref="Z7:Z12"/>
    <mergeCell ref="AA7:AA12"/>
    <mergeCell ref="AB7:AB12"/>
    <mergeCell ref="AC7:AC12"/>
    <mergeCell ref="AD7:AD12"/>
    <mergeCell ref="AE7:AE12"/>
    <mergeCell ref="AF7:AF12"/>
    <mergeCell ref="AG7:AG12"/>
    <mergeCell ref="AH7:AH12"/>
    <mergeCell ref="AI7:AI12"/>
    <mergeCell ref="AJ7:AJ12"/>
    <mergeCell ref="AK7:AK12"/>
    <mergeCell ref="AL7:AL12"/>
    <mergeCell ref="AM7:AM12"/>
    <mergeCell ref="AN7:AN12"/>
    <mergeCell ref="AO7:AO12"/>
    <mergeCell ref="FT7:FT12"/>
    <mergeCell ref="CB6:CS6"/>
    <mergeCell ref="CB7:CB12"/>
    <mergeCell ref="CC7:CC12"/>
    <mergeCell ref="CD7:CD12"/>
    <mergeCell ref="CE7:CE12"/>
    <mergeCell ref="CF7:CF12"/>
    <mergeCell ref="CG7:CG12"/>
    <mergeCell ref="CH7:CH12"/>
    <mergeCell ref="CI7:CI12"/>
    <mergeCell ref="CJ7:CJ12"/>
    <mergeCell ref="CK7:CK12"/>
    <mergeCell ref="CL7:CL12"/>
    <mergeCell ref="CM7:CM12"/>
    <mergeCell ref="CN7:CN12"/>
    <mergeCell ref="CO7:CO12"/>
    <mergeCell ref="CP7:CP12"/>
    <mergeCell ref="EV6:FM6"/>
    <mergeCell ref="FN6:GE6"/>
    <mergeCell ref="EV7:EV12"/>
    <mergeCell ref="EW7:EW12"/>
    <mergeCell ref="EX7:EX12"/>
    <mergeCell ref="EY7:EY12"/>
    <mergeCell ref="EZ7:EZ12"/>
    <mergeCell ref="FA7:FA12"/>
    <mergeCell ref="FB7:FB12"/>
    <mergeCell ref="FC7:FC12"/>
    <mergeCell ref="FD7:FD12"/>
    <mergeCell ref="FE7:FE12"/>
    <mergeCell ref="FF7:FF12"/>
    <mergeCell ref="FG7:FG12"/>
    <mergeCell ref="FH7:FH12"/>
    <mergeCell ref="FI7:FI12"/>
    <mergeCell ref="FJ7:FJ12"/>
    <mergeCell ref="FK7:FK12"/>
    <mergeCell ref="FL7:FL12"/>
    <mergeCell ref="FS7:FS12"/>
    <mergeCell ref="UB6:US6"/>
    <mergeCell ref="UB7:UB12"/>
    <mergeCell ref="UC7:UC12"/>
    <mergeCell ref="UD7:UD12"/>
    <mergeCell ref="UE7:UE12"/>
    <mergeCell ref="UF7:UF12"/>
    <mergeCell ref="UG7:UG12"/>
    <mergeCell ref="UH7:UH12"/>
    <mergeCell ref="UI7:UI12"/>
    <mergeCell ref="UJ7:UJ12"/>
    <mergeCell ref="UK7:UK12"/>
    <mergeCell ref="UL7:UL12"/>
    <mergeCell ref="UM7:UM12"/>
    <mergeCell ref="UN7:UN12"/>
    <mergeCell ref="UO7:UO12"/>
    <mergeCell ref="UP7:UP12"/>
    <mergeCell ref="UQ7:UQ12"/>
    <mergeCell ref="UR7:UR12"/>
    <mergeCell ref="US7:US1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"/>
  <dimension ref="B1:AQ1091"/>
  <sheetViews>
    <sheetView topLeftCell="B1" zoomScaleNormal="100" workbookViewId="0">
      <selection activeCell="L12" sqref="L12"/>
    </sheetView>
  </sheetViews>
  <sheetFormatPr defaultRowHeight="14.4" x14ac:dyDescent="0.3"/>
  <cols>
    <col min="2" max="2" width="25" customWidth="1"/>
    <col min="8" max="8" width="14.44140625" customWidth="1"/>
    <col min="9" max="9" width="11.109375" customWidth="1"/>
    <col min="17" max="17" width="14" style="244" customWidth="1"/>
  </cols>
  <sheetData>
    <row r="1" spans="2:19" x14ac:dyDescent="0.3">
      <c r="K1" t="s">
        <v>912</v>
      </c>
      <c r="L1" t="s">
        <v>913</v>
      </c>
      <c r="Q1" s="186"/>
    </row>
    <row r="2" spans="2:19" x14ac:dyDescent="0.3">
      <c r="C2" t="s">
        <v>702</v>
      </c>
      <c r="I2" t="s">
        <v>701</v>
      </c>
      <c r="M2" t="s">
        <v>703</v>
      </c>
      <c r="Q2" s="186"/>
      <c r="S2" s="190" t="s">
        <v>993</v>
      </c>
    </row>
    <row r="3" spans="2:19" x14ac:dyDescent="0.3">
      <c r="B3" s="178" t="s">
        <v>207</v>
      </c>
      <c r="C3" s="180">
        <v>76</v>
      </c>
      <c r="D3" s="177" t="s">
        <v>192</v>
      </c>
      <c r="H3" t="s">
        <v>231</v>
      </c>
      <c r="I3">
        <v>11</v>
      </c>
      <c r="K3" s="133" t="s">
        <v>229</v>
      </c>
      <c r="L3" s="173">
        <v>85</v>
      </c>
      <c r="M3">
        <v>23</v>
      </c>
      <c r="Q3" t="s">
        <v>323</v>
      </c>
      <c r="R3" s="126">
        <v>1</v>
      </c>
    </row>
    <row r="4" spans="2:19" x14ac:dyDescent="0.3">
      <c r="B4" s="13" t="s">
        <v>246</v>
      </c>
      <c r="C4" s="168">
        <v>90</v>
      </c>
      <c r="D4" s="137" t="s">
        <v>231</v>
      </c>
      <c r="H4" s="155" t="s">
        <v>573</v>
      </c>
      <c r="I4">
        <v>12</v>
      </c>
      <c r="K4" s="133"/>
      <c r="L4" s="134">
        <v>93</v>
      </c>
      <c r="M4">
        <v>24</v>
      </c>
      <c r="Q4" t="s">
        <v>324</v>
      </c>
      <c r="R4" s="126">
        <v>2</v>
      </c>
    </row>
    <row r="5" spans="2:19" x14ac:dyDescent="0.3">
      <c r="B5" s="13" t="s">
        <v>72</v>
      </c>
      <c r="C5" s="169" t="s">
        <v>71</v>
      </c>
      <c r="D5" s="137" t="s">
        <v>63</v>
      </c>
      <c r="H5" t="s">
        <v>128</v>
      </c>
      <c r="I5" s="126">
        <v>8</v>
      </c>
      <c r="K5" s="133" t="s">
        <v>126</v>
      </c>
      <c r="L5" s="176">
        <v>50</v>
      </c>
      <c r="M5" s="126">
        <v>20</v>
      </c>
      <c r="Q5" t="s">
        <v>610</v>
      </c>
      <c r="R5" s="126">
        <v>3</v>
      </c>
      <c r="S5" s="126"/>
    </row>
    <row r="6" spans="2:19" ht="26.4" x14ac:dyDescent="0.3">
      <c r="B6" s="179" t="s">
        <v>103</v>
      </c>
      <c r="C6" s="182">
        <v>38</v>
      </c>
      <c r="D6" s="125" t="s">
        <v>95</v>
      </c>
      <c r="H6" t="s">
        <v>4</v>
      </c>
      <c r="I6" s="126">
        <v>3</v>
      </c>
      <c r="K6" s="133" t="s">
        <v>1</v>
      </c>
      <c r="L6" s="134" t="s">
        <v>2</v>
      </c>
      <c r="M6" s="126">
        <v>15</v>
      </c>
      <c r="Q6" t="s">
        <v>611</v>
      </c>
      <c r="R6" s="126">
        <v>4</v>
      </c>
      <c r="S6" s="126"/>
    </row>
    <row r="7" spans="2:19" x14ac:dyDescent="0.3">
      <c r="B7" s="13" t="s">
        <v>10</v>
      </c>
      <c r="C7" s="169" t="s">
        <v>9</v>
      </c>
      <c r="D7" s="137" t="s">
        <v>7</v>
      </c>
      <c r="H7" t="s">
        <v>3</v>
      </c>
      <c r="I7" s="126">
        <v>2</v>
      </c>
      <c r="K7" s="133" t="s">
        <v>1</v>
      </c>
      <c r="L7" s="157" t="s">
        <v>2</v>
      </c>
      <c r="M7" s="126">
        <v>14</v>
      </c>
      <c r="Q7" t="s">
        <v>612</v>
      </c>
      <c r="R7" s="126">
        <v>5</v>
      </c>
      <c r="S7" s="126"/>
    </row>
    <row r="8" spans="2:19" x14ac:dyDescent="0.3">
      <c r="B8" s="13" t="s">
        <v>13</v>
      </c>
      <c r="C8" s="168" t="s">
        <v>12</v>
      </c>
      <c r="D8" s="137" t="s">
        <v>7</v>
      </c>
      <c r="H8" t="s">
        <v>63</v>
      </c>
      <c r="I8" s="126">
        <v>5</v>
      </c>
      <c r="K8" s="133" t="s">
        <v>61</v>
      </c>
      <c r="L8" s="172" t="s">
        <v>62</v>
      </c>
      <c r="M8" s="126">
        <v>17</v>
      </c>
      <c r="Q8" t="s">
        <v>613</v>
      </c>
      <c r="R8" s="126">
        <v>6</v>
      </c>
      <c r="S8" s="126"/>
    </row>
    <row r="9" spans="2:19" x14ac:dyDescent="0.3">
      <c r="B9" s="13" t="s">
        <v>16</v>
      </c>
      <c r="C9" s="169" t="s">
        <v>15</v>
      </c>
      <c r="D9" s="137" t="s">
        <v>7</v>
      </c>
      <c r="H9" t="s">
        <v>109</v>
      </c>
      <c r="I9" s="126">
        <v>7</v>
      </c>
      <c r="K9" s="139" t="s">
        <v>108</v>
      </c>
      <c r="L9" s="175">
        <v>42</v>
      </c>
      <c r="M9" s="126">
        <v>19</v>
      </c>
      <c r="Q9" t="s">
        <v>614</v>
      </c>
      <c r="R9" s="126">
        <v>7</v>
      </c>
      <c r="S9" s="126"/>
    </row>
    <row r="10" spans="2:19" ht="26.4" x14ac:dyDescent="0.3">
      <c r="B10" s="179" t="s">
        <v>105</v>
      </c>
      <c r="C10" s="168">
        <v>39</v>
      </c>
      <c r="D10" s="125" t="s">
        <v>95</v>
      </c>
      <c r="H10" t="s">
        <v>192</v>
      </c>
      <c r="I10" s="126">
        <v>10</v>
      </c>
      <c r="K10" s="133" t="s">
        <v>190</v>
      </c>
      <c r="L10" s="173">
        <v>72</v>
      </c>
      <c r="M10" s="126">
        <v>22</v>
      </c>
      <c r="Q10" t="s">
        <v>615</v>
      </c>
      <c r="R10" s="126">
        <v>8</v>
      </c>
      <c r="S10" s="126"/>
    </row>
    <row r="11" spans="2:19" x14ac:dyDescent="0.3">
      <c r="B11" s="13" t="s">
        <v>77</v>
      </c>
      <c r="C11" s="169" t="s">
        <v>76</v>
      </c>
      <c r="D11" s="137" t="s">
        <v>63</v>
      </c>
      <c r="H11" t="s">
        <v>173</v>
      </c>
      <c r="I11" s="126">
        <v>9</v>
      </c>
      <c r="K11" s="133" t="s">
        <v>171</v>
      </c>
      <c r="L11" s="176">
        <v>65</v>
      </c>
      <c r="M11" s="126">
        <v>21</v>
      </c>
      <c r="Q11" t="s">
        <v>616</v>
      </c>
      <c r="R11" s="126">
        <v>9</v>
      </c>
      <c r="S11" s="126"/>
    </row>
    <row r="12" spans="2:19" x14ac:dyDescent="0.3">
      <c r="B12" s="13" t="s">
        <v>19</v>
      </c>
      <c r="C12" s="168" t="s">
        <v>18</v>
      </c>
      <c r="D12" s="137" t="s">
        <v>7</v>
      </c>
      <c r="H12" t="s">
        <v>7</v>
      </c>
      <c r="I12" s="126">
        <v>4</v>
      </c>
      <c r="K12" s="133" t="s">
        <v>5</v>
      </c>
      <c r="L12" s="173" t="s">
        <v>6</v>
      </c>
      <c r="M12" s="126">
        <v>16</v>
      </c>
      <c r="Q12" t="s">
        <v>617</v>
      </c>
      <c r="R12" s="126">
        <v>10</v>
      </c>
      <c r="S12" s="126"/>
    </row>
    <row r="13" spans="2:19" x14ac:dyDescent="0.3">
      <c r="B13" s="13" t="s">
        <v>273</v>
      </c>
      <c r="C13" s="169" t="s">
        <v>39</v>
      </c>
      <c r="D13" s="137" t="s">
        <v>7</v>
      </c>
      <c r="H13" s="156" t="s">
        <v>95</v>
      </c>
      <c r="I13" s="126">
        <v>6</v>
      </c>
      <c r="K13" s="139" t="s">
        <v>94</v>
      </c>
      <c r="L13" s="174">
        <v>33</v>
      </c>
      <c r="M13" s="126">
        <v>18</v>
      </c>
      <c r="Q13" t="s">
        <v>618</v>
      </c>
      <c r="R13" s="126">
        <v>11</v>
      </c>
      <c r="S13" s="126"/>
    </row>
    <row r="14" spans="2:19" x14ac:dyDescent="0.3">
      <c r="B14" s="13" t="s">
        <v>275</v>
      </c>
      <c r="C14" s="168" t="s">
        <v>85</v>
      </c>
      <c r="D14" s="137" t="s">
        <v>63</v>
      </c>
      <c r="Q14" t="s">
        <v>619</v>
      </c>
      <c r="R14" s="126">
        <v>12</v>
      </c>
      <c r="S14" s="126"/>
    </row>
    <row r="15" spans="2:19" ht="26.4" x14ac:dyDescent="0.3">
      <c r="B15" s="13" t="s">
        <v>319</v>
      </c>
      <c r="C15" s="171">
        <v>41</v>
      </c>
      <c r="D15" s="125" t="s">
        <v>95</v>
      </c>
      <c r="Q15" t="s">
        <v>620</v>
      </c>
      <c r="R15" s="126">
        <v>13</v>
      </c>
      <c r="S15" s="126"/>
    </row>
    <row r="16" spans="2:19" x14ac:dyDescent="0.3">
      <c r="B16" s="13" t="s">
        <v>254</v>
      </c>
      <c r="C16" s="168">
        <v>93</v>
      </c>
      <c r="D16" s="137" t="s">
        <v>231</v>
      </c>
      <c r="Q16" t="s">
        <v>621</v>
      </c>
      <c r="R16" s="126">
        <v>14</v>
      </c>
      <c r="S16" s="126"/>
    </row>
    <row r="17" spans="2:19" x14ac:dyDescent="0.3">
      <c r="B17" s="13" t="s">
        <v>210</v>
      </c>
      <c r="C17" s="169">
        <v>86</v>
      </c>
      <c r="D17" s="137" t="s">
        <v>231</v>
      </c>
      <c r="H17" t="s">
        <v>572</v>
      </c>
      <c r="I17" s="122">
        <v>1000000</v>
      </c>
      <c r="K17" s="137" t="s">
        <v>7</v>
      </c>
      <c r="Q17" t="s">
        <v>622</v>
      </c>
      <c r="R17" s="126">
        <v>15</v>
      </c>
      <c r="S17" s="126"/>
    </row>
    <row r="18" spans="2:19" x14ac:dyDescent="0.3">
      <c r="B18" s="13" t="s">
        <v>22</v>
      </c>
      <c r="C18" s="168" t="s">
        <v>21</v>
      </c>
      <c r="D18" s="137" t="s">
        <v>7</v>
      </c>
      <c r="H18" s="126" t="s">
        <v>704</v>
      </c>
      <c r="I18" s="122">
        <v>1</v>
      </c>
      <c r="K18" s="137" t="s">
        <v>63</v>
      </c>
      <c r="Q18" t="s">
        <v>623</v>
      </c>
      <c r="R18" s="126">
        <v>16</v>
      </c>
      <c r="S18" s="126"/>
    </row>
    <row r="19" spans="2:19" ht="26.4" x14ac:dyDescent="0.3">
      <c r="B19" s="13" t="s">
        <v>216</v>
      </c>
      <c r="C19" s="171">
        <v>78</v>
      </c>
      <c r="D19" s="137" t="s">
        <v>192</v>
      </c>
      <c r="H19" s="126" t="s">
        <v>705</v>
      </c>
      <c r="I19" s="122">
        <v>1000</v>
      </c>
      <c r="K19" s="140" t="s">
        <v>95</v>
      </c>
      <c r="Q19" t="s">
        <v>624</v>
      </c>
      <c r="R19" s="126">
        <v>17</v>
      </c>
      <c r="S19" s="126"/>
    </row>
    <row r="20" spans="2:19" ht="52.8" x14ac:dyDescent="0.3">
      <c r="B20" s="179" t="s">
        <v>115</v>
      </c>
      <c r="C20" s="168">
        <v>45</v>
      </c>
      <c r="D20" s="123" t="s">
        <v>109</v>
      </c>
      <c r="K20" s="141" t="s">
        <v>109</v>
      </c>
      <c r="Q20" t="s">
        <v>625</v>
      </c>
      <c r="R20" s="126">
        <v>18</v>
      </c>
      <c r="S20" s="126"/>
    </row>
    <row r="21" spans="2:19" x14ac:dyDescent="0.3">
      <c r="B21" s="13" t="s">
        <v>80</v>
      </c>
      <c r="C21" s="169" t="s">
        <v>79</v>
      </c>
      <c r="D21" s="137" t="s">
        <v>63</v>
      </c>
      <c r="K21" s="137" t="s">
        <v>128</v>
      </c>
      <c r="Q21" t="s">
        <v>626</v>
      </c>
      <c r="R21" s="126">
        <v>19</v>
      </c>
      <c r="S21" s="126"/>
    </row>
    <row r="22" spans="2:19" x14ac:dyDescent="0.3">
      <c r="B22" s="13" t="s">
        <v>25</v>
      </c>
      <c r="C22" s="169" t="s">
        <v>24</v>
      </c>
      <c r="D22" s="137" t="s">
        <v>7</v>
      </c>
      <c r="K22" s="137" t="s">
        <v>173</v>
      </c>
      <c r="Q22" t="s">
        <v>627</v>
      </c>
      <c r="R22" s="126">
        <v>20</v>
      </c>
      <c r="S22" s="126"/>
    </row>
    <row r="23" spans="2:19" x14ac:dyDescent="0.3">
      <c r="B23" s="13" t="s">
        <v>237</v>
      </c>
      <c r="C23" s="168">
        <v>87</v>
      </c>
      <c r="D23" s="137" t="s">
        <v>231</v>
      </c>
      <c r="K23" s="137" t="s">
        <v>192</v>
      </c>
      <c r="Q23" t="s">
        <v>592</v>
      </c>
      <c r="R23" s="126">
        <v>21</v>
      </c>
      <c r="S23" s="126"/>
    </row>
    <row r="24" spans="2:19" ht="52.8" x14ac:dyDescent="0.3">
      <c r="B24" s="179" t="s">
        <v>117</v>
      </c>
      <c r="C24" s="171">
        <v>46</v>
      </c>
      <c r="D24" s="123" t="s">
        <v>109</v>
      </c>
      <c r="K24" s="137" t="s">
        <v>231</v>
      </c>
      <c r="Q24" t="s">
        <v>593</v>
      </c>
      <c r="R24" s="126">
        <v>22</v>
      </c>
      <c r="S24" s="126"/>
    </row>
    <row r="25" spans="2:19" x14ac:dyDescent="0.3">
      <c r="B25" s="13" t="s">
        <v>219</v>
      </c>
      <c r="C25" s="168">
        <v>79</v>
      </c>
      <c r="D25" s="137" t="s">
        <v>192</v>
      </c>
      <c r="K25" s="137"/>
      <c r="Q25" t="s">
        <v>594</v>
      </c>
      <c r="R25" s="126">
        <v>23</v>
      </c>
      <c r="S25" s="126"/>
    </row>
    <row r="26" spans="2:19" x14ac:dyDescent="0.3">
      <c r="B26" s="13" t="s">
        <v>152</v>
      </c>
      <c r="C26" s="171">
        <v>58</v>
      </c>
      <c r="D26" s="137" t="s">
        <v>128</v>
      </c>
      <c r="Q26" t="s">
        <v>595</v>
      </c>
      <c r="R26" s="126">
        <v>24</v>
      </c>
      <c r="S26" s="126"/>
    </row>
    <row r="27" spans="2:19" x14ac:dyDescent="0.3">
      <c r="B27" s="13" t="s">
        <v>28</v>
      </c>
      <c r="C27" s="168" t="s">
        <v>27</v>
      </c>
      <c r="D27" s="137" t="s">
        <v>7</v>
      </c>
      <c r="Q27" t="s">
        <v>596</v>
      </c>
      <c r="R27" s="126">
        <v>25</v>
      </c>
      <c r="S27" s="126"/>
    </row>
    <row r="28" spans="2:19" ht="26.4" x14ac:dyDescent="0.3">
      <c r="B28" s="179" t="s">
        <v>101</v>
      </c>
      <c r="C28" s="171">
        <v>37</v>
      </c>
      <c r="D28" s="125" t="s">
        <v>95</v>
      </c>
      <c r="Q28" t="s">
        <v>597</v>
      </c>
      <c r="R28" s="126">
        <v>26</v>
      </c>
      <c r="S28" s="126"/>
    </row>
    <row r="29" spans="2:19" x14ac:dyDescent="0.3">
      <c r="B29" s="13" t="s">
        <v>213</v>
      </c>
      <c r="C29" s="182">
        <v>77</v>
      </c>
      <c r="D29" s="137" t="s">
        <v>192</v>
      </c>
      <c r="Q29" t="s">
        <v>598</v>
      </c>
      <c r="R29" s="126">
        <v>27</v>
      </c>
      <c r="S29" s="126"/>
    </row>
    <row r="30" spans="2:19" x14ac:dyDescent="0.3">
      <c r="B30" s="13" t="s">
        <v>176</v>
      </c>
      <c r="C30" s="169">
        <v>66</v>
      </c>
      <c r="D30" s="137" t="s">
        <v>173</v>
      </c>
      <c r="Q30" t="s">
        <v>599</v>
      </c>
      <c r="R30" s="126">
        <v>28</v>
      </c>
      <c r="S30" s="126"/>
    </row>
    <row r="31" spans="2:19" x14ac:dyDescent="0.3">
      <c r="B31" s="13" t="s">
        <v>31</v>
      </c>
      <c r="C31" s="168" t="s">
        <v>30</v>
      </c>
      <c r="D31" s="137" t="s">
        <v>7</v>
      </c>
      <c r="Q31" t="s">
        <v>600</v>
      </c>
      <c r="R31" s="126">
        <v>29</v>
      </c>
      <c r="S31" s="126"/>
    </row>
    <row r="32" spans="2:19" x14ac:dyDescent="0.3">
      <c r="B32" s="13" t="s">
        <v>83</v>
      </c>
      <c r="C32" s="181" t="s">
        <v>82</v>
      </c>
      <c r="D32" s="137" t="s">
        <v>63</v>
      </c>
      <c r="Q32" t="s">
        <v>601</v>
      </c>
      <c r="R32" s="126">
        <v>30</v>
      </c>
      <c r="S32" s="126"/>
    </row>
    <row r="33" spans="2:19" x14ac:dyDescent="0.3">
      <c r="B33" s="63" t="s">
        <v>34</v>
      </c>
      <c r="C33" s="181" t="s">
        <v>33</v>
      </c>
      <c r="D33" s="124" t="s">
        <v>7</v>
      </c>
      <c r="Q33" t="s">
        <v>602</v>
      </c>
      <c r="R33" s="126">
        <v>31</v>
      </c>
      <c r="S33" s="126"/>
    </row>
    <row r="34" spans="2:19" x14ac:dyDescent="0.3">
      <c r="B34" s="63" t="s">
        <v>249</v>
      </c>
      <c r="C34" s="171">
        <v>91</v>
      </c>
      <c r="D34" s="124" t="s">
        <v>231</v>
      </c>
      <c r="Q34" t="s">
        <v>603</v>
      </c>
      <c r="R34" s="126">
        <v>32</v>
      </c>
      <c r="S34" s="126"/>
    </row>
    <row r="35" spans="2:19" x14ac:dyDescent="0.3">
      <c r="B35" s="63" t="s">
        <v>37</v>
      </c>
      <c r="C35" s="169" t="s">
        <v>36</v>
      </c>
      <c r="D35" s="124" t="s">
        <v>7</v>
      </c>
      <c r="Q35" t="s">
        <v>604</v>
      </c>
      <c r="R35" s="126">
        <v>33</v>
      </c>
      <c r="S35" s="126"/>
    </row>
    <row r="36" spans="2:19" x14ac:dyDescent="0.3">
      <c r="B36" s="63" t="s">
        <v>88</v>
      </c>
      <c r="C36" s="169" t="s">
        <v>87</v>
      </c>
      <c r="D36" s="124" t="s">
        <v>63</v>
      </c>
      <c r="Q36" t="s">
        <v>605</v>
      </c>
      <c r="R36" s="126">
        <v>34</v>
      </c>
      <c r="S36" s="126"/>
    </row>
    <row r="37" spans="2:19" x14ac:dyDescent="0.3">
      <c r="B37" s="63" t="s">
        <v>274</v>
      </c>
      <c r="C37" s="169" t="s">
        <v>74</v>
      </c>
      <c r="D37" s="124" t="s">
        <v>63</v>
      </c>
      <c r="Q37" t="s">
        <v>606</v>
      </c>
      <c r="R37" s="126">
        <v>35</v>
      </c>
      <c r="S37" s="126"/>
    </row>
    <row r="38" spans="2:19" x14ac:dyDescent="0.3">
      <c r="B38" s="63" t="s">
        <v>155</v>
      </c>
      <c r="C38" s="171">
        <v>59</v>
      </c>
      <c r="D38" s="124" t="s">
        <v>128</v>
      </c>
      <c r="Q38" t="s">
        <v>607</v>
      </c>
      <c r="R38" s="126">
        <v>36</v>
      </c>
      <c r="S38" s="126"/>
    </row>
    <row r="39" spans="2:19" x14ac:dyDescent="0.3">
      <c r="B39" s="63" t="s">
        <v>91</v>
      </c>
      <c r="C39" s="169" t="s">
        <v>90</v>
      </c>
      <c r="D39" s="124" t="s">
        <v>63</v>
      </c>
      <c r="Q39" t="s">
        <v>608</v>
      </c>
      <c r="R39" s="126">
        <v>37</v>
      </c>
      <c r="S39" s="126"/>
    </row>
    <row r="40" spans="2:19" x14ac:dyDescent="0.3">
      <c r="B40" s="63" t="s">
        <v>222</v>
      </c>
      <c r="C40" s="171">
        <v>80</v>
      </c>
      <c r="D40" s="124" t="s">
        <v>192</v>
      </c>
      <c r="Q40" t="s">
        <v>609</v>
      </c>
      <c r="R40" s="126">
        <v>38</v>
      </c>
      <c r="S40" s="126"/>
    </row>
    <row r="41" spans="2:19" x14ac:dyDescent="0.3">
      <c r="B41" s="63" t="s">
        <v>225</v>
      </c>
      <c r="C41" s="170">
        <v>81</v>
      </c>
      <c r="D41" s="124" t="s">
        <v>192</v>
      </c>
      <c r="Q41" t="s">
        <v>628</v>
      </c>
      <c r="R41" s="126">
        <v>39</v>
      </c>
      <c r="S41" s="126"/>
    </row>
    <row r="42" spans="2:19" x14ac:dyDescent="0.3">
      <c r="B42" s="63" t="s">
        <v>158</v>
      </c>
      <c r="C42" s="181">
        <v>60</v>
      </c>
      <c r="D42" s="124" t="s">
        <v>128</v>
      </c>
      <c r="Q42" t="s">
        <v>629</v>
      </c>
      <c r="R42" s="126">
        <v>40</v>
      </c>
      <c r="S42" s="126"/>
    </row>
    <row r="43" spans="2:19" x14ac:dyDescent="0.3">
      <c r="B43" s="63" t="s">
        <v>42</v>
      </c>
      <c r="C43" s="168" t="s">
        <v>41</v>
      </c>
      <c r="D43" s="124" t="s">
        <v>7</v>
      </c>
      <c r="Q43" t="s">
        <v>630</v>
      </c>
      <c r="R43" s="126">
        <v>41</v>
      </c>
      <c r="S43" s="126"/>
    </row>
    <row r="44" spans="2:19" x14ac:dyDescent="0.3">
      <c r="B44" s="63" t="s">
        <v>161</v>
      </c>
      <c r="C44" s="170">
        <v>61</v>
      </c>
      <c r="D44" s="124" t="s">
        <v>128</v>
      </c>
      <c r="Q44" t="s">
        <v>631</v>
      </c>
      <c r="R44" s="126">
        <v>42</v>
      </c>
      <c r="S44" s="126"/>
    </row>
    <row r="45" spans="2:19" x14ac:dyDescent="0.3">
      <c r="B45" s="63" t="s">
        <v>149</v>
      </c>
      <c r="C45" s="181">
        <v>57</v>
      </c>
      <c r="D45" s="124" t="s">
        <v>128</v>
      </c>
      <c r="Q45" t="s">
        <v>632</v>
      </c>
      <c r="R45" s="126">
        <v>43</v>
      </c>
      <c r="S45" s="126"/>
    </row>
    <row r="46" spans="2:19" x14ac:dyDescent="0.3">
      <c r="B46" s="63" t="s">
        <v>240</v>
      </c>
      <c r="C46" s="182">
        <v>88</v>
      </c>
      <c r="D46" s="124" t="s">
        <v>231</v>
      </c>
      <c r="Q46" t="s">
        <v>633</v>
      </c>
      <c r="R46" s="126">
        <v>44</v>
      </c>
      <c r="S46" s="126"/>
    </row>
    <row r="47" spans="2:19" x14ac:dyDescent="0.3">
      <c r="B47" s="63" t="s">
        <v>93</v>
      </c>
      <c r="C47" s="170">
        <v>32</v>
      </c>
      <c r="D47" s="124" t="s">
        <v>63</v>
      </c>
      <c r="Q47" t="s">
        <v>634</v>
      </c>
      <c r="R47" s="126">
        <v>45</v>
      </c>
      <c r="S47" s="126"/>
    </row>
    <row r="48" spans="2:19" ht="26.4" x14ac:dyDescent="0.3">
      <c r="B48" s="179" t="s">
        <v>97</v>
      </c>
      <c r="C48" s="182">
        <v>34</v>
      </c>
      <c r="D48" s="125" t="s">
        <v>95</v>
      </c>
      <c r="Q48" t="s">
        <v>635</v>
      </c>
      <c r="R48" s="126">
        <v>46</v>
      </c>
      <c r="S48" s="126"/>
    </row>
    <row r="49" spans="2:19" x14ac:dyDescent="0.3">
      <c r="B49" s="13" t="s">
        <v>195</v>
      </c>
      <c r="C49" s="170">
        <v>73</v>
      </c>
      <c r="D49" s="137" t="s">
        <v>192</v>
      </c>
      <c r="Q49" t="s">
        <v>636</v>
      </c>
      <c r="R49" s="126">
        <v>47</v>
      </c>
      <c r="S49" s="126"/>
    </row>
    <row r="50" spans="2:19" x14ac:dyDescent="0.3">
      <c r="B50" s="13" t="s">
        <v>131</v>
      </c>
      <c r="C50" s="181">
        <v>51</v>
      </c>
      <c r="D50" s="137" t="s">
        <v>128</v>
      </c>
      <c r="Q50" t="s">
        <v>637</v>
      </c>
      <c r="R50" s="126">
        <v>48</v>
      </c>
      <c r="S50" s="126"/>
    </row>
    <row r="51" spans="2:19" x14ac:dyDescent="0.3">
      <c r="B51" s="13" t="s">
        <v>198</v>
      </c>
      <c r="C51" s="182">
        <v>84</v>
      </c>
      <c r="D51" s="137" t="s">
        <v>231</v>
      </c>
      <c r="Q51" t="s">
        <v>638</v>
      </c>
      <c r="R51" s="126">
        <v>49</v>
      </c>
      <c r="S51" s="126"/>
    </row>
    <row r="52" spans="2:19" ht="52.8" x14ac:dyDescent="0.3">
      <c r="B52" s="179" t="s">
        <v>111</v>
      </c>
      <c r="C52" s="170">
        <v>43</v>
      </c>
      <c r="D52" s="123" t="s">
        <v>109</v>
      </c>
      <c r="Q52" t="s">
        <v>639</v>
      </c>
      <c r="R52" s="126">
        <v>50</v>
      </c>
      <c r="S52" s="126"/>
    </row>
    <row r="53" spans="2:19" ht="52.8" x14ac:dyDescent="0.3">
      <c r="B53" s="179" t="s">
        <v>113</v>
      </c>
      <c r="C53" s="170">
        <v>44</v>
      </c>
      <c r="D53" s="123" t="s">
        <v>109</v>
      </c>
      <c r="Q53" t="s">
        <v>640</v>
      </c>
      <c r="R53" s="126">
        <v>51</v>
      </c>
      <c r="S53" s="126"/>
    </row>
    <row r="54" spans="2:19" ht="26.4" x14ac:dyDescent="0.3">
      <c r="B54" s="179" t="s">
        <v>99</v>
      </c>
      <c r="C54" s="182">
        <v>35</v>
      </c>
      <c r="D54" s="125" t="s">
        <v>95</v>
      </c>
      <c r="Q54" t="s">
        <v>641</v>
      </c>
      <c r="R54" s="126">
        <v>52</v>
      </c>
      <c r="S54" s="126"/>
    </row>
    <row r="55" spans="2:19" x14ac:dyDescent="0.3">
      <c r="B55" s="13" t="s">
        <v>66</v>
      </c>
      <c r="C55" s="181" t="s">
        <v>65</v>
      </c>
      <c r="D55" s="137" t="s">
        <v>63</v>
      </c>
      <c r="Q55" t="s">
        <v>642</v>
      </c>
      <c r="R55" s="126">
        <v>53</v>
      </c>
      <c r="S55" s="126"/>
    </row>
    <row r="56" spans="2:19" x14ac:dyDescent="0.3">
      <c r="B56" s="13" t="s">
        <v>69</v>
      </c>
      <c r="C56" s="181" t="s">
        <v>68</v>
      </c>
      <c r="D56" s="137" t="s">
        <v>63</v>
      </c>
      <c r="Q56" t="s">
        <v>643</v>
      </c>
      <c r="R56" s="126">
        <v>54</v>
      </c>
      <c r="S56" s="126"/>
    </row>
    <row r="57" spans="2:19" ht="26.4" x14ac:dyDescent="0.3">
      <c r="B57" s="13" t="s">
        <v>318</v>
      </c>
      <c r="C57" s="168">
        <v>36</v>
      </c>
      <c r="D57" s="125" t="s">
        <v>95</v>
      </c>
      <c r="Q57" t="s">
        <v>644</v>
      </c>
      <c r="R57" s="126">
        <v>55</v>
      </c>
      <c r="S57" s="126"/>
    </row>
    <row r="58" spans="2:19" x14ac:dyDescent="0.3">
      <c r="B58" s="13" t="s">
        <v>134</v>
      </c>
      <c r="C58" s="170">
        <v>52</v>
      </c>
      <c r="D58" s="137" t="s">
        <v>128</v>
      </c>
      <c r="Q58" t="s">
        <v>645</v>
      </c>
      <c r="R58" s="126">
        <v>56</v>
      </c>
      <c r="S58" s="126"/>
    </row>
    <row r="59" spans="2:19" x14ac:dyDescent="0.3">
      <c r="B59" s="13" t="s">
        <v>137</v>
      </c>
      <c r="C59" s="170">
        <v>53</v>
      </c>
      <c r="D59" s="137" t="s">
        <v>128</v>
      </c>
      <c r="Q59" t="s">
        <v>975</v>
      </c>
      <c r="R59" s="126">
        <v>57</v>
      </c>
      <c r="S59" s="126"/>
    </row>
    <row r="60" spans="2:19" x14ac:dyDescent="0.3">
      <c r="B60" s="13" t="s">
        <v>234</v>
      </c>
      <c r="C60" s="182">
        <v>85</v>
      </c>
      <c r="D60" s="137" t="s">
        <v>231</v>
      </c>
      <c r="Q60" t="s">
        <v>976</v>
      </c>
      <c r="R60" s="126">
        <v>58</v>
      </c>
      <c r="S60" s="126"/>
    </row>
    <row r="61" spans="2:19" ht="52.8" x14ac:dyDescent="0.3">
      <c r="B61" s="179" t="s">
        <v>119</v>
      </c>
      <c r="C61" s="170">
        <v>47</v>
      </c>
      <c r="D61" s="123" t="s">
        <v>109</v>
      </c>
      <c r="Q61" t="s">
        <v>977</v>
      </c>
      <c r="R61" s="126">
        <v>59</v>
      </c>
      <c r="S61" s="126"/>
    </row>
    <row r="62" spans="2:19" x14ac:dyDescent="0.3">
      <c r="B62" s="13" t="s">
        <v>140</v>
      </c>
      <c r="C62" s="168">
        <v>54</v>
      </c>
      <c r="D62" s="137" t="s">
        <v>128</v>
      </c>
      <c r="Q62" t="s">
        <v>978</v>
      </c>
      <c r="R62" s="126">
        <v>60</v>
      </c>
      <c r="S62" s="126"/>
    </row>
    <row r="63" spans="2:19" x14ac:dyDescent="0.3">
      <c r="B63" s="13" t="s">
        <v>201</v>
      </c>
      <c r="C63" s="181">
        <v>74</v>
      </c>
      <c r="D63" s="137" t="s">
        <v>192</v>
      </c>
      <c r="Q63" t="s">
        <v>979</v>
      </c>
      <c r="R63" s="126">
        <v>61</v>
      </c>
      <c r="S63" s="126"/>
    </row>
    <row r="64" spans="2:19" x14ac:dyDescent="0.3">
      <c r="B64" s="13" t="s">
        <v>204</v>
      </c>
      <c r="C64" s="170">
        <v>75</v>
      </c>
      <c r="D64" s="137" t="s">
        <v>192</v>
      </c>
      <c r="Q64" t="s">
        <v>980</v>
      </c>
      <c r="R64" s="126">
        <v>62</v>
      </c>
      <c r="S64" s="126"/>
    </row>
    <row r="65" spans="2:19" ht="26.4" x14ac:dyDescent="0.3">
      <c r="B65" s="179" t="s">
        <v>107</v>
      </c>
      <c r="C65" s="182">
        <v>40</v>
      </c>
      <c r="D65" s="125" t="s">
        <v>95</v>
      </c>
      <c r="Q65" t="s">
        <v>981</v>
      </c>
      <c r="R65" s="126">
        <v>63</v>
      </c>
      <c r="S65" s="126"/>
    </row>
    <row r="66" spans="2:19" x14ac:dyDescent="0.3">
      <c r="B66" s="13" t="s">
        <v>45</v>
      </c>
      <c r="C66" s="181" t="s">
        <v>44</v>
      </c>
      <c r="D66" s="137" t="s">
        <v>7</v>
      </c>
      <c r="Q66" t="s">
        <v>982</v>
      </c>
      <c r="R66" s="126">
        <v>64</v>
      </c>
      <c r="S66" s="126"/>
    </row>
    <row r="67" spans="2:19" x14ac:dyDescent="0.3">
      <c r="B67" s="13" t="s">
        <v>164</v>
      </c>
      <c r="C67" s="170">
        <v>62</v>
      </c>
      <c r="D67" s="137" t="s">
        <v>128</v>
      </c>
      <c r="Q67" t="s">
        <v>983</v>
      </c>
      <c r="R67" s="126">
        <v>65</v>
      </c>
      <c r="S67" s="126"/>
    </row>
    <row r="68" spans="2:19" x14ac:dyDescent="0.3">
      <c r="B68" s="13" t="s">
        <v>167</v>
      </c>
      <c r="C68" s="181">
        <v>63</v>
      </c>
      <c r="D68" s="137" t="s">
        <v>128</v>
      </c>
      <c r="Q68" t="s">
        <v>984</v>
      </c>
      <c r="R68" s="126">
        <v>66</v>
      </c>
      <c r="S68" s="126"/>
    </row>
    <row r="69" spans="2:19" x14ac:dyDescent="0.3">
      <c r="B69" s="13" t="s">
        <v>252</v>
      </c>
      <c r="C69" s="170">
        <v>92</v>
      </c>
      <c r="D69" s="137" t="s">
        <v>231</v>
      </c>
      <c r="Q69" t="s">
        <v>985</v>
      </c>
      <c r="R69" s="126">
        <v>67</v>
      </c>
      <c r="S69" s="126"/>
    </row>
    <row r="70" spans="2:19" x14ac:dyDescent="0.3">
      <c r="B70" s="13" t="s">
        <v>179</v>
      </c>
      <c r="C70" s="182">
        <v>67</v>
      </c>
      <c r="D70" s="137" t="s">
        <v>173</v>
      </c>
      <c r="Q70" t="s">
        <v>986</v>
      </c>
      <c r="R70" s="126">
        <v>68</v>
      </c>
      <c r="S70" s="126"/>
    </row>
    <row r="71" spans="2:19" x14ac:dyDescent="0.3">
      <c r="B71" s="13" t="s">
        <v>48</v>
      </c>
      <c r="C71" s="181" t="s">
        <v>47</v>
      </c>
      <c r="D71" s="137" t="s">
        <v>7</v>
      </c>
      <c r="Q71" t="s">
        <v>987</v>
      </c>
      <c r="R71" s="126">
        <v>69</v>
      </c>
      <c r="S71" s="126"/>
    </row>
    <row r="72" spans="2:19" ht="52.8" x14ac:dyDescent="0.3">
      <c r="B72" s="179" t="s">
        <v>125</v>
      </c>
      <c r="C72" s="170">
        <v>49</v>
      </c>
      <c r="D72" s="123" t="s">
        <v>109</v>
      </c>
      <c r="Q72" t="s">
        <v>988</v>
      </c>
      <c r="R72" s="126">
        <v>70</v>
      </c>
      <c r="S72" s="126"/>
    </row>
    <row r="73" spans="2:19" x14ac:dyDescent="0.3">
      <c r="B73" s="13" t="s">
        <v>51</v>
      </c>
      <c r="C73" s="168" t="s">
        <v>50</v>
      </c>
      <c r="D73" s="137" t="s">
        <v>7</v>
      </c>
      <c r="Q73" t="s">
        <v>989</v>
      </c>
      <c r="R73" s="126">
        <v>71</v>
      </c>
      <c r="S73" s="126"/>
    </row>
    <row r="74" spans="2:19" x14ac:dyDescent="0.3">
      <c r="B74" s="13" t="s">
        <v>54</v>
      </c>
      <c r="C74" s="181" t="s">
        <v>53</v>
      </c>
      <c r="D74" s="137" t="s">
        <v>7</v>
      </c>
      <c r="Q74" t="s">
        <v>990</v>
      </c>
      <c r="R74" s="126">
        <v>72</v>
      </c>
      <c r="S74" s="126"/>
    </row>
    <row r="75" spans="2:19" x14ac:dyDescent="0.3">
      <c r="B75" s="13" t="s">
        <v>228</v>
      </c>
      <c r="C75" s="181">
        <v>82</v>
      </c>
      <c r="D75" s="137" t="s">
        <v>192</v>
      </c>
      <c r="Q75" t="s">
        <v>991</v>
      </c>
      <c r="R75" s="126">
        <v>73</v>
      </c>
      <c r="S75" s="126"/>
    </row>
    <row r="76" spans="2:19" x14ac:dyDescent="0.3">
      <c r="B76" s="13" t="s">
        <v>57</v>
      </c>
      <c r="C76" s="168" t="s">
        <v>56</v>
      </c>
      <c r="D76" s="137" t="s">
        <v>7</v>
      </c>
      <c r="Q76" t="s">
        <v>992</v>
      </c>
      <c r="R76" s="126">
        <v>74</v>
      </c>
      <c r="S76" s="126"/>
    </row>
    <row r="77" spans="2:19" x14ac:dyDescent="0.3">
      <c r="B77" s="13" t="s">
        <v>182</v>
      </c>
      <c r="C77" s="170">
        <v>68</v>
      </c>
      <c r="D77" s="137" t="s">
        <v>173</v>
      </c>
      <c r="Q77" t="s">
        <v>574</v>
      </c>
      <c r="R77" s="126">
        <v>75</v>
      </c>
      <c r="S77" s="126"/>
    </row>
    <row r="78" spans="2:19" x14ac:dyDescent="0.3">
      <c r="B78" s="13" t="s">
        <v>143</v>
      </c>
      <c r="C78" s="170">
        <v>55</v>
      </c>
      <c r="D78" s="137" t="s">
        <v>128</v>
      </c>
      <c r="Q78" t="s">
        <v>575</v>
      </c>
      <c r="R78" s="126">
        <v>76</v>
      </c>
      <c r="S78" s="126"/>
    </row>
    <row r="79" spans="2:19" x14ac:dyDescent="0.3">
      <c r="B79" s="13" t="s">
        <v>170</v>
      </c>
      <c r="C79" s="182">
        <v>64</v>
      </c>
      <c r="D79" s="137" t="s">
        <v>128</v>
      </c>
      <c r="Q79" t="s">
        <v>576</v>
      </c>
      <c r="R79" s="126">
        <v>77</v>
      </c>
      <c r="S79" s="126"/>
    </row>
    <row r="80" spans="2:19" x14ac:dyDescent="0.3">
      <c r="B80" s="13" t="s">
        <v>243</v>
      </c>
      <c r="C80" s="170">
        <v>89</v>
      </c>
      <c r="D80" s="137" t="s">
        <v>231</v>
      </c>
      <c r="Q80" t="s">
        <v>577</v>
      </c>
      <c r="R80" s="126">
        <v>78</v>
      </c>
      <c r="S80" s="126"/>
    </row>
    <row r="81" spans="2:21" x14ac:dyDescent="0.3">
      <c r="B81" s="18" t="s">
        <v>276</v>
      </c>
      <c r="C81" s="168">
        <v>69</v>
      </c>
      <c r="D81" s="137" t="s">
        <v>173</v>
      </c>
      <c r="Q81" t="s">
        <v>578</v>
      </c>
      <c r="R81" s="126">
        <v>79</v>
      </c>
      <c r="S81" s="126"/>
    </row>
    <row r="82" spans="2:21" x14ac:dyDescent="0.3">
      <c r="B82" s="13" t="s">
        <v>189</v>
      </c>
      <c r="C82" s="170">
        <v>71</v>
      </c>
      <c r="D82" s="137" t="s">
        <v>173</v>
      </c>
      <c r="Q82" t="s">
        <v>579</v>
      </c>
      <c r="R82" s="126">
        <v>80</v>
      </c>
      <c r="S82" s="126"/>
    </row>
    <row r="83" spans="2:21" ht="52.8" x14ac:dyDescent="0.3">
      <c r="B83" s="179" t="s">
        <v>122</v>
      </c>
      <c r="C83" s="181">
        <v>48</v>
      </c>
      <c r="D83" s="123" t="s">
        <v>109</v>
      </c>
      <c r="Q83" t="s">
        <v>580</v>
      </c>
      <c r="R83" s="126">
        <v>81</v>
      </c>
      <c r="S83" s="126"/>
    </row>
    <row r="84" spans="2:21" x14ac:dyDescent="0.3">
      <c r="B84" s="13" t="s">
        <v>146</v>
      </c>
      <c r="C84" s="182">
        <v>56</v>
      </c>
      <c r="D84" s="137" t="s">
        <v>128</v>
      </c>
      <c r="Q84" t="s">
        <v>581</v>
      </c>
      <c r="R84" s="126">
        <v>82</v>
      </c>
      <c r="S84" s="126"/>
    </row>
    <row r="85" spans="2:21" x14ac:dyDescent="0.3">
      <c r="B85" s="13" t="s">
        <v>256</v>
      </c>
      <c r="C85" s="170">
        <v>94</v>
      </c>
      <c r="D85" s="137" t="s">
        <v>231</v>
      </c>
      <c r="Q85" t="s">
        <v>582</v>
      </c>
      <c r="R85" s="126">
        <v>83</v>
      </c>
      <c r="S85" s="126"/>
    </row>
    <row r="86" spans="2:21" x14ac:dyDescent="0.3">
      <c r="B86" s="18" t="s">
        <v>277</v>
      </c>
      <c r="C86" s="170">
        <v>70</v>
      </c>
      <c r="D86" s="137" t="s">
        <v>173</v>
      </c>
      <c r="Q86" t="s">
        <v>583</v>
      </c>
      <c r="R86" s="126">
        <v>84</v>
      </c>
      <c r="S86" s="126"/>
    </row>
    <row r="87" spans="2:21" x14ac:dyDescent="0.3">
      <c r="B87" s="13" t="s">
        <v>60</v>
      </c>
      <c r="C87" s="168" t="s">
        <v>59</v>
      </c>
      <c r="D87" s="137" t="s">
        <v>7</v>
      </c>
      <c r="Q87" t="s">
        <v>584</v>
      </c>
      <c r="R87" s="126">
        <v>85</v>
      </c>
      <c r="S87" s="126"/>
    </row>
    <row r="88" spans="2:21" x14ac:dyDescent="0.3">
      <c r="Q88" t="s">
        <v>585</v>
      </c>
      <c r="R88" s="126">
        <v>86</v>
      </c>
      <c r="S88" s="126"/>
    </row>
    <row r="89" spans="2:21" x14ac:dyDescent="0.3">
      <c r="Q89" t="s">
        <v>586</v>
      </c>
      <c r="R89" s="126">
        <v>87</v>
      </c>
      <c r="S89" s="126"/>
    </row>
    <row r="90" spans="2:21" x14ac:dyDescent="0.3">
      <c r="Q90" t="s">
        <v>587</v>
      </c>
      <c r="R90" s="126">
        <v>88</v>
      </c>
      <c r="S90" s="126"/>
    </row>
    <row r="91" spans="2:21" x14ac:dyDescent="0.3">
      <c r="Q91" s="193" t="s">
        <v>588</v>
      </c>
      <c r="R91" s="126">
        <v>89</v>
      </c>
      <c r="S91" s="126"/>
      <c r="U91" s="192"/>
    </row>
    <row r="92" spans="2:21" x14ac:dyDescent="0.3">
      <c r="Q92" s="193" t="s">
        <v>589</v>
      </c>
      <c r="R92" s="126">
        <v>90</v>
      </c>
      <c r="S92" s="126"/>
      <c r="U92" s="192"/>
    </row>
    <row r="93" spans="2:21" x14ac:dyDescent="0.3">
      <c r="Q93" s="193" t="s">
        <v>590</v>
      </c>
      <c r="R93" s="126">
        <v>91</v>
      </c>
      <c r="S93" s="126"/>
      <c r="U93" s="192"/>
    </row>
    <row r="94" spans="2:21" x14ac:dyDescent="0.3">
      <c r="Q94" s="193" t="s">
        <v>591</v>
      </c>
      <c r="R94" s="126">
        <v>92</v>
      </c>
      <c r="S94" s="126"/>
      <c r="U94" s="192"/>
    </row>
    <row r="95" spans="2:21" x14ac:dyDescent="0.3">
      <c r="Q95" s="193" t="s">
        <v>919</v>
      </c>
      <c r="R95" s="126">
        <v>93</v>
      </c>
      <c r="S95" s="126"/>
      <c r="U95" s="192"/>
    </row>
    <row r="96" spans="2:21" x14ac:dyDescent="0.3">
      <c r="Q96" s="193" t="s">
        <v>920</v>
      </c>
      <c r="R96" s="126">
        <v>94</v>
      </c>
      <c r="S96" s="126"/>
      <c r="U96" s="192"/>
    </row>
    <row r="97" spans="17:21" x14ac:dyDescent="0.3">
      <c r="Q97" s="193" t="s">
        <v>921</v>
      </c>
      <c r="R97" s="126">
        <v>95</v>
      </c>
      <c r="S97" s="126"/>
      <c r="U97" s="192"/>
    </row>
    <row r="98" spans="17:21" x14ac:dyDescent="0.3">
      <c r="Q98" s="193" t="s">
        <v>922</v>
      </c>
      <c r="R98" s="126">
        <v>96</v>
      </c>
      <c r="S98" s="126"/>
      <c r="U98" s="192"/>
    </row>
    <row r="99" spans="17:21" x14ac:dyDescent="0.3">
      <c r="Q99" s="193" t="s">
        <v>923</v>
      </c>
      <c r="R99" s="126">
        <v>97</v>
      </c>
      <c r="S99" s="126"/>
      <c r="U99" s="192"/>
    </row>
    <row r="100" spans="17:21" x14ac:dyDescent="0.3">
      <c r="Q100" s="193" t="s">
        <v>924</v>
      </c>
      <c r="R100" s="126">
        <v>98</v>
      </c>
      <c r="S100" s="126"/>
      <c r="U100" s="192"/>
    </row>
    <row r="101" spans="17:21" x14ac:dyDescent="0.3">
      <c r="Q101" s="194" t="s">
        <v>925</v>
      </c>
      <c r="R101" s="126">
        <v>99</v>
      </c>
      <c r="S101" s="126"/>
      <c r="U101" s="192"/>
    </row>
    <row r="102" spans="17:21" x14ac:dyDescent="0.3">
      <c r="Q102" s="193" t="s">
        <v>926</v>
      </c>
      <c r="R102" s="126">
        <v>100</v>
      </c>
      <c r="S102" s="126"/>
      <c r="U102" s="192"/>
    </row>
    <row r="103" spans="17:21" x14ac:dyDescent="0.3">
      <c r="Q103" s="193" t="s">
        <v>927</v>
      </c>
      <c r="R103" s="126">
        <v>101</v>
      </c>
      <c r="S103" s="126"/>
      <c r="U103" s="192"/>
    </row>
    <row r="104" spans="17:21" x14ac:dyDescent="0.3">
      <c r="Q104" s="193" t="s">
        <v>928</v>
      </c>
      <c r="R104" s="126">
        <v>102</v>
      </c>
      <c r="S104" s="126"/>
      <c r="U104" s="192"/>
    </row>
    <row r="105" spans="17:21" x14ac:dyDescent="0.3">
      <c r="Q105" s="193" t="s">
        <v>929</v>
      </c>
      <c r="R105" s="126">
        <v>103</v>
      </c>
      <c r="S105" s="126"/>
      <c r="U105" s="192"/>
    </row>
    <row r="106" spans="17:21" x14ac:dyDescent="0.3">
      <c r="Q106" s="193" t="s">
        <v>930</v>
      </c>
      <c r="R106" s="126">
        <v>104</v>
      </c>
      <c r="S106" s="126"/>
      <c r="U106" s="192"/>
    </row>
    <row r="107" spans="17:21" x14ac:dyDescent="0.3">
      <c r="Q107" s="193" t="s">
        <v>931</v>
      </c>
      <c r="R107" s="126">
        <v>105</v>
      </c>
      <c r="S107" s="126"/>
      <c r="U107" s="192"/>
    </row>
    <row r="108" spans="17:21" x14ac:dyDescent="0.3">
      <c r="Q108" s="193" t="s">
        <v>932</v>
      </c>
      <c r="R108" s="126">
        <v>106</v>
      </c>
      <c r="S108" s="126"/>
      <c r="U108" s="192"/>
    </row>
    <row r="109" spans="17:21" x14ac:dyDescent="0.3">
      <c r="Q109" s="193" t="s">
        <v>933</v>
      </c>
      <c r="R109" s="126">
        <v>107</v>
      </c>
      <c r="S109" s="126"/>
      <c r="U109" s="192"/>
    </row>
    <row r="110" spans="17:21" x14ac:dyDescent="0.3">
      <c r="Q110" s="193" t="s">
        <v>934</v>
      </c>
      <c r="R110" s="126">
        <v>108</v>
      </c>
      <c r="S110" s="126"/>
      <c r="U110" s="192"/>
    </row>
    <row r="111" spans="17:21" x14ac:dyDescent="0.3">
      <c r="Q111" s="193" t="s">
        <v>935</v>
      </c>
      <c r="R111" s="126">
        <v>109</v>
      </c>
      <c r="S111" s="126"/>
      <c r="U111" s="192"/>
    </row>
    <row r="112" spans="17:21" x14ac:dyDescent="0.3">
      <c r="Q112" s="193" t="s">
        <v>936</v>
      </c>
      <c r="R112" s="126">
        <v>110</v>
      </c>
      <c r="S112" s="126"/>
      <c r="U112" s="192"/>
    </row>
    <row r="113" spans="17:19" x14ac:dyDescent="0.3">
      <c r="Q113" t="s">
        <v>994</v>
      </c>
      <c r="R113" s="126">
        <v>111</v>
      </c>
      <c r="S113" s="126"/>
    </row>
    <row r="114" spans="17:19" x14ac:dyDescent="0.3">
      <c r="Q114" t="s">
        <v>995</v>
      </c>
      <c r="R114" s="126">
        <v>112</v>
      </c>
      <c r="S114" s="126"/>
    </row>
    <row r="115" spans="17:19" x14ac:dyDescent="0.3">
      <c r="Q115" t="s">
        <v>996</v>
      </c>
      <c r="R115" s="126">
        <v>113</v>
      </c>
      <c r="S115" s="126"/>
    </row>
    <row r="116" spans="17:19" x14ac:dyDescent="0.3">
      <c r="Q116" t="s">
        <v>997</v>
      </c>
      <c r="R116" s="126">
        <v>114</v>
      </c>
      <c r="S116" s="126"/>
    </row>
    <row r="117" spans="17:19" x14ac:dyDescent="0.3">
      <c r="Q117" t="s">
        <v>998</v>
      </c>
      <c r="R117" s="126">
        <v>115</v>
      </c>
      <c r="S117" s="126"/>
    </row>
    <row r="118" spans="17:19" x14ac:dyDescent="0.3">
      <c r="Q118" t="s">
        <v>999</v>
      </c>
      <c r="R118" s="126">
        <v>116</v>
      </c>
      <c r="S118" s="126"/>
    </row>
    <row r="119" spans="17:19" x14ac:dyDescent="0.3">
      <c r="Q119" t="s">
        <v>1000</v>
      </c>
      <c r="R119" s="126">
        <v>117</v>
      </c>
      <c r="S119" s="126"/>
    </row>
    <row r="120" spans="17:19" x14ac:dyDescent="0.3">
      <c r="Q120" t="s">
        <v>1001</v>
      </c>
      <c r="R120" s="126">
        <v>118</v>
      </c>
      <c r="S120" s="126"/>
    </row>
    <row r="121" spans="17:19" x14ac:dyDescent="0.3">
      <c r="Q121" t="s">
        <v>1002</v>
      </c>
      <c r="R121" s="126">
        <v>119</v>
      </c>
      <c r="S121" s="126"/>
    </row>
    <row r="122" spans="17:19" x14ac:dyDescent="0.3">
      <c r="Q122" t="s">
        <v>1003</v>
      </c>
      <c r="R122" s="126">
        <v>120</v>
      </c>
      <c r="S122" s="126"/>
    </row>
    <row r="123" spans="17:19" x14ac:dyDescent="0.3">
      <c r="Q123" t="s">
        <v>1004</v>
      </c>
      <c r="R123" s="126">
        <v>121</v>
      </c>
      <c r="S123" s="126"/>
    </row>
    <row r="124" spans="17:19" x14ac:dyDescent="0.3">
      <c r="Q124" t="s">
        <v>1005</v>
      </c>
      <c r="R124" s="126">
        <v>122</v>
      </c>
      <c r="S124" s="126"/>
    </row>
    <row r="125" spans="17:19" x14ac:dyDescent="0.3">
      <c r="Q125" t="s">
        <v>1006</v>
      </c>
      <c r="R125" s="126">
        <v>123</v>
      </c>
      <c r="S125" s="126"/>
    </row>
    <row r="126" spans="17:19" x14ac:dyDescent="0.3">
      <c r="Q126" t="s">
        <v>1007</v>
      </c>
      <c r="R126" s="126">
        <v>124</v>
      </c>
      <c r="S126" s="126"/>
    </row>
    <row r="127" spans="17:19" x14ac:dyDescent="0.3">
      <c r="Q127" t="s">
        <v>1008</v>
      </c>
      <c r="R127" s="126">
        <v>125</v>
      </c>
      <c r="S127" s="126"/>
    </row>
    <row r="128" spans="17:19" x14ac:dyDescent="0.3">
      <c r="Q128" t="s">
        <v>1009</v>
      </c>
      <c r="R128" s="126">
        <v>126</v>
      </c>
      <c r="S128" s="126"/>
    </row>
    <row r="129" spans="17:19" x14ac:dyDescent="0.3">
      <c r="Q129" t="s">
        <v>1010</v>
      </c>
      <c r="R129" s="126">
        <v>127</v>
      </c>
      <c r="S129" s="126"/>
    </row>
    <row r="130" spans="17:19" x14ac:dyDescent="0.3">
      <c r="Q130" t="s">
        <v>1011</v>
      </c>
      <c r="R130" s="126">
        <v>128</v>
      </c>
      <c r="S130" s="126"/>
    </row>
    <row r="131" spans="17:19" s="126" customFormat="1" x14ac:dyDescent="0.3">
      <c r="Q131" s="126" t="s">
        <v>956</v>
      </c>
      <c r="R131" s="126">
        <v>129</v>
      </c>
    </row>
    <row r="132" spans="17:19" s="126" customFormat="1" x14ac:dyDescent="0.3">
      <c r="Q132" s="126" t="s">
        <v>957</v>
      </c>
      <c r="R132" s="126">
        <v>130</v>
      </c>
    </row>
    <row r="133" spans="17:19" s="126" customFormat="1" x14ac:dyDescent="0.3">
      <c r="Q133" s="126" t="s">
        <v>958</v>
      </c>
      <c r="R133" s="126">
        <v>131</v>
      </c>
    </row>
    <row r="134" spans="17:19" s="126" customFormat="1" x14ac:dyDescent="0.3">
      <c r="Q134" s="126" t="s">
        <v>959</v>
      </c>
      <c r="R134" s="126">
        <v>132</v>
      </c>
    </row>
    <row r="135" spans="17:19" s="126" customFormat="1" x14ac:dyDescent="0.3">
      <c r="Q135" s="126" t="s">
        <v>960</v>
      </c>
      <c r="R135" s="126">
        <v>133</v>
      </c>
    </row>
    <row r="136" spans="17:19" s="126" customFormat="1" x14ac:dyDescent="0.3">
      <c r="Q136" s="126" t="s">
        <v>961</v>
      </c>
      <c r="R136" s="126">
        <v>134</v>
      </c>
    </row>
    <row r="137" spans="17:19" s="126" customFormat="1" x14ac:dyDescent="0.3">
      <c r="Q137" s="126" t="s">
        <v>962</v>
      </c>
      <c r="R137" s="126">
        <v>135</v>
      </c>
    </row>
    <row r="138" spans="17:19" s="126" customFormat="1" x14ac:dyDescent="0.3">
      <c r="Q138" s="126" t="s">
        <v>963</v>
      </c>
      <c r="R138" s="126">
        <v>136</v>
      </c>
    </row>
    <row r="139" spans="17:19" s="126" customFormat="1" x14ac:dyDescent="0.3">
      <c r="Q139" s="126" t="s">
        <v>964</v>
      </c>
      <c r="R139" s="126">
        <v>137</v>
      </c>
    </row>
    <row r="140" spans="17:19" s="126" customFormat="1" x14ac:dyDescent="0.3">
      <c r="Q140" s="126" t="s">
        <v>965</v>
      </c>
      <c r="R140" s="126">
        <v>138</v>
      </c>
    </row>
    <row r="141" spans="17:19" s="126" customFormat="1" x14ac:dyDescent="0.3">
      <c r="Q141" s="126" t="s">
        <v>966</v>
      </c>
      <c r="R141" s="126">
        <v>139</v>
      </c>
    </row>
    <row r="142" spans="17:19" s="126" customFormat="1" x14ac:dyDescent="0.3">
      <c r="Q142" s="126" t="s">
        <v>967</v>
      </c>
      <c r="R142" s="126">
        <v>140</v>
      </c>
    </row>
    <row r="143" spans="17:19" s="126" customFormat="1" x14ac:dyDescent="0.3">
      <c r="Q143" s="126" t="s">
        <v>968</v>
      </c>
      <c r="R143" s="126">
        <v>141</v>
      </c>
    </row>
    <row r="144" spans="17:19" s="126" customFormat="1" x14ac:dyDescent="0.3">
      <c r="Q144" s="126" t="s">
        <v>969</v>
      </c>
      <c r="R144" s="126">
        <v>142</v>
      </c>
    </row>
    <row r="145" spans="17:19" s="126" customFormat="1" x14ac:dyDescent="0.3">
      <c r="Q145" s="126" t="s">
        <v>970</v>
      </c>
      <c r="R145" s="126">
        <v>143</v>
      </c>
    </row>
    <row r="146" spans="17:19" s="126" customFormat="1" x14ac:dyDescent="0.3">
      <c r="Q146" s="126" t="s">
        <v>971</v>
      </c>
      <c r="R146" s="126">
        <v>144</v>
      </c>
    </row>
    <row r="147" spans="17:19" s="126" customFormat="1" x14ac:dyDescent="0.3">
      <c r="Q147" s="126" t="s">
        <v>972</v>
      </c>
      <c r="R147" s="126">
        <v>145</v>
      </c>
    </row>
    <row r="148" spans="17:19" s="126" customFormat="1" x14ac:dyDescent="0.3">
      <c r="Q148" s="126" t="s">
        <v>973</v>
      </c>
      <c r="R148" s="126">
        <v>146</v>
      </c>
    </row>
    <row r="149" spans="17:19" x14ac:dyDescent="0.3">
      <c r="Q149" t="s">
        <v>646</v>
      </c>
      <c r="R149" s="126">
        <v>147</v>
      </c>
      <c r="S149" s="126"/>
    </row>
    <row r="150" spans="17:19" x14ac:dyDescent="0.3">
      <c r="Q150" t="s">
        <v>647</v>
      </c>
      <c r="R150" s="126">
        <v>148</v>
      </c>
      <c r="S150" s="126"/>
    </row>
    <row r="151" spans="17:19" x14ac:dyDescent="0.3">
      <c r="Q151" t="s">
        <v>648</v>
      </c>
      <c r="R151" s="126">
        <v>149</v>
      </c>
      <c r="S151" s="126"/>
    </row>
    <row r="152" spans="17:19" x14ac:dyDescent="0.3">
      <c r="Q152" t="s">
        <v>649</v>
      </c>
      <c r="R152" s="126">
        <v>150</v>
      </c>
      <c r="S152" s="126"/>
    </row>
    <row r="153" spans="17:19" x14ac:dyDescent="0.3">
      <c r="Q153" t="s">
        <v>650</v>
      </c>
      <c r="R153" s="126">
        <v>151</v>
      </c>
      <c r="S153" s="126"/>
    </row>
    <row r="154" spans="17:19" x14ac:dyDescent="0.3">
      <c r="Q154" t="s">
        <v>651</v>
      </c>
      <c r="R154" s="126">
        <v>152</v>
      </c>
      <c r="S154" s="126"/>
    </row>
    <row r="155" spans="17:19" x14ac:dyDescent="0.3">
      <c r="Q155" t="s">
        <v>652</v>
      </c>
      <c r="R155" s="126">
        <v>153</v>
      </c>
      <c r="S155" s="126"/>
    </row>
    <row r="156" spans="17:19" x14ac:dyDescent="0.3">
      <c r="Q156" t="s">
        <v>653</v>
      </c>
      <c r="R156" s="126">
        <v>154</v>
      </c>
      <c r="S156" s="126"/>
    </row>
    <row r="157" spans="17:19" x14ac:dyDescent="0.3">
      <c r="Q157" t="s">
        <v>654</v>
      </c>
      <c r="R157" s="126">
        <v>155</v>
      </c>
      <c r="S157" s="126"/>
    </row>
    <row r="158" spans="17:19" x14ac:dyDescent="0.3">
      <c r="Q158" t="s">
        <v>655</v>
      </c>
      <c r="R158" s="126">
        <v>156</v>
      </c>
      <c r="S158" s="126"/>
    </row>
    <row r="159" spans="17:19" x14ac:dyDescent="0.3">
      <c r="Q159" t="s">
        <v>656</v>
      </c>
      <c r="R159" s="126">
        <v>157</v>
      </c>
      <c r="S159" s="126"/>
    </row>
    <row r="160" spans="17:19" x14ac:dyDescent="0.3">
      <c r="Q160" t="s">
        <v>657</v>
      </c>
      <c r="R160" s="126">
        <v>158</v>
      </c>
      <c r="S160" s="126"/>
    </row>
    <row r="161" spans="17:19" x14ac:dyDescent="0.3">
      <c r="Q161" t="s">
        <v>658</v>
      </c>
      <c r="R161" s="126">
        <v>159</v>
      </c>
      <c r="S161" s="126"/>
    </row>
    <row r="162" spans="17:19" x14ac:dyDescent="0.3">
      <c r="Q162" t="s">
        <v>659</v>
      </c>
      <c r="R162" s="126">
        <v>160</v>
      </c>
      <c r="S162" s="126"/>
    </row>
    <row r="163" spans="17:19" x14ac:dyDescent="0.3">
      <c r="Q163" t="s">
        <v>660</v>
      </c>
      <c r="R163" s="126">
        <v>161</v>
      </c>
      <c r="S163" s="126"/>
    </row>
    <row r="164" spans="17:19" x14ac:dyDescent="0.3">
      <c r="Q164" t="s">
        <v>661</v>
      </c>
      <c r="R164" s="126">
        <v>162</v>
      </c>
      <c r="S164" s="126"/>
    </row>
    <row r="165" spans="17:19" x14ac:dyDescent="0.3">
      <c r="Q165" t="s">
        <v>662</v>
      </c>
      <c r="R165" s="126">
        <v>163</v>
      </c>
      <c r="S165" s="126"/>
    </row>
    <row r="166" spans="17:19" x14ac:dyDescent="0.3">
      <c r="Q166" t="s">
        <v>663</v>
      </c>
      <c r="R166" s="126">
        <v>164</v>
      </c>
      <c r="S166" s="126"/>
    </row>
    <row r="167" spans="17:19" x14ac:dyDescent="0.3">
      <c r="Q167" t="s">
        <v>713</v>
      </c>
      <c r="R167" s="126">
        <v>165</v>
      </c>
      <c r="S167" s="126"/>
    </row>
    <row r="168" spans="17:19" x14ac:dyDescent="0.3">
      <c r="Q168" t="s">
        <v>714</v>
      </c>
      <c r="R168" s="126">
        <v>166</v>
      </c>
      <c r="S168" s="126"/>
    </row>
    <row r="169" spans="17:19" x14ac:dyDescent="0.3">
      <c r="Q169" t="s">
        <v>715</v>
      </c>
      <c r="R169" s="126">
        <v>167</v>
      </c>
      <c r="S169" s="126"/>
    </row>
    <row r="170" spans="17:19" x14ac:dyDescent="0.3">
      <c r="Q170" t="s">
        <v>716</v>
      </c>
      <c r="R170" s="126">
        <v>168</v>
      </c>
      <c r="S170" s="126"/>
    </row>
    <row r="171" spans="17:19" x14ac:dyDescent="0.3">
      <c r="Q171" t="s">
        <v>717</v>
      </c>
      <c r="R171" s="126">
        <v>169</v>
      </c>
      <c r="S171" s="126"/>
    </row>
    <row r="172" spans="17:19" x14ac:dyDescent="0.3">
      <c r="Q172" t="s">
        <v>718</v>
      </c>
      <c r="R172" s="126">
        <v>170</v>
      </c>
      <c r="S172" s="126"/>
    </row>
    <row r="173" spans="17:19" x14ac:dyDescent="0.3">
      <c r="Q173" t="s">
        <v>719</v>
      </c>
      <c r="R173" s="126">
        <v>171</v>
      </c>
      <c r="S173" s="126"/>
    </row>
    <row r="174" spans="17:19" x14ac:dyDescent="0.3">
      <c r="Q174" t="s">
        <v>720</v>
      </c>
      <c r="R174" s="126">
        <v>172</v>
      </c>
      <c r="S174" s="126"/>
    </row>
    <row r="175" spans="17:19" x14ac:dyDescent="0.3">
      <c r="Q175" t="s">
        <v>721</v>
      </c>
      <c r="R175" s="126">
        <v>173</v>
      </c>
      <c r="S175" s="126"/>
    </row>
    <row r="176" spans="17:19" x14ac:dyDescent="0.3">
      <c r="Q176" t="s">
        <v>722</v>
      </c>
      <c r="R176" s="126">
        <v>174</v>
      </c>
      <c r="S176" s="126"/>
    </row>
    <row r="177" spans="17:19" x14ac:dyDescent="0.3">
      <c r="Q177" t="s">
        <v>723</v>
      </c>
      <c r="R177" s="126">
        <v>175</v>
      </c>
      <c r="S177" s="126"/>
    </row>
    <row r="178" spans="17:19" x14ac:dyDescent="0.3">
      <c r="Q178" t="s">
        <v>724</v>
      </c>
      <c r="R178" s="126">
        <v>176</v>
      </c>
      <c r="S178" s="126"/>
    </row>
    <row r="179" spans="17:19" x14ac:dyDescent="0.3">
      <c r="Q179" t="s">
        <v>725</v>
      </c>
      <c r="R179" s="126">
        <v>177</v>
      </c>
      <c r="S179" s="126"/>
    </row>
    <row r="180" spans="17:19" x14ac:dyDescent="0.3">
      <c r="Q180" t="s">
        <v>726</v>
      </c>
      <c r="R180" s="126">
        <v>178</v>
      </c>
      <c r="S180" s="126"/>
    </row>
    <row r="181" spans="17:19" x14ac:dyDescent="0.3">
      <c r="Q181" t="s">
        <v>727</v>
      </c>
      <c r="R181" s="126">
        <v>179</v>
      </c>
      <c r="S181" s="126"/>
    </row>
    <row r="182" spans="17:19" x14ac:dyDescent="0.3">
      <c r="Q182" t="s">
        <v>728</v>
      </c>
      <c r="R182" s="126">
        <v>180</v>
      </c>
      <c r="S182" s="126"/>
    </row>
    <row r="183" spans="17:19" x14ac:dyDescent="0.3">
      <c r="Q183" t="s">
        <v>729</v>
      </c>
      <c r="R183" s="126">
        <v>181</v>
      </c>
      <c r="S183" s="126"/>
    </row>
    <row r="184" spans="17:19" x14ac:dyDescent="0.3">
      <c r="Q184" t="s">
        <v>730</v>
      </c>
      <c r="R184" s="126">
        <v>182</v>
      </c>
      <c r="S184" s="126"/>
    </row>
    <row r="185" spans="17:19" x14ac:dyDescent="0.3">
      <c r="Q185" t="s">
        <v>731</v>
      </c>
      <c r="R185" s="126">
        <v>183</v>
      </c>
      <c r="S185" s="126"/>
    </row>
    <row r="186" spans="17:19" x14ac:dyDescent="0.3">
      <c r="Q186" t="s">
        <v>732</v>
      </c>
      <c r="R186" s="126">
        <v>184</v>
      </c>
      <c r="S186" s="126"/>
    </row>
    <row r="187" spans="17:19" x14ac:dyDescent="0.3">
      <c r="Q187" t="s">
        <v>733</v>
      </c>
      <c r="R187" s="126">
        <v>185</v>
      </c>
      <c r="S187" s="126"/>
    </row>
    <row r="188" spans="17:19" x14ac:dyDescent="0.3">
      <c r="Q188" t="s">
        <v>734</v>
      </c>
      <c r="R188" s="126">
        <v>186</v>
      </c>
      <c r="S188" s="126"/>
    </row>
    <row r="189" spans="17:19" x14ac:dyDescent="0.3">
      <c r="Q189" t="s">
        <v>735</v>
      </c>
      <c r="R189" s="126">
        <v>187</v>
      </c>
      <c r="S189" s="126"/>
    </row>
    <row r="190" spans="17:19" x14ac:dyDescent="0.3">
      <c r="Q190" t="s">
        <v>736</v>
      </c>
      <c r="R190" s="126">
        <v>188</v>
      </c>
      <c r="S190" s="126"/>
    </row>
    <row r="191" spans="17:19" x14ac:dyDescent="0.3">
      <c r="Q191" t="s">
        <v>737</v>
      </c>
      <c r="R191" s="126">
        <v>189</v>
      </c>
      <c r="S191" s="126"/>
    </row>
    <row r="192" spans="17:19" x14ac:dyDescent="0.3">
      <c r="Q192" t="s">
        <v>738</v>
      </c>
      <c r="R192" s="126">
        <v>190</v>
      </c>
      <c r="S192" s="126"/>
    </row>
    <row r="193" spans="17:19" x14ac:dyDescent="0.3">
      <c r="Q193" t="s">
        <v>739</v>
      </c>
      <c r="R193" s="126">
        <v>191</v>
      </c>
      <c r="S193" s="126"/>
    </row>
    <row r="194" spans="17:19" x14ac:dyDescent="0.3">
      <c r="Q194" t="s">
        <v>740</v>
      </c>
      <c r="R194" s="126">
        <v>192</v>
      </c>
      <c r="S194" s="126"/>
    </row>
    <row r="195" spans="17:19" x14ac:dyDescent="0.3">
      <c r="Q195" t="s">
        <v>741</v>
      </c>
      <c r="R195" s="126">
        <v>193</v>
      </c>
      <c r="S195" s="126"/>
    </row>
    <row r="196" spans="17:19" x14ac:dyDescent="0.3">
      <c r="Q196" t="s">
        <v>742</v>
      </c>
      <c r="R196" s="126">
        <v>194</v>
      </c>
      <c r="S196" s="126"/>
    </row>
    <row r="197" spans="17:19" x14ac:dyDescent="0.3">
      <c r="Q197" t="s">
        <v>743</v>
      </c>
      <c r="R197" s="126">
        <v>195</v>
      </c>
      <c r="S197" s="126"/>
    </row>
    <row r="198" spans="17:19" x14ac:dyDescent="0.3">
      <c r="Q198" t="s">
        <v>744</v>
      </c>
      <c r="R198" s="126">
        <v>196</v>
      </c>
      <c r="S198" s="126"/>
    </row>
    <row r="199" spans="17:19" x14ac:dyDescent="0.3">
      <c r="Q199" t="s">
        <v>745</v>
      </c>
      <c r="R199" s="126">
        <v>197</v>
      </c>
      <c r="S199" s="126"/>
    </row>
    <row r="200" spans="17:19" x14ac:dyDescent="0.3">
      <c r="Q200" t="s">
        <v>746</v>
      </c>
      <c r="R200" s="126">
        <v>198</v>
      </c>
      <c r="S200" s="126"/>
    </row>
    <row r="201" spans="17:19" x14ac:dyDescent="0.3">
      <c r="Q201" t="s">
        <v>747</v>
      </c>
      <c r="R201" s="126">
        <v>199</v>
      </c>
      <c r="S201" s="126"/>
    </row>
    <row r="202" spans="17:19" x14ac:dyDescent="0.3">
      <c r="Q202" t="s">
        <v>748</v>
      </c>
      <c r="R202" s="126">
        <v>200</v>
      </c>
      <c r="S202" s="126"/>
    </row>
    <row r="203" spans="17:19" x14ac:dyDescent="0.3">
      <c r="Q203" t="s">
        <v>749</v>
      </c>
      <c r="R203" s="126">
        <v>201</v>
      </c>
      <c r="S203" s="126"/>
    </row>
    <row r="204" spans="17:19" x14ac:dyDescent="0.3">
      <c r="Q204" t="s">
        <v>750</v>
      </c>
      <c r="R204" s="126">
        <v>202</v>
      </c>
      <c r="S204" s="126"/>
    </row>
    <row r="205" spans="17:19" x14ac:dyDescent="0.3">
      <c r="Q205" t="s">
        <v>751</v>
      </c>
      <c r="R205" s="126">
        <v>203</v>
      </c>
      <c r="S205" s="126"/>
    </row>
    <row r="206" spans="17:19" x14ac:dyDescent="0.3">
      <c r="Q206" t="s">
        <v>752</v>
      </c>
      <c r="R206" s="126">
        <v>204</v>
      </c>
      <c r="S206" s="126"/>
    </row>
    <row r="207" spans="17:19" x14ac:dyDescent="0.3">
      <c r="Q207" t="s">
        <v>753</v>
      </c>
      <c r="R207" s="126">
        <v>205</v>
      </c>
      <c r="S207" s="126"/>
    </row>
    <row r="208" spans="17:19" x14ac:dyDescent="0.3">
      <c r="Q208" t="s">
        <v>754</v>
      </c>
      <c r="R208" s="126">
        <v>206</v>
      </c>
      <c r="S208" s="126"/>
    </row>
    <row r="209" spans="17:19" x14ac:dyDescent="0.3">
      <c r="Q209" t="s">
        <v>755</v>
      </c>
      <c r="R209" s="126">
        <v>207</v>
      </c>
      <c r="S209" s="126"/>
    </row>
    <row r="210" spans="17:19" x14ac:dyDescent="0.3">
      <c r="Q210" t="s">
        <v>756</v>
      </c>
      <c r="R210" s="126">
        <v>208</v>
      </c>
      <c r="S210" s="126"/>
    </row>
    <row r="211" spans="17:19" x14ac:dyDescent="0.3">
      <c r="Q211" t="s">
        <v>757</v>
      </c>
      <c r="R211" s="126">
        <v>209</v>
      </c>
      <c r="S211" s="126"/>
    </row>
    <row r="212" spans="17:19" x14ac:dyDescent="0.3">
      <c r="Q212" t="s">
        <v>758</v>
      </c>
      <c r="R212" s="126">
        <v>210</v>
      </c>
      <c r="S212" s="126"/>
    </row>
    <row r="213" spans="17:19" x14ac:dyDescent="0.3">
      <c r="Q213" t="s">
        <v>759</v>
      </c>
      <c r="R213" s="126">
        <v>211</v>
      </c>
      <c r="S213" s="126"/>
    </row>
    <row r="214" spans="17:19" x14ac:dyDescent="0.3">
      <c r="Q214" t="s">
        <v>760</v>
      </c>
      <c r="R214" s="126">
        <v>212</v>
      </c>
      <c r="S214" s="126"/>
    </row>
    <row r="215" spans="17:19" x14ac:dyDescent="0.3">
      <c r="Q215" t="s">
        <v>761</v>
      </c>
      <c r="R215" s="126">
        <v>213</v>
      </c>
      <c r="S215" s="126"/>
    </row>
    <row r="216" spans="17:19" x14ac:dyDescent="0.3">
      <c r="Q216" t="s">
        <v>762</v>
      </c>
      <c r="R216" s="126">
        <v>214</v>
      </c>
      <c r="S216" s="126"/>
    </row>
    <row r="217" spans="17:19" x14ac:dyDescent="0.3">
      <c r="Q217" t="s">
        <v>763</v>
      </c>
      <c r="R217" s="126">
        <v>215</v>
      </c>
      <c r="S217" s="126"/>
    </row>
    <row r="218" spans="17:19" x14ac:dyDescent="0.3">
      <c r="Q218" t="s">
        <v>764</v>
      </c>
      <c r="R218" s="126">
        <v>216</v>
      </c>
      <c r="S218" s="126"/>
    </row>
    <row r="219" spans="17:19" x14ac:dyDescent="0.3">
      <c r="Q219" t="s">
        <v>765</v>
      </c>
      <c r="R219" s="126">
        <v>217</v>
      </c>
      <c r="S219" s="126"/>
    </row>
    <row r="220" spans="17:19" x14ac:dyDescent="0.3">
      <c r="Q220" t="s">
        <v>766</v>
      </c>
      <c r="R220" s="126">
        <v>218</v>
      </c>
      <c r="S220" s="126"/>
    </row>
    <row r="221" spans="17:19" x14ac:dyDescent="0.3">
      <c r="Q221" t="s">
        <v>767</v>
      </c>
      <c r="R221" s="126">
        <v>219</v>
      </c>
      <c r="S221" s="126"/>
    </row>
    <row r="222" spans="17:19" x14ac:dyDescent="0.3">
      <c r="Q222" t="s">
        <v>768</v>
      </c>
      <c r="R222" s="126">
        <v>220</v>
      </c>
      <c r="S222" s="126"/>
    </row>
    <row r="223" spans="17:19" x14ac:dyDescent="0.3">
      <c r="Q223" t="s">
        <v>769</v>
      </c>
      <c r="R223" s="126">
        <v>221</v>
      </c>
      <c r="S223" s="126"/>
    </row>
    <row r="224" spans="17:19" x14ac:dyDescent="0.3">
      <c r="Q224" t="s">
        <v>770</v>
      </c>
      <c r="R224" s="126">
        <v>222</v>
      </c>
      <c r="S224" s="126"/>
    </row>
    <row r="225" spans="17:19" x14ac:dyDescent="0.3">
      <c r="Q225" t="s">
        <v>771</v>
      </c>
      <c r="R225" s="126">
        <v>223</v>
      </c>
      <c r="S225" s="126"/>
    </row>
    <row r="226" spans="17:19" x14ac:dyDescent="0.3">
      <c r="Q226" t="s">
        <v>772</v>
      </c>
      <c r="R226" s="126">
        <v>224</v>
      </c>
      <c r="S226" s="126"/>
    </row>
    <row r="227" spans="17:19" x14ac:dyDescent="0.3">
      <c r="Q227" t="s">
        <v>773</v>
      </c>
      <c r="R227" s="126">
        <v>225</v>
      </c>
      <c r="S227" s="126"/>
    </row>
    <row r="228" spans="17:19" x14ac:dyDescent="0.3">
      <c r="Q228" t="s">
        <v>774</v>
      </c>
      <c r="R228" s="126">
        <v>226</v>
      </c>
      <c r="S228" s="126"/>
    </row>
    <row r="229" spans="17:19" x14ac:dyDescent="0.3">
      <c r="Q229" t="s">
        <v>775</v>
      </c>
      <c r="R229" s="126">
        <v>227</v>
      </c>
      <c r="S229" s="126"/>
    </row>
    <row r="230" spans="17:19" x14ac:dyDescent="0.3">
      <c r="Q230" t="s">
        <v>776</v>
      </c>
      <c r="R230" s="126">
        <v>228</v>
      </c>
      <c r="S230" s="126"/>
    </row>
    <row r="231" spans="17:19" x14ac:dyDescent="0.3">
      <c r="Q231" t="s">
        <v>777</v>
      </c>
      <c r="R231" s="126">
        <v>229</v>
      </c>
      <c r="S231" s="126"/>
    </row>
    <row r="232" spans="17:19" x14ac:dyDescent="0.3">
      <c r="Q232" t="s">
        <v>778</v>
      </c>
      <c r="R232" s="126">
        <v>230</v>
      </c>
      <c r="S232" s="126"/>
    </row>
    <row r="233" spans="17:19" x14ac:dyDescent="0.3">
      <c r="Q233" t="s">
        <v>779</v>
      </c>
      <c r="R233" s="126">
        <v>231</v>
      </c>
      <c r="S233" s="126"/>
    </row>
    <row r="234" spans="17:19" x14ac:dyDescent="0.3">
      <c r="Q234" t="s">
        <v>780</v>
      </c>
      <c r="R234" s="126">
        <v>232</v>
      </c>
      <c r="S234" s="126"/>
    </row>
    <row r="235" spans="17:19" x14ac:dyDescent="0.3">
      <c r="Q235" t="s">
        <v>781</v>
      </c>
      <c r="R235" s="126">
        <v>233</v>
      </c>
      <c r="S235" s="126"/>
    </row>
    <row r="236" spans="17:19" x14ac:dyDescent="0.3">
      <c r="Q236" t="s">
        <v>782</v>
      </c>
      <c r="R236" s="126">
        <v>234</v>
      </c>
      <c r="S236" s="126"/>
    </row>
    <row r="237" spans="17:19" x14ac:dyDescent="0.3">
      <c r="Q237" t="s">
        <v>783</v>
      </c>
      <c r="R237" s="126">
        <v>235</v>
      </c>
      <c r="S237" s="126"/>
    </row>
    <row r="238" spans="17:19" x14ac:dyDescent="0.3">
      <c r="Q238" t="s">
        <v>784</v>
      </c>
      <c r="R238" s="126">
        <v>236</v>
      </c>
      <c r="S238" s="126"/>
    </row>
    <row r="239" spans="17:19" x14ac:dyDescent="0.3">
      <c r="Q239" t="s">
        <v>785</v>
      </c>
      <c r="R239" s="126">
        <v>237</v>
      </c>
      <c r="S239" s="126"/>
    </row>
    <row r="240" spans="17:19" x14ac:dyDescent="0.3">
      <c r="Q240" t="s">
        <v>786</v>
      </c>
      <c r="R240" s="126">
        <v>238</v>
      </c>
      <c r="S240" s="126"/>
    </row>
    <row r="241" spans="17:19" x14ac:dyDescent="0.3">
      <c r="Q241" t="s">
        <v>787</v>
      </c>
      <c r="R241" s="126">
        <v>239</v>
      </c>
      <c r="S241" s="126"/>
    </row>
    <row r="242" spans="17:19" x14ac:dyDescent="0.3">
      <c r="Q242" t="s">
        <v>788</v>
      </c>
      <c r="R242" s="126">
        <v>240</v>
      </c>
      <c r="S242" s="126"/>
    </row>
    <row r="243" spans="17:19" x14ac:dyDescent="0.3">
      <c r="Q243" t="s">
        <v>789</v>
      </c>
      <c r="R243" s="126">
        <v>241</v>
      </c>
      <c r="S243" s="126"/>
    </row>
    <row r="244" spans="17:19" x14ac:dyDescent="0.3">
      <c r="Q244" t="s">
        <v>790</v>
      </c>
      <c r="R244" s="126">
        <v>242</v>
      </c>
      <c r="S244" s="126"/>
    </row>
    <row r="245" spans="17:19" x14ac:dyDescent="0.3">
      <c r="Q245" t="s">
        <v>791</v>
      </c>
      <c r="R245" s="126">
        <v>243</v>
      </c>
      <c r="S245" s="126"/>
    </row>
    <row r="246" spans="17:19" x14ac:dyDescent="0.3">
      <c r="Q246" t="s">
        <v>792</v>
      </c>
      <c r="R246" s="126">
        <v>244</v>
      </c>
      <c r="S246" s="126"/>
    </row>
    <row r="247" spans="17:19" x14ac:dyDescent="0.3">
      <c r="Q247" t="s">
        <v>793</v>
      </c>
      <c r="R247" s="126">
        <v>245</v>
      </c>
      <c r="S247" s="126"/>
    </row>
    <row r="248" spans="17:19" x14ac:dyDescent="0.3">
      <c r="Q248" t="s">
        <v>794</v>
      </c>
      <c r="R248" s="126">
        <v>246</v>
      </c>
      <c r="S248" s="126"/>
    </row>
    <row r="249" spans="17:19" x14ac:dyDescent="0.3">
      <c r="Q249" t="s">
        <v>795</v>
      </c>
      <c r="R249" s="126">
        <v>247</v>
      </c>
      <c r="S249" s="126"/>
    </row>
    <row r="250" spans="17:19" x14ac:dyDescent="0.3">
      <c r="Q250" t="s">
        <v>796</v>
      </c>
      <c r="R250" s="126">
        <v>248</v>
      </c>
      <c r="S250" s="126"/>
    </row>
    <row r="251" spans="17:19" x14ac:dyDescent="0.3">
      <c r="Q251" t="s">
        <v>797</v>
      </c>
      <c r="R251" s="126">
        <v>249</v>
      </c>
      <c r="S251" s="126"/>
    </row>
    <row r="252" spans="17:19" x14ac:dyDescent="0.3">
      <c r="Q252" t="s">
        <v>798</v>
      </c>
      <c r="R252" s="126">
        <v>250</v>
      </c>
      <c r="S252" s="126"/>
    </row>
    <row r="253" spans="17:19" x14ac:dyDescent="0.3">
      <c r="Q253" t="s">
        <v>799</v>
      </c>
      <c r="R253" s="126">
        <v>251</v>
      </c>
      <c r="S253" s="126"/>
    </row>
    <row r="254" spans="17:19" x14ac:dyDescent="0.3">
      <c r="Q254" t="s">
        <v>800</v>
      </c>
      <c r="R254" s="126">
        <v>252</v>
      </c>
      <c r="S254" s="126"/>
    </row>
    <row r="255" spans="17:19" x14ac:dyDescent="0.3">
      <c r="Q255" t="s">
        <v>801</v>
      </c>
      <c r="R255" s="126">
        <v>253</v>
      </c>
      <c r="S255" s="126"/>
    </row>
    <row r="256" spans="17:19" x14ac:dyDescent="0.3">
      <c r="Q256" t="s">
        <v>802</v>
      </c>
      <c r="R256" s="126">
        <v>254</v>
      </c>
      <c r="S256" s="126"/>
    </row>
    <row r="257" spans="17:19" x14ac:dyDescent="0.3">
      <c r="Q257" t="s">
        <v>803</v>
      </c>
      <c r="R257" s="126">
        <v>255</v>
      </c>
      <c r="S257" s="126"/>
    </row>
    <row r="258" spans="17:19" x14ac:dyDescent="0.3">
      <c r="Q258" t="s">
        <v>804</v>
      </c>
      <c r="R258" s="126">
        <v>256</v>
      </c>
      <c r="S258" s="126"/>
    </row>
    <row r="259" spans="17:19" x14ac:dyDescent="0.3">
      <c r="Q259" t="s">
        <v>805</v>
      </c>
      <c r="R259" s="126">
        <v>257</v>
      </c>
      <c r="S259" s="126"/>
    </row>
    <row r="260" spans="17:19" x14ac:dyDescent="0.3">
      <c r="Q260" t="s">
        <v>806</v>
      </c>
      <c r="R260" s="126">
        <v>258</v>
      </c>
      <c r="S260" s="126"/>
    </row>
    <row r="261" spans="17:19" x14ac:dyDescent="0.3">
      <c r="Q261" t="s">
        <v>807</v>
      </c>
      <c r="R261" s="126">
        <v>259</v>
      </c>
      <c r="S261" s="126"/>
    </row>
    <row r="262" spans="17:19" x14ac:dyDescent="0.3">
      <c r="Q262" t="s">
        <v>808</v>
      </c>
      <c r="R262" s="126">
        <v>260</v>
      </c>
      <c r="S262" s="126"/>
    </row>
    <row r="263" spans="17:19" x14ac:dyDescent="0.3">
      <c r="Q263" t="s">
        <v>809</v>
      </c>
      <c r="R263" s="126">
        <v>261</v>
      </c>
      <c r="S263" s="126"/>
    </row>
    <row r="264" spans="17:19" x14ac:dyDescent="0.3">
      <c r="Q264" t="s">
        <v>810</v>
      </c>
      <c r="R264" s="126">
        <v>262</v>
      </c>
      <c r="S264" s="126"/>
    </row>
    <row r="265" spans="17:19" x14ac:dyDescent="0.3">
      <c r="Q265" t="s">
        <v>811</v>
      </c>
      <c r="R265" s="126">
        <v>263</v>
      </c>
      <c r="S265" s="126"/>
    </row>
    <row r="266" spans="17:19" x14ac:dyDescent="0.3">
      <c r="Q266" t="s">
        <v>812</v>
      </c>
      <c r="R266" s="126">
        <v>264</v>
      </c>
      <c r="S266" s="126"/>
    </row>
    <row r="267" spans="17:19" x14ac:dyDescent="0.3">
      <c r="Q267" t="s">
        <v>813</v>
      </c>
      <c r="R267" s="126">
        <v>265</v>
      </c>
      <c r="S267" s="126"/>
    </row>
    <row r="268" spans="17:19" x14ac:dyDescent="0.3">
      <c r="Q268" t="s">
        <v>814</v>
      </c>
      <c r="R268" s="126">
        <v>266</v>
      </c>
      <c r="S268" s="126"/>
    </row>
    <row r="269" spans="17:19" x14ac:dyDescent="0.3">
      <c r="Q269" t="s">
        <v>815</v>
      </c>
      <c r="R269" s="126">
        <v>267</v>
      </c>
      <c r="S269" s="126"/>
    </row>
    <row r="270" spans="17:19" x14ac:dyDescent="0.3">
      <c r="Q270" t="s">
        <v>816</v>
      </c>
      <c r="R270" s="126">
        <v>268</v>
      </c>
      <c r="S270" s="126"/>
    </row>
    <row r="271" spans="17:19" x14ac:dyDescent="0.3">
      <c r="Q271" t="s">
        <v>817</v>
      </c>
      <c r="R271" s="126">
        <v>269</v>
      </c>
      <c r="S271" s="126"/>
    </row>
    <row r="272" spans="17:19" x14ac:dyDescent="0.3">
      <c r="Q272" t="s">
        <v>818</v>
      </c>
      <c r="R272" s="126">
        <v>270</v>
      </c>
      <c r="S272" s="126"/>
    </row>
    <row r="273" spans="17:19" x14ac:dyDescent="0.3">
      <c r="Q273" t="s">
        <v>819</v>
      </c>
      <c r="R273" s="126">
        <v>271</v>
      </c>
      <c r="S273" s="126"/>
    </row>
    <row r="274" spans="17:19" x14ac:dyDescent="0.3">
      <c r="Q274" t="s">
        <v>820</v>
      </c>
      <c r="R274" s="126">
        <v>272</v>
      </c>
      <c r="S274" s="126"/>
    </row>
    <row r="275" spans="17:19" x14ac:dyDescent="0.3">
      <c r="Q275" t="s">
        <v>821</v>
      </c>
      <c r="R275" s="126">
        <v>273</v>
      </c>
      <c r="S275" s="126"/>
    </row>
    <row r="276" spans="17:19" x14ac:dyDescent="0.3">
      <c r="Q276" t="s">
        <v>822</v>
      </c>
      <c r="R276" s="126">
        <v>274</v>
      </c>
      <c r="S276" s="126"/>
    </row>
    <row r="277" spans="17:19" x14ac:dyDescent="0.3">
      <c r="Q277" t="s">
        <v>823</v>
      </c>
      <c r="R277" s="126">
        <v>275</v>
      </c>
      <c r="S277" s="126"/>
    </row>
    <row r="278" spans="17:19" x14ac:dyDescent="0.3">
      <c r="Q278" t="s">
        <v>824</v>
      </c>
      <c r="R278" s="126">
        <v>276</v>
      </c>
      <c r="S278" s="126"/>
    </row>
    <row r="279" spans="17:19" x14ac:dyDescent="0.3">
      <c r="Q279" t="s">
        <v>825</v>
      </c>
      <c r="R279" s="126">
        <v>277</v>
      </c>
      <c r="S279" s="126"/>
    </row>
    <row r="280" spans="17:19" x14ac:dyDescent="0.3">
      <c r="Q280" t="s">
        <v>826</v>
      </c>
      <c r="R280" s="126">
        <v>278</v>
      </c>
      <c r="S280" s="126"/>
    </row>
    <row r="281" spans="17:19" x14ac:dyDescent="0.3">
      <c r="Q281" t="s">
        <v>827</v>
      </c>
      <c r="R281" s="126">
        <v>279</v>
      </c>
      <c r="S281" s="126"/>
    </row>
    <row r="282" spans="17:19" x14ac:dyDescent="0.3">
      <c r="Q282" t="s">
        <v>828</v>
      </c>
      <c r="R282" s="126">
        <v>280</v>
      </c>
      <c r="S282" s="126"/>
    </row>
    <row r="283" spans="17:19" x14ac:dyDescent="0.3">
      <c r="Q283" t="s">
        <v>829</v>
      </c>
      <c r="R283" s="126">
        <v>281</v>
      </c>
      <c r="S283" s="126"/>
    </row>
    <row r="284" spans="17:19" x14ac:dyDescent="0.3">
      <c r="Q284" t="s">
        <v>830</v>
      </c>
      <c r="R284" s="126">
        <v>282</v>
      </c>
      <c r="S284" s="126"/>
    </row>
    <row r="285" spans="17:19" x14ac:dyDescent="0.3">
      <c r="Q285" t="s">
        <v>831</v>
      </c>
      <c r="R285" s="126">
        <v>283</v>
      </c>
      <c r="S285" s="126"/>
    </row>
    <row r="286" spans="17:19" x14ac:dyDescent="0.3">
      <c r="Q286" t="s">
        <v>832</v>
      </c>
      <c r="R286" s="126">
        <v>284</v>
      </c>
      <c r="S286" s="126"/>
    </row>
    <row r="287" spans="17:19" x14ac:dyDescent="0.3">
      <c r="Q287" t="s">
        <v>833</v>
      </c>
      <c r="R287" s="126">
        <v>285</v>
      </c>
      <c r="S287" s="126"/>
    </row>
    <row r="288" spans="17:19" x14ac:dyDescent="0.3">
      <c r="Q288" t="s">
        <v>834</v>
      </c>
      <c r="R288" s="126">
        <v>286</v>
      </c>
      <c r="S288" s="126"/>
    </row>
    <row r="289" spans="17:19" x14ac:dyDescent="0.3">
      <c r="Q289" t="s">
        <v>835</v>
      </c>
      <c r="R289" s="126">
        <v>287</v>
      </c>
      <c r="S289" s="126"/>
    </row>
    <row r="290" spans="17:19" x14ac:dyDescent="0.3">
      <c r="Q290" t="s">
        <v>836</v>
      </c>
      <c r="R290" s="126">
        <v>288</v>
      </c>
      <c r="S290" s="126"/>
    </row>
    <row r="291" spans="17:19" x14ac:dyDescent="0.3">
      <c r="Q291" t="s">
        <v>837</v>
      </c>
      <c r="R291" s="126">
        <v>289</v>
      </c>
      <c r="S291" s="126"/>
    </row>
    <row r="292" spans="17:19" x14ac:dyDescent="0.3">
      <c r="Q292" t="s">
        <v>838</v>
      </c>
      <c r="R292" s="126">
        <v>290</v>
      </c>
      <c r="S292" s="126"/>
    </row>
    <row r="293" spans="17:19" x14ac:dyDescent="0.3">
      <c r="Q293" t="s">
        <v>839</v>
      </c>
      <c r="R293" s="126">
        <v>291</v>
      </c>
      <c r="S293" s="126"/>
    </row>
    <row r="294" spans="17:19" x14ac:dyDescent="0.3">
      <c r="Q294" t="s">
        <v>840</v>
      </c>
      <c r="R294" s="126">
        <v>292</v>
      </c>
      <c r="S294" s="126"/>
    </row>
    <row r="295" spans="17:19" x14ac:dyDescent="0.3">
      <c r="Q295" t="s">
        <v>841</v>
      </c>
      <c r="R295" s="126">
        <v>293</v>
      </c>
      <c r="S295" s="126"/>
    </row>
    <row r="296" spans="17:19" x14ac:dyDescent="0.3">
      <c r="Q296" t="s">
        <v>842</v>
      </c>
      <c r="R296" s="126">
        <v>294</v>
      </c>
      <c r="S296" s="126"/>
    </row>
    <row r="297" spans="17:19" x14ac:dyDescent="0.3">
      <c r="Q297" t="s">
        <v>843</v>
      </c>
      <c r="R297" s="126">
        <v>295</v>
      </c>
      <c r="S297" s="126"/>
    </row>
    <row r="298" spans="17:19" x14ac:dyDescent="0.3">
      <c r="Q298" t="s">
        <v>844</v>
      </c>
      <c r="R298" s="126">
        <v>296</v>
      </c>
      <c r="S298" s="126"/>
    </row>
    <row r="299" spans="17:19" x14ac:dyDescent="0.3">
      <c r="Q299" t="s">
        <v>845</v>
      </c>
      <c r="R299" s="126">
        <v>297</v>
      </c>
      <c r="S299" s="126"/>
    </row>
    <row r="300" spans="17:19" x14ac:dyDescent="0.3">
      <c r="Q300" t="s">
        <v>846</v>
      </c>
      <c r="R300" s="126">
        <v>298</v>
      </c>
      <c r="S300" s="126"/>
    </row>
    <row r="301" spans="17:19" x14ac:dyDescent="0.3">
      <c r="Q301" t="s">
        <v>847</v>
      </c>
      <c r="R301" s="126">
        <v>299</v>
      </c>
      <c r="S301" s="126"/>
    </row>
    <row r="302" spans="17:19" x14ac:dyDescent="0.3">
      <c r="Q302" t="s">
        <v>848</v>
      </c>
      <c r="R302" s="126">
        <v>300</v>
      </c>
      <c r="S302" s="126"/>
    </row>
    <row r="303" spans="17:19" x14ac:dyDescent="0.3">
      <c r="Q303" t="s">
        <v>849</v>
      </c>
      <c r="R303" s="126">
        <v>301</v>
      </c>
      <c r="S303" s="126"/>
    </row>
    <row r="304" spans="17:19" x14ac:dyDescent="0.3">
      <c r="Q304" t="s">
        <v>850</v>
      </c>
      <c r="R304" s="126">
        <v>302</v>
      </c>
      <c r="S304" s="126"/>
    </row>
    <row r="305" spans="17:19" x14ac:dyDescent="0.3">
      <c r="Q305" t="s">
        <v>851</v>
      </c>
      <c r="R305" s="126">
        <v>303</v>
      </c>
      <c r="S305" s="126"/>
    </row>
    <row r="306" spans="17:19" x14ac:dyDescent="0.3">
      <c r="Q306" t="s">
        <v>852</v>
      </c>
      <c r="R306" s="126">
        <v>304</v>
      </c>
      <c r="S306" s="126"/>
    </row>
    <row r="307" spans="17:19" x14ac:dyDescent="0.3">
      <c r="Q307" t="s">
        <v>853</v>
      </c>
      <c r="R307" s="126">
        <v>305</v>
      </c>
      <c r="S307" s="126"/>
    </row>
    <row r="308" spans="17:19" x14ac:dyDescent="0.3">
      <c r="Q308" t="s">
        <v>854</v>
      </c>
      <c r="R308" s="126">
        <v>306</v>
      </c>
      <c r="S308" s="126"/>
    </row>
    <row r="309" spans="17:19" x14ac:dyDescent="0.3">
      <c r="Q309" t="s">
        <v>855</v>
      </c>
      <c r="R309" s="126">
        <v>307</v>
      </c>
      <c r="S309" s="126"/>
    </row>
    <row r="310" spans="17:19" x14ac:dyDescent="0.3">
      <c r="Q310" t="s">
        <v>856</v>
      </c>
      <c r="R310" s="126">
        <v>308</v>
      </c>
      <c r="S310" s="126"/>
    </row>
    <row r="311" spans="17:19" x14ac:dyDescent="0.3">
      <c r="Q311" t="s">
        <v>857</v>
      </c>
      <c r="R311" s="126">
        <v>309</v>
      </c>
      <c r="S311" s="126"/>
    </row>
    <row r="312" spans="17:19" x14ac:dyDescent="0.3">
      <c r="Q312" t="s">
        <v>858</v>
      </c>
      <c r="R312" s="126">
        <v>310</v>
      </c>
      <c r="S312" s="126"/>
    </row>
    <row r="313" spans="17:19" x14ac:dyDescent="0.3">
      <c r="Q313" t="s">
        <v>859</v>
      </c>
      <c r="R313" s="126">
        <v>311</v>
      </c>
      <c r="S313" s="126"/>
    </row>
    <row r="314" spans="17:19" x14ac:dyDescent="0.3">
      <c r="Q314" t="s">
        <v>860</v>
      </c>
      <c r="R314" s="126">
        <v>312</v>
      </c>
      <c r="S314" s="126"/>
    </row>
    <row r="315" spans="17:19" x14ac:dyDescent="0.3">
      <c r="Q315" t="s">
        <v>861</v>
      </c>
      <c r="R315" s="126">
        <v>313</v>
      </c>
      <c r="S315" s="126"/>
    </row>
    <row r="316" spans="17:19" x14ac:dyDescent="0.3">
      <c r="Q316" t="s">
        <v>862</v>
      </c>
      <c r="R316" s="126">
        <v>314</v>
      </c>
      <c r="S316" s="126"/>
    </row>
    <row r="317" spans="17:19" x14ac:dyDescent="0.3">
      <c r="Q317" t="s">
        <v>863</v>
      </c>
      <c r="R317" s="126">
        <v>315</v>
      </c>
      <c r="S317" s="126"/>
    </row>
    <row r="318" spans="17:19" x14ac:dyDescent="0.3">
      <c r="Q318" t="s">
        <v>864</v>
      </c>
      <c r="R318" s="126">
        <v>316</v>
      </c>
      <c r="S318" s="126"/>
    </row>
    <row r="319" spans="17:19" x14ac:dyDescent="0.3">
      <c r="Q319" t="s">
        <v>865</v>
      </c>
      <c r="R319" s="126">
        <v>317</v>
      </c>
      <c r="S319" s="126"/>
    </row>
    <row r="320" spans="17:19" x14ac:dyDescent="0.3">
      <c r="Q320" t="s">
        <v>866</v>
      </c>
      <c r="R320" s="126">
        <v>318</v>
      </c>
      <c r="S320" s="126"/>
    </row>
    <row r="321" spans="17:19" x14ac:dyDescent="0.3">
      <c r="Q321" t="s">
        <v>867</v>
      </c>
      <c r="R321" s="126">
        <v>319</v>
      </c>
      <c r="S321" s="126"/>
    </row>
    <row r="322" spans="17:19" x14ac:dyDescent="0.3">
      <c r="Q322" t="s">
        <v>868</v>
      </c>
      <c r="R322" s="126">
        <v>320</v>
      </c>
      <c r="S322" s="126"/>
    </row>
    <row r="323" spans="17:19" x14ac:dyDescent="0.3">
      <c r="Q323" t="s">
        <v>869</v>
      </c>
      <c r="R323" s="126">
        <v>321</v>
      </c>
      <c r="S323" s="126"/>
    </row>
    <row r="324" spans="17:19" x14ac:dyDescent="0.3">
      <c r="Q324" t="s">
        <v>870</v>
      </c>
      <c r="R324" s="126">
        <v>322</v>
      </c>
      <c r="S324" s="126"/>
    </row>
    <row r="325" spans="17:19" x14ac:dyDescent="0.3">
      <c r="Q325" t="s">
        <v>871</v>
      </c>
      <c r="R325" s="126">
        <v>323</v>
      </c>
      <c r="S325" s="126"/>
    </row>
    <row r="326" spans="17:19" x14ac:dyDescent="0.3">
      <c r="Q326" t="s">
        <v>872</v>
      </c>
      <c r="R326" s="126">
        <v>324</v>
      </c>
      <c r="S326" s="126"/>
    </row>
    <row r="327" spans="17:19" x14ac:dyDescent="0.3">
      <c r="Q327" t="s">
        <v>873</v>
      </c>
      <c r="R327" s="126">
        <v>325</v>
      </c>
      <c r="S327" s="126"/>
    </row>
    <row r="328" spans="17:19" x14ac:dyDescent="0.3">
      <c r="Q328" t="s">
        <v>874</v>
      </c>
      <c r="R328" s="126">
        <v>326</v>
      </c>
      <c r="S328" s="126"/>
    </row>
    <row r="329" spans="17:19" x14ac:dyDescent="0.3">
      <c r="Q329" t="s">
        <v>937</v>
      </c>
      <c r="R329" s="126">
        <v>327</v>
      </c>
      <c r="S329" s="126"/>
    </row>
    <row r="330" spans="17:19" x14ac:dyDescent="0.3">
      <c r="Q330" t="s">
        <v>938</v>
      </c>
      <c r="R330" s="126">
        <v>328</v>
      </c>
      <c r="S330" s="126"/>
    </row>
    <row r="331" spans="17:19" x14ac:dyDescent="0.3">
      <c r="Q331" t="s">
        <v>939</v>
      </c>
      <c r="R331" s="126">
        <v>329</v>
      </c>
      <c r="S331" s="126"/>
    </row>
    <row r="332" spans="17:19" x14ac:dyDescent="0.3">
      <c r="Q332" t="s">
        <v>940</v>
      </c>
      <c r="R332" s="126">
        <v>330</v>
      </c>
      <c r="S332" s="126"/>
    </row>
    <row r="333" spans="17:19" x14ac:dyDescent="0.3">
      <c r="Q333" t="s">
        <v>941</v>
      </c>
      <c r="R333" s="126">
        <v>331</v>
      </c>
      <c r="S333" s="126"/>
    </row>
    <row r="334" spans="17:19" x14ac:dyDescent="0.3">
      <c r="Q334" t="s">
        <v>942</v>
      </c>
      <c r="R334" s="126">
        <v>332</v>
      </c>
      <c r="S334" s="126"/>
    </row>
    <row r="335" spans="17:19" x14ac:dyDescent="0.3">
      <c r="Q335" t="s">
        <v>943</v>
      </c>
      <c r="R335" s="126">
        <v>333</v>
      </c>
      <c r="S335" s="126"/>
    </row>
    <row r="336" spans="17:19" x14ac:dyDescent="0.3">
      <c r="Q336" t="s">
        <v>944</v>
      </c>
      <c r="R336" s="126">
        <v>334</v>
      </c>
      <c r="S336" s="126"/>
    </row>
    <row r="337" spans="17:19" x14ac:dyDescent="0.3">
      <c r="Q337" t="s">
        <v>945</v>
      </c>
      <c r="R337" s="126">
        <v>335</v>
      </c>
      <c r="S337" s="126"/>
    </row>
    <row r="338" spans="17:19" x14ac:dyDescent="0.3">
      <c r="Q338" t="s">
        <v>946</v>
      </c>
      <c r="R338" s="126">
        <v>336</v>
      </c>
      <c r="S338" s="126"/>
    </row>
    <row r="339" spans="17:19" x14ac:dyDescent="0.3">
      <c r="Q339" t="s">
        <v>947</v>
      </c>
      <c r="R339" s="126">
        <v>337</v>
      </c>
      <c r="S339" s="126"/>
    </row>
    <row r="340" spans="17:19" x14ac:dyDescent="0.3">
      <c r="Q340" t="s">
        <v>948</v>
      </c>
      <c r="R340" s="126">
        <v>338</v>
      </c>
      <c r="S340" s="126"/>
    </row>
    <row r="341" spans="17:19" x14ac:dyDescent="0.3">
      <c r="Q341" t="s">
        <v>949</v>
      </c>
      <c r="R341" s="126">
        <v>339</v>
      </c>
      <c r="S341" s="126"/>
    </row>
    <row r="342" spans="17:19" x14ac:dyDescent="0.3">
      <c r="Q342" t="s">
        <v>950</v>
      </c>
      <c r="R342" s="126">
        <v>340</v>
      </c>
      <c r="S342" s="126"/>
    </row>
    <row r="343" spans="17:19" x14ac:dyDescent="0.3">
      <c r="Q343" t="s">
        <v>951</v>
      </c>
      <c r="R343" s="126">
        <v>341</v>
      </c>
      <c r="S343" s="126"/>
    </row>
    <row r="344" spans="17:19" x14ac:dyDescent="0.3">
      <c r="Q344" t="s">
        <v>952</v>
      </c>
      <c r="R344" s="126">
        <v>342</v>
      </c>
      <c r="S344" s="126"/>
    </row>
    <row r="345" spans="17:19" x14ac:dyDescent="0.3">
      <c r="Q345" t="s">
        <v>953</v>
      </c>
      <c r="R345" s="126">
        <v>343</v>
      </c>
      <c r="S345" s="126"/>
    </row>
    <row r="346" spans="17:19" x14ac:dyDescent="0.3">
      <c r="Q346" t="s">
        <v>954</v>
      </c>
      <c r="R346" s="126">
        <v>344</v>
      </c>
      <c r="S346" s="126"/>
    </row>
    <row r="347" spans="17:19" x14ac:dyDescent="0.3">
      <c r="Q347" t="s">
        <v>875</v>
      </c>
      <c r="R347" s="126">
        <v>345</v>
      </c>
      <c r="S347" s="126"/>
    </row>
    <row r="348" spans="17:19" x14ac:dyDescent="0.3">
      <c r="Q348" t="s">
        <v>876</v>
      </c>
      <c r="R348" s="126">
        <v>346</v>
      </c>
      <c r="S348" s="126"/>
    </row>
    <row r="349" spans="17:19" x14ac:dyDescent="0.3">
      <c r="Q349" t="s">
        <v>877</v>
      </c>
      <c r="R349" s="126">
        <v>347</v>
      </c>
      <c r="S349" s="126"/>
    </row>
    <row r="350" spans="17:19" x14ac:dyDescent="0.3">
      <c r="Q350" t="s">
        <v>878</v>
      </c>
      <c r="R350" s="126">
        <v>348</v>
      </c>
      <c r="S350" s="126"/>
    </row>
    <row r="351" spans="17:19" x14ac:dyDescent="0.3">
      <c r="Q351" t="s">
        <v>879</v>
      </c>
      <c r="R351" s="126">
        <v>349</v>
      </c>
      <c r="S351" s="126"/>
    </row>
    <row r="352" spans="17:19" x14ac:dyDescent="0.3">
      <c r="Q352" t="s">
        <v>880</v>
      </c>
      <c r="R352" s="126">
        <v>350</v>
      </c>
      <c r="S352" s="126"/>
    </row>
    <row r="353" spans="17:19" x14ac:dyDescent="0.3">
      <c r="Q353" t="s">
        <v>881</v>
      </c>
      <c r="R353" s="126">
        <v>351</v>
      </c>
      <c r="S353" s="126"/>
    </row>
    <row r="354" spans="17:19" x14ac:dyDescent="0.3">
      <c r="Q354" t="s">
        <v>882</v>
      </c>
      <c r="R354" s="126">
        <v>352</v>
      </c>
      <c r="S354" s="126"/>
    </row>
    <row r="355" spans="17:19" x14ac:dyDescent="0.3">
      <c r="Q355" t="s">
        <v>883</v>
      </c>
      <c r="R355" s="126">
        <v>353</v>
      </c>
      <c r="S355" s="126"/>
    </row>
    <row r="356" spans="17:19" x14ac:dyDescent="0.3">
      <c r="Q356" t="s">
        <v>884</v>
      </c>
      <c r="R356" s="126">
        <v>354</v>
      </c>
      <c r="S356" s="126"/>
    </row>
    <row r="357" spans="17:19" x14ac:dyDescent="0.3">
      <c r="Q357" t="s">
        <v>885</v>
      </c>
      <c r="R357" s="126">
        <v>355</v>
      </c>
      <c r="S357" s="126"/>
    </row>
    <row r="358" spans="17:19" x14ac:dyDescent="0.3">
      <c r="Q358" t="s">
        <v>886</v>
      </c>
      <c r="R358" s="126">
        <v>356</v>
      </c>
      <c r="S358" s="126"/>
    </row>
    <row r="359" spans="17:19" x14ac:dyDescent="0.3">
      <c r="Q359" t="s">
        <v>887</v>
      </c>
      <c r="R359" s="126">
        <v>357</v>
      </c>
      <c r="S359" s="126"/>
    </row>
    <row r="360" spans="17:19" x14ac:dyDescent="0.3">
      <c r="Q360" t="s">
        <v>888</v>
      </c>
      <c r="R360" s="126">
        <v>358</v>
      </c>
      <c r="S360" s="126"/>
    </row>
    <row r="361" spans="17:19" x14ac:dyDescent="0.3">
      <c r="Q361" t="s">
        <v>889</v>
      </c>
      <c r="R361" s="126">
        <v>359</v>
      </c>
      <c r="S361" s="126"/>
    </row>
    <row r="362" spans="17:19" x14ac:dyDescent="0.3">
      <c r="Q362" t="s">
        <v>890</v>
      </c>
      <c r="R362" s="126">
        <v>360</v>
      </c>
      <c r="S362" s="126"/>
    </row>
    <row r="363" spans="17:19" x14ac:dyDescent="0.3">
      <c r="Q363" t="s">
        <v>891</v>
      </c>
      <c r="R363" s="126">
        <v>361</v>
      </c>
      <c r="S363" s="126"/>
    </row>
    <row r="364" spans="17:19" x14ac:dyDescent="0.3">
      <c r="Q364" t="s">
        <v>892</v>
      </c>
      <c r="R364" s="126">
        <v>362</v>
      </c>
      <c r="S364" s="126"/>
    </row>
    <row r="365" spans="17:19" x14ac:dyDescent="0.3">
      <c r="Q365" t="s">
        <v>664</v>
      </c>
      <c r="R365" s="126">
        <v>363</v>
      </c>
      <c r="S365" s="126"/>
    </row>
    <row r="366" spans="17:19" x14ac:dyDescent="0.3">
      <c r="Q366" t="s">
        <v>665</v>
      </c>
      <c r="R366" s="126">
        <v>364</v>
      </c>
      <c r="S366" s="126"/>
    </row>
    <row r="367" spans="17:19" x14ac:dyDescent="0.3">
      <c r="Q367" t="s">
        <v>666</v>
      </c>
      <c r="R367" s="126">
        <v>365</v>
      </c>
      <c r="S367" s="126"/>
    </row>
    <row r="368" spans="17:19" x14ac:dyDescent="0.3">
      <c r="Q368" t="s">
        <v>667</v>
      </c>
      <c r="R368" s="126">
        <v>366</v>
      </c>
      <c r="S368" s="126"/>
    </row>
    <row r="369" spans="17:19" x14ac:dyDescent="0.3">
      <c r="Q369" t="s">
        <v>668</v>
      </c>
      <c r="R369" s="126">
        <v>367</v>
      </c>
      <c r="S369" s="126"/>
    </row>
    <row r="370" spans="17:19" x14ac:dyDescent="0.3">
      <c r="Q370" t="s">
        <v>669</v>
      </c>
      <c r="R370" s="126">
        <v>368</v>
      </c>
      <c r="S370" s="126"/>
    </row>
    <row r="371" spans="17:19" x14ac:dyDescent="0.3">
      <c r="Q371" t="s">
        <v>670</v>
      </c>
      <c r="R371" s="126">
        <v>369</v>
      </c>
      <c r="S371" s="126"/>
    </row>
    <row r="372" spans="17:19" x14ac:dyDescent="0.3">
      <c r="Q372" t="s">
        <v>671</v>
      </c>
      <c r="R372" s="126">
        <v>370</v>
      </c>
      <c r="S372" s="126"/>
    </row>
    <row r="373" spans="17:19" x14ac:dyDescent="0.3">
      <c r="Q373" t="s">
        <v>672</v>
      </c>
      <c r="R373" s="126">
        <v>371</v>
      </c>
      <c r="S373" s="126"/>
    </row>
    <row r="374" spans="17:19" x14ac:dyDescent="0.3">
      <c r="Q374" t="s">
        <v>673</v>
      </c>
      <c r="R374" s="126">
        <v>372</v>
      </c>
      <c r="S374" s="126"/>
    </row>
    <row r="375" spans="17:19" x14ac:dyDescent="0.3">
      <c r="Q375" t="s">
        <v>674</v>
      </c>
      <c r="R375" s="126">
        <v>373</v>
      </c>
      <c r="S375" s="126"/>
    </row>
    <row r="376" spans="17:19" x14ac:dyDescent="0.3">
      <c r="Q376" t="s">
        <v>675</v>
      </c>
      <c r="R376" s="126">
        <v>374</v>
      </c>
      <c r="S376" s="126"/>
    </row>
    <row r="377" spans="17:19" x14ac:dyDescent="0.3">
      <c r="Q377" t="s">
        <v>676</v>
      </c>
      <c r="R377" s="126">
        <v>375</v>
      </c>
      <c r="S377" s="126"/>
    </row>
    <row r="378" spans="17:19" x14ac:dyDescent="0.3">
      <c r="Q378" t="s">
        <v>677</v>
      </c>
      <c r="R378" s="126">
        <v>376</v>
      </c>
      <c r="S378" s="126"/>
    </row>
    <row r="379" spans="17:19" x14ac:dyDescent="0.3">
      <c r="Q379" t="s">
        <v>678</v>
      </c>
      <c r="R379" s="126">
        <v>377</v>
      </c>
      <c r="S379" s="126"/>
    </row>
    <row r="380" spans="17:19" x14ac:dyDescent="0.3">
      <c r="Q380" t="s">
        <v>679</v>
      </c>
      <c r="R380" s="126">
        <v>378</v>
      </c>
      <c r="S380" s="126"/>
    </row>
    <row r="381" spans="17:19" x14ac:dyDescent="0.3">
      <c r="Q381" t="s">
        <v>680</v>
      </c>
      <c r="R381" s="126">
        <v>379</v>
      </c>
      <c r="S381" s="126"/>
    </row>
    <row r="382" spans="17:19" x14ac:dyDescent="0.3">
      <c r="Q382" t="s">
        <v>681</v>
      </c>
      <c r="R382" s="126">
        <v>380</v>
      </c>
      <c r="S382" s="126"/>
    </row>
    <row r="383" spans="17:19" x14ac:dyDescent="0.3">
      <c r="Q383" t="s">
        <v>893</v>
      </c>
      <c r="R383" s="126">
        <v>381</v>
      </c>
      <c r="S383" s="126"/>
    </row>
    <row r="384" spans="17:19" x14ac:dyDescent="0.3">
      <c r="Q384" t="s">
        <v>894</v>
      </c>
      <c r="R384" s="126">
        <v>382</v>
      </c>
      <c r="S384" s="126"/>
    </row>
    <row r="385" spans="17:19" x14ac:dyDescent="0.3">
      <c r="Q385" t="s">
        <v>895</v>
      </c>
      <c r="R385" s="126">
        <v>383</v>
      </c>
      <c r="S385" s="126"/>
    </row>
    <row r="386" spans="17:19" x14ac:dyDescent="0.3">
      <c r="Q386" t="s">
        <v>896</v>
      </c>
      <c r="R386" s="126">
        <v>384</v>
      </c>
      <c r="S386" s="126"/>
    </row>
    <row r="387" spans="17:19" x14ac:dyDescent="0.3">
      <c r="Q387" t="s">
        <v>897</v>
      </c>
      <c r="R387" s="126">
        <v>385</v>
      </c>
      <c r="S387" s="126"/>
    </row>
    <row r="388" spans="17:19" x14ac:dyDescent="0.3">
      <c r="Q388" t="s">
        <v>898</v>
      </c>
      <c r="R388" s="126">
        <v>386</v>
      </c>
      <c r="S388" s="126"/>
    </row>
    <row r="389" spans="17:19" x14ac:dyDescent="0.3">
      <c r="Q389" t="s">
        <v>899</v>
      </c>
      <c r="R389" s="126">
        <v>387</v>
      </c>
      <c r="S389" s="126"/>
    </row>
    <row r="390" spans="17:19" x14ac:dyDescent="0.3">
      <c r="Q390" t="s">
        <v>900</v>
      </c>
      <c r="R390" s="126">
        <v>388</v>
      </c>
      <c r="S390" s="126"/>
    </row>
    <row r="391" spans="17:19" x14ac:dyDescent="0.3">
      <c r="Q391" t="s">
        <v>901</v>
      </c>
      <c r="R391" s="126">
        <v>389</v>
      </c>
      <c r="S391" s="126"/>
    </row>
    <row r="392" spans="17:19" x14ac:dyDescent="0.3">
      <c r="Q392" t="s">
        <v>902</v>
      </c>
      <c r="R392" s="126">
        <v>390</v>
      </c>
      <c r="S392" s="126"/>
    </row>
    <row r="393" spans="17:19" x14ac:dyDescent="0.3">
      <c r="Q393" t="s">
        <v>903</v>
      </c>
      <c r="R393" s="126">
        <v>391</v>
      </c>
      <c r="S393" s="126"/>
    </row>
    <row r="394" spans="17:19" x14ac:dyDescent="0.3">
      <c r="Q394" t="s">
        <v>904</v>
      </c>
      <c r="R394" s="126">
        <v>392</v>
      </c>
      <c r="S394" s="126"/>
    </row>
    <row r="395" spans="17:19" x14ac:dyDescent="0.3">
      <c r="Q395" t="s">
        <v>905</v>
      </c>
      <c r="R395" s="126">
        <v>393</v>
      </c>
      <c r="S395" s="126"/>
    </row>
    <row r="396" spans="17:19" x14ac:dyDescent="0.3">
      <c r="Q396" t="s">
        <v>906</v>
      </c>
      <c r="R396" s="126">
        <v>394</v>
      </c>
      <c r="S396" s="126"/>
    </row>
    <row r="397" spans="17:19" x14ac:dyDescent="0.3">
      <c r="Q397" t="s">
        <v>907</v>
      </c>
      <c r="R397" s="126">
        <v>395</v>
      </c>
      <c r="S397" s="126"/>
    </row>
    <row r="398" spans="17:19" x14ac:dyDescent="0.3">
      <c r="Q398" t="s">
        <v>908</v>
      </c>
      <c r="R398" s="126">
        <v>396</v>
      </c>
      <c r="S398" s="126"/>
    </row>
    <row r="399" spans="17:19" x14ac:dyDescent="0.3">
      <c r="Q399" t="s">
        <v>909</v>
      </c>
      <c r="R399" s="126">
        <v>397</v>
      </c>
      <c r="S399" s="126"/>
    </row>
    <row r="400" spans="17:19" x14ac:dyDescent="0.3">
      <c r="Q400" t="s">
        <v>910</v>
      </c>
      <c r="R400" s="126">
        <v>398</v>
      </c>
      <c r="S400" s="126"/>
    </row>
    <row r="401" spans="17:19" x14ac:dyDescent="0.3">
      <c r="Q401" t="s">
        <v>682</v>
      </c>
      <c r="R401" s="126">
        <v>399</v>
      </c>
      <c r="S401" s="126"/>
    </row>
    <row r="402" spans="17:19" x14ac:dyDescent="0.3">
      <c r="Q402" t="s">
        <v>683</v>
      </c>
      <c r="R402" s="126">
        <v>400</v>
      </c>
      <c r="S402" s="126"/>
    </row>
    <row r="403" spans="17:19" x14ac:dyDescent="0.3">
      <c r="Q403" t="s">
        <v>684</v>
      </c>
      <c r="R403" s="126">
        <v>401</v>
      </c>
      <c r="S403" s="126"/>
    </row>
    <row r="404" spans="17:19" x14ac:dyDescent="0.3">
      <c r="Q404" t="s">
        <v>685</v>
      </c>
      <c r="R404" s="126">
        <v>402</v>
      </c>
      <c r="S404" s="126"/>
    </row>
    <row r="405" spans="17:19" x14ac:dyDescent="0.3">
      <c r="Q405" t="s">
        <v>686</v>
      </c>
      <c r="R405" s="126">
        <v>403</v>
      </c>
      <c r="S405" s="126"/>
    </row>
    <row r="406" spans="17:19" x14ac:dyDescent="0.3">
      <c r="Q406" t="s">
        <v>687</v>
      </c>
      <c r="R406" s="126">
        <v>404</v>
      </c>
      <c r="S406" s="126"/>
    </row>
    <row r="407" spans="17:19" x14ac:dyDescent="0.3">
      <c r="Q407" t="s">
        <v>688</v>
      </c>
      <c r="R407" s="126">
        <v>405</v>
      </c>
      <c r="S407" s="126"/>
    </row>
    <row r="408" spans="17:19" x14ac:dyDescent="0.3">
      <c r="Q408" t="s">
        <v>689</v>
      </c>
      <c r="R408" s="126">
        <v>406</v>
      </c>
      <c r="S408" s="126"/>
    </row>
    <row r="409" spans="17:19" x14ac:dyDescent="0.3">
      <c r="Q409" t="s">
        <v>690</v>
      </c>
      <c r="R409" s="126">
        <v>407</v>
      </c>
      <c r="S409" s="126"/>
    </row>
    <row r="410" spans="17:19" x14ac:dyDescent="0.3">
      <c r="Q410" t="s">
        <v>691</v>
      </c>
      <c r="R410" s="126">
        <v>408</v>
      </c>
      <c r="S410" s="126"/>
    </row>
    <row r="411" spans="17:19" x14ac:dyDescent="0.3">
      <c r="Q411" t="s">
        <v>692</v>
      </c>
      <c r="R411" s="126">
        <v>409</v>
      </c>
      <c r="S411" s="126"/>
    </row>
    <row r="412" spans="17:19" x14ac:dyDescent="0.3">
      <c r="Q412" t="s">
        <v>693</v>
      </c>
      <c r="R412" s="126">
        <v>410</v>
      </c>
      <c r="S412" s="126"/>
    </row>
    <row r="413" spans="17:19" x14ac:dyDescent="0.3">
      <c r="Q413" t="s">
        <v>694</v>
      </c>
      <c r="R413" s="126">
        <v>411</v>
      </c>
      <c r="S413" s="126"/>
    </row>
    <row r="414" spans="17:19" x14ac:dyDescent="0.3">
      <c r="Q414" t="s">
        <v>695</v>
      </c>
      <c r="R414" s="126">
        <v>412</v>
      </c>
      <c r="S414" s="126"/>
    </row>
    <row r="415" spans="17:19" x14ac:dyDescent="0.3">
      <c r="Q415" t="s">
        <v>696</v>
      </c>
      <c r="R415" s="126">
        <v>413</v>
      </c>
      <c r="S415" s="126"/>
    </row>
    <row r="416" spans="17:19" x14ac:dyDescent="0.3">
      <c r="Q416" t="s">
        <v>697</v>
      </c>
      <c r="R416" s="126">
        <v>414</v>
      </c>
      <c r="S416" s="126"/>
    </row>
    <row r="417" spans="17:36" x14ac:dyDescent="0.3">
      <c r="Q417" t="s">
        <v>698</v>
      </c>
      <c r="R417" s="126">
        <v>415</v>
      </c>
      <c r="S417" s="126"/>
    </row>
    <row r="418" spans="17:36" x14ac:dyDescent="0.3">
      <c r="Q418" t="s">
        <v>699</v>
      </c>
      <c r="R418" s="126">
        <v>416</v>
      </c>
      <c r="S418" s="126"/>
    </row>
    <row r="419" spans="17:36" x14ac:dyDescent="0.3">
      <c r="Q419" t="s">
        <v>1012</v>
      </c>
      <c r="R419" s="126">
        <v>417</v>
      </c>
      <c r="S419" s="126"/>
    </row>
    <row r="420" spans="17:36" x14ac:dyDescent="0.3">
      <c r="Q420" t="s">
        <v>1013</v>
      </c>
      <c r="R420" s="126">
        <v>418</v>
      </c>
      <c r="S420" s="126"/>
    </row>
    <row r="421" spans="17:36" x14ac:dyDescent="0.3">
      <c r="Q421" t="s">
        <v>1014</v>
      </c>
      <c r="R421" s="126">
        <v>419</v>
      </c>
      <c r="S421" s="126"/>
    </row>
    <row r="422" spans="17:36" x14ac:dyDescent="0.3">
      <c r="Q422" t="s">
        <v>1015</v>
      </c>
      <c r="R422" s="126">
        <v>420</v>
      </c>
      <c r="S422" s="126"/>
    </row>
    <row r="423" spans="17:36" x14ac:dyDescent="0.3">
      <c r="Q423" t="s">
        <v>1016</v>
      </c>
      <c r="R423" s="126">
        <v>421</v>
      </c>
      <c r="S423" s="126"/>
    </row>
    <row r="424" spans="17:36" x14ac:dyDescent="0.3">
      <c r="Q424" t="s">
        <v>1017</v>
      </c>
      <c r="R424" s="126">
        <v>422</v>
      </c>
      <c r="S424" s="126"/>
    </row>
    <row r="425" spans="17:36" x14ac:dyDescent="0.3">
      <c r="Q425" s="126" t="s">
        <v>1018</v>
      </c>
      <c r="R425" s="126">
        <v>423</v>
      </c>
      <c r="S425" s="126"/>
      <c r="T425" s="126"/>
      <c r="U425" s="126"/>
      <c r="W425" s="126"/>
      <c r="X425" s="126"/>
      <c r="Y425" s="126"/>
      <c r="Z425" s="126"/>
      <c r="AA425" s="126"/>
      <c r="AB425" s="126"/>
      <c r="AC425" s="126"/>
      <c r="AD425" s="126"/>
      <c r="AE425" s="126"/>
      <c r="AF425" s="126"/>
      <c r="AG425" s="126"/>
      <c r="AH425" s="126"/>
      <c r="AI425" s="126"/>
      <c r="AJ425" s="126"/>
    </row>
    <row r="426" spans="17:36" x14ac:dyDescent="0.3">
      <c r="Q426" t="s">
        <v>1019</v>
      </c>
      <c r="R426" s="126">
        <v>424</v>
      </c>
      <c r="S426" s="126"/>
    </row>
    <row r="427" spans="17:36" x14ac:dyDescent="0.3">
      <c r="Q427" t="s">
        <v>1020</v>
      </c>
      <c r="R427" s="126">
        <v>425</v>
      </c>
      <c r="S427" s="126"/>
    </row>
    <row r="428" spans="17:36" x14ac:dyDescent="0.3">
      <c r="Q428" t="s">
        <v>1021</v>
      </c>
      <c r="R428" s="126">
        <v>426</v>
      </c>
      <c r="S428" s="126"/>
    </row>
    <row r="429" spans="17:36" x14ac:dyDescent="0.3">
      <c r="Q429" t="s">
        <v>1022</v>
      </c>
      <c r="R429" s="126">
        <v>427</v>
      </c>
      <c r="S429" s="126"/>
    </row>
    <row r="430" spans="17:36" x14ac:dyDescent="0.3">
      <c r="Q430" t="s">
        <v>1023</v>
      </c>
      <c r="R430" s="126">
        <v>428</v>
      </c>
      <c r="S430" s="126"/>
    </row>
    <row r="431" spans="17:36" x14ac:dyDescent="0.3">
      <c r="Q431" t="s">
        <v>1024</v>
      </c>
      <c r="R431" s="126">
        <v>429</v>
      </c>
      <c r="S431" s="126"/>
    </row>
    <row r="432" spans="17:36" x14ac:dyDescent="0.3">
      <c r="Q432" t="s">
        <v>1025</v>
      </c>
      <c r="R432" s="126">
        <v>430</v>
      </c>
      <c r="S432" s="126"/>
    </row>
    <row r="433" spans="17:19" x14ac:dyDescent="0.3">
      <c r="Q433" t="s">
        <v>1026</v>
      </c>
      <c r="R433" s="126">
        <v>431</v>
      </c>
      <c r="S433" s="126"/>
    </row>
    <row r="434" spans="17:19" x14ac:dyDescent="0.3">
      <c r="Q434" t="s">
        <v>1027</v>
      </c>
      <c r="R434" s="126">
        <v>432</v>
      </c>
      <c r="S434" s="126"/>
    </row>
    <row r="435" spans="17:19" x14ac:dyDescent="0.3">
      <c r="Q435" t="s">
        <v>1028</v>
      </c>
      <c r="R435" s="126">
        <v>433</v>
      </c>
      <c r="S435" s="126"/>
    </row>
    <row r="436" spans="17:19" x14ac:dyDescent="0.3">
      <c r="Q436" t="s">
        <v>1029</v>
      </c>
      <c r="R436" s="126">
        <v>434</v>
      </c>
      <c r="S436" s="126"/>
    </row>
    <row r="437" spans="17:19" x14ac:dyDescent="0.3">
      <c r="Q437" s="126" t="s">
        <v>1089</v>
      </c>
      <c r="R437" s="126">
        <v>435</v>
      </c>
      <c r="S437" s="126"/>
    </row>
    <row r="438" spans="17:19" x14ac:dyDescent="0.3">
      <c r="Q438" s="126" t="s">
        <v>1090</v>
      </c>
      <c r="R438" s="126">
        <v>436</v>
      </c>
      <c r="S438" s="126"/>
    </row>
    <row r="439" spans="17:19" x14ac:dyDescent="0.3">
      <c r="Q439" s="126" t="s">
        <v>1091</v>
      </c>
      <c r="R439" s="126">
        <v>437</v>
      </c>
      <c r="S439" s="126"/>
    </row>
    <row r="440" spans="17:19" x14ac:dyDescent="0.3">
      <c r="Q440" s="126" t="s">
        <v>1092</v>
      </c>
      <c r="R440" s="126">
        <v>438</v>
      </c>
      <c r="S440" s="126"/>
    </row>
    <row r="441" spans="17:19" x14ac:dyDescent="0.3">
      <c r="Q441" s="126" t="s">
        <v>1093</v>
      </c>
      <c r="R441" s="126">
        <v>439</v>
      </c>
      <c r="S441" s="126"/>
    </row>
    <row r="442" spans="17:19" x14ac:dyDescent="0.3">
      <c r="Q442" s="126" t="s">
        <v>1094</v>
      </c>
      <c r="R442" s="126">
        <v>440</v>
      </c>
      <c r="S442" s="126"/>
    </row>
    <row r="443" spans="17:19" x14ac:dyDescent="0.3">
      <c r="Q443" s="126" t="s">
        <v>1095</v>
      </c>
      <c r="R443" s="126">
        <v>441</v>
      </c>
      <c r="S443" s="126"/>
    </row>
    <row r="444" spans="17:19" x14ac:dyDescent="0.3">
      <c r="Q444" s="126" t="s">
        <v>1096</v>
      </c>
      <c r="R444" s="126">
        <v>442</v>
      </c>
      <c r="S444" s="126"/>
    </row>
    <row r="445" spans="17:19" x14ac:dyDescent="0.3">
      <c r="Q445" s="126" t="s">
        <v>1097</v>
      </c>
      <c r="R445" s="126">
        <v>443</v>
      </c>
      <c r="S445" s="126"/>
    </row>
    <row r="446" spans="17:19" x14ac:dyDescent="0.3">
      <c r="Q446" s="126" t="s">
        <v>1098</v>
      </c>
      <c r="R446" s="126">
        <v>444</v>
      </c>
      <c r="S446" s="126"/>
    </row>
    <row r="447" spans="17:19" x14ac:dyDescent="0.3">
      <c r="Q447" s="126" t="s">
        <v>1099</v>
      </c>
      <c r="R447" s="126">
        <v>445</v>
      </c>
      <c r="S447" s="126"/>
    </row>
    <row r="448" spans="17:19" x14ac:dyDescent="0.3">
      <c r="Q448" s="126" t="s">
        <v>1100</v>
      </c>
      <c r="R448" s="126">
        <v>446</v>
      </c>
      <c r="S448" s="126"/>
    </row>
    <row r="449" spans="17:19" x14ac:dyDescent="0.3">
      <c r="Q449" s="126" t="s">
        <v>1101</v>
      </c>
      <c r="R449" s="126">
        <v>447</v>
      </c>
      <c r="S449" s="126"/>
    </row>
    <row r="450" spans="17:19" x14ac:dyDescent="0.3">
      <c r="Q450" s="126" t="s">
        <v>1102</v>
      </c>
      <c r="R450" s="126">
        <v>448</v>
      </c>
      <c r="S450" s="126"/>
    </row>
    <row r="451" spans="17:19" x14ac:dyDescent="0.3">
      <c r="Q451" s="126" t="s">
        <v>1103</v>
      </c>
      <c r="R451" s="126">
        <v>449</v>
      </c>
      <c r="S451" s="126"/>
    </row>
    <row r="452" spans="17:19" x14ac:dyDescent="0.3">
      <c r="Q452" s="126" t="s">
        <v>1104</v>
      </c>
      <c r="R452" s="126">
        <v>450</v>
      </c>
      <c r="S452" s="126"/>
    </row>
    <row r="453" spans="17:19" x14ac:dyDescent="0.3">
      <c r="Q453" s="126" t="s">
        <v>1105</v>
      </c>
      <c r="R453" s="126">
        <v>451</v>
      </c>
      <c r="S453" s="126"/>
    </row>
    <row r="454" spans="17:19" x14ac:dyDescent="0.3">
      <c r="Q454" s="126" t="s">
        <v>1106</v>
      </c>
      <c r="R454" s="126">
        <v>452</v>
      </c>
      <c r="S454" s="126"/>
    </row>
    <row r="455" spans="17:19" x14ac:dyDescent="0.3">
      <c r="Q455" s="126" t="s">
        <v>1107</v>
      </c>
      <c r="R455" s="126">
        <v>453</v>
      </c>
      <c r="S455" s="126"/>
    </row>
    <row r="456" spans="17:19" x14ac:dyDescent="0.3">
      <c r="Q456" s="126" t="s">
        <v>1108</v>
      </c>
      <c r="R456" s="126">
        <v>454</v>
      </c>
      <c r="S456" s="126"/>
    </row>
    <row r="457" spans="17:19" x14ac:dyDescent="0.3">
      <c r="Q457" s="126" t="s">
        <v>1109</v>
      </c>
      <c r="R457" s="126">
        <v>455</v>
      </c>
      <c r="S457" s="126"/>
    </row>
    <row r="458" spans="17:19" x14ac:dyDescent="0.3">
      <c r="Q458" s="126" t="s">
        <v>1110</v>
      </c>
      <c r="R458" s="126">
        <v>456</v>
      </c>
      <c r="S458" s="126"/>
    </row>
    <row r="459" spans="17:19" x14ac:dyDescent="0.3">
      <c r="Q459" s="126" t="s">
        <v>1111</v>
      </c>
      <c r="R459" s="126">
        <v>457</v>
      </c>
      <c r="S459" s="126"/>
    </row>
    <row r="460" spans="17:19" x14ac:dyDescent="0.3">
      <c r="Q460" s="126" t="s">
        <v>1112</v>
      </c>
      <c r="R460" s="126">
        <v>458</v>
      </c>
      <c r="S460" s="126"/>
    </row>
    <row r="461" spans="17:19" x14ac:dyDescent="0.3">
      <c r="Q461" s="126" t="s">
        <v>1113</v>
      </c>
      <c r="R461" s="126">
        <v>459</v>
      </c>
      <c r="S461" s="126"/>
    </row>
    <row r="462" spans="17:19" x14ac:dyDescent="0.3">
      <c r="Q462" s="126" t="s">
        <v>1114</v>
      </c>
      <c r="R462" s="126">
        <v>460</v>
      </c>
      <c r="S462" s="126"/>
    </row>
    <row r="463" spans="17:19" x14ac:dyDescent="0.3">
      <c r="Q463" s="126" t="s">
        <v>1115</v>
      </c>
      <c r="R463" s="126">
        <v>461</v>
      </c>
      <c r="S463" s="126"/>
    </row>
    <row r="464" spans="17:19" x14ac:dyDescent="0.3">
      <c r="Q464" s="126" t="s">
        <v>1116</v>
      </c>
      <c r="R464" s="126">
        <v>462</v>
      </c>
      <c r="S464" s="126"/>
    </row>
    <row r="465" spans="17:19" x14ac:dyDescent="0.3">
      <c r="Q465" s="126" t="s">
        <v>1117</v>
      </c>
      <c r="R465" s="126">
        <v>463</v>
      </c>
      <c r="S465" s="126"/>
    </row>
    <row r="466" spans="17:19" x14ac:dyDescent="0.3">
      <c r="Q466" s="126" t="s">
        <v>1118</v>
      </c>
      <c r="R466" s="126">
        <v>464</v>
      </c>
      <c r="S466" s="126"/>
    </row>
    <row r="467" spans="17:19" x14ac:dyDescent="0.3">
      <c r="Q467" s="126" t="s">
        <v>1119</v>
      </c>
      <c r="R467" s="126">
        <v>465</v>
      </c>
      <c r="S467" s="126"/>
    </row>
    <row r="468" spans="17:19" x14ac:dyDescent="0.3">
      <c r="Q468" s="126" t="s">
        <v>1120</v>
      </c>
      <c r="R468" s="126">
        <v>466</v>
      </c>
      <c r="S468" s="126"/>
    </row>
    <row r="469" spans="17:19" x14ac:dyDescent="0.3">
      <c r="Q469" s="126" t="s">
        <v>1121</v>
      </c>
      <c r="R469" s="126">
        <v>467</v>
      </c>
      <c r="S469" s="126"/>
    </row>
    <row r="470" spans="17:19" x14ac:dyDescent="0.3">
      <c r="Q470" s="126" t="s">
        <v>1122</v>
      </c>
      <c r="R470" s="126">
        <v>468</v>
      </c>
      <c r="S470" s="126"/>
    </row>
    <row r="471" spans="17:19" x14ac:dyDescent="0.3">
      <c r="Q471" s="126" t="s">
        <v>1123</v>
      </c>
      <c r="R471" s="126">
        <v>469</v>
      </c>
      <c r="S471" s="126"/>
    </row>
    <row r="472" spans="17:19" x14ac:dyDescent="0.3">
      <c r="Q472" s="126" t="s">
        <v>1124</v>
      </c>
      <c r="R472" s="126">
        <v>470</v>
      </c>
      <c r="S472" s="126"/>
    </row>
    <row r="473" spans="17:19" x14ac:dyDescent="0.3">
      <c r="Q473" s="126" t="s">
        <v>1125</v>
      </c>
      <c r="R473" s="126">
        <v>471</v>
      </c>
      <c r="S473" s="126"/>
    </row>
    <row r="474" spans="17:19" x14ac:dyDescent="0.3">
      <c r="Q474" s="126" t="s">
        <v>1126</v>
      </c>
      <c r="R474" s="126">
        <v>472</v>
      </c>
      <c r="S474" s="126"/>
    </row>
    <row r="475" spans="17:19" x14ac:dyDescent="0.3">
      <c r="Q475" s="126" t="s">
        <v>1127</v>
      </c>
      <c r="R475" s="126">
        <v>473</v>
      </c>
      <c r="S475" s="126"/>
    </row>
    <row r="476" spans="17:19" x14ac:dyDescent="0.3">
      <c r="Q476" s="126" t="s">
        <v>1128</v>
      </c>
      <c r="R476" s="126">
        <v>474</v>
      </c>
      <c r="S476" s="126"/>
    </row>
    <row r="477" spans="17:19" x14ac:dyDescent="0.3">
      <c r="Q477" s="126" t="s">
        <v>1129</v>
      </c>
      <c r="R477" s="126">
        <v>475</v>
      </c>
      <c r="S477" s="126"/>
    </row>
    <row r="478" spans="17:19" x14ac:dyDescent="0.3">
      <c r="Q478" s="126" t="s">
        <v>1130</v>
      </c>
      <c r="R478" s="126">
        <v>476</v>
      </c>
      <c r="S478" s="126"/>
    </row>
    <row r="479" spans="17:19" x14ac:dyDescent="0.3">
      <c r="Q479" s="126" t="s">
        <v>1131</v>
      </c>
      <c r="R479" s="126">
        <v>477</v>
      </c>
      <c r="S479" s="126"/>
    </row>
    <row r="480" spans="17:19" x14ac:dyDescent="0.3">
      <c r="Q480" s="126" t="s">
        <v>1132</v>
      </c>
      <c r="R480" s="126">
        <v>478</v>
      </c>
      <c r="S480" s="126"/>
    </row>
    <row r="481" spans="17:19" x14ac:dyDescent="0.3">
      <c r="Q481" s="126" t="s">
        <v>1133</v>
      </c>
      <c r="R481" s="126">
        <v>479</v>
      </c>
      <c r="S481" s="126"/>
    </row>
    <row r="482" spans="17:19" x14ac:dyDescent="0.3">
      <c r="Q482" s="126" t="s">
        <v>1134</v>
      </c>
      <c r="R482" s="126">
        <v>480</v>
      </c>
      <c r="S482" s="126"/>
    </row>
    <row r="483" spans="17:19" x14ac:dyDescent="0.3">
      <c r="Q483" s="126" t="s">
        <v>1135</v>
      </c>
      <c r="R483" s="126">
        <v>481</v>
      </c>
      <c r="S483" s="126"/>
    </row>
    <row r="484" spans="17:19" x14ac:dyDescent="0.3">
      <c r="Q484" s="126" t="s">
        <v>1136</v>
      </c>
      <c r="R484" s="126">
        <v>482</v>
      </c>
      <c r="S484" s="126"/>
    </row>
    <row r="485" spans="17:19" x14ac:dyDescent="0.3">
      <c r="Q485" s="126" t="s">
        <v>1137</v>
      </c>
      <c r="R485" s="126">
        <v>483</v>
      </c>
      <c r="S485" s="126"/>
    </row>
    <row r="486" spans="17:19" x14ac:dyDescent="0.3">
      <c r="Q486" s="126" t="s">
        <v>1138</v>
      </c>
      <c r="R486" s="126">
        <v>484</v>
      </c>
      <c r="S486" s="126"/>
    </row>
    <row r="487" spans="17:19" x14ac:dyDescent="0.3">
      <c r="Q487" s="126" t="s">
        <v>1139</v>
      </c>
      <c r="R487" s="126">
        <v>485</v>
      </c>
      <c r="S487" s="126"/>
    </row>
    <row r="488" spans="17:19" x14ac:dyDescent="0.3">
      <c r="Q488" s="126" t="s">
        <v>1140</v>
      </c>
      <c r="R488" s="126">
        <v>486</v>
      </c>
      <c r="S488" s="126"/>
    </row>
    <row r="489" spans="17:19" x14ac:dyDescent="0.3">
      <c r="Q489" s="126" t="s">
        <v>1141</v>
      </c>
      <c r="R489" s="126">
        <v>487</v>
      </c>
      <c r="S489" s="126"/>
    </row>
    <row r="490" spans="17:19" x14ac:dyDescent="0.3">
      <c r="Q490" s="126" t="s">
        <v>1142</v>
      </c>
      <c r="R490" s="126">
        <v>488</v>
      </c>
      <c r="S490" s="126"/>
    </row>
    <row r="491" spans="17:19" x14ac:dyDescent="0.3">
      <c r="Q491" s="126" t="s">
        <v>1143</v>
      </c>
      <c r="R491" s="126">
        <v>489</v>
      </c>
      <c r="S491" s="126"/>
    </row>
    <row r="492" spans="17:19" x14ac:dyDescent="0.3">
      <c r="Q492" s="126" t="s">
        <v>1144</v>
      </c>
      <c r="R492" s="126">
        <v>490</v>
      </c>
      <c r="S492" s="126"/>
    </row>
    <row r="493" spans="17:19" x14ac:dyDescent="0.3">
      <c r="Q493" s="126" t="s">
        <v>1145</v>
      </c>
      <c r="R493" s="126">
        <v>491</v>
      </c>
      <c r="S493" s="126"/>
    </row>
    <row r="494" spans="17:19" x14ac:dyDescent="0.3">
      <c r="Q494" s="126" t="s">
        <v>1146</v>
      </c>
      <c r="R494" s="126">
        <v>492</v>
      </c>
      <c r="S494" s="126"/>
    </row>
    <row r="495" spans="17:19" x14ac:dyDescent="0.3">
      <c r="Q495" s="126" t="s">
        <v>1147</v>
      </c>
      <c r="R495" s="126">
        <v>493</v>
      </c>
      <c r="S495" s="126"/>
    </row>
    <row r="496" spans="17:19" x14ac:dyDescent="0.3">
      <c r="Q496" s="126" t="s">
        <v>1148</v>
      </c>
      <c r="R496" s="126">
        <v>494</v>
      </c>
      <c r="S496" s="126"/>
    </row>
    <row r="497" spans="16:19" x14ac:dyDescent="0.3">
      <c r="Q497" s="126" t="s">
        <v>1149</v>
      </c>
      <c r="R497" s="126">
        <v>495</v>
      </c>
      <c r="S497" s="126"/>
    </row>
    <row r="498" spans="16:19" x14ac:dyDescent="0.3">
      <c r="Q498" s="126" t="s">
        <v>1150</v>
      </c>
      <c r="R498" s="126">
        <v>496</v>
      </c>
      <c r="S498" s="126"/>
    </row>
    <row r="499" spans="16:19" x14ac:dyDescent="0.3">
      <c r="Q499" s="126" t="s">
        <v>1151</v>
      </c>
      <c r="R499" s="126">
        <v>497</v>
      </c>
      <c r="S499" s="126"/>
    </row>
    <row r="500" spans="16:19" x14ac:dyDescent="0.3">
      <c r="Q500" s="126" t="s">
        <v>1152</v>
      </c>
      <c r="R500" s="126">
        <v>498</v>
      </c>
      <c r="S500" s="126"/>
    </row>
    <row r="501" spans="16:19" x14ac:dyDescent="0.3">
      <c r="Q501" s="126" t="s">
        <v>1153</v>
      </c>
      <c r="R501" s="126">
        <v>499</v>
      </c>
      <c r="S501" s="126"/>
    </row>
    <row r="502" spans="16:19" x14ac:dyDescent="0.3">
      <c r="Q502" s="126" t="s">
        <v>1154</v>
      </c>
      <c r="R502" s="126">
        <v>500</v>
      </c>
      <c r="S502" s="126"/>
    </row>
    <row r="503" spans="16:19" x14ac:dyDescent="0.3">
      <c r="Q503" s="126" t="s">
        <v>1155</v>
      </c>
      <c r="R503" s="126">
        <v>501</v>
      </c>
      <c r="S503" s="126"/>
    </row>
    <row r="504" spans="16:19" x14ac:dyDescent="0.3">
      <c r="P504" s="245"/>
      <c r="Q504" s="245" t="s">
        <v>1156</v>
      </c>
      <c r="R504" s="126">
        <v>502</v>
      </c>
      <c r="S504" s="245"/>
    </row>
    <row r="505" spans="16:19" x14ac:dyDescent="0.3">
      <c r="P505" s="245"/>
      <c r="Q505" s="245" t="s">
        <v>1157</v>
      </c>
      <c r="R505" s="126">
        <v>503</v>
      </c>
      <c r="S505" s="245"/>
    </row>
    <row r="506" spans="16:19" x14ac:dyDescent="0.3">
      <c r="P506" s="245"/>
      <c r="Q506" s="245" t="s">
        <v>1158</v>
      </c>
      <c r="R506" s="126">
        <v>504</v>
      </c>
      <c r="S506" s="245"/>
    </row>
    <row r="507" spans="16:19" x14ac:dyDescent="0.3">
      <c r="P507" s="245"/>
      <c r="Q507" s="245" t="s">
        <v>1159</v>
      </c>
      <c r="R507" s="126">
        <v>505</v>
      </c>
      <c r="S507" s="245"/>
    </row>
    <row r="508" spans="16:19" x14ac:dyDescent="0.3">
      <c r="P508" s="245"/>
      <c r="Q508" s="245" t="s">
        <v>1160</v>
      </c>
      <c r="R508" s="126">
        <v>506</v>
      </c>
      <c r="S508" s="245"/>
    </row>
    <row r="509" spans="16:19" x14ac:dyDescent="0.3">
      <c r="P509" s="245"/>
      <c r="Q509" s="245" t="s">
        <v>1161</v>
      </c>
      <c r="R509" s="126">
        <v>507</v>
      </c>
      <c r="S509" s="245"/>
    </row>
    <row r="510" spans="16:19" x14ac:dyDescent="0.3">
      <c r="P510" s="245"/>
      <c r="Q510" s="245" t="s">
        <v>1162</v>
      </c>
      <c r="R510" s="126">
        <v>508</v>
      </c>
      <c r="S510" s="245"/>
    </row>
    <row r="511" spans="16:19" x14ac:dyDescent="0.3">
      <c r="P511" s="245"/>
      <c r="Q511" s="245" t="s">
        <v>1163</v>
      </c>
      <c r="R511" s="126">
        <v>509</v>
      </c>
      <c r="S511" s="245"/>
    </row>
    <row r="512" spans="16:19" x14ac:dyDescent="0.3">
      <c r="P512" s="245"/>
      <c r="Q512" s="245" t="s">
        <v>1164</v>
      </c>
      <c r="R512" s="126">
        <v>510</v>
      </c>
      <c r="S512" s="245"/>
    </row>
    <row r="513" spans="16:19" x14ac:dyDescent="0.3">
      <c r="P513" s="245"/>
      <c r="Q513" s="245" t="s">
        <v>1165</v>
      </c>
      <c r="R513" s="126">
        <v>511</v>
      </c>
      <c r="S513" s="245"/>
    </row>
    <row r="514" spans="16:19" x14ac:dyDescent="0.3">
      <c r="P514" s="245"/>
      <c r="Q514" s="245" t="s">
        <v>1166</v>
      </c>
      <c r="R514" s="126">
        <v>512</v>
      </c>
      <c r="S514" s="245"/>
    </row>
    <row r="515" spans="16:19" x14ac:dyDescent="0.3">
      <c r="P515" s="245"/>
      <c r="Q515" s="245" t="s">
        <v>1167</v>
      </c>
      <c r="R515" s="126">
        <v>513</v>
      </c>
      <c r="S515" s="245"/>
    </row>
    <row r="516" spans="16:19" x14ac:dyDescent="0.3">
      <c r="P516" s="245"/>
      <c r="Q516" s="245" t="s">
        <v>1168</v>
      </c>
      <c r="R516" s="126">
        <v>514</v>
      </c>
      <c r="S516" s="245"/>
    </row>
    <row r="517" spans="16:19" x14ac:dyDescent="0.3">
      <c r="P517" s="245"/>
      <c r="Q517" s="245" t="s">
        <v>1169</v>
      </c>
      <c r="R517" s="126">
        <v>515</v>
      </c>
      <c r="S517" s="245"/>
    </row>
    <row r="518" spans="16:19" x14ac:dyDescent="0.3">
      <c r="P518" s="245"/>
      <c r="Q518" s="245" t="s">
        <v>1170</v>
      </c>
      <c r="R518" s="126">
        <v>516</v>
      </c>
      <c r="S518" s="245"/>
    </row>
    <row r="519" spans="16:19" x14ac:dyDescent="0.3">
      <c r="P519" s="245"/>
      <c r="Q519" s="245" t="s">
        <v>1171</v>
      </c>
      <c r="R519" s="126">
        <v>517</v>
      </c>
      <c r="S519" s="245"/>
    </row>
    <row r="520" spans="16:19" x14ac:dyDescent="0.3">
      <c r="P520" s="245"/>
      <c r="Q520" s="245" t="s">
        <v>1172</v>
      </c>
      <c r="R520" s="126">
        <v>518</v>
      </c>
      <c r="S520" s="245"/>
    </row>
    <row r="521" spans="16:19" x14ac:dyDescent="0.3">
      <c r="P521" s="245"/>
      <c r="Q521" s="246" t="s">
        <v>1173</v>
      </c>
      <c r="R521" s="126">
        <v>519</v>
      </c>
      <c r="S521" s="245"/>
    </row>
    <row r="522" spans="16:19" x14ac:dyDescent="0.3">
      <c r="P522" s="245"/>
      <c r="Q522" s="246" t="s">
        <v>1174</v>
      </c>
      <c r="R522" s="126">
        <v>520</v>
      </c>
      <c r="S522" s="245"/>
    </row>
    <row r="523" spans="16:19" x14ac:dyDescent="0.3">
      <c r="P523" s="245"/>
      <c r="Q523" s="246" t="s">
        <v>1175</v>
      </c>
      <c r="R523" s="126">
        <v>521</v>
      </c>
      <c r="S523" s="245"/>
    </row>
    <row r="524" spans="16:19" x14ac:dyDescent="0.3">
      <c r="P524" s="245"/>
      <c r="Q524" s="246" t="s">
        <v>1176</v>
      </c>
      <c r="R524" s="126">
        <v>522</v>
      </c>
      <c r="S524" s="245"/>
    </row>
    <row r="525" spans="16:19" x14ac:dyDescent="0.3">
      <c r="P525" s="245"/>
      <c r="Q525" s="246" t="s">
        <v>1177</v>
      </c>
      <c r="R525" s="126">
        <v>523</v>
      </c>
      <c r="S525" s="245"/>
    </row>
    <row r="526" spans="16:19" x14ac:dyDescent="0.3">
      <c r="P526" s="245"/>
      <c r="Q526" s="246" t="s">
        <v>1178</v>
      </c>
      <c r="R526" s="126">
        <v>524</v>
      </c>
      <c r="S526" s="245"/>
    </row>
    <row r="527" spans="16:19" x14ac:dyDescent="0.3">
      <c r="P527" s="245"/>
      <c r="Q527" s="126" t="s">
        <v>1179</v>
      </c>
      <c r="R527" s="126">
        <v>525</v>
      </c>
      <c r="S527" s="245"/>
    </row>
    <row r="528" spans="16:19" x14ac:dyDescent="0.3">
      <c r="P528" s="245"/>
      <c r="Q528" s="126" t="s">
        <v>1180</v>
      </c>
      <c r="R528" s="126">
        <v>526</v>
      </c>
      <c r="S528" s="245"/>
    </row>
    <row r="529" spans="16:19" x14ac:dyDescent="0.3">
      <c r="P529" s="245"/>
      <c r="Q529" s="126" t="s">
        <v>1181</v>
      </c>
      <c r="R529" s="126">
        <v>527</v>
      </c>
      <c r="S529" s="245"/>
    </row>
    <row r="530" spans="16:19" x14ac:dyDescent="0.3">
      <c r="P530" s="245"/>
      <c r="Q530" s="126" t="s">
        <v>1182</v>
      </c>
      <c r="R530" s="126">
        <v>528</v>
      </c>
      <c r="S530" s="245"/>
    </row>
    <row r="531" spans="16:19" x14ac:dyDescent="0.3">
      <c r="P531" s="245"/>
      <c r="Q531" s="126" t="s">
        <v>1183</v>
      </c>
      <c r="R531" s="126">
        <v>529</v>
      </c>
      <c r="S531" s="245"/>
    </row>
    <row r="532" spans="16:19" x14ac:dyDescent="0.3">
      <c r="P532" s="245"/>
      <c r="Q532" s="126" t="s">
        <v>1184</v>
      </c>
      <c r="R532" s="126">
        <v>530</v>
      </c>
      <c r="S532" s="245"/>
    </row>
    <row r="533" spans="16:19" x14ac:dyDescent="0.3">
      <c r="P533" s="245"/>
      <c r="Q533" s="126" t="s">
        <v>1185</v>
      </c>
      <c r="R533" s="126">
        <v>531</v>
      </c>
      <c r="S533" s="245"/>
    </row>
    <row r="534" spans="16:19" x14ac:dyDescent="0.3">
      <c r="P534" s="245"/>
      <c r="Q534" s="126" t="s">
        <v>1186</v>
      </c>
      <c r="R534" s="126">
        <v>532</v>
      </c>
      <c r="S534" s="245"/>
    </row>
    <row r="535" spans="16:19" x14ac:dyDescent="0.3">
      <c r="P535" s="245"/>
      <c r="Q535" s="126" t="s">
        <v>1187</v>
      </c>
      <c r="R535" s="126">
        <v>533</v>
      </c>
      <c r="S535" s="245"/>
    </row>
    <row r="536" spans="16:19" x14ac:dyDescent="0.3">
      <c r="P536" s="245"/>
      <c r="Q536" s="126" t="s">
        <v>1188</v>
      </c>
      <c r="R536" s="126">
        <v>534</v>
      </c>
      <c r="S536" s="245"/>
    </row>
    <row r="537" spans="16:19" x14ac:dyDescent="0.3">
      <c r="P537" s="245"/>
      <c r="Q537" s="126" t="s">
        <v>1189</v>
      </c>
      <c r="R537" s="126">
        <v>535</v>
      </c>
      <c r="S537" s="245"/>
    </row>
    <row r="538" spans="16:19" x14ac:dyDescent="0.3">
      <c r="P538" s="245"/>
      <c r="Q538" s="126" t="s">
        <v>1190</v>
      </c>
      <c r="R538" s="126">
        <v>536</v>
      </c>
      <c r="S538" s="245"/>
    </row>
    <row r="539" spans="16:19" x14ac:dyDescent="0.3">
      <c r="P539" s="245"/>
      <c r="Q539" s="126" t="s">
        <v>1191</v>
      </c>
      <c r="R539" s="126">
        <v>537</v>
      </c>
      <c r="S539" s="245"/>
    </row>
    <row r="540" spans="16:19" x14ac:dyDescent="0.3">
      <c r="P540" s="245"/>
      <c r="Q540" s="126" t="s">
        <v>1192</v>
      </c>
      <c r="R540" s="126">
        <v>538</v>
      </c>
      <c r="S540" s="245"/>
    </row>
    <row r="541" spans="16:19" x14ac:dyDescent="0.3">
      <c r="P541" s="245"/>
      <c r="Q541" s="126" t="s">
        <v>1193</v>
      </c>
      <c r="R541" s="126">
        <v>539</v>
      </c>
      <c r="S541" s="245"/>
    </row>
    <row r="542" spans="16:19" x14ac:dyDescent="0.3">
      <c r="P542" s="245"/>
      <c r="Q542" s="126" t="s">
        <v>1194</v>
      </c>
      <c r="R542" s="126">
        <v>540</v>
      </c>
      <c r="S542" s="245"/>
    </row>
    <row r="543" spans="16:19" x14ac:dyDescent="0.3">
      <c r="P543" s="245"/>
      <c r="Q543" s="126" t="s">
        <v>1195</v>
      </c>
      <c r="R543" s="126">
        <v>541</v>
      </c>
      <c r="S543" s="245"/>
    </row>
    <row r="544" spans="16:19" x14ac:dyDescent="0.3">
      <c r="P544" s="245"/>
      <c r="Q544" s="126" t="s">
        <v>1196</v>
      </c>
      <c r="R544" s="126">
        <v>542</v>
      </c>
      <c r="S544" s="245"/>
    </row>
    <row r="545" spans="16:43" x14ac:dyDescent="0.3">
      <c r="P545" s="245"/>
      <c r="Q545" s="256" t="s">
        <v>1210</v>
      </c>
      <c r="R545" s="126">
        <v>543</v>
      </c>
      <c r="S545" s="245"/>
    </row>
    <row r="546" spans="16:43" x14ac:dyDescent="0.3">
      <c r="P546" s="245"/>
      <c r="Q546" s="256" t="s">
        <v>1211</v>
      </c>
      <c r="R546" s="126">
        <v>544</v>
      </c>
      <c r="S546" s="245"/>
    </row>
    <row r="547" spans="16:43" x14ac:dyDescent="0.3">
      <c r="P547" s="245"/>
      <c r="Q547" s="256" t="s">
        <v>1212</v>
      </c>
      <c r="R547" s="126">
        <v>545</v>
      </c>
      <c r="S547" s="245"/>
    </row>
    <row r="548" spans="16:43" x14ac:dyDescent="0.3">
      <c r="P548" s="245"/>
      <c r="Q548" s="256" t="s">
        <v>1213</v>
      </c>
      <c r="R548" s="126">
        <v>546</v>
      </c>
      <c r="S548" s="245"/>
    </row>
    <row r="549" spans="16:43" x14ac:dyDescent="0.3">
      <c r="P549" s="245"/>
      <c r="Q549" s="256" t="s">
        <v>1214</v>
      </c>
      <c r="R549" s="126">
        <v>547</v>
      </c>
      <c r="S549" s="245"/>
    </row>
    <row r="550" spans="16:43" x14ac:dyDescent="0.3">
      <c r="P550" s="245"/>
      <c r="Q550" s="256" t="s">
        <v>1215</v>
      </c>
      <c r="R550" s="126">
        <v>548</v>
      </c>
      <c r="S550" s="245"/>
    </row>
    <row r="551" spans="16:43" x14ac:dyDescent="0.3">
      <c r="P551" s="245"/>
      <c r="Q551" s="256" t="s">
        <v>1216</v>
      </c>
      <c r="R551" s="126">
        <v>549</v>
      </c>
      <c r="S551" s="245"/>
    </row>
    <row r="552" spans="16:43" x14ac:dyDescent="0.3">
      <c r="P552" s="245"/>
      <c r="Q552" s="256" t="s">
        <v>1217</v>
      </c>
      <c r="R552" s="126">
        <v>550</v>
      </c>
      <c r="S552" s="245"/>
      <c r="Z552" s="246"/>
      <c r="AA552" s="245"/>
      <c r="AB552" s="245"/>
      <c r="AC552" s="126"/>
      <c r="AD552" s="126"/>
      <c r="AE552" s="126"/>
      <c r="AF552" s="126"/>
      <c r="AG552" s="126"/>
      <c r="AH552" s="126"/>
      <c r="AI552" s="126"/>
      <c r="AJ552" s="126"/>
      <c r="AK552" s="126"/>
      <c r="AL552" s="126"/>
      <c r="AM552" s="126"/>
      <c r="AN552" s="126"/>
      <c r="AO552" s="126"/>
      <c r="AP552" s="126"/>
      <c r="AQ552" s="126"/>
    </row>
    <row r="553" spans="16:43" x14ac:dyDescent="0.3">
      <c r="P553" s="245"/>
      <c r="Q553" s="256" t="s">
        <v>1218</v>
      </c>
      <c r="R553" s="126">
        <v>551</v>
      </c>
      <c r="S553" s="245"/>
    </row>
    <row r="554" spans="16:43" x14ac:dyDescent="0.3">
      <c r="P554" s="245"/>
      <c r="Q554" s="256" t="s">
        <v>1219</v>
      </c>
      <c r="R554" s="126">
        <v>552</v>
      </c>
      <c r="S554" s="245"/>
    </row>
    <row r="555" spans="16:43" x14ac:dyDescent="0.3">
      <c r="P555" s="245"/>
      <c r="Q555" s="256" t="s">
        <v>1220</v>
      </c>
      <c r="R555" s="126">
        <v>553</v>
      </c>
      <c r="S555" s="245"/>
    </row>
    <row r="556" spans="16:43" x14ac:dyDescent="0.3">
      <c r="P556" s="245"/>
      <c r="Q556" s="256" t="s">
        <v>1221</v>
      </c>
      <c r="R556" s="126">
        <v>554</v>
      </c>
      <c r="S556" s="245"/>
    </row>
    <row r="557" spans="16:43" x14ac:dyDescent="0.3">
      <c r="P557" s="245"/>
      <c r="Q557" s="256" t="s">
        <v>1222</v>
      </c>
      <c r="R557" s="126">
        <v>555</v>
      </c>
      <c r="S557" s="245"/>
    </row>
    <row r="558" spans="16:43" x14ac:dyDescent="0.3">
      <c r="P558" s="245"/>
      <c r="Q558" s="256" t="s">
        <v>1223</v>
      </c>
      <c r="R558" s="126">
        <v>556</v>
      </c>
      <c r="S558" s="245"/>
    </row>
    <row r="559" spans="16:43" x14ac:dyDescent="0.3">
      <c r="P559" s="245"/>
      <c r="Q559" s="256" t="s">
        <v>1224</v>
      </c>
      <c r="R559" s="126">
        <v>557</v>
      </c>
      <c r="S559" s="245"/>
    </row>
    <row r="560" spans="16:43" x14ac:dyDescent="0.3">
      <c r="P560" s="245"/>
      <c r="Q560" s="256" t="s">
        <v>1225</v>
      </c>
      <c r="R560" s="126">
        <v>558</v>
      </c>
      <c r="S560" s="245"/>
    </row>
    <row r="561" spans="16:19" x14ac:dyDescent="0.3">
      <c r="P561" s="245"/>
      <c r="Q561" s="256" t="s">
        <v>1226</v>
      </c>
      <c r="R561" s="126">
        <v>559</v>
      </c>
      <c r="S561" s="245"/>
    </row>
    <row r="562" spans="16:19" x14ac:dyDescent="0.3">
      <c r="P562" s="245"/>
      <c r="Q562" s="256" t="s">
        <v>1227</v>
      </c>
      <c r="R562" s="126">
        <v>560</v>
      </c>
      <c r="S562" s="245"/>
    </row>
    <row r="563" spans="16:19" x14ac:dyDescent="0.3">
      <c r="P563" s="245"/>
      <c r="Q563" s="246"/>
      <c r="R563" s="245"/>
      <c r="S563" s="245"/>
    </row>
    <row r="564" spans="16:19" x14ac:dyDescent="0.3">
      <c r="P564" s="245"/>
      <c r="Q564" s="246"/>
      <c r="R564" s="245"/>
      <c r="S564" s="245"/>
    </row>
    <row r="565" spans="16:19" x14ac:dyDescent="0.3">
      <c r="P565" s="245"/>
      <c r="Q565" s="246"/>
      <c r="R565" s="245"/>
      <c r="S565" s="245"/>
    </row>
    <row r="566" spans="16:19" x14ac:dyDescent="0.3">
      <c r="P566" s="245"/>
      <c r="Q566" s="246"/>
      <c r="R566" s="245"/>
      <c r="S566" s="245"/>
    </row>
    <row r="567" spans="16:19" x14ac:dyDescent="0.3">
      <c r="P567" s="245"/>
      <c r="Q567" s="246"/>
      <c r="R567" s="245"/>
      <c r="S567" s="245"/>
    </row>
    <row r="568" spans="16:19" x14ac:dyDescent="0.3">
      <c r="P568" s="245"/>
      <c r="Q568" s="246"/>
      <c r="R568" s="245"/>
      <c r="S568" s="245"/>
    </row>
    <row r="569" spans="16:19" x14ac:dyDescent="0.3">
      <c r="P569" s="245"/>
      <c r="Q569" s="246"/>
      <c r="R569" s="245"/>
      <c r="S569" s="245"/>
    </row>
    <row r="570" spans="16:19" x14ac:dyDescent="0.3">
      <c r="P570" s="245"/>
      <c r="Q570" s="246"/>
      <c r="R570" s="245"/>
      <c r="S570" s="245"/>
    </row>
    <row r="571" spans="16:19" x14ac:dyDescent="0.3">
      <c r="P571" s="245"/>
      <c r="Q571" s="246"/>
      <c r="R571" s="245"/>
      <c r="S571" s="245"/>
    </row>
    <row r="572" spans="16:19" x14ac:dyDescent="0.3">
      <c r="P572" s="245"/>
      <c r="Q572" s="246"/>
      <c r="R572" s="245"/>
      <c r="S572" s="245"/>
    </row>
    <row r="573" spans="16:19" x14ac:dyDescent="0.3">
      <c r="P573" s="245"/>
      <c r="Q573" s="246"/>
      <c r="R573" s="245"/>
      <c r="S573" s="245"/>
    </row>
    <row r="574" spans="16:19" x14ac:dyDescent="0.3">
      <c r="P574" s="245"/>
      <c r="Q574" s="246"/>
      <c r="R574" s="245"/>
      <c r="S574" s="245"/>
    </row>
    <row r="575" spans="16:19" x14ac:dyDescent="0.3">
      <c r="P575" s="245"/>
      <c r="Q575" s="246"/>
      <c r="R575" s="245"/>
      <c r="S575" s="245"/>
    </row>
    <row r="576" spans="16:19" x14ac:dyDescent="0.3">
      <c r="P576" s="245"/>
      <c r="Q576" s="246"/>
      <c r="R576" s="245"/>
      <c r="S576" s="245"/>
    </row>
    <row r="577" spans="16:19" x14ac:dyDescent="0.3">
      <c r="P577" s="245"/>
      <c r="Q577" s="246"/>
      <c r="R577" s="245"/>
      <c r="S577" s="245"/>
    </row>
    <row r="578" spans="16:19" x14ac:dyDescent="0.3">
      <c r="P578" s="245"/>
      <c r="Q578" s="246"/>
      <c r="R578" s="245"/>
      <c r="S578" s="245"/>
    </row>
    <row r="579" spans="16:19" x14ac:dyDescent="0.3">
      <c r="P579" s="245"/>
      <c r="Q579" s="246"/>
      <c r="R579" s="245"/>
      <c r="S579" s="245"/>
    </row>
    <row r="580" spans="16:19" x14ac:dyDescent="0.3">
      <c r="P580" s="245"/>
      <c r="Q580" s="246"/>
      <c r="R580" s="245"/>
      <c r="S580" s="245"/>
    </row>
    <row r="581" spans="16:19" x14ac:dyDescent="0.3">
      <c r="P581" s="245"/>
      <c r="Q581" s="246"/>
      <c r="R581" s="245"/>
      <c r="S581" s="245"/>
    </row>
    <row r="582" spans="16:19" x14ac:dyDescent="0.3">
      <c r="P582" s="245"/>
      <c r="Q582" s="246"/>
      <c r="R582" s="245"/>
      <c r="S582" s="245"/>
    </row>
    <row r="583" spans="16:19" x14ac:dyDescent="0.3">
      <c r="P583" s="245"/>
      <c r="Q583" s="246"/>
      <c r="R583" s="245"/>
      <c r="S583" s="245"/>
    </row>
    <row r="584" spans="16:19" x14ac:dyDescent="0.3">
      <c r="P584" s="245"/>
      <c r="Q584" s="246"/>
      <c r="R584" s="245"/>
      <c r="S584" s="245"/>
    </row>
    <row r="585" spans="16:19" x14ac:dyDescent="0.3">
      <c r="P585" s="245"/>
      <c r="Q585" s="246"/>
      <c r="R585" s="245"/>
      <c r="S585" s="245"/>
    </row>
    <row r="586" spans="16:19" x14ac:dyDescent="0.3">
      <c r="P586" s="245"/>
      <c r="Q586" s="246"/>
      <c r="R586" s="245"/>
      <c r="S586" s="245"/>
    </row>
    <row r="587" spans="16:19" x14ac:dyDescent="0.3">
      <c r="P587" s="245"/>
      <c r="Q587" s="246"/>
      <c r="R587" s="245"/>
      <c r="S587" s="245"/>
    </row>
    <row r="588" spans="16:19" x14ac:dyDescent="0.3">
      <c r="P588" s="245"/>
      <c r="Q588" s="246"/>
      <c r="R588" s="245"/>
      <c r="S588" s="245"/>
    </row>
    <row r="589" spans="16:19" x14ac:dyDescent="0.3">
      <c r="P589" s="245"/>
      <c r="Q589" s="246"/>
      <c r="R589" s="245"/>
      <c r="S589" s="245"/>
    </row>
    <row r="590" spans="16:19" x14ac:dyDescent="0.3">
      <c r="P590" s="245"/>
      <c r="Q590" s="246"/>
      <c r="R590" s="245"/>
      <c r="S590" s="245"/>
    </row>
    <row r="591" spans="16:19" x14ac:dyDescent="0.3">
      <c r="P591" s="245"/>
      <c r="Q591" s="246"/>
      <c r="R591" s="245"/>
      <c r="S591" s="245"/>
    </row>
    <row r="592" spans="16:19" x14ac:dyDescent="0.3">
      <c r="P592" s="245"/>
      <c r="Q592" s="246"/>
      <c r="R592" s="245"/>
      <c r="S592" s="245"/>
    </row>
    <row r="593" spans="16:19" x14ac:dyDescent="0.3">
      <c r="P593" s="245"/>
      <c r="Q593" s="246"/>
      <c r="R593" s="245"/>
      <c r="S593" s="245"/>
    </row>
    <row r="594" spans="16:19" x14ac:dyDescent="0.3">
      <c r="P594" s="245"/>
      <c r="Q594" s="246"/>
      <c r="R594" s="245"/>
      <c r="S594" s="245"/>
    </row>
    <row r="595" spans="16:19" x14ac:dyDescent="0.3">
      <c r="P595" s="245"/>
      <c r="Q595" s="246"/>
      <c r="R595" s="245"/>
      <c r="S595" s="245"/>
    </row>
    <row r="596" spans="16:19" x14ac:dyDescent="0.3">
      <c r="P596" s="245"/>
      <c r="Q596" s="246"/>
      <c r="R596" s="245"/>
      <c r="S596" s="245"/>
    </row>
    <row r="597" spans="16:19" x14ac:dyDescent="0.3">
      <c r="P597" s="245"/>
      <c r="Q597" s="246"/>
      <c r="R597" s="245"/>
      <c r="S597" s="245"/>
    </row>
    <row r="598" spans="16:19" x14ac:dyDescent="0.3">
      <c r="P598" s="245"/>
      <c r="Q598" s="246"/>
      <c r="R598" s="245"/>
      <c r="S598" s="245"/>
    </row>
    <row r="599" spans="16:19" x14ac:dyDescent="0.3">
      <c r="P599" s="245"/>
      <c r="Q599" s="246"/>
      <c r="R599" s="245"/>
      <c r="S599" s="245"/>
    </row>
    <row r="600" spans="16:19" x14ac:dyDescent="0.3">
      <c r="P600" s="245"/>
      <c r="Q600" s="246"/>
      <c r="R600" s="245"/>
      <c r="S600" s="245"/>
    </row>
    <row r="601" spans="16:19" x14ac:dyDescent="0.3">
      <c r="P601" s="245"/>
      <c r="Q601" s="246"/>
      <c r="R601" s="245"/>
      <c r="S601" s="245"/>
    </row>
    <row r="602" spans="16:19" x14ac:dyDescent="0.3">
      <c r="P602" s="245"/>
      <c r="Q602" s="246"/>
      <c r="R602" s="245"/>
      <c r="S602" s="245"/>
    </row>
    <row r="603" spans="16:19" x14ac:dyDescent="0.3">
      <c r="P603" s="245"/>
      <c r="Q603" s="246"/>
      <c r="R603" s="245"/>
      <c r="S603" s="245"/>
    </row>
    <row r="604" spans="16:19" x14ac:dyDescent="0.3">
      <c r="P604" s="245"/>
      <c r="Q604" s="246"/>
      <c r="R604" s="245"/>
      <c r="S604" s="245"/>
    </row>
    <row r="605" spans="16:19" x14ac:dyDescent="0.3">
      <c r="P605" s="245"/>
      <c r="Q605" s="246"/>
      <c r="R605" s="245"/>
      <c r="S605" s="245"/>
    </row>
    <row r="606" spans="16:19" x14ac:dyDescent="0.3">
      <c r="P606" s="245"/>
      <c r="Q606" s="246"/>
      <c r="R606" s="245"/>
      <c r="S606" s="245"/>
    </row>
    <row r="607" spans="16:19" x14ac:dyDescent="0.3">
      <c r="P607" s="245"/>
      <c r="Q607" s="246"/>
      <c r="R607" s="245"/>
      <c r="S607" s="245"/>
    </row>
    <row r="608" spans="16:19" x14ac:dyDescent="0.3">
      <c r="P608" s="245"/>
      <c r="Q608" s="246"/>
      <c r="R608" s="245"/>
      <c r="S608" s="245"/>
    </row>
    <row r="609" spans="16:19" x14ac:dyDescent="0.3">
      <c r="P609" s="245"/>
      <c r="Q609" s="246"/>
      <c r="R609" s="245"/>
      <c r="S609" s="245"/>
    </row>
    <row r="610" spans="16:19" x14ac:dyDescent="0.3">
      <c r="P610" s="245"/>
      <c r="Q610" s="246"/>
      <c r="R610" s="245"/>
      <c r="S610" s="245"/>
    </row>
    <row r="611" spans="16:19" x14ac:dyDescent="0.3">
      <c r="P611" s="245"/>
      <c r="Q611" s="246"/>
      <c r="R611" s="245"/>
      <c r="S611" s="245"/>
    </row>
    <row r="612" spans="16:19" x14ac:dyDescent="0.3">
      <c r="P612" s="245"/>
      <c r="Q612" s="246"/>
      <c r="R612" s="245"/>
      <c r="S612" s="245"/>
    </row>
    <row r="613" spans="16:19" x14ac:dyDescent="0.3">
      <c r="P613" s="245"/>
      <c r="Q613" s="246"/>
      <c r="R613" s="245"/>
      <c r="S613" s="245"/>
    </row>
    <row r="614" spans="16:19" x14ac:dyDescent="0.3">
      <c r="P614" s="245"/>
      <c r="Q614" s="246"/>
      <c r="R614" s="245"/>
      <c r="S614" s="245"/>
    </row>
    <row r="615" spans="16:19" x14ac:dyDescent="0.3">
      <c r="P615" s="245"/>
      <c r="Q615" s="246"/>
      <c r="R615" s="245"/>
      <c r="S615" s="245"/>
    </row>
    <row r="616" spans="16:19" x14ac:dyDescent="0.3">
      <c r="P616" s="245"/>
      <c r="Q616" s="246"/>
      <c r="R616" s="245"/>
      <c r="S616" s="245"/>
    </row>
    <row r="617" spans="16:19" x14ac:dyDescent="0.3">
      <c r="P617" s="245"/>
      <c r="Q617" s="246"/>
      <c r="R617" s="245"/>
      <c r="S617" s="245"/>
    </row>
    <row r="618" spans="16:19" x14ac:dyDescent="0.3">
      <c r="P618" s="245"/>
      <c r="Q618" s="246"/>
      <c r="R618" s="245"/>
      <c r="S618" s="245"/>
    </row>
    <row r="619" spans="16:19" x14ac:dyDescent="0.3">
      <c r="P619" s="245"/>
      <c r="Q619" s="246"/>
      <c r="R619" s="245"/>
      <c r="S619" s="245"/>
    </row>
    <row r="620" spans="16:19" x14ac:dyDescent="0.3">
      <c r="P620" s="245"/>
      <c r="Q620" s="246"/>
      <c r="R620" s="245"/>
      <c r="S620" s="245"/>
    </row>
    <row r="621" spans="16:19" x14ac:dyDescent="0.3">
      <c r="P621" s="245"/>
      <c r="Q621" s="246"/>
      <c r="R621" s="245"/>
      <c r="S621" s="245"/>
    </row>
    <row r="622" spans="16:19" x14ac:dyDescent="0.3">
      <c r="P622" s="245"/>
      <c r="Q622" s="246"/>
      <c r="R622" s="245"/>
      <c r="S622" s="245"/>
    </row>
    <row r="623" spans="16:19" x14ac:dyDescent="0.3">
      <c r="P623" s="245"/>
      <c r="Q623" s="246"/>
      <c r="R623" s="245"/>
      <c r="S623" s="245"/>
    </row>
    <row r="624" spans="16:19" x14ac:dyDescent="0.3">
      <c r="P624" s="245"/>
      <c r="Q624" s="246"/>
      <c r="R624" s="245"/>
      <c r="S624" s="245"/>
    </row>
    <row r="625" spans="16:19" x14ac:dyDescent="0.3">
      <c r="P625" s="245"/>
      <c r="Q625" s="246"/>
      <c r="R625" s="245"/>
      <c r="S625" s="245"/>
    </row>
    <row r="626" spans="16:19" x14ac:dyDescent="0.3">
      <c r="P626" s="245"/>
      <c r="Q626" s="246"/>
      <c r="R626" s="245"/>
      <c r="S626" s="245"/>
    </row>
    <row r="627" spans="16:19" x14ac:dyDescent="0.3">
      <c r="P627" s="245"/>
      <c r="Q627" s="246"/>
      <c r="R627" s="245"/>
      <c r="S627" s="245"/>
    </row>
    <row r="628" spans="16:19" x14ac:dyDescent="0.3">
      <c r="P628" s="245"/>
      <c r="Q628" s="246"/>
      <c r="R628" s="245"/>
      <c r="S628" s="245"/>
    </row>
    <row r="629" spans="16:19" x14ac:dyDescent="0.3">
      <c r="P629" s="245"/>
      <c r="Q629" s="246"/>
      <c r="R629" s="245"/>
      <c r="S629" s="245"/>
    </row>
    <row r="630" spans="16:19" x14ac:dyDescent="0.3">
      <c r="P630" s="245"/>
      <c r="Q630" s="246"/>
      <c r="R630" s="245"/>
      <c r="S630" s="245"/>
    </row>
    <row r="631" spans="16:19" x14ac:dyDescent="0.3">
      <c r="P631" s="245"/>
      <c r="Q631" s="246"/>
      <c r="R631" s="245"/>
      <c r="S631" s="245"/>
    </row>
    <row r="632" spans="16:19" x14ac:dyDescent="0.3">
      <c r="P632" s="245"/>
      <c r="Q632" s="246"/>
      <c r="R632" s="245"/>
      <c r="S632" s="245"/>
    </row>
    <row r="633" spans="16:19" x14ac:dyDescent="0.3">
      <c r="P633" s="245"/>
      <c r="Q633" s="246"/>
      <c r="R633" s="245"/>
      <c r="S633" s="245"/>
    </row>
    <row r="634" spans="16:19" x14ac:dyDescent="0.3">
      <c r="P634" s="245"/>
      <c r="Q634" s="246"/>
      <c r="R634" s="245"/>
      <c r="S634" s="245"/>
    </row>
    <row r="635" spans="16:19" x14ac:dyDescent="0.3">
      <c r="P635" s="245"/>
      <c r="Q635" s="246"/>
      <c r="R635" s="245"/>
      <c r="S635" s="245"/>
    </row>
    <row r="636" spans="16:19" x14ac:dyDescent="0.3">
      <c r="P636" s="245"/>
      <c r="Q636" s="246"/>
      <c r="R636" s="245"/>
      <c r="S636" s="245"/>
    </row>
    <row r="637" spans="16:19" x14ac:dyDescent="0.3">
      <c r="P637" s="245"/>
      <c r="Q637" s="246"/>
      <c r="R637" s="245"/>
      <c r="S637" s="245"/>
    </row>
    <row r="638" spans="16:19" x14ac:dyDescent="0.3">
      <c r="P638" s="245"/>
      <c r="Q638" s="246"/>
      <c r="R638" s="245"/>
      <c r="S638" s="245"/>
    </row>
    <row r="639" spans="16:19" x14ac:dyDescent="0.3">
      <c r="P639" s="245"/>
      <c r="Q639" s="246"/>
      <c r="R639" s="245"/>
      <c r="S639" s="245"/>
    </row>
    <row r="640" spans="16:19" x14ac:dyDescent="0.3">
      <c r="P640" s="245"/>
      <c r="Q640" s="246"/>
      <c r="R640" s="245"/>
      <c r="S640" s="245"/>
    </row>
    <row r="641" spans="16:19" x14ac:dyDescent="0.3">
      <c r="P641" s="245"/>
      <c r="Q641" s="246"/>
      <c r="R641" s="245"/>
      <c r="S641" s="245"/>
    </row>
    <row r="642" spans="16:19" x14ac:dyDescent="0.3">
      <c r="P642" s="245"/>
      <c r="Q642" s="246"/>
      <c r="R642" s="245"/>
      <c r="S642" s="245"/>
    </row>
    <row r="643" spans="16:19" x14ac:dyDescent="0.3">
      <c r="P643" s="245"/>
      <c r="Q643" s="246"/>
      <c r="R643" s="245"/>
      <c r="S643" s="245"/>
    </row>
    <row r="644" spans="16:19" x14ac:dyDescent="0.3">
      <c r="P644" s="245"/>
      <c r="Q644" s="246"/>
      <c r="R644" s="245"/>
      <c r="S644" s="245"/>
    </row>
    <row r="645" spans="16:19" x14ac:dyDescent="0.3">
      <c r="P645" s="245"/>
      <c r="Q645" s="246"/>
      <c r="R645" s="245"/>
      <c r="S645" s="245"/>
    </row>
    <row r="646" spans="16:19" x14ac:dyDescent="0.3">
      <c r="P646" s="245"/>
      <c r="Q646" s="246"/>
      <c r="R646" s="245"/>
      <c r="S646" s="245"/>
    </row>
    <row r="647" spans="16:19" x14ac:dyDescent="0.3">
      <c r="P647" s="245"/>
      <c r="Q647" s="246"/>
      <c r="R647" s="245"/>
      <c r="S647" s="245"/>
    </row>
    <row r="648" spans="16:19" x14ac:dyDescent="0.3">
      <c r="P648" s="245"/>
      <c r="Q648" s="246"/>
      <c r="R648" s="245"/>
      <c r="S648" s="245"/>
    </row>
    <row r="649" spans="16:19" x14ac:dyDescent="0.3">
      <c r="P649" s="245"/>
      <c r="Q649" s="246"/>
      <c r="R649" s="245"/>
      <c r="S649" s="245"/>
    </row>
    <row r="650" spans="16:19" x14ac:dyDescent="0.3">
      <c r="P650" s="245"/>
      <c r="Q650" s="246"/>
      <c r="R650" s="245"/>
      <c r="S650" s="245"/>
    </row>
    <row r="651" spans="16:19" x14ac:dyDescent="0.3">
      <c r="P651" s="245"/>
      <c r="Q651" s="246"/>
      <c r="R651" s="245"/>
      <c r="S651" s="245"/>
    </row>
    <row r="652" spans="16:19" x14ac:dyDescent="0.3">
      <c r="P652" s="245"/>
      <c r="Q652" s="246"/>
      <c r="R652" s="245"/>
      <c r="S652" s="245"/>
    </row>
    <row r="653" spans="16:19" x14ac:dyDescent="0.3">
      <c r="P653" s="245"/>
      <c r="Q653" s="246"/>
      <c r="R653" s="245"/>
      <c r="S653" s="245"/>
    </row>
    <row r="654" spans="16:19" x14ac:dyDescent="0.3">
      <c r="P654" s="245"/>
      <c r="Q654" s="246"/>
      <c r="R654" s="245"/>
      <c r="S654" s="245"/>
    </row>
    <row r="655" spans="16:19" x14ac:dyDescent="0.3">
      <c r="P655" s="245"/>
      <c r="Q655" s="246"/>
      <c r="R655" s="245"/>
      <c r="S655" s="245"/>
    </row>
    <row r="656" spans="16:19" x14ac:dyDescent="0.3">
      <c r="P656" s="245"/>
      <c r="Q656" s="246"/>
      <c r="R656" s="245"/>
      <c r="S656" s="245"/>
    </row>
    <row r="657" spans="16:19" x14ac:dyDescent="0.3">
      <c r="P657" s="245"/>
      <c r="Q657" s="246"/>
      <c r="R657" s="245"/>
      <c r="S657" s="245"/>
    </row>
    <row r="658" spans="16:19" x14ac:dyDescent="0.3">
      <c r="P658" s="245"/>
      <c r="Q658" s="246"/>
      <c r="R658" s="245"/>
      <c r="S658" s="245"/>
    </row>
    <row r="659" spans="16:19" x14ac:dyDescent="0.3">
      <c r="P659" s="245"/>
      <c r="Q659" s="246"/>
      <c r="R659" s="245"/>
      <c r="S659" s="245"/>
    </row>
    <row r="660" spans="16:19" x14ac:dyDescent="0.3">
      <c r="P660" s="245"/>
      <c r="Q660" s="246"/>
      <c r="R660" s="245"/>
      <c r="S660" s="245"/>
    </row>
    <row r="661" spans="16:19" x14ac:dyDescent="0.3">
      <c r="P661" s="245"/>
      <c r="Q661" s="246"/>
      <c r="R661" s="245"/>
      <c r="S661" s="245"/>
    </row>
    <row r="662" spans="16:19" x14ac:dyDescent="0.3">
      <c r="P662" s="245"/>
      <c r="Q662" s="246"/>
      <c r="R662" s="245"/>
      <c r="S662" s="245"/>
    </row>
    <row r="663" spans="16:19" x14ac:dyDescent="0.3">
      <c r="P663" s="245"/>
      <c r="Q663" s="246"/>
      <c r="R663" s="245"/>
      <c r="S663" s="245"/>
    </row>
    <row r="664" spans="16:19" x14ac:dyDescent="0.3">
      <c r="P664" s="245"/>
      <c r="Q664" s="246"/>
      <c r="R664" s="245"/>
      <c r="S664" s="245"/>
    </row>
    <row r="665" spans="16:19" x14ac:dyDescent="0.3">
      <c r="P665" s="245"/>
      <c r="Q665" s="246"/>
      <c r="R665" s="245"/>
      <c r="S665" s="245"/>
    </row>
    <row r="666" spans="16:19" x14ac:dyDescent="0.3">
      <c r="P666" s="245"/>
      <c r="Q666" s="246"/>
      <c r="R666" s="245"/>
      <c r="S666" s="245"/>
    </row>
    <row r="667" spans="16:19" x14ac:dyDescent="0.3">
      <c r="P667" s="245"/>
      <c r="Q667" s="246"/>
      <c r="R667" s="245"/>
      <c r="S667" s="245"/>
    </row>
    <row r="668" spans="16:19" x14ac:dyDescent="0.3">
      <c r="P668" s="245"/>
      <c r="Q668" s="246"/>
      <c r="R668" s="245"/>
      <c r="S668" s="245"/>
    </row>
    <row r="669" spans="16:19" x14ac:dyDescent="0.3">
      <c r="P669" s="245"/>
      <c r="Q669" s="246"/>
      <c r="R669" s="245"/>
      <c r="S669" s="245"/>
    </row>
    <row r="670" spans="16:19" x14ac:dyDescent="0.3">
      <c r="P670" s="245"/>
      <c r="Q670" s="246"/>
      <c r="R670" s="245"/>
      <c r="S670" s="245"/>
    </row>
    <row r="671" spans="16:19" x14ac:dyDescent="0.3">
      <c r="P671" s="245"/>
      <c r="Q671" s="246"/>
      <c r="R671" s="245"/>
      <c r="S671" s="245"/>
    </row>
    <row r="672" spans="16:19" x14ac:dyDescent="0.3">
      <c r="P672" s="245"/>
      <c r="Q672" s="246"/>
      <c r="R672" s="245"/>
      <c r="S672" s="245"/>
    </row>
    <row r="673" spans="16:19" x14ac:dyDescent="0.3">
      <c r="P673" s="245"/>
      <c r="Q673" s="246"/>
      <c r="R673" s="245"/>
      <c r="S673" s="245"/>
    </row>
    <row r="674" spans="16:19" x14ac:dyDescent="0.3">
      <c r="P674" s="245"/>
      <c r="Q674" s="246"/>
      <c r="R674" s="245"/>
      <c r="S674" s="245"/>
    </row>
    <row r="675" spans="16:19" x14ac:dyDescent="0.3">
      <c r="P675" s="245"/>
      <c r="Q675" s="246"/>
      <c r="R675" s="245"/>
      <c r="S675" s="245"/>
    </row>
    <row r="676" spans="16:19" x14ac:dyDescent="0.3">
      <c r="P676" s="245"/>
      <c r="Q676" s="246"/>
      <c r="R676" s="245"/>
      <c r="S676" s="245"/>
    </row>
    <row r="677" spans="16:19" x14ac:dyDescent="0.3">
      <c r="P677" s="245"/>
      <c r="Q677" s="246"/>
      <c r="R677" s="245"/>
      <c r="S677" s="245"/>
    </row>
    <row r="678" spans="16:19" x14ac:dyDescent="0.3">
      <c r="P678" s="245"/>
      <c r="Q678" s="246"/>
      <c r="R678" s="245"/>
      <c r="S678" s="245"/>
    </row>
    <row r="679" spans="16:19" x14ac:dyDescent="0.3">
      <c r="P679" s="245"/>
      <c r="Q679" s="246"/>
      <c r="R679" s="245"/>
      <c r="S679" s="245"/>
    </row>
    <row r="680" spans="16:19" x14ac:dyDescent="0.3">
      <c r="P680" s="245"/>
      <c r="Q680" s="246"/>
      <c r="R680" s="245"/>
      <c r="S680" s="245"/>
    </row>
    <row r="681" spans="16:19" x14ac:dyDescent="0.3">
      <c r="P681" s="245"/>
      <c r="Q681" s="246"/>
      <c r="R681" s="245"/>
      <c r="S681" s="245"/>
    </row>
    <row r="682" spans="16:19" x14ac:dyDescent="0.3">
      <c r="P682" s="245"/>
      <c r="Q682" s="246"/>
      <c r="R682" s="245"/>
      <c r="S682" s="245"/>
    </row>
    <row r="683" spans="16:19" x14ac:dyDescent="0.3">
      <c r="P683" s="245"/>
      <c r="Q683" s="246"/>
      <c r="R683" s="245"/>
      <c r="S683" s="245"/>
    </row>
    <row r="684" spans="16:19" x14ac:dyDescent="0.3">
      <c r="P684" s="245"/>
      <c r="Q684" s="246"/>
      <c r="R684" s="245"/>
      <c r="S684" s="245"/>
    </row>
    <row r="685" spans="16:19" x14ac:dyDescent="0.3">
      <c r="P685" s="245"/>
      <c r="Q685" s="246"/>
      <c r="R685" s="245"/>
      <c r="S685" s="245"/>
    </row>
    <row r="686" spans="16:19" x14ac:dyDescent="0.3">
      <c r="P686" s="245"/>
      <c r="Q686" s="246"/>
      <c r="R686" s="245"/>
      <c r="S686" s="245"/>
    </row>
    <row r="687" spans="16:19" x14ac:dyDescent="0.3">
      <c r="P687" s="245"/>
      <c r="Q687" s="246"/>
      <c r="R687" s="245"/>
      <c r="S687" s="245"/>
    </row>
    <row r="688" spans="16:19" x14ac:dyDescent="0.3">
      <c r="P688" s="245"/>
      <c r="Q688" s="246"/>
      <c r="R688" s="245"/>
      <c r="S688" s="245"/>
    </row>
    <row r="689" spans="16:19" x14ac:dyDescent="0.3">
      <c r="P689" s="245"/>
      <c r="Q689" s="246"/>
      <c r="R689" s="245"/>
      <c r="S689" s="245"/>
    </row>
    <row r="690" spans="16:19" x14ac:dyDescent="0.3">
      <c r="P690" s="245"/>
      <c r="Q690" s="246"/>
      <c r="R690" s="245"/>
      <c r="S690" s="245"/>
    </row>
    <row r="691" spans="16:19" x14ac:dyDescent="0.3">
      <c r="P691" s="245"/>
      <c r="Q691" s="246"/>
      <c r="R691" s="245"/>
      <c r="S691" s="245"/>
    </row>
    <row r="692" spans="16:19" x14ac:dyDescent="0.3">
      <c r="P692" s="245"/>
      <c r="Q692" s="246"/>
      <c r="R692" s="245"/>
      <c r="S692" s="245"/>
    </row>
    <row r="693" spans="16:19" x14ac:dyDescent="0.3">
      <c r="P693" s="245"/>
      <c r="Q693" s="246"/>
      <c r="R693" s="245"/>
      <c r="S693" s="245"/>
    </row>
    <row r="694" spans="16:19" x14ac:dyDescent="0.3">
      <c r="P694" s="245"/>
      <c r="Q694" s="246"/>
      <c r="R694" s="245"/>
      <c r="S694" s="245"/>
    </row>
    <row r="695" spans="16:19" x14ac:dyDescent="0.3">
      <c r="P695" s="245"/>
      <c r="Q695" s="246"/>
      <c r="R695" s="245"/>
      <c r="S695" s="245"/>
    </row>
    <row r="696" spans="16:19" x14ac:dyDescent="0.3">
      <c r="P696" s="245"/>
      <c r="Q696" s="246"/>
      <c r="R696" s="245"/>
      <c r="S696" s="245"/>
    </row>
    <row r="697" spans="16:19" x14ac:dyDescent="0.3">
      <c r="P697" s="245"/>
      <c r="Q697" s="246"/>
      <c r="R697" s="245"/>
      <c r="S697" s="245"/>
    </row>
    <row r="698" spans="16:19" x14ac:dyDescent="0.3">
      <c r="P698" s="245"/>
      <c r="Q698" s="246"/>
      <c r="R698" s="245"/>
      <c r="S698" s="245"/>
    </row>
    <row r="699" spans="16:19" x14ac:dyDescent="0.3">
      <c r="P699" s="245"/>
      <c r="Q699" s="246"/>
      <c r="R699" s="245"/>
      <c r="S699" s="245"/>
    </row>
    <row r="700" spans="16:19" x14ac:dyDescent="0.3">
      <c r="P700" s="245"/>
      <c r="Q700" s="246"/>
      <c r="R700" s="245"/>
      <c r="S700" s="245"/>
    </row>
    <row r="701" spans="16:19" x14ac:dyDescent="0.3">
      <c r="P701" s="245"/>
      <c r="Q701" s="246"/>
      <c r="R701" s="245"/>
      <c r="S701" s="245"/>
    </row>
    <row r="702" spans="16:19" x14ac:dyDescent="0.3">
      <c r="P702" s="245"/>
      <c r="Q702" s="246"/>
      <c r="R702" s="245"/>
      <c r="S702" s="245"/>
    </row>
    <row r="703" spans="16:19" x14ac:dyDescent="0.3">
      <c r="P703" s="245"/>
      <c r="Q703" s="246"/>
      <c r="R703" s="245"/>
      <c r="S703" s="245"/>
    </row>
    <row r="704" spans="16:19" x14ac:dyDescent="0.3">
      <c r="P704" s="245"/>
      <c r="Q704" s="246"/>
      <c r="R704" s="245"/>
      <c r="S704" s="245"/>
    </row>
    <row r="705" spans="16:19" x14ac:dyDescent="0.3">
      <c r="P705" s="245"/>
      <c r="Q705" s="246"/>
      <c r="R705" s="245"/>
      <c r="S705" s="245"/>
    </row>
    <row r="706" spans="16:19" x14ac:dyDescent="0.3">
      <c r="P706" s="245"/>
      <c r="Q706" s="246"/>
      <c r="R706" s="245"/>
      <c r="S706" s="245"/>
    </row>
    <row r="707" spans="16:19" x14ac:dyDescent="0.3">
      <c r="P707" s="245"/>
      <c r="Q707" s="246"/>
      <c r="R707" s="245"/>
      <c r="S707" s="245"/>
    </row>
    <row r="708" spans="16:19" x14ac:dyDescent="0.3">
      <c r="P708" s="245"/>
      <c r="Q708" s="246"/>
      <c r="R708" s="245"/>
      <c r="S708" s="245"/>
    </row>
    <row r="709" spans="16:19" x14ac:dyDescent="0.3">
      <c r="P709" s="245"/>
      <c r="Q709" s="246"/>
      <c r="R709" s="245"/>
      <c r="S709" s="245"/>
    </row>
    <row r="710" spans="16:19" x14ac:dyDescent="0.3">
      <c r="P710" s="245"/>
      <c r="Q710" s="246"/>
      <c r="R710" s="245"/>
      <c r="S710" s="245"/>
    </row>
    <row r="711" spans="16:19" x14ac:dyDescent="0.3">
      <c r="P711" s="245"/>
      <c r="Q711" s="246"/>
      <c r="R711" s="245"/>
      <c r="S711" s="245"/>
    </row>
    <row r="712" spans="16:19" x14ac:dyDescent="0.3">
      <c r="P712" s="245"/>
      <c r="Q712" s="246"/>
      <c r="R712" s="245"/>
      <c r="S712" s="245"/>
    </row>
    <row r="713" spans="16:19" x14ac:dyDescent="0.3">
      <c r="P713" s="245"/>
      <c r="Q713" s="246"/>
      <c r="R713" s="245"/>
      <c r="S713" s="245"/>
    </row>
    <row r="714" spans="16:19" x14ac:dyDescent="0.3">
      <c r="P714" s="245"/>
      <c r="Q714" s="246"/>
      <c r="R714" s="245"/>
      <c r="S714" s="245"/>
    </row>
    <row r="715" spans="16:19" x14ac:dyDescent="0.3">
      <c r="P715" s="245"/>
      <c r="Q715" s="246"/>
      <c r="R715" s="245"/>
      <c r="S715" s="245"/>
    </row>
    <row r="716" spans="16:19" x14ac:dyDescent="0.3">
      <c r="P716" s="245"/>
      <c r="Q716" s="246"/>
      <c r="R716" s="245"/>
      <c r="S716" s="245"/>
    </row>
    <row r="717" spans="16:19" x14ac:dyDescent="0.3">
      <c r="P717" s="245"/>
      <c r="Q717" s="246"/>
      <c r="R717" s="245"/>
      <c r="S717" s="245"/>
    </row>
    <row r="718" spans="16:19" x14ac:dyDescent="0.3">
      <c r="P718" s="245"/>
      <c r="Q718" s="246"/>
      <c r="R718" s="245"/>
      <c r="S718" s="245"/>
    </row>
    <row r="719" spans="16:19" x14ac:dyDescent="0.3">
      <c r="P719" s="245"/>
      <c r="Q719" s="246"/>
      <c r="R719" s="245"/>
      <c r="S719" s="245"/>
    </row>
    <row r="720" spans="16:19" x14ac:dyDescent="0.3">
      <c r="P720" s="245"/>
      <c r="Q720" s="246"/>
      <c r="R720" s="245"/>
      <c r="S720" s="245"/>
    </row>
    <row r="721" spans="16:19" x14ac:dyDescent="0.3">
      <c r="P721" s="245"/>
      <c r="Q721" s="246"/>
      <c r="R721" s="245"/>
      <c r="S721" s="245"/>
    </row>
    <row r="722" spans="16:19" x14ac:dyDescent="0.3">
      <c r="P722" s="245"/>
      <c r="Q722" s="246"/>
      <c r="R722" s="245"/>
      <c r="S722" s="245"/>
    </row>
    <row r="723" spans="16:19" x14ac:dyDescent="0.3">
      <c r="P723" s="245"/>
      <c r="Q723" s="246"/>
      <c r="R723" s="245"/>
      <c r="S723" s="245"/>
    </row>
    <row r="724" spans="16:19" x14ac:dyDescent="0.3">
      <c r="P724" s="245"/>
      <c r="Q724" s="246"/>
      <c r="R724" s="245"/>
      <c r="S724" s="245"/>
    </row>
    <row r="725" spans="16:19" x14ac:dyDescent="0.3">
      <c r="P725" s="245"/>
      <c r="Q725" s="246"/>
      <c r="R725" s="245"/>
      <c r="S725" s="245"/>
    </row>
    <row r="726" spans="16:19" x14ac:dyDescent="0.3">
      <c r="P726" s="245"/>
      <c r="Q726" s="246"/>
      <c r="R726" s="245"/>
      <c r="S726" s="245"/>
    </row>
    <row r="727" spans="16:19" x14ac:dyDescent="0.3">
      <c r="P727" s="245"/>
      <c r="Q727" s="246"/>
      <c r="R727" s="245"/>
      <c r="S727" s="245"/>
    </row>
    <row r="728" spans="16:19" x14ac:dyDescent="0.3">
      <c r="P728" s="245"/>
      <c r="Q728" s="246"/>
      <c r="R728" s="245"/>
      <c r="S728" s="245"/>
    </row>
    <row r="729" spans="16:19" x14ac:dyDescent="0.3">
      <c r="P729" s="245"/>
      <c r="Q729" s="246"/>
      <c r="R729" s="245"/>
      <c r="S729" s="245"/>
    </row>
    <row r="730" spans="16:19" x14ac:dyDescent="0.3">
      <c r="P730" s="245"/>
      <c r="Q730" s="246"/>
      <c r="R730" s="245"/>
      <c r="S730" s="245"/>
    </row>
    <row r="731" spans="16:19" x14ac:dyDescent="0.3">
      <c r="P731" s="245"/>
      <c r="Q731" s="246"/>
      <c r="R731" s="245"/>
      <c r="S731" s="245"/>
    </row>
    <row r="732" spans="16:19" x14ac:dyDescent="0.3">
      <c r="P732" s="245"/>
      <c r="Q732" s="246"/>
      <c r="R732" s="245"/>
      <c r="S732" s="245"/>
    </row>
    <row r="733" spans="16:19" x14ac:dyDescent="0.3">
      <c r="P733" s="245"/>
      <c r="Q733" s="246"/>
      <c r="R733" s="245"/>
      <c r="S733" s="245"/>
    </row>
    <row r="734" spans="16:19" x14ac:dyDescent="0.3">
      <c r="P734" s="245"/>
      <c r="Q734" s="246"/>
      <c r="R734" s="245"/>
      <c r="S734" s="245"/>
    </row>
    <row r="735" spans="16:19" x14ac:dyDescent="0.3">
      <c r="P735" s="245"/>
      <c r="Q735" s="246"/>
      <c r="R735" s="245"/>
      <c r="S735" s="245"/>
    </row>
    <row r="736" spans="16:19" x14ac:dyDescent="0.3">
      <c r="P736" s="245"/>
      <c r="Q736" s="246"/>
      <c r="R736" s="245"/>
      <c r="S736" s="245"/>
    </row>
    <row r="737" spans="16:19" x14ac:dyDescent="0.3">
      <c r="P737" s="245"/>
      <c r="Q737" s="246"/>
      <c r="R737" s="245"/>
      <c r="S737" s="245"/>
    </row>
    <row r="738" spans="16:19" x14ac:dyDescent="0.3">
      <c r="P738" s="245"/>
      <c r="Q738" s="246"/>
      <c r="R738" s="245"/>
      <c r="S738" s="245"/>
    </row>
    <row r="739" spans="16:19" x14ac:dyDescent="0.3">
      <c r="P739" s="245"/>
      <c r="Q739" s="246"/>
      <c r="R739" s="245"/>
      <c r="S739" s="245"/>
    </row>
    <row r="740" spans="16:19" x14ac:dyDescent="0.3">
      <c r="P740" s="245"/>
      <c r="Q740" s="246"/>
      <c r="R740" s="245"/>
      <c r="S740" s="245"/>
    </row>
    <row r="741" spans="16:19" x14ac:dyDescent="0.3">
      <c r="P741" s="245"/>
      <c r="Q741" s="246"/>
      <c r="R741" s="245"/>
      <c r="S741" s="245"/>
    </row>
    <row r="742" spans="16:19" x14ac:dyDescent="0.3">
      <c r="P742" s="245"/>
      <c r="Q742" s="246"/>
      <c r="R742" s="245"/>
      <c r="S742" s="245"/>
    </row>
    <row r="743" spans="16:19" x14ac:dyDescent="0.3">
      <c r="P743" s="245"/>
      <c r="Q743" s="246"/>
      <c r="R743" s="245"/>
      <c r="S743" s="245"/>
    </row>
    <row r="744" spans="16:19" x14ac:dyDescent="0.3">
      <c r="P744" s="245"/>
      <c r="Q744" s="246"/>
      <c r="R744" s="245"/>
      <c r="S744" s="245"/>
    </row>
    <row r="745" spans="16:19" x14ac:dyDescent="0.3">
      <c r="P745" s="245"/>
      <c r="Q745" s="246"/>
      <c r="R745" s="245"/>
      <c r="S745" s="245"/>
    </row>
    <row r="746" spans="16:19" x14ac:dyDescent="0.3">
      <c r="P746" s="245"/>
      <c r="Q746" s="246"/>
      <c r="R746" s="245"/>
      <c r="S746" s="245"/>
    </row>
    <row r="747" spans="16:19" x14ac:dyDescent="0.3">
      <c r="P747" s="245"/>
      <c r="Q747" s="246"/>
      <c r="R747" s="245"/>
      <c r="S747" s="245"/>
    </row>
    <row r="748" spans="16:19" x14ac:dyDescent="0.3">
      <c r="P748" s="245"/>
      <c r="Q748" s="246"/>
      <c r="R748" s="245"/>
      <c r="S748" s="245"/>
    </row>
    <row r="749" spans="16:19" x14ac:dyDescent="0.3">
      <c r="P749" s="245"/>
      <c r="Q749" s="246"/>
      <c r="R749" s="245"/>
      <c r="S749" s="245"/>
    </row>
    <row r="750" spans="16:19" x14ac:dyDescent="0.3">
      <c r="P750" s="245"/>
      <c r="Q750" s="246"/>
      <c r="R750" s="245"/>
      <c r="S750" s="245"/>
    </row>
    <row r="751" spans="16:19" x14ac:dyDescent="0.3">
      <c r="P751" s="245"/>
      <c r="Q751" s="246"/>
      <c r="R751" s="245"/>
      <c r="S751" s="245"/>
    </row>
    <row r="752" spans="16:19" x14ac:dyDescent="0.3">
      <c r="P752" s="245"/>
      <c r="Q752" s="246"/>
      <c r="R752" s="245"/>
      <c r="S752" s="245"/>
    </row>
    <row r="753" spans="16:19" x14ac:dyDescent="0.3">
      <c r="P753" s="245"/>
      <c r="Q753" s="246"/>
      <c r="R753" s="245"/>
      <c r="S753" s="245"/>
    </row>
    <row r="754" spans="16:19" x14ac:dyDescent="0.3">
      <c r="P754" s="245"/>
      <c r="Q754" s="246"/>
      <c r="R754" s="245"/>
      <c r="S754" s="245"/>
    </row>
    <row r="755" spans="16:19" x14ac:dyDescent="0.3">
      <c r="P755" s="245"/>
      <c r="Q755" s="246"/>
      <c r="R755" s="245"/>
      <c r="S755" s="245"/>
    </row>
    <row r="756" spans="16:19" x14ac:dyDescent="0.3">
      <c r="P756" s="245"/>
      <c r="Q756" s="246"/>
      <c r="R756" s="245"/>
      <c r="S756" s="245"/>
    </row>
    <row r="757" spans="16:19" x14ac:dyDescent="0.3">
      <c r="P757" s="245"/>
      <c r="Q757" s="246"/>
      <c r="R757" s="245"/>
      <c r="S757" s="245"/>
    </row>
    <row r="758" spans="16:19" x14ac:dyDescent="0.3">
      <c r="P758" s="245"/>
      <c r="Q758" s="246"/>
      <c r="R758" s="245"/>
      <c r="S758" s="245"/>
    </row>
    <row r="759" spans="16:19" x14ac:dyDescent="0.3">
      <c r="P759" s="245"/>
      <c r="Q759" s="246"/>
      <c r="R759" s="245"/>
      <c r="S759" s="245"/>
    </row>
    <row r="760" spans="16:19" x14ac:dyDescent="0.3">
      <c r="P760" s="245"/>
      <c r="Q760" s="246"/>
      <c r="R760" s="245"/>
      <c r="S760" s="245"/>
    </row>
    <row r="761" spans="16:19" x14ac:dyDescent="0.3">
      <c r="P761" s="245"/>
      <c r="Q761" s="246"/>
      <c r="R761" s="245"/>
      <c r="S761" s="245"/>
    </row>
    <row r="762" spans="16:19" x14ac:dyDescent="0.3">
      <c r="P762" s="245"/>
      <c r="Q762" s="246"/>
      <c r="R762" s="245"/>
      <c r="S762" s="245"/>
    </row>
    <row r="763" spans="16:19" x14ac:dyDescent="0.3">
      <c r="P763" s="245"/>
      <c r="Q763" s="246"/>
      <c r="R763" s="245"/>
      <c r="S763" s="245"/>
    </row>
    <row r="764" spans="16:19" x14ac:dyDescent="0.3">
      <c r="P764" s="245"/>
      <c r="Q764" s="246"/>
      <c r="R764" s="245"/>
      <c r="S764" s="245"/>
    </row>
    <row r="765" spans="16:19" x14ac:dyDescent="0.3">
      <c r="P765" s="245"/>
      <c r="Q765" s="246"/>
      <c r="R765" s="245"/>
      <c r="S765" s="245"/>
    </row>
    <row r="766" spans="16:19" x14ac:dyDescent="0.3">
      <c r="P766" s="245"/>
      <c r="Q766" s="246"/>
      <c r="R766" s="245"/>
      <c r="S766" s="245"/>
    </row>
    <row r="767" spans="16:19" x14ac:dyDescent="0.3">
      <c r="P767" s="245"/>
      <c r="Q767" s="246"/>
      <c r="R767" s="245"/>
      <c r="S767" s="245"/>
    </row>
    <row r="768" spans="16:19" x14ac:dyDescent="0.3">
      <c r="P768" s="245"/>
      <c r="Q768" s="246"/>
      <c r="R768" s="245"/>
      <c r="S768" s="245"/>
    </row>
    <row r="769" spans="16:19" x14ac:dyDescent="0.3">
      <c r="P769" s="245"/>
      <c r="Q769" s="246"/>
      <c r="R769" s="245"/>
      <c r="S769" s="245"/>
    </row>
    <row r="770" spans="16:19" x14ac:dyDescent="0.3">
      <c r="P770" s="245"/>
      <c r="Q770" s="246"/>
      <c r="R770" s="245"/>
      <c r="S770" s="245"/>
    </row>
    <row r="771" spans="16:19" x14ac:dyDescent="0.3">
      <c r="P771" s="245"/>
      <c r="Q771" s="246"/>
      <c r="R771" s="245"/>
      <c r="S771" s="245"/>
    </row>
    <row r="772" spans="16:19" x14ac:dyDescent="0.3">
      <c r="P772" s="245"/>
      <c r="Q772" s="246"/>
      <c r="R772" s="245"/>
      <c r="S772" s="245"/>
    </row>
    <row r="773" spans="16:19" x14ac:dyDescent="0.3">
      <c r="P773" s="245"/>
      <c r="Q773" s="246"/>
      <c r="R773" s="245"/>
      <c r="S773" s="245"/>
    </row>
    <row r="774" spans="16:19" x14ac:dyDescent="0.3">
      <c r="P774" s="245"/>
      <c r="Q774" s="246"/>
      <c r="R774" s="245"/>
      <c r="S774" s="245"/>
    </row>
    <row r="775" spans="16:19" x14ac:dyDescent="0.3">
      <c r="P775" s="245"/>
      <c r="Q775" s="246"/>
      <c r="R775" s="245"/>
      <c r="S775" s="245"/>
    </row>
    <row r="776" spans="16:19" x14ac:dyDescent="0.3">
      <c r="P776" s="245"/>
      <c r="Q776" s="246"/>
      <c r="R776" s="245"/>
      <c r="S776" s="245"/>
    </row>
    <row r="777" spans="16:19" x14ac:dyDescent="0.3">
      <c r="P777" s="245"/>
      <c r="Q777" s="246"/>
      <c r="R777" s="245"/>
      <c r="S777" s="245"/>
    </row>
    <row r="778" spans="16:19" x14ac:dyDescent="0.3">
      <c r="P778" s="245"/>
      <c r="Q778" s="246"/>
      <c r="R778" s="245"/>
      <c r="S778" s="245"/>
    </row>
    <row r="779" spans="16:19" x14ac:dyDescent="0.3">
      <c r="P779" s="245"/>
      <c r="Q779" s="246"/>
      <c r="R779" s="245"/>
      <c r="S779" s="245"/>
    </row>
    <row r="780" spans="16:19" x14ac:dyDescent="0.3">
      <c r="P780" s="245"/>
      <c r="Q780" s="246"/>
      <c r="R780" s="245"/>
      <c r="S780" s="245"/>
    </row>
    <row r="781" spans="16:19" x14ac:dyDescent="0.3">
      <c r="P781" s="245"/>
      <c r="Q781" s="246"/>
      <c r="R781" s="245"/>
      <c r="S781" s="245"/>
    </row>
    <row r="782" spans="16:19" x14ac:dyDescent="0.3">
      <c r="P782" s="245"/>
      <c r="Q782" s="246"/>
      <c r="R782" s="245"/>
      <c r="S782" s="245"/>
    </row>
    <row r="783" spans="16:19" x14ac:dyDescent="0.3">
      <c r="P783" s="245"/>
      <c r="Q783" s="246"/>
      <c r="R783" s="245"/>
      <c r="S783" s="245"/>
    </row>
    <row r="784" spans="16:19" x14ac:dyDescent="0.3">
      <c r="P784" s="245"/>
      <c r="Q784" s="246"/>
      <c r="R784" s="245"/>
      <c r="S784" s="245"/>
    </row>
    <row r="785" spans="16:19" x14ac:dyDescent="0.3">
      <c r="P785" s="245"/>
      <c r="Q785" s="246"/>
      <c r="R785" s="245"/>
      <c r="S785" s="245"/>
    </row>
    <row r="786" spans="16:19" x14ac:dyDescent="0.3">
      <c r="P786" s="245"/>
      <c r="Q786" s="246"/>
      <c r="R786" s="245"/>
      <c r="S786" s="245"/>
    </row>
    <row r="787" spans="16:19" x14ac:dyDescent="0.3">
      <c r="P787" s="245"/>
      <c r="Q787" s="246"/>
      <c r="R787" s="245"/>
      <c r="S787" s="245"/>
    </row>
    <row r="788" spans="16:19" x14ac:dyDescent="0.3">
      <c r="P788" s="245"/>
      <c r="Q788" s="246"/>
      <c r="R788" s="245"/>
      <c r="S788" s="245"/>
    </row>
    <row r="789" spans="16:19" x14ac:dyDescent="0.3">
      <c r="P789" s="245"/>
      <c r="Q789" s="246"/>
      <c r="R789" s="245"/>
      <c r="S789" s="245"/>
    </row>
    <row r="790" spans="16:19" x14ac:dyDescent="0.3">
      <c r="P790" s="245"/>
      <c r="Q790" s="246"/>
      <c r="R790" s="245"/>
      <c r="S790" s="245"/>
    </row>
    <row r="791" spans="16:19" x14ac:dyDescent="0.3">
      <c r="P791" s="245"/>
      <c r="Q791" s="246"/>
      <c r="R791" s="245"/>
      <c r="S791" s="245"/>
    </row>
    <row r="792" spans="16:19" x14ac:dyDescent="0.3">
      <c r="P792" s="245"/>
      <c r="Q792" s="246"/>
      <c r="R792" s="245"/>
      <c r="S792" s="245"/>
    </row>
    <row r="793" spans="16:19" x14ac:dyDescent="0.3">
      <c r="P793" s="245"/>
      <c r="Q793" s="246"/>
      <c r="R793" s="245"/>
      <c r="S793" s="245"/>
    </row>
    <row r="794" spans="16:19" x14ac:dyDescent="0.3">
      <c r="P794" s="245"/>
      <c r="Q794" s="246"/>
      <c r="R794" s="245"/>
      <c r="S794" s="245"/>
    </row>
    <row r="795" spans="16:19" x14ac:dyDescent="0.3">
      <c r="P795" s="245"/>
      <c r="Q795" s="246"/>
      <c r="R795" s="245"/>
      <c r="S795" s="245"/>
    </row>
    <row r="796" spans="16:19" x14ac:dyDescent="0.3">
      <c r="P796" s="245"/>
      <c r="Q796" s="246"/>
      <c r="R796" s="245"/>
      <c r="S796" s="245"/>
    </row>
    <row r="797" spans="16:19" x14ac:dyDescent="0.3">
      <c r="P797" s="245"/>
      <c r="Q797" s="246"/>
      <c r="R797" s="245"/>
      <c r="S797" s="245"/>
    </row>
    <row r="798" spans="16:19" x14ac:dyDescent="0.3">
      <c r="P798" s="245"/>
      <c r="Q798" s="246"/>
      <c r="R798" s="245"/>
      <c r="S798" s="245"/>
    </row>
    <row r="799" spans="16:19" x14ac:dyDescent="0.3">
      <c r="P799" s="245"/>
      <c r="Q799" s="246"/>
      <c r="R799" s="245"/>
      <c r="S799" s="245"/>
    </row>
    <row r="800" spans="16:19" x14ac:dyDescent="0.3">
      <c r="P800" s="245"/>
      <c r="Q800" s="246"/>
      <c r="R800" s="245"/>
      <c r="S800" s="245"/>
    </row>
    <row r="801" spans="16:19" x14ac:dyDescent="0.3">
      <c r="P801" s="245"/>
      <c r="Q801" s="246"/>
      <c r="R801" s="245"/>
      <c r="S801" s="245"/>
    </row>
    <row r="802" spans="16:19" x14ac:dyDescent="0.3">
      <c r="P802" s="245"/>
      <c r="Q802" s="246"/>
      <c r="R802" s="245"/>
      <c r="S802" s="245"/>
    </row>
    <row r="803" spans="16:19" x14ac:dyDescent="0.3">
      <c r="P803" s="245"/>
      <c r="Q803" s="246"/>
      <c r="R803" s="245"/>
      <c r="S803" s="245"/>
    </row>
    <row r="804" spans="16:19" x14ac:dyDescent="0.3">
      <c r="P804" s="245"/>
      <c r="Q804" s="246"/>
      <c r="R804" s="245"/>
      <c r="S804" s="245"/>
    </row>
    <row r="805" spans="16:19" x14ac:dyDescent="0.3">
      <c r="P805" s="245"/>
      <c r="Q805" s="246"/>
      <c r="R805" s="245"/>
      <c r="S805" s="245"/>
    </row>
    <row r="806" spans="16:19" x14ac:dyDescent="0.3">
      <c r="P806" s="245"/>
      <c r="Q806" s="246"/>
      <c r="R806" s="245"/>
      <c r="S806" s="245"/>
    </row>
    <row r="807" spans="16:19" x14ac:dyDescent="0.3">
      <c r="P807" s="245"/>
      <c r="Q807" s="246"/>
      <c r="R807" s="245"/>
      <c r="S807" s="245"/>
    </row>
    <row r="808" spans="16:19" x14ac:dyDescent="0.3">
      <c r="P808" s="245"/>
      <c r="Q808" s="246"/>
      <c r="R808" s="245"/>
      <c r="S808" s="245"/>
    </row>
    <row r="809" spans="16:19" x14ac:dyDescent="0.3">
      <c r="P809" s="245"/>
      <c r="Q809" s="246"/>
      <c r="R809" s="245"/>
      <c r="S809" s="245"/>
    </row>
    <row r="810" spans="16:19" x14ac:dyDescent="0.3">
      <c r="P810" s="245"/>
      <c r="Q810" s="246"/>
      <c r="R810" s="245"/>
      <c r="S810" s="245"/>
    </row>
    <row r="811" spans="16:19" x14ac:dyDescent="0.3">
      <c r="P811" s="245"/>
      <c r="Q811" s="246"/>
      <c r="R811" s="245"/>
      <c r="S811" s="245"/>
    </row>
    <row r="812" spans="16:19" x14ac:dyDescent="0.3">
      <c r="P812" s="245"/>
      <c r="Q812" s="246"/>
      <c r="R812" s="245"/>
      <c r="S812" s="245"/>
    </row>
    <row r="813" spans="16:19" x14ac:dyDescent="0.3">
      <c r="P813" s="245"/>
      <c r="Q813" s="246"/>
      <c r="R813" s="245"/>
      <c r="S813" s="245"/>
    </row>
    <row r="814" spans="16:19" x14ac:dyDescent="0.3">
      <c r="P814" s="245"/>
      <c r="Q814" s="246"/>
      <c r="R814" s="245"/>
      <c r="S814" s="245"/>
    </row>
    <row r="815" spans="16:19" x14ac:dyDescent="0.3">
      <c r="P815" s="245"/>
      <c r="Q815" s="246"/>
      <c r="R815" s="245"/>
      <c r="S815" s="245"/>
    </row>
    <row r="816" spans="16:19" x14ac:dyDescent="0.3">
      <c r="P816" s="245"/>
      <c r="Q816" s="246"/>
      <c r="R816" s="245"/>
      <c r="S816" s="245"/>
    </row>
    <row r="817" spans="16:19" x14ac:dyDescent="0.3">
      <c r="P817" s="245"/>
      <c r="Q817" s="246"/>
      <c r="R817" s="245"/>
      <c r="S817" s="245"/>
    </row>
    <row r="818" spans="16:19" x14ac:dyDescent="0.3">
      <c r="P818" s="245"/>
      <c r="Q818" s="246"/>
      <c r="R818" s="245"/>
      <c r="S818" s="245"/>
    </row>
    <row r="819" spans="16:19" x14ac:dyDescent="0.3">
      <c r="P819" s="245"/>
      <c r="Q819" s="246"/>
      <c r="R819" s="245"/>
      <c r="S819" s="245"/>
    </row>
    <row r="820" spans="16:19" x14ac:dyDescent="0.3">
      <c r="P820" s="245"/>
      <c r="Q820" s="246"/>
      <c r="R820" s="245"/>
      <c r="S820" s="245"/>
    </row>
    <row r="821" spans="16:19" x14ac:dyDescent="0.3">
      <c r="P821" s="245"/>
      <c r="Q821" s="246"/>
      <c r="R821" s="245"/>
      <c r="S821" s="245"/>
    </row>
    <row r="822" spans="16:19" x14ac:dyDescent="0.3">
      <c r="P822" s="245"/>
      <c r="Q822" s="246"/>
      <c r="R822" s="245"/>
      <c r="S822" s="245"/>
    </row>
    <row r="823" spans="16:19" x14ac:dyDescent="0.3">
      <c r="P823" s="245"/>
      <c r="Q823" s="246"/>
      <c r="R823" s="245"/>
      <c r="S823" s="245"/>
    </row>
    <row r="824" spans="16:19" x14ac:dyDescent="0.3">
      <c r="P824" s="245"/>
      <c r="Q824" s="246"/>
      <c r="R824" s="245"/>
      <c r="S824" s="245"/>
    </row>
    <row r="825" spans="16:19" x14ac:dyDescent="0.3">
      <c r="P825" s="245"/>
      <c r="Q825" s="246"/>
      <c r="R825" s="245"/>
      <c r="S825" s="245"/>
    </row>
    <row r="826" spans="16:19" x14ac:dyDescent="0.3">
      <c r="P826" s="245"/>
      <c r="Q826" s="246"/>
      <c r="R826" s="245"/>
      <c r="S826" s="245"/>
    </row>
    <row r="827" spans="16:19" x14ac:dyDescent="0.3">
      <c r="P827" s="245"/>
      <c r="Q827" s="246"/>
      <c r="R827" s="245"/>
      <c r="S827" s="245"/>
    </row>
    <row r="828" spans="16:19" x14ac:dyDescent="0.3">
      <c r="P828" s="245"/>
      <c r="Q828" s="246"/>
      <c r="R828" s="245"/>
      <c r="S828" s="245"/>
    </row>
    <row r="829" spans="16:19" x14ac:dyDescent="0.3">
      <c r="P829" s="245"/>
      <c r="Q829" s="246"/>
      <c r="R829" s="245"/>
      <c r="S829" s="245"/>
    </row>
    <row r="830" spans="16:19" x14ac:dyDescent="0.3">
      <c r="P830" s="245"/>
      <c r="Q830" s="246"/>
      <c r="R830" s="245"/>
      <c r="S830" s="245"/>
    </row>
    <row r="831" spans="16:19" x14ac:dyDescent="0.3">
      <c r="P831" s="245"/>
      <c r="Q831" s="246"/>
      <c r="R831" s="245"/>
      <c r="S831" s="245"/>
    </row>
    <row r="832" spans="16:19" x14ac:dyDescent="0.3">
      <c r="P832" s="245"/>
      <c r="Q832" s="246"/>
      <c r="R832" s="245"/>
      <c r="S832" s="245"/>
    </row>
    <row r="833" spans="16:19" x14ac:dyDescent="0.3">
      <c r="P833" s="245"/>
      <c r="Q833" s="246"/>
      <c r="R833" s="245"/>
      <c r="S833" s="245"/>
    </row>
    <row r="834" spans="16:19" x14ac:dyDescent="0.3">
      <c r="P834" s="245"/>
      <c r="Q834" s="246"/>
      <c r="R834" s="245"/>
      <c r="S834" s="245"/>
    </row>
    <row r="835" spans="16:19" x14ac:dyDescent="0.3">
      <c r="P835" s="245"/>
      <c r="Q835" s="246"/>
      <c r="R835" s="245"/>
      <c r="S835" s="245"/>
    </row>
    <row r="836" spans="16:19" x14ac:dyDescent="0.3">
      <c r="P836" s="245"/>
      <c r="Q836" s="246"/>
      <c r="R836" s="245"/>
      <c r="S836" s="245"/>
    </row>
    <row r="837" spans="16:19" x14ac:dyDescent="0.3">
      <c r="P837" s="245"/>
      <c r="Q837" s="246"/>
      <c r="R837" s="245"/>
      <c r="S837" s="245"/>
    </row>
    <row r="838" spans="16:19" x14ac:dyDescent="0.3">
      <c r="P838" s="245"/>
      <c r="Q838" s="246"/>
      <c r="R838" s="245"/>
      <c r="S838" s="245"/>
    </row>
    <row r="839" spans="16:19" x14ac:dyDescent="0.3">
      <c r="P839" s="245"/>
      <c r="Q839" s="246"/>
      <c r="R839" s="245"/>
      <c r="S839" s="245"/>
    </row>
    <row r="840" spans="16:19" x14ac:dyDescent="0.3">
      <c r="P840" s="245"/>
      <c r="Q840" s="246"/>
      <c r="R840" s="245"/>
      <c r="S840" s="245"/>
    </row>
    <row r="841" spans="16:19" x14ac:dyDescent="0.3">
      <c r="P841" s="245"/>
      <c r="Q841" s="246"/>
      <c r="R841" s="245"/>
      <c r="S841" s="245"/>
    </row>
    <row r="842" spans="16:19" x14ac:dyDescent="0.3">
      <c r="P842" s="245"/>
      <c r="Q842" s="246"/>
      <c r="R842" s="245"/>
      <c r="S842" s="245"/>
    </row>
    <row r="843" spans="16:19" x14ac:dyDescent="0.3">
      <c r="P843" s="245"/>
      <c r="Q843" s="246"/>
      <c r="R843" s="245"/>
      <c r="S843" s="245"/>
    </row>
    <row r="844" spans="16:19" x14ac:dyDescent="0.3">
      <c r="P844" s="245"/>
      <c r="Q844" s="246"/>
      <c r="R844" s="245"/>
      <c r="S844" s="245"/>
    </row>
    <row r="845" spans="16:19" x14ac:dyDescent="0.3">
      <c r="P845" s="245"/>
      <c r="Q845" s="246"/>
      <c r="R845" s="245"/>
      <c r="S845" s="245"/>
    </row>
    <row r="846" spans="16:19" x14ac:dyDescent="0.3">
      <c r="P846" s="245"/>
      <c r="Q846" s="246"/>
      <c r="R846" s="245"/>
      <c r="S846" s="245"/>
    </row>
    <row r="847" spans="16:19" x14ac:dyDescent="0.3">
      <c r="P847" s="245"/>
      <c r="Q847" s="246"/>
      <c r="R847" s="245"/>
      <c r="S847" s="245"/>
    </row>
    <row r="848" spans="16:19" x14ac:dyDescent="0.3">
      <c r="P848" s="245"/>
      <c r="Q848" s="246"/>
      <c r="R848" s="245"/>
      <c r="S848" s="245"/>
    </row>
    <row r="849" spans="16:19" x14ac:dyDescent="0.3">
      <c r="P849" s="245"/>
      <c r="Q849" s="246"/>
      <c r="R849" s="245"/>
      <c r="S849" s="245"/>
    </row>
    <row r="850" spans="16:19" x14ac:dyDescent="0.3">
      <c r="P850" s="245"/>
      <c r="Q850" s="246"/>
      <c r="R850" s="245"/>
      <c r="S850" s="245"/>
    </row>
    <row r="851" spans="16:19" x14ac:dyDescent="0.3">
      <c r="P851" s="245"/>
      <c r="Q851" s="246"/>
      <c r="R851" s="245"/>
      <c r="S851" s="245"/>
    </row>
    <row r="852" spans="16:19" x14ac:dyDescent="0.3">
      <c r="P852" s="245"/>
      <c r="Q852" s="246"/>
      <c r="R852" s="245"/>
      <c r="S852" s="245"/>
    </row>
    <row r="853" spans="16:19" x14ac:dyDescent="0.3">
      <c r="P853" s="245"/>
      <c r="Q853" s="246"/>
      <c r="R853" s="245"/>
      <c r="S853" s="245"/>
    </row>
    <row r="854" spans="16:19" x14ac:dyDescent="0.3">
      <c r="P854" s="245"/>
      <c r="Q854" s="246"/>
      <c r="R854" s="245"/>
      <c r="S854" s="245"/>
    </row>
    <row r="855" spans="16:19" x14ac:dyDescent="0.3">
      <c r="P855" s="245"/>
      <c r="Q855" s="246"/>
      <c r="R855" s="245"/>
      <c r="S855" s="245"/>
    </row>
    <row r="856" spans="16:19" x14ac:dyDescent="0.3">
      <c r="P856" s="245"/>
      <c r="Q856" s="246"/>
      <c r="R856" s="245"/>
      <c r="S856" s="245"/>
    </row>
    <row r="857" spans="16:19" x14ac:dyDescent="0.3">
      <c r="P857" s="245"/>
      <c r="Q857" s="246"/>
      <c r="R857" s="245"/>
      <c r="S857" s="245"/>
    </row>
    <row r="858" spans="16:19" x14ac:dyDescent="0.3">
      <c r="P858" s="245"/>
      <c r="Q858" s="246"/>
      <c r="R858" s="245"/>
      <c r="S858" s="245"/>
    </row>
    <row r="859" spans="16:19" x14ac:dyDescent="0.3">
      <c r="P859" s="245"/>
      <c r="Q859" s="246"/>
      <c r="R859" s="245"/>
      <c r="S859" s="245"/>
    </row>
    <row r="860" spans="16:19" x14ac:dyDescent="0.3">
      <c r="P860" s="245"/>
      <c r="Q860" s="246"/>
      <c r="R860" s="245"/>
      <c r="S860" s="245"/>
    </row>
    <row r="861" spans="16:19" x14ac:dyDescent="0.3">
      <c r="P861" s="245"/>
      <c r="Q861" s="246"/>
      <c r="R861" s="245"/>
      <c r="S861" s="245"/>
    </row>
    <row r="862" spans="16:19" x14ac:dyDescent="0.3">
      <c r="P862" s="245"/>
      <c r="Q862" s="246"/>
      <c r="R862" s="245"/>
      <c r="S862" s="245"/>
    </row>
    <row r="863" spans="16:19" x14ac:dyDescent="0.3">
      <c r="P863" s="245"/>
      <c r="Q863" s="246"/>
      <c r="R863" s="245"/>
      <c r="S863" s="245"/>
    </row>
    <row r="864" spans="16:19" x14ac:dyDescent="0.3">
      <c r="P864" s="245"/>
      <c r="Q864" s="246"/>
      <c r="R864" s="245"/>
      <c r="S864" s="245"/>
    </row>
    <row r="865" spans="16:19" x14ac:dyDescent="0.3">
      <c r="P865" s="245"/>
      <c r="Q865" s="246"/>
      <c r="R865" s="245"/>
      <c r="S865" s="245"/>
    </row>
    <row r="866" spans="16:19" x14ac:dyDescent="0.3">
      <c r="P866" s="245"/>
      <c r="Q866" s="246"/>
      <c r="R866" s="245"/>
      <c r="S866" s="245"/>
    </row>
    <row r="867" spans="16:19" x14ac:dyDescent="0.3">
      <c r="P867" s="245"/>
      <c r="Q867" s="246"/>
      <c r="R867" s="245"/>
      <c r="S867" s="245"/>
    </row>
    <row r="868" spans="16:19" x14ac:dyDescent="0.3">
      <c r="P868" s="245"/>
      <c r="Q868" s="246"/>
      <c r="R868" s="245"/>
      <c r="S868" s="245"/>
    </row>
    <row r="869" spans="16:19" x14ac:dyDescent="0.3">
      <c r="P869" s="245"/>
      <c r="Q869" s="246"/>
      <c r="R869" s="245"/>
      <c r="S869" s="245"/>
    </row>
    <row r="870" spans="16:19" x14ac:dyDescent="0.3">
      <c r="P870" s="245"/>
      <c r="Q870" s="246"/>
      <c r="R870" s="245"/>
      <c r="S870" s="245"/>
    </row>
    <row r="871" spans="16:19" x14ac:dyDescent="0.3">
      <c r="P871" s="245"/>
      <c r="Q871" s="246"/>
      <c r="R871" s="245"/>
      <c r="S871" s="245"/>
    </row>
    <row r="872" spans="16:19" x14ac:dyDescent="0.3">
      <c r="P872" s="245"/>
      <c r="Q872" s="246"/>
      <c r="R872" s="245"/>
      <c r="S872" s="245"/>
    </row>
    <row r="873" spans="16:19" x14ac:dyDescent="0.3">
      <c r="P873" s="245"/>
      <c r="Q873" s="246"/>
      <c r="R873" s="245"/>
      <c r="S873" s="245"/>
    </row>
    <row r="874" spans="16:19" x14ac:dyDescent="0.3">
      <c r="P874" s="245"/>
      <c r="Q874" s="246"/>
      <c r="R874" s="245"/>
      <c r="S874" s="245"/>
    </row>
    <row r="875" spans="16:19" x14ac:dyDescent="0.3">
      <c r="P875" s="245"/>
      <c r="Q875" s="246"/>
      <c r="R875" s="245"/>
      <c r="S875" s="245"/>
    </row>
    <row r="876" spans="16:19" x14ac:dyDescent="0.3">
      <c r="P876" s="245"/>
      <c r="Q876" s="246"/>
      <c r="R876" s="245"/>
      <c r="S876" s="245"/>
    </row>
    <row r="877" spans="16:19" x14ac:dyDescent="0.3">
      <c r="P877" s="245"/>
      <c r="Q877" s="246"/>
      <c r="R877" s="245"/>
      <c r="S877" s="245"/>
    </row>
    <row r="878" spans="16:19" x14ac:dyDescent="0.3">
      <c r="P878" s="245"/>
      <c r="Q878" s="246"/>
      <c r="R878" s="245"/>
      <c r="S878" s="245"/>
    </row>
    <row r="879" spans="16:19" x14ac:dyDescent="0.3">
      <c r="P879" s="245"/>
      <c r="Q879" s="246"/>
      <c r="R879" s="245"/>
      <c r="S879" s="245"/>
    </row>
    <row r="880" spans="16:19" x14ac:dyDescent="0.3">
      <c r="P880" s="245"/>
      <c r="Q880" s="246"/>
      <c r="R880" s="245"/>
      <c r="S880" s="245"/>
    </row>
    <row r="881" spans="16:19" x14ac:dyDescent="0.3">
      <c r="P881" s="245"/>
      <c r="Q881" s="246"/>
      <c r="R881" s="245"/>
      <c r="S881" s="245"/>
    </row>
    <row r="882" spans="16:19" x14ac:dyDescent="0.3">
      <c r="P882" s="245"/>
      <c r="Q882" s="246"/>
      <c r="R882" s="245"/>
      <c r="S882" s="245"/>
    </row>
    <row r="883" spans="16:19" x14ac:dyDescent="0.3">
      <c r="P883" s="245"/>
      <c r="Q883" s="246"/>
      <c r="R883" s="245"/>
      <c r="S883" s="245"/>
    </row>
    <row r="884" spans="16:19" x14ac:dyDescent="0.3">
      <c r="P884" s="245"/>
      <c r="Q884" s="246"/>
      <c r="R884" s="245"/>
      <c r="S884" s="245"/>
    </row>
    <row r="885" spans="16:19" x14ac:dyDescent="0.3">
      <c r="P885" s="245"/>
      <c r="Q885" s="246"/>
      <c r="R885" s="245"/>
      <c r="S885" s="245"/>
    </row>
    <row r="886" spans="16:19" x14ac:dyDescent="0.3">
      <c r="P886" s="245"/>
      <c r="Q886" s="246"/>
      <c r="R886" s="245"/>
      <c r="S886" s="245"/>
    </row>
    <row r="887" spans="16:19" x14ac:dyDescent="0.3">
      <c r="P887" s="245"/>
      <c r="Q887" s="246"/>
      <c r="R887" s="245"/>
      <c r="S887" s="245"/>
    </row>
    <row r="888" spans="16:19" x14ac:dyDescent="0.3">
      <c r="P888" s="245"/>
      <c r="Q888" s="246"/>
      <c r="R888" s="245"/>
      <c r="S888" s="245"/>
    </row>
    <row r="889" spans="16:19" x14ac:dyDescent="0.3">
      <c r="P889" s="245"/>
      <c r="Q889" s="246"/>
      <c r="R889" s="245"/>
      <c r="S889" s="245"/>
    </row>
    <row r="890" spans="16:19" x14ac:dyDescent="0.3">
      <c r="P890" s="245"/>
      <c r="Q890" s="246"/>
      <c r="R890" s="245"/>
      <c r="S890" s="245"/>
    </row>
    <row r="891" spans="16:19" x14ac:dyDescent="0.3">
      <c r="P891" s="245"/>
      <c r="Q891" s="246"/>
      <c r="R891" s="245"/>
      <c r="S891" s="245"/>
    </row>
    <row r="892" spans="16:19" x14ac:dyDescent="0.3">
      <c r="P892" s="245"/>
      <c r="Q892" s="246"/>
      <c r="R892" s="245"/>
      <c r="S892" s="245"/>
    </row>
    <row r="893" spans="16:19" x14ac:dyDescent="0.3">
      <c r="P893" s="245"/>
      <c r="Q893" s="246"/>
      <c r="R893" s="245"/>
      <c r="S893" s="245"/>
    </row>
    <row r="894" spans="16:19" x14ac:dyDescent="0.3">
      <c r="P894" s="245"/>
      <c r="Q894" s="246"/>
      <c r="R894" s="245"/>
      <c r="S894" s="245"/>
    </row>
    <row r="895" spans="16:19" x14ac:dyDescent="0.3">
      <c r="P895" s="245"/>
      <c r="Q895" s="246"/>
      <c r="R895" s="245"/>
      <c r="S895" s="245"/>
    </row>
    <row r="896" spans="16:19" x14ac:dyDescent="0.3">
      <c r="P896" s="245"/>
      <c r="Q896" s="246"/>
      <c r="R896" s="245"/>
      <c r="S896" s="245"/>
    </row>
    <row r="897" spans="16:19" x14ac:dyDescent="0.3">
      <c r="P897" s="245"/>
      <c r="Q897" s="246"/>
      <c r="R897" s="245"/>
      <c r="S897" s="245"/>
    </row>
    <row r="898" spans="16:19" x14ac:dyDescent="0.3">
      <c r="P898" s="245"/>
      <c r="Q898" s="246"/>
      <c r="R898" s="245"/>
      <c r="S898" s="245"/>
    </row>
    <row r="899" spans="16:19" x14ac:dyDescent="0.3">
      <c r="P899" s="245"/>
      <c r="Q899" s="246"/>
      <c r="R899" s="245"/>
      <c r="S899" s="245"/>
    </row>
    <row r="900" spans="16:19" x14ac:dyDescent="0.3">
      <c r="P900" s="245"/>
      <c r="Q900" s="246"/>
      <c r="R900" s="245"/>
      <c r="S900" s="245"/>
    </row>
    <row r="901" spans="16:19" x14ac:dyDescent="0.3">
      <c r="P901" s="245"/>
      <c r="Q901" s="246"/>
      <c r="R901" s="245"/>
      <c r="S901" s="245"/>
    </row>
    <row r="902" spans="16:19" x14ac:dyDescent="0.3">
      <c r="P902" s="245"/>
      <c r="Q902" s="246"/>
      <c r="R902" s="245"/>
      <c r="S902" s="245"/>
    </row>
    <row r="903" spans="16:19" x14ac:dyDescent="0.3">
      <c r="P903" s="245"/>
      <c r="Q903" s="246"/>
      <c r="R903" s="245"/>
      <c r="S903" s="245"/>
    </row>
    <row r="904" spans="16:19" x14ac:dyDescent="0.3">
      <c r="P904" s="245"/>
      <c r="Q904" s="246"/>
      <c r="R904" s="245"/>
      <c r="S904" s="245"/>
    </row>
    <row r="905" spans="16:19" x14ac:dyDescent="0.3">
      <c r="P905" s="245"/>
      <c r="Q905" s="246"/>
      <c r="R905" s="245"/>
      <c r="S905" s="245"/>
    </row>
    <row r="906" spans="16:19" x14ac:dyDescent="0.3">
      <c r="P906" s="245"/>
      <c r="Q906" s="246"/>
      <c r="R906" s="245"/>
      <c r="S906" s="245"/>
    </row>
    <row r="907" spans="16:19" x14ac:dyDescent="0.3">
      <c r="P907" s="245"/>
      <c r="Q907" s="246"/>
      <c r="R907" s="245"/>
      <c r="S907" s="245"/>
    </row>
    <row r="908" spans="16:19" x14ac:dyDescent="0.3">
      <c r="P908" s="245"/>
      <c r="Q908" s="246"/>
      <c r="R908" s="245"/>
      <c r="S908" s="245"/>
    </row>
    <row r="909" spans="16:19" x14ac:dyDescent="0.3">
      <c r="P909" s="245"/>
      <c r="Q909" s="246"/>
      <c r="R909" s="245"/>
      <c r="S909" s="245"/>
    </row>
    <row r="910" spans="16:19" x14ac:dyDescent="0.3">
      <c r="P910" s="245"/>
      <c r="Q910" s="246"/>
      <c r="R910" s="245"/>
      <c r="S910" s="245"/>
    </row>
    <row r="911" spans="16:19" x14ac:dyDescent="0.3">
      <c r="P911" s="245"/>
      <c r="Q911" s="246"/>
      <c r="R911" s="245"/>
      <c r="S911" s="245"/>
    </row>
    <row r="912" spans="16:19" x14ac:dyDescent="0.3">
      <c r="P912" s="245"/>
      <c r="Q912" s="246"/>
      <c r="R912" s="245"/>
      <c r="S912" s="245"/>
    </row>
    <row r="913" spans="16:19" x14ac:dyDescent="0.3">
      <c r="P913" s="245"/>
      <c r="Q913" s="246"/>
      <c r="R913" s="245"/>
      <c r="S913" s="245"/>
    </row>
    <row r="914" spans="16:19" x14ac:dyDescent="0.3">
      <c r="P914" s="245"/>
      <c r="Q914" s="246"/>
      <c r="R914" s="245"/>
      <c r="S914" s="245"/>
    </row>
    <row r="915" spans="16:19" x14ac:dyDescent="0.3">
      <c r="P915" s="245"/>
      <c r="Q915" s="246"/>
      <c r="R915" s="245"/>
      <c r="S915" s="245"/>
    </row>
    <row r="916" spans="16:19" x14ac:dyDescent="0.3">
      <c r="P916" s="245"/>
      <c r="Q916" s="246"/>
      <c r="R916" s="245"/>
      <c r="S916" s="245"/>
    </row>
    <row r="917" spans="16:19" x14ac:dyDescent="0.3">
      <c r="P917" s="245"/>
      <c r="Q917" s="246"/>
      <c r="R917" s="245"/>
      <c r="S917" s="245"/>
    </row>
    <row r="918" spans="16:19" x14ac:dyDescent="0.3">
      <c r="P918" s="245"/>
      <c r="Q918" s="246"/>
      <c r="R918" s="245"/>
      <c r="S918" s="245"/>
    </row>
    <row r="919" spans="16:19" x14ac:dyDescent="0.3">
      <c r="P919" s="245"/>
      <c r="Q919" s="246"/>
      <c r="R919" s="245"/>
      <c r="S919" s="245"/>
    </row>
    <row r="920" spans="16:19" x14ac:dyDescent="0.3">
      <c r="P920" s="245"/>
      <c r="Q920" s="246"/>
      <c r="R920" s="245"/>
      <c r="S920" s="245"/>
    </row>
    <row r="921" spans="16:19" x14ac:dyDescent="0.3">
      <c r="P921" s="245"/>
      <c r="Q921" s="246"/>
      <c r="R921" s="245"/>
      <c r="S921" s="245"/>
    </row>
    <row r="922" spans="16:19" x14ac:dyDescent="0.3">
      <c r="P922" s="245"/>
      <c r="Q922" s="246"/>
      <c r="R922" s="245"/>
      <c r="S922" s="245"/>
    </row>
    <row r="923" spans="16:19" x14ac:dyDescent="0.3">
      <c r="P923" s="245"/>
      <c r="Q923" s="246"/>
      <c r="R923" s="245"/>
      <c r="S923" s="245"/>
    </row>
    <row r="924" spans="16:19" x14ac:dyDescent="0.3">
      <c r="P924" s="245"/>
      <c r="Q924" s="246"/>
      <c r="R924" s="245"/>
      <c r="S924" s="245"/>
    </row>
    <row r="925" spans="16:19" x14ac:dyDescent="0.3">
      <c r="P925" s="245"/>
      <c r="Q925" s="246"/>
      <c r="R925" s="245"/>
      <c r="S925" s="245"/>
    </row>
    <row r="926" spans="16:19" x14ac:dyDescent="0.3">
      <c r="P926" s="245"/>
      <c r="Q926" s="246"/>
      <c r="R926" s="245"/>
      <c r="S926" s="245"/>
    </row>
    <row r="927" spans="16:19" x14ac:dyDescent="0.3">
      <c r="P927" s="245"/>
      <c r="Q927" s="246"/>
      <c r="R927" s="245"/>
      <c r="S927" s="245"/>
    </row>
    <row r="928" spans="16:19" x14ac:dyDescent="0.3">
      <c r="P928" s="245"/>
      <c r="Q928" s="246"/>
      <c r="R928" s="245"/>
      <c r="S928" s="245"/>
    </row>
    <row r="929" spans="16:19" x14ac:dyDescent="0.3">
      <c r="P929" s="245"/>
      <c r="Q929" s="246"/>
      <c r="R929" s="245"/>
      <c r="S929" s="245"/>
    </row>
    <row r="930" spans="16:19" x14ac:dyDescent="0.3">
      <c r="P930" s="245"/>
      <c r="Q930" s="246"/>
      <c r="R930" s="245"/>
      <c r="S930" s="245"/>
    </row>
    <row r="931" spans="16:19" x14ac:dyDescent="0.3">
      <c r="P931" s="245"/>
      <c r="Q931" s="246"/>
      <c r="R931" s="245"/>
      <c r="S931" s="245"/>
    </row>
    <row r="932" spans="16:19" x14ac:dyDescent="0.3">
      <c r="P932" s="245"/>
      <c r="Q932" s="246"/>
      <c r="R932" s="245"/>
      <c r="S932" s="245"/>
    </row>
    <row r="933" spans="16:19" x14ac:dyDescent="0.3">
      <c r="P933" s="245"/>
      <c r="Q933" s="246"/>
      <c r="R933" s="245"/>
      <c r="S933" s="245"/>
    </row>
    <row r="934" spans="16:19" x14ac:dyDescent="0.3">
      <c r="P934" s="245"/>
      <c r="Q934" s="246"/>
      <c r="R934" s="245"/>
      <c r="S934" s="245"/>
    </row>
    <row r="935" spans="16:19" x14ac:dyDescent="0.3">
      <c r="P935" s="245"/>
      <c r="Q935" s="246"/>
      <c r="R935" s="245"/>
      <c r="S935" s="245"/>
    </row>
    <row r="936" spans="16:19" x14ac:dyDescent="0.3">
      <c r="P936" s="245"/>
      <c r="Q936" s="246"/>
      <c r="R936" s="245"/>
      <c r="S936" s="245"/>
    </row>
    <row r="937" spans="16:19" x14ac:dyDescent="0.3">
      <c r="P937" s="245"/>
      <c r="Q937" s="246"/>
      <c r="R937" s="245"/>
      <c r="S937" s="245"/>
    </row>
    <row r="938" spans="16:19" x14ac:dyDescent="0.3">
      <c r="P938" s="245"/>
      <c r="Q938" s="246"/>
      <c r="R938" s="245"/>
      <c r="S938" s="245"/>
    </row>
    <row r="939" spans="16:19" x14ac:dyDescent="0.3">
      <c r="P939" s="245"/>
      <c r="Q939" s="246"/>
      <c r="R939" s="245"/>
      <c r="S939" s="245"/>
    </row>
    <row r="940" spans="16:19" x14ac:dyDescent="0.3">
      <c r="P940" s="245"/>
      <c r="Q940" s="246"/>
      <c r="R940" s="245"/>
      <c r="S940" s="245"/>
    </row>
    <row r="941" spans="16:19" x14ac:dyDescent="0.3">
      <c r="P941" s="245"/>
      <c r="Q941" s="246"/>
      <c r="R941" s="245"/>
      <c r="S941" s="245"/>
    </row>
    <row r="942" spans="16:19" x14ac:dyDescent="0.3">
      <c r="P942" s="245"/>
      <c r="Q942" s="246"/>
      <c r="R942" s="245"/>
      <c r="S942" s="245"/>
    </row>
    <row r="943" spans="16:19" x14ac:dyDescent="0.3">
      <c r="P943" s="245"/>
      <c r="Q943" s="246"/>
      <c r="R943" s="245"/>
      <c r="S943" s="245"/>
    </row>
    <row r="944" spans="16:19" x14ac:dyDescent="0.3">
      <c r="P944" s="245"/>
      <c r="Q944" s="246"/>
      <c r="R944" s="245"/>
      <c r="S944" s="245"/>
    </row>
    <row r="945" spans="16:19" x14ac:dyDescent="0.3">
      <c r="P945" s="245"/>
      <c r="Q945" s="246"/>
      <c r="R945" s="245"/>
      <c r="S945" s="245"/>
    </row>
    <row r="946" spans="16:19" x14ac:dyDescent="0.3">
      <c r="P946" s="245"/>
      <c r="Q946" s="246"/>
      <c r="R946" s="245"/>
      <c r="S946" s="245"/>
    </row>
    <row r="947" spans="16:19" x14ac:dyDescent="0.3">
      <c r="P947" s="245"/>
      <c r="Q947" s="246"/>
      <c r="R947" s="245"/>
      <c r="S947" s="245"/>
    </row>
    <row r="948" spans="16:19" x14ac:dyDescent="0.3">
      <c r="P948" s="245"/>
      <c r="Q948" s="246"/>
      <c r="R948" s="245"/>
      <c r="S948" s="245"/>
    </row>
    <row r="949" spans="16:19" x14ac:dyDescent="0.3">
      <c r="P949" s="245"/>
      <c r="Q949" s="246"/>
      <c r="R949" s="245"/>
      <c r="S949" s="245"/>
    </row>
    <row r="950" spans="16:19" x14ac:dyDescent="0.3">
      <c r="P950" s="245"/>
      <c r="Q950" s="246"/>
      <c r="R950" s="245"/>
      <c r="S950" s="245"/>
    </row>
    <row r="951" spans="16:19" x14ac:dyDescent="0.3">
      <c r="P951" s="245"/>
      <c r="Q951" s="246"/>
      <c r="R951" s="245"/>
      <c r="S951" s="245"/>
    </row>
    <row r="952" spans="16:19" x14ac:dyDescent="0.3">
      <c r="P952" s="245"/>
      <c r="Q952" s="246"/>
      <c r="R952" s="245"/>
      <c r="S952" s="245"/>
    </row>
    <row r="953" spans="16:19" x14ac:dyDescent="0.3">
      <c r="P953" s="245"/>
      <c r="Q953" s="246"/>
      <c r="R953" s="245"/>
      <c r="S953" s="245"/>
    </row>
    <row r="954" spans="16:19" x14ac:dyDescent="0.3">
      <c r="P954" s="245"/>
      <c r="Q954" s="246"/>
      <c r="R954" s="245"/>
      <c r="S954" s="245"/>
    </row>
    <row r="955" spans="16:19" x14ac:dyDescent="0.3">
      <c r="P955" s="245"/>
      <c r="Q955" s="246"/>
      <c r="R955" s="245"/>
      <c r="S955" s="245"/>
    </row>
    <row r="956" spans="16:19" x14ac:dyDescent="0.3">
      <c r="P956" s="245"/>
      <c r="Q956" s="246"/>
      <c r="R956" s="245"/>
      <c r="S956" s="245"/>
    </row>
    <row r="957" spans="16:19" x14ac:dyDescent="0.3">
      <c r="P957" s="245"/>
      <c r="Q957" s="246"/>
      <c r="R957" s="245"/>
      <c r="S957" s="245"/>
    </row>
    <row r="958" spans="16:19" x14ac:dyDescent="0.3">
      <c r="P958" s="245"/>
      <c r="Q958" s="246"/>
      <c r="R958" s="245"/>
      <c r="S958" s="245"/>
    </row>
    <row r="959" spans="16:19" x14ac:dyDescent="0.3">
      <c r="P959" s="245"/>
      <c r="Q959" s="246"/>
      <c r="R959" s="245"/>
      <c r="S959" s="245"/>
    </row>
    <row r="960" spans="16:19" x14ac:dyDescent="0.3">
      <c r="P960" s="245"/>
      <c r="Q960" s="246"/>
      <c r="R960" s="245"/>
      <c r="S960" s="245"/>
    </row>
    <row r="961" spans="16:19" x14ac:dyDescent="0.3">
      <c r="P961" s="245"/>
      <c r="Q961" s="246"/>
      <c r="R961" s="245"/>
      <c r="S961" s="245"/>
    </row>
    <row r="962" spans="16:19" x14ac:dyDescent="0.3">
      <c r="P962" s="245"/>
      <c r="Q962" s="246"/>
      <c r="R962" s="245"/>
      <c r="S962" s="245"/>
    </row>
    <row r="963" spans="16:19" x14ac:dyDescent="0.3">
      <c r="P963" s="245"/>
      <c r="Q963" s="246"/>
      <c r="R963" s="245"/>
      <c r="S963" s="245"/>
    </row>
    <row r="964" spans="16:19" x14ac:dyDescent="0.3">
      <c r="P964" s="245"/>
      <c r="Q964" s="246"/>
      <c r="R964" s="245"/>
      <c r="S964" s="245"/>
    </row>
    <row r="965" spans="16:19" x14ac:dyDescent="0.3">
      <c r="P965" s="245"/>
      <c r="Q965" s="246"/>
      <c r="R965" s="245"/>
      <c r="S965" s="245"/>
    </row>
    <row r="966" spans="16:19" x14ac:dyDescent="0.3">
      <c r="P966" s="245"/>
      <c r="Q966" s="246"/>
      <c r="R966" s="245"/>
      <c r="S966" s="245"/>
    </row>
    <row r="967" spans="16:19" x14ac:dyDescent="0.3">
      <c r="P967" s="245"/>
      <c r="Q967" s="246"/>
      <c r="R967" s="245"/>
      <c r="S967" s="245"/>
    </row>
    <row r="968" spans="16:19" x14ac:dyDescent="0.3">
      <c r="P968" s="245"/>
      <c r="Q968" s="246"/>
      <c r="R968" s="245"/>
      <c r="S968" s="245"/>
    </row>
    <row r="969" spans="16:19" x14ac:dyDescent="0.3">
      <c r="P969" s="245"/>
      <c r="Q969" s="246"/>
      <c r="R969" s="245"/>
      <c r="S969" s="245"/>
    </row>
    <row r="970" spans="16:19" x14ac:dyDescent="0.3">
      <c r="P970" s="245"/>
      <c r="Q970" s="246"/>
      <c r="R970" s="245"/>
      <c r="S970" s="245"/>
    </row>
    <row r="971" spans="16:19" x14ac:dyDescent="0.3">
      <c r="P971" s="245"/>
      <c r="Q971" s="246"/>
      <c r="R971" s="245"/>
      <c r="S971" s="245"/>
    </row>
    <row r="972" spans="16:19" x14ac:dyDescent="0.3">
      <c r="P972" s="245"/>
      <c r="Q972" s="246"/>
      <c r="R972" s="245"/>
      <c r="S972" s="245"/>
    </row>
    <row r="973" spans="16:19" x14ac:dyDescent="0.3">
      <c r="P973" s="245"/>
      <c r="Q973" s="246"/>
      <c r="R973" s="245"/>
      <c r="S973" s="245"/>
    </row>
    <row r="974" spans="16:19" x14ac:dyDescent="0.3">
      <c r="P974" s="245"/>
      <c r="Q974" s="246"/>
      <c r="R974" s="245"/>
      <c r="S974" s="245"/>
    </row>
    <row r="975" spans="16:19" x14ac:dyDescent="0.3">
      <c r="P975" s="245"/>
      <c r="Q975" s="246"/>
      <c r="R975" s="245"/>
      <c r="S975" s="245"/>
    </row>
    <row r="976" spans="16:19" x14ac:dyDescent="0.3">
      <c r="P976" s="245"/>
      <c r="Q976" s="246"/>
      <c r="R976" s="245"/>
      <c r="S976" s="245"/>
    </row>
    <row r="977" spans="16:19" x14ac:dyDescent="0.3">
      <c r="P977" s="245"/>
      <c r="Q977" s="246"/>
      <c r="R977" s="245"/>
      <c r="S977" s="245"/>
    </row>
    <row r="978" spans="16:19" x14ac:dyDescent="0.3">
      <c r="P978" s="245"/>
      <c r="Q978" s="246"/>
      <c r="R978" s="245"/>
      <c r="S978" s="245"/>
    </row>
    <row r="979" spans="16:19" x14ac:dyDescent="0.3">
      <c r="P979" s="245"/>
      <c r="Q979" s="246"/>
      <c r="R979" s="245"/>
      <c r="S979" s="245"/>
    </row>
    <row r="980" spans="16:19" x14ac:dyDescent="0.3">
      <c r="P980" s="245"/>
      <c r="Q980" s="246"/>
      <c r="R980" s="245"/>
      <c r="S980" s="245"/>
    </row>
    <row r="981" spans="16:19" x14ac:dyDescent="0.3">
      <c r="P981" s="245"/>
      <c r="Q981" s="246"/>
      <c r="R981" s="245"/>
      <c r="S981" s="245"/>
    </row>
    <row r="982" spans="16:19" x14ac:dyDescent="0.3">
      <c r="P982" s="245"/>
      <c r="Q982" s="246"/>
      <c r="R982" s="245"/>
      <c r="S982" s="245"/>
    </row>
    <row r="983" spans="16:19" x14ac:dyDescent="0.3">
      <c r="P983" s="245"/>
      <c r="Q983" s="246"/>
      <c r="R983" s="245"/>
      <c r="S983" s="245"/>
    </row>
    <row r="984" spans="16:19" x14ac:dyDescent="0.3">
      <c r="P984" s="245"/>
      <c r="Q984" s="246"/>
      <c r="R984" s="245"/>
      <c r="S984" s="245"/>
    </row>
    <row r="985" spans="16:19" x14ac:dyDescent="0.3">
      <c r="P985" s="245"/>
      <c r="Q985" s="246"/>
      <c r="R985" s="245"/>
      <c r="S985" s="245"/>
    </row>
    <row r="986" spans="16:19" x14ac:dyDescent="0.3">
      <c r="P986" s="245"/>
      <c r="Q986" s="246"/>
      <c r="R986" s="245"/>
      <c r="S986" s="245"/>
    </row>
    <row r="987" spans="16:19" x14ac:dyDescent="0.3">
      <c r="P987" s="245"/>
      <c r="Q987" s="246"/>
      <c r="R987" s="245"/>
      <c r="S987" s="245"/>
    </row>
    <row r="988" spans="16:19" x14ac:dyDescent="0.3">
      <c r="P988" s="245"/>
      <c r="Q988" s="246"/>
      <c r="R988" s="245"/>
      <c r="S988" s="245"/>
    </row>
    <row r="989" spans="16:19" x14ac:dyDescent="0.3">
      <c r="P989" s="245"/>
      <c r="Q989" s="246"/>
      <c r="R989" s="245"/>
      <c r="S989" s="245"/>
    </row>
    <row r="990" spans="16:19" x14ac:dyDescent="0.3">
      <c r="P990" s="245"/>
      <c r="Q990" s="246"/>
      <c r="R990" s="245"/>
      <c r="S990" s="245"/>
    </row>
    <row r="991" spans="16:19" x14ac:dyDescent="0.3">
      <c r="P991" s="245"/>
      <c r="Q991" s="246"/>
      <c r="R991" s="245"/>
      <c r="S991" s="245"/>
    </row>
    <row r="992" spans="16:19" x14ac:dyDescent="0.3">
      <c r="P992" s="245"/>
      <c r="Q992" s="246"/>
      <c r="R992" s="245"/>
      <c r="S992" s="245"/>
    </row>
    <row r="993" spans="16:19" x14ac:dyDescent="0.3">
      <c r="P993" s="245"/>
      <c r="Q993" s="246"/>
      <c r="R993" s="245"/>
      <c r="S993" s="245"/>
    </row>
    <row r="994" spans="16:19" x14ac:dyDescent="0.3">
      <c r="P994" s="245"/>
      <c r="Q994" s="246"/>
      <c r="R994" s="245"/>
      <c r="S994" s="245"/>
    </row>
    <row r="995" spans="16:19" x14ac:dyDescent="0.3">
      <c r="P995" s="245"/>
      <c r="Q995" s="246"/>
      <c r="R995" s="245"/>
      <c r="S995" s="245"/>
    </row>
    <row r="996" spans="16:19" x14ac:dyDescent="0.3">
      <c r="P996" s="245"/>
      <c r="Q996" s="246"/>
      <c r="R996" s="245"/>
      <c r="S996" s="245"/>
    </row>
    <row r="997" spans="16:19" x14ac:dyDescent="0.3">
      <c r="P997" s="245"/>
      <c r="Q997" s="246"/>
      <c r="R997" s="245"/>
      <c r="S997" s="245"/>
    </row>
    <row r="998" spans="16:19" x14ac:dyDescent="0.3">
      <c r="P998" s="245"/>
      <c r="Q998" s="246"/>
      <c r="R998" s="245"/>
      <c r="S998" s="245"/>
    </row>
    <row r="999" spans="16:19" x14ac:dyDescent="0.3">
      <c r="P999" s="245"/>
      <c r="Q999" s="246"/>
      <c r="R999" s="245"/>
      <c r="S999" s="245"/>
    </row>
    <row r="1000" spans="16:19" x14ac:dyDescent="0.3">
      <c r="P1000" s="245"/>
      <c r="Q1000" s="246"/>
      <c r="R1000" s="245"/>
      <c r="S1000" s="245"/>
    </row>
    <row r="1001" spans="16:19" x14ac:dyDescent="0.3">
      <c r="P1001" s="245"/>
      <c r="Q1001" s="246"/>
      <c r="R1001" s="245"/>
      <c r="S1001" s="245"/>
    </row>
    <row r="1002" spans="16:19" x14ac:dyDescent="0.3">
      <c r="P1002" s="245"/>
      <c r="Q1002" s="246"/>
      <c r="R1002" s="245"/>
      <c r="S1002" s="245"/>
    </row>
    <row r="1003" spans="16:19" x14ac:dyDescent="0.3">
      <c r="P1003" s="245"/>
      <c r="Q1003" s="246"/>
      <c r="R1003" s="245"/>
      <c r="S1003" s="245"/>
    </row>
    <row r="1004" spans="16:19" x14ac:dyDescent="0.3">
      <c r="P1004" s="245"/>
      <c r="Q1004" s="246"/>
      <c r="R1004" s="245"/>
      <c r="S1004" s="245"/>
    </row>
    <row r="1005" spans="16:19" x14ac:dyDescent="0.3">
      <c r="P1005" s="245"/>
      <c r="Q1005" s="246"/>
      <c r="R1005" s="245"/>
      <c r="S1005" s="245"/>
    </row>
    <row r="1006" spans="16:19" x14ac:dyDescent="0.3">
      <c r="P1006" s="245"/>
      <c r="Q1006" s="246"/>
      <c r="R1006" s="245"/>
      <c r="S1006" s="245"/>
    </row>
    <row r="1007" spans="16:19" x14ac:dyDescent="0.3">
      <c r="P1007" s="245"/>
      <c r="Q1007" s="246"/>
      <c r="R1007" s="245"/>
      <c r="S1007" s="245"/>
    </row>
    <row r="1008" spans="16:19" x14ac:dyDescent="0.3">
      <c r="P1008" s="245"/>
      <c r="Q1008" s="246"/>
      <c r="R1008" s="245"/>
      <c r="S1008" s="245"/>
    </row>
    <row r="1009" spans="16:19" x14ac:dyDescent="0.3">
      <c r="P1009" s="245"/>
      <c r="Q1009" s="246"/>
      <c r="R1009" s="245"/>
      <c r="S1009" s="245"/>
    </row>
    <row r="1010" spans="16:19" x14ac:dyDescent="0.3">
      <c r="P1010" s="245"/>
      <c r="Q1010" s="246"/>
      <c r="R1010" s="245"/>
      <c r="S1010" s="245"/>
    </row>
    <row r="1011" spans="16:19" x14ac:dyDescent="0.3">
      <c r="P1011" s="245"/>
      <c r="Q1011" s="246"/>
      <c r="R1011" s="245"/>
      <c r="S1011" s="245"/>
    </row>
    <row r="1012" spans="16:19" x14ac:dyDescent="0.3">
      <c r="P1012" s="245"/>
      <c r="Q1012" s="246"/>
      <c r="R1012" s="245"/>
      <c r="S1012" s="245"/>
    </row>
    <row r="1013" spans="16:19" x14ac:dyDescent="0.3">
      <c r="P1013" s="245"/>
      <c r="Q1013" s="246"/>
      <c r="R1013" s="245"/>
      <c r="S1013" s="245"/>
    </row>
    <row r="1014" spans="16:19" x14ac:dyDescent="0.3">
      <c r="P1014" s="245"/>
      <c r="Q1014" s="246"/>
      <c r="R1014" s="245"/>
      <c r="S1014" s="245"/>
    </row>
    <row r="1015" spans="16:19" x14ac:dyDescent="0.3">
      <c r="P1015" s="245"/>
      <c r="Q1015" s="246"/>
      <c r="R1015" s="245"/>
      <c r="S1015" s="245"/>
    </row>
    <row r="1016" spans="16:19" x14ac:dyDescent="0.3">
      <c r="P1016" s="245"/>
      <c r="Q1016" s="246"/>
      <c r="R1016" s="245"/>
      <c r="S1016" s="245"/>
    </row>
    <row r="1017" spans="16:19" x14ac:dyDescent="0.3">
      <c r="P1017" s="245"/>
      <c r="Q1017" s="246"/>
      <c r="R1017" s="245"/>
      <c r="S1017" s="245"/>
    </row>
    <row r="1018" spans="16:19" x14ac:dyDescent="0.3">
      <c r="P1018" s="245"/>
      <c r="Q1018" s="246"/>
      <c r="R1018" s="245"/>
      <c r="S1018" s="245"/>
    </row>
    <row r="1019" spans="16:19" x14ac:dyDescent="0.3">
      <c r="P1019" s="245"/>
      <c r="Q1019" s="246"/>
      <c r="R1019" s="245"/>
      <c r="S1019" s="245"/>
    </row>
    <row r="1020" spans="16:19" x14ac:dyDescent="0.3">
      <c r="P1020" s="245"/>
      <c r="Q1020" s="246"/>
      <c r="R1020" s="245"/>
      <c r="S1020" s="245"/>
    </row>
    <row r="1021" spans="16:19" x14ac:dyDescent="0.3">
      <c r="P1021" s="245"/>
      <c r="Q1021" s="246"/>
      <c r="R1021" s="245"/>
      <c r="S1021" s="245"/>
    </row>
    <row r="1022" spans="16:19" x14ac:dyDescent="0.3">
      <c r="P1022" s="245"/>
      <c r="Q1022" s="246"/>
      <c r="R1022" s="245"/>
      <c r="S1022" s="245"/>
    </row>
    <row r="1023" spans="16:19" x14ac:dyDescent="0.3">
      <c r="P1023" s="245"/>
      <c r="Q1023" s="246"/>
      <c r="R1023" s="245"/>
      <c r="S1023" s="245"/>
    </row>
    <row r="1024" spans="16:19" x14ac:dyDescent="0.3">
      <c r="P1024" s="245"/>
      <c r="Q1024" s="246"/>
      <c r="R1024" s="245"/>
      <c r="S1024" s="245"/>
    </row>
    <row r="1025" spans="16:19" x14ac:dyDescent="0.3">
      <c r="P1025" s="245"/>
      <c r="Q1025" s="246"/>
      <c r="R1025" s="245"/>
      <c r="S1025" s="245"/>
    </row>
    <row r="1026" spans="16:19" x14ac:dyDescent="0.3">
      <c r="P1026" s="245"/>
      <c r="Q1026" s="246"/>
      <c r="R1026" s="245"/>
      <c r="S1026" s="245"/>
    </row>
    <row r="1027" spans="16:19" x14ac:dyDescent="0.3">
      <c r="P1027" s="245"/>
      <c r="Q1027" s="246"/>
      <c r="R1027" s="245"/>
      <c r="S1027" s="245"/>
    </row>
    <row r="1028" spans="16:19" x14ac:dyDescent="0.3">
      <c r="P1028" s="245"/>
      <c r="Q1028" s="246"/>
      <c r="R1028" s="245"/>
      <c r="S1028" s="245"/>
    </row>
    <row r="1029" spans="16:19" x14ac:dyDescent="0.3">
      <c r="P1029" s="245"/>
      <c r="Q1029" s="246"/>
      <c r="R1029" s="245"/>
      <c r="S1029" s="245"/>
    </row>
    <row r="1030" spans="16:19" x14ac:dyDescent="0.3">
      <c r="P1030" s="245"/>
      <c r="Q1030" s="246"/>
      <c r="R1030" s="245"/>
      <c r="S1030" s="245"/>
    </row>
    <row r="1031" spans="16:19" x14ac:dyDescent="0.3">
      <c r="P1031" s="245"/>
      <c r="Q1031" s="246"/>
      <c r="R1031" s="245"/>
      <c r="S1031" s="245"/>
    </row>
    <row r="1032" spans="16:19" x14ac:dyDescent="0.3">
      <c r="P1032" s="245"/>
      <c r="Q1032" s="246"/>
      <c r="R1032" s="245"/>
      <c r="S1032" s="245"/>
    </row>
    <row r="1033" spans="16:19" x14ac:dyDescent="0.3">
      <c r="P1033" s="245"/>
      <c r="Q1033" s="246"/>
      <c r="R1033" s="245"/>
      <c r="S1033" s="245"/>
    </row>
    <row r="1034" spans="16:19" x14ac:dyDescent="0.3">
      <c r="P1034" s="245"/>
      <c r="Q1034" s="246"/>
      <c r="R1034" s="245"/>
      <c r="S1034" s="245"/>
    </row>
    <row r="1035" spans="16:19" x14ac:dyDescent="0.3">
      <c r="P1035" s="245"/>
      <c r="Q1035" s="246"/>
      <c r="R1035" s="245"/>
      <c r="S1035" s="245"/>
    </row>
    <row r="1036" spans="16:19" x14ac:dyDescent="0.3">
      <c r="P1036" s="245"/>
      <c r="Q1036" s="246"/>
      <c r="R1036" s="245"/>
      <c r="S1036" s="245"/>
    </row>
    <row r="1037" spans="16:19" x14ac:dyDescent="0.3">
      <c r="P1037" s="245"/>
      <c r="Q1037" s="246"/>
      <c r="R1037" s="245"/>
      <c r="S1037" s="245"/>
    </row>
    <row r="1038" spans="16:19" x14ac:dyDescent="0.3">
      <c r="P1038" s="245"/>
      <c r="Q1038" s="246"/>
      <c r="R1038" s="245"/>
      <c r="S1038" s="245"/>
    </row>
    <row r="1039" spans="16:19" x14ac:dyDescent="0.3">
      <c r="P1039" s="245"/>
      <c r="Q1039" s="246"/>
      <c r="R1039" s="245"/>
      <c r="S1039" s="245"/>
    </row>
    <row r="1040" spans="16:19" x14ac:dyDescent="0.3">
      <c r="P1040" s="245"/>
      <c r="Q1040" s="246"/>
      <c r="R1040" s="245"/>
      <c r="S1040" s="245"/>
    </row>
    <row r="1041" spans="16:19" x14ac:dyDescent="0.3">
      <c r="P1041" s="245"/>
      <c r="Q1041" s="246"/>
      <c r="R1041" s="245"/>
      <c r="S1041" s="245"/>
    </row>
    <row r="1042" spans="16:19" x14ac:dyDescent="0.3">
      <c r="P1042" s="245"/>
      <c r="Q1042" s="246"/>
      <c r="R1042" s="245"/>
      <c r="S1042" s="245"/>
    </row>
    <row r="1043" spans="16:19" x14ac:dyDescent="0.3">
      <c r="P1043" s="245"/>
      <c r="Q1043" s="246"/>
      <c r="R1043" s="245"/>
      <c r="S1043" s="245"/>
    </row>
    <row r="1044" spans="16:19" x14ac:dyDescent="0.3">
      <c r="P1044" s="245"/>
      <c r="Q1044" s="246"/>
      <c r="R1044" s="245"/>
      <c r="S1044" s="245"/>
    </row>
    <row r="1045" spans="16:19" x14ac:dyDescent="0.3">
      <c r="P1045" s="245"/>
      <c r="Q1045" s="246"/>
      <c r="R1045" s="245"/>
      <c r="S1045" s="245"/>
    </row>
    <row r="1046" spans="16:19" x14ac:dyDescent="0.3">
      <c r="P1046" s="245"/>
      <c r="Q1046" s="246"/>
      <c r="R1046" s="245"/>
      <c r="S1046" s="245"/>
    </row>
    <row r="1047" spans="16:19" x14ac:dyDescent="0.3">
      <c r="P1047" s="245"/>
      <c r="Q1047" s="246"/>
      <c r="R1047" s="245"/>
      <c r="S1047" s="245"/>
    </row>
    <row r="1048" spans="16:19" x14ac:dyDescent="0.3">
      <c r="P1048" s="245"/>
      <c r="Q1048" s="246"/>
      <c r="R1048" s="245"/>
      <c r="S1048" s="245"/>
    </row>
    <row r="1049" spans="16:19" x14ac:dyDescent="0.3">
      <c r="P1049" s="245"/>
      <c r="Q1049" s="246"/>
      <c r="R1049" s="245"/>
      <c r="S1049" s="245"/>
    </row>
    <row r="1050" spans="16:19" x14ac:dyDescent="0.3">
      <c r="P1050" s="245"/>
      <c r="Q1050" s="246"/>
      <c r="R1050" s="245"/>
      <c r="S1050" s="245"/>
    </row>
    <row r="1051" spans="16:19" x14ac:dyDescent="0.3">
      <c r="P1051" s="245"/>
      <c r="Q1051" s="246"/>
      <c r="R1051" s="245"/>
      <c r="S1051" s="245"/>
    </row>
    <row r="1052" spans="16:19" x14ac:dyDescent="0.3">
      <c r="P1052" s="245"/>
      <c r="Q1052" s="246"/>
      <c r="R1052" s="245"/>
      <c r="S1052" s="245"/>
    </row>
    <row r="1053" spans="16:19" x14ac:dyDescent="0.3">
      <c r="P1053" s="245"/>
      <c r="Q1053" s="246"/>
      <c r="R1053" s="245"/>
      <c r="S1053" s="245"/>
    </row>
    <row r="1054" spans="16:19" x14ac:dyDescent="0.3">
      <c r="P1054" s="245"/>
      <c r="Q1054" s="246"/>
      <c r="R1054" s="245"/>
      <c r="S1054" s="245"/>
    </row>
    <row r="1055" spans="16:19" x14ac:dyDescent="0.3">
      <c r="P1055" s="245"/>
      <c r="Q1055" s="246"/>
      <c r="R1055" s="245"/>
      <c r="S1055" s="245"/>
    </row>
    <row r="1056" spans="16:19" x14ac:dyDescent="0.3">
      <c r="P1056" s="245"/>
      <c r="Q1056" s="246"/>
      <c r="R1056" s="245"/>
      <c r="S1056" s="245"/>
    </row>
    <row r="1057" spans="16:19" x14ac:dyDescent="0.3">
      <c r="P1057" s="245"/>
      <c r="Q1057" s="246"/>
      <c r="R1057" s="245"/>
      <c r="S1057" s="245"/>
    </row>
    <row r="1058" spans="16:19" x14ac:dyDescent="0.3">
      <c r="P1058" s="245"/>
      <c r="Q1058" s="246"/>
      <c r="R1058" s="245"/>
      <c r="S1058" s="245"/>
    </row>
    <row r="1059" spans="16:19" x14ac:dyDescent="0.3">
      <c r="P1059" s="245"/>
      <c r="Q1059" s="246"/>
      <c r="R1059" s="245"/>
      <c r="S1059" s="245"/>
    </row>
    <row r="1060" spans="16:19" x14ac:dyDescent="0.3">
      <c r="P1060" s="245"/>
      <c r="Q1060" s="246"/>
      <c r="R1060" s="245"/>
      <c r="S1060" s="245"/>
    </row>
    <row r="1061" spans="16:19" x14ac:dyDescent="0.3">
      <c r="P1061" s="245"/>
      <c r="Q1061" s="246"/>
      <c r="R1061" s="245"/>
      <c r="S1061" s="245"/>
    </row>
    <row r="1062" spans="16:19" x14ac:dyDescent="0.3">
      <c r="P1062" s="245"/>
      <c r="Q1062" s="246"/>
      <c r="R1062" s="245"/>
      <c r="S1062" s="245"/>
    </row>
    <row r="1063" spans="16:19" x14ac:dyDescent="0.3">
      <c r="P1063" s="245"/>
      <c r="Q1063" s="246"/>
      <c r="R1063" s="245"/>
      <c r="S1063" s="245"/>
    </row>
    <row r="1064" spans="16:19" x14ac:dyDescent="0.3">
      <c r="P1064" s="245"/>
      <c r="Q1064" s="246"/>
      <c r="R1064" s="245"/>
      <c r="S1064" s="245"/>
    </row>
    <row r="1065" spans="16:19" x14ac:dyDescent="0.3">
      <c r="P1065" s="245"/>
      <c r="Q1065" s="246"/>
      <c r="R1065" s="245"/>
      <c r="S1065" s="245"/>
    </row>
    <row r="1066" spans="16:19" x14ac:dyDescent="0.3">
      <c r="P1066" s="245"/>
      <c r="Q1066" s="246"/>
      <c r="R1066" s="245"/>
      <c r="S1066" s="245"/>
    </row>
    <row r="1067" spans="16:19" x14ac:dyDescent="0.3">
      <c r="P1067" s="245"/>
      <c r="Q1067" s="247"/>
      <c r="R1067" s="245"/>
      <c r="S1067" s="245"/>
    </row>
    <row r="1068" spans="16:19" x14ac:dyDescent="0.3">
      <c r="P1068" s="245"/>
      <c r="Q1068" s="247"/>
      <c r="R1068" s="245"/>
      <c r="S1068" s="245"/>
    </row>
    <row r="1069" spans="16:19" x14ac:dyDescent="0.3">
      <c r="P1069" s="245"/>
      <c r="Q1069" s="247"/>
      <c r="R1069" s="245"/>
      <c r="S1069" s="245"/>
    </row>
    <row r="1070" spans="16:19" x14ac:dyDescent="0.3">
      <c r="P1070" s="245"/>
      <c r="Q1070" s="247"/>
      <c r="R1070" s="245"/>
      <c r="S1070" s="245"/>
    </row>
    <row r="1071" spans="16:19" x14ac:dyDescent="0.3">
      <c r="P1071" s="245"/>
      <c r="Q1071" s="247"/>
      <c r="R1071" s="245"/>
      <c r="S1071" s="245"/>
    </row>
    <row r="1072" spans="16:19" x14ac:dyDescent="0.3">
      <c r="P1072" s="245"/>
      <c r="Q1072" s="247"/>
      <c r="R1072" s="245"/>
      <c r="S1072" s="245"/>
    </row>
    <row r="1073" spans="16:19" x14ac:dyDescent="0.3">
      <c r="P1073" s="245"/>
      <c r="Q1073" s="247"/>
      <c r="R1073" s="245"/>
      <c r="S1073" s="245"/>
    </row>
    <row r="1074" spans="16:19" x14ac:dyDescent="0.3">
      <c r="P1074" s="245"/>
      <c r="Q1074" s="247"/>
      <c r="R1074" s="245"/>
      <c r="S1074" s="245"/>
    </row>
    <row r="1075" spans="16:19" x14ac:dyDescent="0.3">
      <c r="P1075" s="245"/>
      <c r="Q1075" s="247"/>
      <c r="R1075" s="245"/>
      <c r="S1075" s="245"/>
    </row>
    <row r="1076" spans="16:19" x14ac:dyDescent="0.3">
      <c r="P1076" s="245"/>
      <c r="Q1076" s="247"/>
      <c r="R1076" s="245"/>
      <c r="S1076" s="245"/>
    </row>
    <row r="1077" spans="16:19" x14ac:dyDescent="0.3">
      <c r="P1077" s="245"/>
      <c r="Q1077" s="247"/>
      <c r="R1077" s="245"/>
      <c r="S1077" s="245"/>
    </row>
    <row r="1078" spans="16:19" x14ac:dyDescent="0.3">
      <c r="P1078" s="245"/>
      <c r="Q1078" s="247"/>
      <c r="R1078" s="245"/>
      <c r="S1078" s="245"/>
    </row>
    <row r="1079" spans="16:19" x14ac:dyDescent="0.3">
      <c r="P1079" s="245"/>
      <c r="Q1079" s="247"/>
      <c r="R1079" s="245"/>
      <c r="S1079" s="245"/>
    </row>
    <row r="1080" spans="16:19" x14ac:dyDescent="0.3">
      <c r="P1080" s="245"/>
      <c r="Q1080" s="247"/>
      <c r="R1080" s="245"/>
      <c r="S1080" s="245"/>
    </row>
    <row r="1081" spans="16:19" x14ac:dyDescent="0.3">
      <c r="P1081" s="245"/>
      <c r="Q1081" s="247"/>
      <c r="R1081" s="245"/>
      <c r="S1081" s="245"/>
    </row>
    <row r="1082" spans="16:19" x14ac:dyDescent="0.3">
      <c r="P1082" s="245"/>
      <c r="Q1082" s="247"/>
      <c r="R1082" s="245"/>
      <c r="S1082" s="245"/>
    </row>
    <row r="1083" spans="16:19" x14ac:dyDescent="0.3">
      <c r="P1083" s="245"/>
      <c r="Q1083" s="247"/>
      <c r="R1083" s="245"/>
      <c r="S1083" s="245"/>
    </row>
    <row r="1084" spans="16:19" x14ac:dyDescent="0.3">
      <c r="P1084" s="245"/>
      <c r="Q1084" s="247"/>
      <c r="R1084" s="245"/>
      <c r="S1084" s="245"/>
    </row>
    <row r="1085" spans="16:19" x14ac:dyDescent="0.3">
      <c r="P1085" s="245"/>
      <c r="Q1085" s="247"/>
      <c r="R1085" s="245"/>
      <c r="S1085" s="245"/>
    </row>
    <row r="1086" spans="16:19" x14ac:dyDescent="0.3">
      <c r="P1086" s="245"/>
      <c r="Q1086" s="247"/>
      <c r="R1086" s="245"/>
      <c r="S1086" s="245"/>
    </row>
    <row r="1087" spans="16:19" x14ac:dyDescent="0.3">
      <c r="P1087" s="245"/>
      <c r="Q1087" s="247"/>
      <c r="R1087" s="245"/>
      <c r="S1087" s="245"/>
    </row>
    <row r="1088" spans="16:19" x14ac:dyDescent="0.3">
      <c r="P1088" s="245"/>
      <c r="Q1088" s="247"/>
      <c r="R1088" s="245"/>
      <c r="S1088" s="245"/>
    </row>
    <row r="1089" spans="16:19" x14ac:dyDescent="0.3">
      <c r="P1089" s="245"/>
      <c r="Q1089" s="247"/>
      <c r="R1089" s="245"/>
      <c r="S1089" s="245"/>
    </row>
    <row r="1090" spans="16:19" x14ac:dyDescent="0.3">
      <c r="P1090" s="245"/>
      <c r="Q1090" s="247"/>
      <c r="R1090" s="245"/>
      <c r="S1090" s="245"/>
    </row>
    <row r="1091" spans="16:19" x14ac:dyDescent="0.3">
      <c r="P1091" s="245"/>
      <c r="Q1091" s="247"/>
      <c r="R1091" s="245"/>
      <c r="S1091" s="245"/>
    </row>
  </sheetData>
  <sortState ref="Q2:R1066">
    <sortCondition ref="Q1"/>
  </sortState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"/>
  <dimension ref="A1:BN106"/>
  <sheetViews>
    <sheetView tabSelected="1" view="pageBreakPreview" topLeftCell="B1" zoomScale="60" zoomScaleNormal="60" workbookViewId="0">
      <pane xSplit="2" ySplit="12" topLeftCell="D13" activePane="bottomRight" state="frozen"/>
      <selection activeCell="E25" sqref="E25"/>
      <selection pane="topRight" activeCell="E25" sqref="E25"/>
      <selection pane="bottomLeft" activeCell="E25" sqref="E25"/>
      <selection pane="bottomRight" activeCell="D2" sqref="D2:M4"/>
    </sheetView>
  </sheetViews>
  <sheetFormatPr defaultRowHeight="14.4" outlineLevelCol="1" x14ac:dyDescent="0.3"/>
  <cols>
    <col min="1" max="1" width="15.33203125" hidden="1" customWidth="1"/>
    <col min="2" max="2" width="5" customWidth="1"/>
    <col min="3" max="3" width="31.6640625" customWidth="1"/>
    <col min="4" max="4" width="22" customWidth="1"/>
    <col min="5" max="5" width="17" customWidth="1"/>
    <col min="6" max="7" width="20.88671875" customWidth="1" outlineLevel="1"/>
    <col min="8" max="10" width="18.6640625" customWidth="1"/>
    <col min="11" max="12" width="19.44140625" customWidth="1"/>
    <col min="13" max="13" width="12" customWidth="1"/>
    <col min="14" max="16" width="18.6640625" customWidth="1"/>
    <col min="17" max="19" width="18.6640625" customWidth="1" outlineLevel="1"/>
    <col min="20" max="26" width="17.44140625" style="227" customWidth="1"/>
    <col min="27" max="27" width="17.44140625" style="158" customWidth="1"/>
    <col min="28" max="66" width="9.109375" style="158"/>
  </cols>
  <sheetData>
    <row r="1" spans="1:66" ht="15.6" x14ac:dyDescent="0.3">
      <c r="C1" s="1"/>
    </row>
    <row r="2" spans="1:66" x14ac:dyDescent="0.3">
      <c r="D2" s="330" t="s">
        <v>326</v>
      </c>
      <c r="E2" s="319"/>
      <c r="F2" s="319"/>
      <c r="G2" s="319"/>
      <c r="H2" s="319"/>
      <c r="I2" s="319"/>
      <c r="J2" s="319"/>
      <c r="K2" s="319"/>
      <c r="L2" s="319"/>
      <c r="M2" s="319"/>
    </row>
    <row r="3" spans="1:66" ht="21" customHeight="1" x14ac:dyDescent="0.35">
      <c r="B3" s="2"/>
      <c r="C3" s="2"/>
      <c r="D3" s="319"/>
      <c r="E3" s="319"/>
      <c r="F3" s="319"/>
      <c r="G3" s="319"/>
      <c r="H3" s="319"/>
      <c r="I3" s="319"/>
      <c r="J3" s="319"/>
      <c r="K3" s="319"/>
      <c r="L3" s="319"/>
      <c r="M3" s="319"/>
      <c r="N3" s="38"/>
      <c r="O3" s="38"/>
      <c r="P3" s="38"/>
      <c r="Q3" s="38"/>
      <c r="T3" s="234"/>
      <c r="U3" s="234"/>
      <c r="V3" s="234"/>
      <c r="W3" s="234"/>
      <c r="X3" s="234"/>
      <c r="Y3" s="234"/>
      <c r="Z3" s="234"/>
    </row>
    <row r="4" spans="1:66" ht="24" customHeight="1" x14ac:dyDescent="0.35">
      <c r="B4" s="2"/>
      <c r="C4" s="2"/>
      <c r="D4" s="319"/>
      <c r="E4" s="319"/>
      <c r="F4" s="319"/>
      <c r="G4" s="319"/>
      <c r="H4" s="319"/>
      <c r="I4" s="319"/>
      <c r="J4" s="319"/>
      <c r="K4" s="319"/>
      <c r="L4" s="319"/>
      <c r="M4" s="319"/>
      <c r="N4" s="38"/>
      <c r="O4" s="38"/>
      <c r="P4" s="38"/>
      <c r="Q4" s="38"/>
      <c r="T4" s="229"/>
      <c r="U4" s="228"/>
      <c r="V4" s="229"/>
      <c r="W4" s="228"/>
      <c r="X4" s="229"/>
      <c r="Y4" s="228"/>
      <c r="Z4" s="229"/>
    </row>
    <row r="5" spans="1:66" ht="27" customHeight="1" x14ac:dyDescent="0.35">
      <c r="B5" s="2"/>
      <c r="C5" s="2"/>
      <c r="E5" s="322" t="s">
        <v>1231</v>
      </c>
      <c r="F5" s="322"/>
      <c r="G5" s="97"/>
      <c r="H5" s="42"/>
      <c r="I5" s="43"/>
      <c r="J5" s="43"/>
      <c r="T5" s="230"/>
      <c r="U5" s="230"/>
      <c r="V5" s="230"/>
      <c r="W5" s="230"/>
      <c r="X5" s="230"/>
      <c r="Y5" s="230"/>
      <c r="Z5" s="230"/>
    </row>
    <row r="6" spans="1:66" ht="15" customHeight="1" x14ac:dyDescent="0.3">
      <c r="C6" s="44" t="s">
        <v>1229</v>
      </c>
      <c r="D6" s="76"/>
      <c r="R6" s="76"/>
      <c r="S6" s="76"/>
      <c r="T6" s="231"/>
      <c r="U6" s="231"/>
      <c r="V6" s="231"/>
      <c r="W6" s="231"/>
      <c r="X6" s="231"/>
      <c r="Y6" s="231"/>
      <c r="Z6" s="231"/>
    </row>
    <row r="7" spans="1:66" ht="5.25" customHeight="1" x14ac:dyDescent="0.3">
      <c r="A7" s="223"/>
      <c r="B7" s="326" t="s">
        <v>284</v>
      </c>
      <c r="C7" s="326" t="s">
        <v>285</v>
      </c>
      <c r="D7" s="327" t="s">
        <v>327</v>
      </c>
      <c r="E7" s="327"/>
      <c r="F7" s="327"/>
      <c r="G7" s="327"/>
      <c r="H7" s="327"/>
      <c r="I7" s="327"/>
      <c r="J7" s="327"/>
      <c r="K7" s="327"/>
      <c r="L7" s="327"/>
      <c r="M7" s="327"/>
      <c r="N7" s="327"/>
      <c r="O7" s="327"/>
      <c r="P7" s="327"/>
      <c r="Q7" s="327"/>
      <c r="R7" s="327"/>
      <c r="S7" s="327"/>
      <c r="T7" s="235"/>
      <c r="U7" s="236"/>
      <c r="V7" s="235"/>
      <c r="W7" s="236"/>
      <c r="X7" s="235"/>
      <c r="Y7" s="236"/>
      <c r="Z7" s="235"/>
    </row>
    <row r="8" spans="1:66" ht="18.75" customHeight="1" thickBot="1" x14ac:dyDescent="0.35">
      <c r="A8" s="224"/>
      <c r="B8" s="326"/>
      <c r="C8" s="326"/>
      <c r="D8" s="328"/>
      <c r="E8" s="328"/>
      <c r="F8" s="328"/>
      <c r="G8" s="328"/>
      <c r="H8" s="328"/>
      <c r="I8" s="328"/>
      <c r="J8" s="328"/>
      <c r="K8" s="328"/>
      <c r="L8" s="328"/>
      <c r="M8" s="328"/>
      <c r="N8" s="328"/>
      <c r="O8" s="328"/>
      <c r="P8" s="328"/>
      <c r="Q8" s="328"/>
      <c r="R8" s="328"/>
      <c r="S8" s="328"/>
      <c r="T8" s="235"/>
      <c r="U8" s="236"/>
      <c r="V8" s="235"/>
      <c r="W8" s="236"/>
      <c r="X8" s="235"/>
      <c r="Y8" s="236"/>
      <c r="Z8" s="235"/>
    </row>
    <row r="9" spans="1:66" ht="31.5" customHeight="1" x14ac:dyDescent="0.3">
      <c r="A9" s="224"/>
      <c r="B9" s="326"/>
      <c r="C9" s="326"/>
      <c r="D9" s="301" t="s">
        <v>1052</v>
      </c>
      <c r="E9" s="316" t="s">
        <v>1053</v>
      </c>
      <c r="F9" s="316" t="s">
        <v>287</v>
      </c>
      <c r="G9" s="316"/>
      <c r="H9" s="316"/>
      <c r="I9" s="316" t="s">
        <v>312</v>
      </c>
      <c r="J9" s="316" t="s">
        <v>262</v>
      </c>
      <c r="K9" s="316" t="s">
        <v>288</v>
      </c>
      <c r="L9" s="316"/>
      <c r="M9" s="316"/>
      <c r="N9" s="316"/>
      <c r="O9" s="331" t="s">
        <v>289</v>
      </c>
      <c r="P9" s="331"/>
      <c r="Q9" s="316" t="s">
        <v>290</v>
      </c>
      <c r="R9" s="316" t="s">
        <v>266</v>
      </c>
      <c r="S9" s="316" t="s">
        <v>291</v>
      </c>
      <c r="T9" s="235"/>
      <c r="U9" s="236"/>
      <c r="V9" s="235"/>
      <c r="W9" s="236"/>
      <c r="X9" s="235"/>
      <c r="Y9" s="236"/>
      <c r="Z9" s="235"/>
    </row>
    <row r="10" spans="1:66" ht="24" customHeight="1" x14ac:dyDescent="0.3">
      <c r="A10" s="224"/>
      <c r="B10" s="326"/>
      <c r="C10" s="326"/>
      <c r="D10" s="265"/>
      <c r="E10" s="269"/>
      <c r="F10" s="269" t="s">
        <v>292</v>
      </c>
      <c r="G10" s="269" t="s">
        <v>293</v>
      </c>
      <c r="H10" s="269"/>
      <c r="I10" s="269"/>
      <c r="J10" s="269"/>
      <c r="K10" s="269" t="s">
        <v>292</v>
      </c>
      <c r="L10" s="269" t="s">
        <v>294</v>
      </c>
      <c r="M10" s="269"/>
      <c r="N10" s="269"/>
      <c r="O10" s="318"/>
      <c r="P10" s="318"/>
      <c r="Q10" s="269"/>
      <c r="R10" s="269"/>
      <c r="S10" s="269"/>
      <c r="T10" s="235"/>
      <c r="U10" s="236"/>
      <c r="V10" s="235"/>
      <c r="W10" s="236"/>
      <c r="X10" s="235"/>
      <c r="Y10" s="236"/>
      <c r="Z10" s="235"/>
    </row>
    <row r="11" spans="1:66" ht="103.5" customHeight="1" x14ac:dyDescent="0.3">
      <c r="A11" s="224"/>
      <c r="B11" s="326"/>
      <c r="C11" s="326"/>
      <c r="D11" s="302"/>
      <c r="E11" s="269"/>
      <c r="F11" s="269"/>
      <c r="G11" s="98" t="s">
        <v>259</v>
      </c>
      <c r="H11" s="98" t="s">
        <v>260</v>
      </c>
      <c r="I11" s="269"/>
      <c r="J11" s="269"/>
      <c r="K11" s="269"/>
      <c r="L11" s="98" t="s">
        <v>264</v>
      </c>
      <c r="M11" s="98" t="s">
        <v>303</v>
      </c>
      <c r="N11" s="98" t="s">
        <v>260</v>
      </c>
      <c r="O11" s="98" t="s">
        <v>911</v>
      </c>
      <c r="P11" s="98" t="s">
        <v>295</v>
      </c>
      <c r="Q11" s="269"/>
      <c r="R11" s="269"/>
      <c r="S11" s="269"/>
      <c r="T11" s="235"/>
      <c r="U11" s="236"/>
      <c r="V11" s="235"/>
      <c r="W11" s="236"/>
      <c r="X11" s="235"/>
      <c r="Y11" s="236"/>
      <c r="Z11" s="235"/>
    </row>
    <row r="12" spans="1:66" s="54" customFormat="1" ht="31.2" x14ac:dyDescent="0.3">
      <c r="A12" s="198" t="s">
        <v>1</v>
      </c>
      <c r="B12" s="199" t="s">
        <v>2</v>
      </c>
      <c r="C12" s="200" t="s">
        <v>3</v>
      </c>
      <c r="D12" s="53">
        <v>128168.10770000002</v>
      </c>
      <c r="E12" s="53">
        <v>0</v>
      </c>
      <c r="F12" s="53">
        <v>154015.04353532998</v>
      </c>
      <c r="G12" s="53">
        <v>128162.42830000003</v>
      </c>
      <c r="H12" s="53">
        <v>25852.615235329999</v>
      </c>
      <c r="I12" s="53">
        <v>126951.86354264998</v>
      </c>
      <c r="J12" s="53">
        <v>1997.7775435400001</v>
      </c>
      <c r="K12" s="53">
        <v>152328.02296613442</v>
      </c>
      <c r="L12" s="53">
        <v>126916.30899152</v>
      </c>
      <c r="M12" s="53">
        <v>0</v>
      </c>
      <c r="N12" s="53">
        <v>25411.713974614449</v>
      </c>
      <c r="O12" s="53">
        <v>99.024976185657565</v>
      </c>
      <c r="P12" s="53">
        <v>98.294558377548526</v>
      </c>
      <c r="Q12" s="53">
        <v>16.682231857144224</v>
      </c>
      <c r="R12" s="53">
        <v>1964.73288637</v>
      </c>
      <c r="S12" s="53">
        <v>68.599208299999745</v>
      </c>
      <c r="T12" s="233"/>
      <c r="U12" s="232"/>
      <c r="V12" s="233"/>
      <c r="W12" s="232"/>
      <c r="X12" s="233"/>
      <c r="Y12" s="232"/>
      <c r="Z12" s="233"/>
      <c r="AA12" s="158"/>
      <c r="AB12" s="158"/>
      <c r="AC12" s="158"/>
      <c r="AD12" s="158"/>
      <c r="AE12" s="158"/>
      <c r="AF12" s="158"/>
      <c r="AG12" s="158"/>
      <c r="AH12" s="158"/>
      <c r="AI12" s="158"/>
      <c r="AJ12" s="158"/>
      <c r="AK12" s="158"/>
      <c r="AL12" s="158"/>
      <c r="AM12" s="158"/>
      <c r="AN12" s="158"/>
      <c r="AO12" s="158"/>
      <c r="AP12" s="158"/>
      <c r="AQ12" s="158"/>
      <c r="AR12" s="158"/>
      <c r="AS12" s="158"/>
      <c r="AT12" s="158"/>
      <c r="AU12" s="158"/>
      <c r="AV12" s="158"/>
      <c r="AW12" s="158"/>
      <c r="AX12" s="158"/>
      <c r="AY12" s="158"/>
      <c r="AZ12" s="158"/>
      <c r="BA12" s="158"/>
      <c r="BB12" s="158"/>
      <c r="BC12" s="158"/>
      <c r="BD12" s="158"/>
      <c r="BE12" s="158"/>
      <c r="BF12" s="158"/>
      <c r="BG12" s="158"/>
      <c r="BH12" s="158"/>
      <c r="BI12" s="158"/>
      <c r="BJ12" s="158"/>
      <c r="BK12" s="158"/>
      <c r="BL12" s="158"/>
      <c r="BM12" s="158"/>
      <c r="BN12" s="158"/>
    </row>
    <row r="13" spans="1:66" s="54" customFormat="1" ht="15.6" hidden="1" x14ac:dyDescent="0.3">
      <c r="A13" s="198"/>
      <c r="B13" s="199"/>
      <c r="C13" s="55" t="s">
        <v>296</v>
      </c>
      <c r="D13" s="80"/>
      <c r="E13" s="53"/>
      <c r="F13" s="53"/>
      <c r="G13" s="8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233"/>
      <c r="U13" s="232"/>
      <c r="V13" s="233"/>
      <c r="W13" s="232"/>
      <c r="X13" s="233"/>
      <c r="Y13" s="232"/>
      <c r="Z13" s="233"/>
      <c r="AA13" s="158"/>
      <c r="AB13" s="158"/>
      <c r="AC13" s="158"/>
      <c r="AD13" s="158"/>
      <c r="AE13" s="158"/>
      <c r="AF13" s="158"/>
      <c r="AG13" s="158"/>
      <c r="AH13" s="158"/>
      <c r="AI13" s="158"/>
      <c r="AJ13" s="158"/>
      <c r="AK13" s="158"/>
      <c r="AL13" s="158"/>
      <c r="AM13" s="158"/>
      <c r="AN13" s="158"/>
      <c r="AO13" s="158"/>
      <c r="AP13" s="158"/>
      <c r="AQ13" s="158"/>
      <c r="AR13" s="158"/>
      <c r="AS13" s="158"/>
      <c r="AT13" s="158"/>
      <c r="AU13" s="158"/>
      <c r="AV13" s="158"/>
      <c r="AW13" s="158"/>
      <c r="AX13" s="158"/>
      <c r="AY13" s="158"/>
      <c r="AZ13" s="158"/>
      <c r="BA13" s="158"/>
      <c r="BB13" s="158"/>
      <c r="BC13" s="158"/>
      <c r="BD13" s="158"/>
      <c r="BE13" s="158"/>
      <c r="BF13" s="158"/>
      <c r="BG13" s="158"/>
      <c r="BH13" s="158"/>
      <c r="BI13" s="158"/>
      <c r="BJ13" s="158"/>
      <c r="BK13" s="158"/>
      <c r="BL13" s="158"/>
      <c r="BM13" s="158"/>
      <c r="BN13" s="158"/>
    </row>
    <row r="14" spans="1:66" s="62" customFormat="1" ht="15.6" x14ac:dyDescent="0.3">
      <c r="A14" s="201" t="s">
        <v>5</v>
      </c>
      <c r="B14" s="202" t="s">
        <v>6</v>
      </c>
      <c r="C14" s="203" t="s">
        <v>7</v>
      </c>
      <c r="D14" s="61">
        <v>44354.378499999999</v>
      </c>
      <c r="E14" s="61">
        <v>0</v>
      </c>
      <c r="F14" s="61">
        <v>51181.540014619997</v>
      </c>
      <c r="G14" s="61">
        <v>44352.2284</v>
      </c>
      <c r="H14" s="61">
        <v>6829.31161462</v>
      </c>
      <c r="I14" s="61">
        <v>44155.881220269992</v>
      </c>
      <c r="J14" s="61">
        <v>557.25499567000008</v>
      </c>
      <c r="K14" s="61">
        <v>50960.533491600851</v>
      </c>
      <c r="L14" s="61">
        <v>44154.868152399999</v>
      </c>
      <c r="M14" s="61">
        <v>0</v>
      </c>
      <c r="N14" s="61">
        <v>6805.6653392008602</v>
      </c>
      <c r="O14" s="61">
        <v>99.555016163291583</v>
      </c>
      <c r="P14" s="61">
        <v>99.653753163517706</v>
      </c>
      <c r="Q14" s="61">
        <v>13.354776476825048</v>
      </c>
      <c r="R14" s="61">
        <v>557.05923014000007</v>
      </c>
      <c r="S14" s="61">
        <v>1.2088333999997083</v>
      </c>
      <c r="T14" s="233"/>
      <c r="U14" s="232"/>
      <c r="V14" s="233"/>
      <c r="W14" s="232"/>
      <c r="X14" s="233"/>
      <c r="Y14" s="232"/>
      <c r="Z14" s="233"/>
      <c r="AA14" s="158"/>
      <c r="AB14" s="158"/>
      <c r="AC14" s="158"/>
      <c r="AD14" s="158"/>
      <c r="AE14" s="158"/>
      <c r="AF14" s="158"/>
      <c r="AG14" s="158"/>
      <c r="AH14" s="158"/>
      <c r="AI14" s="158"/>
      <c r="AJ14" s="158"/>
      <c r="AK14" s="158"/>
      <c r="AL14" s="158"/>
      <c r="AM14" s="158"/>
      <c r="AN14" s="158"/>
      <c r="AO14" s="158"/>
      <c r="AP14" s="158"/>
      <c r="AQ14" s="158"/>
      <c r="AR14" s="158"/>
      <c r="AS14" s="158"/>
      <c r="AT14" s="158"/>
      <c r="AU14" s="158"/>
      <c r="AV14" s="158"/>
      <c r="AW14" s="158"/>
      <c r="AX14" s="158"/>
      <c r="AY14" s="158"/>
      <c r="AZ14" s="158"/>
      <c r="BA14" s="158"/>
      <c r="BB14" s="158"/>
      <c r="BC14" s="158"/>
      <c r="BD14" s="158"/>
      <c r="BE14" s="158"/>
      <c r="BF14" s="158"/>
      <c r="BG14" s="158"/>
      <c r="BH14" s="158"/>
      <c r="BI14" s="158"/>
      <c r="BJ14" s="158"/>
      <c r="BK14" s="158"/>
      <c r="BL14" s="158"/>
      <c r="BM14" s="158"/>
      <c r="BN14" s="158"/>
    </row>
    <row r="15" spans="1:66" ht="15.6" x14ac:dyDescent="0.3">
      <c r="A15" s="204" t="s">
        <v>8</v>
      </c>
      <c r="B15" s="169" t="s">
        <v>9</v>
      </c>
      <c r="C15" s="205" t="s">
        <v>10</v>
      </c>
      <c r="D15" s="66">
        <v>5033.2961999999998</v>
      </c>
      <c r="E15" s="66">
        <v>0</v>
      </c>
      <c r="F15" s="66">
        <v>5684.5960332200002</v>
      </c>
      <c r="G15" s="66">
        <v>5033.2961999999998</v>
      </c>
      <c r="H15" s="66">
        <v>651.29983321999998</v>
      </c>
      <c r="I15" s="66">
        <v>5033.2961999999998</v>
      </c>
      <c r="J15" s="66">
        <v>1.8066915899999998</v>
      </c>
      <c r="K15" s="66">
        <v>5684.5960332200002</v>
      </c>
      <c r="L15" s="66">
        <v>5033.2961999999998</v>
      </c>
      <c r="M15" s="66">
        <v>0</v>
      </c>
      <c r="N15" s="66">
        <v>651.29983321999998</v>
      </c>
      <c r="O15" s="67">
        <v>100</v>
      </c>
      <c r="P15" s="67">
        <v>100</v>
      </c>
      <c r="Q15" s="67">
        <v>11.457275581481833</v>
      </c>
      <c r="R15" s="66">
        <v>1.8066915899999998</v>
      </c>
      <c r="S15" s="67">
        <v>-9.9475983006414026E-14</v>
      </c>
      <c r="T15" s="233"/>
      <c r="U15" s="232"/>
      <c r="V15" s="233"/>
      <c r="W15" s="232"/>
      <c r="X15" s="233"/>
      <c r="Y15" s="232"/>
      <c r="Z15" s="233"/>
    </row>
    <row r="16" spans="1:66" ht="15.6" x14ac:dyDescent="0.3">
      <c r="A16" s="204" t="s">
        <v>11</v>
      </c>
      <c r="B16" s="169" t="s">
        <v>12</v>
      </c>
      <c r="C16" s="205" t="s">
        <v>13</v>
      </c>
      <c r="D16" s="66">
        <v>10479.326699999998</v>
      </c>
      <c r="E16" s="66">
        <v>0</v>
      </c>
      <c r="F16" s="66">
        <v>10915.5053111</v>
      </c>
      <c r="G16" s="66">
        <v>10479.326699999998</v>
      </c>
      <c r="H16" s="66">
        <v>436.17861110000001</v>
      </c>
      <c r="I16" s="66">
        <v>10478.971138339999</v>
      </c>
      <c r="J16" s="66">
        <v>10.207258040000001</v>
      </c>
      <c r="K16" s="66">
        <v>10915.0918167</v>
      </c>
      <c r="L16" s="66">
        <v>10478.971138339999</v>
      </c>
      <c r="M16" s="66">
        <v>0</v>
      </c>
      <c r="N16" s="66">
        <v>436.12067836</v>
      </c>
      <c r="O16" s="67">
        <v>99.996607018082571</v>
      </c>
      <c r="P16" s="67">
        <v>99.98671811534868</v>
      </c>
      <c r="Q16" s="67">
        <v>3.9955749863023504</v>
      </c>
      <c r="R16" s="66">
        <v>10.207166040000001</v>
      </c>
      <c r="S16" s="67">
        <v>9.1999999941805299E-5</v>
      </c>
      <c r="T16" s="233"/>
      <c r="U16" s="232"/>
      <c r="V16" s="233"/>
      <c r="W16" s="232"/>
      <c r="X16" s="233"/>
      <c r="Y16" s="232"/>
      <c r="Z16" s="233"/>
    </row>
    <row r="17" spans="1:26" ht="15.6" x14ac:dyDescent="0.3">
      <c r="A17" s="204" t="s">
        <v>14</v>
      </c>
      <c r="B17" s="169" t="s">
        <v>15</v>
      </c>
      <c r="C17" s="205" t="s">
        <v>16</v>
      </c>
      <c r="D17" s="66">
        <v>890.13630000000001</v>
      </c>
      <c r="E17" s="66">
        <v>0</v>
      </c>
      <c r="F17" s="66">
        <v>993.59435899999994</v>
      </c>
      <c r="G17" s="66">
        <v>890.13630000000001</v>
      </c>
      <c r="H17" s="66">
        <v>103.45805899999999</v>
      </c>
      <c r="I17" s="66">
        <v>890.13629646000004</v>
      </c>
      <c r="J17" s="66">
        <v>14.423831199999999</v>
      </c>
      <c r="K17" s="66">
        <v>993.59428301999992</v>
      </c>
      <c r="L17" s="66">
        <v>890.13623239000003</v>
      </c>
      <c r="M17" s="66">
        <v>0</v>
      </c>
      <c r="N17" s="66">
        <v>103.45805063</v>
      </c>
      <c r="O17" s="67">
        <v>99.999992404534012</v>
      </c>
      <c r="P17" s="67">
        <v>99.9999919097651</v>
      </c>
      <c r="Q17" s="67">
        <v>10.412504620652847</v>
      </c>
      <c r="R17" s="66">
        <v>14.423831199999999</v>
      </c>
      <c r="S17" s="67">
        <v>6.4070000004079475E-5</v>
      </c>
      <c r="T17" s="233"/>
      <c r="U17" s="232"/>
      <c r="V17" s="233"/>
      <c r="W17" s="232"/>
      <c r="X17" s="233"/>
      <c r="Y17" s="232"/>
      <c r="Z17" s="233"/>
    </row>
    <row r="18" spans="1:26" ht="15.6" x14ac:dyDescent="0.3">
      <c r="A18" s="204" t="s">
        <v>17</v>
      </c>
      <c r="B18" s="169" t="s">
        <v>18</v>
      </c>
      <c r="C18" s="205" t="s">
        <v>19</v>
      </c>
      <c r="D18" s="66">
        <v>6250.2392000000009</v>
      </c>
      <c r="E18" s="66">
        <v>0</v>
      </c>
      <c r="F18" s="66">
        <v>7957.2741127900008</v>
      </c>
      <c r="G18" s="66">
        <v>6250.2392000000009</v>
      </c>
      <c r="H18" s="66">
        <v>1707.0349127899999</v>
      </c>
      <c r="I18" s="66">
        <v>6250.1888542700008</v>
      </c>
      <c r="J18" s="66">
        <v>62.933414999999997</v>
      </c>
      <c r="K18" s="66">
        <v>7957.2102403908602</v>
      </c>
      <c r="L18" s="66">
        <v>6250.1888528800009</v>
      </c>
      <c r="M18" s="66">
        <v>0</v>
      </c>
      <c r="N18" s="66">
        <v>1707.02138751086</v>
      </c>
      <c r="O18" s="67">
        <v>99.999194476908983</v>
      </c>
      <c r="P18" s="67">
        <v>99.999207674134922</v>
      </c>
      <c r="Q18" s="67">
        <v>21.452510816492023</v>
      </c>
      <c r="R18" s="66">
        <v>62.933414999999997</v>
      </c>
      <c r="S18" s="67">
        <v>1.3900002784339449E-6</v>
      </c>
      <c r="T18" s="233"/>
      <c r="U18" s="232"/>
      <c r="V18" s="233"/>
      <c r="W18" s="232"/>
      <c r="X18" s="233"/>
      <c r="Y18" s="232"/>
      <c r="Z18" s="233"/>
    </row>
    <row r="19" spans="1:26" ht="15.6" x14ac:dyDescent="0.3">
      <c r="A19" s="204" t="s">
        <v>20</v>
      </c>
      <c r="B19" s="169" t="s">
        <v>21</v>
      </c>
      <c r="C19" s="205" t="s">
        <v>22</v>
      </c>
      <c r="D19" s="66">
        <v>437.8116</v>
      </c>
      <c r="E19" s="66">
        <v>0</v>
      </c>
      <c r="F19" s="66">
        <v>471.38422928999995</v>
      </c>
      <c r="G19" s="66">
        <v>437.8116</v>
      </c>
      <c r="H19" s="66">
        <v>33.572629289999995</v>
      </c>
      <c r="I19" s="66">
        <v>435.61142966999995</v>
      </c>
      <c r="J19" s="66">
        <v>8.34212943</v>
      </c>
      <c r="K19" s="66">
        <v>469.01110772999994</v>
      </c>
      <c r="L19" s="66">
        <v>435.60459694999997</v>
      </c>
      <c r="M19" s="66">
        <v>0</v>
      </c>
      <c r="N19" s="66">
        <v>33.406510779999991</v>
      </c>
      <c r="O19" s="67">
        <v>99.495901193572749</v>
      </c>
      <c r="P19" s="67">
        <v>99.505196603563348</v>
      </c>
      <c r="Q19" s="67">
        <v>7.1227547129291944</v>
      </c>
      <c r="R19" s="66">
        <v>8.2412334899999991</v>
      </c>
      <c r="S19" s="67">
        <v>0.10772865999997805</v>
      </c>
      <c r="T19" s="233"/>
      <c r="U19" s="232"/>
      <c r="V19" s="233"/>
      <c r="W19" s="232"/>
      <c r="X19" s="233"/>
      <c r="Y19" s="232"/>
      <c r="Z19" s="233"/>
    </row>
    <row r="20" spans="1:26" ht="15.6" x14ac:dyDescent="0.3">
      <c r="A20" s="204" t="s">
        <v>23</v>
      </c>
      <c r="B20" s="169" t="s">
        <v>24</v>
      </c>
      <c r="C20" s="205" t="s">
        <v>25</v>
      </c>
      <c r="D20" s="66">
        <v>1770.1498999999999</v>
      </c>
      <c r="E20" s="66">
        <v>0</v>
      </c>
      <c r="F20" s="66">
        <v>2200.4251296699999</v>
      </c>
      <c r="G20" s="66">
        <v>1770.1498999999999</v>
      </c>
      <c r="H20" s="66">
        <v>430.27522966999993</v>
      </c>
      <c r="I20" s="66">
        <v>1770.1498999799999</v>
      </c>
      <c r="J20" s="66">
        <v>8.8445143599999998</v>
      </c>
      <c r="K20" s="66">
        <v>2200.4251291099999</v>
      </c>
      <c r="L20" s="66">
        <v>1770.1498996099999</v>
      </c>
      <c r="M20" s="66">
        <v>0</v>
      </c>
      <c r="N20" s="66">
        <v>430.27522949999997</v>
      </c>
      <c r="O20" s="67">
        <v>99.999999977967974</v>
      </c>
      <c r="P20" s="67">
        <v>99.999999960490413</v>
      </c>
      <c r="Q20" s="67">
        <v>19.554186316442962</v>
      </c>
      <c r="R20" s="66">
        <v>8.8445143599999998</v>
      </c>
      <c r="S20" s="67">
        <v>3.6999990093988799E-7</v>
      </c>
      <c r="T20" s="233"/>
      <c r="U20" s="232"/>
      <c r="V20" s="233"/>
      <c r="W20" s="232"/>
      <c r="X20" s="233"/>
      <c r="Y20" s="232"/>
      <c r="Z20" s="233"/>
    </row>
    <row r="21" spans="1:26" ht="15.6" x14ac:dyDescent="0.3">
      <c r="A21" s="204" t="s">
        <v>26</v>
      </c>
      <c r="B21" s="169" t="s">
        <v>27</v>
      </c>
      <c r="C21" s="205" t="s">
        <v>28</v>
      </c>
      <c r="D21" s="66">
        <v>354.21139999999997</v>
      </c>
      <c r="E21" s="66">
        <v>0</v>
      </c>
      <c r="F21" s="66">
        <v>426.69921705000002</v>
      </c>
      <c r="G21" s="66">
        <v>354.21139999999997</v>
      </c>
      <c r="H21" s="66">
        <v>72.487817050000004</v>
      </c>
      <c r="I21" s="66">
        <v>349.47656065000001</v>
      </c>
      <c r="J21" s="66">
        <v>1.9555079099999999</v>
      </c>
      <c r="K21" s="66">
        <v>421.69217345000004</v>
      </c>
      <c r="L21" s="66">
        <v>349.47656065000001</v>
      </c>
      <c r="M21" s="66">
        <v>0</v>
      </c>
      <c r="N21" s="66">
        <v>72.215612800000002</v>
      </c>
      <c r="O21" s="67">
        <v>98.663273020010095</v>
      </c>
      <c r="P21" s="67">
        <v>99.624482759892956</v>
      </c>
      <c r="Q21" s="67">
        <v>17.12519637468742</v>
      </c>
      <c r="R21" s="66">
        <v>1.9555079099999999</v>
      </c>
      <c r="S21" s="67">
        <v>-5.5511151231257827E-15</v>
      </c>
      <c r="T21" s="233"/>
      <c r="U21" s="232"/>
      <c r="V21" s="233"/>
      <c r="W21" s="232"/>
      <c r="X21" s="233"/>
      <c r="Y21" s="232"/>
      <c r="Z21" s="233"/>
    </row>
    <row r="22" spans="1:26" ht="15.6" x14ac:dyDescent="0.3">
      <c r="A22" s="204" t="s">
        <v>29</v>
      </c>
      <c r="B22" s="169" t="s">
        <v>30</v>
      </c>
      <c r="C22" s="205" t="s">
        <v>31</v>
      </c>
      <c r="D22" s="66">
        <v>3950.7993999999999</v>
      </c>
      <c r="E22" s="66">
        <v>0</v>
      </c>
      <c r="F22" s="66">
        <v>4107.4468740000002</v>
      </c>
      <c r="G22" s="66">
        <v>3950.7993999999999</v>
      </c>
      <c r="H22" s="66">
        <v>156.64747400000002</v>
      </c>
      <c r="I22" s="66">
        <v>3929.2968722799997</v>
      </c>
      <c r="J22" s="66">
        <v>5.1791475399999998</v>
      </c>
      <c r="K22" s="66">
        <v>4084.1424270499997</v>
      </c>
      <c r="L22" s="66">
        <v>3929.0734708399996</v>
      </c>
      <c r="M22" s="66">
        <v>0</v>
      </c>
      <c r="N22" s="66">
        <v>155.06895621000001</v>
      </c>
      <c r="O22" s="67">
        <v>99.4500877680603</v>
      </c>
      <c r="P22" s="67">
        <v>98.99231200498005</v>
      </c>
      <c r="Q22" s="67">
        <v>3.7968547615516739</v>
      </c>
      <c r="R22" s="66">
        <v>5.1791475399999998</v>
      </c>
      <c r="S22" s="67">
        <v>0.22340144000011986</v>
      </c>
      <c r="T22" s="233"/>
      <c r="U22" s="232"/>
      <c r="V22" s="233"/>
      <c r="W22" s="232"/>
      <c r="X22" s="233"/>
      <c r="Y22" s="232"/>
      <c r="Z22" s="233"/>
    </row>
    <row r="23" spans="1:26" ht="15.6" x14ac:dyDescent="0.3">
      <c r="A23" s="204" t="s">
        <v>32</v>
      </c>
      <c r="B23" s="169" t="s">
        <v>33</v>
      </c>
      <c r="C23" s="205" t="s">
        <v>34</v>
      </c>
      <c r="D23" s="66">
        <v>3156.7024000000001</v>
      </c>
      <c r="E23" s="66">
        <v>0</v>
      </c>
      <c r="F23" s="66">
        <v>3646.5883766900001</v>
      </c>
      <c r="G23" s="66">
        <v>3156.7024000000001</v>
      </c>
      <c r="H23" s="66">
        <v>489.88597669000001</v>
      </c>
      <c r="I23" s="66">
        <v>3155.8775347200003</v>
      </c>
      <c r="J23" s="66">
        <v>41.720335139999996</v>
      </c>
      <c r="K23" s="66">
        <v>3645.69359562</v>
      </c>
      <c r="L23" s="66">
        <v>3155.8775344900005</v>
      </c>
      <c r="M23" s="66">
        <v>0</v>
      </c>
      <c r="N23" s="66">
        <v>489.81606113000004</v>
      </c>
      <c r="O23" s="67">
        <v>99.973869392629496</v>
      </c>
      <c r="P23" s="67">
        <v>99.98572819730984</v>
      </c>
      <c r="Q23" s="67">
        <v>13.43546977503742</v>
      </c>
      <c r="R23" s="66">
        <v>41.720335139999996</v>
      </c>
      <c r="S23" s="67">
        <v>2.299997063914816E-7</v>
      </c>
      <c r="T23" s="233"/>
      <c r="U23" s="232"/>
      <c r="V23" s="233"/>
      <c r="W23" s="232"/>
      <c r="X23" s="233"/>
      <c r="Y23" s="232"/>
      <c r="Z23" s="233"/>
    </row>
    <row r="24" spans="1:26" ht="15.6" x14ac:dyDescent="0.3">
      <c r="A24" s="204" t="s">
        <v>35</v>
      </c>
      <c r="B24" s="169" t="s">
        <v>36</v>
      </c>
      <c r="C24" s="205" t="s">
        <v>37</v>
      </c>
      <c r="D24" s="66">
        <v>1815.9470000000001</v>
      </c>
      <c r="E24" s="66">
        <v>0</v>
      </c>
      <c r="F24" s="66">
        <v>2845.5595282700006</v>
      </c>
      <c r="G24" s="66">
        <v>1815.9470000000001</v>
      </c>
      <c r="H24" s="66">
        <v>1029.61252827</v>
      </c>
      <c r="I24" s="66">
        <v>1771.1418736299997</v>
      </c>
      <c r="J24" s="66">
        <v>208.03117842</v>
      </c>
      <c r="K24" s="66">
        <v>2795.6411383199998</v>
      </c>
      <c r="L24" s="66">
        <v>1770.66532033</v>
      </c>
      <c r="M24" s="66">
        <v>0</v>
      </c>
      <c r="N24" s="66">
        <v>1024.9758179900002</v>
      </c>
      <c r="O24" s="67">
        <v>97.506442662148174</v>
      </c>
      <c r="P24" s="67">
        <v>99.549664543438439</v>
      </c>
      <c r="Q24" s="67">
        <v>36.663354389109635</v>
      </c>
      <c r="R24" s="66">
        <v>207.93740083</v>
      </c>
      <c r="S24" s="67">
        <v>0.57033088999980919</v>
      </c>
      <c r="T24" s="233"/>
      <c r="U24" s="232"/>
      <c r="V24" s="233"/>
      <c r="W24" s="232"/>
      <c r="X24" s="233"/>
      <c r="Y24" s="232"/>
      <c r="Z24" s="233"/>
    </row>
    <row r="25" spans="1:26" ht="15.6" x14ac:dyDescent="0.3">
      <c r="A25" s="204" t="s">
        <v>38</v>
      </c>
      <c r="B25" s="169" t="s">
        <v>39</v>
      </c>
      <c r="C25" s="205" t="s">
        <v>297</v>
      </c>
      <c r="D25" s="66">
        <v>0</v>
      </c>
      <c r="E25" s="66">
        <v>0</v>
      </c>
      <c r="F25" s="66">
        <v>0</v>
      </c>
      <c r="G25" s="66">
        <v>0</v>
      </c>
      <c r="H25" s="66">
        <v>0</v>
      </c>
      <c r="I25" s="66">
        <v>0</v>
      </c>
      <c r="J25" s="66">
        <v>0</v>
      </c>
      <c r="K25" s="66">
        <v>0</v>
      </c>
      <c r="L25" s="66">
        <v>0</v>
      </c>
      <c r="M25" s="66">
        <v>0</v>
      </c>
      <c r="N25" s="66">
        <v>0</v>
      </c>
      <c r="O25" s="67" t="s">
        <v>1230</v>
      </c>
      <c r="P25" s="67" t="s">
        <v>1230</v>
      </c>
      <c r="Q25" s="67">
        <v>0</v>
      </c>
      <c r="R25" s="66">
        <v>0</v>
      </c>
      <c r="S25" s="67">
        <v>0</v>
      </c>
      <c r="T25" s="233"/>
      <c r="U25" s="232"/>
      <c r="V25" s="233"/>
      <c r="W25" s="232"/>
      <c r="X25" s="233"/>
      <c r="Y25" s="232"/>
      <c r="Z25" s="233"/>
    </row>
    <row r="26" spans="1:26" ht="15.6" x14ac:dyDescent="0.3">
      <c r="A26" s="204" t="s">
        <v>40</v>
      </c>
      <c r="B26" s="169" t="s">
        <v>41</v>
      </c>
      <c r="C26" s="205" t="s">
        <v>42</v>
      </c>
      <c r="D26" s="66">
        <v>1735.8870999999999</v>
      </c>
      <c r="E26" s="66">
        <v>0</v>
      </c>
      <c r="F26" s="66">
        <v>1823.7322424199999</v>
      </c>
      <c r="G26" s="66">
        <v>1733.7369999999999</v>
      </c>
      <c r="H26" s="66">
        <v>89.995242419999983</v>
      </c>
      <c r="I26" s="66">
        <v>1732.7565112999998</v>
      </c>
      <c r="J26" s="66">
        <v>8.8814697900000024</v>
      </c>
      <c r="K26" s="66">
        <v>1822.7001490499999</v>
      </c>
      <c r="L26" s="66">
        <v>1732.7565112999998</v>
      </c>
      <c r="M26" s="66">
        <v>0</v>
      </c>
      <c r="N26" s="66">
        <v>89.943637749999994</v>
      </c>
      <c r="O26" s="67">
        <v>99.943446514667443</v>
      </c>
      <c r="P26" s="67">
        <v>99.942658446588595</v>
      </c>
      <c r="Q26" s="67">
        <v>4.9346370985309376</v>
      </c>
      <c r="R26" s="66">
        <v>8.8814697900000024</v>
      </c>
      <c r="S26" s="67">
        <v>-1.9539925233402755E-14</v>
      </c>
      <c r="T26" s="233"/>
      <c r="U26" s="232"/>
      <c r="V26" s="233"/>
      <c r="W26" s="232"/>
      <c r="X26" s="233"/>
      <c r="Y26" s="232"/>
      <c r="Z26" s="233"/>
    </row>
    <row r="27" spans="1:26" ht="15.6" x14ac:dyDescent="0.3">
      <c r="A27" s="204" t="s">
        <v>43</v>
      </c>
      <c r="B27" s="169" t="s">
        <v>44</v>
      </c>
      <c r="C27" s="205" t="s">
        <v>45</v>
      </c>
      <c r="D27" s="66">
        <v>2117.7716999999998</v>
      </c>
      <c r="E27" s="66">
        <v>0</v>
      </c>
      <c r="F27" s="66">
        <v>2491.2160093000002</v>
      </c>
      <c r="G27" s="66">
        <v>2117.7716999999998</v>
      </c>
      <c r="H27" s="66">
        <v>373.44430929999999</v>
      </c>
      <c r="I27" s="66">
        <v>2115.5850778899999</v>
      </c>
      <c r="J27" s="66">
        <v>3.6135988100000001</v>
      </c>
      <c r="K27" s="66">
        <v>2486.18693179</v>
      </c>
      <c r="L27" s="66">
        <v>2115.5850778899999</v>
      </c>
      <c r="M27" s="66">
        <v>0</v>
      </c>
      <c r="N27" s="66">
        <v>370.60185389999992</v>
      </c>
      <c r="O27" s="67">
        <v>99.896748921991929</v>
      </c>
      <c r="P27" s="67">
        <v>99.238854273793038</v>
      </c>
      <c r="Q27" s="67">
        <v>14.906435600688109</v>
      </c>
      <c r="R27" s="66">
        <v>3.6135988100000001</v>
      </c>
      <c r="S27" s="67">
        <v>-1.5099033134902129E-14</v>
      </c>
      <c r="T27" s="233"/>
      <c r="U27" s="232"/>
      <c r="V27" s="233"/>
      <c r="W27" s="232"/>
      <c r="X27" s="233"/>
      <c r="Y27" s="232"/>
      <c r="Z27" s="233"/>
    </row>
    <row r="28" spans="1:26" ht="15.6" x14ac:dyDescent="0.3">
      <c r="A28" s="204" t="s">
        <v>46</v>
      </c>
      <c r="B28" s="169" t="s">
        <v>47</v>
      </c>
      <c r="C28" s="205" t="s">
        <v>48</v>
      </c>
      <c r="D28" s="66">
        <v>602.03980000000001</v>
      </c>
      <c r="E28" s="66">
        <v>0</v>
      </c>
      <c r="F28" s="66">
        <v>699.60486647999994</v>
      </c>
      <c r="G28" s="66">
        <v>602.03980000000001</v>
      </c>
      <c r="H28" s="66">
        <v>97.56506647999997</v>
      </c>
      <c r="I28" s="66">
        <v>586.41423229999998</v>
      </c>
      <c r="J28" s="66">
        <v>17.347049140000003</v>
      </c>
      <c r="K28" s="66">
        <v>681.64444187000004</v>
      </c>
      <c r="L28" s="66">
        <v>586.41423229999998</v>
      </c>
      <c r="M28" s="66">
        <v>0</v>
      </c>
      <c r="N28" s="66">
        <v>95.230209569999985</v>
      </c>
      <c r="O28" s="67">
        <v>97.40456233956624</v>
      </c>
      <c r="P28" s="67">
        <v>97.606872014504688</v>
      </c>
      <c r="Q28" s="67">
        <v>13.970657386825994</v>
      </c>
      <c r="R28" s="66">
        <v>17.347049140000003</v>
      </c>
      <c r="S28" s="67">
        <v>-3.5527136788005009E-14</v>
      </c>
      <c r="T28" s="233"/>
      <c r="U28" s="232"/>
      <c r="V28" s="233"/>
      <c r="W28" s="232"/>
      <c r="X28" s="233"/>
      <c r="Y28" s="232"/>
      <c r="Z28" s="233"/>
    </row>
    <row r="29" spans="1:26" ht="15.6" x14ac:dyDescent="0.3">
      <c r="A29" s="204" t="s">
        <v>49</v>
      </c>
      <c r="B29" s="169" t="s">
        <v>50</v>
      </c>
      <c r="C29" s="205" t="s">
        <v>51</v>
      </c>
      <c r="D29" s="66">
        <v>2770.9180999999999</v>
      </c>
      <c r="E29" s="66">
        <v>0</v>
      </c>
      <c r="F29" s="66">
        <v>3270.9566594999997</v>
      </c>
      <c r="G29" s="66">
        <v>2770.9180999999999</v>
      </c>
      <c r="H29" s="66">
        <v>500.03855950000002</v>
      </c>
      <c r="I29" s="66">
        <v>2770.9180049200004</v>
      </c>
      <c r="J29" s="66">
        <v>154.68698838000003</v>
      </c>
      <c r="K29" s="66">
        <v>3270.9565634700002</v>
      </c>
      <c r="L29" s="66">
        <v>2770.9180049200004</v>
      </c>
      <c r="M29" s="66">
        <v>0</v>
      </c>
      <c r="N29" s="66">
        <v>500.03855855</v>
      </c>
      <c r="O29" s="67">
        <v>99.999996568646338</v>
      </c>
      <c r="P29" s="67">
        <v>99.999999810014657</v>
      </c>
      <c r="Q29" s="67">
        <v>15.287227110699789</v>
      </c>
      <c r="R29" s="66">
        <v>154.68598838000003</v>
      </c>
      <c r="S29" s="67">
        <v>9.9999999997635314E-4</v>
      </c>
      <c r="T29" s="233"/>
      <c r="U29" s="232"/>
      <c r="V29" s="233"/>
      <c r="W29" s="232"/>
      <c r="X29" s="233"/>
      <c r="Y29" s="232"/>
      <c r="Z29" s="233"/>
    </row>
    <row r="30" spans="1:26" ht="15.6" x14ac:dyDescent="0.3">
      <c r="A30" s="204" t="s">
        <v>52</v>
      </c>
      <c r="B30" s="169" t="s">
        <v>53</v>
      </c>
      <c r="C30" s="205" t="s">
        <v>54</v>
      </c>
      <c r="D30" s="66">
        <v>1365.7729000000002</v>
      </c>
      <c r="E30" s="66">
        <v>0</v>
      </c>
      <c r="F30" s="66">
        <v>1514.2458999999999</v>
      </c>
      <c r="G30" s="66">
        <v>1365.7729000000002</v>
      </c>
      <c r="H30" s="66">
        <v>148.47300000000001</v>
      </c>
      <c r="I30" s="66">
        <v>1277.7525171400002</v>
      </c>
      <c r="J30" s="66">
        <v>0.26877734999999997</v>
      </c>
      <c r="K30" s="66">
        <v>1419.1631340199999</v>
      </c>
      <c r="L30" s="66">
        <v>1277.4583728</v>
      </c>
      <c r="M30" s="66">
        <v>0</v>
      </c>
      <c r="N30" s="66">
        <v>141.70476121999999</v>
      </c>
      <c r="O30" s="67">
        <v>93.533732643252748</v>
      </c>
      <c r="P30" s="67">
        <v>95.441434617741933</v>
      </c>
      <c r="Q30" s="67">
        <v>9.9850931737917445</v>
      </c>
      <c r="R30" s="66">
        <v>0.26877734999999997</v>
      </c>
      <c r="S30" s="67">
        <v>0.29414434000016659</v>
      </c>
      <c r="T30" s="233"/>
      <c r="U30" s="232"/>
      <c r="V30" s="233"/>
      <c r="W30" s="232"/>
      <c r="X30" s="233"/>
      <c r="Y30" s="232"/>
      <c r="Z30" s="233"/>
    </row>
    <row r="31" spans="1:26" ht="15.6" x14ac:dyDescent="0.3">
      <c r="A31" s="204" t="s">
        <v>55</v>
      </c>
      <c r="B31" s="169" t="s">
        <v>56</v>
      </c>
      <c r="C31" s="205" t="s">
        <v>57</v>
      </c>
      <c r="D31" s="66">
        <v>1088.46</v>
      </c>
      <c r="E31" s="66">
        <v>0</v>
      </c>
      <c r="F31" s="66">
        <v>1387.24480784</v>
      </c>
      <c r="G31" s="66">
        <v>1088.46</v>
      </c>
      <c r="H31" s="66">
        <v>298.78480784000004</v>
      </c>
      <c r="I31" s="66">
        <v>1074.82783907</v>
      </c>
      <c r="J31" s="66">
        <v>7.5666927399999988</v>
      </c>
      <c r="K31" s="66">
        <v>1369.22298572</v>
      </c>
      <c r="L31" s="66">
        <v>1074.82783907</v>
      </c>
      <c r="M31" s="66">
        <v>0</v>
      </c>
      <c r="N31" s="66">
        <v>294.39514665000002</v>
      </c>
      <c r="O31" s="67">
        <v>98.747573550704658</v>
      </c>
      <c r="P31" s="67">
        <v>98.53082851777701</v>
      </c>
      <c r="Q31" s="67">
        <v>21.500891361036683</v>
      </c>
      <c r="R31" s="66">
        <v>7.5666927399999988</v>
      </c>
      <c r="S31" s="67">
        <v>8.8817841970012523E-15</v>
      </c>
      <c r="T31" s="233"/>
      <c r="U31" s="232"/>
      <c r="V31" s="233"/>
      <c r="W31" s="232"/>
      <c r="X31" s="233"/>
      <c r="Y31" s="232"/>
      <c r="Z31" s="233"/>
    </row>
    <row r="32" spans="1:26" ht="15.6" x14ac:dyDescent="0.3">
      <c r="A32" s="204" t="s">
        <v>58</v>
      </c>
      <c r="B32" s="169" t="s">
        <v>59</v>
      </c>
      <c r="C32" s="205" t="s">
        <v>60</v>
      </c>
      <c r="D32" s="66">
        <v>534.90879999999993</v>
      </c>
      <c r="E32" s="66">
        <v>0</v>
      </c>
      <c r="F32" s="66">
        <v>745.46635800000001</v>
      </c>
      <c r="G32" s="66">
        <v>534.90879999999993</v>
      </c>
      <c r="H32" s="66">
        <v>210.557558</v>
      </c>
      <c r="I32" s="66">
        <v>533.48037764999992</v>
      </c>
      <c r="J32" s="66">
        <v>1.44641083</v>
      </c>
      <c r="K32" s="66">
        <v>743.56134107000003</v>
      </c>
      <c r="L32" s="66">
        <v>533.46830763999992</v>
      </c>
      <c r="M32" s="66">
        <v>0</v>
      </c>
      <c r="N32" s="66">
        <v>210.09303342999999</v>
      </c>
      <c r="O32" s="67">
        <v>99.73070318529065</v>
      </c>
      <c r="P32" s="67">
        <v>99.779383568838682</v>
      </c>
      <c r="Q32" s="67">
        <v>28.254969943390524</v>
      </c>
      <c r="R32" s="66">
        <v>1.44641083</v>
      </c>
      <c r="S32" s="67">
        <v>1.2070009999992859E-2</v>
      </c>
      <c r="T32" s="233"/>
      <c r="U32" s="232"/>
      <c r="V32" s="233"/>
      <c r="W32" s="232"/>
      <c r="X32" s="233"/>
      <c r="Y32" s="232"/>
      <c r="Z32" s="233"/>
    </row>
    <row r="33" spans="1:66" s="62" customFormat="1" ht="15.6" x14ac:dyDescent="0.3">
      <c r="A33" s="201" t="s">
        <v>61</v>
      </c>
      <c r="B33" s="202" t="s">
        <v>62</v>
      </c>
      <c r="C33" s="203" t="s">
        <v>63</v>
      </c>
      <c r="D33" s="61">
        <v>5857.3597</v>
      </c>
      <c r="E33" s="61">
        <v>0</v>
      </c>
      <c r="F33" s="61">
        <v>7761.0112797299998</v>
      </c>
      <c r="G33" s="61">
        <v>5857.3597</v>
      </c>
      <c r="H33" s="61">
        <v>1903.6515797300001</v>
      </c>
      <c r="I33" s="61">
        <v>5840.1540570799998</v>
      </c>
      <c r="J33" s="61">
        <v>41.247376379999999</v>
      </c>
      <c r="K33" s="61">
        <v>7731.1763350699994</v>
      </c>
      <c r="L33" s="61">
        <v>5835.9002094800007</v>
      </c>
      <c r="M33" s="61">
        <v>0</v>
      </c>
      <c r="N33" s="61">
        <v>1895.2761255900002</v>
      </c>
      <c r="O33" s="61">
        <v>99.633632018194149</v>
      </c>
      <c r="P33" s="61">
        <v>99.560032191332624</v>
      </c>
      <c r="Q33" s="61">
        <v>24.514718633342881</v>
      </c>
      <c r="R33" s="61">
        <v>41.18603959</v>
      </c>
      <c r="S33" s="61">
        <v>4.3151843900001001</v>
      </c>
      <c r="T33" s="233"/>
      <c r="U33" s="232"/>
      <c r="V33" s="233"/>
      <c r="W33" s="232"/>
      <c r="X33" s="233"/>
      <c r="Y33" s="232"/>
      <c r="Z33" s="233"/>
      <c r="AA33" s="158"/>
      <c r="AB33" s="158"/>
      <c r="AC33" s="158"/>
      <c r="AD33" s="158"/>
      <c r="AE33" s="158"/>
      <c r="AF33" s="158"/>
      <c r="AG33" s="158"/>
      <c r="AH33" s="158"/>
      <c r="AI33" s="158"/>
      <c r="AJ33" s="158"/>
      <c r="AK33" s="158"/>
      <c r="AL33" s="158"/>
      <c r="AM33" s="158"/>
      <c r="AN33" s="158"/>
      <c r="AO33" s="158"/>
      <c r="AP33" s="158"/>
      <c r="AQ33" s="158"/>
      <c r="AR33" s="158"/>
      <c r="AS33" s="158"/>
      <c r="AT33" s="158"/>
      <c r="AU33" s="158"/>
      <c r="AV33" s="158"/>
      <c r="AW33" s="158"/>
      <c r="AX33" s="158"/>
      <c r="AY33" s="158"/>
      <c r="AZ33" s="158"/>
      <c r="BA33" s="158"/>
      <c r="BB33" s="158"/>
      <c r="BC33" s="158"/>
      <c r="BD33" s="158"/>
      <c r="BE33" s="158"/>
      <c r="BF33" s="158"/>
      <c r="BG33" s="158"/>
      <c r="BH33" s="158"/>
      <c r="BI33" s="158"/>
      <c r="BJ33" s="158"/>
      <c r="BK33" s="158"/>
      <c r="BL33" s="158"/>
      <c r="BM33" s="158"/>
      <c r="BN33" s="158"/>
    </row>
    <row r="34" spans="1:66" ht="15.6" x14ac:dyDescent="0.3">
      <c r="A34" s="204" t="s">
        <v>64</v>
      </c>
      <c r="B34" s="169" t="s">
        <v>65</v>
      </c>
      <c r="C34" s="205" t="s">
        <v>66</v>
      </c>
      <c r="D34" s="66">
        <v>279.22369999999995</v>
      </c>
      <c r="E34" s="66">
        <v>0</v>
      </c>
      <c r="F34" s="66">
        <v>320.74776271000002</v>
      </c>
      <c r="G34" s="66">
        <v>279.22369999999995</v>
      </c>
      <c r="H34" s="66">
        <v>41.524062710000003</v>
      </c>
      <c r="I34" s="66">
        <v>277.84326254000001</v>
      </c>
      <c r="J34" s="66">
        <v>1.2606954999999997</v>
      </c>
      <c r="K34" s="66">
        <v>317.35190303999997</v>
      </c>
      <c r="L34" s="66">
        <v>277.81091880000002</v>
      </c>
      <c r="M34" s="66">
        <v>0</v>
      </c>
      <c r="N34" s="66">
        <v>39.54098424</v>
      </c>
      <c r="O34" s="67">
        <v>99.494032490795036</v>
      </c>
      <c r="P34" s="67">
        <v>95.224266749018199</v>
      </c>
      <c r="Q34" s="67">
        <v>12.459665078805637</v>
      </c>
      <c r="R34" s="66">
        <v>1.1993587099999998</v>
      </c>
      <c r="S34" s="67">
        <v>9.3680529999984774E-2</v>
      </c>
      <c r="T34" s="233"/>
      <c r="U34" s="232"/>
      <c r="V34" s="233"/>
      <c r="W34" s="232"/>
      <c r="X34" s="233"/>
      <c r="Y34" s="232"/>
      <c r="Z34" s="233"/>
    </row>
    <row r="35" spans="1:66" ht="15.6" x14ac:dyDescent="0.3">
      <c r="A35" s="204" t="s">
        <v>67</v>
      </c>
      <c r="B35" s="169" t="s">
        <v>68</v>
      </c>
      <c r="C35" s="205" t="s">
        <v>69</v>
      </c>
      <c r="D35" s="66">
        <v>183.81920000000002</v>
      </c>
      <c r="E35" s="66">
        <v>0</v>
      </c>
      <c r="F35" s="66">
        <v>258.38336436999998</v>
      </c>
      <c r="G35" s="66">
        <v>183.81920000000002</v>
      </c>
      <c r="H35" s="66">
        <v>74.564164370000015</v>
      </c>
      <c r="I35" s="66">
        <v>182.42544649000001</v>
      </c>
      <c r="J35" s="66">
        <v>2.91801194</v>
      </c>
      <c r="K35" s="66">
        <v>256.39228790999999</v>
      </c>
      <c r="L35" s="66">
        <v>182.42544649000001</v>
      </c>
      <c r="M35" s="66">
        <v>0</v>
      </c>
      <c r="N35" s="66">
        <v>73.966841420000009</v>
      </c>
      <c r="O35" s="67">
        <v>99.24178023296804</v>
      </c>
      <c r="P35" s="67">
        <v>99.198914176740473</v>
      </c>
      <c r="Q35" s="67">
        <v>28.849089815823241</v>
      </c>
      <c r="R35" s="66">
        <v>2.91801194</v>
      </c>
      <c r="S35" s="67">
        <v>1.3766765505351941E-14</v>
      </c>
      <c r="T35" s="233"/>
      <c r="U35" s="232"/>
      <c r="V35" s="233"/>
      <c r="W35" s="232"/>
      <c r="X35" s="233"/>
      <c r="Y35" s="232"/>
      <c r="Z35" s="233"/>
    </row>
    <row r="36" spans="1:66" ht="15.6" x14ac:dyDescent="0.3">
      <c r="A36" s="204" t="s">
        <v>70</v>
      </c>
      <c r="B36" s="169" t="s">
        <v>71</v>
      </c>
      <c r="C36" s="205" t="s">
        <v>72</v>
      </c>
      <c r="D36" s="66">
        <v>402.61009999999999</v>
      </c>
      <c r="E36" s="66">
        <v>0</v>
      </c>
      <c r="F36" s="66">
        <v>446.56126389000002</v>
      </c>
      <c r="G36" s="66">
        <v>402.61009999999999</v>
      </c>
      <c r="H36" s="66">
        <v>43.951163889999997</v>
      </c>
      <c r="I36" s="66">
        <v>394.61499972000001</v>
      </c>
      <c r="J36" s="66">
        <v>2.8610165100000002</v>
      </c>
      <c r="K36" s="66">
        <v>435.01618171999996</v>
      </c>
      <c r="L36" s="66">
        <v>391.96141072</v>
      </c>
      <c r="M36" s="66">
        <v>0</v>
      </c>
      <c r="N36" s="66">
        <v>43.054771000000002</v>
      </c>
      <c r="O36" s="67">
        <v>97.3550864024524</v>
      </c>
      <c r="P36" s="67">
        <v>97.960479744646889</v>
      </c>
      <c r="Q36" s="67">
        <v>9.8972803332893928</v>
      </c>
      <c r="R36" s="66">
        <v>2.8610165100000002</v>
      </c>
      <c r="S36" s="67">
        <v>2.6535890000000237</v>
      </c>
      <c r="T36" s="233"/>
      <c r="U36" s="232"/>
      <c r="V36" s="233"/>
      <c r="W36" s="232"/>
      <c r="X36" s="233"/>
      <c r="Y36" s="232"/>
      <c r="Z36" s="233"/>
    </row>
    <row r="37" spans="1:66" ht="15.6" x14ac:dyDescent="0.3">
      <c r="A37" s="204" t="s">
        <v>73</v>
      </c>
      <c r="B37" s="169" t="s">
        <v>74</v>
      </c>
      <c r="C37" s="205" t="s">
        <v>1078</v>
      </c>
      <c r="D37" s="66">
        <v>47.988500000000002</v>
      </c>
      <c r="E37" s="66">
        <v>0</v>
      </c>
      <c r="F37" s="66">
        <v>73.450499999999991</v>
      </c>
      <c r="G37" s="66">
        <v>47.988500000000002</v>
      </c>
      <c r="H37" s="66">
        <v>25.462</v>
      </c>
      <c r="I37" s="66">
        <v>47.985710699999998</v>
      </c>
      <c r="J37" s="66">
        <v>0.99845437999999997</v>
      </c>
      <c r="K37" s="66">
        <v>73.446001070000008</v>
      </c>
      <c r="L37" s="66">
        <v>47.985710699999998</v>
      </c>
      <c r="M37" s="66">
        <v>0</v>
      </c>
      <c r="N37" s="66">
        <v>25.460290370000003</v>
      </c>
      <c r="O37" s="67">
        <v>99.994187565770957</v>
      </c>
      <c r="P37" s="67">
        <v>99.993285562799471</v>
      </c>
      <c r="Q37" s="67">
        <v>34.665318736324771</v>
      </c>
      <c r="R37" s="66">
        <v>0.99845437999999997</v>
      </c>
      <c r="S37" s="67">
        <v>-1.6653345369377348E-15</v>
      </c>
      <c r="T37" s="233"/>
      <c r="U37" s="232"/>
      <c r="V37" s="233"/>
      <c r="W37" s="232"/>
      <c r="X37" s="233"/>
      <c r="Y37" s="232"/>
      <c r="Z37" s="233"/>
    </row>
    <row r="38" spans="1:66" ht="15.6" x14ac:dyDescent="0.3">
      <c r="A38" s="204" t="s">
        <v>75</v>
      </c>
      <c r="B38" s="169" t="s">
        <v>76</v>
      </c>
      <c r="C38" s="205" t="s">
        <v>77</v>
      </c>
      <c r="D38" s="66">
        <v>773.97489999999993</v>
      </c>
      <c r="E38" s="66">
        <v>0</v>
      </c>
      <c r="F38" s="66">
        <v>1102.5840027699999</v>
      </c>
      <c r="G38" s="66">
        <v>773.97489999999993</v>
      </c>
      <c r="H38" s="66">
        <v>328.60910276999999</v>
      </c>
      <c r="I38" s="66">
        <v>772.10974554999996</v>
      </c>
      <c r="J38" s="66">
        <v>7.1297243699999999</v>
      </c>
      <c r="K38" s="66">
        <v>1096.9342125000001</v>
      </c>
      <c r="L38" s="66">
        <v>770.54183073000002</v>
      </c>
      <c r="M38" s="66">
        <v>0</v>
      </c>
      <c r="N38" s="66">
        <v>326.39238177000004</v>
      </c>
      <c r="O38" s="67">
        <v>99.55643661441735</v>
      </c>
      <c r="P38" s="67">
        <v>99.325423130000303</v>
      </c>
      <c r="Q38" s="67">
        <v>29.754964158345093</v>
      </c>
      <c r="R38" s="66">
        <v>7.1297243699999999</v>
      </c>
      <c r="S38" s="67">
        <v>1.5679148199999045</v>
      </c>
      <c r="T38" s="233"/>
      <c r="U38" s="232"/>
      <c r="V38" s="233"/>
      <c r="W38" s="232"/>
      <c r="X38" s="233"/>
      <c r="Y38" s="232"/>
      <c r="Z38" s="233"/>
    </row>
    <row r="39" spans="1:66" ht="15.6" x14ac:dyDescent="0.3">
      <c r="A39" s="204" t="s">
        <v>78</v>
      </c>
      <c r="B39" s="169" t="s">
        <v>79</v>
      </c>
      <c r="C39" s="205" t="s">
        <v>80</v>
      </c>
      <c r="D39" s="66">
        <v>1564.6138000000001</v>
      </c>
      <c r="E39" s="66">
        <v>0</v>
      </c>
      <c r="F39" s="66">
        <v>1859.157105</v>
      </c>
      <c r="G39" s="66">
        <v>1564.6138000000001</v>
      </c>
      <c r="H39" s="66">
        <v>294.54330500000003</v>
      </c>
      <c r="I39" s="66">
        <v>1563.91129806</v>
      </c>
      <c r="J39" s="66">
        <v>2.3076576699999998</v>
      </c>
      <c r="K39" s="66">
        <v>1858.25279398</v>
      </c>
      <c r="L39" s="66">
        <v>1563.91129806</v>
      </c>
      <c r="M39" s="66">
        <v>0</v>
      </c>
      <c r="N39" s="66">
        <v>294.34149592</v>
      </c>
      <c r="O39" s="67">
        <v>99.955100617161889</v>
      </c>
      <c r="P39" s="67">
        <v>99.931484071586681</v>
      </c>
      <c r="Q39" s="67">
        <v>15.83969075001794</v>
      </c>
      <c r="R39" s="66">
        <v>2.3076576699999998</v>
      </c>
      <c r="S39" s="67">
        <v>2.6201263381153694E-14</v>
      </c>
      <c r="T39" s="233"/>
      <c r="U39" s="232"/>
      <c r="V39" s="233"/>
      <c r="W39" s="232"/>
      <c r="X39" s="233"/>
      <c r="Y39" s="232"/>
      <c r="Z39" s="233"/>
    </row>
    <row r="40" spans="1:66" ht="15.6" x14ac:dyDescent="0.3">
      <c r="A40" s="204" t="s">
        <v>81</v>
      </c>
      <c r="B40" s="169" t="s">
        <v>82</v>
      </c>
      <c r="C40" s="205" t="s">
        <v>83</v>
      </c>
      <c r="D40" s="66">
        <v>1129.9702</v>
      </c>
      <c r="E40" s="66">
        <v>0</v>
      </c>
      <c r="F40" s="66">
        <v>1996.6905656200004</v>
      </c>
      <c r="G40" s="66">
        <v>1129.9702</v>
      </c>
      <c r="H40" s="66">
        <v>866.72036562000017</v>
      </c>
      <c r="I40" s="66">
        <v>1128.5479391500003</v>
      </c>
      <c r="J40" s="66">
        <v>20.112850469999998</v>
      </c>
      <c r="K40" s="66">
        <v>1993.7879932200001</v>
      </c>
      <c r="L40" s="66">
        <v>1128.5479391400002</v>
      </c>
      <c r="M40" s="66">
        <v>0</v>
      </c>
      <c r="N40" s="66">
        <v>865.24005408000016</v>
      </c>
      <c r="O40" s="67">
        <v>99.874132887752282</v>
      </c>
      <c r="P40" s="67">
        <v>99.829205404797307</v>
      </c>
      <c r="Q40" s="67">
        <v>43.396793291077223</v>
      </c>
      <c r="R40" s="66">
        <v>20.112850469999998</v>
      </c>
      <c r="S40" s="67">
        <v>1.0000135830523504E-8</v>
      </c>
      <c r="T40" s="233"/>
      <c r="U40" s="232"/>
      <c r="V40" s="233"/>
      <c r="W40" s="232"/>
      <c r="X40" s="233"/>
      <c r="Y40" s="232"/>
      <c r="Z40" s="233"/>
    </row>
    <row r="41" spans="1:66" ht="15.6" x14ac:dyDescent="0.3">
      <c r="A41" s="204" t="s">
        <v>84</v>
      </c>
      <c r="B41" s="169" t="s">
        <v>85</v>
      </c>
      <c r="C41" s="205" t="s">
        <v>299</v>
      </c>
      <c r="D41" s="66">
        <v>19.427300000000002</v>
      </c>
      <c r="E41" s="66">
        <v>0</v>
      </c>
      <c r="F41" s="66">
        <v>52.506300000000003</v>
      </c>
      <c r="G41" s="66">
        <v>19.427300000000002</v>
      </c>
      <c r="H41" s="66">
        <v>33.079000000000001</v>
      </c>
      <c r="I41" s="66">
        <v>19.427300000000002</v>
      </c>
      <c r="J41" s="66">
        <v>0</v>
      </c>
      <c r="K41" s="66">
        <v>52.506300000000003</v>
      </c>
      <c r="L41" s="66">
        <v>19.427300000000002</v>
      </c>
      <c r="M41" s="66">
        <v>0</v>
      </c>
      <c r="N41" s="66">
        <v>33.079000000000001</v>
      </c>
      <c r="O41" s="67">
        <v>100</v>
      </c>
      <c r="P41" s="67">
        <v>100</v>
      </c>
      <c r="Q41" s="67">
        <v>63.000059040534182</v>
      </c>
      <c r="R41" s="66">
        <v>0</v>
      </c>
      <c r="S41" s="67">
        <v>0</v>
      </c>
      <c r="T41" s="233"/>
      <c r="U41" s="232"/>
      <c r="V41" s="233"/>
      <c r="W41" s="232"/>
      <c r="X41" s="233"/>
      <c r="Y41" s="232"/>
      <c r="Z41" s="233"/>
    </row>
    <row r="42" spans="1:66" ht="15.6" x14ac:dyDescent="0.3">
      <c r="A42" s="204" t="s">
        <v>86</v>
      </c>
      <c r="B42" s="169" t="s">
        <v>87</v>
      </c>
      <c r="C42" s="205" t="s">
        <v>88</v>
      </c>
      <c r="D42" s="66">
        <v>51.040199999999999</v>
      </c>
      <c r="E42" s="66">
        <v>0</v>
      </c>
      <c r="F42" s="66">
        <v>69.174543</v>
      </c>
      <c r="G42" s="66">
        <v>51.040199999999999</v>
      </c>
      <c r="H42" s="66">
        <v>18.134342999999998</v>
      </c>
      <c r="I42" s="66">
        <v>48.596554869999999</v>
      </c>
      <c r="J42" s="66">
        <v>1.664937E-2</v>
      </c>
      <c r="K42" s="66">
        <v>65.732789260000004</v>
      </c>
      <c r="L42" s="66">
        <v>48.596554840000003</v>
      </c>
      <c r="M42" s="66">
        <v>0</v>
      </c>
      <c r="N42" s="66">
        <v>17.136234420000001</v>
      </c>
      <c r="O42" s="67">
        <v>95.212312726047315</v>
      </c>
      <c r="P42" s="67">
        <v>94.496031204439021</v>
      </c>
      <c r="Q42" s="67">
        <v>26.069537916943098</v>
      </c>
      <c r="R42" s="66">
        <v>1.664937E-2</v>
      </c>
      <c r="S42" s="67">
        <v>2.9999998592961097E-8</v>
      </c>
      <c r="T42" s="233"/>
      <c r="U42" s="232"/>
      <c r="V42" s="233"/>
      <c r="W42" s="232"/>
      <c r="X42" s="233"/>
      <c r="Y42" s="232"/>
      <c r="Z42" s="233"/>
    </row>
    <row r="43" spans="1:66" ht="15.6" x14ac:dyDescent="0.3">
      <c r="A43" s="204" t="s">
        <v>89</v>
      </c>
      <c r="B43" s="169" t="s">
        <v>90</v>
      </c>
      <c r="C43" s="205" t="s">
        <v>91</v>
      </c>
      <c r="D43" s="66">
        <v>419.63509999999997</v>
      </c>
      <c r="E43" s="66">
        <v>0</v>
      </c>
      <c r="F43" s="66">
        <v>555.68283499999995</v>
      </c>
      <c r="G43" s="66">
        <v>419.63509999999997</v>
      </c>
      <c r="H43" s="66">
        <v>136.04773499999999</v>
      </c>
      <c r="I43" s="66">
        <v>419.63509999999997</v>
      </c>
      <c r="J43" s="66">
        <v>0.46259067000000004</v>
      </c>
      <c r="K43" s="66">
        <v>555.68283499999995</v>
      </c>
      <c r="L43" s="66">
        <v>419.63509999999997</v>
      </c>
      <c r="M43" s="66">
        <v>0</v>
      </c>
      <c r="N43" s="66">
        <v>136.04773499999999</v>
      </c>
      <c r="O43" s="67">
        <v>100</v>
      </c>
      <c r="P43" s="67">
        <v>100</v>
      </c>
      <c r="Q43" s="67">
        <v>24.482983175105634</v>
      </c>
      <c r="R43" s="66">
        <v>0.46259067000000004</v>
      </c>
      <c r="S43" s="67">
        <v>-2.7200464103316335E-15</v>
      </c>
      <c r="T43" s="233"/>
      <c r="U43" s="232"/>
      <c r="V43" s="233"/>
      <c r="W43" s="232"/>
      <c r="X43" s="233"/>
      <c r="Y43" s="232"/>
      <c r="Z43" s="233"/>
    </row>
    <row r="44" spans="1:66" ht="15.6" x14ac:dyDescent="0.3">
      <c r="A44" s="204" t="s">
        <v>92</v>
      </c>
      <c r="B44" s="206">
        <v>32</v>
      </c>
      <c r="C44" s="205" t="s">
        <v>93</v>
      </c>
      <c r="D44" s="66">
        <v>985.05669999999998</v>
      </c>
      <c r="E44" s="66">
        <v>0</v>
      </c>
      <c r="F44" s="66">
        <v>1026.0730373699998</v>
      </c>
      <c r="G44" s="66">
        <v>985.05669999999998</v>
      </c>
      <c r="H44" s="66">
        <v>41.016337370000002</v>
      </c>
      <c r="I44" s="66">
        <v>985.05669999999998</v>
      </c>
      <c r="J44" s="66">
        <v>3.1797255000000004</v>
      </c>
      <c r="K44" s="66">
        <v>1026.0730373699998</v>
      </c>
      <c r="L44" s="66">
        <v>985.05669999999998</v>
      </c>
      <c r="M44" s="66">
        <v>0</v>
      </c>
      <c r="N44" s="66">
        <v>41.016337370000002</v>
      </c>
      <c r="O44" s="67">
        <v>100</v>
      </c>
      <c r="P44" s="67">
        <v>100</v>
      </c>
      <c r="Q44" s="67">
        <v>3.9974091391322268</v>
      </c>
      <c r="R44" s="66">
        <v>3.1797255000000004</v>
      </c>
      <c r="S44" s="67">
        <v>1.7319479184152442E-14</v>
      </c>
      <c r="T44" s="233"/>
      <c r="U44" s="232"/>
      <c r="V44" s="233"/>
      <c r="W44" s="232"/>
      <c r="X44" s="233"/>
      <c r="Y44" s="232"/>
      <c r="Z44" s="233"/>
    </row>
    <row r="45" spans="1:66" s="62" customFormat="1" ht="15.6" x14ac:dyDescent="0.3">
      <c r="A45" s="207" t="s">
        <v>94</v>
      </c>
      <c r="B45" s="208">
        <v>33</v>
      </c>
      <c r="C45" s="209" t="s">
        <v>95</v>
      </c>
      <c r="D45" s="61">
        <v>14346.620400000002</v>
      </c>
      <c r="E45" s="61">
        <v>0</v>
      </c>
      <c r="F45" s="61">
        <v>16715.97147484</v>
      </c>
      <c r="G45" s="61">
        <v>14346.620400000002</v>
      </c>
      <c r="H45" s="61">
        <v>2369.3510748399999</v>
      </c>
      <c r="I45" s="61">
        <v>14202.559953710001</v>
      </c>
      <c r="J45" s="61">
        <v>565.80803056000002</v>
      </c>
      <c r="K45" s="61">
        <v>16541.990631259996</v>
      </c>
      <c r="L45" s="61">
        <v>14202.528612870001</v>
      </c>
      <c r="M45" s="61">
        <v>0</v>
      </c>
      <c r="N45" s="61">
        <v>2339.4620183899997</v>
      </c>
      <c r="O45" s="61">
        <v>98.995639508730576</v>
      </c>
      <c r="P45" s="61">
        <v>98.738512972290579</v>
      </c>
      <c r="Q45" s="61">
        <v>14.142566457322459</v>
      </c>
      <c r="R45" s="61">
        <v>564.88050974999999</v>
      </c>
      <c r="S45" s="61">
        <v>0.95886165000007662</v>
      </c>
      <c r="T45" s="233"/>
      <c r="U45" s="232"/>
      <c r="V45" s="233"/>
      <c r="W45" s="232"/>
      <c r="X45" s="233"/>
      <c r="Y45" s="232"/>
      <c r="Z45" s="233"/>
      <c r="AA45" s="158"/>
      <c r="AB45" s="158"/>
      <c r="AC45" s="158"/>
      <c r="AD45" s="158"/>
      <c r="AE45" s="158"/>
      <c r="AF45" s="158"/>
      <c r="AG45" s="158"/>
      <c r="AH45" s="158"/>
      <c r="AI45" s="158"/>
      <c r="AJ45" s="158"/>
      <c r="AK45" s="158"/>
      <c r="AL45" s="158"/>
      <c r="AM45" s="158"/>
      <c r="AN45" s="158"/>
      <c r="AO45" s="158"/>
      <c r="AP45" s="158"/>
      <c r="AQ45" s="158"/>
      <c r="AR45" s="158"/>
      <c r="AS45" s="158"/>
      <c r="AT45" s="158"/>
      <c r="AU45" s="158"/>
      <c r="AV45" s="158"/>
      <c r="AW45" s="158"/>
      <c r="AX45" s="158"/>
      <c r="AY45" s="158"/>
      <c r="AZ45" s="158"/>
      <c r="BA45" s="158"/>
      <c r="BB45" s="158"/>
      <c r="BC45" s="158"/>
      <c r="BD45" s="158"/>
      <c r="BE45" s="158"/>
      <c r="BF45" s="158"/>
      <c r="BG45" s="158"/>
      <c r="BH45" s="158"/>
      <c r="BI45" s="158"/>
      <c r="BJ45" s="158"/>
      <c r="BK45" s="158"/>
      <c r="BL45" s="158"/>
      <c r="BM45" s="158"/>
      <c r="BN45" s="158"/>
    </row>
    <row r="46" spans="1:66" ht="15.6" x14ac:dyDescent="0.3">
      <c r="A46" s="210" t="s">
        <v>96</v>
      </c>
      <c r="B46" s="171">
        <v>34</v>
      </c>
      <c r="C46" s="211" t="s">
        <v>97</v>
      </c>
      <c r="D46" s="66">
        <v>344.82649999999995</v>
      </c>
      <c r="E46" s="66">
        <v>0</v>
      </c>
      <c r="F46" s="66">
        <v>380.08199697000009</v>
      </c>
      <c r="G46" s="66">
        <v>344.82649999999995</v>
      </c>
      <c r="H46" s="66">
        <v>35.255496970000003</v>
      </c>
      <c r="I46" s="66">
        <v>344.36031427999995</v>
      </c>
      <c r="J46" s="66">
        <v>15.76220912</v>
      </c>
      <c r="K46" s="66">
        <v>379.56401284000003</v>
      </c>
      <c r="L46" s="66">
        <v>344.36031427999995</v>
      </c>
      <c r="M46" s="66">
        <v>0</v>
      </c>
      <c r="N46" s="66">
        <v>35.203698559999999</v>
      </c>
      <c r="O46" s="67">
        <v>99.864805715338008</v>
      </c>
      <c r="P46" s="67">
        <v>99.853077067544731</v>
      </c>
      <c r="Q46" s="67">
        <v>9.2747724676521504</v>
      </c>
      <c r="R46" s="66">
        <v>15.76220912</v>
      </c>
      <c r="S46" s="67">
        <v>2.3092638912203256E-14</v>
      </c>
      <c r="T46" s="233"/>
      <c r="U46" s="232"/>
      <c r="V46" s="233"/>
      <c r="W46" s="232"/>
      <c r="X46" s="233"/>
      <c r="Y46" s="232"/>
      <c r="Z46" s="233"/>
    </row>
    <row r="47" spans="1:66" ht="15.6" x14ac:dyDescent="0.3">
      <c r="A47" s="210" t="s">
        <v>98</v>
      </c>
      <c r="B47" s="171">
        <v>35</v>
      </c>
      <c r="C47" s="211" t="s">
        <v>99</v>
      </c>
      <c r="D47" s="66">
        <v>935.78780000000006</v>
      </c>
      <c r="E47" s="66">
        <v>0</v>
      </c>
      <c r="F47" s="66">
        <v>988.71340666000003</v>
      </c>
      <c r="G47" s="66">
        <v>935.78780000000006</v>
      </c>
      <c r="H47" s="66">
        <v>52.925606660000007</v>
      </c>
      <c r="I47" s="66">
        <v>934.45396670999992</v>
      </c>
      <c r="J47" s="66">
        <v>102.95564092000001</v>
      </c>
      <c r="K47" s="66">
        <v>987.29443871000001</v>
      </c>
      <c r="L47" s="66">
        <v>934.45396670999992</v>
      </c>
      <c r="M47" s="66">
        <v>0</v>
      </c>
      <c r="N47" s="66">
        <v>52.840471999999998</v>
      </c>
      <c r="O47" s="67">
        <v>99.857464129154053</v>
      </c>
      <c r="P47" s="67">
        <v>99.83914277913351</v>
      </c>
      <c r="Q47" s="67">
        <v>5.352047973555023</v>
      </c>
      <c r="R47" s="66">
        <v>102.95564092000001</v>
      </c>
      <c r="S47" s="67">
        <v>5.6843418860808015E-14</v>
      </c>
      <c r="T47" s="233"/>
      <c r="U47" s="232"/>
      <c r="V47" s="233"/>
      <c r="W47" s="232"/>
      <c r="X47" s="233"/>
      <c r="Y47" s="232"/>
      <c r="Z47" s="233"/>
    </row>
    <row r="48" spans="1:66" ht="15.6" x14ac:dyDescent="0.3">
      <c r="A48" s="165"/>
      <c r="B48" s="171">
        <v>36</v>
      </c>
      <c r="C48" s="205" t="s">
        <v>318</v>
      </c>
      <c r="D48" s="66">
        <v>2334.0289000000007</v>
      </c>
      <c r="E48" s="66">
        <v>0</v>
      </c>
      <c r="F48" s="66">
        <v>2454.857755</v>
      </c>
      <c r="G48" s="66">
        <v>2334.0289000000007</v>
      </c>
      <c r="H48" s="66">
        <v>120.82885499999999</v>
      </c>
      <c r="I48" s="66">
        <v>2333.7122948600004</v>
      </c>
      <c r="J48" s="66">
        <v>25.128155649999997</v>
      </c>
      <c r="K48" s="66">
        <v>2454.5244863200001</v>
      </c>
      <c r="L48" s="66">
        <v>2333.7122948600004</v>
      </c>
      <c r="M48" s="66">
        <v>0</v>
      </c>
      <c r="N48" s="66">
        <v>120.81219145999998</v>
      </c>
      <c r="O48" s="67">
        <v>99.986435251937095</v>
      </c>
      <c r="P48" s="67">
        <v>99.98620897301393</v>
      </c>
      <c r="Q48" s="67">
        <v>4.9220202174935448</v>
      </c>
      <c r="R48" s="66">
        <v>24.403367969999998</v>
      </c>
      <c r="S48" s="67">
        <v>0.72478767999982807</v>
      </c>
    </row>
    <row r="49" spans="1:66" ht="15.6" x14ac:dyDescent="0.3">
      <c r="A49" s="210" t="s">
        <v>100</v>
      </c>
      <c r="B49" s="171">
        <v>37</v>
      </c>
      <c r="C49" s="211" t="s">
        <v>101</v>
      </c>
      <c r="D49" s="66">
        <v>4121.9453999999996</v>
      </c>
      <c r="E49" s="66">
        <v>0</v>
      </c>
      <c r="F49" s="66">
        <v>5227.0854324599995</v>
      </c>
      <c r="G49" s="66">
        <v>4121.9453999999996</v>
      </c>
      <c r="H49" s="66">
        <v>1105.1400324599999</v>
      </c>
      <c r="I49" s="66">
        <v>4091.6121165499994</v>
      </c>
      <c r="J49" s="66">
        <v>107.46823033999999</v>
      </c>
      <c r="K49" s="66">
        <v>5190.9797356499985</v>
      </c>
      <c r="L49" s="66">
        <v>4091.6121165499994</v>
      </c>
      <c r="M49" s="66">
        <v>0</v>
      </c>
      <c r="N49" s="66">
        <v>1099.3676191</v>
      </c>
      <c r="O49" s="67">
        <v>99.264102735324926</v>
      </c>
      <c r="P49" s="67">
        <v>99.477675842838593</v>
      </c>
      <c r="Q49" s="67">
        <v>21.17842247678011</v>
      </c>
      <c r="R49" s="66">
        <v>107.38001434</v>
      </c>
      <c r="S49" s="67">
        <v>8.8215999999988526E-2</v>
      </c>
      <c r="T49" s="233"/>
      <c r="U49" s="232"/>
      <c r="V49" s="233"/>
      <c r="W49" s="232"/>
      <c r="X49" s="233"/>
      <c r="Y49" s="232"/>
      <c r="Z49" s="233"/>
    </row>
    <row r="50" spans="1:66" ht="15.6" x14ac:dyDescent="0.3">
      <c r="A50" s="210" t="s">
        <v>102</v>
      </c>
      <c r="B50" s="171">
        <v>38</v>
      </c>
      <c r="C50" s="211" t="s">
        <v>103</v>
      </c>
      <c r="D50" s="66">
        <v>918.83620000000008</v>
      </c>
      <c r="E50" s="66">
        <v>0</v>
      </c>
      <c r="F50" s="66">
        <v>1136.1866180299999</v>
      </c>
      <c r="G50" s="66">
        <v>918.83620000000008</v>
      </c>
      <c r="H50" s="66">
        <v>217.35041802999999</v>
      </c>
      <c r="I50" s="66">
        <v>853.42046300000015</v>
      </c>
      <c r="J50" s="66">
        <v>18.369796109999999</v>
      </c>
      <c r="K50" s="66">
        <v>1054.5350526099999</v>
      </c>
      <c r="L50" s="66">
        <v>853.39853533000007</v>
      </c>
      <c r="M50" s="66">
        <v>0</v>
      </c>
      <c r="N50" s="66">
        <v>201.13651727999996</v>
      </c>
      <c r="O50" s="67">
        <v>92.878201286584044</v>
      </c>
      <c r="P50" s="67">
        <v>92.540202638229076</v>
      </c>
      <c r="Q50" s="67">
        <v>19.073478570691623</v>
      </c>
      <c r="R50" s="66">
        <v>18.36939486</v>
      </c>
      <c r="S50" s="67">
        <v>2.2328920000120434E-2</v>
      </c>
      <c r="T50" s="233"/>
      <c r="U50" s="232"/>
      <c r="V50" s="233"/>
      <c r="W50" s="232"/>
      <c r="X50" s="233"/>
      <c r="Y50" s="232"/>
      <c r="Z50" s="233"/>
    </row>
    <row r="51" spans="1:66" ht="15.6" x14ac:dyDescent="0.3">
      <c r="A51" s="210" t="s">
        <v>104</v>
      </c>
      <c r="B51" s="171">
        <v>39</v>
      </c>
      <c r="C51" s="211" t="s">
        <v>105</v>
      </c>
      <c r="D51" s="66">
        <v>2447.4564000000005</v>
      </c>
      <c r="E51" s="66">
        <v>0</v>
      </c>
      <c r="F51" s="66">
        <v>2804.444821</v>
      </c>
      <c r="G51" s="66">
        <v>2447.4564000000005</v>
      </c>
      <c r="H51" s="66">
        <v>356.98842099999996</v>
      </c>
      <c r="I51" s="66">
        <v>2447.4244995100003</v>
      </c>
      <c r="J51" s="66">
        <v>21.158750550000001</v>
      </c>
      <c r="K51" s="66">
        <v>2804.3967839999996</v>
      </c>
      <c r="L51" s="66">
        <v>2447.4150882600002</v>
      </c>
      <c r="M51" s="66">
        <v>0</v>
      </c>
      <c r="N51" s="66">
        <v>356.98169573999996</v>
      </c>
      <c r="O51" s="67">
        <v>99.998312054098264</v>
      </c>
      <c r="P51" s="67">
        <v>99.998116112567132</v>
      </c>
      <c r="Q51" s="67">
        <v>12.729357620743869</v>
      </c>
      <c r="R51" s="66">
        <v>21.158750550000001</v>
      </c>
      <c r="S51" s="67">
        <v>9.4112500002339061E-3</v>
      </c>
      <c r="T51" s="233"/>
      <c r="U51" s="232"/>
      <c r="V51" s="233"/>
      <c r="W51" s="232"/>
      <c r="X51" s="233"/>
      <c r="Y51" s="232"/>
      <c r="Z51" s="233"/>
    </row>
    <row r="52" spans="1:66" ht="15.6" x14ac:dyDescent="0.3">
      <c r="A52" s="210" t="s">
        <v>106</v>
      </c>
      <c r="B52" s="171">
        <v>40</v>
      </c>
      <c r="C52" s="211" t="s">
        <v>107</v>
      </c>
      <c r="D52" s="66">
        <v>2882.2253000000005</v>
      </c>
      <c r="E52" s="66">
        <v>0</v>
      </c>
      <c r="F52" s="66">
        <v>3344.4151000000002</v>
      </c>
      <c r="G52" s="66">
        <v>2882.2253000000005</v>
      </c>
      <c r="H52" s="66">
        <v>462.18979999999999</v>
      </c>
      <c r="I52" s="66">
        <v>2875.4184991000002</v>
      </c>
      <c r="J52" s="66">
        <v>269.21515949000002</v>
      </c>
      <c r="K52" s="66">
        <v>3331.9223735900005</v>
      </c>
      <c r="L52" s="66">
        <v>2875.4184971800005</v>
      </c>
      <c r="M52" s="66">
        <v>0</v>
      </c>
      <c r="N52" s="66">
        <v>456.50387640999992</v>
      </c>
      <c r="O52" s="67">
        <v>99.763835158202241</v>
      </c>
      <c r="P52" s="67">
        <v>98.769786007826212</v>
      </c>
      <c r="Q52" s="67">
        <v>13.7009157244602</v>
      </c>
      <c r="R52" s="66">
        <v>269.10104361000003</v>
      </c>
      <c r="S52" s="67">
        <v>0.11411779999980354</v>
      </c>
      <c r="T52" s="233"/>
      <c r="U52" s="232"/>
      <c r="V52" s="233"/>
      <c r="W52" s="232"/>
      <c r="X52" s="233"/>
      <c r="Y52" s="232"/>
      <c r="Z52" s="233"/>
    </row>
    <row r="53" spans="1:66" ht="15.6" x14ac:dyDescent="0.3">
      <c r="A53" s="165"/>
      <c r="B53" s="171">
        <v>41</v>
      </c>
      <c r="C53" s="205" t="s">
        <v>319</v>
      </c>
      <c r="D53" s="66">
        <v>361.51389999999998</v>
      </c>
      <c r="E53" s="66">
        <v>0</v>
      </c>
      <c r="F53" s="66">
        <v>380.18634471999997</v>
      </c>
      <c r="G53" s="66">
        <v>361.51389999999998</v>
      </c>
      <c r="H53" s="66">
        <v>18.672444719999998</v>
      </c>
      <c r="I53" s="66">
        <v>322.15779969999994</v>
      </c>
      <c r="J53" s="66">
        <v>5.7500883800000002</v>
      </c>
      <c r="K53" s="66">
        <v>338.77374754000004</v>
      </c>
      <c r="L53" s="66">
        <v>322.15779969999994</v>
      </c>
      <c r="M53" s="66">
        <v>0</v>
      </c>
      <c r="N53" s="66">
        <v>16.615947839999997</v>
      </c>
      <c r="O53" s="67">
        <v>89.113530544745288</v>
      </c>
      <c r="P53" s="67">
        <v>88.986461543531618</v>
      </c>
      <c r="Q53" s="67">
        <v>4.9047330144842762</v>
      </c>
      <c r="R53" s="66">
        <v>5.7500883800000002</v>
      </c>
      <c r="S53" s="67">
        <v>2.2204460492503131E-14</v>
      </c>
    </row>
    <row r="54" spans="1:66" s="62" customFormat="1" ht="31.2" x14ac:dyDescent="0.3">
      <c r="A54" s="207" t="s">
        <v>108</v>
      </c>
      <c r="B54" s="208">
        <v>42</v>
      </c>
      <c r="C54" s="212" t="s">
        <v>109</v>
      </c>
      <c r="D54" s="61">
        <v>13381.1507</v>
      </c>
      <c r="E54" s="61">
        <v>0</v>
      </c>
      <c r="F54" s="61">
        <v>14638.459526029999</v>
      </c>
      <c r="G54" s="61">
        <v>13381.1507</v>
      </c>
      <c r="H54" s="61">
        <v>1257.3088260300001</v>
      </c>
      <c r="I54" s="61">
        <v>13347.461125829999</v>
      </c>
      <c r="J54" s="61">
        <v>226.25284171000001</v>
      </c>
      <c r="K54" s="61">
        <v>14598.357503313589</v>
      </c>
      <c r="L54" s="61">
        <v>13346.644947799999</v>
      </c>
      <c r="M54" s="61">
        <v>0</v>
      </c>
      <c r="N54" s="61">
        <v>1251.7125555135899</v>
      </c>
      <c r="O54" s="61">
        <v>99.742131652399664</v>
      </c>
      <c r="P54" s="61">
        <v>99.554900880312701</v>
      </c>
      <c r="Q54" s="61">
        <v>8.5743382790116733</v>
      </c>
      <c r="R54" s="61">
        <v>203.31175984999999</v>
      </c>
      <c r="S54" s="61">
        <v>23.757259890000046</v>
      </c>
      <c r="T54" s="233"/>
      <c r="U54" s="232"/>
      <c r="V54" s="233"/>
      <c r="W54" s="232"/>
      <c r="X54" s="233"/>
      <c r="Y54" s="232"/>
      <c r="Z54" s="233"/>
      <c r="AA54" s="158"/>
      <c r="AB54" s="158"/>
      <c r="AC54" s="158"/>
      <c r="AD54" s="158"/>
      <c r="AE54" s="158"/>
      <c r="AF54" s="158"/>
      <c r="AG54" s="158"/>
      <c r="AH54" s="158"/>
      <c r="AI54" s="158"/>
      <c r="AJ54" s="158"/>
      <c r="AK54" s="158"/>
      <c r="AL54" s="158"/>
      <c r="AM54" s="158"/>
      <c r="AN54" s="158"/>
      <c r="AO54" s="158"/>
      <c r="AP54" s="158"/>
      <c r="AQ54" s="158"/>
      <c r="AR54" s="158"/>
      <c r="AS54" s="158"/>
      <c r="AT54" s="158"/>
      <c r="AU54" s="158"/>
      <c r="AV54" s="158"/>
      <c r="AW54" s="158"/>
      <c r="AX54" s="158"/>
      <c r="AY54" s="158"/>
      <c r="AZ54" s="158"/>
      <c r="BA54" s="158"/>
      <c r="BB54" s="158"/>
      <c r="BC54" s="158"/>
      <c r="BD54" s="158"/>
      <c r="BE54" s="158"/>
      <c r="BF54" s="158"/>
      <c r="BG54" s="158"/>
      <c r="BH54" s="158"/>
      <c r="BI54" s="158"/>
      <c r="BJ54" s="158"/>
      <c r="BK54" s="158"/>
      <c r="BL54" s="158"/>
      <c r="BM54" s="158"/>
      <c r="BN54" s="158"/>
    </row>
    <row r="55" spans="1:66" ht="15.6" x14ac:dyDescent="0.3">
      <c r="A55" s="210" t="s">
        <v>110</v>
      </c>
      <c r="B55" s="171">
        <v>43</v>
      </c>
      <c r="C55" s="211" t="s">
        <v>111</v>
      </c>
      <c r="D55" s="66">
        <v>3031.6992000000005</v>
      </c>
      <c r="E55" s="66">
        <v>0</v>
      </c>
      <c r="F55" s="66">
        <v>3182.5329003800002</v>
      </c>
      <c r="G55" s="66">
        <v>3031.6992000000005</v>
      </c>
      <c r="H55" s="66">
        <v>150.83370038000001</v>
      </c>
      <c r="I55" s="66">
        <v>3028.8724298500006</v>
      </c>
      <c r="J55" s="66">
        <v>1.5912267499999999</v>
      </c>
      <c r="K55" s="66">
        <v>3179.5573528400005</v>
      </c>
      <c r="L55" s="66">
        <v>3028.8724298500006</v>
      </c>
      <c r="M55" s="66">
        <v>0</v>
      </c>
      <c r="N55" s="66">
        <v>150.68492299000002</v>
      </c>
      <c r="O55" s="67">
        <v>99.906759544284611</v>
      </c>
      <c r="P55" s="67">
        <v>99.90136329638193</v>
      </c>
      <c r="Q55" s="67">
        <v>4.7391792714607677</v>
      </c>
      <c r="R55" s="66">
        <v>1.5912267499999999</v>
      </c>
      <c r="S55" s="67">
        <v>-1.9473311851925246E-13</v>
      </c>
      <c r="T55" s="233"/>
      <c r="U55" s="232"/>
      <c r="V55" s="233"/>
      <c r="W55" s="232"/>
      <c r="X55" s="233"/>
      <c r="Y55" s="232"/>
      <c r="Z55" s="233"/>
    </row>
    <row r="56" spans="1:66" ht="15.6" x14ac:dyDescent="0.3">
      <c r="A56" s="210" t="s">
        <v>112</v>
      </c>
      <c r="B56" s="171">
        <v>44</v>
      </c>
      <c r="C56" s="211" t="s">
        <v>113</v>
      </c>
      <c r="D56" s="66">
        <v>693.72149999999999</v>
      </c>
      <c r="E56" s="66">
        <v>0</v>
      </c>
      <c r="F56" s="66">
        <v>724.16468047000012</v>
      </c>
      <c r="G56" s="66">
        <v>693.72149999999999</v>
      </c>
      <c r="H56" s="66">
        <v>30.443180470000001</v>
      </c>
      <c r="I56" s="66">
        <v>692.3091556600001</v>
      </c>
      <c r="J56" s="66">
        <v>0.88515032000000005</v>
      </c>
      <c r="K56" s="66">
        <v>721.94802211359001</v>
      </c>
      <c r="L56" s="66">
        <v>691.5613196999999</v>
      </c>
      <c r="M56" s="66">
        <v>0</v>
      </c>
      <c r="N56" s="66">
        <v>30.386702413590001</v>
      </c>
      <c r="O56" s="67">
        <v>99.688609867216144</v>
      </c>
      <c r="P56" s="67">
        <v>99.814480433587889</v>
      </c>
      <c r="Q56" s="67">
        <v>4.2089875562826897</v>
      </c>
      <c r="R56" s="66">
        <v>0.87579400000000007</v>
      </c>
      <c r="S56" s="67">
        <v>0.75719228000018191</v>
      </c>
      <c r="T56" s="233"/>
      <c r="U56" s="232"/>
      <c r="V56" s="233"/>
      <c r="W56" s="232"/>
      <c r="X56" s="233"/>
      <c r="Y56" s="232"/>
      <c r="Z56" s="233"/>
    </row>
    <row r="57" spans="1:66" ht="31.2" x14ac:dyDescent="0.3">
      <c r="A57" s="210" t="s">
        <v>114</v>
      </c>
      <c r="B57" s="171">
        <v>45</v>
      </c>
      <c r="C57" s="211" t="s">
        <v>115</v>
      </c>
      <c r="D57" s="66">
        <v>1768.5615</v>
      </c>
      <c r="E57" s="66">
        <v>0</v>
      </c>
      <c r="F57" s="66">
        <v>1888.8976043700002</v>
      </c>
      <c r="G57" s="66">
        <v>1768.5615</v>
      </c>
      <c r="H57" s="66">
        <v>120.33610437000002</v>
      </c>
      <c r="I57" s="66">
        <v>1768.46107287</v>
      </c>
      <c r="J57" s="66">
        <v>5.7154489699999997</v>
      </c>
      <c r="K57" s="66">
        <v>1888.7896182000002</v>
      </c>
      <c r="L57" s="66">
        <v>1768.46107287</v>
      </c>
      <c r="M57" s="66">
        <v>0</v>
      </c>
      <c r="N57" s="66">
        <v>120.32854533000001</v>
      </c>
      <c r="O57" s="67">
        <v>99.994321535892311</v>
      </c>
      <c r="P57" s="67">
        <v>99.993718393960336</v>
      </c>
      <c r="Q57" s="67">
        <v>6.3706695637533226</v>
      </c>
      <c r="R57" s="66">
        <v>5.7154489699999997</v>
      </c>
      <c r="S57" s="67">
        <v>-1.021405182655144E-13</v>
      </c>
      <c r="T57" s="233"/>
      <c r="U57" s="232"/>
      <c r="V57" s="233"/>
      <c r="W57" s="232"/>
      <c r="X57" s="233"/>
      <c r="Y57" s="232"/>
      <c r="Z57" s="233"/>
    </row>
    <row r="58" spans="1:66" ht="31.2" x14ac:dyDescent="0.3">
      <c r="A58" s="210" t="s">
        <v>116</v>
      </c>
      <c r="B58" s="171">
        <v>46</v>
      </c>
      <c r="C58" s="211" t="s">
        <v>117</v>
      </c>
      <c r="D58" s="66">
        <v>1030.6534999999999</v>
      </c>
      <c r="E58" s="66">
        <v>0</v>
      </c>
      <c r="F58" s="66">
        <v>1078.22210219</v>
      </c>
      <c r="G58" s="66">
        <v>1030.6534999999999</v>
      </c>
      <c r="H58" s="66">
        <v>47.56860219</v>
      </c>
      <c r="I58" s="66">
        <v>1030.6534999999999</v>
      </c>
      <c r="J58" s="66">
        <v>55.033863790000005</v>
      </c>
      <c r="K58" s="66">
        <v>1078.2221019799999</v>
      </c>
      <c r="L58" s="66">
        <v>1030.6534999999999</v>
      </c>
      <c r="M58" s="66">
        <v>0</v>
      </c>
      <c r="N58" s="66">
        <v>47.568601979999997</v>
      </c>
      <c r="O58" s="67">
        <v>100</v>
      </c>
      <c r="P58" s="67">
        <v>99.999999558532323</v>
      </c>
      <c r="Q58" s="67">
        <v>4.4117628355648701</v>
      </c>
      <c r="R58" s="66">
        <v>55.033859929999998</v>
      </c>
      <c r="S58" s="67">
        <v>3.8599999427901821E-6</v>
      </c>
      <c r="T58" s="233"/>
      <c r="U58" s="232"/>
      <c r="V58" s="233"/>
      <c r="W58" s="232"/>
      <c r="X58" s="233"/>
      <c r="Y58" s="232"/>
      <c r="Z58" s="233"/>
    </row>
    <row r="59" spans="1:66" ht="31.2" x14ac:dyDescent="0.3">
      <c r="A59" s="210" t="s">
        <v>118</v>
      </c>
      <c r="B59" s="171">
        <v>47</v>
      </c>
      <c r="C59" s="211" t="s">
        <v>119</v>
      </c>
      <c r="D59" s="66">
        <v>673.39980000000003</v>
      </c>
      <c r="E59" s="66">
        <v>0</v>
      </c>
      <c r="F59" s="66">
        <v>712.12185497999997</v>
      </c>
      <c r="G59" s="66">
        <v>673.39980000000003</v>
      </c>
      <c r="H59" s="66">
        <v>38.722054979999996</v>
      </c>
      <c r="I59" s="66">
        <v>672.72945695999999</v>
      </c>
      <c r="J59" s="66">
        <v>3.9598241500000002</v>
      </c>
      <c r="K59" s="66">
        <v>711.40105633000007</v>
      </c>
      <c r="L59" s="66">
        <v>672.72945695999999</v>
      </c>
      <c r="M59" s="66">
        <v>0</v>
      </c>
      <c r="N59" s="66">
        <v>38.671599369999996</v>
      </c>
      <c r="O59" s="67">
        <v>99.900453929448744</v>
      </c>
      <c r="P59" s="67">
        <v>99.869698005371717</v>
      </c>
      <c r="Q59" s="67">
        <v>5.4359772207115293</v>
      </c>
      <c r="R59" s="66">
        <v>3.9598241500000002</v>
      </c>
      <c r="S59" s="67">
        <v>3.1086244689504383E-14</v>
      </c>
      <c r="T59" s="233"/>
      <c r="U59" s="232"/>
      <c r="V59" s="233"/>
      <c r="W59" s="232"/>
      <c r="X59" s="233"/>
      <c r="Y59" s="232"/>
      <c r="Z59" s="233"/>
    </row>
    <row r="60" spans="1:66" ht="15.6" x14ac:dyDescent="0.3">
      <c r="A60" s="210" t="s">
        <v>120</v>
      </c>
      <c r="B60" s="171">
        <v>48</v>
      </c>
      <c r="C60" s="211" t="s">
        <v>122</v>
      </c>
      <c r="D60" s="66">
        <v>1820.4212</v>
      </c>
      <c r="E60" s="66">
        <v>0</v>
      </c>
      <c r="F60" s="66">
        <v>1942.1502147999997</v>
      </c>
      <c r="G60" s="66">
        <v>1820.4212</v>
      </c>
      <c r="H60" s="66">
        <v>121.7290148</v>
      </c>
      <c r="I60" s="66">
        <v>1820.42118553</v>
      </c>
      <c r="J60" s="66">
        <v>59.843325</v>
      </c>
      <c r="K60" s="66">
        <v>1942.1501991700002</v>
      </c>
      <c r="L60" s="66">
        <v>1820.42118553</v>
      </c>
      <c r="M60" s="66">
        <v>0</v>
      </c>
      <c r="N60" s="66">
        <v>121.72901364000001</v>
      </c>
      <c r="O60" s="67">
        <v>99.999999205129015</v>
      </c>
      <c r="P60" s="67">
        <v>99.999999047063682</v>
      </c>
      <c r="Q60" s="67">
        <v>6.2677445694994285</v>
      </c>
      <c r="R60" s="66">
        <v>59.843325</v>
      </c>
      <c r="S60" s="67">
        <v>4.9737991503207013E-14</v>
      </c>
      <c r="T60" s="233"/>
      <c r="U60" s="232"/>
      <c r="V60" s="233"/>
      <c r="W60" s="232"/>
      <c r="X60" s="233"/>
      <c r="Y60" s="232"/>
      <c r="Z60" s="233"/>
    </row>
    <row r="61" spans="1:66" ht="15.6" x14ac:dyDescent="0.3">
      <c r="A61" s="210" t="s">
        <v>123</v>
      </c>
      <c r="B61" s="171">
        <v>49</v>
      </c>
      <c r="C61" s="211" t="s">
        <v>125</v>
      </c>
      <c r="D61" s="66">
        <v>4362.6939999999995</v>
      </c>
      <c r="E61" s="66">
        <v>0</v>
      </c>
      <c r="F61" s="66">
        <v>5110.3701688399997</v>
      </c>
      <c r="G61" s="66">
        <v>4362.6939999999995</v>
      </c>
      <c r="H61" s="66">
        <v>747.67616884000006</v>
      </c>
      <c r="I61" s="66">
        <v>4334.0143249599996</v>
      </c>
      <c r="J61" s="66">
        <v>99.224002729999995</v>
      </c>
      <c r="K61" s="66">
        <v>5076.2891526799995</v>
      </c>
      <c r="L61" s="66">
        <v>4333.9459828899999</v>
      </c>
      <c r="M61" s="66">
        <v>0</v>
      </c>
      <c r="N61" s="66">
        <v>742.34316978999993</v>
      </c>
      <c r="O61" s="67">
        <v>99.341048968596013</v>
      </c>
      <c r="P61" s="67">
        <v>99.286723414192252</v>
      </c>
      <c r="Q61" s="67">
        <v>14.623736896431202</v>
      </c>
      <c r="R61" s="66">
        <v>76.29228105</v>
      </c>
      <c r="S61" s="67">
        <v>23.000063750000137</v>
      </c>
      <c r="T61" s="233"/>
      <c r="U61" s="232"/>
      <c r="V61" s="233"/>
      <c r="W61" s="232"/>
      <c r="X61" s="233"/>
      <c r="Y61" s="232"/>
      <c r="Z61" s="233"/>
    </row>
    <row r="62" spans="1:66" s="62" customFormat="1" ht="15.6" x14ac:dyDescent="0.3">
      <c r="A62" s="201" t="s">
        <v>126</v>
      </c>
      <c r="B62" s="208">
        <v>50</v>
      </c>
      <c r="C62" s="203" t="s">
        <v>128</v>
      </c>
      <c r="D62" s="61">
        <v>24064.744700000003</v>
      </c>
      <c r="E62" s="61">
        <v>0</v>
      </c>
      <c r="F62" s="61">
        <v>30558.37886008</v>
      </c>
      <c r="G62" s="61">
        <v>24064.744700000003</v>
      </c>
      <c r="H62" s="61">
        <v>6493.6341600799997</v>
      </c>
      <c r="I62" s="61">
        <v>23838.78118039</v>
      </c>
      <c r="J62" s="61">
        <v>404.47693675000005</v>
      </c>
      <c r="K62" s="61">
        <v>30272.66204182</v>
      </c>
      <c r="L62" s="61">
        <v>23837.295959849995</v>
      </c>
      <c r="M62" s="61">
        <v>0</v>
      </c>
      <c r="N62" s="61">
        <v>6435.3660819699999</v>
      </c>
      <c r="O62" s="61">
        <v>99.054846652289612</v>
      </c>
      <c r="P62" s="61">
        <v>99.102689238820901</v>
      </c>
      <c r="Q62" s="61">
        <v>21.258011842763942</v>
      </c>
      <c r="R62" s="61">
        <v>401.22824398</v>
      </c>
      <c r="S62" s="61">
        <v>4.7339133100000437</v>
      </c>
      <c r="T62" s="233"/>
      <c r="U62" s="232"/>
      <c r="V62" s="233"/>
      <c r="W62" s="232"/>
      <c r="X62" s="233"/>
      <c r="Y62" s="232"/>
      <c r="Z62" s="233"/>
      <c r="AA62" s="158"/>
      <c r="AB62" s="158"/>
      <c r="AC62" s="158"/>
      <c r="AD62" s="158"/>
      <c r="AE62" s="158"/>
      <c r="AF62" s="158"/>
      <c r="AG62" s="158"/>
      <c r="AH62" s="158"/>
      <c r="AI62" s="158"/>
      <c r="AJ62" s="158"/>
      <c r="AK62" s="158"/>
      <c r="AL62" s="158"/>
      <c r="AM62" s="158"/>
      <c r="AN62" s="158"/>
      <c r="AO62" s="158"/>
      <c r="AP62" s="158"/>
      <c r="AQ62" s="158"/>
      <c r="AR62" s="158"/>
      <c r="AS62" s="158"/>
      <c r="AT62" s="158"/>
      <c r="AU62" s="158"/>
      <c r="AV62" s="158"/>
      <c r="AW62" s="158"/>
      <c r="AX62" s="158"/>
      <c r="AY62" s="158"/>
      <c r="AZ62" s="158"/>
      <c r="BA62" s="158"/>
      <c r="BB62" s="158"/>
      <c r="BC62" s="158"/>
      <c r="BD62" s="158"/>
      <c r="BE62" s="158"/>
      <c r="BF62" s="158"/>
      <c r="BG62" s="158"/>
      <c r="BH62" s="158"/>
      <c r="BI62" s="158"/>
      <c r="BJ62" s="158"/>
      <c r="BK62" s="158"/>
      <c r="BL62" s="158"/>
      <c r="BM62" s="158"/>
      <c r="BN62" s="158"/>
    </row>
    <row r="63" spans="1:66" ht="15.6" x14ac:dyDescent="0.3">
      <c r="A63" s="204" t="s">
        <v>129</v>
      </c>
      <c r="B63" s="171">
        <v>51</v>
      </c>
      <c r="C63" s="205" t="s">
        <v>131</v>
      </c>
      <c r="D63" s="66">
        <v>2886.2706000000003</v>
      </c>
      <c r="E63" s="66">
        <v>0</v>
      </c>
      <c r="F63" s="66">
        <v>3535.5932092100002</v>
      </c>
      <c r="G63" s="66">
        <v>2886.2706000000003</v>
      </c>
      <c r="H63" s="66">
        <v>649.32260921</v>
      </c>
      <c r="I63" s="66">
        <v>2886.1691475000002</v>
      </c>
      <c r="J63" s="66">
        <v>86.457329779999995</v>
      </c>
      <c r="K63" s="66">
        <v>3535.4322121499999</v>
      </c>
      <c r="L63" s="66">
        <v>2886.15748979</v>
      </c>
      <c r="M63" s="66">
        <v>0</v>
      </c>
      <c r="N63" s="66">
        <v>649.27472235999994</v>
      </c>
      <c r="O63" s="67">
        <v>99.996081094752512</v>
      </c>
      <c r="P63" s="67">
        <v>99.992625106638698</v>
      </c>
      <c r="Q63" s="67">
        <v>18.364790594164919</v>
      </c>
      <c r="R63" s="66">
        <v>86.457329779999995</v>
      </c>
      <c r="S63" s="67">
        <v>1.1657710000022803E-2</v>
      </c>
      <c r="T63" s="233"/>
      <c r="U63" s="232"/>
      <c r="V63" s="233"/>
      <c r="W63" s="232"/>
      <c r="X63" s="233"/>
      <c r="Y63" s="232"/>
      <c r="Z63" s="233"/>
    </row>
    <row r="64" spans="1:66" ht="15.6" x14ac:dyDescent="0.3">
      <c r="A64" s="204" t="s">
        <v>132</v>
      </c>
      <c r="B64" s="171">
        <v>52</v>
      </c>
      <c r="C64" s="205" t="s">
        <v>134</v>
      </c>
      <c r="D64" s="66">
        <v>815.12270000000001</v>
      </c>
      <c r="E64" s="66">
        <v>0</v>
      </c>
      <c r="F64" s="66">
        <v>848.63068673999999</v>
      </c>
      <c r="G64" s="66">
        <v>815.12270000000001</v>
      </c>
      <c r="H64" s="66">
        <v>33.50798674</v>
      </c>
      <c r="I64" s="66">
        <v>809.75597771000002</v>
      </c>
      <c r="J64" s="66">
        <v>168.89925027000001</v>
      </c>
      <c r="K64" s="66">
        <v>842.79729295000004</v>
      </c>
      <c r="L64" s="66">
        <v>809.75597771000002</v>
      </c>
      <c r="M64" s="66">
        <v>0</v>
      </c>
      <c r="N64" s="66">
        <v>33.041315240000003</v>
      </c>
      <c r="O64" s="67">
        <v>99.341605590176798</v>
      </c>
      <c r="P64" s="67">
        <v>98.607282784187959</v>
      </c>
      <c r="Q64" s="67">
        <v>3.9204344290603008</v>
      </c>
      <c r="R64" s="66">
        <v>168.89925027000001</v>
      </c>
      <c r="S64" s="67">
        <v>2.8421709430404007E-14</v>
      </c>
      <c r="T64" s="233"/>
      <c r="U64" s="232"/>
      <c r="V64" s="233"/>
      <c r="W64" s="232"/>
      <c r="X64" s="233"/>
      <c r="Y64" s="232"/>
      <c r="Z64" s="233"/>
    </row>
    <row r="65" spans="1:66" ht="15.6" x14ac:dyDescent="0.3">
      <c r="A65" s="204" t="s">
        <v>135</v>
      </c>
      <c r="B65" s="171">
        <v>53</v>
      </c>
      <c r="C65" s="205" t="s">
        <v>137</v>
      </c>
      <c r="D65" s="66">
        <v>1805.8273000000002</v>
      </c>
      <c r="E65" s="66">
        <v>0</v>
      </c>
      <c r="F65" s="66">
        <v>2358.5699754800003</v>
      </c>
      <c r="G65" s="66">
        <v>1805.8273000000002</v>
      </c>
      <c r="H65" s="66">
        <v>552.74267548</v>
      </c>
      <c r="I65" s="66">
        <v>1805.82725</v>
      </c>
      <c r="J65" s="66">
        <v>7.5161438</v>
      </c>
      <c r="K65" s="66">
        <v>2358.5699254800002</v>
      </c>
      <c r="L65" s="66">
        <v>1805.82725</v>
      </c>
      <c r="M65" s="66">
        <v>0</v>
      </c>
      <c r="N65" s="66">
        <v>552.74267548</v>
      </c>
      <c r="O65" s="67">
        <v>99.999997231185944</v>
      </c>
      <c r="P65" s="67">
        <v>100</v>
      </c>
      <c r="Q65" s="67">
        <v>23.435500873161924</v>
      </c>
      <c r="R65" s="66">
        <v>7.5161438</v>
      </c>
      <c r="S65" s="67">
        <v>8.8817841970012523E-15</v>
      </c>
      <c r="T65" s="233"/>
      <c r="U65" s="232"/>
      <c r="V65" s="233"/>
      <c r="W65" s="232"/>
      <c r="X65" s="233"/>
      <c r="Y65" s="232"/>
      <c r="Z65" s="233"/>
    </row>
    <row r="66" spans="1:66" ht="15.6" x14ac:dyDescent="0.3">
      <c r="A66" s="204" t="s">
        <v>138</v>
      </c>
      <c r="B66" s="171">
        <v>54</v>
      </c>
      <c r="C66" s="205" t="s">
        <v>140</v>
      </c>
      <c r="D66" s="66">
        <v>4294.7247000000007</v>
      </c>
      <c r="E66" s="66">
        <v>0</v>
      </c>
      <c r="F66" s="66">
        <v>6565.4522092900006</v>
      </c>
      <c r="G66" s="66">
        <v>4294.7247000000007</v>
      </c>
      <c r="H66" s="66">
        <v>2270.7275092899999</v>
      </c>
      <c r="I66" s="66">
        <v>4293.9302163299999</v>
      </c>
      <c r="J66" s="66">
        <v>14.497116770000002</v>
      </c>
      <c r="K66" s="66">
        <v>6564.0824160999991</v>
      </c>
      <c r="L66" s="66">
        <v>4293.9302157499997</v>
      </c>
      <c r="M66" s="66">
        <v>0</v>
      </c>
      <c r="N66" s="66">
        <v>2270.1522003499999</v>
      </c>
      <c r="O66" s="67">
        <v>99.981500927172334</v>
      </c>
      <c r="P66" s="67">
        <v>99.974664113697216</v>
      </c>
      <c r="Q66" s="67">
        <v>34.584456081506573</v>
      </c>
      <c r="R66" s="66">
        <v>12.085893580000002</v>
      </c>
      <c r="S66" s="67">
        <v>2.4112237699998236</v>
      </c>
      <c r="T66" s="233"/>
      <c r="U66" s="232"/>
      <c r="V66" s="233"/>
      <c r="W66" s="232"/>
      <c r="X66" s="233"/>
      <c r="Y66" s="232"/>
      <c r="Z66" s="233"/>
    </row>
    <row r="67" spans="1:66" ht="15.6" x14ac:dyDescent="0.3">
      <c r="A67" s="204" t="s">
        <v>141</v>
      </c>
      <c r="B67" s="171">
        <v>55</v>
      </c>
      <c r="C67" s="205" t="s">
        <v>143</v>
      </c>
      <c r="D67" s="66">
        <v>1366.8989999999999</v>
      </c>
      <c r="E67" s="66">
        <v>0</v>
      </c>
      <c r="F67" s="66">
        <v>1640.5444281600003</v>
      </c>
      <c r="G67" s="66">
        <v>1366.8989999999999</v>
      </c>
      <c r="H67" s="66">
        <v>273.64542816000005</v>
      </c>
      <c r="I67" s="66">
        <v>1357.1522877</v>
      </c>
      <c r="J67" s="66">
        <v>4.73377274</v>
      </c>
      <c r="K67" s="66">
        <v>1630.5343678700003</v>
      </c>
      <c r="L67" s="66">
        <v>1357.1522877</v>
      </c>
      <c r="M67" s="66">
        <v>0</v>
      </c>
      <c r="N67" s="66">
        <v>273.38208017000005</v>
      </c>
      <c r="O67" s="67">
        <v>99.286947148253105</v>
      </c>
      <c r="P67" s="67">
        <v>99.903763058725019</v>
      </c>
      <c r="Q67" s="67">
        <v>16.766410175525742</v>
      </c>
      <c r="R67" s="66">
        <v>4.73377274</v>
      </c>
      <c r="S67" s="67">
        <v>-5.0626169922907138E-14</v>
      </c>
      <c r="T67" s="233"/>
      <c r="U67" s="232"/>
      <c r="V67" s="233"/>
      <c r="W67" s="232"/>
      <c r="X67" s="233"/>
      <c r="Y67" s="232"/>
      <c r="Z67" s="233"/>
    </row>
    <row r="68" spans="1:66" ht="15.6" x14ac:dyDescent="0.3">
      <c r="A68" s="204" t="s">
        <v>144</v>
      </c>
      <c r="B68" s="171">
        <v>56</v>
      </c>
      <c r="C68" s="205" t="s">
        <v>146</v>
      </c>
      <c r="D68" s="66">
        <v>1395.1372999999999</v>
      </c>
      <c r="E68" s="66">
        <v>0</v>
      </c>
      <c r="F68" s="66">
        <v>1483.8796599199998</v>
      </c>
      <c r="G68" s="66">
        <v>1395.1372999999999</v>
      </c>
      <c r="H68" s="66">
        <v>88.742359919999984</v>
      </c>
      <c r="I68" s="66">
        <v>1334.46787178</v>
      </c>
      <c r="J68" s="66">
        <v>24.462868459999999</v>
      </c>
      <c r="K68" s="66">
        <v>1419.3206747700001</v>
      </c>
      <c r="L68" s="66">
        <v>1334.4518527799999</v>
      </c>
      <c r="M68" s="66">
        <v>0</v>
      </c>
      <c r="N68" s="66">
        <v>84.868821989999986</v>
      </c>
      <c r="O68" s="67">
        <v>95.650216848191221</v>
      </c>
      <c r="P68" s="67">
        <v>95.635074463320635</v>
      </c>
      <c r="Q68" s="67">
        <v>5.9795382043422229</v>
      </c>
      <c r="R68" s="66">
        <v>24.462868459999999</v>
      </c>
      <c r="S68" s="67">
        <v>1.601900000012435E-2</v>
      </c>
      <c r="T68" s="233"/>
      <c r="U68" s="232"/>
      <c r="V68" s="233"/>
      <c r="W68" s="232"/>
      <c r="X68" s="233"/>
      <c r="Y68" s="232"/>
      <c r="Z68" s="233"/>
    </row>
    <row r="69" spans="1:66" ht="15.6" x14ac:dyDescent="0.3">
      <c r="A69" s="204" t="s">
        <v>147</v>
      </c>
      <c r="B69" s="171">
        <v>57</v>
      </c>
      <c r="C69" s="205" t="s">
        <v>149</v>
      </c>
      <c r="D69" s="66">
        <v>932.37090000000001</v>
      </c>
      <c r="E69" s="66">
        <v>0</v>
      </c>
      <c r="F69" s="66">
        <v>1270.4324952100001</v>
      </c>
      <c r="G69" s="66">
        <v>932.37090000000001</v>
      </c>
      <c r="H69" s="66">
        <v>338.06159521000006</v>
      </c>
      <c r="I69" s="66">
        <v>876.25217901000008</v>
      </c>
      <c r="J69" s="66">
        <v>3.6432083500000001</v>
      </c>
      <c r="K69" s="66">
        <v>1193.59575281</v>
      </c>
      <c r="L69" s="66">
        <v>876.19340899999997</v>
      </c>
      <c r="M69" s="66">
        <v>0</v>
      </c>
      <c r="N69" s="66">
        <v>317.40234380999999</v>
      </c>
      <c r="O69" s="67">
        <v>93.974770019098614</v>
      </c>
      <c r="P69" s="67">
        <v>93.888909094460502</v>
      </c>
      <c r="Q69" s="67">
        <v>26.592114043867998</v>
      </c>
      <c r="R69" s="66">
        <v>3.2340572000000001</v>
      </c>
      <c r="S69" s="67">
        <v>0.46792116000011186</v>
      </c>
      <c r="T69" s="233"/>
      <c r="U69" s="232"/>
      <c r="V69" s="233"/>
      <c r="W69" s="232"/>
      <c r="X69" s="233"/>
      <c r="Y69" s="232"/>
      <c r="Z69" s="233"/>
    </row>
    <row r="70" spans="1:66" ht="15.6" x14ac:dyDescent="0.3">
      <c r="A70" s="204" t="s">
        <v>150</v>
      </c>
      <c r="B70" s="171">
        <v>58</v>
      </c>
      <c r="C70" s="205" t="s">
        <v>152</v>
      </c>
      <c r="D70" s="66">
        <v>1488.8400000000001</v>
      </c>
      <c r="E70" s="66">
        <v>0</v>
      </c>
      <c r="F70" s="66">
        <v>1568.6015500000001</v>
      </c>
      <c r="G70" s="66">
        <v>1488.8400000000001</v>
      </c>
      <c r="H70" s="66">
        <v>79.76155</v>
      </c>
      <c r="I70" s="66">
        <v>1476.9438094899999</v>
      </c>
      <c r="J70" s="66">
        <v>0.71646418000000001</v>
      </c>
      <c r="K70" s="66">
        <v>1555.5908366299998</v>
      </c>
      <c r="L70" s="66">
        <v>1476.9438094699999</v>
      </c>
      <c r="M70" s="66">
        <v>0</v>
      </c>
      <c r="N70" s="66">
        <v>78.647027160000007</v>
      </c>
      <c r="O70" s="67">
        <v>99.200975891969563</v>
      </c>
      <c r="P70" s="67">
        <v>98.602681567747879</v>
      </c>
      <c r="Q70" s="67">
        <v>5.0557656491715601</v>
      </c>
      <c r="R70" s="66">
        <v>0.71646418000000001</v>
      </c>
      <c r="S70" s="67">
        <v>2.0000018530197394E-8</v>
      </c>
      <c r="T70" s="233"/>
      <c r="U70" s="232"/>
      <c r="V70" s="233"/>
      <c r="W70" s="232"/>
      <c r="X70" s="233"/>
      <c r="Y70" s="232"/>
      <c r="Z70" s="233"/>
    </row>
    <row r="71" spans="1:66" ht="15.6" x14ac:dyDescent="0.3">
      <c r="A71" s="204" t="s">
        <v>153</v>
      </c>
      <c r="B71" s="171">
        <v>59</v>
      </c>
      <c r="C71" s="205" t="s">
        <v>155</v>
      </c>
      <c r="D71" s="66">
        <v>1328.0719999999999</v>
      </c>
      <c r="E71" s="66">
        <v>0</v>
      </c>
      <c r="F71" s="66">
        <v>1866.28843534</v>
      </c>
      <c r="G71" s="66">
        <v>1328.0719999999999</v>
      </c>
      <c r="H71" s="66">
        <v>538.21643533999998</v>
      </c>
      <c r="I71" s="66">
        <v>1328.0695177299999</v>
      </c>
      <c r="J71" s="66">
        <v>8.4888426799999994</v>
      </c>
      <c r="K71" s="66">
        <v>1866.2851125</v>
      </c>
      <c r="L71" s="66">
        <v>1328.0695177299999</v>
      </c>
      <c r="M71" s="66">
        <v>0</v>
      </c>
      <c r="N71" s="66">
        <v>538.21559476999994</v>
      </c>
      <c r="O71" s="67">
        <v>99.99981309221188</v>
      </c>
      <c r="P71" s="67">
        <v>99.99984382305243</v>
      </c>
      <c r="Q71" s="67">
        <v>28.838873072776543</v>
      </c>
      <c r="R71" s="66">
        <v>8.4888426799999994</v>
      </c>
      <c r="S71" s="67">
        <v>6.2172489379008766E-14</v>
      </c>
      <c r="T71" s="233"/>
      <c r="U71" s="232"/>
      <c r="V71" s="233"/>
      <c r="W71" s="232"/>
      <c r="X71" s="233"/>
      <c r="Y71" s="232"/>
      <c r="Z71" s="233"/>
    </row>
    <row r="72" spans="1:66" ht="15.6" x14ac:dyDescent="0.3">
      <c r="A72" s="204" t="s">
        <v>156</v>
      </c>
      <c r="B72" s="171">
        <v>60</v>
      </c>
      <c r="C72" s="205" t="s">
        <v>158</v>
      </c>
      <c r="D72" s="66">
        <v>2266.8982999999998</v>
      </c>
      <c r="E72" s="66">
        <v>0</v>
      </c>
      <c r="F72" s="66">
        <v>2745.4918365000003</v>
      </c>
      <c r="G72" s="66">
        <v>2266.8982999999998</v>
      </c>
      <c r="H72" s="66">
        <v>478.59353650000003</v>
      </c>
      <c r="I72" s="66">
        <v>2264.9759341499994</v>
      </c>
      <c r="J72" s="66">
        <v>19.36853588</v>
      </c>
      <c r="K72" s="66">
        <v>2742.9287219000003</v>
      </c>
      <c r="L72" s="66">
        <v>2264.9759340899996</v>
      </c>
      <c r="M72" s="66">
        <v>0</v>
      </c>
      <c r="N72" s="66">
        <v>477.95278781000002</v>
      </c>
      <c r="O72" s="67">
        <v>99.915198405239423</v>
      </c>
      <c r="P72" s="67">
        <v>99.86611839878033</v>
      </c>
      <c r="Q72" s="67">
        <v>17.424907326025107</v>
      </c>
      <c r="R72" s="66">
        <v>19.343279279999997</v>
      </c>
      <c r="S72" s="67">
        <v>2.5256659999676856E-2</v>
      </c>
      <c r="T72" s="233"/>
      <c r="U72" s="232"/>
      <c r="V72" s="233"/>
      <c r="W72" s="232"/>
      <c r="X72" s="233"/>
      <c r="Y72" s="232"/>
      <c r="Z72" s="233"/>
    </row>
    <row r="73" spans="1:66" ht="15.6" x14ac:dyDescent="0.3">
      <c r="A73" s="204" t="s">
        <v>159</v>
      </c>
      <c r="B73" s="171">
        <v>61</v>
      </c>
      <c r="C73" s="205" t="s">
        <v>161</v>
      </c>
      <c r="D73" s="66">
        <v>1692.2887000000001</v>
      </c>
      <c r="E73" s="66">
        <v>0</v>
      </c>
      <c r="F73" s="66">
        <v>1863.4622468599998</v>
      </c>
      <c r="G73" s="66">
        <v>1692.2887000000001</v>
      </c>
      <c r="H73" s="66">
        <v>171.17354685999999</v>
      </c>
      <c r="I73" s="66">
        <v>1689.47168164</v>
      </c>
      <c r="J73" s="66">
        <v>7.5270080999999998</v>
      </c>
      <c r="K73" s="66">
        <v>1857.9159662399998</v>
      </c>
      <c r="L73" s="66">
        <v>1689.47168164</v>
      </c>
      <c r="M73" s="66">
        <v>0</v>
      </c>
      <c r="N73" s="66">
        <v>168.4442846</v>
      </c>
      <c r="O73" s="67">
        <v>99.833537956023704</v>
      </c>
      <c r="P73" s="67">
        <v>98.405558387925325</v>
      </c>
      <c r="Q73" s="67">
        <v>9.0663026563517288</v>
      </c>
      <c r="R73" s="66">
        <v>7.5270080999999998</v>
      </c>
      <c r="S73" s="67">
        <v>1.0302869668521453E-13</v>
      </c>
      <c r="T73" s="233"/>
      <c r="U73" s="232"/>
      <c r="V73" s="233"/>
      <c r="W73" s="232"/>
      <c r="X73" s="233"/>
      <c r="Y73" s="232"/>
      <c r="Z73" s="233"/>
    </row>
    <row r="74" spans="1:66" ht="15.6" x14ac:dyDescent="0.3">
      <c r="A74" s="204" t="s">
        <v>162</v>
      </c>
      <c r="B74" s="171">
        <v>62</v>
      </c>
      <c r="C74" s="205" t="s">
        <v>164</v>
      </c>
      <c r="D74" s="66">
        <v>1271.4259999999999</v>
      </c>
      <c r="E74" s="66">
        <v>0</v>
      </c>
      <c r="F74" s="66">
        <v>1881.85742757</v>
      </c>
      <c r="G74" s="66">
        <v>1271.4259999999999</v>
      </c>
      <c r="H74" s="66">
        <v>610.43142756999998</v>
      </c>
      <c r="I74" s="66">
        <v>1197.30263442</v>
      </c>
      <c r="J74" s="66">
        <v>26.701003160000003</v>
      </c>
      <c r="K74" s="66">
        <v>1779.6573018700001</v>
      </c>
      <c r="L74" s="66">
        <v>1196.4532450199999</v>
      </c>
      <c r="M74" s="66">
        <v>0</v>
      </c>
      <c r="N74" s="66">
        <v>583.20405685000003</v>
      </c>
      <c r="O74" s="67">
        <v>94.103254536245132</v>
      </c>
      <c r="P74" s="67">
        <v>95.539651222024006</v>
      </c>
      <c r="Q74" s="67">
        <v>32.770582079886395</v>
      </c>
      <c r="R74" s="66">
        <v>26.29794133</v>
      </c>
      <c r="S74" s="67">
        <v>1.2524512300000907</v>
      </c>
      <c r="T74" s="233"/>
      <c r="U74" s="232"/>
      <c r="V74" s="233"/>
      <c r="W74" s="232"/>
      <c r="X74" s="233"/>
      <c r="Y74" s="232"/>
      <c r="Z74" s="233"/>
    </row>
    <row r="75" spans="1:66" ht="15.6" x14ac:dyDescent="0.3">
      <c r="A75" s="204" t="s">
        <v>165</v>
      </c>
      <c r="B75" s="171">
        <v>63</v>
      </c>
      <c r="C75" s="205" t="s">
        <v>167</v>
      </c>
      <c r="D75" s="66">
        <v>1963.8251</v>
      </c>
      <c r="E75" s="66">
        <v>0</v>
      </c>
      <c r="F75" s="66">
        <v>2191.5480718999997</v>
      </c>
      <c r="G75" s="66">
        <v>1963.8251</v>
      </c>
      <c r="H75" s="66">
        <v>227.7229719</v>
      </c>
      <c r="I75" s="66">
        <v>1963.42577884</v>
      </c>
      <c r="J75" s="66">
        <v>25.041897210000002</v>
      </c>
      <c r="K75" s="66">
        <v>2191.09940624</v>
      </c>
      <c r="L75" s="66">
        <v>1963.42577884</v>
      </c>
      <c r="M75" s="66">
        <v>0</v>
      </c>
      <c r="N75" s="66">
        <v>227.67362739999999</v>
      </c>
      <c r="O75" s="67">
        <v>99.979666154587804</v>
      </c>
      <c r="P75" s="67">
        <v>99.978331347255704</v>
      </c>
      <c r="Q75" s="67">
        <v>10.390839719622559</v>
      </c>
      <c r="R75" s="66">
        <v>25.041897210000002</v>
      </c>
      <c r="S75" s="67">
        <v>1.1368683772161603E-13</v>
      </c>
      <c r="T75" s="233"/>
      <c r="U75" s="232"/>
      <c r="V75" s="233"/>
      <c r="W75" s="232"/>
      <c r="X75" s="233"/>
      <c r="Y75" s="232"/>
      <c r="Z75" s="233"/>
    </row>
    <row r="76" spans="1:66" ht="15.6" x14ac:dyDescent="0.3">
      <c r="A76" s="204" t="s">
        <v>168</v>
      </c>
      <c r="B76" s="171">
        <v>64</v>
      </c>
      <c r="C76" s="205" t="s">
        <v>170</v>
      </c>
      <c r="D76" s="66">
        <v>557.0421</v>
      </c>
      <c r="E76" s="66">
        <v>0</v>
      </c>
      <c r="F76" s="66">
        <v>738.02662789999999</v>
      </c>
      <c r="G76" s="66">
        <v>557.0421</v>
      </c>
      <c r="H76" s="66">
        <v>180.98452789999999</v>
      </c>
      <c r="I76" s="66">
        <v>555.03689409000003</v>
      </c>
      <c r="J76" s="66">
        <v>6.4234953700000004</v>
      </c>
      <c r="K76" s="66">
        <v>734.85205430999986</v>
      </c>
      <c r="L76" s="66">
        <v>554.48751033000008</v>
      </c>
      <c r="M76" s="66">
        <v>0</v>
      </c>
      <c r="N76" s="66">
        <v>180.36454398000001</v>
      </c>
      <c r="O76" s="67">
        <v>99.541400969513802</v>
      </c>
      <c r="P76" s="67">
        <v>99.657438164911781</v>
      </c>
      <c r="Q76" s="67">
        <v>24.544334185655362</v>
      </c>
      <c r="R76" s="66">
        <v>6.4234953700000004</v>
      </c>
      <c r="S76" s="67">
        <v>0.54938375999990985</v>
      </c>
      <c r="T76" s="233"/>
      <c r="U76" s="232"/>
      <c r="V76" s="233"/>
      <c r="W76" s="232"/>
      <c r="X76" s="233"/>
      <c r="Y76" s="232"/>
      <c r="Z76" s="233"/>
    </row>
    <row r="77" spans="1:66" s="62" customFormat="1" ht="15.6" x14ac:dyDescent="0.3">
      <c r="A77" s="201" t="s">
        <v>171</v>
      </c>
      <c r="B77" s="208">
        <v>65</v>
      </c>
      <c r="C77" s="203" t="s">
        <v>173</v>
      </c>
      <c r="D77" s="61">
        <v>4196.6597000000002</v>
      </c>
      <c r="E77" s="61">
        <v>0</v>
      </c>
      <c r="F77" s="61">
        <v>7769.1853967000006</v>
      </c>
      <c r="G77" s="61">
        <v>4196.6597000000002</v>
      </c>
      <c r="H77" s="61">
        <v>3572.5256967</v>
      </c>
      <c r="I77" s="61">
        <v>4109.5208639000002</v>
      </c>
      <c r="J77" s="61">
        <v>46.049994330000004</v>
      </c>
      <c r="K77" s="61">
        <v>7400.6686648100003</v>
      </c>
      <c r="L77" s="61">
        <v>4109.5208638499998</v>
      </c>
      <c r="M77" s="61">
        <v>0</v>
      </c>
      <c r="N77" s="61">
        <v>3291.1478009599996</v>
      </c>
      <c r="O77" s="61">
        <v>97.923614436738816</v>
      </c>
      <c r="P77" s="61">
        <v>92.123838437329823</v>
      </c>
      <c r="Q77" s="61">
        <v>44.470951883163309</v>
      </c>
      <c r="R77" s="61">
        <v>43.49102207</v>
      </c>
      <c r="S77" s="61">
        <v>2.5589723100000921</v>
      </c>
      <c r="T77" s="233"/>
      <c r="U77" s="232"/>
      <c r="V77" s="233"/>
      <c r="W77" s="232"/>
      <c r="X77" s="233"/>
      <c r="Y77" s="232"/>
      <c r="Z77" s="233"/>
      <c r="AA77" s="158"/>
      <c r="AB77" s="158"/>
      <c r="AC77" s="158"/>
      <c r="AD77" s="158"/>
      <c r="AE77" s="158"/>
      <c r="AF77" s="158"/>
      <c r="AG77" s="158"/>
      <c r="AH77" s="158"/>
      <c r="AI77" s="158"/>
      <c r="AJ77" s="158"/>
      <c r="AK77" s="158"/>
      <c r="AL77" s="158"/>
      <c r="AM77" s="158"/>
      <c r="AN77" s="158"/>
      <c r="AO77" s="158"/>
      <c r="AP77" s="158"/>
      <c r="AQ77" s="158"/>
      <c r="AR77" s="158"/>
      <c r="AS77" s="158"/>
      <c r="AT77" s="158"/>
      <c r="AU77" s="158"/>
      <c r="AV77" s="158"/>
      <c r="AW77" s="158"/>
      <c r="AX77" s="158"/>
      <c r="AY77" s="158"/>
      <c r="AZ77" s="158"/>
      <c r="BA77" s="158"/>
      <c r="BB77" s="158"/>
      <c r="BC77" s="158"/>
      <c r="BD77" s="158"/>
      <c r="BE77" s="158"/>
      <c r="BF77" s="158"/>
      <c r="BG77" s="158"/>
      <c r="BH77" s="158"/>
      <c r="BI77" s="158"/>
      <c r="BJ77" s="158"/>
      <c r="BK77" s="158"/>
      <c r="BL77" s="158"/>
      <c r="BM77" s="158"/>
      <c r="BN77" s="158"/>
    </row>
    <row r="78" spans="1:66" ht="15.6" x14ac:dyDescent="0.3">
      <c r="A78" s="204" t="s">
        <v>174</v>
      </c>
      <c r="B78" s="171">
        <v>66</v>
      </c>
      <c r="C78" s="205" t="s">
        <v>176</v>
      </c>
      <c r="D78" s="66">
        <v>850.995</v>
      </c>
      <c r="E78" s="66">
        <v>0</v>
      </c>
      <c r="F78" s="66">
        <v>1043.6828113200002</v>
      </c>
      <c r="G78" s="66">
        <v>850.995</v>
      </c>
      <c r="H78" s="66">
        <v>192.68781132000004</v>
      </c>
      <c r="I78" s="66">
        <v>846.77318538999998</v>
      </c>
      <c r="J78" s="66">
        <v>5.7077069399999996</v>
      </c>
      <c r="K78" s="66">
        <v>1037.2185880900001</v>
      </c>
      <c r="L78" s="66">
        <v>846.77318538999998</v>
      </c>
      <c r="M78" s="66">
        <v>0</v>
      </c>
      <c r="N78" s="66">
        <v>190.44540269999999</v>
      </c>
      <c r="O78" s="67">
        <v>99.503896660967456</v>
      </c>
      <c r="P78" s="67">
        <v>98.836247812127539</v>
      </c>
      <c r="Q78" s="67">
        <v>18.361163682064184</v>
      </c>
      <c r="R78" s="66">
        <v>5.7077069399999996</v>
      </c>
      <c r="S78" s="67">
        <v>-1.9539925233402755E-14</v>
      </c>
      <c r="T78" s="233"/>
      <c r="U78" s="232"/>
      <c r="V78" s="233"/>
      <c r="W78" s="232"/>
      <c r="X78" s="233"/>
      <c r="Y78" s="232"/>
      <c r="Z78" s="233"/>
    </row>
    <row r="79" spans="1:66" ht="15.6" x14ac:dyDescent="0.3">
      <c r="A79" s="204" t="s">
        <v>177</v>
      </c>
      <c r="B79" s="171">
        <v>67</v>
      </c>
      <c r="C79" s="205" t="s">
        <v>179</v>
      </c>
      <c r="D79" s="66">
        <v>977.94349999999997</v>
      </c>
      <c r="E79" s="66">
        <v>0</v>
      </c>
      <c r="F79" s="66">
        <v>1422.6872999999996</v>
      </c>
      <c r="G79" s="66">
        <v>977.94349999999997</v>
      </c>
      <c r="H79" s="66">
        <v>444.74380000000002</v>
      </c>
      <c r="I79" s="66">
        <v>973.88130377000005</v>
      </c>
      <c r="J79" s="66">
        <v>9.0595674800000001</v>
      </c>
      <c r="K79" s="66">
        <v>1416.6679523400001</v>
      </c>
      <c r="L79" s="66">
        <v>973.88130373000001</v>
      </c>
      <c r="M79" s="66">
        <v>0</v>
      </c>
      <c r="N79" s="66">
        <v>442.78664860999999</v>
      </c>
      <c r="O79" s="67">
        <v>99.584618511192119</v>
      </c>
      <c r="P79" s="67">
        <v>99.559937341453647</v>
      </c>
      <c r="Q79" s="67">
        <v>31.255499771744059</v>
      </c>
      <c r="R79" s="66">
        <v>9.0595674800000001</v>
      </c>
      <c r="S79" s="67">
        <v>4.0000086798386292E-8</v>
      </c>
      <c r="T79" s="233"/>
      <c r="U79" s="232"/>
      <c r="V79" s="233"/>
      <c r="W79" s="232"/>
      <c r="X79" s="233"/>
      <c r="Y79" s="232"/>
      <c r="Z79" s="233"/>
    </row>
    <row r="80" spans="1:66" ht="15.6" x14ac:dyDescent="0.3">
      <c r="A80" s="204" t="s">
        <v>180</v>
      </c>
      <c r="B80" s="171">
        <v>68</v>
      </c>
      <c r="C80" s="205" t="s">
        <v>182</v>
      </c>
      <c r="D80" s="66">
        <v>727.50439999999992</v>
      </c>
      <c r="E80" s="66">
        <v>0</v>
      </c>
      <c r="F80" s="66">
        <v>2875.8543519700002</v>
      </c>
      <c r="G80" s="66">
        <v>727.50439999999992</v>
      </c>
      <c r="H80" s="66">
        <v>2148.3499519699999</v>
      </c>
      <c r="I80" s="66">
        <v>653.63526736000006</v>
      </c>
      <c r="J80" s="66">
        <v>11.711643909999999</v>
      </c>
      <c r="K80" s="66">
        <v>2540.1475968800005</v>
      </c>
      <c r="L80" s="66">
        <v>653.63526736000006</v>
      </c>
      <c r="M80" s="66">
        <v>0</v>
      </c>
      <c r="N80" s="66">
        <v>1886.5123295199999</v>
      </c>
      <c r="O80" s="67">
        <v>89.846228745833031</v>
      </c>
      <c r="P80" s="67">
        <v>87.812152195693287</v>
      </c>
      <c r="Q80" s="67">
        <v>74.267823327949742</v>
      </c>
      <c r="R80" s="66">
        <v>9.1526716500000003</v>
      </c>
      <c r="S80" s="67">
        <v>2.5589722600000204</v>
      </c>
      <c r="T80" s="233"/>
      <c r="U80" s="232"/>
      <c r="V80" s="233"/>
      <c r="W80" s="232"/>
      <c r="X80" s="233"/>
      <c r="Y80" s="232"/>
      <c r="Z80" s="233"/>
    </row>
    <row r="81" spans="1:66" ht="31.2" x14ac:dyDescent="0.3">
      <c r="A81" s="204" t="s">
        <v>183</v>
      </c>
      <c r="B81" s="171">
        <v>69</v>
      </c>
      <c r="C81" s="213" t="s">
        <v>300</v>
      </c>
      <c r="D81" s="66">
        <v>32.0764</v>
      </c>
      <c r="E81" s="66">
        <v>0</v>
      </c>
      <c r="F81" s="66">
        <v>95.974108999999984</v>
      </c>
      <c r="G81" s="66">
        <v>32.0764</v>
      </c>
      <c r="H81" s="66">
        <v>63.897709000000006</v>
      </c>
      <c r="I81" s="66">
        <v>32.076399979999998</v>
      </c>
      <c r="J81" s="66">
        <v>2.5719208599999996</v>
      </c>
      <c r="K81" s="66">
        <v>95.974108969999989</v>
      </c>
      <c r="L81" s="66">
        <v>32.076399979999998</v>
      </c>
      <c r="M81" s="66">
        <v>0</v>
      </c>
      <c r="N81" s="66">
        <v>63.897708990000005</v>
      </c>
      <c r="O81" s="67">
        <v>99.999999937648852</v>
      </c>
      <c r="P81" s="67">
        <v>99.999999984349984</v>
      </c>
      <c r="Q81" s="67">
        <v>66.578069518700545</v>
      </c>
      <c r="R81" s="66">
        <v>2.5719208599999996</v>
      </c>
      <c r="S81" s="67">
        <v>-8.8817841970012523E-16</v>
      </c>
      <c r="T81" s="233"/>
      <c r="U81" s="232"/>
      <c r="V81" s="233"/>
      <c r="W81" s="232"/>
      <c r="X81" s="233"/>
      <c r="Y81" s="232"/>
      <c r="Z81" s="233"/>
    </row>
    <row r="82" spans="1:66" ht="31.2" x14ac:dyDescent="0.3">
      <c r="A82" s="204" t="s">
        <v>185</v>
      </c>
      <c r="B82" s="171">
        <v>70</v>
      </c>
      <c r="C82" s="213" t="s">
        <v>301</v>
      </c>
      <c r="D82" s="66">
        <v>30.188000000000002</v>
      </c>
      <c r="E82" s="66">
        <v>0</v>
      </c>
      <c r="F82" s="66">
        <v>269.30005341000003</v>
      </c>
      <c r="G82" s="66">
        <v>30.188000000000002</v>
      </c>
      <c r="H82" s="66">
        <v>239.11205340999999</v>
      </c>
      <c r="I82" s="66">
        <v>30.187999980000001</v>
      </c>
      <c r="J82" s="66">
        <v>8.5993630000000001E-2</v>
      </c>
      <c r="K82" s="66">
        <v>269.30005284000003</v>
      </c>
      <c r="L82" s="66">
        <v>30.187999970000003</v>
      </c>
      <c r="M82" s="66">
        <v>0</v>
      </c>
      <c r="N82" s="66">
        <v>239.11205287000001</v>
      </c>
      <c r="O82" s="67">
        <v>99.999999900622768</v>
      </c>
      <c r="P82" s="67">
        <v>99.999999774164479</v>
      </c>
      <c r="Q82" s="67">
        <v>88.790199017177429</v>
      </c>
      <c r="R82" s="66">
        <v>8.5993630000000001E-2</v>
      </c>
      <c r="S82" s="67">
        <v>9.9999980934795119E-9</v>
      </c>
      <c r="T82" s="233"/>
      <c r="U82" s="232"/>
      <c r="V82" s="233"/>
      <c r="W82" s="232"/>
      <c r="X82" s="233"/>
      <c r="Y82" s="232"/>
      <c r="Z82" s="233"/>
    </row>
    <row r="83" spans="1:66" ht="15.6" x14ac:dyDescent="0.3">
      <c r="A83" s="204" t="s">
        <v>187</v>
      </c>
      <c r="B83" s="171">
        <v>71</v>
      </c>
      <c r="C83" s="205" t="s">
        <v>189</v>
      </c>
      <c r="D83" s="66">
        <v>1577.9523999999997</v>
      </c>
      <c r="E83" s="66">
        <v>0</v>
      </c>
      <c r="F83" s="66">
        <v>2061.6867710000001</v>
      </c>
      <c r="G83" s="66">
        <v>1577.9523999999997</v>
      </c>
      <c r="H83" s="66">
        <v>483.73437100000001</v>
      </c>
      <c r="I83" s="66">
        <v>1572.9667074199999</v>
      </c>
      <c r="J83" s="66">
        <v>16.913161510000002</v>
      </c>
      <c r="K83" s="66">
        <v>2041.36036569</v>
      </c>
      <c r="L83" s="66">
        <v>1572.9667074199999</v>
      </c>
      <c r="M83" s="66">
        <v>0</v>
      </c>
      <c r="N83" s="66">
        <v>468.39365826999995</v>
      </c>
      <c r="O83" s="67">
        <v>99.684040369025084</v>
      </c>
      <c r="P83" s="67">
        <v>96.8286907754173</v>
      </c>
      <c r="Q83" s="67">
        <v>22.945172549760866</v>
      </c>
      <c r="R83" s="66">
        <v>16.913161510000002</v>
      </c>
      <c r="S83" s="67">
        <v>7.1054273576010019E-15</v>
      </c>
      <c r="T83" s="233"/>
      <c r="U83" s="232"/>
      <c r="V83" s="233"/>
      <c r="W83" s="232"/>
      <c r="X83" s="233"/>
      <c r="Y83" s="232"/>
      <c r="Z83" s="233"/>
    </row>
    <row r="84" spans="1:66" s="62" customFormat="1" ht="15.6" x14ac:dyDescent="0.3">
      <c r="A84" s="201" t="s">
        <v>190</v>
      </c>
      <c r="B84" s="208">
        <v>72</v>
      </c>
      <c r="C84" s="203" t="s">
        <v>192</v>
      </c>
      <c r="D84" s="61">
        <v>10957.011500000001</v>
      </c>
      <c r="E84" s="61">
        <v>0</v>
      </c>
      <c r="F84" s="61">
        <v>13588.322211410003</v>
      </c>
      <c r="G84" s="61">
        <v>10957.011500000001</v>
      </c>
      <c r="H84" s="61">
        <v>2631.3107114099998</v>
      </c>
      <c r="I84" s="61">
        <v>10817.622242099998</v>
      </c>
      <c r="J84" s="61">
        <v>123.28336205999999</v>
      </c>
      <c r="K84" s="61">
        <v>13408.646880840004</v>
      </c>
      <c r="L84" s="61">
        <v>10806.896822359999</v>
      </c>
      <c r="M84" s="61">
        <v>0</v>
      </c>
      <c r="N84" s="61">
        <v>2601.75005848</v>
      </c>
      <c r="O84" s="61">
        <v>98.629966960972865</v>
      </c>
      <c r="P84" s="61">
        <v>98.876580678905853</v>
      </c>
      <c r="Q84" s="61">
        <v>19.403524319800788</v>
      </c>
      <c r="R84" s="61">
        <v>120.17207491000001</v>
      </c>
      <c r="S84" s="61">
        <v>13.836706889999663</v>
      </c>
      <c r="T84" s="233"/>
      <c r="U84" s="232"/>
      <c r="V84" s="233"/>
      <c r="W84" s="232"/>
      <c r="X84" s="233"/>
      <c r="Y84" s="232"/>
      <c r="Z84" s="233"/>
      <c r="AA84" s="158"/>
      <c r="AB84" s="158"/>
      <c r="AC84" s="158"/>
      <c r="AD84" s="158"/>
      <c r="AE84" s="158"/>
      <c r="AF84" s="158"/>
      <c r="AG84" s="158"/>
      <c r="AH84" s="158"/>
      <c r="AI84" s="158"/>
      <c r="AJ84" s="158"/>
      <c r="AK84" s="158"/>
      <c r="AL84" s="158"/>
      <c r="AM84" s="158"/>
      <c r="AN84" s="158"/>
      <c r="AO84" s="158"/>
      <c r="AP84" s="158"/>
      <c r="AQ84" s="158"/>
      <c r="AR84" s="158"/>
      <c r="AS84" s="158"/>
      <c r="AT84" s="158"/>
      <c r="AU84" s="158"/>
      <c r="AV84" s="158"/>
      <c r="AW84" s="158"/>
      <c r="AX84" s="158"/>
      <c r="AY84" s="158"/>
      <c r="AZ84" s="158"/>
      <c r="BA84" s="158"/>
      <c r="BB84" s="158"/>
      <c r="BC84" s="158"/>
      <c r="BD84" s="158"/>
      <c r="BE84" s="158"/>
      <c r="BF84" s="158"/>
      <c r="BG84" s="158"/>
      <c r="BH84" s="158"/>
      <c r="BI84" s="158"/>
      <c r="BJ84" s="158"/>
      <c r="BK84" s="158"/>
      <c r="BL84" s="158"/>
      <c r="BM84" s="158"/>
      <c r="BN84" s="158"/>
    </row>
    <row r="85" spans="1:66" ht="15.6" x14ac:dyDescent="0.3">
      <c r="A85" s="204" t="s">
        <v>193</v>
      </c>
      <c r="B85" s="171">
        <v>73</v>
      </c>
      <c r="C85" s="205" t="s">
        <v>195</v>
      </c>
      <c r="D85" s="66">
        <v>400.6857</v>
      </c>
      <c r="E85" s="66">
        <v>0</v>
      </c>
      <c r="F85" s="66">
        <v>420.44832817999992</v>
      </c>
      <c r="G85" s="66">
        <v>400.6857</v>
      </c>
      <c r="H85" s="66">
        <v>19.76262818</v>
      </c>
      <c r="I85" s="66">
        <v>395.65938755000002</v>
      </c>
      <c r="J85" s="66">
        <v>1.65153353</v>
      </c>
      <c r="K85" s="66">
        <v>415.15746265999991</v>
      </c>
      <c r="L85" s="66">
        <v>395.65938755000002</v>
      </c>
      <c r="M85" s="66">
        <v>0</v>
      </c>
      <c r="N85" s="66">
        <v>19.498075110000002</v>
      </c>
      <c r="O85" s="67">
        <v>98.745572290201537</v>
      </c>
      <c r="P85" s="67">
        <v>98.661346721749638</v>
      </c>
      <c r="Q85" s="67">
        <v>4.6965493490281478</v>
      </c>
      <c r="R85" s="66">
        <v>1.65153353</v>
      </c>
      <c r="S85" s="67">
        <v>-5.3290705182007514E-15</v>
      </c>
      <c r="T85" s="233"/>
      <c r="U85" s="232"/>
      <c r="V85" s="233"/>
      <c r="W85" s="232"/>
      <c r="X85" s="233"/>
      <c r="Y85" s="232"/>
      <c r="Z85" s="233"/>
    </row>
    <row r="86" spans="1:66" ht="15.6" x14ac:dyDescent="0.3">
      <c r="A86" s="204" t="s">
        <v>199</v>
      </c>
      <c r="B86" s="171">
        <v>74</v>
      </c>
      <c r="C86" s="205" t="s">
        <v>201</v>
      </c>
      <c r="D86" s="66">
        <v>375.3141</v>
      </c>
      <c r="E86" s="66">
        <v>0</v>
      </c>
      <c r="F86" s="66">
        <v>396.47591884000002</v>
      </c>
      <c r="G86" s="66">
        <v>375.3141</v>
      </c>
      <c r="H86" s="66">
        <v>21.161818840000002</v>
      </c>
      <c r="I86" s="66">
        <v>374.33067786000004</v>
      </c>
      <c r="J86" s="66">
        <v>9.1769388499999991</v>
      </c>
      <c r="K86" s="66">
        <v>395.44074230000001</v>
      </c>
      <c r="L86" s="66">
        <v>374.33067673000005</v>
      </c>
      <c r="M86" s="66">
        <v>0</v>
      </c>
      <c r="N86" s="66">
        <v>21.110065570000003</v>
      </c>
      <c r="O86" s="67">
        <v>99.737973268257178</v>
      </c>
      <c r="P86" s="67">
        <v>99.755440350419335</v>
      </c>
      <c r="Q86" s="67">
        <v>5.3383638335335997</v>
      </c>
      <c r="R86" s="66">
        <v>9.1769388499999991</v>
      </c>
      <c r="S86" s="67">
        <v>1.1299999869152089E-6</v>
      </c>
      <c r="T86" s="233"/>
      <c r="U86" s="232"/>
      <c r="V86" s="233"/>
      <c r="W86" s="232"/>
      <c r="X86" s="233"/>
      <c r="Y86" s="232"/>
      <c r="Z86" s="233"/>
    </row>
    <row r="87" spans="1:66" ht="15.6" x14ac:dyDescent="0.3">
      <c r="A87" s="204" t="s">
        <v>202</v>
      </c>
      <c r="B87" s="171">
        <v>75</v>
      </c>
      <c r="C87" s="205" t="s">
        <v>204</v>
      </c>
      <c r="D87" s="66">
        <v>285.48020000000002</v>
      </c>
      <c r="E87" s="66">
        <v>0</v>
      </c>
      <c r="F87" s="66">
        <v>311.96438899999998</v>
      </c>
      <c r="G87" s="66">
        <v>285.48020000000002</v>
      </c>
      <c r="H87" s="66">
        <v>26.484188999999997</v>
      </c>
      <c r="I87" s="66">
        <v>282.00421187999996</v>
      </c>
      <c r="J87" s="66">
        <v>8.0112950400000003</v>
      </c>
      <c r="K87" s="66">
        <v>307.87958755000005</v>
      </c>
      <c r="L87" s="66">
        <v>282.00421187999996</v>
      </c>
      <c r="M87" s="66">
        <v>0</v>
      </c>
      <c r="N87" s="66">
        <v>25.87537567</v>
      </c>
      <c r="O87" s="67">
        <v>98.782406583714007</v>
      </c>
      <c r="P87" s="67">
        <v>97.701219659775134</v>
      </c>
      <c r="Q87" s="67">
        <v>8.4043816856802191</v>
      </c>
      <c r="R87" s="66">
        <v>8.0112950400000003</v>
      </c>
      <c r="S87" s="67">
        <v>-7.1054273576010019E-15</v>
      </c>
      <c r="T87" s="233"/>
      <c r="U87" s="232"/>
      <c r="V87" s="233"/>
      <c r="W87" s="232"/>
      <c r="X87" s="233"/>
      <c r="Y87" s="232"/>
      <c r="Z87" s="233"/>
    </row>
    <row r="88" spans="1:66" ht="15.6" x14ac:dyDescent="0.3">
      <c r="A88" s="204" t="s">
        <v>205</v>
      </c>
      <c r="B88" s="171">
        <v>76</v>
      </c>
      <c r="C88" s="205" t="s">
        <v>207</v>
      </c>
      <c r="D88" s="66">
        <v>2879.5275000000001</v>
      </c>
      <c r="E88" s="66">
        <v>0</v>
      </c>
      <c r="F88" s="66">
        <v>3183.6993113400003</v>
      </c>
      <c r="G88" s="66">
        <v>2879.5275000000001</v>
      </c>
      <c r="H88" s="66">
        <v>304.17181133999998</v>
      </c>
      <c r="I88" s="66">
        <v>2879.3834926999998</v>
      </c>
      <c r="J88" s="66">
        <v>12.187938539999999</v>
      </c>
      <c r="K88" s="66">
        <v>3183.3890209400001</v>
      </c>
      <c r="L88" s="66">
        <v>2879.3627760099998</v>
      </c>
      <c r="M88" s="66">
        <v>0</v>
      </c>
      <c r="N88" s="66">
        <v>304.02624492999996</v>
      </c>
      <c r="O88" s="67">
        <v>99.994279478490824</v>
      </c>
      <c r="P88" s="67">
        <v>99.952143359583928</v>
      </c>
      <c r="Q88" s="67">
        <v>9.5503955982177207</v>
      </c>
      <c r="R88" s="66">
        <v>11.29796939</v>
      </c>
      <c r="S88" s="67">
        <v>0.91068583999974884</v>
      </c>
      <c r="T88" s="233"/>
      <c r="U88" s="232"/>
      <c r="V88" s="233"/>
      <c r="W88" s="232"/>
      <c r="X88" s="233"/>
      <c r="Y88" s="232"/>
      <c r="Z88" s="233"/>
    </row>
    <row r="89" spans="1:66" ht="15.6" x14ac:dyDescent="0.3">
      <c r="A89" s="204" t="s">
        <v>211</v>
      </c>
      <c r="B89" s="171">
        <v>77</v>
      </c>
      <c r="C89" s="205" t="s">
        <v>213</v>
      </c>
      <c r="D89" s="66">
        <v>1063.5178000000001</v>
      </c>
      <c r="E89" s="66">
        <v>0</v>
      </c>
      <c r="F89" s="66">
        <v>1721.5375014300002</v>
      </c>
      <c r="G89" s="66">
        <v>1063.5178000000001</v>
      </c>
      <c r="H89" s="66">
        <v>658.01970143000005</v>
      </c>
      <c r="I89" s="66">
        <v>1063.51757322</v>
      </c>
      <c r="J89" s="66">
        <v>26.876804379999999</v>
      </c>
      <c r="K89" s="66">
        <v>1721.5371988600002</v>
      </c>
      <c r="L89" s="66">
        <v>1063.5175730800001</v>
      </c>
      <c r="M89" s="66">
        <v>0</v>
      </c>
      <c r="N89" s="66">
        <v>658.01962578000007</v>
      </c>
      <c r="O89" s="67">
        <v>99.999978663262624</v>
      </c>
      <c r="P89" s="67">
        <v>99.999988503383747</v>
      </c>
      <c r="Q89" s="67">
        <v>38.222794501085417</v>
      </c>
      <c r="R89" s="66">
        <v>26.876804379999999</v>
      </c>
      <c r="S89" s="67">
        <v>1.399999511875194E-7</v>
      </c>
      <c r="T89" s="233"/>
      <c r="U89" s="232"/>
      <c r="V89" s="233"/>
      <c r="W89" s="232"/>
      <c r="X89" s="233"/>
      <c r="Y89" s="232"/>
      <c r="Z89" s="233"/>
    </row>
    <row r="90" spans="1:66" ht="15.6" x14ac:dyDescent="0.3">
      <c r="A90" s="204" t="s">
        <v>214</v>
      </c>
      <c r="B90" s="171">
        <v>78</v>
      </c>
      <c r="C90" s="205" t="s">
        <v>216</v>
      </c>
      <c r="D90" s="66">
        <v>1763.6291999999999</v>
      </c>
      <c r="E90" s="66">
        <v>0</v>
      </c>
      <c r="F90" s="66">
        <v>2076.3697602900002</v>
      </c>
      <c r="G90" s="66">
        <v>1763.6291999999999</v>
      </c>
      <c r="H90" s="66">
        <v>312.74056029000002</v>
      </c>
      <c r="I90" s="66">
        <v>1763.4713522499999</v>
      </c>
      <c r="J90" s="66">
        <v>4.2911163700000001</v>
      </c>
      <c r="K90" s="66">
        <v>2065.4652514599998</v>
      </c>
      <c r="L90" s="66">
        <v>1752.7666506999999</v>
      </c>
      <c r="M90" s="66">
        <v>0</v>
      </c>
      <c r="N90" s="66">
        <v>312.69860075999998</v>
      </c>
      <c r="O90" s="67">
        <v>99.384079754406429</v>
      </c>
      <c r="P90" s="67">
        <v>99.986583278497321</v>
      </c>
      <c r="Q90" s="67">
        <v>15.139378430063886</v>
      </c>
      <c r="R90" s="66">
        <v>2.1111908700000002</v>
      </c>
      <c r="S90" s="67">
        <v>12.884627050000036</v>
      </c>
      <c r="T90" s="233"/>
      <c r="U90" s="232"/>
      <c r="V90" s="233"/>
      <c r="W90" s="232"/>
      <c r="X90" s="233"/>
      <c r="Y90" s="232"/>
      <c r="Z90" s="233"/>
    </row>
    <row r="91" spans="1:66" ht="15.6" x14ac:dyDescent="0.3">
      <c r="A91" s="204" t="s">
        <v>217</v>
      </c>
      <c r="B91" s="171">
        <v>79</v>
      </c>
      <c r="C91" s="205" t="s">
        <v>219</v>
      </c>
      <c r="D91" s="66">
        <v>700.7573000000001</v>
      </c>
      <c r="E91" s="66">
        <v>0</v>
      </c>
      <c r="F91" s="66">
        <v>1135.4582087200001</v>
      </c>
      <c r="G91" s="66">
        <v>700.7573000000001</v>
      </c>
      <c r="H91" s="66">
        <v>434.70090871999997</v>
      </c>
      <c r="I91" s="66">
        <v>587.10572495999997</v>
      </c>
      <c r="J91" s="66">
        <v>3.9497299000000003</v>
      </c>
      <c r="K91" s="66">
        <v>998.52860022000004</v>
      </c>
      <c r="L91" s="66">
        <v>587.10572495999997</v>
      </c>
      <c r="M91" s="66">
        <v>0</v>
      </c>
      <c r="N91" s="66">
        <v>411.42287525999996</v>
      </c>
      <c r="O91" s="67">
        <v>83.78160669321602</v>
      </c>
      <c r="P91" s="67">
        <v>94.645046055104089</v>
      </c>
      <c r="Q91" s="67">
        <v>41.202913483835466</v>
      </c>
      <c r="R91" s="66">
        <v>3.9497299000000003</v>
      </c>
      <c r="S91" s="67">
        <v>-3.4638958368304884E-14</v>
      </c>
      <c r="T91" s="233"/>
      <c r="U91" s="232"/>
      <c r="V91" s="233"/>
      <c r="W91" s="232"/>
      <c r="X91" s="233"/>
      <c r="Y91" s="232"/>
      <c r="Z91" s="233"/>
    </row>
    <row r="92" spans="1:66" ht="15.6" x14ac:dyDescent="0.3">
      <c r="A92" s="204" t="s">
        <v>220</v>
      </c>
      <c r="B92" s="171">
        <v>80</v>
      </c>
      <c r="C92" s="205" t="s">
        <v>222</v>
      </c>
      <c r="D92" s="66">
        <v>1358.2062000000001</v>
      </c>
      <c r="E92" s="66">
        <v>0</v>
      </c>
      <c r="F92" s="66">
        <v>1860.9099098000002</v>
      </c>
      <c r="G92" s="66">
        <v>1358.2062000000001</v>
      </c>
      <c r="H92" s="66">
        <v>502.70370979999996</v>
      </c>
      <c r="I92" s="66">
        <v>1345.4602571199996</v>
      </c>
      <c r="J92" s="66">
        <v>30.863030880000004</v>
      </c>
      <c r="K92" s="66">
        <v>1843.5198585600001</v>
      </c>
      <c r="L92" s="66">
        <v>1345.4602571199996</v>
      </c>
      <c r="M92" s="66">
        <v>0</v>
      </c>
      <c r="N92" s="66">
        <v>498.05960144000005</v>
      </c>
      <c r="O92" s="67">
        <v>99.061560543605196</v>
      </c>
      <c r="P92" s="67">
        <v>99.076173843664776</v>
      </c>
      <c r="Q92" s="67">
        <v>27.016774412673893</v>
      </c>
      <c r="R92" s="66">
        <v>30.863030880000004</v>
      </c>
      <c r="S92" s="67">
        <v>-7.1054273576010019E-15</v>
      </c>
      <c r="T92" s="233"/>
      <c r="U92" s="232"/>
      <c r="V92" s="233"/>
      <c r="W92" s="232"/>
      <c r="X92" s="233"/>
      <c r="Y92" s="232"/>
      <c r="Z92" s="233"/>
    </row>
    <row r="93" spans="1:66" ht="15.6" x14ac:dyDescent="0.3">
      <c r="A93" s="204" t="s">
        <v>223</v>
      </c>
      <c r="B93" s="171">
        <v>81</v>
      </c>
      <c r="C93" s="205" t="s">
        <v>225</v>
      </c>
      <c r="D93" s="66">
        <v>1508.1464000000001</v>
      </c>
      <c r="E93" s="66">
        <v>0</v>
      </c>
      <c r="F93" s="66">
        <v>1728.2817439999999</v>
      </c>
      <c r="G93" s="66">
        <v>1508.1464000000001</v>
      </c>
      <c r="H93" s="66">
        <v>220.135344</v>
      </c>
      <c r="I93" s="66">
        <v>1504.94246456</v>
      </c>
      <c r="J93" s="66">
        <v>13.698258920000001</v>
      </c>
      <c r="K93" s="66">
        <v>1724.55201848</v>
      </c>
      <c r="L93" s="66">
        <v>1504.9424643299999</v>
      </c>
      <c r="M93" s="66">
        <v>0</v>
      </c>
      <c r="N93" s="66">
        <v>219.60955414999998</v>
      </c>
      <c r="O93" s="67">
        <v>99.78755804675194</v>
      </c>
      <c r="P93" s="67">
        <v>99.761151553200818</v>
      </c>
      <c r="Q93" s="67">
        <v>12.734295735744826</v>
      </c>
      <c r="R93" s="66">
        <v>13.65686642</v>
      </c>
      <c r="S93" s="67">
        <v>4.1392730000012534E-2</v>
      </c>
      <c r="T93" s="233"/>
      <c r="U93" s="232"/>
      <c r="V93" s="233"/>
      <c r="W93" s="232"/>
      <c r="X93" s="233"/>
      <c r="Y93" s="232"/>
      <c r="Z93" s="233"/>
    </row>
    <row r="94" spans="1:66" ht="15.6" x14ac:dyDescent="0.3">
      <c r="A94" s="204" t="s">
        <v>226</v>
      </c>
      <c r="B94" s="171">
        <v>82</v>
      </c>
      <c r="C94" s="205" t="s">
        <v>228</v>
      </c>
      <c r="D94" s="66">
        <v>621.74710000000005</v>
      </c>
      <c r="E94" s="66">
        <v>0</v>
      </c>
      <c r="F94" s="66">
        <v>753.1771398100002</v>
      </c>
      <c r="G94" s="66">
        <v>621.74710000000005</v>
      </c>
      <c r="H94" s="66">
        <v>131.43003980999998</v>
      </c>
      <c r="I94" s="66">
        <v>621.74710000000005</v>
      </c>
      <c r="J94" s="66">
        <v>12.576715650000002</v>
      </c>
      <c r="K94" s="66">
        <v>753.1771398100002</v>
      </c>
      <c r="L94" s="66">
        <v>621.74710000000005</v>
      </c>
      <c r="M94" s="66">
        <v>0</v>
      </c>
      <c r="N94" s="66">
        <v>131.43003980999998</v>
      </c>
      <c r="O94" s="67">
        <v>100</v>
      </c>
      <c r="P94" s="67">
        <v>100</v>
      </c>
      <c r="Q94" s="67">
        <v>17.450083501360002</v>
      </c>
      <c r="R94" s="66">
        <v>12.576715650000002</v>
      </c>
      <c r="S94" s="67">
        <v>-1.9539925233402755E-14</v>
      </c>
      <c r="T94" s="233"/>
      <c r="U94" s="232"/>
      <c r="V94" s="233"/>
      <c r="W94" s="232"/>
      <c r="X94" s="233"/>
      <c r="Y94" s="232"/>
      <c r="Z94" s="233"/>
    </row>
    <row r="95" spans="1:66" s="62" customFormat="1" ht="15.6" x14ac:dyDescent="0.3">
      <c r="A95" s="201" t="s">
        <v>229</v>
      </c>
      <c r="B95" s="208">
        <v>83</v>
      </c>
      <c r="C95" s="203" t="s">
        <v>231</v>
      </c>
      <c r="D95" s="61">
        <v>11010.182500000003</v>
      </c>
      <c r="E95" s="61">
        <v>0</v>
      </c>
      <c r="F95" s="61">
        <v>11802.174771920001</v>
      </c>
      <c r="G95" s="61">
        <v>11006.653200000001</v>
      </c>
      <c r="H95" s="61">
        <v>795.52157191999981</v>
      </c>
      <c r="I95" s="61">
        <v>10639.882899370001</v>
      </c>
      <c r="J95" s="61">
        <v>33.404006079999995</v>
      </c>
      <c r="K95" s="61">
        <v>11413.987417420001</v>
      </c>
      <c r="L95" s="61">
        <v>10622.65342291</v>
      </c>
      <c r="M95" s="61">
        <v>0</v>
      </c>
      <c r="N95" s="61">
        <v>791.33399450999991</v>
      </c>
      <c r="O95" s="61">
        <v>96.480266543356535</v>
      </c>
      <c r="P95" s="61">
        <v>99.473606051952416</v>
      </c>
      <c r="Q95" s="61">
        <v>6.9330196851476096</v>
      </c>
      <c r="R95" s="61">
        <v>33.404006079999995</v>
      </c>
      <c r="S95" s="61">
        <v>17.229476460000015</v>
      </c>
      <c r="T95" s="233"/>
      <c r="U95" s="232"/>
      <c r="V95" s="233"/>
      <c r="W95" s="232"/>
      <c r="X95" s="233"/>
      <c r="Y95" s="232"/>
      <c r="Z95" s="233"/>
      <c r="AA95" s="158"/>
      <c r="AB95" s="158"/>
      <c r="AC95" s="158"/>
      <c r="AD95" s="158"/>
      <c r="AE95" s="158"/>
      <c r="AF95" s="158"/>
      <c r="AG95" s="158"/>
      <c r="AH95" s="158"/>
      <c r="AI95" s="158"/>
      <c r="AJ95" s="158"/>
      <c r="AK95" s="158"/>
      <c r="AL95" s="158"/>
      <c r="AM95" s="158"/>
      <c r="AN95" s="158"/>
      <c r="AO95" s="158"/>
      <c r="AP95" s="158"/>
      <c r="AQ95" s="158"/>
      <c r="AR95" s="158"/>
      <c r="AS95" s="158"/>
      <c r="AT95" s="158"/>
      <c r="AU95" s="158"/>
      <c r="AV95" s="158"/>
      <c r="AW95" s="158"/>
      <c r="AX95" s="158"/>
      <c r="AY95" s="158"/>
      <c r="AZ95" s="158"/>
      <c r="BA95" s="158"/>
      <c r="BB95" s="158"/>
      <c r="BC95" s="158"/>
      <c r="BD95" s="158"/>
      <c r="BE95" s="158"/>
      <c r="BF95" s="158"/>
      <c r="BG95" s="158"/>
      <c r="BH95" s="158"/>
      <c r="BI95" s="158"/>
      <c r="BJ95" s="158"/>
      <c r="BK95" s="158"/>
      <c r="BL95" s="158"/>
      <c r="BM95" s="158"/>
      <c r="BN95" s="158"/>
    </row>
    <row r="96" spans="1:66" s="62" customFormat="1" ht="15.6" x14ac:dyDescent="0.3">
      <c r="A96" s="201"/>
      <c r="B96" s="171">
        <v>84</v>
      </c>
      <c r="C96" s="205" t="s">
        <v>198</v>
      </c>
      <c r="D96" s="66">
        <v>405.69069999999999</v>
      </c>
      <c r="E96" s="66">
        <v>0</v>
      </c>
      <c r="F96" s="66">
        <v>429.01138655000005</v>
      </c>
      <c r="G96" s="66">
        <v>405.69069999999999</v>
      </c>
      <c r="H96" s="66">
        <v>23.320686549999994</v>
      </c>
      <c r="I96" s="66">
        <v>405.63303614999995</v>
      </c>
      <c r="J96" s="66">
        <v>0.69291080999999999</v>
      </c>
      <c r="K96" s="66">
        <v>428.95007143000004</v>
      </c>
      <c r="L96" s="66">
        <v>405.63303614999995</v>
      </c>
      <c r="M96" s="66">
        <v>0</v>
      </c>
      <c r="N96" s="66">
        <v>23.317035279999995</v>
      </c>
      <c r="O96" s="67">
        <v>99.985786252926161</v>
      </c>
      <c r="P96" s="67">
        <v>99.984343213943689</v>
      </c>
      <c r="Q96" s="67">
        <v>5.4358390015573361</v>
      </c>
      <c r="R96" s="66">
        <v>0.69291080999999999</v>
      </c>
      <c r="S96" s="67">
        <v>7.7715611723760958E-16</v>
      </c>
      <c r="T96" s="233"/>
      <c r="U96" s="232"/>
      <c r="V96" s="233"/>
      <c r="W96" s="232"/>
      <c r="X96" s="233"/>
      <c r="Y96" s="232"/>
      <c r="Z96" s="233"/>
      <c r="AA96" s="158"/>
      <c r="AB96" s="158"/>
      <c r="AC96" s="158"/>
      <c r="AD96" s="158"/>
      <c r="AE96" s="158"/>
      <c r="AF96" s="158"/>
      <c r="AG96" s="158"/>
      <c r="AH96" s="158"/>
      <c r="AI96" s="158"/>
      <c r="AJ96" s="158"/>
      <c r="AK96" s="158"/>
      <c r="AL96" s="158"/>
      <c r="AM96" s="158"/>
      <c r="AN96" s="158"/>
      <c r="AO96" s="158"/>
      <c r="AP96" s="158"/>
      <c r="AQ96" s="158"/>
      <c r="AR96" s="158"/>
      <c r="AS96" s="158"/>
      <c r="AT96" s="158"/>
      <c r="AU96" s="158"/>
      <c r="AV96" s="158"/>
      <c r="AW96" s="158"/>
      <c r="AX96" s="158"/>
      <c r="AY96" s="158"/>
      <c r="AZ96" s="158"/>
      <c r="BA96" s="158"/>
      <c r="BB96" s="158"/>
      <c r="BC96" s="158"/>
      <c r="BD96" s="158"/>
      <c r="BE96" s="158"/>
      <c r="BF96" s="158"/>
      <c r="BG96" s="158"/>
      <c r="BH96" s="158"/>
      <c r="BI96" s="158"/>
      <c r="BJ96" s="158"/>
      <c r="BK96" s="158"/>
      <c r="BL96" s="158"/>
      <c r="BM96" s="158"/>
      <c r="BN96" s="158"/>
    </row>
    <row r="97" spans="1:66" ht="15.6" x14ac:dyDescent="0.3">
      <c r="A97" s="204" t="s">
        <v>232</v>
      </c>
      <c r="B97" s="171">
        <v>85</v>
      </c>
      <c r="C97" s="205" t="s">
        <v>234</v>
      </c>
      <c r="D97" s="66">
        <v>1363.3539000000001</v>
      </c>
      <c r="E97" s="66">
        <v>0</v>
      </c>
      <c r="F97" s="66">
        <v>1501.1208872500001</v>
      </c>
      <c r="G97" s="66">
        <v>1363.3539000000001</v>
      </c>
      <c r="H97" s="66">
        <v>137.76698725</v>
      </c>
      <c r="I97" s="66">
        <v>1358.8326812599998</v>
      </c>
      <c r="J97" s="66">
        <v>0</v>
      </c>
      <c r="K97" s="66">
        <v>1495.58323301</v>
      </c>
      <c r="L97" s="66">
        <v>1358.7135635699999</v>
      </c>
      <c r="M97" s="66">
        <v>0</v>
      </c>
      <c r="N97" s="66">
        <v>136.86966944</v>
      </c>
      <c r="O97" s="67">
        <v>99.659638159248303</v>
      </c>
      <c r="P97" s="67">
        <v>99.348669933260808</v>
      </c>
      <c r="Q97" s="67">
        <v>9.1515915944401893</v>
      </c>
      <c r="R97" s="66">
        <v>0</v>
      </c>
      <c r="S97" s="67">
        <v>0.1191176899999391</v>
      </c>
      <c r="T97" s="233"/>
      <c r="U97" s="232"/>
      <c r="V97" s="233"/>
      <c r="W97" s="232"/>
      <c r="X97" s="233"/>
      <c r="Y97" s="232"/>
      <c r="Z97" s="233"/>
    </row>
    <row r="98" spans="1:66" s="126" customFormat="1" ht="15.6" x14ac:dyDescent="0.3">
      <c r="A98" s="204"/>
      <c r="B98" s="171">
        <v>86</v>
      </c>
      <c r="C98" s="205" t="s">
        <v>210</v>
      </c>
      <c r="D98" s="66">
        <v>1523.5219999999999</v>
      </c>
      <c r="E98" s="66">
        <v>0</v>
      </c>
      <c r="F98" s="66">
        <v>1563.5620208</v>
      </c>
      <c r="G98" s="66">
        <v>1522.1220000000001</v>
      </c>
      <c r="H98" s="66">
        <v>41.440020799999999</v>
      </c>
      <c r="I98" s="66">
        <v>1522.0901100400001</v>
      </c>
      <c r="J98" s="66">
        <v>3.3222337800000004</v>
      </c>
      <c r="K98" s="66">
        <v>1546.4839203199999</v>
      </c>
      <c r="L98" s="66">
        <v>1505.05777487</v>
      </c>
      <c r="M98" s="66">
        <v>0</v>
      </c>
      <c r="N98" s="66">
        <v>41.42614545</v>
      </c>
      <c r="O98" s="67">
        <v>98.788056547263508</v>
      </c>
      <c r="P98" s="67">
        <v>99.966517029354378</v>
      </c>
      <c r="Q98" s="67">
        <v>2.6787310818872312</v>
      </c>
      <c r="R98" s="66">
        <v>3.3222337800000004</v>
      </c>
      <c r="S98" s="67">
        <v>17.032335170000156</v>
      </c>
      <c r="T98" s="233"/>
      <c r="U98" s="232"/>
      <c r="V98" s="233"/>
      <c r="W98" s="232"/>
      <c r="X98" s="233"/>
      <c r="Y98" s="232"/>
      <c r="Z98" s="233"/>
      <c r="AA98" s="158"/>
      <c r="AB98" s="158"/>
      <c r="AC98" s="158"/>
      <c r="AD98" s="158"/>
      <c r="AE98" s="158"/>
      <c r="AF98" s="158"/>
      <c r="AG98" s="158"/>
      <c r="AH98" s="158"/>
      <c r="AI98" s="158"/>
      <c r="AJ98" s="158"/>
      <c r="AK98" s="158"/>
      <c r="AL98" s="158"/>
      <c r="AM98" s="158"/>
      <c r="AN98" s="158"/>
      <c r="AO98" s="158"/>
      <c r="AP98" s="158"/>
      <c r="AQ98" s="158"/>
      <c r="AR98" s="158"/>
      <c r="AS98" s="158"/>
      <c r="AT98" s="158"/>
      <c r="AU98" s="158"/>
      <c r="AV98" s="158"/>
      <c r="AW98" s="158"/>
      <c r="AX98" s="158"/>
      <c r="AY98" s="158"/>
      <c r="AZ98" s="158"/>
      <c r="BA98" s="158"/>
      <c r="BB98" s="158"/>
      <c r="BC98" s="158"/>
      <c r="BD98" s="158"/>
      <c r="BE98" s="158"/>
      <c r="BF98" s="158"/>
      <c r="BG98" s="158"/>
      <c r="BH98" s="158"/>
      <c r="BI98" s="158"/>
      <c r="BJ98" s="158"/>
      <c r="BK98" s="158"/>
      <c r="BL98" s="158"/>
      <c r="BM98" s="158"/>
      <c r="BN98" s="158"/>
    </row>
    <row r="99" spans="1:66" ht="15.6" x14ac:dyDescent="0.3">
      <c r="A99" s="204" t="s">
        <v>235</v>
      </c>
      <c r="B99" s="171">
        <v>87</v>
      </c>
      <c r="C99" s="205" t="s">
        <v>237</v>
      </c>
      <c r="D99" s="66">
        <v>198.9956</v>
      </c>
      <c r="E99" s="66">
        <v>0</v>
      </c>
      <c r="F99" s="66">
        <v>209.46111405000002</v>
      </c>
      <c r="G99" s="66">
        <v>198.9956</v>
      </c>
      <c r="H99" s="66">
        <v>10.465514049999999</v>
      </c>
      <c r="I99" s="66">
        <v>198.95615574999999</v>
      </c>
      <c r="J99" s="66">
        <v>0.69158247999999989</v>
      </c>
      <c r="K99" s="66">
        <v>209.41959378000001</v>
      </c>
      <c r="L99" s="66">
        <v>198.95615574000001</v>
      </c>
      <c r="M99" s="66">
        <v>0</v>
      </c>
      <c r="N99" s="66">
        <v>10.46343804</v>
      </c>
      <c r="O99" s="67">
        <v>99.980178325550924</v>
      </c>
      <c r="P99" s="67">
        <v>99.980163325087702</v>
      </c>
      <c r="Q99" s="67">
        <v>4.996398785393537</v>
      </c>
      <c r="R99" s="66">
        <v>0.69158247999999989</v>
      </c>
      <c r="S99" s="67">
        <v>9.9999735159173042E-9</v>
      </c>
      <c r="T99" s="233"/>
      <c r="U99" s="232"/>
      <c r="V99" s="233"/>
      <c r="W99" s="232"/>
      <c r="X99" s="233"/>
      <c r="Y99" s="232"/>
      <c r="Z99" s="233"/>
    </row>
    <row r="100" spans="1:66" ht="15.6" x14ac:dyDescent="0.3">
      <c r="A100" s="204" t="s">
        <v>238</v>
      </c>
      <c r="B100" s="171">
        <v>88</v>
      </c>
      <c r="C100" s="205" t="s">
        <v>240</v>
      </c>
      <c r="D100" s="66">
        <v>1738.1079999999999</v>
      </c>
      <c r="E100" s="66">
        <v>0</v>
      </c>
      <c r="F100" s="66">
        <v>2026.7596320500002</v>
      </c>
      <c r="G100" s="66">
        <v>1738.1079999999999</v>
      </c>
      <c r="H100" s="66">
        <v>288.65163204999999</v>
      </c>
      <c r="I100" s="66">
        <v>1735.9140852400001</v>
      </c>
      <c r="J100" s="66">
        <v>8.0135753600000008</v>
      </c>
      <c r="K100" s="66">
        <v>2024.5037354900001</v>
      </c>
      <c r="L100" s="66">
        <v>1735.9140852400001</v>
      </c>
      <c r="M100" s="66">
        <v>0</v>
      </c>
      <c r="N100" s="66">
        <v>288.58965024999998</v>
      </c>
      <c r="O100" s="67">
        <v>99.873775694030527</v>
      </c>
      <c r="P100" s="67">
        <v>99.978527126432709</v>
      </c>
      <c r="Q100" s="67">
        <v>14.254834169528033</v>
      </c>
      <c r="R100" s="66">
        <v>8.0135753600000008</v>
      </c>
      <c r="S100" s="67">
        <v>3.5527136788005009E-15</v>
      </c>
      <c r="T100" s="233"/>
      <c r="U100" s="232"/>
      <c r="V100" s="233"/>
      <c r="W100" s="232"/>
      <c r="X100" s="233"/>
      <c r="Y100" s="232"/>
      <c r="Z100" s="233"/>
    </row>
    <row r="101" spans="1:66" ht="15.6" x14ac:dyDescent="0.3">
      <c r="A101" s="204" t="s">
        <v>241</v>
      </c>
      <c r="B101" s="171">
        <v>89</v>
      </c>
      <c r="C101" s="205" t="s">
        <v>243</v>
      </c>
      <c r="D101" s="66">
        <v>429.46690000000001</v>
      </c>
      <c r="E101" s="66">
        <v>0</v>
      </c>
      <c r="F101" s="66">
        <v>467.45209999999997</v>
      </c>
      <c r="G101" s="66">
        <v>429.46690000000001</v>
      </c>
      <c r="H101" s="66">
        <v>37.985200000000006</v>
      </c>
      <c r="I101" s="66">
        <v>421.20366909000001</v>
      </c>
      <c r="J101" s="66">
        <v>0.63799035000000004</v>
      </c>
      <c r="K101" s="66">
        <v>458.83352644999997</v>
      </c>
      <c r="L101" s="66">
        <v>421.20366906000004</v>
      </c>
      <c r="M101" s="66">
        <v>0</v>
      </c>
      <c r="N101" s="66">
        <v>37.629857389999998</v>
      </c>
      <c r="O101" s="67">
        <v>98.07593299041207</v>
      </c>
      <c r="P101" s="67">
        <v>99.064523524951795</v>
      </c>
      <c r="Q101" s="67">
        <v>8.2012004835702861</v>
      </c>
      <c r="R101" s="66">
        <v>0.63799035000000004</v>
      </c>
      <c r="S101" s="67">
        <v>2.9999962403159941E-8</v>
      </c>
      <c r="T101" s="233"/>
      <c r="U101" s="232"/>
      <c r="V101" s="233"/>
      <c r="W101" s="232"/>
      <c r="X101" s="233"/>
      <c r="Y101" s="232"/>
      <c r="Z101" s="233"/>
    </row>
    <row r="102" spans="1:66" ht="15.6" x14ac:dyDescent="0.3">
      <c r="A102" s="204" t="s">
        <v>244</v>
      </c>
      <c r="B102" s="171">
        <v>90</v>
      </c>
      <c r="C102" s="205" t="s">
        <v>246</v>
      </c>
      <c r="D102" s="66">
        <v>4649.3778000000002</v>
      </c>
      <c r="E102" s="66">
        <v>0</v>
      </c>
      <c r="F102" s="66">
        <v>4788.65330068</v>
      </c>
      <c r="G102" s="66">
        <v>4649.3778000000002</v>
      </c>
      <c r="H102" s="66">
        <v>139.27550067999999</v>
      </c>
      <c r="I102" s="66">
        <v>4326.8191075599998</v>
      </c>
      <c r="J102" s="66">
        <v>15.161674759999997</v>
      </c>
      <c r="K102" s="66">
        <v>4463.4729868599998</v>
      </c>
      <c r="L102" s="66">
        <v>4326.7831194099999</v>
      </c>
      <c r="M102" s="66">
        <v>0</v>
      </c>
      <c r="N102" s="66">
        <v>136.68986744999998</v>
      </c>
      <c r="O102" s="67">
        <v>93.061551578148794</v>
      </c>
      <c r="P102" s="67">
        <v>98.143511804031661</v>
      </c>
      <c r="Q102" s="67">
        <v>3.0624105456087833</v>
      </c>
      <c r="R102" s="66">
        <v>15.161674759999997</v>
      </c>
      <c r="S102" s="67">
        <v>3.5988149999965913E-2</v>
      </c>
      <c r="T102" s="233"/>
      <c r="U102" s="232"/>
      <c r="V102" s="233"/>
      <c r="W102" s="232"/>
      <c r="X102" s="233"/>
      <c r="Y102" s="232"/>
      <c r="Z102" s="233"/>
    </row>
    <row r="103" spans="1:66" ht="15.6" x14ac:dyDescent="0.3">
      <c r="A103" s="204" t="s">
        <v>247</v>
      </c>
      <c r="B103" s="171">
        <v>91</v>
      </c>
      <c r="C103" s="205" t="s">
        <v>249</v>
      </c>
      <c r="D103" s="66">
        <v>55.401200000000003</v>
      </c>
      <c r="E103" s="66">
        <v>0</v>
      </c>
      <c r="F103" s="66">
        <v>60.136353850000006</v>
      </c>
      <c r="G103" s="66">
        <v>55.401200000000003</v>
      </c>
      <c r="H103" s="66">
        <v>4.7351538499999997</v>
      </c>
      <c r="I103" s="66">
        <v>55.401200000000003</v>
      </c>
      <c r="J103" s="66">
        <v>0.66232067000000006</v>
      </c>
      <c r="K103" s="66">
        <v>60.136353850000006</v>
      </c>
      <c r="L103" s="66">
        <v>55.401200000000003</v>
      </c>
      <c r="M103" s="66">
        <v>0</v>
      </c>
      <c r="N103" s="66">
        <v>4.7351538499999997</v>
      </c>
      <c r="O103" s="67">
        <v>100</v>
      </c>
      <c r="P103" s="67">
        <v>100</v>
      </c>
      <c r="Q103" s="67">
        <v>7.8740288475271427</v>
      </c>
      <c r="R103" s="66">
        <v>0.66232067000000006</v>
      </c>
      <c r="S103" s="67">
        <v>-3.3306690738754696E-16</v>
      </c>
      <c r="T103" s="233"/>
      <c r="U103" s="232"/>
      <c r="V103" s="233"/>
      <c r="W103" s="232"/>
      <c r="X103" s="233"/>
      <c r="Y103" s="232"/>
      <c r="Z103" s="233"/>
    </row>
    <row r="104" spans="1:66" ht="15.6" x14ac:dyDescent="0.3">
      <c r="A104" s="204" t="s">
        <v>250</v>
      </c>
      <c r="B104" s="171">
        <v>92</v>
      </c>
      <c r="C104" s="205" t="s">
        <v>252</v>
      </c>
      <c r="D104" s="66">
        <v>82.914899999999989</v>
      </c>
      <c r="E104" s="66">
        <v>0</v>
      </c>
      <c r="F104" s="66">
        <v>183.9658949</v>
      </c>
      <c r="G104" s="66">
        <v>82.914899999999989</v>
      </c>
      <c r="H104" s="66">
        <v>101.05099490000001</v>
      </c>
      <c r="I104" s="66">
        <v>82.914862639999996</v>
      </c>
      <c r="J104" s="66">
        <v>2.992827E-2</v>
      </c>
      <c r="K104" s="66">
        <v>183.96584818999997</v>
      </c>
      <c r="L104" s="66">
        <v>82.914862639999996</v>
      </c>
      <c r="M104" s="66">
        <v>0</v>
      </c>
      <c r="N104" s="66">
        <v>101.05098554999999</v>
      </c>
      <c r="O104" s="67">
        <v>99.999954941753543</v>
      </c>
      <c r="P104" s="67">
        <v>99.99999074724596</v>
      </c>
      <c r="Q104" s="67">
        <v>54.929209168016072</v>
      </c>
      <c r="R104" s="66">
        <v>2.992827E-2</v>
      </c>
      <c r="S104" s="67">
        <v>-7.9797279894933126E-16</v>
      </c>
      <c r="T104" s="233"/>
      <c r="U104" s="232"/>
      <c r="V104" s="233"/>
      <c r="W104" s="232"/>
      <c r="X104" s="233"/>
      <c r="Y104" s="232"/>
      <c r="Z104" s="233"/>
    </row>
    <row r="105" spans="1:66" ht="15.6" x14ac:dyDescent="0.3">
      <c r="A105" s="204" t="s">
        <v>253</v>
      </c>
      <c r="B105" s="171">
        <v>93</v>
      </c>
      <c r="C105" s="205" t="s">
        <v>254</v>
      </c>
      <c r="D105" s="66">
        <v>485.84300000000002</v>
      </c>
      <c r="E105" s="66">
        <v>0</v>
      </c>
      <c r="F105" s="66">
        <v>488.36121112000001</v>
      </c>
      <c r="G105" s="66">
        <v>483.71370000000002</v>
      </c>
      <c r="H105" s="66">
        <v>4.6475111199999999</v>
      </c>
      <c r="I105" s="66">
        <v>454.60949165000005</v>
      </c>
      <c r="J105" s="66">
        <v>1.77309367</v>
      </c>
      <c r="K105" s="66">
        <v>458.94727740000002</v>
      </c>
      <c r="L105" s="66">
        <v>454.56745624000001</v>
      </c>
      <c r="M105" s="66">
        <v>0</v>
      </c>
      <c r="N105" s="66">
        <v>4.3798211600000005</v>
      </c>
      <c r="O105" s="67">
        <v>93.562623365984493</v>
      </c>
      <c r="P105" s="67">
        <v>94.240143743862646</v>
      </c>
      <c r="Q105" s="67">
        <v>0.9543190199999213</v>
      </c>
      <c r="R105" s="66">
        <v>1.77309367</v>
      </c>
      <c r="S105" s="67">
        <v>4.2035410000019757E-2</v>
      </c>
      <c r="T105" s="233"/>
      <c r="U105" s="232"/>
      <c r="V105" s="233"/>
      <c r="W105" s="232"/>
      <c r="X105" s="233"/>
      <c r="Y105" s="232"/>
      <c r="Z105" s="233"/>
    </row>
    <row r="106" spans="1:66" ht="16.2" thickBot="1" x14ac:dyDescent="0.35">
      <c r="A106" s="214" t="s">
        <v>255</v>
      </c>
      <c r="B106" s="171">
        <v>94</v>
      </c>
      <c r="C106" s="205" t="s">
        <v>256</v>
      </c>
      <c r="D106" s="66">
        <v>77.508500000000012</v>
      </c>
      <c r="E106" s="66">
        <v>0</v>
      </c>
      <c r="F106" s="66">
        <v>83.690870669999995</v>
      </c>
      <c r="G106" s="66">
        <v>77.508500000000012</v>
      </c>
      <c r="H106" s="66">
        <v>6.1823706699999992</v>
      </c>
      <c r="I106" s="66">
        <v>77.508499990000018</v>
      </c>
      <c r="J106" s="66">
        <v>2.4186959300000002</v>
      </c>
      <c r="K106" s="66">
        <v>83.690870640000014</v>
      </c>
      <c r="L106" s="66">
        <v>77.508499990000018</v>
      </c>
      <c r="M106" s="66">
        <v>0</v>
      </c>
      <c r="N106" s="66">
        <v>6.1823706500000011</v>
      </c>
      <c r="O106" s="67">
        <v>99.999999987098192</v>
      </c>
      <c r="P106" s="67">
        <v>99.999999676499527</v>
      </c>
      <c r="Q106" s="67">
        <v>7.3871505968598914</v>
      </c>
      <c r="R106" s="66">
        <v>2.4186959300000002</v>
      </c>
      <c r="S106" s="67">
        <v>-1.7763568394002505E-15</v>
      </c>
      <c r="T106" s="233"/>
      <c r="U106" s="232"/>
      <c r="V106" s="233"/>
      <c r="W106" s="232"/>
      <c r="X106" s="233"/>
      <c r="Y106" s="232"/>
      <c r="Z106" s="233"/>
    </row>
  </sheetData>
  <dataConsolidate/>
  <mergeCells count="19">
    <mergeCell ref="E5:F5"/>
    <mergeCell ref="D2:M4"/>
    <mergeCell ref="O9:P10"/>
    <mergeCell ref="E9:E11"/>
    <mergeCell ref="F9:H9"/>
    <mergeCell ref="I9:I11"/>
    <mergeCell ref="F10:F11"/>
    <mergeCell ref="G10:H10"/>
    <mergeCell ref="Q9:Q11"/>
    <mergeCell ref="B7:B11"/>
    <mergeCell ref="C7:C11"/>
    <mergeCell ref="D9:D11"/>
    <mergeCell ref="D7:S8"/>
    <mergeCell ref="R9:R11"/>
    <mergeCell ref="S9:S11"/>
    <mergeCell ref="L10:N10"/>
    <mergeCell ref="K9:N9"/>
    <mergeCell ref="J9:J11"/>
    <mergeCell ref="K10:K11"/>
  </mergeCells>
  <printOptions horizontalCentered="1"/>
  <pageMargins left="0.11811023622047245" right="0.11811023622047245" top="0.35433070866141736" bottom="0.11811023622047245" header="0.31496062992125984" footer="0.31496062992125984"/>
  <pageSetup paperSize="9" scale="42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0"/>
  <dimension ref="A1:R106"/>
  <sheetViews>
    <sheetView view="pageBreakPreview" zoomScale="60" zoomScaleNormal="60" workbookViewId="0">
      <pane xSplit="2" ySplit="12" topLeftCell="C13" activePane="bottomRight" state="frozen"/>
      <selection activeCell="G27" sqref="G27"/>
      <selection pane="topRight" activeCell="G27" sqref="G27"/>
      <selection pane="bottomLeft" activeCell="G27" sqref="G27"/>
      <selection pane="bottomRight" activeCell="G18" sqref="G18"/>
    </sheetView>
  </sheetViews>
  <sheetFormatPr defaultRowHeight="14.4" outlineLevelCol="1" x14ac:dyDescent="0.3"/>
  <cols>
    <col min="1" max="1" width="5" customWidth="1"/>
    <col min="2" max="2" width="31.109375" customWidth="1"/>
    <col min="3" max="4" width="18.6640625" customWidth="1"/>
    <col min="5" max="6" width="18.6640625" customWidth="1" outlineLevel="1"/>
    <col min="7" max="15" width="18.6640625" customWidth="1"/>
    <col min="16" max="18" width="18.6640625" customWidth="1" outlineLevel="1"/>
  </cols>
  <sheetData>
    <row r="1" spans="1:18" s="126" customFormat="1" ht="15.6" x14ac:dyDescent="0.3">
      <c r="B1" s="127"/>
    </row>
    <row r="2" spans="1:18" s="126" customFormat="1" ht="18.75" customHeight="1" x14ac:dyDescent="0.3">
      <c r="C2" s="254"/>
      <c r="D2" s="252"/>
      <c r="E2" s="252"/>
      <c r="F2" s="252"/>
      <c r="G2" s="252"/>
      <c r="H2" s="252"/>
      <c r="I2" s="252"/>
      <c r="J2" s="252"/>
      <c r="K2" s="252"/>
      <c r="L2" s="252"/>
    </row>
    <row r="3" spans="1:18" s="126" customFormat="1" ht="20.399999999999999" x14ac:dyDescent="0.35">
      <c r="A3" s="128"/>
      <c r="B3" s="128"/>
      <c r="C3" s="252"/>
      <c r="D3" s="252"/>
      <c r="E3" s="252"/>
      <c r="F3" s="252"/>
      <c r="G3" s="252"/>
      <c r="H3" s="252"/>
      <c r="I3" s="252"/>
      <c r="J3" s="252"/>
      <c r="K3" s="252"/>
      <c r="L3" s="252"/>
      <c r="M3" s="38"/>
      <c r="N3" s="38"/>
      <c r="O3" s="38"/>
      <c r="P3" s="38"/>
    </row>
    <row r="4" spans="1:18" s="126" customFormat="1" ht="20.25" customHeight="1" x14ac:dyDescent="0.35">
      <c r="A4" s="128"/>
      <c r="B4" s="128"/>
      <c r="C4" s="252"/>
      <c r="D4" s="252"/>
      <c r="E4" s="252"/>
      <c r="F4" s="252"/>
      <c r="G4" s="252"/>
      <c r="H4" s="252"/>
      <c r="I4" s="252"/>
      <c r="J4" s="252"/>
      <c r="K4" s="252"/>
      <c r="L4" s="252"/>
      <c r="M4" s="38"/>
      <c r="N4" s="38"/>
      <c r="O4" s="38"/>
      <c r="P4" s="38"/>
    </row>
    <row r="5" spans="1:18" s="126" customFormat="1" ht="20.399999999999999" x14ac:dyDescent="0.35">
      <c r="A5" s="128"/>
      <c r="B5" s="128"/>
      <c r="D5" s="322" t="s">
        <v>1231</v>
      </c>
      <c r="E5" s="322"/>
      <c r="F5" s="257"/>
      <c r="G5" s="42"/>
      <c r="H5" s="43"/>
      <c r="I5" s="43"/>
    </row>
    <row r="6" spans="1:18" ht="18.600000000000001" customHeight="1" x14ac:dyDescent="0.3">
      <c r="B6" s="44" t="s">
        <v>1229</v>
      </c>
      <c r="C6" s="76"/>
      <c r="Q6" s="76"/>
      <c r="R6" s="76"/>
    </row>
    <row r="7" spans="1:18" ht="15" customHeight="1" x14ac:dyDescent="0.3">
      <c r="A7" s="326" t="s">
        <v>284</v>
      </c>
      <c r="B7" s="337" t="s">
        <v>285</v>
      </c>
      <c r="C7" s="335" t="s">
        <v>1077</v>
      </c>
      <c r="D7" s="336"/>
      <c r="E7" s="336"/>
      <c r="F7" s="336"/>
      <c r="G7" s="336"/>
      <c r="H7" s="336"/>
      <c r="I7" s="336"/>
      <c r="J7" s="336"/>
      <c r="K7" s="336"/>
      <c r="L7" s="336"/>
      <c r="M7" s="336"/>
      <c r="N7" s="336"/>
      <c r="O7" s="336"/>
      <c r="P7" s="336"/>
      <c r="Q7" s="336"/>
      <c r="R7" s="336"/>
    </row>
    <row r="8" spans="1:18" ht="9" customHeight="1" x14ac:dyDescent="0.3">
      <c r="A8" s="326"/>
      <c r="B8" s="337"/>
      <c r="C8" s="335"/>
      <c r="D8" s="336"/>
      <c r="E8" s="336"/>
      <c r="F8" s="336"/>
      <c r="G8" s="336"/>
      <c r="H8" s="336"/>
      <c r="I8" s="336"/>
      <c r="J8" s="336"/>
      <c r="K8" s="336"/>
      <c r="L8" s="336"/>
      <c r="M8" s="336"/>
      <c r="N8" s="336"/>
      <c r="O8" s="336"/>
      <c r="P8" s="336"/>
      <c r="Q8" s="336"/>
      <c r="R8" s="336"/>
    </row>
    <row r="9" spans="1:18" ht="15" customHeight="1" x14ac:dyDescent="0.3">
      <c r="A9" s="326"/>
      <c r="B9" s="326"/>
      <c r="C9" s="265" t="s">
        <v>1052</v>
      </c>
      <c r="D9" s="302" t="s">
        <v>1053</v>
      </c>
      <c r="E9" s="302" t="s">
        <v>287</v>
      </c>
      <c r="F9" s="302"/>
      <c r="G9" s="302"/>
      <c r="H9" s="302" t="s">
        <v>312</v>
      </c>
      <c r="I9" s="302" t="s">
        <v>262</v>
      </c>
      <c r="J9" s="302" t="s">
        <v>288</v>
      </c>
      <c r="K9" s="302"/>
      <c r="L9" s="302"/>
      <c r="M9" s="302"/>
      <c r="N9" s="317" t="s">
        <v>289</v>
      </c>
      <c r="O9" s="317"/>
      <c r="P9" s="302" t="s">
        <v>290</v>
      </c>
      <c r="Q9" s="302" t="s">
        <v>266</v>
      </c>
      <c r="R9" s="302" t="s">
        <v>291</v>
      </c>
    </row>
    <row r="10" spans="1:18" ht="15" customHeight="1" x14ac:dyDescent="0.3">
      <c r="A10" s="326"/>
      <c r="B10" s="326"/>
      <c r="C10" s="265"/>
      <c r="D10" s="269"/>
      <c r="E10" s="269" t="s">
        <v>292</v>
      </c>
      <c r="F10" s="269" t="s">
        <v>293</v>
      </c>
      <c r="G10" s="269"/>
      <c r="H10" s="269"/>
      <c r="I10" s="269"/>
      <c r="J10" s="269" t="s">
        <v>292</v>
      </c>
      <c r="K10" s="269" t="s">
        <v>294</v>
      </c>
      <c r="L10" s="269"/>
      <c r="M10" s="269"/>
      <c r="N10" s="318"/>
      <c r="O10" s="318"/>
      <c r="P10" s="269"/>
      <c r="Q10" s="269"/>
      <c r="R10" s="269"/>
    </row>
    <row r="11" spans="1:18" ht="96.6" x14ac:dyDescent="0.3">
      <c r="A11" s="326"/>
      <c r="B11" s="326"/>
      <c r="C11" s="302"/>
      <c r="D11" s="269"/>
      <c r="E11" s="269"/>
      <c r="F11" s="99" t="s">
        <v>259</v>
      </c>
      <c r="G11" s="99" t="s">
        <v>260</v>
      </c>
      <c r="H11" s="269"/>
      <c r="I11" s="269"/>
      <c r="J11" s="269"/>
      <c r="K11" s="99" t="s">
        <v>264</v>
      </c>
      <c r="L11" s="99" t="s">
        <v>303</v>
      </c>
      <c r="M11" s="99" t="s">
        <v>260</v>
      </c>
      <c r="N11" s="99" t="s">
        <v>911</v>
      </c>
      <c r="O11" s="99" t="s">
        <v>295</v>
      </c>
      <c r="P11" s="269"/>
      <c r="Q11" s="269"/>
      <c r="R11" s="269"/>
    </row>
    <row r="12" spans="1:18" ht="31.2" x14ac:dyDescent="0.3">
      <c r="A12" s="199" t="s">
        <v>2</v>
      </c>
      <c r="B12" s="200" t="s">
        <v>3</v>
      </c>
      <c r="C12" s="53">
        <v>111396.35279999999</v>
      </c>
      <c r="D12" s="53">
        <v>0</v>
      </c>
      <c r="E12" s="53">
        <v>133549.57268143998</v>
      </c>
      <c r="F12" s="53">
        <v>111396.35279999999</v>
      </c>
      <c r="G12" s="53">
        <v>22153.21988144</v>
      </c>
      <c r="H12" s="53">
        <v>110728.82395818998</v>
      </c>
      <c r="I12" s="53">
        <v>701.64944116999993</v>
      </c>
      <c r="J12" s="53">
        <v>132505.17193236444</v>
      </c>
      <c r="K12" s="53">
        <v>110721.92055659</v>
      </c>
      <c r="L12" s="53">
        <v>0</v>
      </c>
      <c r="M12" s="53">
        <v>21783.251375774453</v>
      </c>
      <c r="N12" s="53">
        <v>99.394565238037131</v>
      </c>
      <c r="O12" s="53">
        <v>98.329956062163646</v>
      </c>
      <c r="P12" s="53">
        <v>16.439548025260052</v>
      </c>
      <c r="Q12" s="53">
        <v>675.09673394999993</v>
      </c>
      <c r="R12" s="53">
        <v>33.456108819998846</v>
      </c>
    </row>
    <row r="13" spans="1:18" ht="31.2" hidden="1" x14ac:dyDescent="0.3">
      <c r="A13" s="199"/>
      <c r="B13" s="55" t="s">
        <v>296</v>
      </c>
      <c r="C13" s="80"/>
      <c r="D13" s="53"/>
      <c r="E13" s="53"/>
      <c r="F13" s="8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</row>
    <row r="14" spans="1:18" ht="15.6" x14ac:dyDescent="0.3">
      <c r="A14" s="202" t="s">
        <v>6</v>
      </c>
      <c r="B14" s="203" t="s">
        <v>7</v>
      </c>
      <c r="C14" s="61">
        <v>42753.658999999992</v>
      </c>
      <c r="D14" s="61">
        <v>0</v>
      </c>
      <c r="E14" s="61">
        <v>49023.843504989993</v>
      </c>
      <c r="F14" s="61">
        <v>42753.658999999992</v>
      </c>
      <c r="G14" s="61">
        <v>6270.1845049900003</v>
      </c>
      <c r="H14" s="61">
        <v>42573.769164959987</v>
      </c>
      <c r="I14" s="61">
        <v>137.00947244</v>
      </c>
      <c r="J14" s="61">
        <v>48827.032756790846</v>
      </c>
      <c r="K14" s="61">
        <v>42573.462948990003</v>
      </c>
      <c r="L14" s="61">
        <v>0</v>
      </c>
      <c r="M14" s="61">
        <v>6253.5698078008581</v>
      </c>
      <c r="N14" s="61">
        <v>99.578524843897014</v>
      </c>
      <c r="O14" s="61">
        <v>99.73502060145249</v>
      </c>
      <c r="P14" s="61">
        <v>12.80759746132866</v>
      </c>
      <c r="Q14" s="61">
        <v>136.93025265</v>
      </c>
      <c r="R14" s="61">
        <v>0.38543575999943758</v>
      </c>
    </row>
    <row r="15" spans="1:18" ht="15.6" x14ac:dyDescent="0.3">
      <c r="A15" s="169" t="s">
        <v>9</v>
      </c>
      <c r="B15" s="205" t="s">
        <v>10</v>
      </c>
      <c r="C15" s="66">
        <v>4974.6891999999998</v>
      </c>
      <c r="D15" s="66">
        <v>0</v>
      </c>
      <c r="E15" s="66">
        <v>5610.4099572599998</v>
      </c>
      <c r="F15" s="66">
        <v>4974.6891999999998</v>
      </c>
      <c r="G15" s="66">
        <v>635.72075726000003</v>
      </c>
      <c r="H15" s="66">
        <v>4974.6891999999998</v>
      </c>
      <c r="I15" s="66">
        <v>6.5003700000000001E-3</v>
      </c>
      <c r="J15" s="66">
        <v>5610.4099572599998</v>
      </c>
      <c r="K15" s="66">
        <v>4974.6891999999998</v>
      </c>
      <c r="L15" s="66">
        <v>0</v>
      </c>
      <c r="M15" s="66">
        <v>635.72075726000003</v>
      </c>
      <c r="N15" s="67">
        <v>100</v>
      </c>
      <c r="O15" s="67">
        <v>100</v>
      </c>
      <c r="P15" s="67">
        <v>11.331092774020243</v>
      </c>
      <c r="Q15" s="66">
        <v>6.5003700000000001E-3</v>
      </c>
      <c r="R15" s="67">
        <v>1.3981003854635077E-13</v>
      </c>
    </row>
    <row r="16" spans="1:18" ht="15.6" x14ac:dyDescent="0.3">
      <c r="A16" s="169" t="s">
        <v>12</v>
      </c>
      <c r="B16" s="205" t="s">
        <v>13</v>
      </c>
      <c r="C16" s="66">
        <v>10406.444899999999</v>
      </c>
      <c r="D16" s="66">
        <v>0</v>
      </c>
      <c r="E16" s="66">
        <v>10823.3356384</v>
      </c>
      <c r="F16" s="66">
        <v>10406.444899999999</v>
      </c>
      <c r="G16" s="66">
        <v>416.89073840000003</v>
      </c>
      <c r="H16" s="66">
        <v>10406.299557569999</v>
      </c>
      <c r="I16" s="66">
        <v>6.2493418099999998</v>
      </c>
      <c r="J16" s="66">
        <v>10823.150643159999</v>
      </c>
      <c r="K16" s="66">
        <v>10406.299557569999</v>
      </c>
      <c r="L16" s="66">
        <v>0</v>
      </c>
      <c r="M16" s="66">
        <v>416.85108559000003</v>
      </c>
      <c r="N16" s="67">
        <v>99.998603342146168</v>
      </c>
      <c r="O16" s="67">
        <v>99.990488440651816</v>
      </c>
      <c r="P16" s="67">
        <v>3.8514763337738538</v>
      </c>
      <c r="Q16" s="66">
        <v>6.2492498100000002</v>
      </c>
      <c r="R16" s="67">
        <v>9.2000000259773174E-5</v>
      </c>
    </row>
    <row r="17" spans="1:18" ht="15.6" x14ac:dyDescent="0.3">
      <c r="A17" s="169" t="s">
        <v>15</v>
      </c>
      <c r="B17" s="205" t="s">
        <v>16</v>
      </c>
      <c r="C17" s="66">
        <v>824.12310000000002</v>
      </c>
      <c r="D17" s="66">
        <v>0</v>
      </c>
      <c r="E17" s="66">
        <v>919.42181599999992</v>
      </c>
      <c r="F17" s="66">
        <v>824.12310000000002</v>
      </c>
      <c r="G17" s="66">
        <v>95.298715999999999</v>
      </c>
      <c r="H17" s="66">
        <v>824.12310000000002</v>
      </c>
      <c r="I17" s="66">
        <v>14.423831199999999</v>
      </c>
      <c r="J17" s="66">
        <v>919.42181599999992</v>
      </c>
      <c r="K17" s="66">
        <v>824.12310000000002</v>
      </c>
      <c r="L17" s="66">
        <v>0</v>
      </c>
      <c r="M17" s="66">
        <v>95.298715999999999</v>
      </c>
      <c r="N17" s="67">
        <v>100</v>
      </c>
      <c r="O17" s="67">
        <v>100</v>
      </c>
      <c r="P17" s="67">
        <v>10.365070127942232</v>
      </c>
      <c r="Q17" s="66">
        <v>14.423831199999999</v>
      </c>
      <c r="R17" s="67">
        <v>-3.5527136788005009E-15</v>
      </c>
    </row>
    <row r="18" spans="1:18" ht="15.6" x14ac:dyDescent="0.3">
      <c r="A18" s="169" t="s">
        <v>18</v>
      </c>
      <c r="B18" s="205" t="s">
        <v>19</v>
      </c>
      <c r="C18" s="66">
        <v>6174.7200000000012</v>
      </c>
      <c r="D18" s="66">
        <v>0</v>
      </c>
      <c r="E18" s="66">
        <v>7792.3994127900005</v>
      </c>
      <c r="F18" s="66">
        <v>6174.7200000000012</v>
      </c>
      <c r="G18" s="66">
        <v>1617.67941279</v>
      </c>
      <c r="H18" s="66">
        <v>6174.6856385600004</v>
      </c>
      <c r="I18" s="66">
        <v>54.167995269999999</v>
      </c>
      <c r="J18" s="66">
        <v>7792.3589859208605</v>
      </c>
      <c r="K18" s="66">
        <v>6174.6856371700005</v>
      </c>
      <c r="L18" s="66">
        <v>0</v>
      </c>
      <c r="M18" s="66">
        <v>1617.67334875086</v>
      </c>
      <c r="N18" s="67">
        <v>99.99944349168868</v>
      </c>
      <c r="O18" s="67">
        <v>99.999625139623333</v>
      </c>
      <c r="P18" s="67">
        <v>20.759738503752875</v>
      </c>
      <c r="Q18" s="66">
        <v>54.167995269999999</v>
      </c>
      <c r="R18" s="67">
        <v>1.3899995181532177E-6</v>
      </c>
    </row>
    <row r="19" spans="1:18" ht="15.6" x14ac:dyDescent="0.3">
      <c r="A19" s="169" t="s">
        <v>21</v>
      </c>
      <c r="B19" s="205" t="s">
        <v>22</v>
      </c>
      <c r="C19" s="66">
        <v>378.72829999999999</v>
      </c>
      <c r="D19" s="66">
        <v>0</v>
      </c>
      <c r="E19" s="66">
        <v>403.75336928999997</v>
      </c>
      <c r="F19" s="66">
        <v>378.72829999999999</v>
      </c>
      <c r="G19" s="66">
        <v>25.025069289999998</v>
      </c>
      <c r="H19" s="66">
        <v>378.71772421999998</v>
      </c>
      <c r="I19" s="66">
        <v>3.81592157</v>
      </c>
      <c r="J19" s="66">
        <v>403.74199747999995</v>
      </c>
      <c r="K19" s="66">
        <v>378.71772421999998</v>
      </c>
      <c r="L19" s="66">
        <v>0</v>
      </c>
      <c r="M19" s="66">
        <v>25.024273259999994</v>
      </c>
      <c r="N19" s="67">
        <v>99.997207554861888</v>
      </c>
      <c r="O19" s="67">
        <v>99.996819069746508</v>
      </c>
      <c r="P19" s="67">
        <v>6.1980852663809429</v>
      </c>
      <c r="Q19" s="66">
        <v>3.7404391700000001</v>
      </c>
      <c r="R19" s="67">
        <v>7.5482400000000283E-2</v>
      </c>
    </row>
    <row r="20" spans="1:18" ht="15.6" x14ac:dyDescent="0.3">
      <c r="A20" s="169" t="s">
        <v>24</v>
      </c>
      <c r="B20" s="205" t="s">
        <v>25</v>
      </c>
      <c r="C20" s="66">
        <v>1706.2275999999999</v>
      </c>
      <c r="D20" s="66">
        <v>0</v>
      </c>
      <c r="E20" s="66">
        <v>2107.7839846699999</v>
      </c>
      <c r="F20" s="66">
        <v>1706.2275999999999</v>
      </c>
      <c r="G20" s="66">
        <v>401.55638466999994</v>
      </c>
      <c r="H20" s="66">
        <v>1706.2275999999999</v>
      </c>
      <c r="I20" s="66">
        <v>6.9389362000000006</v>
      </c>
      <c r="J20" s="66">
        <v>2107.7839846699999</v>
      </c>
      <c r="K20" s="66">
        <v>1706.2275999999999</v>
      </c>
      <c r="L20" s="66">
        <v>0</v>
      </c>
      <c r="M20" s="66">
        <v>401.55638466999994</v>
      </c>
      <c r="N20" s="67">
        <v>100</v>
      </c>
      <c r="O20" s="67">
        <v>100</v>
      </c>
      <c r="P20" s="67">
        <v>19.051116603529401</v>
      </c>
      <c r="Q20" s="66">
        <v>6.9389362000000006</v>
      </c>
      <c r="R20" s="67">
        <v>-5.6843418860808015E-14</v>
      </c>
    </row>
    <row r="21" spans="1:18" ht="15.6" x14ac:dyDescent="0.3">
      <c r="A21" s="169" t="s">
        <v>27</v>
      </c>
      <c r="B21" s="205" t="s">
        <v>28</v>
      </c>
      <c r="C21" s="66">
        <v>304.17089999999996</v>
      </c>
      <c r="D21" s="66">
        <v>0</v>
      </c>
      <c r="E21" s="66">
        <v>371.90571705000002</v>
      </c>
      <c r="F21" s="66">
        <v>304.17089999999996</v>
      </c>
      <c r="G21" s="66">
        <v>67.734817050000004</v>
      </c>
      <c r="H21" s="66">
        <v>304.13711778000004</v>
      </c>
      <c r="I21" s="66">
        <v>1.1374249400000001</v>
      </c>
      <c r="J21" s="66">
        <v>371.85955333000004</v>
      </c>
      <c r="K21" s="66">
        <v>304.13711778000004</v>
      </c>
      <c r="L21" s="66">
        <v>0</v>
      </c>
      <c r="M21" s="66">
        <v>67.72243555</v>
      </c>
      <c r="N21" s="67">
        <v>99.98889367128811</v>
      </c>
      <c r="O21" s="67">
        <v>99.98172062679248</v>
      </c>
      <c r="P21" s="67">
        <v>18.211831575535978</v>
      </c>
      <c r="Q21" s="66">
        <v>1.1374249400000001</v>
      </c>
      <c r="R21" s="67">
        <v>1.6653345369377348E-14</v>
      </c>
    </row>
    <row r="22" spans="1:18" ht="15.6" x14ac:dyDescent="0.3">
      <c r="A22" s="169" t="s">
        <v>30</v>
      </c>
      <c r="B22" s="205" t="s">
        <v>31</v>
      </c>
      <c r="C22" s="66">
        <v>3871.3645999999999</v>
      </c>
      <c r="D22" s="66">
        <v>0</v>
      </c>
      <c r="E22" s="66">
        <v>3991.2746970000003</v>
      </c>
      <c r="F22" s="66">
        <v>3871.3645999999999</v>
      </c>
      <c r="G22" s="66">
        <v>119.91009700000001</v>
      </c>
      <c r="H22" s="66">
        <v>3850.0706179199997</v>
      </c>
      <c r="I22" s="66">
        <v>2.72843217</v>
      </c>
      <c r="J22" s="66">
        <v>3968.6809509999998</v>
      </c>
      <c r="K22" s="66">
        <v>3850.0706179199997</v>
      </c>
      <c r="L22" s="66">
        <v>0</v>
      </c>
      <c r="M22" s="66">
        <v>118.61033308</v>
      </c>
      <c r="N22" s="67">
        <v>99.449961853760811</v>
      </c>
      <c r="O22" s="67">
        <v>98.916051314677858</v>
      </c>
      <c r="P22" s="67">
        <v>2.9886588149675628</v>
      </c>
      <c r="Q22" s="66">
        <v>2.72843217</v>
      </c>
      <c r="R22" s="67">
        <v>-9.4591001698063337E-14</v>
      </c>
    </row>
    <row r="23" spans="1:18" ht="15.6" x14ac:dyDescent="0.3">
      <c r="A23" s="169" t="s">
        <v>33</v>
      </c>
      <c r="B23" s="205" t="s">
        <v>34</v>
      </c>
      <c r="C23" s="66">
        <v>3014.0372000000002</v>
      </c>
      <c r="D23" s="66">
        <v>0</v>
      </c>
      <c r="E23" s="66">
        <v>3448.4422655799999</v>
      </c>
      <c r="F23" s="66">
        <v>3014.0372000000002</v>
      </c>
      <c r="G23" s="66">
        <v>434.40506558000004</v>
      </c>
      <c r="H23" s="66">
        <v>3013.2123521500002</v>
      </c>
      <c r="I23" s="66">
        <v>0</v>
      </c>
      <c r="J23" s="66">
        <v>3447.5475087099999</v>
      </c>
      <c r="K23" s="66">
        <v>3013.2123519200004</v>
      </c>
      <c r="L23" s="66">
        <v>0</v>
      </c>
      <c r="M23" s="66">
        <v>434.33515679000004</v>
      </c>
      <c r="N23" s="67">
        <v>99.972633115477151</v>
      </c>
      <c r="O23" s="67">
        <v>99.983907003960311</v>
      </c>
      <c r="P23" s="67">
        <v>12.598380608031684</v>
      </c>
      <c r="Q23" s="66">
        <v>0</v>
      </c>
      <c r="R23" s="67">
        <v>2.2999984139460139E-7</v>
      </c>
    </row>
    <row r="24" spans="1:18" ht="15.6" x14ac:dyDescent="0.3">
      <c r="A24" s="169" t="s">
        <v>36</v>
      </c>
      <c r="B24" s="205" t="s">
        <v>37</v>
      </c>
      <c r="C24" s="66">
        <v>1775.1239</v>
      </c>
      <c r="D24" s="66">
        <v>0</v>
      </c>
      <c r="E24" s="66">
        <v>2769.9610882700003</v>
      </c>
      <c r="F24" s="66">
        <v>1775.1239</v>
      </c>
      <c r="G24" s="66">
        <v>994.83718827000007</v>
      </c>
      <c r="H24" s="66">
        <v>1732.3486466099998</v>
      </c>
      <c r="I24" s="66">
        <v>16.88382416</v>
      </c>
      <c r="J24" s="66">
        <v>2724.6842295699998</v>
      </c>
      <c r="K24" s="66">
        <v>1732.3486465999999</v>
      </c>
      <c r="L24" s="66">
        <v>0</v>
      </c>
      <c r="M24" s="66">
        <v>992.33558297000013</v>
      </c>
      <c r="N24" s="67">
        <v>97.590294773226802</v>
      </c>
      <c r="O24" s="67">
        <v>99.74854123574228</v>
      </c>
      <c r="P24" s="67">
        <v>36.420205035157672</v>
      </c>
      <c r="Q24" s="66">
        <v>16.880178770000001</v>
      </c>
      <c r="R24" s="67">
        <v>3.6453999997974051E-3</v>
      </c>
    </row>
    <row r="25" spans="1:18" ht="15.6" x14ac:dyDescent="0.3">
      <c r="A25" s="169" t="s">
        <v>39</v>
      </c>
      <c r="B25" s="205" t="s">
        <v>297</v>
      </c>
      <c r="C25" s="66">
        <v>0</v>
      </c>
      <c r="D25" s="66">
        <v>0</v>
      </c>
      <c r="E25" s="66">
        <v>0</v>
      </c>
      <c r="F25" s="66">
        <v>0</v>
      </c>
      <c r="G25" s="66">
        <v>0</v>
      </c>
      <c r="H25" s="66">
        <v>0</v>
      </c>
      <c r="I25" s="66">
        <v>0</v>
      </c>
      <c r="J25" s="66">
        <v>0</v>
      </c>
      <c r="K25" s="66">
        <v>0</v>
      </c>
      <c r="L25" s="66">
        <v>0</v>
      </c>
      <c r="M25" s="66">
        <v>0</v>
      </c>
      <c r="N25" s="67" t="s">
        <v>1230</v>
      </c>
      <c r="O25" s="67" t="s">
        <v>1230</v>
      </c>
      <c r="P25" s="67">
        <v>0</v>
      </c>
      <c r="Q25" s="66">
        <v>0</v>
      </c>
      <c r="R25" s="67">
        <v>0</v>
      </c>
    </row>
    <row r="26" spans="1:18" ht="15.6" x14ac:dyDescent="0.3">
      <c r="A26" s="169" t="s">
        <v>41</v>
      </c>
      <c r="B26" s="205" t="s">
        <v>42</v>
      </c>
      <c r="C26" s="66">
        <v>1699.4651999999999</v>
      </c>
      <c r="D26" s="66">
        <v>0</v>
      </c>
      <c r="E26" s="66">
        <v>1787.65666347</v>
      </c>
      <c r="F26" s="66">
        <v>1699.4651999999999</v>
      </c>
      <c r="G26" s="66">
        <v>88.191463469999988</v>
      </c>
      <c r="H26" s="66">
        <v>1699.4509955199999</v>
      </c>
      <c r="I26" s="66">
        <v>8.8143616100000024</v>
      </c>
      <c r="J26" s="66">
        <v>1787.64171139</v>
      </c>
      <c r="K26" s="66">
        <v>1699.4509955199999</v>
      </c>
      <c r="L26" s="66">
        <v>0</v>
      </c>
      <c r="M26" s="66">
        <v>88.190715869999991</v>
      </c>
      <c r="N26" s="67">
        <v>99.999164179413611</v>
      </c>
      <c r="O26" s="67">
        <v>99.999152298906736</v>
      </c>
      <c r="P26" s="67">
        <v>4.9333552304184245</v>
      </c>
      <c r="Q26" s="66">
        <v>8.8143616100000024</v>
      </c>
      <c r="R26" s="67">
        <v>1.0302869668521453E-13</v>
      </c>
    </row>
    <row r="27" spans="1:18" ht="15.6" x14ac:dyDescent="0.3">
      <c r="A27" s="169" t="s">
        <v>44</v>
      </c>
      <c r="B27" s="205" t="s">
        <v>45</v>
      </c>
      <c r="C27" s="66">
        <v>2018.0546999999999</v>
      </c>
      <c r="D27" s="66">
        <v>0</v>
      </c>
      <c r="E27" s="66">
        <v>2243.3264687000001</v>
      </c>
      <c r="F27" s="66">
        <v>2018.0546999999999</v>
      </c>
      <c r="G27" s="66">
        <v>225.27176869999997</v>
      </c>
      <c r="H27" s="66">
        <v>2017.8871478199997</v>
      </c>
      <c r="I27" s="66">
        <v>1.6270995300000002</v>
      </c>
      <c r="J27" s="66">
        <v>2243.1293579799999</v>
      </c>
      <c r="K27" s="66">
        <v>2017.8871478199997</v>
      </c>
      <c r="L27" s="66">
        <v>0</v>
      </c>
      <c r="M27" s="66">
        <v>225.24221015999998</v>
      </c>
      <c r="N27" s="67">
        <v>99.991697341999682</v>
      </c>
      <c r="O27" s="67">
        <v>99.986878719792287</v>
      </c>
      <c r="P27" s="67">
        <v>10.041427586808316</v>
      </c>
      <c r="Q27" s="66">
        <v>1.6270995300000002</v>
      </c>
      <c r="R27" s="67">
        <v>-1.0436096431476471E-13</v>
      </c>
    </row>
    <row r="28" spans="1:18" ht="15.6" x14ac:dyDescent="0.3">
      <c r="A28" s="169" t="s">
        <v>47</v>
      </c>
      <c r="B28" s="205" t="s">
        <v>48</v>
      </c>
      <c r="C28" s="66">
        <v>503.85520000000002</v>
      </c>
      <c r="D28" s="66">
        <v>0</v>
      </c>
      <c r="E28" s="66">
        <v>586.74888704</v>
      </c>
      <c r="F28" s="66">
        <v>503.85520000000002</v>
      </c>
      <c r="G28" s="66">
        <v>82.893687039999975</v>
      </c>
      <c r="H28" s="66">
        <v>488.49868844999997</v>
      </c>
      <c r="I28" s="66">
        <v>8.6241648600000005</v>
      </c>
      <c r="J28" s="66">
        <v>569.09772243999998</v>
      </c>
      <c r="K28" s="66">
        <v>488.49868844999997</v>
      </c>
      <c r="L28" s="66">
        <v>0</v>
      </c>
      <c r="M28" s="66">
        <v>80.599033989999981</v>
      </c>
      <c r="N28" s="67">
        <v>96.952197466653118</v>
      </c>
      <c r="O28" s="67">
        <v>97.231812057180278</v>
      </c>
      <c r="P28" s="67">
        <v>14.162599991515085</v>
      </c>
      <c r="Q28" s="66">
        <v>8.6241648600000005</v>
      </c>
      <c r="R28" s="67">
        <v>7.1054273576010019E-15</v>
      </c>
    </row>
    <row r="29" spans="1:18" ht="15.6" x14ac:dyDescent="0.3">
      <c r="A29" s="169" t="s">
        <v>50</v>
      </c>
      <c r="B29" s="205" t="s">
        <v>51</v>
      </c>
      <c r="C29" s="66">
        <v>2241.6239</v>
      </c>
      <c r="D29" s="66">
        <v>0</v>
      </c>
      <c r="E29" s="66">
        <v>2689.3146814699999</v>
      </c>
      <c r="F29" s="66">
        <v>2241.6239</v>
      </c>
      <c r="G29" s="66">
        <v>447.69078147000005</v>
      </c>
      <c r="H29" s="66">
        <v>2241.6238049200001</v>
      </c>
      <c r="I29" s="66">
        <v>4.22910904</v>
      </c>
      <c r="J29" s="66">
        <v>2689.31458544</v>
      </c>
      <c r="K29" s="66">
        <v>2241.6238049200001</v>
      </c>
      <c r="L29" s="66">
        <v>0</v>
      </c>
      <c r="M29" s="66">
        <v>447.69078052000003</v>
      </c>
      <c r="N29" s="67">
        <v>99.999995758432092</v>
      </c>
      <c r="O29" s="67">
        <v>99.999999787799965</v>
      </c>
      <c r="P29" s="67">
        <v>16.647021621933199</v>
      </c>
      <c r="Q29" s="66">
        <v>4.22910904</v>
      </c>
      <c r="R29" s="67">
        <v>-8.7929663550312398E-14</v>
      </c>
    </row>
    <row r="30" spans="1:18" ht="15.6" x14ac:dyDescent="0.3">
      <c r="A30" s="169" t="s">
        <v>53</v>
      </c>
      <c r="B30" s="205" t="s">
        <v>54</v>
      </c>
      <c r="C30" s="66">
        <v>1286.9290000000001</v>
      </c>
      <c r="D30" s="66">
        <v>0</v>
      </c>
      <c r="E30" s="66">
        <v>1414.7813999999998</v>
      </c>
      <c r="F30" s="66">
        <v>1286.9290000000001</v>
      </c>
      <c r="G30" s="66">
        <v>127.85240000000002</v>
      </c>
      <c r="H30" s="66">
        <v>1200.5084603600003</v>
      </c>
      <c r="I30" s="66">
        <v>8.7298799999999989E-3</v>
      </c>
      <c r="J30" s="66">
        <v>1321.6475718899999</v>
      </c>
      <c r="K30" s="66">
        <v>1200.2143160200001</v>
      </c>
      <c r="L30" s="66">
        <v>0</v>
      </c>
      <c r="M30" s="66">
        <v>121.43325587</v>
      </c>
      <c r="N30" s="67">
        <v>93.26189059536307</v>
      </c>
      <c r="O30" s="67">
        <v>94.979254100822502</v>
      </c>
      <c r="P30" s="67">
        <v>9.18802095602131</v>
      </c>
      <c r="Q30" s="66">
        <v>8.7298799999999989E-3</v>
      </c>
      <c r="R30" s="67">
        <v>0.29414434000014883</v>
      </c>
    </row>
    <row r="31" spans="1:18" ht="15.6" x14ac:dyDescent="0.3">
      <c r="A31" s="169" t="s">
        <v>56</v>
      </c>
      <c r="B31" s="205" t="s">
        <v>57</v>
      </c>
      <c r="C31" s="66">
        <v>1061.288</v>
      </c>
      <c r="D31" s="66">
        <v>0</v>
      </c>
      <c r="E31" s="66">
        <v>1348.981522</v>
      </c>
      <c r="F31" s="66">
        <v>1061.288</v>
      </c>
      <c r="G31" s="66">
        <v>287.69352200000003</v>
      </c>
      <c r="H31" s="66">
        <v>1048.8128788900001</v>
      </c>
      <c r="I31" s="66">
        <v>6.5169531399999991</v>
      </c>
      <c r="J31" s="66">
        <v>1332.5849846900001</v>
      </c>
      <c r="K31" s="66">
        <v>1048.8128788900001</v>
      </c>
      <c r="L31" s="66">
        <v>0</v>
      </c>
      <c r="M31" s="66">
        <v>283.77210580000002</v>
      </c>
      <c r="N31" s="67">
        <v>98.824530088910848</v>
      </c>
      <c r="O31" s="67">
        <v>98.636946646299535</v>
      </c>
      <c r="P31" s="67">
        <v>21.294859919648133</v>
      </c>
      <c r="Q31" s="66">
        <v>6.5169531399999991</v>
      </c>
      <c r="R31" s="67">
        <v>-5.773159728050814E-14</v>
      </c>
    </row>
    <row r="32" spans="1:18" ht="15.6" x14ac:dyDescent="0.3">
      <c r="A32" s="169" t="s">
        <v>59</v>
      </c>
      <c r="B32" s="205" t="s">
        <v>60</v>
      </c>
      <c r="C32" s="66">
        <v>512.81329999999991</v>
      </c>
      <c r="D32" s="66">
        <v>0</v>
      </c>
      <c r="E32" s="66">
        <v>714.34593600000005</v>
      </c>
      <c r="F32" s="66">
        <v>512.81329999999991</v>
      </c>
      <c r="G32" s="66">
        <v>201.532636</v>
      </c>
      <c r="H32" s="66">
        <v>512.47563418999994</v>
      </c>
      <c r="I32" s="66">
        <v>0.83684668999999989</v>
      </c>
      <c r="J32" s="66">
        <v>713.97719586000005</v>
      </c>
      <c r="K32" s="66">
        <v>512.46356418999994</v>
      </c>
      <c r="L32" s="66">
        <v>0</v>
      </c>
      <c r="M32" s="66">
        <v>201.51363167</v>
      </c>
      <c r="N32" s="67">
        <v>99.931800557824857</v>
      </c>
      <c r="O32" s="67">
        <v>99.99057009803613</v>
      </c>
      <c r="P32" s="67">
        <v>28.22409915029187</v>
      </c>
      <c r="Q32" s="66">
        <v>0.83684668999999989</v>
      </c>
      <c r="R32" s="67">
        <v>1.2070000000010128E-2</v>
      </c>
    </row>
    <row r="33" spans="1:18" ht="15.6" x14ac:dyDescent="0.3">
      <c r="A33" s="202" t="s">
        <v>62</v>
      </c>
      <c r="B33" s="203" t="s">
        <v>63</v>
      </c>
      <c r="C33" s="61">
        <v>5450.2126999999991</v>
      </c>
      <c r="D33" s="61">
        <v>0</v>
      </c>
      <c r="E33" s="61">
        <v>7028.3854727600001</v>
      </c>
      <c r="F33" s="61">
        <v>5450.2126999999991</v>
      </c>
      <c r="G33" s="61">
        <v>1578.17277276</v>
      </c>
      <c r="H33" s="61">
        <v>5438.4057072399992</v>
      </c>
      <c r="I33" s="61">
        <v>27.452265389999997</v>
      </c>
      <c r="J33" s="61">
        <v>7007.6313836799991</v>
      </c>
      <c r="K33" s="61">
        <v>5434.3095361799997</v>
      </c>
      <c r="L33" s="61">
        <v>0</v>
      </c>
      <c r="M33" s="61">
        <v>1573.3218474999999</v>
      </c>
      <c r="N33" s="61">
        <v>99.708210216823289</v>
      </c>
      <c r="O33" s="61">
        <v>99.692623941831371</v>
      </c>
      <c r="P33" s="61">
        <v>22.451549765646821</v>
      </c>
      <c r="Q33" s="61">
        <v>27.452265389999997</v>
      </c>
      <c r="R33" s="61">
        <v>4.0961710600001187</v>
      </c>
    </row>
    <row r="34" spans="1:18" ht="15.6" x14ac:dyDescent="0.3">
      <c r="A34" s="169" t="s">
        <v>65</v>
      </c>
      <c r="B34" s="205" t="s">
        <v>66</v>
      </c>
      <c r="C34" s="66">
        <v>264.93129999999996</v>
      </c>
      <c r="D34" s="66">
        <v>0</v>
      </c>
      <c r="E34" s="66">
        <v>296.40978824000001</v>
      </c>
      <c r="F34" s="66">
        <v>264.93129999999996</v>
      </c>
      <c r="G34" s="66">
        <v>31.478488240000001</v>
      </c>
      <c r="H34" s="66">
        <v>263.55086254000003</v>
      </c>
      <c r="I34" s="66">
        <v>0.76640365999999993</v>
      </c>
      <c r="J34" s="66">
        <v>293.07009230999995</v>
      </c>
      <c r="K34" s="66">
        <v>263.55086254000003</v>
      </c>
      <c r="L34" s="66">
        <v>0</v>
      </c>
      <c r="M34" s="66">
        <v>29.519229769999999</v>
      </c>
      <c r="N34" s="67">
        <v>99.478945122754496</v>
      </c>
      <c r="O34" s="67">
        <v>93.775881309603832</v>
      </c>
      <c r="P34" s="67">
        <v>10.072412895265861</v>
      </c>
      <c r="Q34" s="66">
        <v>0.76640365999999993</v>
      </c>
      <c r="R34" s="67">
        <v>-1.9539925233402755E-14</v>
      </c>
    </row>
    <row r="35" spans="1:18" ht="15.6" x14ac:dyDescent="0.3">
      <c r="A35" s="169" t="s">
        <v>68</v>
      </c>
      <c r="B35" s="205" t="s">
        <v>69</v>
      </c>
      <c r="C35" s="66">
        <v>109.44380000000001</v>
      </c>
      <c r="D35" s="66">
        <v>0</v>
      </c>
      <c r="E35" s="66">
        <v>152.13256436999998</v>
      </c>
      <c r="F35" s="66">
        <v>109.44380000000001</v>
      </c>
      <c r="G35" s="66">
        <v>42.688764370000008</v>
      </c>
      <c r="H35" s="66">
        <v>108.05004649</v>
      </c>
      <c r="I35" s="66">
        <v>0.24592276999999998</v>
      </c>
      <c r="J35" s="66">
        <v>150.14148791</v>
      </c>
      <c r="K35" s="66">
        <v>108.05004649</v>
      </c>
      <c r="L35" s="66">
        <v>0</v>
      </c>
      <c r="M35" s="66">
        <v>42.091441420000002</v>
      </c>
      <c r="N35" s="67">
        <v>98.726512136822734</v>
      </c>
      <c r="O35" s="67">
        <v>98.600749028894867</v>
      </c>
      <c r="P35" s="67">
        <v>28.034517311584832</v>
      </c>
      <c r="Q35" s="66">
        <v>0.24592276999999998</v>
      </c>
      <c r="R35" s="67">
        <v>7.0776717819853729E-15</v>
      </c>
    </row>
    <row r="36" spans="1:18" ht="15.6" x14ac:dyDescent="0.3">
      <c r="A36" s="169" t="s">
        <v>71</v>
      </c>
      <c r="B36" s="205" t="s">
        <v>72</v>
      </c>
      <c r="C36" s="66">
        <v>299.74090000000001</v>
      </c>
      <c r="D36" s="66">
        <v>0</v>
      </c>
      <c r="E36" s="66">
        <v>332.26216499000003</v>
      </c>
      <c r="F36" s="66">
        <v>299.74090000000001</v>
      </c>
      <c r="G36" s="66">
        <v>32.521264989999999</v>
      </c>
      <c r="H36" s="66">
        <v>293.85706768</v>
      </c>
      <c r="I36" s="66">
        <v>1.8450426100000001</v>
      </c>
      <c r="J36" s="66">
        <v>323.06293495</v>
      </c>
      <c r="K36" s="66">
        <v>291.20347867999999</v>
      </c>
      <c r="L36" s="66">
        <v>0</v>
      </c>
      <c r="M36" s="66">
        <v>31.859456270000006</v>
      </c>
      <c r="N36" s="67">
        <v>97.151732940015862</v>
      </c>
      <c r="O36" s="67">
        <v>97.964996994417362</v>
      </c>
      <c r="P36" s="67">
        <v>9.8616872514115084</v>
      </c>
      <c r="Q36" s="66">
        <v>1.8450426100000001</v>
      </c>
      <c r="R36" s="67">
        <v>2.653589000000018</v>
      </c>
    </row>
    <row r="37" spans="1:18" ht="15.6" x14ac:dyDescent="0.3">
      <c r="A37" s="169" t="s">
        <v>74</v>
      </c>
      <c r="B37" s="205" t="s">
        <v>1078</v>
      </c>
      <c r="C37" s="66">
        <v>47.988500000000002</v>
      </c>
      <c r="D37" s="66">
        <v>0</v>
      </c>
      <c r="E37" s="66">
        <v>73.450499999999991</v>
      </c>
      <c r="F37" s="66">
        <v>47.988500000000002</v>
      </c>
      <c r="G37" s="66">
        <v>25.462</v>
      </c>
      <c r="H37" s="66">
        <v>47.985710699999998</v>
      </c>
      <c r="I37" s="66">
        <v>0.99845437999999997</v>
      </c>
      <c r="J37" s="66">
        <v>73.446001070000008</v>
      </c>
      <c r="K37" s="66">
        <v>47.985710699999998</v>
      </c>
      <c r="L37" s="66">
        <v>0</v>
      </c>
      <c r="M37" s="66">
        <v>25.460290370000003</v>
      </c>
      <c r="N37" s="67">
        <v>99.994187565770957</v>
      </c>
      <c r="O37" s="67">
        <v>99.993285562799471</v>
      </c>
      <c r="P37" s="67">
        <v>34.665318736324771</v>
      </c>
      <c r="Q37" s="66">
        <v>0.99845437999999997</v>
      </c>
      <c r="R37" s="67">
        <v>-1.6653345369377348E-15</v>
      </c>
    </row>
    <row r="38" spans="1:18" ht="15.6" x14ac:dyDescent="0.3">
      <c r="A38" s="169" t="s">
        <v>76</v>
      </c>
      <c r="B38" s="205" t="s">
        <v>77</v>
      </c>
      <c r="C38" s="66">
        <v>680.87569999999994</v>
      </c>
      <c r="D38" s="66">
        <v>0</v>
      </c>
      <c r="E38" s="66">
        <v>872.94770345999996</v>
      </c>
      <c r="F38" s="66">
        <v>680.87569999999994</v>
      </c>
      <c r="G38" s="66">
        <v>192.07200345999999</v>
      </c>
      <c r="H38" s="66">
        <v>680.87566794999998</v>
      </c>
      <c r="I38" s="66">
        <v>4.0970699100000001</v>
      </c>
      <c r="J38" s="66">
        <v>871.07418184000005</v>
      </c>
      <c r="K38" s="66">
        <v>679.43308592000005</v>
      </c>
      <c r="L38" s="66">
        <v>0</v>
      </c>
      <c r="M38" s="66">
        <v>191.64109592000003</v>
      </c>
      <c r="N38" s="67">
        <v>99.788123723610653</v>
      </c>
      <c r="O38" s="67">
        <v>99.77565312370487</v>
      </c>
      <c r="P38" s="67">
        <v>22.000548278814776</v>
      </c>
      <c r="Q38" s="66">
        <v>4.0970699100000001</v>
      </c>
      <c r="R38" s="67">
        <v>1.4425820299998851</v>
      </c>
    </row>
    <row r="39" spans="1:18" ht="15.6" x14ac:dyDescent="0.3">
      <c r="A39" s="169" t="s">
        <v>79</v>
      </c>
      <c r="B39" s="205" t="s">
        <v>80</v>
      </c>
      <c r="C39" s="66">
        <v>1553.2401</v>
      </c>
      <c r="D39" s="66">
        <v>0</v>
      </c>
      <c r="E39" s="66">
        <v>1821.1247049999999</v>
      </c>
      <c r="F39" s="66">
        <v>1553.2401</v>
      </c>
      <c r="G39" s="66">
        <v>267.88460500000002</v>
      </c>
      <c r="H39" s="66">
        <v>1552.5375980599999</v>
      </c>
      <c r="I39" s="66">
        <v>2.22367772</v>
      </c>
      <c r="J39" s="66">
        <v>1820.2203939999999</v>
      </c>
      <c r="K39" s="66">
        <v>1552.5375980599999</v>
      </c>
      <c r="L39" s="66">
        <v>0</v>
      </c>
      <c r="M39" s="66">
        <v>267.68279594000001</v>
      </c>
      <c r="N39" s="67">
        <v>99.954771838558628</v>
      </c>
      <c r="O39" s="67">
        <v>99.924665674610154</v>
      </c>
      <c r="P39" s="67">
        <v>14.706065090928764</v>
      </c>
      <c r="Q39" s="66">
        <v>2.22367772</v>
      </c>
      <c r="R39" s="67">
        <v>6.8833827526759706E-14</v>
      </c>
    </row>
    <row r="40" spans="1:18" ht="15.6" x14ac:dyDescent="0.3">
      <c r="A40" s="169" t="s">
        <v>82</v>
      </c>
      <c r="B40" s="205" t="s">
        <v>83</v>
      </c>
      <c r="C40" s="66">
        <v>1065.2628</v>
      </c>
      <c r="D40" s="66">
        <v>0</v>
      </c>
      <c r="E40" s="66">
        <v>1864.6345437800003</v>
      </c>
      <c r="F40" s="66">
        <v>1065.2628</v>
      </c>
      <c r="G40" s="66">
        <v>799.3717437800002</v>
      </c>
      <c r="H40" s="66">
        <v>1065.2627989500002</v>
      </c>
      <c r="I40" s="66">
        <v>14.02160625</v>
      </c>
      <c r="J40" s="66">
        <v>1864.6345424200001</v>
      </c>
      <c r="K40" s="66">
        <v>1065.2627989500002</v>
      </c>
      <c r="L40" s="66">
        <v>0</v>
      </c>
      <c r="M40" s="66">
        <v>799.37174347000018</v>
      </c>
      <c r="N40" s="67">
        <v>99.999999901432787</v>
      </c>
      <c r="O40" s="67">
        <v>99.999999961219544</v>
      </c>
      <c r="P40" s="67">
        <v>42.870156338117724</v>
      </c>
      <c r="Q40" s="66">
        <v>14.02160625</v>
      </c>
      <c r="R40" s="67">
        <v>1.0480505352461478E-13</v>
      </c>
    </row>
    <row r="41" spans="1:18" ht="15.6" x14ac:dyDescent="0.3">
      <c r="A41" s="169" t="s">
        <v>85</v>
      </c>
      <c r="B41" s="205" t="s">
        <v>299</v>
      </c>
      <c r="C41" s="66">
        <v>19.427300000000002</v>
      </c>
      <c r="D41" s="66">
        <v>0</v>
      </c>
      <c r="E41" s="66">
        <v>52.506300000000003</v>
      </c>
      <c r="F41" s="66">
        <v>19.427300000000002</v>
      </c>
      <c r="G41" s="66">
        <v>33.079000000000001</v>
      </c>
      <c r="H41" s="66">
        <v>19.427300000000002</v>
      </c>
      <c r="I41" s="66">
        <v>0</v>
      </c>
      <c r="J41" s="66">
        <v>52.506300000000003</v>
      </c>
      <c r="K41" s="66">
        <v>19.427300000000002</v>
      </c>
      <c r="L41" s="66">
        <v>0</v>
      </c>
      <c r="M41" s="66">
        <v>33.079000000000001</v>
      </c>
      <c r="N41" s="67">
        <v>100</v>
      </c>
      <c r="O41" s="67">
        <v>100</v>
      </c>
      <c r="P41" s="67">
        <v>63.000059040534182</v>
      </c>
      <c r="Q41" s="66">
        <v>0</v>
      </c>
      <c r="R41" s="67">
        <v>0</v>
      </c>
    </row>
    <row r="42" spans="1:18" ht="15.6" x14ac:dyDescent="0.3">
      <c r="A42" s="169" t="s">
        <v>87</v>
      </c>
      <c r="B42" s="205" t="s">
        <v>88</v>
      </c>
      <c r="C42" s="66">
        <v>48.909199999999998</v>
      </c>
      <c r="D42" s="66">
        <v>0</v>
      </c>
      <c r="E42" s="66">
        <v>66.17313455</v>
      </c>
      <c r="F42" s="66">
        <v>48.909199999999998</v>
      </c>
      <c r="G42" s="66">
        <v>17.263934549999998</v>
      </c>
      <c r="H42" s="66">
        <v>46.465554869999998</v>
      </c>
      <c r="I42" s="66">
        <v>1.664937E-2</v>
      </c>
      <c r="J42" s="66">
        <v>62.731380809999997</v>
      </c>
      <c r="K42" s="66">
        <v>46.465554840000003</v>
      </c>
      <c r="L42" s="66">
        <v>0</v>
      </c>
      <c r="M42" s="66">
        <v>16.265825970000002</v>
      </c>
      <c r="N42" s="67">
        <v>95.003710631128712</v>
      </c>
      <c r="O42" s="67">
        <v>94.218533572927626</v>
      </c>
      <c r="P42" s="67">
        <v>25.929328766515958</v>
      </c>
      <c r="Q42" s="66">
        <v>1.664937E-2</v>
      </c>
      <c r="R42" s="67">
        <v>2.9999998592961097E-8</v>
      </c>
    </row>
    <row r="43" spans="1:18" ht="15.6" x14ac:dyDescent="0.3">
      <c r="A43" s="169" t="s">
        <v>90</v>
      </c>
      <c r="B43" s="205" t="s">
        <v>91</v>
      </c>
      <c r="C43" s="66">
        <v>381.07719999999995</v>
      </c>
      <c r="D43" s="66">
        <v>0</v>
      </c>
      <c r="E43" s="66">
        <v>476.84393499999993</v>
      </c>
      <c r="F43" s="66">
        <v>381.07719999999995</v>
      </c>
      <c r="G43" s="66">
        <v>95.766734999999983</v>
      </c>
      <c r="H43" s="66">
        <v>381.07719999999995</v>
      </c>
      <c r="I43" s="66">
        <v>0.42271448</v>
      </c>
      <c r="J43" s="66">
        <v>476.84393499999993</v>
      </c>
      <c r="K43" s="66">
        <v>381.07719999999995</v>
      </c>
      <c r="L43" s="66">
        <v>0</v>
      </c>
      <c r="M43" s="66">
        <v>95.766734999999983</v>
      </c>
      <c r="N43" s="67">
        <v>100</v>
      </c>
      <c r="O43" s="67">
        <v>100</v>
      </c>
      <c r="P43" s="67">
        <v>20.083454558355658</v>
      </c>
      <c r="Q43" s="66">
        <v>0.42271448</v>
      </c>
      <c r="R43" s="67">
        <v>2.4646951146678475E-14</v>
      </c>
    </row>
    <row r="44" spans="1:18" ht="15.6" x14ac:dyDescent="0.3">
      <c r="A44" s="206">
        <v>32</v>
      </c>
      <c r="B44" s="205" t="s">
        <v>93</v>
      </c>
      <c r="C44" s="66">
        <v>979.31589999999994</v>
      </c>
      <c r="D44" s="66">
        <v>0</v>
      </c>
      <c r="E44" s="66">
        <v>1019.9001333699999</v>
      </c>
      <c r="F44" s="66">
        <v>979.31589999999994</v>
      </c>
      <c r="G44" s="66">
        <v>40.58423337</v>
      </c>
      <c r="H44" s="66">
        <v>979.31589999999994</v>
      </c>
      <c r="I44" s="66">
        <v>2.8147242400000003</v>
      </c>
      <c r="J44" s="66">
        <v>1019.9001333699999</v>
      </c>
      <c r="K44" s="66">
        <v>979.31589999999994</v>
      </c>
      <c r="L44" s="66">
        <v>0</v>
      </c>
      <c r="M44" s="66">
        <v>40.58423337</v>
      </c>
      <c r="N44" s="67">
        <v>100</v>
      </c>
      <c r="O44" s="67">
        <v>100</v>
      </c>
      <c r="P44" s="67">
        <v>3.9792360096963368</v>
      </c>
      <c r="Q44" s="66">
        <v>2.8147242400000003</v>
      </c>
      <c r="R44" s="67">
        <v>3.1974423109204508E-14</v>
      </c>
    </row>
    <row r="45" spans="1:18" ht="15.6" x14ac:dyDescent="0.3">
      <c r="A45" s="208">
        <v>33</v>
      </c>
      <c r="B45" s="209" t="s">
        <v>95</v>
      </c>
      <c r="C45" s="61">
        <v>13474.102000000003</v>
      </c>
      <c r="D45" s="61">
        <v>0</v>
      </c>
      <c r="E45" s="61">
        <v>15555.099413869997</v>
      </c>
      <c r="F45" s="61">
        <v>13474.102000000003</v>
      </c>
      <c r="G45" s="61">
        <v>2080.9974138699999</v>
      </c>
      <c r="H45" s="61">
        <v>13338.96514575</v>
      </c>
      <c r="I45" s="61">
        <v>173.43631017999999</v>
      </c>
      <c r="J45" s="61">
        <v>15397.95564074</v>
      </c>
      <c r="K45" s="61">
        <v>13338.955734480001</v>
      </c>
      <c r="L45" s="61">
        <v>0</v>
      </c>
      <c r="M45" s="61">
        <v>2058.99990626</v>
      </c>
      <c r="N45" s="61">
        <v>98.996992411664976</v>
      </c>
      <c r="O45" s="61">
        <v>98.942934409077836</v>
      </c>
      <c r="P45" s="61">
        <v>13.371904389776823</v>
      </c>
      <c r="Q45" s="61">
        <v>172.59700537000001</v>
      </c>
      <c r="R45" s="61">
        <v>0.84871607999955312</v>
      </c>
    </row>
    <row r="46" spans="1:18" ht="15.6" x14ac:dyDescent="0.3">
      <c r="A46" s="171">
        <v>34</v>
      </c>
      <c r="B46" s="211" t="s">
        <v>97</v>
      </c>
      <c r="C46" s="66">
        <v>284.51359999999994</v>
      </c>
      <c r="D46" s="66">
        <v>0</v>
      </c>
      <c r="E46" s="66">
        <v>311.87703031000007</v>
      </c>
      <c r="F46" s="66">
        <v>284.51359999999994</v>
      </c>
      <c r="G46" s="66">
        <v>27.363430310000002</v>
      </c>
      <c r="H46" s="66">
        <v>284.51359999999994</v>
      </c>
      <c r="I46" s="66">
        <v>7.2777725999999996</v>
      </c>
      <c r="J46" s="66">
        <v>311.87703031000007</v>
      </c>
      <c r="K46" s="66">
        <v>284.51359999999994</v>
      </c>
      <c r="L46" s="66">
        <v>0</v>
      </c>
      <c r="M46" s="66">
        <v>27.363430310000002</v>
      </c>
      <c r="N46" s="67">
        <v>100</v>
      </c>
      <c r="O46" s="67">
        <v>100</v>
      </c>
      <c r="P46" s="67">
        <v>8.7737882725128085</v>
      </c>
      <c r="Q46" s="66">
        <v>7.2777725999999996</v>
      </c>
      <c r="R46" s="67">
        <v>-7.9936057773011271E-15</v>
      </c>
    </row>
    <row r="47" spans="1:18" ht="15.6" x14ac:dyDescent="0.3">
      <c r="A47" s="171">
        <v>35</v>
      </c>
      <c r="B47" s="211" t="s">
        <v>99</v>
      </c>
      <c r="C47" s="66">
        <v>882.31420000000003</v>
      </c>
      <c r="D47" s="66">
        <v>0</v>
      </c>
      <c r="E47" s="66">
        <v>931.82659816</v>
      </c>
      <c r="F47" s="66">
        <v>882.31420000000003</v>
      </c>
      <c r="G47" s="66">
        <v>49.512398160000004</v>
      </c>
      <c r="H47" s="66">
        <v>882.31409267999993</v>
      </c>
      <c r="I47" s="66">
        <v>0.24725311999999999</v>
      </c>
      <c r="J47" s="66">
        <v>931.82648761999997</v>
      </c>
      <c r="K47" s="66">
        <v>882.31409267999993</v>
      </c>
      <c r="L47" s="66">
        <v>0</v>
      </c>
      <c r="M47" s="66">
        <v>49.51239494</v>
      </c>
      <c r="N47" s="67">
        <v>99.999987836532597</v>
      </c>
      <c r="O47" s="67">
        <v>99.999993496578384</v>
      </c>
      <c r="P47" s="67">
        <v>5.3134779487177681</v>
      </c>
      <c r="Q47" s="66">
        <v>0.24725311999999999</v>
      </c>
      <c r="R47" s="67">
        <v>-1.787459069646502E-14</v>
      </c>
    </row>
    <row r="48" spans="1:18" s="126" customFormat="1" ht="15.6" x14ac:dyDescent="0.3">
      <c r="A48" s="169">
        <v>36</v>
      </c>
      <c r="B48" s="205" t="s">
        <v>318</v>
      </c>
      <c r="C48" s="66">
        <v>2314.8087000000005</v>
      </c>
      <c r="D48" s="66">
        <v>0</v>
      </c>
      <c r="E48" s="66">
        <v>2434.6259639999998</v>
      </c>
      <c r="F48" s="66">
        <v>2314.8087000000005</v>
      </c>
      <c r="G48" s="66">
        <v>119.81726399999999</v>
      </c>
      <c r="H48" s="66">
        <v>2314.8086999800003</v>
      </c>
      <c r="I48" s="66">
        <v>24.299519449999998</v>
      </c>
      <c r="J48" s="66">
        <v>2434.6259639700002</v>
      </c>
      <c r="K48" s="66">
        <v>2314.8086999800003</v>
      </c>
      <c r="L48" s="66">
        <v>0</v>
      </c>
      <c r="M48" s="66">
        <v>119.81726398999999</v>
      </c>
      <c r="N48" s="67">
        <v>99.999999999135994</v>
      </c>
      <c r="O48" s="67">
        <v>99.999999991653951</v>
      </c>
      <c r="P48" s="67">
        <v>4.9213828227897922</v>
      </c>
      <c r="Q48" s="66">
        <v>23.57473177</v>
      </c>
      <c r="R48" s="67">
        <v>0.72478767999993465</v>
      </c>
    </row>
    <row r="49" spans="1:18" ht="15.6" x14ac:dyDescent="0.3">
      <c r="A49" s="171">
        <v>37</v>
      </c>
      <c r="B49" s="211" t="s">
        <v>101</v>
      </c>
      <c r="C49" s="66">
        <v>3996.4587999999999</v>
      </c>
      <c r="D49" s="66">
        <v>0</v>
      </c>
      <c r="E49" s="66">
        <v>5060.2374324599996</v>
      </c>
      <c r="F49" s="66">
        <v>3996.4587999999999</v>
      </c>
      <c r="G49" s="66">
        <v>1063.7786324599999</v>
      </c>
      <c r="H49" s="66">
        <v>3966.2255216699996</v>
      </c>
      <c r="I49" s="66">
        <v>107.01278925</v>
      </c>
      <c r="J49" s="66">
        <v>5024.2633137599987</v>
      </c>
      <c r="K49" s="66">
        <v>3966.2255216699996</v>
      </c>
      <c r="L49" s="66">
        <v>0</v>
      </c>
      <c r="M49" s="66">
        <v>1058.03779209</v>
      </c>
      <c r="N49" s="67">
        <v>99.24349831080454</v>
      </c>
      <c r="O49" s="67">
        <v>99.460335055168002</v>
      </c>
      <c r="P49" s="67">
        <v>21.058565724299154</v>
      </c>
      <c r="Q49" s="66">
        <v>107.01278925</v>
      </c>
      <c r="R49" s="67">
        <v>-2.8421709430404007E-14</v>
      </c>
    </row>
    <row r="50" spans="1:18" ht="15.6" x14ac:dyDescent="0.3">
      <c r="A50" s="171">
        <v>38</v>
      </c>
      <c r="B50" s="211" t="s">
        <v>103</v>
      </c>
      <c r="C50" s="66">
        <v>878.61030000000005</v>
      </c>
      <c r="D50" s="66">
        <v>0</v>
      </c>
      <c r="E50" s="66">
        <v>1038.74885933</v>
      </c>
      <c r="F50" s="66">
        <v>878.61030000000005</v>
      </c>
      <c r="G50" s="66">
        <v>160.13855932999999</v>
      </c>
      <c r="H50" s="66">
        <v>815.7317758800001</v>
      </c>
      <c r="I50" s="66">
        <v>4.5552840300000002</v>
      </c>
      <c r="J50" s="66">
        <v>962.07092006999994</v>
      </c>
      <c r="K50" s="66">
        <v>815.7317758800001</v>
      </c>
      <c r="L50" s="66">
        <v>0</v>
      </c>
      <c r="M50" s="66">
        <v>146.33914418999998</v>
      </c>
      <c r="N50" s="67">
        <v>92.843411451015328</v>
      </c>
      <c r="O50" s="67">
        <v>91.382827972391496</v>
      </c>
      <c r="P50" s="67">
        <v>15.210847884203007</v>
      </c>
      <c r="Q50" s="66">
        <v>4.5548827800000007</v>
      </c>
      <c r="R50" s="67">
        <v>4.0125000005186706E-4</v>
      </c>
    </row>
    <row r="51" spans="1:18" ht="15.6" x14ac:dyDescent="0.3">
      <c r="A51" s="171">
        <v>39</v>
      </c>
      <c r="B51" s="211" t="s">
        <v>105</v>
      </c>
      <c r="C51" s="66">
        <v>2305.4073000000003</v>
      </c>
      <c r="D51" s="66">
        <v>0</v>
      </c>
      <c r="E51" s="66">
        <v>2612.1837270000001</v>
      </c>
      <c r="F51" s="66">
        <v>2305.4073000000003</v>
      </c>
      <c r="G51" s="66">
        <v>306.77642699999996</v>
      </c>
      <c r="H51" s="66">
        <v>2305.3753995100001</v>
      </c>
      <c r="I51" s="66">
        <v>0</v>
      </c>
      <c r="J51" s="66">
        <v>2612.1356899999996</v>
      </c>
      <c r="K51" s="66">
        <v>2305.36598826</v>
      </c>
      <c r="L51" s="66">
        <v>0</v>
      </c>
      <c r="M51" s="66">
        <v>306.76970173999996</v>
      </c>
      <c r="N51" s="67">
        <v>99.99820805026512</v>
      </c>
      <c r="O51" s="67">
        <v>99.997807765066653</v>
      </c>
      <c r="P51" s="67">
        <v>11.744018617195188</v>
      </c>
      <c r="Q51" s="66">
        <v>0</v>
      </c>
      <c r="R51" s="67">
        <v>9.4112500000846921E-3</v>
      </c>
    </row>
    <row r="52" spans="1:18" ht="15.6" x14ac:dyDescent="0.3">
      <c r="A52" s="206">
        <v>40</v>
      </c>
      <c r="B52" s="211" t="s">
        <v>107</v>
      </c>
      <c r="C52" s="66">
        <v>2453.5939000000003</v>
      </c>
      <c r="D52" s="66">
        <v>0</v>
      </c>
      <c r="E52" s="66">
        <v>2788.6963000000001</v>
      </c>
      <c r="F52" s="66">
        <v>2453.5939000000003</v>
      </c>
      <c r="G52" s="66">
        <v>335.10239999999999</v>
      </c>
      <c r="H52" s="66">
        <v>2450.9569563300001</v>
      </c>
      <c r="I52" s="66">
        <v>24.402616050000002</v>
      </c>
      <c r="J52" s="66">
        <v>2785.6653295800002</v>
      </c>
      <c r="K52" s="66">
        <v>2450.9569563100004</v>
      </c>
      <c r="L52" s="66">
        <v>0</v>
      </c>
      <c r="M52" s="66">
        <v>334.70837326999992</v>
      </c>
      <c r="N52" s="67">
        <v>99.892527296795123</v>
      </c>
      <c r="O52" s="67">
        <v>99.882416022684396</v>
      </c>
      <c r="P52" s="67">
        <v>12.015383532108091</v>
      </c>
      <c r="Q52" s="66">
        <v>24.288500170000002</v>
      </c>
      <c r="R52" s="67">
        <v>0.11411589999956462</v>
      </c>
    </row>
    <row r="53" spans="1:18" s="126" customFormat="1" ht="15.6" x14ac:dyDescent="0.3">
      <c r="A53" s="169">
        <v>41</v>
      </c>
      <c r="B53" s="205" t="s">
        <v>319</v>
      </c>
      <c r="C53" s="66">
        <v>358.39519999999999</v>
      </c>
      <c r="D53" s="66">
        <v>0</v>
      </c>
      <c r="E53" s="66">
        <v>376.90350260999998</v>
      </c>
      <c r="F53" s="66">
        <v>358.39519999999999</v>
      </c>
      <c r="G53" s="66">
        <v>18.508302609999998</v>
      </c>
      <c r="H53" s="66">
        <v>319.03909969999995</v>
      </c>
      <c r="I53" s="66">
        <v>5.6410756800000001</v>
      </c>
      <c r="J53" s="66">
        <v>335.49090543000005</v>
      </c>
      <c r="K53" s="66">
        <v>319.03909969999995</v>
      </c>
      <c r="L53" s="66">
        <v>0</v>
      </c>
      <c r="M53" s="66">
        <v>16.451805729999997</v>
      </c>
      <c r="N53" s="67">
        <v>89.018798159127115</v>
      </c>
      <c r="O53" s="67">
        <v>88.888787246817117</v>
      </c>
      <c r="P53" s="67">
        <v>4.9038008076295396</v>
      </c>
      <c r="Q53" s="66">
        <v>5.6410756800000001</v>
      </c>
      <c r="R53" s="67">
        <v>-2.8421709430404007E-14</v>
      </c>
    </row>
    <row r="54" spans="1:18" ht="31.2" x14ac:dyDescent="0.3">
      <c r="A54" s="208">
        <v>42</v>
      </c>
      <c r="B54" s="212" t="s">
        <v>109</v>
      </c>
      <c r="C54" s="61">
        <v>11974.660599999999</v>
      </c>
      <c r="D54" s="61">
        <v>0</v>
      </c>
      <c r="E54" s="61">
        <v>13056.41489029</v>
      </c>
      <c r="F54" s="61">
        <v>11974.660599999999</v>
      </c>
      <c r="G54" s="61">
        <v>1081.75429029</v>
      </c>
      <c r="H54" s="61">
        <v>11960.79552775</v>
      </c>
      <c r="I54" s="61">
        <v>154.14562049</v>
      </c>
      <c r="J54" s="61">
        <v>13039.588436503589</v>
      </c>
      <c r="K54" s="61">
        <v>11960.04769171</v>
      </c>
      <c r="L54" s="61">
        <v>0</v>
      </c>
      <c r="M54" s="61">
        <v>1079.54074479359</v>
      </c>
      <c r="N54" s="61">
        <v>99.877968079613055</v>
      </c>
      <c r="O54" s="61">
        <v>99.795374465691594</v>
      </c>
      <c r="P54" s="61">
        <v>8.2789479901948191</v>
      </c>
      <c r="Q54" s="61">
        <v>131.22006465000001</v>
      </c>
      <c r="R54" s="61">
        <v>23.673391879999578</v>
      </c>
    </row>
    <row r="55" spans="1:18" ht="15.6" x14ac:dyDescent="0.3">
      <c r="A55" s="171">
        <v>43</v>
      </c>
      <c r="B55" s="211" t="s">
        <v>111</v>
      </c>
      <c r="C55" s="66">
        <v>2638.8663000000006</v>
      </c>
      <c r="D55" s="66">
        <v>0</v>
      </c>
      <c r="E55" s="66">
        <v>2769.0245845800005</v>
      </c>
      <c r="F55" s="66">
        <v>2638.8663000000006</v>
      </c>
      <c r="G55" s="66">
        <v>130.15828458000001</v>
      </c>
      <c r="H55" s="66">
        <v>2638.8663000000006</v>
      </c>
      <c r="I55" s="66">
        <v>1.5912267499999999</v>
      </c>
      <c r="J55" s="66">
        <v>2769.0245845800005</v>
      </c>
      <c r="K55" s="66">
        <v>2638.8663000000006</v>
      </c>
      <c r="L55" s="66">
        <v>0</v>
      </c>
      <c r="M55" s="66">
        <v>130.15828458000001</v>
      </c>
      <c r="N55" s="67">
        <v>100</v>
      </c>
      <c r="O55" s="67">
        <v>100</v>
      </c>
      <c r="P55" s="67">
        <v>4.7005102556625422</v>
      </c>
      <c r="Q55" s="66">
        <v>1.5912267499999999</v>
      </c>
      <c r="R55" s="67">
        <v>-1.9473311851925246E-13</v>
      </c>
    </row>
    <row r="56" spans="1:18" ht="15.6" x14ac:dyDescent="0.3">
      <c r="A56" s="171">
        <v>44</v>
      </c>
      <c r="B56" s="211" t="s">
        <v>113</v>
      </c>
      <c r="C56" s="66">
        <v>465.94149999999996</v>
      </c>
      <c r="D56" s="66">
        <v>0</v>
      </c>
      <c r="E56" s="66">
        <v>485.0982140000001</v>
      </c>
      <c r="F56" s="66">
        <v>465.94149999999996</v>
      </c>
      <c r="G56" s="66">
        <v>19.156714000000001</v>
      </c>
      <c r="H56" s="66">
        <v>464.52915566000001</v>
      </c>
      <c r="I56" s="66">
        <v>9.3563199999999996E-3</v>
      </c>
      <c r="J56" s="66">
        <v>482.88155564358999</v>
      </c>
      <c r="K56" s="66">
        <v>463.78131969999993</v>
      </c>
      <c r="L56" s="66">
        <v>0</v>
      </c>
      <c r="M56" s="66">
        <v>19.10023594359</v>
      </c>
      <c r="N56" s="67">
        <v>99.536383794961381</v>
      </c>
      <c r="O56" s="67">
        <v>99.705178787917376</v>
      </c>
      <c r="P56" s="67">
        <v>3.9554701811157376</v>
      </c>
      <c r="Q56" s="66">
        <v>0</v>
      </c>
      <c r="R56" s="67">
        <v>0.75719228000008343</v>
      </c>
    </row>
    <row r="57" spans="1:18" ht="31.2" x14ac:dyDescent="0.3">
      <c r="A57" s="171">
        <v>45</v>
      </c>
      <c r="B57" s="211" t="s">
        <v>115</v>
      </c>
      <c r="C57" s="66">
        <v>1729.4683</v>
      </c>
      <c r="D57" s="66">
        <v>0</v>
      </c>
      <c r="E57" s="66">
        <v>1846.8619054500002</v>
      </c>
      <c r="F57" s="66">
        <v>1729.4683</v>
      </c>
      <c r="G57" s="66">
        <v>117.39360545000001</v>
      </c>
      <c r="H57" s="66">
        <v>1729.4683</v>
      </c>
      <c r="I57" s="66">
        <v>3.50336567</v>
      </c>
      <c r="J57" s="66">
        <v>1846.8619054500002</v>
      </c>
      <c r="K57" s="66">
        <v>1729.4683</v>
      </c>
      <c r="L57" s="66">
        <v>0</v>
      </c>
      <c r="M57" s="66">
        <v>117.39360545000001</v>
      </c>
      <c r="N57" s="67">
        <v>100</v>
      </c>
      <c r="O57" s="67">
        <v>100</v>
      </c>
      <c r="P57" s="67">
        <v>6.3563824183918216</v>
      </c>
      <c r="Q57" s="66">
        <v>3.50336567</v>
      </c>
      <c r="R57" s="67">
        <v>-6.2172489379008766E-15</v>
      </c>
    </row>
    <row r="58" spans="1:18" ht="31.2" x14ac:dyDescent="0.3">
      <c r="A58" s="171">
        <v>46</v>
      </c>
      <c r="B58" s="211" t="s">
        <v>117</v>
      </c>
      <c r="C58" s="66">
        <v>862.08809999999994</v>
      </c>
      <c r="D58" s="66">
        <v>0</v>
      </c>
      <c r="E58" s="66">
        <v>900.78483897000001</v>
      </c>
      <c r="F58" s="66">
        <v>862.08809999999994</v>
      </c>
      <c r="G58" s="66">
        <v>38.696738969999998</v>
      </c>
      <c r="H58" s="66">
        <v>862.08809999999994</v>
      </c>
      <c r="I58" s="66">
        <v>2.51490167</v>
      </c>
      <c r="J58" s="66">
        <v>900.78483879999999</v>
      </c>
      <c r="K58" s="66">
        <v>862.08809999999994</v>
      </c>
      <c r="L58" s="66">
        <v>0</v>
      </c>
      <c r="M58" s="66">
        <v>38.696738799999999</v>
      </c>
      <c r="N58" s="67">
        <v>100</v>
      </c>
      <c r="O58" s="67">
        <v>99.99999956068649</v>
      </c>
      <c r="P58" s="67">
        <v>4.2958914419064484</v>
      </c>
      <c r="Q58" s="66">
        <v>2.51490167</v>
      </c>
      <c r="R58" s="67">
        <v>-2.7977620220553945E-14</v>
      </c>
    </row>
    <row r="59" spans="1:18" ht="31.2" x14ac:dyDescent="0.3">
      <c r="A59" s="171">
        <v>47</v>
      </c>
      <c r="B59" s="211" t="s">
        <v>119</v>
      </c>
      <c r="C59" s="66">
        <v>490.52609999999999</v>
      </c>
      <c r="D59" s="66">
        <v>0</v>
      </c>
      <c r="E59" s="66">
        <v>515.48346564999997</v>
      </c>
      <c r="F59" s="66">
        <v>490.52609999999999</v>
      </c>
      <c r="G59" s="66">
        <v>24.957365649999996</v>
      </c>
      <c r="H59" s="66">
        <v>490.02902094000001</v>
      </c>
      <c r="I59" s="66">
        <v>2.5938021499999997</v>
      </c>
      <c r="J59" s="66">
        <v>514.94897231000004</v>
      </c>
      <c r="K59" s="66">
        <v>490.02902094000001</v>
      </c>
      <c r="L59" s="66">
        <v>0</v>
      </c>
      <c r="M59" s="66">
        <v>24.91995137</v>
      </c>
      <c r="N59" s="67">
        <v>99.898664095549663</v>
      </c>
      <c r="O59" s="67">
        <v>99.850087222647247</v>
      </c>
      <c r="P59" s="67">
        <v>4.8393050010784666</v>
      </c>
      <c r="Q59" s="66">
        <v>2.5938021499999997</v>
      </c>
      <c r="R59" s="67">
        <v>-1.1990408665951691E-14</v>
      </c>
    </row>
    <row r="60" spans="1:18" ht="15.6" x14ac:dyDescent="0.3">
      <c r="A60" s="169">
        <v>48</v>
      </c>
      <c r="B60" s="211" t="s">
        <v>122</v>
      </c>
      <c r="C60" s="66">
        <v>1672.1276</v>
      </c>
      <c r="D60" s="66">
        <v>0</v>
      </c>
      <c r="E60" s="66">
        <v>1754.7416847999998</v>
      </c>
      <c r="F60" s="66">
        <v>1672.1276</v>
      </c>
      <c r="G60" s="66">
        <v>82.614084800000001</v>
      </c>
      <c r="H60" s="66">
        <v>1672.1275874800001</v>
      </c>
      <c r="I60" s="66">
        <v>52.040675</v>
      </c>
      <c r="J60" s="66">
        <v>1754.7416716800001</v>
      </c>
      <c r="K60" s="66">
        <v>1672.1275874800001</v>
      </c>
      <c r="L60" s="66">
        <v>0</v>
      </c>
      <c r="M60" s="66">
        <v>82.614084200000008</v>
      </c>
      <c r="N60" s="67">
        <v>99.999999251253314</v>
      </c>
      <c r="O60" s="67">
        <v>99.999999273731603</v>
      </c>
      <c r="P60" s="67">
        <v>4.7080482291678178</v>
      </c>
      <c r="Q60" s="66">
        <v>52.040675</v>
      </c>
      <c r="R60" s="67">
        <v>-3.5527136788005009E-14</v>
      </c>
    </row>
    <row r="61" spans="1:18" ht="15.6" x14ac:dyDescent="0.3">
      <c r="A61" s="215">
        <v>49</v>
      </c>
      <c r="B61" s="211" t="s">
        <v>125</v>
      </c>
      <c r="C61" s="66">
        <v>4115.6426999999994</v>
      </c>
      <c r="D61" s="66">
        <v>0</v>
      </c>
      <c r="E61" s="66">
        <v>4784.4201968399993</v>
      </c>
      <c r="F61" s="66">
        <v>4115.6426999999994</v>
      </c>
      <c r="G61" s="66">
        <v>668.77749684000003</v>
      </c>
      <c r="H61" s="66">
        <v>4103.6870636699996</v>
      </c>
      <c r="I61" s="66">
        <v>91.892292929999996</v>
      </c>
      <c r="J61" s="66">
        <v>4770.3449080399996</v>
      </c>
      <c r="K61" s="66">
        <v>4103.6870635899995</v>
      </c>
      <c r="L61" s="66">
        <v>0</v>
      </c>
      <c r="M61" s="66">
        <v>666.65784444999997</v>
      </c>
      <c r="N61" s="67">
        <v>99.709507426142707</v>
      </c>
      <c r="O61" s="67">
        <v>99.683055664998378</v>
      </c>
      <c r="P61" s="67">
        <v>13.975044934935552</v>
      </c>
      <c r="Q61" s="66">
        <v>68.976093410000004</v>
      </c>
      <c r="R61" s="67">
        <v>22.916199599999771</v>
      </c>
    </row>
    <row r="62" spans="1:18" ht="15.6" x14ac:dyDescent="0.3">
      <c r="A62" s="202">
        <v>50</v>
      </c>
      <c r="B62" s="203" t="s">
        <v>128</v>
      </c>
      <c r="C62" s="61">
        <v>21244.786399999997</v>
      </c>
      <c r="D62" s="61">
        <v>0</v>
      </c>
      <c r="E62" s="61">
        <v>26520.891772359995</v>
      </c>
      <c r="F62" s="61">
        <v>21244.786399999997</v>
      </c>
      <c r="G62" s="61">
        <v>5276.1053723599989</v>
      </c>
      <c r="H62" s="61">
        <v>21039.091843179998</v>
      </c>
      <c r="I62" s="61">
        <v>77.90288120999999</v>
      </c>
      <c r="J62" s="61">
        <v>26261.189504230002</v>
      </c>
      <c r="K62" s="61">
        <v>21037.686281689999</v>
      </c>
      <c r="L62" s="61">
        <v>0</v>
      </c>
      <c r="M62" s="61">
        <v>5223.5032225399991</v>
      </c>
      <c r="N62" s="61">
        <v>99.025172037926453</v>
      </c>
      <c r="O62" s="61">
        <v>99.003011765163606</v>
      </c>
      <c r="P62" s="61">
        <v>19.890581200438874</v>
      </c>
      <c r="Q62" s="61">
        <v>77.796497059999993</v>
      </c>
      <c r="R62" s="61">
        <v>1.5119456399999982</v>
      </c>
    </row>
    <row r="63" spans="1:18" ht="15.6" x14ac:dyDescent="0.3">
      <c r="A63" s="169">
        <v>51</v>
      </c>
      <c r="B63" s="205" t="s">
        <v>131</v>
      </c>
      <c r="C63" s="66">
        <v>2146.2513000000004</v>
      </c>
      <c r="D63" s="66">
        <v>0</v>
      </c>
      <c r="E63" s="66">
        <v>2464.2956529600001</v>
      </c>
      <c r="F63" s="66">
        <v>2146.2513000000004</v>
      </c>
      <c r="G63" s="66">
        <v>318.04435296000003</v>
      </c>
      <c r="H63" s="66">
        <v>2146.2513000000004</v>
      </c>
      <c r="I63" s="66">
        <v>0</v>
      </c>
      <c r="J63" s="66">
        <v>2464.2824055599999</v>
      </c>
      <c r="K63" s="66">
        <v>2146.2396422900001</v>
      </c>
      <c r="L63" s="66">
        <v>0</v>
      </c>
      <c r="M63" s="66">
        <v>318.04276327000002</v>
      </c>
      <c r="N63" s="67">
        <v>99.999456833875882</v>
      </c>
      <c r="O63" s="67">
        <v>99.99950016719832</v>
      </c>
      <c r="P63" s="67">
        <v>12.906100475839166</v>
      </c>
      <c r="Q63" s="66">
        <v>0</v>
      </c>
      <c r="R63" s="67">
        <v>1.1657710000235966E-2</v>
      </c>
    </row>
    <row r="64" spans="1:18" ht="15.6" x14ac:dyDescent="0.3">
      <c r="A64" s="169">
        <v>52</v>
      </c>
      <c r="B64" s="205" t="s">
        <v>134</v>
      </c>
      <c r="C64" s="66">
        <v>799.21050000000002</v>
      </c>
      <c r="D64" s="66">
        <v>0</v>
      </c>
      <c r="E64" s="66">
        <v>829.80769935000001</v>
      </c>
      <c r="F64" s="66">
        <v>799.21050000000002</v>
      </c>
      <c r="G64" s="66">
        <v>30.597199349999997</v>
      </c>
      <c r="H64" s="66">
        <v>793.84377771000004</v>
      </c>
      <c r="I64" s="66">
        <v>4.2895357900000004</v>
      </c>
      <c r="J64" s="66">
        <v>823.97430556000006</v>
      </c>
      <c r="K64" s="66">
        <v>793.84377771000004</v>
      </c>
      <c r="L64" s="66">
        <v>0</v>
      </c>
      <c r="M64" s="66">
        <v>30.13052785</v>
      </c>
      <c r="N64" s="67">
        <v>99.328497024250808</v>
      </c>
      <c r="O64" s="67">
        <v>98.474790144477737</v>
      </c>
      <c r="P64" s="67">
        <v>3.6567314838200327</v>
      </c>
      <c r="Q64" s="66">
        <v>4.2895357900000004</v>
      </c>
      <c r="R64" s="67">
        <v>-5.5067062021407764E-14</v>
      </c>
    </row>
    <row r="65" spans="1:18" ht="15.6" x14ac:dyDescent="0.3">
      <c r="A65" s="169">
        <v>53</v>
      </c>
      <c r="B65" s="205" t="s">
        <v>137</v>
      </c>
      <c r="C65" s="66">
        <v>1399.9836</v>
      </c>
      <c r="D65" s="66">
        <v>0</v>
      </c>
      <c r="E65" s="66">
        <v>1882.2574290800001</v>
      </c>
      <c r="F65" s="66">
        <v>1399.9836</v>
      </c>
      <c r="G65" s="66">
        <v>482.27382908000004</v>
      </c>
      <c r="H65" s="66">
        <v>1399.9836</v>
      </c>
      <c r="I65" s="66">
        <v>0</v>
      </c>
      <c r="J65" s="66">
        <v>1882.2574290800001</v>
      </c>
      <c r="K65" s="66">
        <v>1399.9836</v>
      </c>
      <c r="L65" s="66">
        <v>0</v>
      </c>
      <c r="M65" s="66">
        <v>482.27382908000004</v>
      </c>
      <c r="N65" s="67">
        <v>100</v>
      </c>
      <c r="O65" s="67">
        <v>100</v>
      </c>
      <c r="P65" s="67">
        <v>25.622097255619458</v>
      </c>
      <c r="Q65" s="66">
        <v>0</v>
      </c>
      <c r="R65" s="67">
        <v>0</v>
      </c>
    </row>
    <row r="66" spans="1:18" ht="15.6" x14ac:dyDescent="0.3">
      <c r="A66" s="169">
        <v>54</v>
      </c>
      <c r="B66" s="205" t="s">
        <v>140</v>
      </c>
      <c r="C66" s="66">
        <v>3691.6797999999999</v>
      </c>
      <c r="D66" s="66">
        <v>0</v>
      </c>
      <c r="E66" s="66">
        <v>5612.7283437700007</v>
      </c>
      <c r="F66" s="66">
        <v>3691.6797999999999</v>
      </c>
      <c r="G66" s="66">
        <v>1921.0485437699997</v>
      </c>
      <c r="H66" s="66">
        <v>3691.6797600999998</v>
      </c>
      <c r="I66" s="66">
        <v>10.141308070000001</v>
      </c>
      <c r="J66" s="66">
        <v>5612.7282749799997</v>
      </c>
      <c r="K66" s="66">
        <v>3691.6797600999998</v>
      </c>
      <c r="L66" s="66">
        <v>0</v>
      </c>
      <c r="M66" s="66">
        <v>1921.0485148799999</v>
      </c>
      <c r="N66" s="67">
        <v>99.999998919191199</v>
      </c>
      <c r="O66" s="67">
        <v>99.999998496133784</v>
      </c>
      <c r="P66" s="67">
        <v>34.226643813196986</v>
      </c>
      <c r="Q66" s="66">
        <v>10.141308070000001</v>
      </c>
      <c r="R66" s="67">
        <v>-7.815970093361102E-14</v>
      </c>
    </row>
    <row r="67" spans="1:18" ht="15.6" x14ac:dyDescent="0.3">
      <c r="A67" s="169">
        <v>55</v>
      </c>
      <c r="B67" s="205" t="s">
        <v>143</v>
      </c>
      <c r="C67" s="66">
        <v>1165.2222999999999</v>
      </c>
      <c r="D67" s="66">
        <v>0</v>
      </c>
      <c r="E67" s="66">
        <v>1391.5608860000002</v>
      </c>
      <c r="F67" s="66">
        <v>1165.2222999999999</v>
      </c>
      <c r="G67" s="66">
        <v>226.33858600000002</v>
      </c>
      <c r="H67" s="66">
        <v>1155.6925441999999</v>
      </c>
      <c r="I67" s="66">
        <v>4.5772743199999999</v>
      </c>
      <c r="J67" s="66">
        <v>1381.8186731900003</v>
      </c>
      <c r="K67" s="66">
        <v>1155.6925441999999</v>
      </c>
      <c r="L67" s="66">
        <v>0</v>
      </c>
      <c r="M67" s="66">
        <v>226.12612899000004</v>
      </c>
      <c r="N67" s="67">
        <v>99.182151268474698</v>
      </c>
      <c r="O67" s="67">
        <v>99.906133101847701</v>
      </c>
      <c r="P67" s="67">
        <v>16.364385094606959</v>
      </c>
      <c r="Q67" s="66">
        <v>4.5772743199999999</v>
      </c>
      <c r="R67" s="67">
        <v>1.5099033134902129E-14</v>
      </c>
    </row>
    <row r="68" spans="1:18" ht="15.6" x14ac:dyDescent="0.3">
      <c r="A68" s="169">
        <v>56</v>
      </c>
      <c r="B68" s="205" t="s">
        <v>146</v>
      </c>
      <c r="C68" s="66">
        <v>1237.1389999999999</v>
      </c>
      <c r="D68" s="66">
        <v>0</v>
      </c>
      <c r="E68" s="66">
        <v>1311.75312994</v>
      </c>
      <c r="F68" s="66">
        <v>1237.1389999999999</v>
      </c>
      <c r="G68" s="66">
        <v>74.614129939999984</v>
      </c>
      <c r="H68" s="66">
        <v>1177.73195672</v>
      </c>
      <c r="I68" s="66">
        <v>9.5999334300000001</v>
      </c>
      <c r="J68" s="66">
        <v>1248.5541477000002</v>
      </c>
      <c r="K68" s="66">
        <v>1177.73195672</v>
      </c>
      <c r="L68" s="66">
        <v>0</v>
      </c>
      <c r="M68" s="66">
        <v>70.822190979999988</v>
      </c>
      <c r="N68" s="67">
        <v>95.198030028961995</v>
      </c>
      <c r="O68" s="67">
        <v>94.917934494378969</v>
      </c>
      <c r="P68" s="67">
        <v>5.6723363668659239</v>
      </c>
      <c r="Q68" s="66">
        <v>9.5999334300000001</v>
      </c>
      <c r="R68" s="67">
        <v>-3.5527136788005009E-14</v>
      </c>
    </row>
    <row r="69" spans="1:18" ht="15.6" x14ac:dyDescent="0.3">
      <c r="A69" s="169">
        <v>57</v>
      </c>
      <c r="B69" s="205" t="s">
        <v>149</v>
      </c>
      <c r="C69" s="66">
        <v>888.18580000000009</v>
      </c>
      <c r="D69" s="66">
        <v>0</v>
      </c>
      <c r="E69" s="66">
        <v>1211.0456184899999</v>
      </c>
      <c r="F69" s="66">
        <v>888.18580000000009</v>
      </c>
      <c r="G69" s="66">
        <v>322.85981849000007</v>
      </c>
      <c r="H69" s="66">
        <v>833.91634829000009</v>
      </c>
      <c r="I69" s="66">
        <v>2.0659422599999999</v>
      </c>
      <c r="J69" s="66">
        <v>1136.8225960699999</v>
      </c>
      <c r="K69" s="66">
        <v>833.91632914000002</v>
      </c>
      <c r="L69" s="66">
        <v>0</v>
      </c>
      <c r="M69" s="66">
        <v>302.90626693000002</v>
      </c>
      <c r="N69" s="67">
        <v>93.889851553582588</v>
      </c>
      <c r="O69" s="67">
        <v>93.819747637435398</v>
      </c>
      <c r="P69" s="67">
        <v>26.644989990271846</v>
      </c>
      <c r="Q69" s="66">
        <v>2.0659422599999999</v>
      </c>
      <c r="R69" s="67">
        <v>1.9150000113654642E-5</v>
      </c>
    </row>
    <row r="70" spans="1:18" ht="15.6" x14ac:dyDescent="0.3">
      <c r="A70" s="169">
        <v>58</v>
      </c>
      <c r="B70" s="205" t="s">
        <v>152</v>
      </c>
      <c r="C70" s="66">
        <v>1458.0730000000001</v>
      </c>
      <c r="D70" s="66">
        <v>0</v>
      </c>
      <c r="E70" s="66">
        <v>1534.99135</v>
      </c>
      <c r="F70" s="66">
        <v>1458.0730000000001</v>
      </c>
      <c r="G70" s="66">
        <v>76.918350000000004</v>
      </c>
      <c r="H70" s="66">
        <v>1458.07299842</v>
      </c>
      <c r="I70" s="66">
        <v>0.48114275000000006</v>
      </c>
      <c r="J70" s="66">
        <v>1534.9913483199998</v>
      </c>
      <c r="K70" s="66">
        <v>1458.0729984</v>
      </c>
      <c r="L70" s="66">
        <v>0</v>
      </c>
      <c r="M70" s="66">
        <v>76.918349920000011</v>
      </c>
      <c r="N70" s="67">
        <v>99.99999989026611</v>
      </c>
      <c r="O70" s="67">
        <v>99.999999895993625</v>
      </c>
      <c r="P70" s="67">
        <v>5.010995664841027</v>
      </c>
      <c r="Q70" s="66">
        <v>0.48114275000000006</v>
      </c>
      <c r="R70" s="67">
        <v>1.9999905731538092E-8</v>
      </c>
    </row>
    <row r="71" spans="1:18" ht="15.6" x14ac:dyDescent="0.3">
      <c r="A71" s="169">
        <v>59</v>
      </c>
      <c r="B71" s="205" t="s">
        <v>155</v>
      </c>
      <c r="C71" s="66">
        <v>1141.6588999999999</v>
      </c>
      <c r="D71" s="66">
        <v>0</v>
      </c>
      <c r="E71" s="66">
        <v>1545.8936353399999</v>
      </c>
      <c r="F71" s="66">
        <v>1141.6588999999999</v>
      </c>
      <c r="G71" s="66">
        <v>404.23473533999999</v>
      </c>
      <c r="H71" s="66">
        <v>1141.6588999999999</v>
      </c>
      <c r="I71" s="66">
        <v>3.7605457900000001</v>
      </c>
      <c r="J71" s="66">
        <v>1545.8936352999999</v>
      </c>
      <c r="K71" s="66">
        <v>1141.6588999999999</v>
      </c>
      <c r="L71" s="66">
        <v>0</v>
      </c>
      <c r="M71" s="66">
        <v>404.23473529999995</v>
      </c>
      <c r="N71" s="67">
        <v>100</v>
      </c>
      <c r="O71" s="67">
        <v>99.999999990104754</v>
      </c>
      <c r="P71" s="67">
        <v>26.148935869158503</v>
      </c>
      <c r="Q71" s="66">
        <v>3.7605457900000001</v>
      </c>
      <c r="R71" s="67">
        <v>-7.638334409421077E-14</v>
      </c>
    </row>
    <row r="72" spans="1:18" ht="15.6" x14ac:dyDescent="0.3">
      <c r="A72" s="169">
        <v>60</v>
      </c>
      <c r="B72" s="205" t="s">
        <v>158</v>
      </c>
      <c r="C72" s="66">
        <v>2199.5663</v>
      </c>
      <c r="D72" s="66">
        <v>0</v>
      </c>
      <c r="E72" s="66">
        <v>2661.3098000000005</v>
      </c>
      <c r="F72" s="66">
        <v>2199.5663</v>
      </c>
      <c r="G72" s="66">
        <v>461.74350000000004</v>
      </c>
      <c r="H72" s="66">
        <v>2198.5714406199995</v>
      </c>
      <c r="I72" s="66">
        <v>1.7785353500000001</v>
      </c>
      <c r="J72" s="66">
        <v>2659.98333525</v>
      </c>
      <c r="K72" s="66">
        <v>2198.5714405699996</v>
      </c>
      <c r="L72" s="66">
        <v>0</v>
      </c>
      <c r="M72" s="66">
        <v>461.41189468000005</v>
      </c>
      <c r="N72" s="67">
        <v>99.95477020037994</v>
      </c>
      <c r="O72" s="67">
        <v>99.928184084886965</v>
      </c>
      <c r="P72" s="67">
        <v>17.34642050442147</v>
      </c>
      <c r="Q72" s="66">
        <v>1.7785353500000001</v>
      </c>
      <c r="R72" s="67">
        <v>4.999978231445823E-8</v>
      </c>
    </row>
    <row r="73" spans="1:18" ht="15.6" x14ac:dyDescent="0.3">
      <c r="A73" s="169">
        <v>61</v>
      </c>
      <c r="B73" s="205" t="s">
        <v>161</v>
      </c>
      <c r="C73" s="66">
        <v>1640.8848</v>
      </c>
      <c r="D73" s="66">
        <v>0</v>
      </c>
      <c r="E73" s="66">
        <v>1770.3666148399998</v>
      </c>
      <c r="F73" s="66">
        <v>1640.8848</v>
      </c>
      <c r="G73" s="66">
        <v>129.48181484</v>
      </c>
      <c r="H73" s="66">
        <v>1640.8848</v>
      </c>
      <c r="I73" s="66">
        <v>5.2029811099999996</v>
      </c>
      <c r="J73" s="66">
        <v>1770.3666148399998</v>
      </c>
      <c r="K73" s="66">
        <v>1640.8848</v>
      </c>
      <c r="L73" s="66">
        <v>0</v>
      </c>
      <c r="M73" s="66">
        <v>129.48181484</v>
      </c>
      <c r="N73" s="67">
        <v>100</v>
      </c>
      <c r="O73" s="67">
        <v>100</v>
      </c>
      <c r="P73" s="67">
        <v>7.3138418762885546</v>
      </c>
      <c r="Q73" s="66">
        <v>5.2029811099999996</v>
      </c>
      <c r="R73" s="67">
        <v>1.1013412404281553E-13</v>
      </c>
    </row>
    <row r="74" spans="1:18" ht="15.6" x14ac:dyDescent="0.3">
      <c r="A74" s="169">
        <v>62</v>
      </c>
      <c r="B74" s="205" t="s">
        <v>164</v>
      </c>
      <c r="C74" s="66">
        <v>1087.8833999999999</v>
      </c>
      <c r="D74" s="66">
        <v>0</v>
      </c>
      <c r="E74" s="66">
        <v>1599.4841966900001</v>
      </c>
      <c r="F74" s="66">
        <v>1087.8833999999999</v>
      </c>
      <c r="G74" s="66">
        <v>511.60079668999998</v>
      </c>
      <c r="H74" s="66">
        <v>1013.76003449</v>
      </c>
      <c r="I74" s="66">
        <v>13.380157830000002</v>
      </c>
      <c r="J74" s="66">
        <v>1497.2915920800001</v>
      </c>
      <c r="K74" s="66">
        <v>1012.9155336899998</v>
      </c>
      <c r="L74" s="66">
        <v>0</v>
      </c>
      <c r="M74" s="66">
        <v>484.37605839000003</v>
      </c>
      <c r="N74" s="67">
        <v>93.108832590882429</v>
      </c>
      <c r="O74" s="67">
        <v>94.678519174297421</v>
      </c>
      <c r="P74" s="67">
        <v>32.350148825528159</v>
      </c>
      <c r="Q74" s="66">
        <v>13.273773680000001</v>
      </c>
      <c r="R74" s="67">
        <v>0.95088495000002027</v>
      </c>
    </row>
    <row r="75" spans="1:18" ht="15.6" x14ac:dyDescent="0.3">
      <c r="A75" s="169">
        <v>63</v>
      </c>
      <c r="B75" s="205" t="s">
        <v>167</v>
      </c>
      <c r="C75" s="66">
        <v>1879.9892</v>
      </c>
      <c r="D75" s="66">
        <v>0</v>
      </c>
      <c r="E75" s="66">
        <v>2099.4235979</v>
      </c>
      <c r="F75" s="66">
        <v>1879.9892</v>
      </c>
      <c r="G75" s="66">
        <v>219.43439789999999</v>
      </c>
      <c r="H75" s="66">
        <v>1879.9892</v>
      </c>
      <c r="I75" s="66">
        <v>22.52672763</v>
      </c>
      <c r="J75" s="66">
        <v>2099.4235979</v>
      </c>
      <c r="K75" s="66">
        <v>1879.9892</v>
      </c>
      <c r="L75" s="66">
        <v>0</v>
      </c>
      <c r="M75" s="66">
        <v>219.43439789999999</v>
      </c>
      <c r="N75" s="67">
        <v>100</v>
      </c>
      <c r="O75" s="67">
        <v>100</v>
      </c>
      <c r="P75" s="67">
        <v>10.452125913012249</v>
      </c>
      <c r="Q75" s="66">
        <v>22.52672763</v>
      </c>
      <c r="R75" s="67">
        <v>9.5923269327613525E-14</v>
      </c>
    </row>
    <row r="76" spans="1:18" ht="15.6" x14ac:dyDescent="0.3">
      <c r="A76" s="215">
        <v>64</v>
      </c>
      <c r="B76" s="205" t="s">
        <v>170</v>
      </c>
      <c r="C76" s="66">
        <v>509.05850000000004</v>
      </c>
      <c r="D76" s="66">
        <v>0</v>
      </c>
      <c r="E76" s="66">
        <v>605.97381799999994</v>
      </c>
      <c r="F76" s="66">
        <v>509.05850000000004</v>
      </c>
      <c r="G76" s="66">
        <v>96.915317999999999</v>
      </c>
      <c r="H76" s="66">
        <v>507.05518262999999</v>
      </c>
      <c r="I76" s="66">
        <v>9.8796880000000004E-2</v>
      </c>
      <c r="J76" s="66">
        <v>602.80154839999989</v>
      </c>
      <c r="K76" s="66">
        <v>506.50579887000004</v>
      </c>
      <c r="L76" s="66">
        <v>0</v>
      </c>
      <c r="M76" s="66">
        <v>96.295749530000009</v>
      </c>
      <c r="N76" s="67">
        <v>99.498544640743646</v>
      </c>
      <c r="O76" s="67">
        <v>99.360711513117067</v>
      </c>
      <c r="P76" s="67">
        <v>15.974701754764109</v>
      </c>
      <c r="Q76" s="66">
        <v>9.8796880000000004E-2</v>
      </c>
      <c r="R76" s="67">
        <v>0.54938375999996414</v>
      </c>
    </row>
    <row r="77" spans="1:18" ht="15.6" x14ac:dyDescent="0.3">
      <c r="A77" s="202">
        <v>65</v>
      </c>
      <c r="B77" s="203" t="s">
        <v>173</v>
      </c>
      <c r="C77" s="61">
        <v>3959.7773999999999</v>
      </c>
      <c r="D77" s="61">
        <v>0</v>
      </c>
      <c r="E77" s="61">
        <v>7081.99479565</v>
      </c>
      <c r="F77" s="61">
        <v>3959.7773999999999</v>
      </c>
      <c r="G77" s="61">
        <v>3122.2173956500001</v>
      </c>
      <c r="H77" s="61">
        <v>3878.745242</v>
      </c>
      <c r="I77" s="61">
        <v>33.717750870000003</v>
      </c>
      <c r="J77" s="61">
        <v>6736.9000204100012</v>
      </c>
      <c r="K77" s="61">
        <v>3878.7452419600004</v>
      </c>
      <c r="L77" s="61">
        <v>0</v>
      </c>
      <c r="M77" s="61">
        <v>2858.1547784499999</v>
      </c>
      <c r="N77" s="61">
        <v>97.953618351375013</v>
      </c>
      <c r="O77" s="61">
        <v>91.542465378358884</v>
      </c>
      <c r="P77" s="61">
        <v>42.425370271059109</v>
      </c>
      <c r="Q77" s="61">
        <v>31.169356040000004</v>
      </c>
      <c r="R77" s="61">
        <v>2.5483948700000147</v>
      </c>
    </row>
    <row r="78" spans="1:18" ht="15.6" x14ac:dyDescent="0.3">
      <c r="A78" s="169">
        <v>66</v>
      </c>
      <c r="B78" s="205" t="s">
        <v>176</v>
      </c>
      <c r="C78" s="66">
        <v>752.94640000000004</v>
      </c>
      <c r="D78" s="66">
        <v>0</v>
      </c>
      <c r="E78" s="66">
        <v>806.02101132000007</v>
      </c>
      <c r="F78" s="66">
        <v>752.94640000000004</v>
      </c>
      <c r="G78" s="66">
        <v>53.074611319999995</v>
      </c>
      <c r="H78" s="66">
        <v>750.25344049</v>
      </c>
      <c r="I78" s="66">
        <v>4.9336139799999996</v>
      </c>
      <c r="J78" s="66">
        <v>803.12535593000007</v>
      </c>
      <c r="K78" s="66">
        <v>750.25344049</v>
      </c>
      <c r="L78" s="66">
        <v>0</v>
      </c>
      <c r="M78" s="66">
        <v>52.871915439999995</v>
      </c>
      <c r="N78" s="67">
        <v>99.642343796318031</v>
      </c>
      <c r="O78" s="67">
        <v>99.618092577677302</v>
      </c>
      <c r="P78" s="67">
        <v>6.5832706002384365</v>
      </c>
      <c r="Q78" s="66">
        <v>4.9336139799999996</v>
      </c>
      <c r="R78" s="67">
        <v>1.865174681370263E-14</v>
      </c>
    </row>
    <row r="79" spans="1:18" ht="15.6" x14ac:dyDescent="0.3">
      <c r="A79" s="169">
        <v>67</v>
      </c>
      <c r="B79" s="205" t="s">
        <v>179</v>
      </c>
      <c r="C79" s="66">
        <v>918.48090000000002</v>
      </c>
      <c r="D79" s="66">
        <v>0</v>
      </c>
      <c r="E79" s="66">
        <v>1333.9368999999997</v>
      </c>
      <c r="F79" s="66">
        <v>918.48090000000002</v>
      </c>
      <c r="G79" s="66">
        <v>415.45600000000002</v>
      </c>
      <c r="H79" s="66">
        <v>914.41881993000004</v>
      </c>
      <c r="I79" s="66">
        <v>8.9837103599999999</v>
      </c>
      <c r="J79" s="66">
        <v>1327.91772571</v>
      </c>
      <c r="K79" s="66">
        <v>914.41881989000001</v>
      </c>
      <c r="L79" s="66">
        <v>0</v>
      </c>
      <c r="M79" s="66">
        <v>413.49890582</v>
      </c>
      <c r="N79" s="67">
        <v>99.557739294306501</v>
      </c>
      <c r="O79" s="67">
        <v>99.528928651890936</v>
      </c>
      <c r="P79" s="67">
        <v>31.138894964212778</v>
      </c>
      <c r="Q79" s="66">
        <v>8.9837103599999999</v>
      </c>
      <c r="R79" s="67">
        <v>4.000006370574738E-8</v>
      </c>
    </row>
    <row r="80" spans="1:18" ht="15.6" x14ac:dyDescent="0.3">
      <c r="A80" s="169">
        <v>68</v>
      </c>
      <c r="B80" s="205" t="s">
        <v>182</v>
      </c>
      <c r="C80" s="66">
        <v>721.52339999999992</v>
      </c>
      <c r="D80" s="66">
        <v>0</v>
      </c>
      <c r="E80" s="66">
        <v>2801.5784710000003</v>
      </c>
      <c r="F80" s="66">
        <v>721.52339999999992</v>
      </c>
      <c r="G80" s="66">
        <v>2080.0550709999998</v>
      </c>
      <c r="H80" s="66">
        <v>647.66347810000002</v>
      </c>
      <c r="I80" s="66">
        <v>4.2596988800000002</v>
      </c>
      <c r="J80" s="66">
        <v>2465.9135829100005</v>
      </c>
      <c r="K80" s="66">
        <v>647.66347810000002</v>
      </c>
      <c r="L80" s="66">
        <v>0</v>
      </c>
      <c r="M80" s="66">
        <v>1818.2501048099998</v>
      </c>
      <c r="N80" s="67">
        <v>89.763336587559067</v>
      </c>
      <c r="O80" s="67">
        <v>87.413556023584732</v>
      </c>
      <c r="P80" s="67">
        <v>73.735353801989305</v>
      </c>
      <c r="Q80" s="66">
        <v>1.7113040500000001</v>
      </c>
      <c r="R80" s="67">
        <v>2.5483948299999737</v>
      </c>
    </row>
    <row r="81" spans="1:18" ht="31.2" x14ac:dyDescent="0.3">
      <c r="A81" s="169">
        <v>69</v>
      </c>
      <c r="B81" s="213" t="s">
        <v>300</v>
      </c>
      <c r="C81" s="66">
        <v>30.019099999999998</v>
      </c>
      <c r="D81" s="66">
        <v>0</v>
      </c>
      <c r="E81" s="66">
        <v>89.116442329999984</v>
      </c>
      <c r="F81" s="66">
        <v>30.019099999999998</v>
      </c>
      <c r="G81" s="66">
        <v>59.097342330000004</v>
      </c>
      <c r="H81" s="66">
        <v>30.019099979999996</v>
      </c>
      <c r="I81" s="66">
        <v>2.4730400099999996</v>
      </c>
      <c r="J81" s="66">
        <v>89.116442299999989</v>
      </c>
      <c r="K81" s="66">
        <v>30.019099979999996</v>
      </c>
      <c r="L81" s="66">
        <v>0</v>
      </c>
      <c r="M81" s="66">
        <v>59.097342320000003</v>
      </c>
      <c r="N81" s="67">
        <v>99.999999933375747</v>
      </c>
      <c r="O81" s="67">
        <v>99.999999983078766</v>
      </c>
      <c r="P81" s="67">
        <v>66.314745960185178</v>
      </c>
      <c r="Q81" s="66">
        <v>2.4730400099999996</v>
      </c>
      <c r="R81" s="67">
        <v>2.2204460492503131E-15</v>
      </c>
    </row>
    <row r="82" spans="1:18" ht="31.2" x14ac:dyDescent="0.3">
      <c r="A82" s="169">
        <v>70</v>
      </c>
      <c r="B82" s="213" t="s">
        <v>301</v>
      </c>
      <c r="C82" s="66">
        <v>21.293000000000003</v>
      </c>
      <c r="D82" s="66">
        <v>0</v>
      </c>
      <c r="E82" s="66">
        <v>152.09300000000002</v>
      </c>
      <c r="F82" s="66">
        <v>21.293000000000003</v>
      </c>
      <c r="G82" s="66">
        <v>130.80000000000001</v>
      </c>
      <c r="H82" s="66">
        <v>21.293000000000003</v>
      </c>
      <c r="I82" s="66">
        <v>8.5993630000000001E-2</v>
      </c>
      <c r="J82" s="66">
        <v>152.09300000000002</v>
      </c>
      <c r="K82" s="66">
        <v>21.293000000000003</v>
      </c>
      <c r="L82" s="66">
        <v>0</v>
      </c>
      <c r="M82" s="66">
        <v>130.80000000000001</v>
      </c>
      <c r="N82" s="67">
        <v>100</v>
      </c>
      <c r="O82" s="67">
        <v>100</v>
      </c>
      <c r="P82" s="67">
        <v>86.00001314984911</v>
      </c>
      <c r="Q82" s="66">
        <v>8.5993630000000001E-2</v>
      </c>
      <c r="R82" s="67">
        <v>8.1878948066105295E-16</v>
      </c>
    </row>
    <row r="83" spans="1:18" ht="15.6" x14ac:dyDescent="0.3">
      <c r="A83" s="215">
        <v>71</v>
      </c>
      <c r="B83" s="205" t="s">
        <v>189</v>
      </c>
      <c r="C83" s="66">
        <v>1515.5145999999997</v>
      </c>
      <c r="D83" s="66">
        <v>0</v>
      </c>
      <c r="E83" s="66">
        <v>1899.248971</v>
      </c>
      <c r="F83" s="66">
        <v>1515.5145999999997</v>
      </c>
      <c r="G83" s="66">
        <v>383.73437100000001</v>
      </c>
      <c r="H83" s="66">
        <v>1515.0974034999999</v>
      </c>
      <c r="I83" s="66">
        <v>12.98169401</v>
      </c>
      <c r="J83" s="66">
        <v>1898.73391356</v>
      </c>
      <c r="K83" s="66">
        <v>1515.0974034999999</v>
      </c>
      <c r="L83" s="66">
        <v>0</v>
      </c>
      <c r="M83" s="66">
        <v>383.63651005999998</v>
      </c>
      <c r="N83" s="67">
        <v>99.97247162778902</v>
      </c>
      <c r="O83" s="67">
        <v>99.974497739218677</v>
      </c>
      <c r="P83" s="67">
        <v>20.204859002107725</v>
      </c>
      <c r="Q83" s="66">
        <v>12.98169401</v>
      </c>
      <c r="R83" s="67">
        <v>-4.4408920985006262E-14</v>
      </c>
    </row>
    <row r="84" spans="1:18" ht="15.6" x14ac:dyDescent="0.3">
      <c r="A84" s="202">
        <v>72</v>
      </c>
      <c r="B84" s="203" t="s">
        <v>192</v>
      </c>
      <c r="C84" s="61">
        <v>8397.0632000000005</v>
      </c>
      <c r="D84" s="61">
        <v>0</v>
      </c>
      <c r="E84" s="61">
        <v>10466.101070850002</v>
      </c>
      <c r="F84" s="61">
        <v>8397.0632000000005</v>
      </c>
      <c r="G84" s="61">
        <v>2069.0378708499998</v>
      </c>
      <c r="H84" s="61">
        <v>8379.6653936899984</v>
      </c>
      <c r="I84" s="61">
        <v>72.302112269999995</v>
      </c>
      <c r="J84" s="61">
        <v>10444.668685560002</v>
      </c>
      <c r="K84" s="61">
        <v>8379.6653922000005</v>
      </c>
      <c r="L84" s="61">
        <v>0</v>
      </c>
      <c r="M84" s="61">
        <v>2065.00329336</v>
      </c>
      <c r="N84" s="61">
        <v>99.792810803186526</v>
      </c>
      <c r="O84" s="61">
        <v>99.80500224056594</v>
      </c>
      <c r="P84" s="61">
        <v>19.770883649137815</v>
      </c>
      <c r="Q84" s="61">
        <v>72.248264469999995</v>
      </c>
      <c r="R84" s="61">
        <v>5.3849290000054756E-2</v>
      </c>
    </row>
    <row r="85" spans="1:18" ht="15.6" x14ac:dyDescent="0.3">
      <c r="A85" s="169">
        <v>73</v>
      </c>
      <c r="B85" s="205" t="s">
        <v>195</v>
      </c>
      <c r="C85" s="66">
        <v>302.86109999999996</v>
      </c>
      <c r="D85" s="66">
        <v>0</v>
      </c>
      <c r="E85" s="66">
        <v>317.47506501999993</v>
      </c>
      <c r="F85" s="66">
        <v>302.86109999999996</v>
      </c>
      <c r="G85" s="66">
        <v>14.613965020000002</v>
      </c>
      <c r="H85" s="66">
        <v>299.72092991</v>
      </c>
      <c r="I85" s="66">
        <v>7.1488240000000008E-2</v>
      </c>
      <c r="J85" s="66">
        <v>314.16961251999993</v>
      </c>
      <c r="K85" s="66">
        <v>299.72092991</v>
      </c>
      <c r="L85" s="66">
        <v>0</v>
      </c>
      <c r="M85" s="66">
        <v>14.448682610000002</v>
      </c>
      <c r="N85" s="67">
        <v>98.963164932703478</v>
      </c>
      <c r="O85" s="67">
        <v>98.869010499383279</v>
      </c>
      <c r="P85" s="67">
        <v>4.5990070440310973</v>
      </c>
      <c r="Q85" s="66">
        <v>7.1488240000000008E-2</v>
      </c>
      <c r="R85" s="67">
        <v>7.8548278992229825E-15</v>
      </c>
    </row>
    <row r="86" spans="1:18" ht="15.6" x14ac:dyDescent="0.3">
      <c r="A86" s="169">
        <v>74</v>
      </c>
      <c r="B86" s="205" t="s">
        <v>201</v>
      </c>
      <c r="C86" s="66">
        <v>288.68680000000001</v>
      </c>
      <c r="D86" s="66">
        <v>0</v>
      </c>
      <c r="E86" s="66">
        <v>300.62160784000002</v>
      </c>
      <c r="F86" s="66">
        <v>288.68680000000001</v>
      </c>
      <c r="G86" s="66">
        <v>11.93480784</v>
      </c>
      <c r="H86" s="66">
        <v>287.70348940000002</v>
      </c>
      <c r="I86" s="66">
        <v>0.60546542000000003</v>
      </c>
      <c r="J86" s="66">
        <v>299.58654283999999</v>
      </c>
      <c r="K86" s="66">
        <v>287.70348827000004</v>
      </c>
      <c r="L86" s="66">
        <v>0</v>
      </c>
      <c r="M86" s="66">
        <v>11.883054570000001</v>
      </c>
      <c r="N86" s="67">
        <v>99.659384589111809</v>
      </c>
      <c r="O86" s="67">
        <v>99.566366960458751</v>
      </c>
      <c r="P86" s="67">
        <v>3.9664847617492538</v>
      </c>
      <c r="Q86" s="66">
        <v>0.60546542000000003</v>
      </c>
      <c r="R86" s="67">
        <v>1.1299999600478117E-6</v>
      </c>
    </row>
    <row r="87" spans="1:18" ht="15.6" x14ac:dyDescent="0.3">
      <c r="A87" s="169">
        <v>75</v>
      </c>
      <c r="B87" s="205" t="s">
        <v>204</v>
      </c>
      <c r="C87" s="66">
        <v>257.85660000000001</v>
      </c>
      <c r="D87" s="66">
        <v>0</v>
      </c>
      <c r="E87" s="66">
        <v>281.60738900000001</v>
      </c>
      <c r="F87" s="66">
        <v>257.85660000000001</v>
      </c>
      <c r="G87" s="66">
        <v>23.750788999999997</v>
      </c>
      <c r="H87" s="66">
        <v>257.04021734999998</v>
      </c>
      <c r="I87" s="66">
        <v>3.7109292300000001</v>
      </c>
      <c r="J87" s="66">
        <v>280.44532924000004</v>
      </c>
      <c r="K87" s="66">
        <v>257.04021734999998</v>
      </c>
      <c r="L87" s="66">
        <v>0</v>
      </c>
      <c r="M87" s="66">
        <v>23.405111890000001</v>
      </c>
      <c r="N87" s="67">
        <v>99.683396643715909</v>
      </c>
      <c r="O87" s="67">
        <v>98.544565782635701</v>
      </c>
      <c r="P87" s="67">
        <v>8.3456950249188608</v>
      </c>
      <c r="Q87" s="66">
        <v>3.7109292300000001</v>
      </c>
      <c r="R87" s="67">
        <v>-2.3536728122053319E-14</v>
      </c>
    </row>
    <row r="88" spans="1:18" ht="15.6" x14ac:dyDescent="0.3">
      <c r="A88" s="169">
        <v>76</v>
      </c>
      <c r="B88" s="205" t="s">
        <v>207</v>
      </c>
      <c r="C88" s="66">
        <v>2016.4498999999998</v>
      </c>
      <c r="D88" s="66">
        <v>0</v>
      </c>
      <c r="E88" s="66">
        <v>2162.7838351300002</v>
      </c>
      <c r="F88" s="66">
        <v>2016.4498999999998</v>
      </c>
      <c r="G88" s="66">
        <v>146.33393512999999</v>
      </c>
      <c r="H88" s="66">
        <v>2016.4498999999998</v>
      </c>
      <c r="I88" s="66">
        <v>2.86850198</v>
      </c>
      <c r="J88" s="66">
        <v>2162.7838351300002</v>
      </c>
      <c r="K88" s="66">
        <v>2016.4498999999998</v>
      </c>
      <c r="L88" s="66">
        <v>0</v>
      </c>
      <c r="M88" s="66">
        <v>146.33393512999999</v>
      </c>
      <c r="N88" s="67">
        <v>100</v>
      </c>
      <c r="O88" s="67">
        <v>100</v>
      </c>
      <c r="P88" s="67">
        <v>6.7659991143407163</v>
      </c>
      <c r="Q88" s="66">
        <v>2.8560466799999999</v>
      </c>
      <c r="R88" s="67">
        <v>1.2455300000019154E-2</v>
      </c>
    </row>
    <row r="89" spans="1:18" ht="15.6" x14ac:dyDescent="0.3">
      <c r="A89" s="169">
        <v>77</v>
      </c>
      <c r="B89" s="205" t="s">
        <v>213</v>
      </c>
      <c r="C89" s="66">
        <v>998.7179000000001</v>
      </c>
      <c r="D89" s="66">
        <v>0</v>
      </c>
      <c r="E89" s="66">
        <v>1610.4519014300001</v>
      </c>
      <c r="F89" s="66">
        <v>998.7179000000001</v>
      </c>
      <c r="G89" s="66">
        <v>611.73400143000003</v>
      </c>
      <c r="H89" s="66">
        <v>998.71767326000008</v>
      </c>
      <c r="I89" s="66">
        <v>23.057547759999999</v>
      </c>
      <c r="J89" s="66">
        <v>1610.4515989400002</v>
      </c>
      <c r="K89" s="66">
        <v>998.71767313000009</v>
      </c>
      <c r="L89" s="66">
        <v>0</v>
      </c>
      <c r="M89" s="66">
        <v>611.73392581000007</v>
      </c>
      <c r="N89" s="67">
        <v>99.999977283875651</v>
      </c>
      <c r="O89" s="67">
        <v>99.999987638418048</v>
      </c>
      <c r="P89" s="67">
        <v>37.9852412958355</v>
      </c>
      <c r="Q89" s="66">
        <v>23.057547759999999</v>
      </c>
      <c r="R89" s="67">
        <v>1.3000002496710295E-7</v>
      </c>
    </row>
    <row r="90" spans="1:18" ht="15.6" x14ac:dyDescent="0.3">
      <c r="A90" s="169">
        <v>78</v>
      </c>
      <c r="B90" s="205" t="s">
        <v>216</v>
      </c>
      <c r="C90" s="66">
        <v>900.29619999999989</v>
      </c>
      <c r="D90" s="66">
        <v>0</v>
      </c>
      <c r="E90" s="66">
        <v>1119.4725000000001</v>
      </c>
      <c r="F90" s="66">
        <v>900.29619999999989</v>
      </c>
      <c r="G90" s="66">
        <v>219.17630000000003</v>
      </c>
      <c r="H90" s="66">
        <v>900.29619999999989</v>
      </c>
      <c r="I90" s="66">
        <v>1.83741968</v>
      </c>
      <c r="J90" s="66">
        <v>1119.4725000000001</v>
      </c>
      <c r="K90" s="66">
        <v>900.29619999999989</v>
      </c>
      <c r="L90" s="66">
        <v>0</v>
      </c>
      <c r="M90" s="66">
        <v>219.17630000000003</v>
      </c>
      <c r="N90" s="67">
        <v>100</v>
      </c>
      <c r="O90" s="67">
        <v>100</v>
      </c>
      <c r="P90" s="67">
        <v>19.578533639727642</v>
      </c>
      <c r="Q90" s="66">
        <v>1.83741968</v>
      </c>
      <c r="R90" s="67">
        <v>3.907985046680551E-14</v>
      </c>
    </row>
    <row r="91" spans="1:18" ht="15.6" x14ac:dyDescent="0.3">
      <c r="A91" s="169">
        <v>79</v>
      </c>
      <c r="B91" s="205" t="s">
        <v>219</v>
      </c>
      <c r="C91" s="66">
        <v>464.77150000000006</v>
      </c>
      <c r="D91" s="66">
        <v>0</v>
      </c>
      <c r="E91" s="66">
        <v>851.13796775000003</v>
      </c>
      <c r="F91" s="66">
        <v>464.77150000000006</v>
      </c>
      <c r="G91" s="66">
        <v>386.36646774999997</v>
      </c>
      <c r="H91" s="66">
        <v>464.31991266</v>
      </c>
      <c r="I91" s="66">
        <v>3.0439180299999999</v>
      </c>
      <c r="J91" s="66">
        <v>850.59388661000003</v>
      </c>
      <c r="K91" s="66">
        <v>464.31991266</v>
      </c>
      <c r="L91" s="66">
        <v>0</v>
      </c>
      <c r="M91" s="66">
        <v>386.27397394999997</v>
      </c>
      <c r="N91" s="67">
        <v>99.902836697172688</v>
      </c>
      <c r="O91" s="67">
        <v>99.976060603670234</v>
      </c>
      <c r="P91" s="67">
        <v>45.412267832005689</v>
      </c>
      <c r="Q91" s="66">
        <v>3.0439180299999999</v>
      </c>
      <c r="R91" s="67">
        <v>-1.3766765505351941E-14</v>
      </c>
    </row>
    <row r="92" spans="1:18" ht="15.6" x14ac:dyDescent="0.3">
      <c r="A92" s="169">
        <v>80</v>
      </c>
      <c r="B92" s="205" t="s">
        <v>222</v>
      </c>
      <c r="C92" s="66">
        <v>1244.8863000000001</v>
      </c>
      <c r="D92" s="66">
        <v>0</v>
      </c>
      <c r="E92" s="66">
        <v>1585.8753136400001</v>
      </c>
      <c r="F92" s="66">
        <v>1244.8863000000001</v>
      </c>
      <c r="G92" s="66">
        <v>340.98901364</v>
      </c>
      <c r="H92" s="66">
        <v>1232.9387823899997</v>
      </c>
      <c r="I92" s="66">
        <v>25.700160650000001</v>
      </c>
      <c r="J92" s="66">
        <v>1570.55798258</v>
      </c>
      <c r="K92" s="66">
        <v>1232.9387823899997</v>
      </c>
      <c r="L92" s="66">
        <v>0</v>
      </c>
      <c r="M92" s="66">
        <v>337.61920019000002</v>
      </c>
      <c r="N92" s="67">
        <v>99.040272383911656</v>
      </c>
      <c r="O92" s="67">
        <v>99.011753072620195</v>
      </c>
      <c r="P92" s="67">
        <v>21.496767641483913</v>
      </c>
      <c r="Q92" s="66">
        <v>25.700160650000001</v>
      </c>
      <c r="R92" s="67">
        <v>4.2632564145606011E-14</v>
      </c>
    </row>
    <row r="93" spans="1:18" ht="15.6" x14ac:dyDescent="0.3">
      <c r="A93" s="169">
        <v>81</v>
      </c>
      <c r="B93" s="205" t="s">
        <v>225</v>
      </c>
      <c r="C93" s="66">
        <v>1413.7679000000001</v>
      </c>
      <c r="D93" s="66">
        <v>0</v>
      </c>
      <c r="E93" s="66">
        <v>1619.616544</v>
      </c>
      <c r="F93" s="66">
        <v>1413.7679000000001</v>
      </c>
      <c r="G93" s="66">
        <v>205.84864400000001</v>
      </c>
      <c r="H93" s="66">
        <v>1413.7092887199999</v>
      </c>
      <c r="I93" s="66">
        <v>11.406681280000001</v>
      </c>
      <c r="J93" s="66">
        <v>1619.5484506600001</v>
      </c>
      <c r="K93" s="66">
        <v>1413.7092884899998</v>
      </c>
      <c r="L93" s="66">
        <v>0</v>
      </c>
      <c r="M93" s="66">
        <v>205.83916216999998</v>
      </c>
      <c r="N93" s="67">
        <v>99.995854233923382</v>
      </c>
      <c r="O93" s="67">
        <v>99.995393785542731</v>
      </c>
      <c r="P93" s="67">
        <v>12.709663739057401</v>
      </c>
      <c r="Q93" s="66">
        <v>11.36528878</v>
      </c>
      <c r="R93" s="67">
        <v>4.1392729999998323E-2</v>
      </c>
    </row>
    <row r="94" spans="1:18" ht="15.6" x14ac:dyDescent="0.3">
      <c r="A94" s="169">
        <v>82</v>
      </c>
      <c r="B94" s="205" t="s">
        <v>228</v>
      </c>
      <c r="C94" s="66">
        <v>508.76900000000001</v>
      </c>
      <c r="D94" s="66">
        <v>0</v>
      </c>
      <c r="E94" s="66">
        <v>617.05894704000013</v>
      </c>
      <c r="F94" s="66">
        <v>508.76900000000001</v>
      </c>
      <c r="G94" s="66">
        <v>108.28994703999997</v>
      </c>
      <c r="H94" s="66">
        <v>508.76900000000001</v>
      </c>
      <c r="I94" s="66">
        <v>0</v>
      </c>
      <c r="J94" s="66">
        <v>617.05894704000013</v>
      </c>
      <c r="K94" s="66">
        <v>508.76900000000001</v>
      </c>
      <c r="L94" s="66">
        <v>0</v>
      </c>
      <c r="M94" s="66">
        <v>108.28994703999997</v>
      </c>
      <c r="N94" s="67">
        <v>100</v>
      </c>
      <c r="O94" s="67">
        <v>100</v>
      </c>
      <c r="P94" s="67">
        <v>17.549368266915383</v>
      </c>
      <c r="Q94" s="66">
        <v>0</v>
      </c>
      <c r="R94" s="67">
        <v>0</v>
      </c>
    </row>
    <row r="95" spans="1:18" ht="15.6" x14ac:dyDescent="0.3">
      <c r="A95" s="202">
        <v>83</v>
      </c>
      <c r="B95" s="203" t="s">
        <v>231</v>
      </c>
      <c r="C95" s="61">
        <v>4142.0914999999995</v>
      </c>
      <c r="D95" s="61">
        <v>0</v>
      </c>
      <c r="E95" s="61">
        <v>4816.8417606700004</v>
      </c>
      <c r="F95" s="61">
        <v>4142.0914999999995</v>
      </c>
      <c r="G95" s="61">
        <v>674.75026066999999</v>
      </c>
      <c r="H95" s="61">
        <v>4119.3859336200003</v>
      </c>
      <c r="I95" s="61">
        <v>25.683028319999998</v>
      </c>
      <c r="J95" s="61">
        <v>4790.2055044500012</v>
      </c>
      <c r="K95" s="61">
        <v>4119.0477293800004</v>
      </c>
      <c r="L95" s="61">
        <v>0</v>
      </c>
      <c r="M95" s="61">
        <v>671.15777507000007</v>
      </c>
      <c r="N95" s="61">
        <v>99.443668238135274</v>
      </c>
      <c r="O95" s="61">
        <v>99.467582925209584</v>
      </c>
      <c r="P95" s="61">
        <v>14.011043460379904</v>
      </c>
      <c r="Q95" s="61">
        <v>25.683028319999998</v>
      </c>
      <c r="R95" s="61">
        <v>0.33820424000009675</v>
      </c>
    </row>
    <row r="96" spans="1:18" s="126" customFormat="1" ht="15.6" x14ac:dyDescent="0.3">
      <c r="A96" s="169">
        <v>84</v>
      </c>
      <c r="B96" s="205" t="s">
        <v>198</v>
      </c>
      <c r="C96" s="66">
        <v>381.95639999999997</v>
      </c>
      <c r="D96" s="66">
        <v>0</v>
      </c>
      <c r="E96" s="66">
        <v>403.76209293000005</v>
      </c>
      <c r="F96" s="66">
        <v>381.95639999999997</v>
      </c>
      <c r="G96" s="66">
        <v>21.805692929999996</v>
      </c>
      <c r="H96" s="66">
        <v>381.95572298999997</v>
      </c>
      <c r="I96" s="66">
        <v>0.65550516000000003</v>
      </c>
      <c r="J96" s="66">
        <v>403.76140210000005</v>
      </c>
      <c r="K96" s="66">
        <v>381.95572298999997</v>
      </c>
      <c r="L96" s="66">
        <v>0</v>
      </c>
      <c r="M96" s="66">
        <v>21.805679109999996</v>
      </c>
      <c r="N96" s="67">
        <v>99.999822752020904</v>
      </c>
      <c r="O96" s="67">
        <v>99.99993662205533</v>
      </c>
      <c r="P96" s="67">
        <v>5.4006348790614114</v>
      </c>
      <c r="Q96" s="66">
        <v>0.65550516000000003</v>
      </c>
      <c r="R96" s="67">
        <v>1.8318679906315083E-14</v>
      </c>
    </row>
    <row r="97" spans="1:18" ht="15.6" x14ac:dyDescent="0.3">
      <c r="A97" s="169">
        <v>85</v>
      </c>
      <c r="B97" s="205" t="s">
        <v>234</v>
      </c>
      <c r="C97" s="66">
        <v>715.88779999999997</v>
      </c>
      <c r="D97" s="66">
        <v>0</v>
      </c>
      <c r="E97" s="66">
        <v>784.56590701999994</v>
      </c>
      <c r="F97" s="66">
        <v>715.88779999999997</v>
      </c>
      <c r="G97" s="66">
        <v>68.678107019999999</v>
      </c>
      <c r="H97" s="66">
        <v>712.18935773999999</v>
      </c>
      <c r="I97" s="66">
        <v>0</v>
      </c>
      <c r="J97" s="66">
        <v>780.41638478999994</v>
      </c>
      <c r="K97" s="66">
        <v>712.07024004999994</v>
      </c>
      <c r="L97" s="66">
        <v>0</v>
      </c>
      <c r="M97" s="66">
        <v>68.34614474</v>
      </c>
      <c r="N97" s="67">
        <v>99.466737671741285</v>
      </c>
      <c r="O97" s="67">
        <v>99.516640317556622</v>
      </c>
      <c r="P97" s="67">
        <v>8.7576511810923954</v>
      </c>
      <c r="Q97" s="66">
        <v>0</v>
      </c>
      <c r="R97" s="67">
        <v>0.11911769000005279</v>
      </c>
    </row>
    <row r="98" spans="1:18" s="126" customFormat="1" ht="15.6" x14ac:dyDescent="0.3">
      <c r="A98" s="169">
        <v>86</v>
      </c>
      <c r="B98" s="205" t="s">
        <v>210</v>
      </c>
      <c r="C98" s="66">
        <v>524.78480000000002</v>
      </c>
      <c r="D98" s="66">
        <v>0</v>
      </c>
      <c r="E98" s="66">
        <v>556.06450282000003</v>
      </c>
      <c r="F98" s="66">
        <v>524.78480000000002</v>
      </c>
      <c r="G98" s="66">
        <v>31.279702820000001</v>
      </c>
      <c r="H98" s="66">
        <v>524.75300003999996</v>
      </c>
      <c r="I98" s="66">
        <v>0.38710574999999997</v>
      </c>
      <c r="J98" s="66">
        <v>555.83324701000004</v>
      </c>
      <c r="K98" s="66">
        <v>524.56741953999995</v>
      </c>
      <c r="L98" s="66">
        <v>0</v>
      </c>
      <c r="M98" s="66">
        <v>31.265827469999998</v>
      </c>
      <c r="N98" s="67">
        <v>99.958577218699915</v>
      </c>
      <c r="O98" s="67">
        <v>99.9556410427559</v>
      </c>
      <c r="P98" s="67">
        <v>5.6250372999795548</v>
      </c>
      <c r="Q98" s="66">
        <v>0.38710574999999997</v>
      </c>
      <c r="R98" s="67">
        <v>0.18558050000006071</v>
      </c>
    </row>
    <row r="99" spans="1:18" ht="15.6" x14ac:dyDescent="0.3">
      <c r="A99" s="169">
        <v>87</v>
      </c>
      <c r="B99" s="205" t="s">
        <v>237</v>
      </c>
      <c r="C99" s="66">
        <v>153.49719999999999</v>
      </c>
      <c r="D99" s="66">
        <v>0</v>
      </c>
      <c r="E99" s="66">
        <v>161.56806105000001</v>
      </c>
      <c r="F99" s="66">
        <v>153.49719999999999</v>
      </c>
      <c r="G99" s="66">
        <v>8.0708610499999995</v>
      </c>
      <c r="H99" s="66">
        <v>153.45775574999999</v>
      </c>
      <c r="I99" s="66">
        <v>6.5801240000000011E-2</v>
      </c>
      <c r="J99" s="66">
        <v>161.52654078</v>
      </c>
      <c r="K99" s="66">
        <v>153.45775574000001</v>
      </c>
      <c r="L99" s="66">
        <v>0</v>
      </c>
      <c r="M99" s="66">
        <v>8.0687850399999999</v>
      </c>
      <c r="N99" s="67">
        <v>99.974302944939723</v>
      </c>
      <c r="O99" s="67">
        <v>99.97427771352848</v>
      </c>
      <c r="P99" s="67">
        <v>4.995330798911696</v>
      </c>
      <c r="Q99" s="66">
        <v>6.5801240000000011E-2</v>
      </c>
      <c r="R99" s="67">
        <v>9.9999926950200546E-9</v>
      </c>
    </row>
    <row r="100" spans="1:18" ht="15.6" x14ac:dyDescent="0.3">
      <c r="A100" s="169">
        <v>88</v>
      </c>
      <c r="B100" s="205" t="s">
        <v>240</v>
      </c>
      <c r="C100" s="66">
        <v>1254.0356999999999</v>
      </c>
      <c r="D100" s="66">
        <v>0</v>
      </c>
      <c r="E100" s="66">
        <v>1531.9593184100002</v>
      </c>
      <c r="F100" s="66">
        <v>1254.0356999999999</v>
      </c>
      <c r="G100" s="66">
        <v>277.92361841000002</v>
      </c>
      <c r="H100" s="66">
        <v>1253.72048146</v>
      </c>
      <c r="I100" s="66">
        <v>6.6017675699999998</v>
      </c>
      <c r="J100" s="66">
        <v>1531.5821180700002</v>
      </c>
      <c r="K100" s="66">
        <v>1253.72048146</v>
      </c>
      <c r="L100" s="66">
        <v>0</v>
      </c>
      <c r="M100" s="66">
        <v>277.86163661000001</v>
      </c>
      <c r="N100" s="67">
        <v>99.974863670946533</v>
      </c>
      <c r="O100" s="67">
        <v>99.977698260998977</v>
      </c>
      <c r="P100" s="67">
        <v>18.142131155209825</v>
      </c>
      <c r="Q100" s="66">
        <v>6.6017675699999998</v>
      </c>
      <c r="R100" s="67">
        <v>-7.1054273576010019E-15</v>
      </c>
    </row>
    <row r="101" spans="1:18" ht="15.6" x14ac:dyDescent="0.3">
      <c r="A101" s="169">
        <v>89</v>
      </c>
      <c r="B101" s="205" t="s">
        <v>243</v>
      </c>
      <c r="C101" s="66">
        <v>154.06470000000002</v>
      </c>
      <c r="D101" s="66">
        <v>0</v>
      </c>
      <c r="E101" s="66">
        <v>178.38839999999999</v>
      </c>
      <c r="F101" s="66">
        <v>154.06470000000002</v>
      </c>
      <c r="G101" s="66">
        <v>24.323700000000002</v>
      </c>
      <c r="H101" s="66">
        <v>152.19918944000003</v>
      </c>
      <c r="I101" s="66">
        <v>0.63799035000000004</v>
      </c>
      <c r="J101" s="66">
        <v>176.16754682999999</v>
      </c>
      <c r="K101" s="66">
        <v>152.19918944000003</v>
      </c>
      <c r="L101" s="66">
        <v>0</v>
      </c>
      <c r="M101" s="66">
        <v>23.968357390000001</v>
      </c>
      <c r="N101" s="67">
        <v>98.789138225693492</v>
      </c>
      <c r="O101" s="67">
        <v>98.539109551589604</v>
      </c>
      <c r="P101" s="67">
        <v>13.605432908212792</v>
      </c>
      <c r="Q101" s="66">
        <v>0.63799035000000004</v>
      </c>
      <c r="R101" s="67">
        <v>-4.5519144009631418E-15</v>
      </c>
    </row>
    <row r="102" spans="1:18" ht="15.6" x14ac:dyDescent="0.3">
      <c r="A102" s="169">
        <v>90</v>
      </c>
      <c r="B102" s="205" t="s">
        <v>246</v>
      </c>
      <c r="C102" s="66">
        <v>705.45030000000008</v>
      </c>
      <c r="D102" s="66">
        <v>0</v>
      </c>
      <c r="E102" s="66">
        <v>837.20652568000003</v>
      </c>
      <c r="F102" s="66">
        <v>705.45030000000008</v>
      </c>
      <c r="G102" s="66">
        <v>131.75622568</v>
      </c>
      <c r="H102" s="66">
        <v>691.02159146999998</v>
      </c>
      <c r="I102" s="66">
        <v>14.171969429999997</v>
      </c>
      <c r="J102" s="66">
        <v>820.21272667000005</v>
      </c>
      <c r="K102" s="66">
        <v>691.02159146999998</v>
      </c>
      <c r="L102" s="66">
        <v>0</v>
      </c>
      <c r="M102" s="66">
        <v>129.19113519999999</v>
      </c>
      <c r="N102" s="67">
        <v>97.95468106966571</v>
      </c>
      <c r="O102" s="67">
        <v>98.053154250008717</v>
      </c>
      <c r="P102" s="67">
        <v>15.750930337853445</v>
      </c>
      <c r="Q102" s="66">
        <v>14.171969429999997</v>
      </c>
      <c r="R102" s="67">
        <v>-7.1054273576010019E-15</v>
      </c>
    </row>
    <row r="103" spans="1:18" ht="15.6" x14ac:dyDescent="0.3">
      <c r="A103" s="169">
        <v>91</v>
      </c>
      <c r="B103" s="205" t="s">
        <v>249</v>
      </c>
      <c r="C103" s="66">
        <v>55.401200000000003</v>
      </c>
      <c r="D103" s="66">
        <v>0</v>
      </c>
      <c r="E103" s="66">
        <v>60.136353850000006</v>
      </c>
      <c r="F103" s="66">
        <v>55.401200000000003</v>
      </c>
      <c r="G103" s="66">
        <v>4.7351538499999997</v>
      </c>
      <c r="H103" s="66">
        <v>55.401200000000003</v>
      </c>
      <c r="I103" s="66">
        <v>0.19437923000000001</v>
      </c>
      <c r="J103" s="66">
        <v>60.136353850000006</v>
      </c>
      <c r="K103" s="66">
        <v>55.401200000000003</v>
      </c>
      <c r="L103" s="66">
        <v>0</v>
      </c>
      <c r="M103" s="66">
        <v>4.7351538499999997</v>
      </c>
      <c r="N103" s="67">
        <v>100</v>
      </c>
      <c r="O103" s="67">
        <v>100</v>
      </c>
      <c r="P103" s="67">
        <v>7.8740288475271427</v>
      </c>
      <c r="Q103" s="66">
        <v>0.19437923000000001</v>
      </c>
      <c r="R103" s="67">
        <v>2.6645352591003757E-15</v>
      </c>
    </row>
    <row r="104" spans="1:18" ht="15.6" x14ac:dyDescent="0.3">
      <c r="A104" s="169">
        <v>92</v>
      </c>
      <c r="B104" s="205" t="s">
        <v>252</v>
      </c>
      <c r="C104" s="66">
        <v>79.311499999999995</v>
      </c>
      <c r="D104" s="66">
        <v>0</v>
      </c>
      <c r="E104" s="66">
        <v>175.5858949</v>
      </c>
      <c r="F104" s="66">
        <v>79.311499999999995</v>
      </c>
      <c r="G104" s="66">
        <v>96.274394900000004</v>
      </c>
      <c r="H104" s="66">
        <v>79.311462640000002</v>
      </c>
      <c r="I104" s="66">
        <v>2.992827E-2</v>
      </c>
      <c r="J104" s="66">
        <v>175.58584819999999</v>
      </c>
      <c r="K104" s="66">
        <v>79.311462640000002</v>
      </c>
      <c r="L104" s="66">
        <v>0</v>
      </c>
      <c r="M104" s="66">
        <v>96.274385559999999</v>
      </c>
      <c r="N104" s="67">
        <v>99.999952894599147</v>
      </c>
      <c r="O104" s="67">
        <v>99.999990298562764</v>
      </c>
      <c r="P104" s="67">
        <v>54.830378727526629</v>
      </c>
      <c r="Q104" s="66">
        <v>2.992827E-2</v>
      </c>
      <c r="R104" s="67">
        <v>-7.9797279894933126E-16</v>
      </c>
    </row>
    <row r="105" spans="1:18" ht="15.6" x14ac:dyDescent="0.3">
      <c r="A105" s="169">
        <v>93</v>
      </c>
      <c r="B105" s="205" t="s">
        <v>254</v>
      </c>
      <c r="C105" s="66">
        <v>43.135599999999997</v>
      </c>
      <c r="D105" s="66">
        <v>0</v>
      </c>
      <c r="E105" s="66">
        <v>47.11193334</v>
      </c>
      <c r="F105" s="66">
        <v>43.135599999999997</v>
      </c>
      <c r="G105" s="66">
        <v>3.97633334</v>
      </c>
      <c r="H105" s="66">
        <v>40.809872089999999</v>
      </c>
      <c r="I105" s="66">
        <v>1.7372840899999999</v>
      </c>
      <c r="J105" s="66">
        <v>44.490565500000002</v>
      </c>
      <c r="K105" s="66">
        <v>40.776366050000007</v>
      </c>
      <c r="L105" s="66">
        <v>0</v>
      </c>
      <c r="M105" s="66">
        <v>3.7141994500000002</v>
      </c>
      <c r="N105" s="67">
        <v>94.530656928384005</v>
      </c>
      <c r="O105" s="67">
        <v>93.407648011723282</v>
      </c>
      <c r="P105" s="67">
        <v>8.3482855483147329</v>
      </c>
      <c r="Q105" s="66">
        <v>1.7372840899999999</v>
      </c>
      <c r="R105" s="67">
        <v>3.3506039999994686E-2</v>
      </c>
    </row>
    <row r="106" spans="1:18" ht="15.6" x14ac:dyDescent="0.3">
      <c r="A106" s="169">
        <v>94</v>
      </c>
      <c r="B106" s="205" t="s">
        <v>256</v>
      </c>
      <c r="C106" s="66">
        <v>74.566300000000012</v>
      </c>
      <c r="D106" s="66">
        <v>0</v>
      </c>
      <c r="E106" s="66">
        <v>80.492770669999999</v>
      </c>
      <c r="F106" s="66">
        <v>74.566300000000012</v>
      </c>
      <c r="G106" s="66">
        <v>5.9264706699999996</v>
      </c>
      <c r="H106" s="66">
        <v>74.566300000000012</v>
      </c>
      <c r="I106" s="66">
        <v>1.20129723</v>
      </c>
      <c r="J106" s="66">
        <v>80.492770650000011</v>
      </c>
      <c r="K106" s="66">
        <v>74.566300000000012</v>
      </c>
      <c r="L106" s="66">
        <v>0</v>
      </c>
      <c r="M106" s="66">
        <v>5.9264706500000006</v>
      </c>
      <c r="N106" s="67">
        <v>100</v>
      </c>
      <c r="O106" s="67">
        <v>99.999999662531039</v>
      </c>
      <c r="P106" s="67">
        <v>7.362736556515836</v>
      </c>
      <c r="Q106" s="66">
        <v>1.20129723</v>
      </c>
      <c r="R106" s="67">
        <v>-5.5511151231257827E-15</v>
      </c>
    </row>
  </sheetData>
  <mergeCells count="18">
    <mergeCell ref="D5:E5"/>
    <mergeCell ref="A7:A11"/>
    <mergeCell ref="B7:B11"/>
    <mergeCell ref="C7:R8"/>
    <mergeCell ref="C9:C11"/>
    <mergeCell ref="R9:R11"/>
    <mergeCell ref="J10:J11"/>
    <mergeCell ref="K10:M10"/>
    <mergeCell ref="D9:D11"/>
    <mergeCell ref="E9:G9"/>
    <mergeCell ref="H9:H11"/>
    <mergeCell ref="I9:I11"/>
    <mergeCell ref="E10:E11"/>
    <mergeCell ref="F10:G10"/>
    <mergeCell ref="J9:M9"/>
    <mergeCell ref="N9:O10"/>
    <mergeCell ref="P9:P11"/>
    <mergeCell ref="Q9:Q11"/>
  </mergeCells>
  <printOptions horizontalCentered="1"/>
  <pageMargins left="0.11811023622047245" right="0.11811023622047245" top="0.35433070866141736" bottom="0.11811023622047245" header="0.31496062992125984" footer="0.31496062992125984"/>
  <pageSetup paperSize="9" scale="42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5"/>
  <dimension ref="A1:R106"/>
  <sheetViews>
    <sheetView view="pageBreakPreview" zoomScale="60" zoomScaleNormal="60" workbookViewId="0">
      <pane xSplit="2" ySplit="12" topLeftCell="C13" activePane="bottomRight" state="frozen"/>
      <selection activeCell="D21" sqref="D21"/>
      <selection pane="topRight" activeCell="D21" sqref="D21"/>
      <selection pane="bottomLeft" activeCell="D21" sqref="D21"/>
      <selection pane="bottomRight" activeCell="C9" sqref="C9:C11"/>
    </sheetView>
  </sheetViews>
  <sheetFormatPr defaultRowHeight="14.4" outlineLevelCol="1" x14ac:dyDescent="0.3"/>
  <cols>
    <col min="1" max="1" width="5" customWidth="1"/>
    <col min="2" max="2" width="33.44140625" customWidth="1"/>
    <col min="3" max="4" width="18.6640625" customWidth="1"/>
    <col min="5" max="6" width="18.6640625" customWidth="1" outlineLevel="1"/>
    <col min="7" max="15" width="18.6640625" customWidth="1"/>
    <col min="16" max="18" width="18.6640625" customWidth="1" outlineLevel="1"/>
  </cols>
  <sheetData>
    <row r="1" spans="1:18" s="126" customFormat="1" ht="15.6" customHeight="1" x14ac:dyDescent="0.3">
      <c r="B1" s="127"/>
    </row>
    <row r="2" spans="1:18" s="126" customFormat="1" ht="15.6" customHeight="1" x14ac:dyDescent="0.3">
      <c r="C2" s="254"/>
      <c r="D2" s="252"/>
      <c r="E2" s="252"/>
      <c r="F2" s="252"/>
      <c r="G2" s="252"/>
      <c r="H2" s="252"/>
      <c r="I2" s="252"/>
      <c r="J2" s="252"/>
      <c r="K2" s="252"/>
      <c r="L2" s="252"/>
    </row>
    <row r="3" spans="1:18" s="126" customFormat="1" ht="15.6" customHeight="1" x14ac:dyDescent="0.35">
      <c r="A3" s="128"/>
      <c r="B3" s="128"/>
      <c r="C3" s="252"/>
      <c r="D3" s="252"/>
      <c r="E3" s="252"/>
      <c r="F3" s="252"/>
      <c r="G3" s="252"/>
      <c r="H3" s="252"/>
      <c r="I3" s="252"/>
      <c r="J3" s="252"/>
      <c r="K3" s="252"/>
      <c r="L3" s="252"/>
      <c r="M3" s="38"/>
      <c r="N3" s="38"/>
      <c r="O3" s="38"/>
      <c r="P3" s="38"/>
    </row>
    <row r="4" spans="1:18" s="126" customFormat="1" ht="15.6" customHeight="1" x14ac:dyDescent="0.35">
      <c r="A4" s="128"/>
      <c r="B4" s="128"/>
      <c r="C4" s="252"/>
      <c r="D4" s="252"/>
      <c r="E4" s="252"/>
      <c r="F4" s="252"/>
      <c r="G4" s="252"/>
      <c r="H4" s="252"/>
      <c r="I4" s="252"/>
      <c r="J4" s="252"/>
      <c r="K4" s="252"/>
      <c r="L4" s="252"/>
      <c r="M4" s="38"/>
      <c r="N4" s="38"/>
      <c r="O4" s="38"/>
      <c r="P4" s="38"/>
    </row>
    <row r="5" spans="1:18" s="126" customFormat="1" ht="17.399999999999999" customHeight="1" x14ac:dyDescent="0.35">
      <c r="A5" s="128"/>
      <c r="B5" s="128"/>
      <c r="D5" s="322" t="s">
        <v>1231</v>
      </c>
      <c r="E5" s="322"/>
      <c r="F5" s="257"/>
      <c r="G5" s="42"/>
      <c r="H5" s="43"/>
      <c r="I5" s="43"/>
    </row>
    <row r="6" spans="1:18" ht="15" customHeight="1" x14ac:dyDescent="0.3">
      <c r="B6" s="44" t="s">
        <v>1229</v>
      </c>
      <c r="C6" s="76"/>
      <c r="Q6" s="76"/>
      <c r="R6" s="76"/>
    </row>
    <row r="7" spans="1:18" ht="13.5" customHeight="1" x14ac:dyDescent="0.3">
      <c r="A7" s="332" t="s">
        <v>284</v>
      </c>
      <c r="B7" s="326" t="s">
        <v>285</v>
      </c>
      <c r="C7" s="335" t="s">
        <v>1076</v>
      </c>
      <c r="D7" s="336"/>
      <c r="E7" s="336"/>
      <c r="F7" s="336"/>
      <c r="G7" s="336"/>
      <c r="H7" s="336"/>
      <c r="I7" s="336"/>
      <c r="J7" s="336"/>
      <c r="K7" s="336"/>
      <c r="L7" s="336"/>
      <c r="M7" s="336"/>
      <c r="N7" s="336"/>
      <c r="O7" s="336"/>
      <c r="P7" s="336"/>
      <c r="Q7" s="336"/>
      <c r="R7" s="336"/>
    </row>
    <row r="8" spans="1:18" ht="12.75" customHeight="1" x14ac:dyDescent="0.3">
      <c r="A8" s="333"/>
      <c r="B8" s="326"/>
      <c r="C8" s="335"/>
      <c r="D8" s="336"/>
      <c r="E8" s="336"/>
      <c r="F8" s="336"/>
      <c r="G8" s="336"/>
      <c r="H8" s="336"/>
      <c r="I8" s="336"/>
      <c r="J8" s="336"/>
      <c r="K8" s="336"/>
      <c r="L8" s="336"/>
      <c r="M8" s="336"/>
      <c r="N8" s="336"/>
      <c r="O8" s="336"/>
      <c r="P8" s="336"/>
      <c r="Q8" s="336"/>
      <c r="R8" s="336"/>
    </row>
    <row r="9" spans="1:18" ht="31.5" customHeight="1" x14ac:dyDescent="0.3">
      <c r="A9" s="333"/>
      <c r="B9" s="326"/>
      <c r="C9" s="265" t="s">
        <v>1052</v>
      </c>
      <c r="D9" s="302" t="s">
        <v>1053</v>
      </c>
      <c r="E9" s="302" t="s">
        <v>287</v>
      </c>
      <c r="F9" s="302"/>
      <c r="G9" s="302"/>
      <c r="H9" s="302" t="s">
        <v>312</v>
      </c>
      <c r="I9" s="302" t="s">
        <v>262</v>
      </c>
      <c r="J9" s="302" t="s">
        <v>288</v>
      </c>
      <c r="K9" s="302"/>
      <c r="L9" s="302"/>
      <c r="M9" s="302"/>
      <c r="N9" s="317" t="s">
        <v>289</v>
      </c>
      <c r="O9" s="317"/>
      <c r="P9" s="302" t="s">
        <v>290</v>
      </c>
      <c r="Q9" s="302" t="s">
        <v>266</v>
      </c>
      <c r="R9" s="269" t="s">
        <v>291</v>
      </c>
    </row>
    <row r="10" spans="1:18" ht="24" customHeight="1" x14ac:dyDescent="0.3">
      <c r="A10" s="333"/>
      <c r="B10" s="326"/>
      <c r="C10" s="265"/>
      <c r="D10" s="269"/>
      <c r="E10" s="269" t="s">
        <v>292</v>
      </c>
      <c r="F10" s="269" t="s">
        <v>293</v>
      </c>
      <c r="G10" s="269"/>
      <c r="H10" s="269"/>
      <c r="I10" s="269"/>
      <c r="J10" s="269" t="s">
        <v>292</v>
      </c>
      <c r="K10" s="269" t="s">
        <v>294</v>
      </c>
      <c r="L10" s="269"/>
      <c r="M10" s="269"/>
      <c r="N10" s="318"/>
      <c r="O10" s="318"/>
      <c r="P10" s="269"/>
      <c r="Q10" s="269"/>
      <c r="R10" s="269"/>
    </row>
    <row r="11" spans="1:18" ht="96" customHeight="1" x14ac:dyDescent="0.3">
      <c r="A11" s="334"/>
      <c r="B11" s="326"/>
      <c r="C11" s="302"/>
      <c r="D11" s="269"/>
      <c r="E11" s="269"/>
      <c r="F11" s="96" t="s">
        <v>259</v>
      </c>
      <c r="G11" s="96" t="s">
        <v>260</v>
      </c>
      <c r="H11" s="269"/>
      <c r="I11" s="269"/>
      <c r="J11" s="269"/>
      <c r="K11" s="96" t="s">
        <v>264</v>
      </c>
      <c r="L11" s="96" t="s">
        <v>303</v>
      </c>
      <c r="M11" s="96" t="s">
        <v>260</v>
      </c>
      <c r="N11" s="96" t="s">
        <v>911</v>
      </c>
      <c r="O11" s="96" t="s">
        <v>295</v>
      </c>
      <c r="P11" s="269"/>
      <c r="Q11" s="269"/>
      <c r="R11" s="269"/>
    </row>
    <row r="12" spans="1:18" s="54" customFormat="1" ht="24" customHeight="1" x14ac:dyDescent="0.3">
      <c r="A12" s="199" t="s">
        <v>2</v>
      </c>
      <c r="B12" s="200" t="s">
        <v>3</v>
      </c>
      <c r="C12" s="53">
        <v>11341.671699999999</v>
      </c>
      <c r="D12" s="53">
        <v>0</v>
      </c>
      <c r="E12" s="53">
        <v>15135.989155949999</v>
      </c>
      <c r="F12" s="53">
        <v>11341.671699999999</v>
      </c>
      <c r="G12" s="53">
        <v>3794.3174559499998</v>
      </c>
      <c r="H12" s="53">
        <v>11329.18730041</v>
      </c>
      <c r="I12" s="53">
        <v>105.91637452000001</v>
      </c>
      <c r="J12" s="53">
        <v>15116.78416137</v>
      </c>
      <c r="K12" s="53">
        <v>11326.998069679999</v>
      </c>
      <c r="L12" s="53">
        <v>0</v>
      </c>
      <c r="M12" s="53">
        <v>3789.7860916900008</v>
      </c>
      <c r="N12" s="53">
        <v>99.870621979650494</v>
      </c>
      <c r="O12" s="53">
        <v>99.880574983179301</v>
      </c>
      <c r="P12" s="53">
        <v>25.070054921962587</v>
      </c>
      <c r="Q12" s="53">
        <v>105.68066017</v>
      </c>
      <c r="R12" s="53">
        <v>2.4249450800000085</v>
      </c>
    </row>
    <row r="13" spans="1:18" s="54" customFormat="1" ht="31.2" hidden="1" x14ac:dyDescent="0.3">
      <c r="A13" s="199"/>
      <c r="B13" s="55" t="s">
        <v>296</v>
      </c>
      <c r="C13" s="80"/>
      <c r="D13" s="53"/>
      <c r="E13" s="53"/>
      <c r="F13" s="8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</row>
    <row r="14" spans="1:18" s="62" customFormat="1" ht="15.6" x14ac:dyDescent="0.3">
      <c r="A14" s="202" t="s">
        <v>6</v>
      </c>
      <c r="B14" s="203" t="s">
        <v>7</v>
      </c>
      <c r="C14" s="61">
        <v>2005.9833000000001</v>
      </c>
      <c r="D14" s="61">
        <v>0</v>
      </c>
      <c r="E14" s="61">
        <v>2644.49114706</v>
      </c>
      <c r="F14" s="61">
        <v>2005.9833000000001</v>
      </c>
      <c r="G14" s="61">
        <v>638.50784706000013</v>
      </c>
      <c r="H14" s="61">
        <v>2005.5731494499998</v>
      </c>
      <c r="I14" s="61">
        <v>19.082405680000001</v>
      </c>
      <c r="J14" s="61">
        <v>2644.0028542199998</v>
      </c>
      <c r="K14" s="61">
        <v>2005.5731227699998</v>
      </c>
      <c r="L14" s="61">
        <v>0</v>
      </c>
      <c r="M14" s="61">
        <v>638.42973144999996</v>
      </c>
      <c r="N14" s="61">
        <v>99.979552310829291</v>
      </c>
      <c r="O14" s="61">
        <v>99.98776591229695</v>
      </c>
      <c r="P14" s="61">
        <v>24.146332914543748</v>
      </c>
      <c r="Q14" s="61">
        <v>19.006923280000002</v>
      </c>
      <c r="R14" s="61">
        <v>7.5509079999962397E-2</v>
      </c>
    </row>
    <row r="15" spans="1:18" ht="15.6" x14ac:dyDescent="0.3">
      <c r="A15" s="169" t="s">
        <v>9</v>
      </c>
      <c r="B15" s="205" t="s">
        <v>10</v>
      </c>
      <c r="C15" s="66">
        <v>63.35</v>
      </c>
      <c r="D15" s="66">
        <v>0</v>
      </c>
      <c r="E15" s="66">
        <v>80.189873419999998</v>
      </c>
      <c r="F15" s="66">
        <v>63.35</v>
      </c>
      <c r="G15" s="66">
        <v>16.839873420000004</v>
      </c>
      <c r="H15" s="66">
        <v>63.35</v>
      </c>
      <c r="I15" s="66">
        <v>6.5003700000000001E-3</v>
      </c>
      <c r="J15" s="66">
        <v>80.189873419999998</v>
      </c>
      <c r="K15" s="66">
        <v>63.35</v>
      </c>
      <c r="L15" s="66">
        <v>0</v>
      </c>
      <c r="M15" s="66">
        <v>16.839873420000004</v>
      </c>
      <c r="N15" s="67">
        <v>100</v>
      </c>
      <c r="O15" s="67">
        <v>100</v>
      </c>
      <c r="P15" s="67">
        <v>21.000000002244679</v>
      </c>
      <c r="Q15" s="187">
        <v>6.5003700000000001E-3</v>
      </c>
      <c r="R15" s="67">
        <v>-2.2985086056692694E-15</v>
      </c>
    </row>
    <row r="16" spans="1:18" ht="15.6" x14ac:dyDescent="0.3">
      <c r="A16" s="169" t="s">
        <v>12</v>
      </c>
      <c r="B16" s="205" t="s">
        <v>13</v>
      </c>
      <c r="C16" s="66">
        <v>176.8015</v>
      </c>
      <c r="D16" s="66">
        <v>0</v>
      </c>
      <c r="E16" s="66">
        <v>192.17554347999999</v>
      </c>
      <c r="F16" s="66">
        <v>176.8015</v>
      </c>
      <c r="G16" s="66">
        <v>15.374043480000001</v>
      </c>
      <c r="H16" s="66">
        <v>176.8015</v>
      </c>
      <c r="I16" s="66">
        <v>0.87955311999999997</v>
      </c>
      <c r="J16" s="66">
        <v>192.17554347999999</v>
      </c>
      <c r="K16" s="66">
        <v>176.8015</v>
      </c>
      <c r="L16" s="66">
        <v>0</v>
      </c>
      <c r="M16" s="66">
        <v>15.374043480000001</v>
      </c>
      <c r="N16" s="67">
        <v>100</v>
      </c>
      <c r="O16" s="67">
        <v>100</v>
      </c>
      <c r="P16" s="67">
        <v>8.0000000008325731</v>
      </c>
      <c r="Q16" s="187">
        <v>0.87955311999999997</v>
      </c>
      <c r="R16" s="67">
        <v>-2.886579864025407E-15</v>
      </c>
    </row>
    <row r="17" spans="1:18" ht="15.6" x14ac:dyDescent="0.3">
      <c r="A17" s="169" t="s">
        <v>15</v>
      </c>
      <c r="B17" s="205" t="s">
        <v>16</v>
      </c>
      <c r="C17" s="66">
        <v>62.044199999999996</v>
      </c>
      <c r="D17" s="66">
        <v>0</v>
      </c>
      <c r="E17" s="66">
        <v>69.712599999999995</v>
      </c>
      <c r="F17" s="66">
        <v>62.044199999999996</v>
      </c>
      <c r="G17" s="66">
        <v>7.6684000000000001</v>
      </c>
      <c r="H17" s="66">
        <v>62.044199999999996</v>
      </c>
      <c r="I17" s="66">
        <v>0.15696460999999998</v>
      </c>
      <c r="J17" s="66">
        <v>69.712599999999995</v>
      </c>
      <c r="K17" s="66">
        <v>62.044199999999996</v>
      </c>
      <c r="L17" s="66">
        <v>0</v>
      </c>
      <c r="M17" s="66">
        <v>7.6684000000000001</v>
      </c>
      <c r="N17" s="67">
        <v>100</v>
      </c>
      <c r="O17" s="67">
        <v>100</v>
      </c>
      <c r="P17" s="67">
        <v>11.000020082452815</v>
      </c>
      <c r="Q17" s="187">
        <v>0.15696460999999998</v>
      </c>
      <c r="R17" s="67">
        <v>2.8588242884097781E-15</v>
      </c>
    </row>
    <row r="18" spans="1:18" ht="15.6" x14ac:dyDescent="0.3">
      <c r="A18" s="169" t="s">
        <v>18</v>
      </c>
      <c r="B18" s="205" t="s">
        <v>19</v>
      </c>
      <c r="C18" s="66">
        <v>281.78980000000001</v>
      </c>
      <c r="D18" s="66">
        <v>0</v>
      </c>
      <c r="E18" s="66">
        <v>511.51749999999998</v>
      </c>
      <c r="F18" s="66">
        <v>281.78980000000001</v>
      </c>
      <c r="G18" s="66">
        <v>229.7277</v>
      </c>
      <c r="H18" s="66">
        <v>281.78980000000001</v>
      </c>
      <c r="I18" s="66">
        <v>0.19618548000000002</v>
      </c>
      <c r="J18" s="66">
        <v>511.51749999999998</v>
      </c>
      <c r="K18" s="66">
        <v>281.78980000000001</v>
      </c>
      <c r="L18" s="66">
        <v>0</v>
      </c>
      <c r="M18" s="66">
        <v>229.7277</v>
      </c>
      <c r="N18" s="67">
        <v>100</v>
      </c>
      <c r="O18" s="67">
        <v>100</v>
      </c>
      <c r="P18" s="67">
        <v>44.911014774665581</v>
      </c>
      <c r="Q18" s="187">
        <v>0.19618548000000002</v>
      </c>
      <c r="R18" s="67">
        <v>-3.1086244689504383E-15</v>
      </c>
    </row>
    <row r="19" spans="1:18" ht="15.6" x14ac:dyDescent="0.3">
      <c r="A19" s="169" t="s">
        <v>21</v>
      </c>
      <c r="B19" s="205" t="s">
        <v>22</v>
      </c>
      <c r="C19" s="66">
        <v>48.671999999999997</v>
      </c>
      <c r="D19" s="66">
        <v>0</v>
      </c>
      <c r="E19" s="66">
        <v>52.335484000000001</v>
      </c>
      <c r="F19" s="66">
        <v>48.671999999999997</v>
      </c>
      <c r="G19" s="66">
        <v>3.663484</v>
      </c>
      <c r="H19" s="66">
        <v>48.671999999999997</v>
      </c>
      <c r="I19" s="66">
        <v>0.30389718999999998</v>
      </c>
      <c r="J19" s="66">
        <v>52.335484000000001</v>
      </c>
      <c r="K19" s="66">
        <v>48.671999999999997</v>
      </c>
      <c r="L19" s="66">
        <v>0</v>
      </c>
      <c r="M19" s="66">
        <v>3.663484</v>
      </c>
      <c r="N19" s="67">
        <v>100</v>
      </c>
      <c r="O19" s="67">
        <v>100</v>
      </c>
      <c r="P19" s="67">
        <v>7.0000002292899408</v>
      </c>
      <c r="Q19" s="187">
        <v>0.22841479000000001</v>
      </c>
      <c r="R19" s="67">
        <v>7.5482400000000699E-2</v>
      </c>
    </row>
    <row r="20" spans="1:18" ht="15.6" x14ac:dyDescent="0.3">
      <c r="A20" s="169" t="s">
        <v>24</v>
      </c>
      <c r="B20" s="205" t="s">
        <v>25</v>
      </c>
      <c r="C20" s="66">
        <v>65.408699999999996</v>
      </c>
      <c r="D20" s="66">
        <v>0</v>
      </c>
      <c r="E20" s="66">
        <v>94.795287000000002</v>
      </c>
      <c r="F20" s="66">
        <v>65.408699999999996</v>
      </c>
      <c r="G20" s="66">
        <v>29.386586999999999</v>
      </c>
      <c r="H20" s="66">
        <v>65.408699999999996</v>
      </c>
      <c r="I20" s="66">
        <v>3.2783513700000002</v>
      </c>
      <c r="J20" s="66">
        <v>94.795287000000002</v>
      </c>
      <c r="K20" s="66">
        <v>65.408699999999996</v>
      </c>
      <c r="L20" s="66">
        <v>0</v>
      </c>
      <c r="M20" s="66">
        <v>29.386586999999999</v>
      </c>
      <c r="N20" s="67">
        <v>100</v>
      </c>
      <c r="O20" s="67">
        <v>100</v>
      </c>
      <c r="P20" s="67">
        <v>31.000050667075886</v>
      </c>
      <c r="Q20" s="187">
        <v>3.2783513700000002</v>
      </c>
      <c r="R20" s="67">
        <v>-4.4408920985006262E-15</v>
      </c>
    </row>
    <row r="21" spans="1:18" ht="15.6" x14ac:dyDescent="0.3">
      <c r="A21" s="169" t="s">
        <v>27</v>
      </c>
      <c r="B21" s="205" t="s">
        <v>28</v>
      </c>
      <c r="C21" s="66">
        <v>44.2669</v>
      </c>
      <c r="D21" s="66">
        <v>0</v>
      </c>
      <c r="E21" s="66">
        <v>46.596800000000002</v>
      </c>
      <c r="F21" s="66">
        <v>44.2669</v>
      </c>
      <c r="G21" s="66">
        <v>2.3298999999999999</v>
      </c>
      <c r="H21" s="66">
        <v>44.2669</v>
      </c>
      <c r="I21" s="66">
        <v>0.48672176</v>
      </c>
      <c r="J21" s="66">
        <v>46.596800000000002</v>
      </c>
      <c r="K21" s="66">
        <v>44.2669</v>
      </c>
      <c r="L21" s="66">
        <v>0</v>
      </c>
      <c r="M21" s="66">
        <v>2.3298999999999999</v>
      </c>
      <c r="N21" s="67">
        <v>100</v>
      </c>
      <c r="O21" s="67">
        <v>100</v>
      </c>
      <c r="P21" s="67">
        <v>5.000128764206984</v>
      </c>
      <c r="Q21" s="187">
        <v>0.48672176</v>
      </c>
      <c r="R21" s="67">
        <v>1.7763568394002505E-15</v>
      </c>
    </row>
    <row r="22" spans="1:18" ht="15.6" x14ac:dyDescent="0.3">
      <c r="A22" s="169" t="s">
        <v>30</v>
      </c>
      <c r="B22" s="205" t="s">
        <v>31</v>
      </c>
      <c r="C22" s="66">
        <v>47.127099999999999</v>
      </c>
      <c r="D22" s="66">
        <v>0</v>
      </c>
      <c r="E22" s="66">
        <v>54.169080999999998</v>
      </c>
      <c r="F22" s="66">
        <v>47.127099999999999</v>
      </c>
      <c r="G22" s="66">
        <v>7.0419809999999998</v>
      </c>
      <c r="H22" s="66">
        <v>47.126765069999998</v>
      </c>
      <c r="I22" s="66">
        <v>2.227585E-2</v>
      </c>
      <c r="J22" s="66">
        <v>54.168695999999997</v>
      </c>
      <c r="K22" s="66">
        <v>47.126765069999998</v>
      </c>
      <c r="L22" s="66">
        <v>0</v>
      </c>
      <c r="M22" s="66">
        <v>7.0419309299999995</v>
      </c>
      <c r="N22" s="67">
        <v>99.999289304879781</v>
      </c>
      <c r="O22" s="67">
        <v>99.999288978484884</v>
      </c>
      <c r="P22" s="67">
        <v>13.000000830738106</v>
      </c>
      <c r="Q22" s="187">
        <v>2.227585E-2</v>
      </c>
      <c r="R22" s="67">
        <v>-2.3592239273284576E-16</v>
      </c>
    </row>
    <row r="23" spans="1:18" ht="15.6" x14ac:dyDescent="0.3">
      <c r="A23" s="169" t="s">
        <v>33</v>
      </c>
      <c r="B23" s="205" t="s">
        <v>34</v>
      </c>
      <c r="C23" s="66">
        <v>24.1953</v>
      </c>
      <c r="D23" s="66">
        <v>0</v>
      </c>
      <c r="E23" s="66">
        <v>33.604583329999997</v>
      </c>
      <c r="F23" s="66">
        <v>24.1953</v>
      </c>
      <c r="G23" s="66">
        <v>9.4092833300000009</v>
      </c>
      <c r="H23" s="66">
        <v>24.195299980000001</v>
      </c>
      <c r="I23" s="66">
        <v>0</v>
      </c>
      <c r="J23" s="66">
        <v>33.604583310000002</v>
      </c>
      <c r="K23" s="66">
        <v>24.195299980000001</v>
      </c>
      <c r="L23" s="66">
        <v>0</v>
      </c>
      <c r="M23" s="66">
        <v>9.4092833300000009</v>
      </c>
      <c r="N23" s="67">
        <v>99.999999917339323</v>
      </c>
      <c r="O23" s="67">
        <v>100</v>
      </c>
      <c r="P23" s="67">
        <v>28.000000009522513</v>
      </c>
      <c r="Q23" s="187">
        <v>0</v>
      </c>
      <c r="R23" s="67">
        <v>0</v>
      </c>
    </row>
    <row r="24" spans="1:18" ht="15.6" x14ac:dyDescent="0.3">
      <c r="A24" s="169" t="s">
        <v>36</v>
      </c>
      <c r="B24" s="205" t="s">
        <v>37</v>
      </c>
      <c r="C24" s="66">
        <v>147.6465</v>
      </c>
      <c r="D24" s="66">
        <v>0</v>
      </c>
      <c r="E24" s="66">
        <v>273.41950000000003</v>
      </c>
      <c r="F24" s="66">
        <v>147.6465</v>
      </c>
      <c r="G24" s="66">
        <v>125.773</v>
      </c>
      <c r="H24" s="66">
        <v>147.6465</v>
      </c>
      <c r="I24" s="66">
        <v>0.98651038000000002</v>
      </c>
      <c r="J24" s="66">
        <v>273.41949994999999</v>
      </c>
      <c r="K24" s="66">
        <v>147.6465</v>
      </c>
      <c r="L24" s="66">
        <v>0</v>
      </c>
      <c r="M24" s="66">
        <v>125.77299995</v>
      </c>
      <c r="N24" s="67">
        <v>100</v>
      </c>
      <c r="O24" s="67">
        <v>99.999999960245844</v>
      </c>
      <c r="P24" s="67">
        <v>46.000010962275923</v>
      </c>
      <c r="Q24" s="187">
        <v>0.98651038000000002</v>
      </c>
      <c r="R24" s="67">
        <v>-1.4432899320127035E-15</v>
      </c>
    </row>
    <row r="25" spans="1:18" ht="15.6" x14ac:dyDescent="0.3">
      <c r="A25" s="169" t="s">
        <v>39</v>
      </c>
      <c r="B25" s="205" t="s">
        <v>297</v>
      </c>
      <c r="C25" s="66">
        <v>0</v>
      </c>
      <c r="D25" s="66">
        <v>0</v>
      </c>
      <c r="E25" s="66">
        <v>0</v>
      </c>
      <c r="F25" s="66">
        <v>0</v>
      </c>
      <c r="G25" s="66">
        <v>0</v>
      </c>
      <c r="H25" s="66">
        <v>0</v>
      </c>
      <c r="I25" s="66">
        <v>0</v>
      </c>
      <c r="J25" s="66">
        <v>0</v>
      </c>
      <c r="K25" s="66">
        <v>0</v>
      </c>
      <c r="L25" s="66">
        <v>0</v>
      </c>
      <c r="M25" s="66">
        <v>0</v>
      </c>
      <c r="N25" s="67" t="s">
        <v>1230</v>
      </c>
      <c r="O25" s="67" t="s">
        <v>1230</v>
      </c>
      <c r="P25" s="67">
        <v>0</v>
      </c>
      <c r="Q25" s="187">
        <v>0</v>
      </c>
      <c r="R25" s="67">
        <v>0</v>
      </c>
    </row>
    <row r="26" spans="1:18" ht="15.6" x14ac:dyDescent="0.3">
      <c r="A26" s="169" t="s">
        <v>41</v>
      </c>
      <c r="B26" s="205" t="s">
        <v>42</v>
      </c>
      <c r="C26" s="66">
        <v>283.59039999999999</v>
      </c>
      <c r="D26" s="66">
        <v>0</v>
      </c>
      <c r="E26" s="66">
        <v>298.51621052999997</v>
      </c>
      <c r="F26" s="66">
        <v>283.59039999999999</v>
      </c>
      <c r="G26" s="66">
        <v>14.92581053</v>
      </c>
      <c r="H26" s="66">
        <v>283.59039999999999</v>
      </c>
      <c r="I26" s="66">
        <v>4.3964225300000006</v>
      </c>
      <c r="J26" s="66">
        <v>298.51621052999997</v>
      </c>
      <c r="K26" s="66">
        <v>283.59039999999999</v>
      </c>
      <c r="L26" s="66">
        <v>0</v>
      </c>
      <c r="M26" s="66">
        <v>14.92581053</v>
      </c>
      <c r="N26" s="67">
        <v>100</v>
      </c>
      <c r="O26" s="67">
        <v>100</v>
      </c>
      <c r="P26" s="67">
        <v>5.0000000011724657</v>
      </c>
      <c r="Q26" s="187">
        <v>4.3964225300000006</v>
      </c>
      <c r="R26" s="67">
        <v>-5.3290705182007514E-15</v>
      </c>
    </row>
    <row r="27" spans="1:18" ht="15.6" x14ac:dyDescent="0.3">
      <c r="A27" s="169" t="s">
        <v>44</v>
      </c>
      <c r="B27" s="205" t="s">
        <v>45</v>
      </c>
      <c r="C27" s="66">
        <v>159.0874</v>
      </c>
      <c r="D27" s="66">
        <v>0</v>
      </c>
      <c r="E27" s="66">
        <v>187.16164706000001</v>
      </c>
      <c r="F27" s="66">
        <v>159.0874</v>
      </c>
      <c r="G27" s="66">
        <v>28.074247059999998</v>
      </c>
      <c r="H27" s="66">
        <v>159.0874</v>
      </c>
      <c r="I27" s="66">
        <v>1.11764262</v>
      </c>
      <c r="J27" s="66">
        <v>187.16164706000001</v>
      </c>
      <c r="K27" s="66">
        <v>159.0874</v>
      </c>
      <c r="L27" s="66">
        <v>0</v>
      </c>
      <c r="M27" s="66">
        <v>28.074247059999998</v>
      </c>
      <c r="N27" s="67">
        <v>100</v>
      </c>
      <c r="O27" s="67">
        <v>100</v>
      </c>
      <c r="P27" s="67">
        <v>15.000000000534294</v>
      </c>
      <c r="Q27" s="187">
        <v>1.11764262</v>
      </c>
      <c r="R27" s="67">
        <v>-1.9984014443252818E-15</v>
      </c>
    </row>
    <row r="28" spans="1:18" ht="15.6" x14ac:dyDescent="0.3">
      <c r="A28" s="169" t="s">
        <v>47</v>
      </c>
      <c r="B28" s="205" t="s">
        <v>48</v>
      </c>
      <c r="C28" s="66">
        <v>123.383</v>
      </c>
      <c r="D28" s="66">
        <v>0</v>
      </c>
      <c r="E28" s="66">
        <v>141.81960000000001</v>
      </c>
      <c r="F28" s="66">
        <v>123.383</v>
      </c>
      <c r="G28" s="66">
        <v>18.436599999999999</v>
      </c>
      <c r="H28" s="66">
        <v>123.383</v>
      </c>
      <c r="I28" s="66">
        <v>3.1493914700000003</v>
      </c>
      <c r="J28" s="66">
        <v>141.81960000000001</v>
      </c>
      <c r="K28" s="66">
        <v>123.383</v>
      </c>
      <c r="L28" s="66">
        <v>0</v>
      </c>
      <c r="M28" s="66">
        <v>18.436599999999999</v>
      </c>
      <c r="N28" s="67">
        <v>100</v>
      </c>
      <c r="O28" s="67">
        <v>100</v>
      </c>
      <c r="P28" s="67">
        <v>13.000036666300002</v>
      </c>
      <c r="Q28" s="187">
        <v>3.1493914700000003</v>
      </c>
      <c r="R28" s="67">
        <v>-2.6645352591003757E-15</v>
      </c>
    </row>
    <row r="29" spans="1:18" ht="15.6" x14ac:dyDescent="0.3">
      <c r="A29" s="169" t="s">
        <v>50</v>
      </c>
      <c r="B29" s="205" t="s">
        <v>51</v>
      </c>
      <c r="C29" s="66">
        <v>95.406000000000006</v>
      </c>
      <c r="D29" s="66">
        <v>0</v>
      </c>
      <c r="E29" s="66">
        <v>104.84175823999999</v>
      </c>
      <c r="F29" s="66">
        <v>95.406000000000006</v>
      </c>
      <c r="G29" s="66">
        <v>9.4357582400000002</v>
      </c>
      <c r="H29" s="66">
        <v>95.406000000000006</v>
      </c>
      <c r="I29" s="66">
        <v>3.3681129999999997E-2</v>
      </c>
      <c r="J29" s="66">
        <v>104.84175823999999</v>
      </c>
      <c r="K29" s="66">
        <v>95.406000000000006</v>
      </c>
      <c r="L29" s="66">
        <v>0</v>
      </c>
      <c r="M29" s="66">
        <v>9.4357582400000002</v>
      </c>
      <c r="N29" s="67">
        <v>100</v>
      </c>
      <c r="O29" s="67">
        <v>100</v>
      </c>
      <c r="P29" s="67">
        <v>8.999999998473891</v>
      </c>
      <c r="Q29" s="187">
        <v>3.3681129999999997E-2</v>
      </c>
      <c r="R29" s="67">
        <v>5.0584536559483695E-15</v>
      </c>
    </row>
    <row r="30" spans="1:18" ht="15.6" x14ac:dyDescent="0.3">
      <c r="A30" s="169" t="s">
        <v>53</v>
      </c>
      <c r="B30" s="205" t="s">
        <v>54</v>
      </c>
      <c r="C30" s="66">
        <v>135.7021</v>
      </c>
      <c r="D30" s="66">
        <v>0</v>
      </c>
      <c r="E30" s="66">
        <v>161.55019999999999</v>
      </c>
      <c r="F30" s="66">
        <v>135.7021</v>
      </c>
      <c r="G30" s="66">
        <v>25.848099999999999</v>
      </c>
      <c r="H30" s="66">
        <v>135.2922844</v>
      </c>
      <c r="I30" s="66">
        <v>0</v>
      </c>
      <c r="J30" s="66">
        <v>161.06229230000002</v>
      </c>
      <c r="K30" s="66">
        <v>135.29225772000001</v>
      </c>
      <c r="L30" s="66">
        <v>0</v>
      </c>
      <c r="M30" s="66">
        <v>25.770034579999997</v>
      </c>
      <c r="N30" s="67">
        <v>99.697983833706331</v>
      </c>
      <c r="O30" s="67">
        <v>99.697983913711255</v>
      </c>
      <c r="P30" s="67">
        <v>16.000042102964652</v>
      </c>
      <c r="Q30" s="187">
        <v>0</v>
      </c>
      <c r="R30" s="67">
        <v>2.6679999990619763E-5</v>
      </c>
    </row>
    <row r="31" spans="1:18" ht="15.6" x14ac:dyDescent="0.3">
      <c r="A31" s="169" t="s">
        <v>56</v>
      </c>
      <c r="B31" s="205" t="s">
        <v>57</v>
      </c>
      <c r="C31" s="66">
        <v>169.0599</v>
      </c>
      <c r="D31" s="66">
        <v>0</v>
      </c>
      <c r="E31" s="66">
        <v>231.589</v>
      </c>
      <c r="F31" s="66">
        <v>169.0599</v>
      </c>
      <c r="G31" s="66">
        <v>62.5291</v>
      </c>
      <c r="H31" s="66">
        <v>169.0599</v>
      </c>
      <c r="I31" s="66">
        <v>4.0683077999999995</v>
      </c>
      <c r="J31" s="66">
        <v>231.589</v>
      </c>
      <c r="K31" s="66">
        <v>169.0599</v>
      </c>
      <c r="L31" s="66">
        <v>0</v>
      </c>
      <c r="M31" s="66">
        <v>62.5291</v>
      </c>
      <c r="N31" s="67">
        <v>100</v>
      </c>
      <c r="O31" s="67">
        <v>100</v>
      </c>
      <c r="P31" s="67">
        <v>27.000030225960646</v>
      </c>
      <c r="Q31" s="187">
        <v>4.0683077999999995</v>
      </c>
      <c r="R31" s="67">
        <v>-1.4210854715202004E-14</v>
      </c>
    </row>
    <row r="32" spans="1:18" ht="15.6" x14ac:dyDescent="0.3">
      <c r="A32" s="169" t="s">
        <v>59</v>
      </c>
      <c r="B32" s="205" t="s">
        <v>60</v>
      </c>
      <c r="C32" s="66">
        <v>78.452500000000001</v>
      </c>
      <c r="D32" s="66">
        <v>0</v>
      </c>
      <c r="E32" s="66">
        <v>110.49647899999999</v>
      </c>
      <c r="F32" s="66">
        <v>78.452500000000001</v>
      </c>
      <c r="G32" s="66">
        <v>32.043979</v>
      </c>
      <c r="H32" s="66">
        <v>78.452500000000001</v>
      </c>
      <c r="I32" s="66">
        <v>0</v>
      </c>
      <c r="J32" s="66">
        <v>110.49647893000001</v>
      </c>
      <c r="K32" s="66">
        <v>78.452500000000001</v>
      </c>
      <c r="L32" s="66">
        <v>0</v>
      </c>
      <c r="M32" s="66">
        <v>32.043978930000002</v>
      </c>
      <c r="N32" s="67">
        <v>100</v>
      </c>
      <c r="O32" s="67">
        <v>99.99999978155023</v>
      </c>
      <c r="P32" s="67">
        <v>29.00000003647175</v>
      </c>
      <c r="Q32" s="187">
        <v>0</v>
      </c>
      <c r="R32" s="67">
        <v>0</v>
      </c>
    </row>
    <row r="33" spans="1:18" s="62" customFormat="1" ht="15.6" x14ac:dyDescent="0.3">
      <c r="A33" s="202" t="s">
        <v>62</v>
      </c>
      <c r="B33" s="203" t="s">
        <v>63</v>
      </c>
      <c r="C33" s="61">
        <v>383.79160000000002</v>
      </c>
      <c r="D33" s="61">
        <v>0</v>
      </c>
      <c r="E33" s="61">
        <v>531.67331964999994</v>
      </c>
      <c r="F33" s="61">
        <v>383.79160000000002</v>
      </c>
      <c r="G33" s="61">
        <v>147.88171964999998</v>
      </c>
      <c r="H33" s="61">
        <v>383.78905900000001</v>
      </c>
      <c r="I33" s="61">
        <v>1.8142984899999999</v>
      </c>
      <c r="J33" s="61">
        <v>529.79653647999999</v>
      </c>
      <c r="K33" s="61">
        <v>382.34647696999997</v>
      </c>
      <c r="L33" s="61">
        <v>0</v>
      </c>
      <c r="M33" s="61">
        <v>147.45005950999999</v>
      </c>
      <c r="N33" s="61">
        <v>99.623461527037065</v>
      </c>
      <c r="O33" s="61">
        <v>99.708104462795248</v>
      </c>
      <c r="P33" s="61">
        <v>27.831450256294055</v>
      </c>
      <c r="Q33" s="61">
        <v>1.8142984899999999</v>
      </c>
      <c r="R33" s="61">
        <v>1.4425820300000198</v>
      </c>
    </row>
    <row r="34" spans="1:18" ht="15.6" x14ac:dyDescent="0.3">
      <c r="A34" s="169" t="s">
        <v>65</v>
      </c>
      <c r="B34" s="205" t="s">
        <v>66</v>
      </c>
      <c r="C34" s="66">
        <v>6.6886000000000001</v>
      </c>
      <c r="D34" s="66">
        <v>0</v>
      </c>
      <c r="E34" s="66">
        <v>7.1155319100000005</v>
      </c>
      <c r="F34" s="66">
        <v>6.6886000000000001</v>
      </c>
      <c r="G34" s="66">
        <v>0.42693190999999997</v>
      </c>
      <c r="H34" s="66">
        <v>6.6886000000000001</v>
      </c>
      <c r="I34" s="66">
        <v>0.17154245999999998</v>
      </c>
      <c r="J34" s="66">
        <v>7.1155318899999997</v>
      </c>
      <c r="K34" s="66">
        <v>6.6886000000000001</v>
      </c>
      <c r="L34" s="66">
        <v>0</v>
      </c>
      <c r="M34" s="66">
        <v>0.42693189000000004</v>
      </c>
      <c r="N34" s="67">
        <v>100</v>
      </c>
      <c r="O34" s="67">
        <v>99.999995315412264</v>
      </c>
      <c r="P34" s="67">
        <v>5.9999996711419428</v>
      </c>
      <c r="Q34" s="187">
        <v>0.17154245999999998</v>
      </c>
      <c r="R34" s="67">
        <v>4.163336342344337E-16</v>
      </c>
    </row>
    <row r="35" spans="1:18" ht="15.6" x14ac:dyDescent="0.3">
      <c r="A35" s="169" t="s">
        <v>68</v>
      </c>
      <c r="B35" s="205" t="s">
        <v>69</v>
      </c>
      <c r="C35" s="66">
        <v>6.4901</v>
      </c>
      <c r="D35" s="66">
        <v>0</v>
      </c>
      <c r="E35" s="66">
        <v>9.2715714299999998</v>
      </c>
      <c r="F35" s="66">
        <v>6.4901</v>
      </c>
      <c r="G35" s="66">
        <v>2.7814714300000003</v>
      </c>
      <c r="H35" s="66">
        <v>6.4901</v>
      </c>
      <c r="I35" s="66">
        <v>0</v>
      </c>
      <c r="J35" s="66">
        <v>9.2715714299999998</v>
      </c>
      <c r="K35" s="66">
        <v>6.4901</v>
      </c>
      <c r="L35" s="66">
        <v>0</v>
      </c>
      <c r="M35" s="66">
        <v>2.7814714300000003</v>
      </c>
      <c r="N35" s="67">
        <v>100</v>
      </c>
      <c r="O35" s="67">
        <v>100</v>
      </c>
      <c r="P35" s="67">
        <v>30.000000010785659</v>
      </c>
      <c r="Q35" s="187">
        <v>0</v>
      </c>
      <c r="R35" s="67">
        <v>0</v>
      </c>
    </row>
    <row r="36" spans="1:18" ht="15.6" x14ac:dyDescent="0.3">
      <c r="A36" s="169" t="s">
        <v>71</v>
      </c>
      <c r="B36" s="205" t="s">
        <v>72</v>
      </c>
      <c r="C36" s="66">
        <v>17.716999999999999</v>
      </c>
      <c r="D36" s="66">
        <v>0</v>
      </c>
      <c r="E36" s="66">
        <v>19.685555559999997</v>
      </c>
      <c r="F36" s="66">
        <v>17.716999999999999</v>
      </c>
      <c r="G36" s="66">
        <v>1.96855556</v>
      </c>
      <c r="H36" s="66">
        <v>17.716999999999999</v>
      </c>
      <c r="I36" s="66">
        <v>0</v>
      </c>
      <c r="J36" s="66">
        <v>19.685555559999997</v>
      </c>
      <c r="K36" s="66">
        <v>17.716999999999999</v>
      </c>
      <c r="L36" s="66">
        <v>0</v>
      </c>
      <c r="M36" s="66">
        <v>1.96855556</v>
      </c>
      <c r="N36" s="67">
        <v>100</v>
      </c>
      <c r="O36" s="67">
        <v>100</v>
      </c>
      <c r="P36" s="67">
        <v>10.000000020319469</v>
      </c>
      <c r="Q36" s="187">
        <v>0</v>
      </c>
      <c r="R36" s="67">
        <v>0</v>
      </c>
    </row>
    <row r="37" spans="1:18" ht="15.6" x14ac:dyDescent="0.3">
      <c r="A37" s="169" t="s">
        <v>74</v>
      </c>
      <c r="B37" s="205" t="s">
        <v>1078</v>
      </c>
      <c r="C37" s="66">
        <v>0</v>
      </c>
      <c r="D37" s="66">
        <v>0</v>
      </c>
      <c r="E37" s="66">
        <v>0</v>
      </c>
      <c r="F37" s="66">
        <v>0</v>
      </c>
      <c r="G37" s="66">
        <v>0</v>
      </c>
      <c r="H37" s="66">
        <v>0</v>
      </c>
      <c r="I37" s="66">
        <v>0</v>
      </c>
      <c r="J37" s="66">
        <v>0</v>
      </c>
      <c r="K37" s="66">
        <v>0</v>
      </c>
      <c r="L37" s="66">
        <v>0</v>
      </c>
      <c r="M37" s="66">
        <v>0</v>
      </c>
      <c r="N37" s="67" t="s">
        <v>1230</v>
      </c>
      <c r="O37" s="67" t="s">
        <v>1230</v>
      </c>
      <c r="P37" s="67">
        <v>0</v>
      </c>
      <c r="Q37" s="187">
        <v>0</v>
      </c>
      <c r="R37" s="67">
        <v>0</v>
      </c>
    </row>
    <row r="38" spans="1:18" ht="15.6" x14ac:dyDescent="0.3">
      <c r="A38" s="169" t="s">
        <v>76</v>
      </c>
      <c r="B38" s="205" t="s">
        <v>77</v>
      </c>
      <c r="C38" s="66">
        <v>129.13679999999999</v>
      </c>
      <c r="D38" s="66">
        <v>0</v>
      </c>
      <c r="E38" s="66">
        <v>167.71012987</v>
      </c>
      <c r="F38" s="66">
        <v>129.13679999999999</v>
      </c>
      <c r="G38" s="66">
        <v>38.573329869999995</v>
      </c>
      <c r="H38" s="66">
        <v>129.13679999999999</v>
      </c>
      <c r="I38" s="66">
        <v>0.19957965999999999</v>
      </c>
      <c r="J38" s="66">
        <v>165.83664672</v>
      </c>
      <c r="K38" s="66">
        <v>127.69421797</v>
      </c>
      <c r="L38" s="66">
        <v>0</v>
      </c>
      <c r="M38" s="66">
        <v>38.142428750000001</v>
      </c>
      <c r="N38" s="67">
        <v>98.882903997930882</v>
      </c>
      <c r="O38" s="67">
        <v>98.882904013077905</v>
      </c>
      <c r="P38" s="67">
        <v>23.000000002653213</v>
      </c>
      <c r="Q38" s="187">
        <v>0.19957965999999999</v>
      </c>
      <c r="R38" s="67">
        <v>1.442582030000009</v>
      </c>
    </row>
    <row r="39" spans="1:18" ht="15.6" x14ac:dyDescent="0.3">
      <c r="A39" s="169" t="s">
        <v>79</v>
      </c>
      <c r="B39" s="205" t="s">
        <v>80</v>
      </c>
      <c r="C39" s="66">
        <v>61.238</v>
      </c>
      <c r="D39" s="66">
        <v>0</v>
      </c>
      <c r="E39" s="66">
        <v>79.529870000000003</v>
      </c>
      <c r="F39" s="66">
        <v>61.238</v>
      </c>
      <c r="G39" s="66">
        <v>18.291869999999999</v>
      </c>
      <c r="H39" s="66">
        <v>61.235458999999999</v>
      </c>
      <c r="I39" s="66">
        <v>1.0348719999999999E-2</v>
      </c>
      <c r="J39" s="66">
        <v>79.526570000000007</v>
      </c>
      <c r="K39" s="66">
        <v>61.235458999999999</v>
      </c>
      <c r="L39" s="66">
        <v>0</v>
      </c>
      <c r="M39" s="66">
        <v>18.291111000000001</v>
      </c>
      <c r="N39" s="67">
        <v>99.995850615630815</v>
      </c>
      <c r="O39" s="67">
        <v>99.99585061560137</v>
      </c>
      <c r="P39" s="67">
        <v>22.99999987425586</v>
      </c>
      <c r="Q39" s="187">
        <v>1.0348719999999999E-2</v>
      </c>
      <c r="R39" s="67">
        <v>3.1988300897012323E-15</v>
      </c>
    </row>
    <row r="40" spans="1:18" ht="15.6" x14ac:dyDescent="0.3">
      <c r="A40" s="169" t="s">
        <v>82</v>
      </c>
      <c r="B40" s="205" t="s">
        <v>83</v>
      </c>
      <c r="C40" s="66">
        <v>63.7179</v>
      </c>
      <c r="D40" s="66">
        <v>0</v>
      </c>
      <c r="E40" s="66">
        <v>130.03653062000001</v>
      </c>
      <c r="F40" s="66">
        <v>63.7179</v>
      </c>
      <c r="G40" s="66">
        <v>66.318630619999993</v>
      </c>
      <c r="H40" s="66">
        <v>63.7179</v>
      </c>
      <c r="I40" s="66">
        <v>1.3626761599999999</v>
      </c>
      <c r="J40" s="66">
        <v>130.03653062000001</v>
      </c>
      <c r="K40" s="66">
        <v>63.7179</v>
      </c>
      <c r="L40" s="66">
        <v>0</v>
      </c>
      <c r="M40" s="66">
        <v>66.318630619999993</v>
      </c>
      <c r="N40" s="67">
        <v>100</v>
      </c>
      <c r="O40" s="67">
        <v>100</v>
      </c>
      <c r="P40" s="67">
        <v>51.000000002922249</v>
      </c>
      <c r="Q40" s="187">
        <v>1.3626761599999999</v>
      </c>
      <c r="R40" s="67">
        <v>6.6613381477509392E-15</v>
      </c>
    </row>
    <row r="41" spans="1:18" ht="15.6" x14ac:dyDescent="0.3">
      <c r="A41" s="169" t="s">
        <v>85</v>
      </c>
      <c r="B41" s="205" t="s">
        <v>299</v>
      </c>
      <c r="C41" s="66">
        <v>0</v>
      </c>
      <c r="D41" s="66">
        <v>0</v>
      </c>
      <c r="E41" s="66">
        <v>0</v>
      </c>
      <c r="F41" s="66">
        <v>0</v>
      </c>
      <c r="G41" s="66">
        <v>0</v>
      </c>
      <c r="H41" s="66">
        <v>0</v>
      </c>
      <c r="I41" s="66">
        <v>0</v>
      </c>
      <c r="J41" s="66">
        <v>0</v>
      </c>
      <c r="K41" s="66">
        <v>0</v>
      </c>
      <c r="L41" s="66">
        <v>0</v>
      </c>
      <c r="M41" s="66">
        <v>0</v>
      </c>
      <c r="N41" s="67" t="s">
        <v>1230</v>
      </c>
      <c r="O41" s="67" t="s">
        <v>1230</v>
      </c>
      <c r="P41" s="67">
        <v>0</v>
      </c>
      <c r="Q41" s="187">
        <v>0</v>
      </c>
      <c r="R41" s="67">
        <v>0</v>
      </c>
    </row>
    <row r="42" spans="1:18" ht="15.6" x14ac:dyDescent="0.3">
      <c r="A42" s="169" t="s">
        <v>87</v>
      </c>
      <c r="B42" s="205" t="s">
        <v>88</v>
      </c>
      <c r="C42" s="66">
        <v>0.90780000000000005</v>
      </c>
      <c r="D42" s="66">
        <v>0</v>
      </c>
      <c r="E42" s="66">
        <v>1.27859155</v>
      </c>
      <c r="F42" s="66">
        <v>0.90780000000000005</v>
      </c>
      <c r="G42" s="66">
        <v>0.37079154999999997</v>
      </c>
      <c r="H42" s="66">
        <v>0.90780000000000005</v>
      </c>
      <c r="I42" s="66">
        <v>0</v>
      </c>
      <c r="J42" s="66">
        <v>1.27859155</v>
      </c>
      <c r="K42" s="66">
        <v>0.90780000000000005</v>
      </c>
      <c r="L42" s="66">
        <v>0</v>
      </c>
      <c r="M42" s="66">
        <v>0.37079154999999997</v>
      </c>
      <c r="N42" s="67">
        <v>100</v>
      </c>
      <c r="O42" s="67">
        <v>100</v>
      </c>
      <c r="P42" s="67">
        <v>29.000000039105529</v>
      </c>
      <c r="Q42" s="187">
        <v>0</v>
      </c>
      <c r="R42" s="67">
        <v>0</v>
      </c>
    </row>
    <row r="43" spans="1:18" ht="15.6" x14ac:dyDescent="0.3">
      <c r="A43" s="169" t="s">
        <v>90</v>
      </c>
      <c r="B43" s="205" t="s">
        <v>91</v>
      </c>
      <c r="C43" s="66">
        <v>52.7301</v>
      </c>
      <c r="D43" s="66">
        <v>0</v>
      </c>
      <c r="E43" s="66">
        <v>68.480699999999999</v>
      </c>
      <c r="F43" s="66">
        <v>52.7301</v>
      </c>
      <c r="G43" s="66">
        <v>15.7506</v>
      </c>
      <c r="H43" s="66">
        <v>52.7301</v>
      </c>
      <c r="I43" s="66">
        <v>7.0151490000000011E-2</v>
      </c>
      <c r="J43" s="66">
        <v>68.480699999999999</v>
      </c>
      <c r="K43" s="66">
        <v>52.7301</v>
      </c>
      <c r="L43" s="66">
        <v>0</v>
      </c>
      <c r="M43" s="66">
        <v>15.7506</v>
      </c>
      <c r="N43" s="67">
        <v>100</v>
      </c>
      <c r="O43" s="67">
        <v>100</v>
      </c>
      <c r="P43" s="67">
        <v>23.000056950352434</v>
      </c>
      <c r="Q43" s="187">
        <v>7.0151490000000011E-2</v>
      </c>
      <c r="R43" s="67">
        <v>6.3837823915946501E-16</v>
      </c>
    </row>
    <row r="44" spans="1:18" ht="15.6" x14ac:dyDescent="0.3">
      <c r="A44" s="206">
        <v>32</v>
      </c>
      <c r="B44" s="205" t="s">
        <v>93</v>
      </c>
      <c r="C44" s="66">
        <v>45.165300000000002</v>
      </c>
      <c r="D44" s="66">
        <v>0</v>
      </c>
      <c r="E44" s="66">
        <v>48.564838710000004</v>
      </c>
      <c r="F44" s="66">
        <v>45.165300000000002</v>
      </c>
      <c r="G44" s="66">
        <v>3.3995387099999999</v>
      </c>
      <c r="H44" s="66">
        <v>45.165300000000002</v>
      </c>
      <c r="I44" s="66">
        <v>0</v>
      </c>
      <c r="J44" s="66">
        <v>48.564838710000004</v>
      </c>
      <c r="K44" s="66">
        <v>45.165300000000002</v>
      </c>
      <c r="L44" s="66">
        <v>0</v>
      </c>
      <c r="M44" s="66">
        <v>3.3995387099999999</v>
      </c>
      <c r="N44" s="67">
        <v>100</v>
      </c>
      <c r="O44" s="67">
        <v>100</v>
      </c>
      <c r="P44" s="67">
        <v>7.0000000006177299</v>
      </c>
      <c r="Q44" s="187">
        <v>0</v>
      </c>
      <c r="R44" s="67">
        <v>0</v>
      </c>
    </row>
    <row r="45" spans="1:18" s="62" customFormat="1" ht="15.6" x14ac:dyDescent="0.3">
      <c r="A45" s="208">
        <v>33</v>
      </c>
      <c r="B45" s="209" t="s">
        <v>95</v>
      </c>
      <c r="C45" s="61">
        <v>1411.0376000000001</v>
      </c>
      <c r="D45" s="61">
        <v>0</v>
      </c>
      <c r="E45" s="61">
        <v>1668.0025060800001</v>
      </c>
      <c r="F45" s="61">
        <v>1411.0376000000001</v>
      </c>
      <c r="G45" s="61">
        <v>256.96490607999993</v>
      </c>
      <c r="H45" s="61">
        <v>1409.2800758999999</v>
      </c>
      <c r="I45" s="61">
        <v>30.231434490000002</v>
      </c>
      <c r="J45" s="61">
        <v>1665.9315595400001</v>
      </c>
      <c r="K45" s="61">
        <v>1409.2800758999999</v>
      </c>
      <c r="L45" s="61">
        <v>0</v>
      </c>
      <c r="M45" s="61">
        <v>256.65148363999998</v>
      </c>
      <c r="N45" s="61">
        <v>99.875444559379559</v>
      </c>
      <c r="O45" s="61">
        <v>99.8780290877921</v>
      </c>
      <c r="P45" s="61">
        <v>15.40588400347413</v>
      </c>
      <c r="Q45" s="61">
        <v>30.231434490000002</v>
      </c>
      <c r="R45" s="61">
        <v>-1.774969060619469E-14</v>
      </c>
    </row>
    <row r="46" spans="1:18" ht="15.6" x14ac:dyDescent="0.3">
      <c r="A46" s="171">
        <v>34</v>
      </c>
      <c r="B46" s="211" t="s">
        <v>97</v>
      </c>
      <c r="C46" s="66">
        <v>28.860299999999999</v>
      </c>
      <c r="D46" s="66">
        <v>0</v>
      </c>
      <c r="E46" s="66">
        <v>32.067</v>
      </c>
      <c r="F46" s="66">
        <v>28.860299999999999</v>
      </c>
      <c r="G46" s="66">
        <v>3.2067000000000001</v>
      </c>
      <c r="H46" s="66">
        <v>28.860299999999999</v>
      </c>
      <c r="I46" s="66">
        <v>0</v>
      </c>
      <c r="J46" s="66">
        <v>32.067</v>
      </c>
      <c r="K46" s="66">
        <v>28.860299999999999</v>
      </c>
      <c r="L46" s="66">
        <v>0</v>
      </c>
      <c r="M46" s="66">
        <v>3.2067000000000001</v>
      </c>
      <c r="N46" s="67">
        <v>100</v>
      </c>
      <c r="O46" s="67">
        <v>100</v>
      </c>
      <c r="P46" s="67">
        <v>10</v>
      </c>
      <c r="Q46" s="187">
        <v>0</v>
      </c>
      <c r="R46" s="67">
        <v>0</v>
      </c>
    </row>
    <row r="47" spans="1:18" ht="15.6" x14ac:dyDescent="0.3">
      <c r="A47" s="171">
        <v>35</v>
      </c>
      <c r="B47" s="211" t="s">
        <v>99</v>
      </c>
      <c r="C47" s="66">
        <v>68.392200000000003</v>
      </c>
      <c r="D47" s="66">
        <v>0</v>
      </c>
      <c r="E47" s="66">
        <v>72.757659569999987</v>
      </c>
      <c r="F47" s="66">
        <v>68.392200000000003</v>
      </c>
      <c r="G47" s="66">
        <v>4.3654595700000005</v>
      </c>
      <c r="H47" s="66">
        <v>68.392200000000003</v>
      </c>
      <c r="I47" s="66">
        <v>8.7391619999999989E-2</v>
      </c>
      <c r="J47" s="66">
        <v>72.757659569999987</v>
      </c>
      <c r="K47" s="66">
        <v>68.392200000000003</v>
      </c>
      <c r="L47" s="66">
        <v>0</v>
      </c>
      <c r="M47" s="66">
        <v>4.3654595700000005</v>
      </c>
      <c r="N47" s="67">
        <v>100</v>
      </c>
      <c r="O47" s="67">
        <v>100</v>
      </c>
      <c r="P47" s="67">
        <v>5.999999994227414</v>
      </c>
      <c r="Q47" s="187">
        <v>8.7391619999999989E-2</v>
      </c>
      <c r="R47" s="67">
        <v>5.3429483060085659E-15</v>
      </c>
    </row>
    <row r="48" spans="1:18" s="126" customFormat="1" ht="15.6" x14ac:dyDescent="0.3">
      <c r="A48" s="169">
        <v>36</v>
      </c>
      <c r="B48" s="205" t="s">
        <v>318</v>
      </c>
      <c r="C48" s="66">
        <v>122.66419999999999</v>
      </c>
      <c r="D48" s="66">
        <v>0</v>
      </c>
      <c r="E48" s="66">
        <v>129.12021100000001</v>
      </c>
      <c r="F48" s="66">
        <v>122.66419999999999</v>
      </c>
      <c r="G48" s="66">
        <v>6.4560110000000002</v>
      </c>
      <c r="H48" s="66">
        <v>122.66419999</v>
      </c>
      <c r="I48" s="66">
        <v>2.3184631800000002</v>
      </c>
      <c r="J48" s="66">
        <v>129.12021098</v>
      </c>
      <c r="K48" s="66">
        <v>122.66419999</v>
      </c>
      <c r="L48" s="66">
        <v>0</v>
      </c>
      <c r="M48" s="66">
        <v>6.4560109900000002</v>
      </c>
      <c r="N48" s="67">
        <v>99.999999991847659</v>
      </c>
      <c r="O48" s="67">
        <v>99.999999845105592</v>
      </c>
      <c r="P48" s="67">
        <v>5.0000003415421936</v>
      </c>
      <c r="Q48" s="187">
        <v>2.3184631800000002</v>
      </c>
      <c r="R48" s="67">
        <v>-5.3290705182007514E-15</v>
      </c>
    </row>
    <row r="49" spans="1:18" ht="15.6" x14ac:dyDescent="0.3">
      <c r="A49" s="171">
        <v>37</v>
      </c>
      <c r="B49" s="211" t="s">
        <v>101</v>
      </c>
      <c r="C49" s="66">
        <v>281.66789999999997</v>
      </c>
      <c r="D49" s="66">
        <v>0</v>
      </c>
      <c r="E49" s="66">
        <v>370.6157</v>
      </c>
      <c r="F49" s="66">
        <v>281.66789999999997</v>
      </c>
      <c r="G49" s="66">
        <v>88.947800000000001</v>
      </c>
      <c r="H49" s="66">
        <v>281.66768423000002</v>
      </c>
      <c r="I49" s="66">
        <v>27.825579690000001</v>
      </c>
      <c r="J49" s="66">
        <v>370.61541589999996</v>
      </c>
      <c r="K49" s="66">
        <v>281.66768423000002</v>
      </c>
      <c r="L49" s="66">
        <v>0</v>
      </c>
      <c r="M49" s="66">
        <v>88.947731669999996</v>
      </c>
      <c r="N49" s="67">
        <v>99.999923395601726</v>
      </c>
      <c r="O49" s="67">
        <v>99.999923179662673</v>
      </c>
      <c r="P49" s="67">
        <v>24.000008594893423</v>
      </c>
      <c r="Q49" s="187">
        <v>27.825579690000001</v>
      </c>
      <c r="R49" s="67">
        <v>-1.7763568394002505E-14</v>
      </c>
    </row>
    <row r="50" spans="1:18" ht="15.6" x14ac:dyDescent="0.3">
      <c r="A50" s="171">
        <v>38</v>
      </c>
      <c r="B50" s="211" t="s">
        <v>103</v>
      </c>
      <c r="C50" s="66">
        <v>136.7278</v>
      </c>
      <c r="D50" s="66">
        <v>0</v>
      </c>
      <c r="E50" s="66">
        <v>166.74121950999998</v>
      </c>
      <c r="F50" s="66">
        <v>136.7278</v>
      </c>
      <c r="G50" s="66">
        <v>30.013419510000002</v>
      </c>
      <c r="H50" s="66">
        <v>135.54216199999999</v>
      </c>
      <c r="I50" s="66">
        <v>0</v>
      </c>
      <c r="J50" s="66">
        <v>165.29531950999998</v>
      </c>
      <c r="K50" s="66">
        <v>135.54216199999999</v>
      </c>
      <c r="L50" s="66">
        <v>0</v>
      </c>
      <c r="M50" s="66">
        <v>29.753157510000001</v>
      </c>
      <c r="N50" s="67">
        <v>99.132847891942959</v>
      </c>
      <c r="O50" s="67">
        <v>99.13284789187955</v>
      </c>
      <c r="P50" s="67">
        <v>17.999999998911044</v>
      </c>
      <c r="Q50" s="187">
        <v>0</v>
      </c>
      <c r="R50" s="67">
        <v>0</v>
      </c>
    </row>
    <row r="51" spans="1:18" ht="15.6" x14ac:dyDescent="0.3">
      <c r="A51" s="171">
        <v>39</v>
      </c>
      <c r="B51" s="211" t="s">
        <v>105</v>
      </c>
      <c r="C51" s="66">
        <v>642.84749999999997</v>
      </c>
      <c r="D51" s="66">
        <v>0</v>
      </c>
      <c r="E51" s="66">
        <v>747.49710000000005</v>
      </c>
      <c r="F51" s="66">
        <v>642.84749999999997</v>
      </c>
      <c r="G51" s="66">
        <v>104.64960000000001</v>
      </c>
      <c r="H51" s="66">
        <v>642.84749999999997</v>
      </c>
      <c r="I51" s="66">
        <v>0</v>
      </c>
      <c r="J51" s="66">
        <v>747.49710000000005</v>
      </c>
      <c r="K51" s="66">
        <v>642.84749999999997</v>
      </c>
      <c r="L51" s="66">
        <v>0</v>
      </c>
      <c r="M51" s="66">
        <v>104.64960000000001</v>
      </c>
      <c r="N51" s="67">
        <v>100</v>
      </c>
      <c r="O51" s="67">
        <v>100</v>
      </c>
      <c r="P51" s="67">
        <v>14.0000008026787</v>
      </c>
      <c r="Q51" s="187">
        <v>0</v>
      </c>
      <c r="R51" s="67">
        <v>0</v>
      </c>
    </row>
    <row r="52" spans="1:18" s="126" customFormat="1" ht="15.6" x14ac:dyDescent="0.3">
      <c r="A52" s="206">
        <v>40</v>
      </c>
      <c r="B52" s="211" t="s">
        <v>107</v>
      </c>
      <c r="C52" s="66">
        <v>129.0395</v>
      </c>
      <c r="D52" s="66">
        <v>0</v>
      </c>
      <c r="E52" s="66">
        <v>148.32130000000001</v>
      </c>
      <c r="F52" s="66">
        <v>129.0395</v>
      </c>
      <c r="G52" s="66">
        <v>19.2818</v>
      </c>
      <c r="H52" s="66">
        <v>128.80183962000001</v>
      </c>
      <c r="I52" s="66">
        <v>0</v>
      </c>
      <c r="J52" s="66">
        <v>148.04812706999999</v>
      </c>
      <c r="K52" s="66">
        <v>128.80183962000001</v>
      </c>
      <c r="L52" s="66">
        <v>0</v>
      </c>
      <c r="M52" s="66">
        <v>19.246287450000001</v>
      </c>
      <c r="N52" s="67">
        <v>99.815823542403692</v>
      </c>
      <c r="O52" s="67">
        <v>99.815823470837785</v>
      </c>
      <c r="P52" s="67">
        <v>13.000020892462885</v>
      </c>
      <c r="Q52" s="187">
        <v>0</v>
      </c>
      <c r="R52" s="67">
        <v>0</v>
      </c>
    </row>
    <row r="53" spans="1:18" ht="15.6" x14ac:dyDescent="0.3">
      <c r="A53" s="169">
        <v>41</v>
      </c>
      <c r="B53" s="205" t="s">
        <v>319</v>
      </c>
      <c r="C53" s="66">
        <v>0.83819999999999995</v>
      </c>
      <c r="D53" s="66">
        <v>0</v>
      </c>
      <c r="E53" s="66">
        <v>0.88231599999999999</v>
      </c>
      <c r="F53" s="66">
        <v>0.83819999999999995</v>
      </c>
      <c r="G53" s="66">
        <v>4.4116000000000002E-2</v>
      </c>
      <c r="H53" s="66">
        <v>0.50419006</v>
      </c>
      <c r="I53" s="66">
        <v>0</v>
      </c>
      <c r="J53" s="66">
        <v>0.53072651000000004</v>
      </c>
      <c r="K53" s="66">
        <v>0.50419006</v>
      </c>
      <c r="L53" s="66">
        <v>0</v>
      </c>
      <c r="M53" s="66">
        <v>2.653645E-2</v>
      </c>
      <c r="N53" s="67">
        <v>60.151522309711289</v>
      </c>
      <c r="O53" s="67">
        <v>60.151532323873425</v>
      </c>
      <c r="P53" s="67">
        <v>5.0000234584098679</v>
      </c>
      <c r="Q53" s="187">
        <v>0</v>
      </c>
      <c r="R53" s="67">
        <v>0</v>
      </c>
    </row>
    <row r="54" spans="1:18" s="62" customFormat="1" ht="31.2" x14ac:dyDescent="0.3">
      <c r="A54" s="208">
        <v>42</v>
      </c>
      <c r="B54" s="212" t="s">
        <v>109</v>
      </c>
      <c r="C54" s="61">
        <v>549.3279</v>
      </c>
      <c r="D54" s="61">
        <v>0</v>
      </c>
      <c r="E54" s="61">
        <v>585.07493278000004</v>
      </c>
      <c r="F54" s="61">
        <v>549.3279</v>
      </c>
      <c r="G54" s="61">
        <v>35.747032780000005</v>
      </c>
      <c r="H54" s="61">
        <v>549.32788948000007</v>
      </c>
      <c r="I54" s="61">
        <v>1.4269000000000001</v>
      </c>
      <c r="J54" s="61">
        <v>585.07492167999999</v>
      </c>
      <c r="K54" s="61">
        <v>549.32788943000003</v>
      </c>
      <c r="L54" s="61">
        <v>0</v>
      </c>
      <c r="M54" s="61">
        <v>35.747032250000004</v>
      </c>
      <c r="N54" s="61">
        <v>99.99999807583049</v>
      </c>
      <c r="O54" s="61">
        <v>99.999998517359458</v>
      </c>
      <c r="P54" s="61">
        <v>6.1098213109792852</v>
      </c>
      <c r="Q54" s="61">
        <v>1.4269000000000001</v>
      </c>
      <c r="R54" s="61">
        <v>5.0000014573114981E-8</v>
      </c>
    </row>
    <row r="55" spans="1:18" ht="15.6" x14ac:dyDescent="0.3">
      <c r="A55" s="171">
        <v>43</v>
      </c>
      <c r="B55" s="211" t="s">
        <v>111</v>
      </c>
      <c r="C55" s="66">
        <v>42.2258</v>
      </c>
      <c r="D55" s="66">
        <v>0</v>
      </c>
      <c r="E55" s="66">
        <v>44.448210530000004</v>
      </c>
      <c r="F55" s="66">
        <v>42.2258</v>
      </c>
      <c r="G55" s="66">
        <v>2.2224105299999999</v>
      </c>
      <c r="H55" s="66">
        <v>42.2258</v>
      </c>
      <c r="I55" s="66">
        <v>0</v>
      </c>
      <c r="J55" s="66">
        <v>44.448210530000004</v>
      </c>
      <c r="K55" s="66">
        <v>42.2258</v>
      </c>
      <c r="L55" s="66">
        <v>0</v>
      </c>
      <c r="M55" s="66">
        <v>2.2224105299999999</v>
      </c>
      <c r="N55" s="67">
        <v>100</v>
      </c>
      <c r="O55" s="67">
        <v>100</v>
      </c>
      <c r="P55" s="67">
        <v>5.0000000078743323</v>
      </c>
      <c r="Q55" s="187">
        <v>0</v>
      </c>
      <c r="R55" s="67">
        <v>0</v>
      </c>
    </row>
    <row r="56" spans="1:18" ht="15.6" x14ac:dyDescent="0.3">
      <c r="A56" s="171">
        <v>44</v>
      </c>
      <c r="B56" s="211" t="s">
        <v>113</v>
      </c>
      <c r="C56" s="66">
        <v>12.6747</v>
      </c>
      <c r="D56" s="66">
        <v>0</v>
      </c>
      <c r="E56" s="66">
        <v>13.341799999999999</v>
      </c>
      <c r="F56" s="66">
        <v>12.6747</v>
      </c>
      <c r="G56" s="66">
        <v>0.66710000000000003</v>
      </c>
      <c r="H56" s="66">
        <v>12.6747</v>
      </c>
      <c r="I56" s="66">
        <v>0</v>
      </c>
      <c r="J56" s="66">
        <v>13.341799999999999</v>
      </c>
      <c r="K56" s="66">
        <v>12.6747</v>
      </c>
      <c r="L56" s="66">
        <v>0</v>
      </c>
      <c r="M56" s="66">
        <v>0.66710000000000003</v>
      </c>
      <c r="N56" s="67">
        <v>100</v>
      </c>
      <c r="O56" s="67">
        <v>100</v>
      </c>
      <c r="P56" s="67">
        <v>5.0000749524052228</v>
      </c>
      <c r="Q56" s="187">
        <v>0</v>
      </c>
      <c r="R56" s="67">
        <v>0</v>
      </c>
    </row>
    <row r="57" spans="1:18" ht="31.2" x14ac:dyDescent="0.3">
      <c r="A57" s="171">
        <v>45</v>
      </c>
      <c r="B57" s="211" t="s">
        <v>115</v>
      </c>
      <c r="C57" s="66">
        <v>150.8622</v>
      </c>
      <c r="D57" s="66">
        <v>0</v>
      </c>
      <c r="E57" s="66">
        <v>162.21741935</v>
      </c>
      <c r="F57" s="66">
        <v>150.8622</v>
      </c>
      <c r="G57" s="66">
        <v>11.35521935</v>
      </c>
      <c r="H57" s="66">
        <v>150.8622</v>
      </c>
      <c r="I57" s="66">
        <v>0</v>
      </c>
      <c r="J57" s="66">
        <v>162.21741935</v>
      </c>
      <c r="K57" s="66">
        <v>150.8622</v>
      </c>
      <c r="L57" s="66">
        <v>0</v>
      </c>
      <c r="M57" s="66">
        <v>11.35521935</v>
      </c>
      <c r="N57" s="67">
        <v>100</v>
      </c>
      <c r="O57" s="67">
        <v>100</v>
      </c>
      <c r="P57" s="67">
        <v>6.9999999972259461</v>
      </c>
      <c r="Q57" s="187">
        <v>0</v>
      </c>
      <c r="R57" s="67">
        <v>0</v>
      </c>
    </row>
    <row r="58" spans="1:18" ht="31.2" x14ac:dyDescent="0.3">
      <c r="A58" s="171">
        <v>46</v>
      </c>
      <c r="B58" s="211" t="s">
        <v>117</v>
      </c>
      <c r="C58" s="66">
        <v>40.302500000000002</v>
      </c>
      <c r="D58" s="66">
        <v>0</v>
      </c>
      <c r="E58" s="66">
        <v>42.423699999999997</v>
      </c>
      <c r="F58" s="66">
        <v>40.302500000000002</v>
      </c>
      <c r="G58" s="66">
        <v>2.1212</v>
      </c>
      <c r="H58" s="66">
        <v>40.302500000000002</v>
      </c>
      <c r="I58" s="66">
        <v>0</v>
      </c>
      <c r="J58" s="66">
        <v>42.423699999999997</v>
      </c>
      <c r="K58" s="66">
        <v>40.302500000000002</v>
      </c>
      <c r="L58" s="66">
        <v>0</v>
      </c>
      <c r="M58" s="66">
        <v>2.1212</v>
      </c>
      <c r="N58" s="67">
        <v>100</v>
      </c>
      <c r="O58" s="67">
        <v>100</v>
      </c>
      <c r="P58" s="67">
        <v>5.0000353575949292</v>
      </c>
      <c r="Q58" s="187">
        <v>0</v>
      </c>
      <c r="R58" s="67">
        <v>0</v>
      </c>
    </row>
    <row r="59" spans="1:18" ht="31.2" x14ac:dyDescent="0.3">
      <c r="A59" s="171">
        <v>47</v>
      </c>
      <c r="B59" s="211" t="s">
        <v>119</v>
      </c>
      <c r="C59" s="66">
        <v>39.820700000000002</v>
      </c>
      <c r="D59" s="66">
        <v>0</v>
      </c>
      <c r="E59" s="66">
        <v>42.817957579999998</v>
      </c>
      <c r="F59" s="66">
        <v>39.820700000000002</v>
      </c>
      <c r="G59" s="66">
        <v>2.9972575799999999</v>
      </c>
      <c r="H59" s="66">
        <v>39.820700000000002</v>
      </c>
      <c r="I59" s="66">
        <v>0</v>
      </c>
      <c r="J59" s="66">
        <v>42.817957579999998</v>
      </c>
      <c r="K59" s="66">
        <v>39.820700000000002</v>
      </c>
      <c r="L59" s="66">
        <v>0</v>
      </c>
      <c r="M59" s="66">
        <v>2.9972575799999999</v>
      </c>
      <c r="N59" s="67">
        <v>100</v>
      </c>
      <c r="O59" s="67">
        <v>100</v>
      </c>
      <c r="P59" s="67">
        <v>7.0000012831065082</v>
      </c>
      <c r="Q59" s="187">
        <v>0</v>
      </c>
      <c r="R59" s="67">
        <v>0</v>
      </c>
    </row>
    <row r="60" spans="1:18" ht="15.6" x14ac:dyDescent="0.3">
      <c r="A60" s="169">
        <v>48</v>
      </c>
      <c r="B60" s="211" t="s">
        <v>122</v>
      </c>
      <c r="C60" s="66">
        <v>38.542999999999999</v>
      </c>
      <c r="D60" s="66">
        <v>0</v>
      </c>
      <c r="E60" s="66">
        <v>40.57159</v>
      </c>
      <c r="F60" s="66">
        <v>38.542999999999999</v>
      </c>
      <c r="G60" s="66">
        <v>2.0285899999999999</v>
      </c>
      <c r="H60" s="66">
        <v>38.542989479999996</v>
      </c>
      <c r="I60" s="66">
        <v>1.4269000000000001</v>
      </c>
      <c r="J60" s="66">
        <v>40.571578950000003</v>
      </c>
      <c r="K60" s="66">
        <v>38.542989479999996</v>
      </c>
      <c r="L60" s="66">
        <v>0</v>
      </c>
      <c r="M60" s="66">
        <v>2.02858947</v>
      </c>
      <c r="N60" s="67">
        <v>99.999972705809085</v>
      </c>
      <c r="O60" s="67">
        <v>99.999973873478638</v>
      </c>
      <c r="P60" s="67">
        <v>5.0000259356433059</v>
      </c>
      <c r="Q60" s="187">
        <v>1.4269000000000001</v>
      </c>
      <c r="R60" s="67">
        <v>3.3306690738754696E-15</v>
      </c>
    </row>
    <row r="61" spans="1:18" ht="15.6" x14ac:dyDescent="0.3">
      <c r="A61" s="215">
        <v>49</v>
      </c>
      <c r="B61" s="211" t="s">
        <v>125</v>
      </c>
      <c r="C61" s="66">
        <v>224.899</v>
      </c>
      <c r="D61" s="66">
        <v>0</v>
      </c>
      <c r="E61" s="66">
        <v>239.25425532</v>
      </c>
      <c r="F61" s="66">
        <v>224.899</v>
      </c>
      <c r="G61" s="66">
        <v>14.355255319999999</v>
      </c>
      <c r="H61" s="66">
        <v>224.899</v>
      </c>
      <c r="I61" s="66">
        <v>0</v>
      </c>
      <c r="J61" s="66">
        <v>239.25425527000002</v>
      </c>
      <c r="K61" s="66">
        <v>224.89899994999999</v>
      </c>
      <c r="L61" s="66">
        <v>0</v>
      </c>
      <c r="M61" s="66">
        <v>14.355255319999999</v>
      </c>
      <c r="N61" s="67">
        <v>99.9999999777678</v>
      </c>
      <c r="O61" s="67">
        <v>100</v>
      </c>
      <c r="P61" s="67">
        <v>6.0000000015882682</v>
      </c>
      <c r="Q61" s="187">
        <v>0</v>
      </c>
      <c r="R61" s="67">
        <v>5.0000011242445908E-8</v>
      </c>
    </row>
    <row r="62" spans="1:18" s="62" customFormat="1" ht="15.6" x14ac:dyDescent="0.3">
      <c r="A62" s="202">
        <v>50</v>
      </c>
      <c r="B62" s="203" t="s">
        <v>128</v>
      </c>
      <c r="C62" s="61">
        <v>3581.7329999999997</v>
      </c>
      <c r="D62" s="61">
        <v>0</v>
      </c>
      <c r="E62" s="61">
        <v>4796.5465294300002</v>
      </c>
      <c r="F62" s="61">
        <v>3581.7329999999997</v>
      </c>
      <c r="G62" s="61">
        <v>1214.8135294299998</v>
      </c>
      <c r="H62" s="61">
        <v>3574.4046117400003</v>
      </c>
      <c r="I62" s="61">
        <v>14.210126220000001</v>
      </c>
      <c r="J62" s="61">
        <v>4785.76870435</v>
      </c>
      <c r="K62" s="61">
        <v>3573.8435702700003</v>
      </c>
      <c r="L62" s="61">
        <v>0</v>
      </c>
      <c r="M62" s="61">
        <v>1211.9251340800001</v>
      </c>
      <c r="N62" s="61">
        <v>99.779731495061213</v>
      </c>
      <c r="O62" s="61">
        <v>99.762235497051549</v>
      </c>
      <c r="P62" s="61">
        <v>25.323520816591639</v>
      </c>
      <c r="Q62" s="61">
        <v>14.103742070000001</v>
      </c>
      <c r="R62" s="61">
        <v>0.66742562000004058</v>
      </c>
    </row>
    <row r="63" spans="1:18" ht="15.6" x14ac:dyDescent="0.3">
      <c r="A63" s="169">
        <v>51</v>
      </c>
      <c r="B63" s="205" t="s">
        <v>131</v>
      </c>
      <c r="C63" s="66">
        <v>403.4513</v>
      </c>
      <c r="D63" s="66">
        <v>0</v>
      </c>
      <c r="E63" s="66">
        <v>458.46740999999997</v>
      </c>
      <c r="F63" s="66">
        <v>403.4513</v>
      </c>
      <c r="G63" s="66">
        <v>55.016109999999998</v>
      </c>
      <c r="H63" s="66">
        <v>403.4513</v>
      </c>
      <c r="I63" s="66">
        <v>0</v>
      </c>
      <c r="J63" s="66">
        <v>458.45416260000002</v>
      </c>
      <c r="K63" s="66">
        <v>403.43964228999999</v>
      </c>
      <c r="L63" s="66">
        <v>0</v>
      </c>
      <c r="M63" s="66">
        <v>55.014520310000002</v>
      </c>
      <c r="N63" s="67">
        <v>99.997110503795625</v>
      </c>
      <c r="O63" s="67">
        <v>99.997110500906018</v>
      </c>
      <c r="P63" s="67">
        <v>12.000004536549495</v>
      </c>
      <c r="Q63" s="187">
        <v>0</v>
      </c>
      <c r="R63" s="67">
        <v>1.1657710000008592E-2</v>
      </c>
    </row>
    <row r="64" spans="1:18" ht="15.6" x14ac:dyDescent="0.3">
      <c r="A64" s="169">
        <v>52</v>
      </c>
      <c r="B64" s="205" t="s">
        <v>134</v>
      </c>
      <c r="C64" s="66">
        <v>53.924999999999997</v>
      </c>
      <c r="D64" s="66">
        <v>0</v>
      </c>
      <c r="E64" s="66">
        <v>58.614130430000003</v>
      </c>
      <c r="F64" s="66">
        <v>53.924999999999997</v>
      </c>
      <c r="G64" s="66">
        <v>4.6891304299999996</v>
      </c>
      <c r="H64" s="66">
        <v>53.924999999999997</v>
      </c>
      <c r="I64" s="66">
        <v>4.2947059999999995E-2</v>
      </c>
      <c r="J64" s="66">
        <v>58.614130430000003</v>
      </c>
      <c r="K64" s="66">
        <v>53.924999999999997</v>
      </c>
      <c r="L64" s="66">
        <v>0</v>
      </c>
      <c r="M64" s="66">
        <v>4.6891304299999996</v>
      </c>
      <c r="N64" s="67">
        <v>100</v>
      </c>
      <c r="O64" s="67">
        <v>100</v>
      </c>
      <c r="P64" s="67">
        <v>7.9999999924932768</v>
      </c>
      <c r="Q64" s="187">
        <v>4.2947059999999995E-2</v>
      </c>
      <c r="R64" s="67">
        <v>3.039235529911366E-15</v>
      </c>
    </row>
    <row r="65" spans="1:18" ht="15.6" x14ac:dyDescent="0.3">
      <c r="A65" s="169">
        <v>53</v>
      </c>
      <c r="B65" s="205" t="s">
        <v>137</v>
      </c>
      <c r="C65" s="66">
        <v>187.7191</v>
      </c>
      <c r="D65" s="66">
        <v>0</v>
      </c>
      <c r="E65" s="66">
        <v>384.64890000000003</v>
      </c>
      <c r="F65" s="66">
        <v>187.7191</v>
      </c>
      <c r="G65" s="66">
        <v>196.9298</v>
      </c>
      <c r="H65" s="66">
        <v>187.7191</v>
      </c>
      <c r="I65" s="66">
        <v>0</v>
      </c>
      <c r="J65" s="66">
        <v>384.64890000000003</v>
      </c>
      <c r="K65" s="66">
        <v>187.7191</v>
      </c>
      <c r="L65" s="66">
        <v>0</v>
      </c>
      <c r="M65" s="66">
        <v>196.9298</v>
      </c>
      <c r="N65" s="67">
        <v>100</v>
      </c>
      <c r="O65" s="67">
        <v>100</v>
      </c>
      <c r="P65" s="67">
        <v>51.197286668439709</v>
      </c>
      <c r="Q65" s="187">
        <v>0</v>
      </c>
      <c r="R65" s="67">
        <v>0</v>
      </c>
    </row>
    <row r="66" spans="1:18" ht="15.6" x14ac:dyDescent="0.3">
      <c r="A66" s="169">
        <v>54</v>
      </c>
      <c r="B66" s="205" t="s">
        <v>140</v>
      </c>
      <c r="C66" s="66">
        <v>453.91579999999999</v>
      </c>
      <c r="D66" s="66">
        <v>0</v>
      </c>
      <c r="E66" s="66">
        <v>782.61344827999994</v>
      </c>
      <c r="F66" s="66">
        <v>453.91579999999999</v>
      </c>
      <c r="G66" s="66">
        <v>328.69764827999995</v>
      </c>
      <c r="H66" s="66">
        <v>453.91579999999999</v>
      </c>
      <c r="I66" s="66">
        <v>0.16102052</v>
      </c>
      <c r="J66" s="66">
        <v>782.61344827999994</v>
      </c>
      <c r="K66" s="66">
        <v>453.91579999999999</v>
      </c>
      <c r="L66" s="66">
        <v>0</v>
      </c>
      <c r="M66" s="66">
        <v>328.69764827999995</v>
      </c>
      <c r="N66" s="67">
        <v>100</v>
      </c>
      <c r="O66" s="67">
        <v>100</v>
      </c>
      <c r="P66" s="67">
        <v>42.000000000306663</v>
      </c>
      <c r="Q66" s="187">
        <v>0.16102052</v>
      </c>
      <c r="R66" s="67">
        <v>2.2315482794965646E-14</v>
      </c>
    </row>
    <row r="67" spans="1:18" ht="15.6" x14ac:dyDescent="0.3">
      <c r="A67" s="169">
        <v>55</v>
      </c>
      <c r="B67" s="205" t="s">
        <v>143</v>
      </c>
      <c r="C67" s="66">
        <v>205.21369999999999</v>
      </c>
      <c r="D67" s="66">
        <v>0</v>
      </c>
      <c r="E67" s="66">
        <v>253.3503</v>
      </c>
      <c r="F67" s="66">
        <v>205.21369999999999</v>
      </c>
      <c r="G67" s="66">
        <v>48.136600000000001</v>
      </c>
      <c r="H67" s="66">
        <v>205.21175115</v>
      </c>
      <c r="I67" s="66">
        <v>0.68611430000000007</v>
      </c>
      <c r="J67" s="66">
        <v>253.34789401</v>
      </c>
      <c r="K67" s="66">
        <v>205.21175115</v>
      </c>
      <c r="L67" s="66">
        <v>0</v>
      </c>
      <c r="M67" s="66">
        <v>48.13614286</v>
      </c>
      <c r="N67" s="67">
        <v>99.999050331434987</v>
      </c>
      <c r="O67" s="67">
        <v>99.999050327609339</v>
      </c>
      <c r="P67" s="67">
        <v>19.000016971958726</v>
      </c>
      <c r="Q67" s="187">
        <v>0.68611430000000007</v>
      </c>
      <c r="R67" s="67">
        <v>1.3988810110276972E-14</v>
      </c>
    </row>
    <row r="68" spans="1:18" ht="15.6" x14ac:dyDescent="0.3">
      <c r="A68" s="169">
        <v>56</v>
      </c>
      <c r="B68" s="205" t="s">
        <v>146</v>
      </c>
      <c r="C68" s="66">
        <v>97.982100000000003</v>
      </c>
      <c r="D68" s="66">
        <v>0</v>
      </c>
      <c r="E68" s="66">
        <v>104.2362766</v>
      </c>
      <c r="F68" s="66">
        <v>97.982100000000003</v>
      </c>
      <c r="G68" s="66">
        <v>6.2541765999999992</v>
      </c>
      <c r="H68" s="66">
        <v>97.982100000000003</v>
      </c>
      <c r="I68" s="66">
        <v>1.2133653700000002</v>
      </c>
      <c r="J68" s="66">
        <v>104.2362766</v>
      </c>
      <c r="K68" s="66">
        <v>97.982100000000003</v>
      </c>
      <c r="L68" s="66">
        <v>0</v>
      </c>
      <c r="M68" s="66">
        <v>6.2541765999999992</v>
      </c>
      <c r="N68" s="67">
        <v>100</v>
      </c>
      <c r="O68" s="67">
        <v>100</v>
      </c>
      <c r="P68" s="67">
        <v>6.0000000038374353</v>
      </c>
      <c r="Q68" s="187">
        <v>1.2133653700000002</v>
      </c>
      <c r="R68" s="67">
        <v>5.1070259132757201E-15</v>
      </c>
    </row>
    <row r="69" spans="1:18" ht="15.6" x14ac:dyDescent="0.3">
      <c r="A69" s="169">
        <v>57</v>
      </c>
      <c r="B69" s="205" t="s">
        <v>149</v>
      </c>
      <c r="C69" s="66">
        <v>164.56379999999999</v>
      </c>
      <c r="D69" s="66">
        <v>0</v>
      </c>
      <c r="E69" s="66">
        <v>225.42986302</v>
      </c>
      <c r="F69" s="66">
        <v>164.56379999999999</v>
      </c>
      <c r="G69" s="66">
        <v>60.866063020000006</v>
      </c>
      <c r="H69" s="66">
        <v>157.25893184</v>
      </c>
      <c r="I69" s="66">
        <v>5.9703589999999994E-2</v>
      </c>
      <c r="J69" s="66">
        <v>215.42319434000001</v>
      </c>
      <c r="K69" s="66">
        <v>157.25893184</v>
      </c>
      <c r="L69" s="66">
        <v>0</v>
      </c>
      <c r="M69" s="66">
        <v>58.1642625</v>
      </c>
      <c r="N69" s="67">
        <v>95.561072264981732</v>
      </c>
      <c r="O69" s="67">
        <v>95.561072318555873</v>
      </c>
      <c r="P69" s="67">
        <v>27.000000013090514</v>
      </c>
      <c r="Q69" s="187">
        <v>5.9703589999999994E-2</v>
      </c>
      <c r="R69" s="67">
        <v>-1.9637069748057456E-15</v>
      </c>
    </row>
    <row r="70" spans="1:18" ht="15.6" x14ac:dyDescent="0.3">
      <c r="A70" s="169">
        <v>58</v>
      </c>
      <c r="B70" s="205" t="s">
        <v>152</v>
      </c>
      <c r="C70" s="66">
        <v>140.6241</v>
      </c>
      <c r="D70" s="66">
        <v>0</v>
      </c>
      <c r="E70" s="66">
        <v>148.02539999999999</v>
      </c>
      <c r="F70" s="66">
        <v>140.6241</v>
      </c>
      <c r="G70" s="66">
        <v>7.4013</v>
      </c>
      <c r="H70" s="66">
        <v>140.6241</v>
      </c>
      <c r="I70" s="66">
        <v>0.26542284000000005</v>
      </c>
      <c r="J70" s="66">
        <v>148.02539999999999</v>
      </c>
      <c r="K70" s="66">
        <v>140.6241</v>
      </c>
      <c r="L70" s="66">
        <v>0</v>
      </c>
      <c r="M70" s="66">
        <v>7.4013</v>
      </c>
      <c r="N70" s="67">
        <v>100</v>
      </c>
      <c r="O70" s="67">
        <v>100</v>
      </c>
      <c r="P70" s="67">
        <v>5.0000202667920508</v>
      </c>
      <c r="Q70" s="187">
        <v>0.26542284000000005</v>
      </c>
      <c r="R70" s="67">
        <v>1.354472090042691E-14</v>
      </c>
    </row>
    <row r="71" spans="1:18" ht="15.6" x14ac:dyDescent="0.3">
      <c r="A71" s="169">
        <v>59</v>
      </c>
      <c r="B71" s="205" t="s">
        <v>155</v>
      </c>
      <c r="C71" s="66">
        <v>263.44630000000001</v>
      </c>
      <c r="D71" s="66">
        <v>0</v>
      </c>
      <c r="E71" s="66">
        <v>356.00851399999999</v>
      </c>
      <c r="F71" s="66">
        <v>263.44630000000001</v>
      </c>
      <c r="G71" s="66">
        <v>92.562213999999997</v>
      </c>
      <c r="H71" s="66">
        <v>263.44630000000001</v>
      </c>
      <c r="I71" s="66">
        <v>0.25759948999999999</v>
      </c>
      <c r="J71" s="66">
        <v>356.00851399999999</v>
      </c>
      <c r="K71" s="66">
        <v>263.44630000000001</v>
      </c>
      <c r="L71" s="66">
        <v>0</v>
      </c>
      <c r="M71" s="66">
        <v>92.562213999999997</v>
      </c>
      <c r="N71" s="67">
        <v>100</v>
      </c>
      <c r="O71" s="67">
        <v>100</v>
      </c>
      <c r="P71" s="67">
        <v>26.000000101121181</v>
      </c>
      <c r="Q71" s="187">
        <v>0.25759948999999999</v>
      </c>
      <c r="R71" s="67">
        <v>1.8263168755083825E-14</v>
      </c>
    </row>
    <row r="72" spans="1:18" ht="15.6" x14ac:dyDescent="0.3">
      <c r="A72" s="169">
        <v>60</v>
      </c>
      <c r="B72" s="205" t="s">
        <v>158</v>
      </c>
      <c r="C72" s="66">
        <v>525.97299999999996</v>
      </c>
      <c r="D72" s="66">
        <v>0</v>
      </c>
      <c r="E72" s="66">
        <v>701.29740000000004</v>
      </c>
      <c r="F72" s="66">
        <v>525.97299999999996</v>
      </c>
      <c r="G72" s="66">
        <v>175.3244</v>
      </c>
      <c r="H72" s="66">
        <v>525.97299999999996</v>
      </c>
      <c r="I72" s="66">
        <v>1.7785353500000001</v>
      </c>
      <c r="J72" s="66">
        <v>701.29740000000004</v>
      </c>
      <c r="K72" s="66">
        <v>525.97299999999996</v>
      </c>
      <c r="L72" s="66">
        <v>0</v>
      </c>
      <c r="M72" s="66">
        <v>175.3244</v>
      </c>
      <c r="N72" s="67">
        <v>100</v>
      </c>
      <c r="O72" s="67">
        <v>100</v>
      </c>
      <c r="P72" s="67">
        <v>25.00000712964286</v>
      </c>
      <c r="Q72" s="187">
        <v>1.7785353500000001</v>
      </c>
      <c r="R72" s="67">
        <v>-2.9976021664879227E-14</v>
      </c>
    </row>
    <row r="73" spans="1:18" ht="15.6" x14ac:dyDescent="0.3">
      <c r="A73" s="169">
        <v>61</v>
      </c>
      <c r="B73" s="205" t="s">
        <v>161</v>
      </c>
      <c r="C73" s="66">
        <v>219.09270000000001</v>
      </c>
      <c r="D73" s="66">
        <v>0</v>
      </c>
      <c r="E73" s="66">
        <v>238.14423912999999</v>
      </c>
      <c r="F73" s="66">
        <v>219.09270000000001</v>
      </c>
      <c r="G73" s="66">
        <v>19.051539129999998</v>
      </c>
      <c r="H73" s="66">
        <v>219.09270000000001</v>
      </c>
      <c r="I73" s="66">
        <v>0.28712094999999999</v>
      </c>
      <c r="J73" s="66">
        <v>238.14423912999999</v>
      </c>
      <c r="K73" s="66">
        <v>219.09270000000001</v>
      </c>
      <c r="L73" s="66">
        <v>0</v>
      </c>
      <c r="M73" s="66">
        <v>19.051539129999998</v>
      </c>
      <c r="N73" s="67">
        <v>100</v>
      </c>
      <c r="O73" s="67">
        <v>100</v>
      </c>
      <c r="P73" s="67">
        <v>7.9999999998320348</v>
      </c>
      <c r="Q73" s="187">
        <v>0.28712094999999999</v>
      </c>
      <c r="R73" s="67">
        <v>2.0539125955565396E-15</v>
      </c>
    </row>
    <row r="74" spans="1:18" ht="15.6" x14ac:dyDescent="0.3">
      <c r="A74" s="169">
        <v>62</v>
      </c>
      <c r="B74" s="205" t="s">
        <v>164</v>
      </c>
      <c r="C74" s="66">
        <v>242.3794</v>
      </c>
      <c r="D74" s="66">
        <v>0</v>
      </c>
      <c r="E74" s="66">
        <v>372.89138462</v>
      </c>
      <c r="F74" s="66">
        <v>242.3794</v>
      </c>
      <c r="G74" s="66">
        <v>130.51198461999999</v>
      </c>
      <c r="H74" s="66">
        <v>242.3794</v>
      </c>
      <c r="I74" s="66">
        <v>4.7109091400000001</v>
      </c>
      <c r="J74" s="66">
        <v>372.89138460999999</v>
      </c>
      <c r="K74" s="66">
        <v>242.3794</v>
      </c>
      <c r="L74" s="66">
        <v>0</v>
      </c>
      <c r="M74" s="66">
        <v>130.51198461000001</v>
      </c>
      <c r="N74" s="67">
        <v>100</v>
      </c>
      <c r="O74" s="67">
        <v>99.999999992337891</v>
      </c>
      <c r="P74" s="67">
        <v>34.999999999061394</v>
      </c>
      <c r="Q74" s="187">
        <v>4.6045249899999998</v>
      </c>
      <c r="R74" s="67">
        <v>0.10638415000001267</v>
      </c>
    </row>
    <row r="75" spans="1:18" ht="15.6" x14ac:dyDescent="0.3">
      <c r="A75" s="169">
        <v>63</v>
      </c>
      <c r="B75" s="205" t="s">
        <v>167</v>
      </c>
      <c r="C75" s="66">
        <v>495.02949999999998</v>
      </c>
      <c r="D75" s="66">
        <v>0</v>
      </c>
      <c r="E75" s="66">
        <v>556.21292134999999</v>
      </c>
      <c r="F75" s="66">
        <v>495.02949999999998</v>
      </c>
      <c r="G75" s="66">
        <v>61.183421350000003</v>
      </c>
      <c r="H75" s="66">
        <v>495.02949999999998</v>
      </c>
      <c r="I75" s="66">
        <v>4.7473876100000005</v>
      </c>
      <c r="J75" s="66">
        <v>556.21292134999999</v>
      </c>
      <c r="K75" s="66">
        <v>495.02949999999998</v>
      </c>
      <c r="L75" s="66">
        <v>0</v>
      </c>
      <c r="M75" s="66">
        <v>61.183421350000003</v>
      </c>
      <c r="N75" s="67">
        <v>100</v>
      </c>
      <c r="O75" s="67">
        <v>100</v>
      </c>
      <c r="P75" s="67">
        <v>11.000000000269681</v>
      </c>
      <c r="Q75" s="187">
        <v>4.7473876100000005</v>
      </c>
      <c r="R75" s="67">
        <v>-2.4868995751603507E-14</v>
      </c>
    </row>
    <row r="76" spans="1:18" ht="15.6" x14ac:dyDescent="0.3">
      <c r="A76" s="215">
        <v>64</v>
      </c>
      <c r="B76" s="205" t="s">
        <v>170</v>
      </c>
      <c r="C76" s="66">
        <v>128.41720000000001</v>
      </c>
      <c r="D76" s="66">
        <v>0</v>
      </c>
      <c r="E76" s="66">
        <v>156.60634200000001</v>
      </c>
      <c r="F76" s="66">
        <v>128.41720000000001</v>
      </c>
      <c r="G76" s="66">
        <v>28.189142</v>
      </c>
      <c r="H76" s="66">
        <v>128.39562874999999</v>
      </c>
      <c r="I76" s="66">
        <v>0</v>
      </c>
      <c r="J76" s="66">
        <v>155.85083900000001</v>
      </c>
      <c r="K76" s="66">
        <v>127.84624498999999</v>
      </c>
      <c r="L76" s="66">
        <v>0</v>
      </c>
      <c r="M76" s="66">
        <v>28.004594010000002</v>
      </c>
      <c r="N76" s="67">
        <v>99.555390547372141</v>
      </c>
      <c r="O76" s="67">
        <v>99.345322429465938</v>
      </c>
      <c r="P76" s="67">
        <v>17.968843921334297</v>
      </c>
      <c r="Q76" s="187">
        <v>0</v>
      </c>
      <c r="R76" s="67">
        <v>0.54938375999999778</v>
      </c>
    </row>
    <row r="77" spans="1:18" s="62" customFormat="1" ht="15.6" x14ac:dyDescent="0.3">
      <c r="A77" s="202">
        <v>65</v>
      </c>
      <c r="B77" s="203" t="s">
        <v>173</v>
      </c>
      <c r="C77" s="61">
        <v>830.5524999999999</v>
      </c>
      <c r="D77" s="61">
        <v>0</v>
      </c>
      <c r="E77" s="61">
        <v>1602.0967839999998</v>
      </c>
      <c r="F77" s="61">
        <v>830.5524999999999</v>
      </c>
      <c r="G77" s="61">
        <v>771.54428400000006</v>
      </c>
      <c r="H77" s="61">
        <v>830.13530349999996</v>
      </c>
      <c r="I77" s="61">
        <v>8.7790435300000009</v>
      </c>
      <c r="J77" s="61">
        <v>1601.5817265599999</v>
      </c>
      <c r="K77" s="61">
        <v>830.13530349999996</v>
      </c>
      <c r="L77" s="61">
        <v>0</v>
      </c>
      <c r="M77" s="61">
        <v>771.44642306000003</v>
      </c>
      <c r="N77" s="61">
        <v>99.949768798480548</v>
      </c>
      <c r="O77" s="61">
        <v>99.987316225130627</v>
      </c>
      <c r="P77" s="61">
        <v>48.167783776914831</v>
      </c>
      <c r="Q77" s="61">
        <v>8.7790435300000009</v>
      </c>
      <c r="R77" s="61">
        <v>-3.3112401709445294E-14</v>
      </c>
    </row>
    <row r="78" spans="1:18" ht="15.6" x14ac:dyDescent="0.3">
      <c r="A78" s="169">
        <v>66</v>
      </c>
      <c r="B78" s="205" t="s">
        <v>176</v>
      </c>
      <c r="C78" s="66">
        <v>263.20909999999998</v>
      </c>
      <c r="D78" s="66">
        <v>0</v>
      </c>
      <c r="E78" s="66">
        <v>283.02053799999999</v>
      </c>
      <c r="F78" s="66">
        <v>263.20909999999998</v>
      </c>
      <c r="G78" s="66">
        <v>19.811437999999999</v>
      </c>
      <c r="H78" s="66">
        <v>263.20909999999998</v>
      </c>
      <c r="I78" s="66">
        <v>0.92121867000000002</v>
      </c>
      <c r="J78" s="66">
        <v>283.02053799999999</v>
      </c>
      <c r="K78" s="66">
        <v>263.20909999999998</v>
      </c>
      <c r="L78" s="66">
        <v>0</v>
      </c>
      <c r="M78" s="66">
        <v>19.811437999999999</v>
      </c>
      <c r="N78" s="67">
        <v>100</v>
      </c>
      <c r="O78" s="67">
        <v>100</v>
      </c>
      <c r="P78" s="67">
        <v>7.0000001201326238</v>
      </c>
      <c r="Q78" s="187">
        <v>0.92121867000000002</v>
      </c>
      <c r="R78" s="67">
        <v>-2.6645352591003757E-14</v>
      </c>
    </row>
    <row r="79" spans="1:18" ht="15.6" x14ac:dyDescent="0.3">
      <c r="A79" s="169">
        <v>67</v>
      </c>
      <c r="B79" s="205" t="s">
        <v>179</v>
      </c>
      <c r="C79" s="66">
        <v>159.37799999999999</v>
      </c>
      <c r="D79" s="66">
        <v>0</v>
      </c>
      <c r="E79" s="66">
        <v>237.8777</v>
      </c>
      <c r="F79" s="66">
        <v>159.37799999999999</v>
      </c>
      <c r="G79" s="66">
        <v>78.499700000000004</v>
      </c>
      <c r="H79" s="66">
        <v>159.37799999999999</v>
      </c>
      <c r="I79" s="66">
        <v>1.4968596000000001</v>
      </c>
      <c r="J79" s="66">
        <v>237.8777</v>
      </c>
      <c r="K79" s="66">
        <v>159.37799999999999</v>
      </c>
      <c r="L79" s="66">
        <v>0</v>
      </c>
      <c r="M79" s="66">
        <v>78.499700000000004</v>
      </c>
      <c r="N79" s="67">
        <v>100</v>
      </c>
      <c r="O79" s="67">
        <v>100</v>
      </c>
      <c r="P79" s="67">
        <v>33.000024802661201</v>
      </c>
      <c r="Q79" s="187">
        <v>1.4968596000000001</v>
      </c>
      <c r="R79" s="67">
        <v>-6.6613381477509392E-15</v>
      </c>
    </row>
    <row r="80" spans="1:18" ht="15.6" x14ac:dyDescent="0.3">
      <c r="A80" s="169">
        <v>68</v>
      </c>
      <c r="B80" s="205" t="s">
        <v>182</v>
      </c>
      <c r="C80" s="66">
        <v>158.089</v>
      </c>
      <c r="D80" s="66">
        <v>0</v>
      </c>
      <c r="E80" s="66">
        <v>772.70914600000003</v>
      </c>
      <c r="F80" s="66">
        <v>158.089</v>
      </c>
      <c r="G80" s="66">
        <v>614.62014599999998</v>
      </c>
      <c r="H80" s="66">
        <v>158.089</v>
      </c>
      <c r="I80" s="66">
        <v>8.2815420000000001E-2</v>
      </c>
      <c r="J80" s="66">
        <v>772.70914600000003</v>
      </c>
      <c r="K80" s="66">
        <v>158.089</v>
      </c>
      <c r="L80" s="66">
        <v>0</v>
      </c>
      <c r="M80" s="66">
        <v>614.62014599999998</v>
      </c>
      <c r="N80" s="67">
        <v>100</v>
      </c>
      <c r="O80" s="67">
        <v>100</v>
      </c>
      <c r="P80" s="67">
        <v>79.540943598459748</v>
      </c>
      <c r="Q80" s="187">
        <v>8.2815420000000001E-2</v>
      </c>
      <c r="R80" s="67">
        <v>2.8588242884097781E-15</v>
      </c>
    </row>
    <row r="81" spans="1:18" ht="31.2" x14ac:dyDescent="0.3">
      <c r="A81" s="169">
        <v>69</v>
      </c>
      <c r="B81" s="213" t="s">
        <v>300</v>
      </c>
      <c r="C81" s="66">
        <v>0</v>
      </c>
      <c r="D81" s="66">
        <v>0</v>
      </c>
      <c r="E81" s="66">
        <v>0</v>
      </c>
      <c r="F81" s="66">
        <v>0</v>
      </c>
      <c r="G81" s="66">
        <v>0</v>
      </c>
      <c r="H81" s="66">
        <v>0</v>
      </c>
      <c r="I81" s="66">
        <v>0</v>
      </c>
      <c r="J81" s="66">
        <v>0</v>
      </c>
      <c r="K81" s="66">
        <v>0</v>
      </c>
      <c r="L81" s="66">
        <v>0</v>
      </c>
      <c r="M81" s="66">
        <v>0</v>
      </c>
      <c r="N81" s="67" t="s">
        <v>1230</v>
      </c>
      <c r="O81" s="67" t="s">
        <v>1230</v>
      </c>
      <c r="P81" s="67">
        <v>0</v>
      </c>
      <c r="Q81" s="187">
        <v>0</v>
      </c>
      <c r="R81" s="67">
        <v>0</v>
      </c>
    </row>
    <row r="82" spans="1:18" ht="31.2" x14ac:dyDescent="0.3">
      <c r="A82" s="169">
        <v>70</v>
      </c>
      <c r="B82" s="213" t="s">
        <v>301</v>
      </c>
      <c r="C82" s="66">
        <v>0</v>
      </c>
      <c r="D82" s="66">
        <v>0</v>
      </c>
      <c r="E82" s="66">
        <v>0</v>
      </c>
      <c r="F82" s="66">
        <v>0</v>
      </c>
      <c r="G82" s="66">
        <v>0</v>
      </c>
      <c r="H82" s="66">
        <v>0</v>
      </c>
      <c r="I82" s="66">
        <v>0</v>
      </c>
      <c r="J82" s="66">
        <v>0</v>
      </c>
      <c r="K82" s="66">
        <v>0</v>
      </c>
      <c r="L82" s="66">
        <v>0</v>
      </c>
      <c r="M82" s="66">
        <v>0</v>
      </c>
      <c r="N82" s="67" t="s">
        <v>1230</v>
      </c>
      <c r="O82" s="67" t="s">
        <v>1230</v>
      </c>
      <c r="P82" s="67">
        <v>0</v>
      </c>
      <c r="Q82" s="187">
        <v>0</v>
      </c>
      <c r="R82" s="67">
        <v>0</v>
      </c>
    </row>
    <row r="83" spans="1:18" ht="15.6" x14ac:dyDescent="0.3">
      <c r="A83" s="215">
        <v>71</v>
      </c>
      <c r="B83" s="205" t="s">
        <v>189</v>
      </c>
      <c r="C83" s="66">
        <v>249.87639999999999</v>
      </c>
      <c r="D83" s="66">
        <v>0</v>
      </c>
      <c r="E83" s="66">
        <v>308.48939999999999</v>
      </c>
      <c r="F83" s="66">
        <v>249.87639999999999</v>
      </c>
      <c r="G83" s="66">
        <v>58.613</v>
      </c>
      <c r="H83" s="66">
        <v>249.4592035</v>
      </c>
      <c r="I83" s="66">
        <v>6.2781498400000002</v>
      </c>
      <c r="J83" s="66">
        <v>307.97434256000003</v>
      </c>
      <c r="K83" s="66">
        <v>249.4592035</v>
      </c>
      <c r="L83" s="66">
        <v>0</v>
      </c>
      <c r="M83" s="66">
        <v>58.515139060000003</v>
      </c>
      <c r="N83" s="67">
        <v>99.833038854409622</v>
      </c>
      <c r="O83" s="67">
        <v>99.83303884803712</v>
      </c>
      <c r="P83" s="67">
        <v>19.000004537261088</v>
      </c>
      <c r="Q83" s="187">
        <v>6.2781498400000002</v>
      </c>
      <c r="R83" s="67">
        <v>-2.6645352591003757E-15</v>
      </c>
    </row>
    <row r="84" spans="1:18" s="62" customFormat="1" ht="15.6" x14ac:dyDescent="0.3">
      <c r="A84" s="202">
        <v>72</v>
      </c>
      <c r="B84" s="203" t="s">
        <v>192</v>
      </c>
      <c r="C84" s="61">
        <v>2320.4800999999998</v>
      </c>
      <c r="D84" s="61">
        <v>0</v>
      </c>
      <c r="E84" s="61">
        <v>3009.8679563300002</v>
      </c>
      <c r="F84" s="61">
        <v>2320.4800999999998</v>
      </c>
      <c r="G84" s="61">
        <v>689.38785632999998</v>
      </c>
      <c r="H84" s="61">
        <v>2317.9150384899999</v>
      </c>
      <c r="I84" s="61">
        <v>24.947080200000002</v>
      </c>
      <c r="J84" s="61">
        <v>3006.5934764700005</v>
      </c>
      <c r="K84" s="61">
        <v>2317.9150384899999</v>
      </c>
      <c r="L84" s="61">
        <v>0</v>
      </c>
      <c r="M84" s="61">
        <v>688.67843798000001</v>
      </c>
      <c r="N84" s="61">
        <v>99.889459879013828</v>
      </c>
      <c r="O84" s="61">
        <v>99.897094452203348</v>
      </c>
      <c r="P84" s="61">
        <v>22.905605409234369</v>
      </c>
      <c r="Q84" s="61">
        <v>24.893232399999995</v>
      </c>
      <c r="R84" s="61">
        <v>5.3847800000024232E-2</v>
      </c>
    </row>
    <row r="85" spans="1:18" ht="15.6" x14ac:dyDescent="0.3">
      <c r="A85" s="169">
        <v>73</v>
      </c>
      <c r="B85" s="205" t="s">
        <v>195</v>
      </c>
      <c r="C85" s="66">
        <v>18.426300000000001</v>
      </c>
      <c r="D85" s="66">
        <v>0</v>
      </c>
      <c r="E85" s="66">
        <v>19.396105260000002</v>
      </c>
      <c r="F85" s="66">
        <v>18.426300000000001</v>
      </c>
      <c r="G85" s="66">
        <v>0.96980526</v>
      </c>
      <c r="H85" s="66">
        <v>18.426300000000001</v>
      </c>
      <c r="I85" s="66">
        <v>0</v>
      </c>
      <c r="J85" s="66">
        <v>19.396105260000002</v>
      </c>
      <c r="K85" s="66">
        <v>18.426300000000001</v>
      </c>
      <c r="L85" s="66">
        <v>0</v>
      </c>
      <c r="M85" s="66">
        <v>0.96980526</v>
      </c>
      <c r="N85" s="67">
        <v>100</v>
      </c>
      <c r="O85" s="67">
        <v>100</v>
      </c>
      <c r="P85" s="67">
        <v>4.9999999845329768</v>
      </c>
      <c r="Q85" s="187">
        <v>0</v>
      </c>
      <c r="R85" s="67">
        <v>0</v>
      </c>
    </row>
    <row r="86" spans="1:18" ht="15.6" x14ac:dyDescent="0.3">
      <c r="A86" s="169">
        <v>74</v>
      </c>
      <c r="B86" s="205" t="s">
        <v>201</v>
      </c>
      <c r="C86" s="66">
        <v>6.3112000000000004</v>
      </c>
      <c r="D86" s="66">
        <v>0</v>
      </c>
      <c r="E86" s="66">
        <v>6.6433689999999999</v>
      </c>
      <c r="F86" s="66">
        <v>6.3112000000000004</v>
      </c>
      <c r="G86" s="66">
        <v>0.33216899999999999</v>
      </c>
      <c r="H86" s="66">
        <v>6.3112000000000004</v>
      </c>
      <c r="I86" s="66">
        <v>0</v>
      </c>
      <c r="J86" s="66">
        <v>6.6433689999999999</v>
      </c>
      <c r="K86" s="66">
        <v>6.3112000000000004</v>
      </c>
      <c r="L86" s="66">
        <v>0</v>
      </c>
      <c r="M86" s="66">
        <v>0.33216899999999999</v>
      </c>
      <c r="N86" s="67">
        <v>100</v>
      </c>
      <c r="O86" s="67">
        <v>100</v>
      </c>
      <c r="P86" s="67">
        <v>5.0000082789319693</v>
      </c>
      <c r="Q86" s="187">
        <v>0</v>
      </c>
      <c r="R86" s="67">
        <v>0</v>
      </c>
    </row>
    <row r="87" spans="1:18" ht="15.6" x14ac:dyDescent="0.3">
      <c r="A87" s="169">
        <v>75</v>
      </c>
      <c r="B87" s="205" t="s">
        <v>204</v>
      </c>
      <c r="C87" s="66">
        <v>40.991500000000002</v>
      </c>
      <c r="D87" s="66">
        <v>0</v>
      </c>
      <c r="E87" s="66">
        <v>45.046999999999997</v>
      </c>
      <c r="F87" s="66">
        <v>40.991500000000002</v>
      </c>
      <c r="G87" s="66">
        <v>4.0555000000000003</v>
      </c>
      <c r="H87" s="66">
        <v>40.991500000000002</v>
      </c>
      <c r="I87" s="66">
        <v>0.22403587</v>
      </c>
      <c r="J87" s="66">
        <v>45.046999999999997</v>
      </c>
      <c r="K87" s="66">
        <v>40.991500000000002</v>
      </c>
      <c r="L87" s="66">
        <v>0</v>
      </c>
      <c r="M87" s="66">
        <v>4.0555000000000003</v>
      </c>
      <c r="N87" s="67">
        <v>100</v>
      </c>
      <c r="O87" s="67">
        <v>100</v>
      </c>
      <c r="P87" s="67">
        <v>9.0028192776433524</v>
      </c>
      <c r="Q87" s="187">
        <v>0.22403587</v>
      </c>
      <c r="R87" s="67">
        <v>1.5820678100908481E-15</v>
      </c>
    </row>
    <row r="88" spans="1:18" ht="15.6" x14ac:dyDescent="0.3">
      <c r="A88" s="169">
        <v>76</v>
      </c>
      <c r="B88" s="205" t="s">
        <v>207</v>
      </c>
      <c r="C88" s="66">
        <v>830.07669999999996</v>
      </c>
      <c r="D88" s="66">
        <v>0</v>
      </c>
      <c r="E88" s="66">
        <v>892.55559140000003</v>
      </c>
      <c r="F88" s="66">
        <v>830.07669999999996</v>
      </c>
      <c r="G88" s="66">
        <v>62.478891400000002</v>
      </c>
      <c r="H88" s="66">
        <v>830.07669999999996</v>
      </c>
      <c r="I88" s="66">
        <v>2.1174716</v>
      </c>
      <c r="J88" s="66">
        <v>892.55559140000003</v>
      </c>
      <c r="K88" s="66">
        <v>830.07669999999996</v>
      </c>
      <c r="L88" s="66">
        <v>0</v>
      </c>
      <c r="M88" s="66">
        <v>62.478891400000002</v>
      </c>
      <c r="N88" s="67">
        <v>100</v>
      </c>
      <c r="O88" s="67">
        <v>100</v>
      </c>
      <c r="P88" s="67">
        <v>7.0000000002240759</v>
      </c>
      <c r="Q88" s="187">
        <v>2.1050163</v>
      </c>
      <c r="R88" s="67">
        <v>1.2455300000044467E-2</v>
      </c>
    </row>
    <row r="89" spans="1:18" ht="15.6" x14ac:dyDescent="0.3">
      <c r="A89" s="169">
        <v>77</v>
      </c>
      <c r="B89" s="205" t="s">
        <v>213</v>
      </c>
      <c r="C89" s="66">
        <v>233.62</v>
      </c>
      <c r="D89" s="66">
        <v>0</v>
      </c>
      <c r="E89" s="66">
        <v>599.77650000000006</v>
      </c>
      <c r="F89" s="66">
        <v>233.62</v>
      </c>
      <c r="G89" s="66">
        <v>366.15649999999999</v>
      </c>
      <c r="H89" s="66">
        <v>233.62</v>
      </c>
      <c r="I89" s="66">
        <v>1.4905245600000001</v>
      </c>
      <c r="J89" s="66">
        <v>599.77650000000006</v>
      </c>
      <c r="K89" s="66">
        <v>233.62</v>
      </c>
      <c r="L89" s="66">
        <v>0</v>
      </c>
      <c r="M89" s="66">
        <v>366.15649999999999</v>
      </c>
      <c r="N89" s="67">
        <v>100</v>
      </c>
      <c r="O89" s="67">
        <v>100</v>
      </c>
      <c r="P89" s="67">
        <v>61.048824020280875</v>
      </c>
      <c r="Q89" s="187">
        <v>1.4905245600000001</v>
      </c>
      <c r="R89" s="67">
        <v>1.1324274851176597E-14</v>
      </c>
    </row>
    <row r="90" spans="1:18" ht="15.6" x14ac:dyDescent="0.3">
      <c r="A90" s="169">
        <v>78</v>
      </c>
      <c r="B90" s="205" t="s">
        <v>216</v>
      </c>
      <c r="C90" s="66">
        <v>113.2834</v>
      </c>
      <c r="D90" s="66">
        <v>0</v>
      </c>
      <c r="E90" s="66">
        <v>143.39680000000001</v>
      </c>
      <c r="F90" s="66">
        <v>113.2834</v>
      </c>
      <c r="G90" s="66">
        <v>30.113399999999999</v>
      </c>
      <c r="H90" s="66">
        <v>113.2834</v>
      </c>
      <c r="I90" s="66">
        <v>0</v>
      </c>
      <c r="J90" s="66">
        <v>143.39680000000001</v>
      </c>
      <c r="K90" s="66">
        <v>113.2834</v>
      </c>
      <c r="L90" s="66">
        <v>0</v>
      </c>
      <c r="M90" s="66">
        <v>30.113399999999999</v>
      </c>
      <c r="N90" s="67">
        <v>100</v>
      </c>
      <c r="O90" s="67">
        <v>100</v>
      </c>
      <c r="P90" s="67">
        <v>21.000050210325472</v>
      </c>
      <c r="Q90" s="187">
        <v>0</v>
      </c>
      <c r="R90" s="67">
        <v>0</v>
      </c>
    </row>
    <row r="91" spans="1:18" ht="15.6" x14ac:dyDescent="0.3">
      <c r="A91" s="169">
        <v>79</v>
      </c>
      <c r="B91" s="205" t="s">
        <v>219</v>
      </c>
      <c r="C91" s="66">
        <v>133.70269999999999</v>
      </c>
      <c r="D91" s="66">
        <v>0</v>
      </c>
      <c r="E91" s="66">
        <v>161.08759036000001</v>
      </c>
      <c r="F91" s="66">
        <v>133.70269999999999</v>
      </c>
      <c r="G91" s="66">
        <v>27.38489036</v>
      </c>
      <c r="H91" s="66">
        <v>133.52063453</v>
      </c>
      <c r="I91" s="66">
        <v>0</v>
      </c>
      <c r="J91" s="66">
        <v>160.86823437000001</v>
      </c>
      <c r="K91" s="66">
        <v>133.52063453</v>
      </c>
      <c r="L91" s="66">
        <v>0</v>
      </c>
      <c r="M91" s="66">
        <v>27.347599840000001</v>
      </c>
      <c r="N91" s="67">
        <v>99.863828127629432</v>
      </c>
      <c r="O91" s="67">
        <v>99.863828120142969</v>
      </c>
      <c r="P91" s="67">
        <v>16.999999998197282</v>
      </c>
      <c r="Q91" s="187">
        <v>0</v>
      </c>
      <c r="R91" s="67">
        <v>0</v>
      </c>
    </row>
    <row r="92" spans="1:18" ht="15.6" x14ac:dyDescent="0.3">
      <c r="A92" s="169">
        <v>80</v>
      </c>
      <c r="B92" s="205" t="s">
        <v>222</v>
      </c>
      <c r="C92" s="66">
        <v>345.14670000000001</v>
      </c>
      <c r="D92" s="66">
        <v>0</v>
      </c>
      <c r="E92" s="66">
        <v>442.49579438999996</v>
      </c>
      <c r="F92" s="66">
        <v>345.14670000000001</v>
      </c>
      <c r="G92" s="66">
        <v>97.349094390000005</v>
      </c>
      <c r="H92" s="66">
        <v>342.76370395999999</v>
      </c>
      <c r="I92" s="66">
        <v>15.6374739</v>
      </c>
      <c r="J92" s="66">
        <v>439.44067051999997</v>
      </c>
      <c r="K92" s="66">
        <v>342.76370395999999</v>
      </c>
      <c r="L92" s="66">
        <v>0</v>
      </c>
      <c r="M92" s="66">
        <v>96.676966559999997</v>
      </c>
      <c r="N92" s="67">
        <v>99.309570092948874</v>
      </c>
      <c r="O92" s="67">
        <v>99.309569509391295</v>
      </c>
      <c r="P92" s="67">
        <v>22.000004334054921</v>
      </c>
      <c r="Q92" s="187">
        <v>15.6374739</v>
      </c>
      <c r="R92" s="67">
        <v>-2.4868995751603507E-14</v>
      </c>
    </row>
    <row r="93" spans="1:18" ht="15.6" x14ac:dyDescent="0.3">
      <c r="A93" s="169">
        <v>81</v>
      </c>
      <c r="B93" s="205" t="s">
        <v>225</v>
      </c>
      <c r="C93" s="66">
        <v>526.38189999999997</v>
      </c>
      <c r="D93" s="66">
        <v>0</v>
      </c>
      <c r="E93" s="66">
        <v>612.07197699999995</v>
      </c>
      <c r="F93" s="66">
        <v>526.38189999999997</v>
      </c>
      <c r="G93" s="66">
        <v>85.690077000000002</v>
      </c>
      <c r="H93" s="66">
        <v>526.38189999999997</v>
      </c>
      <c r="I93" s="66">
        <v>5.4775742699999999</v>
      </c>
      <c r="J93" s="66">
        <v>612.07197699999995</v>
      </c>
      <c r="K93" s="66">
        <v>526.38189999999997</v>
      </c>
      <c r="L93" s="66">
        <v>0</v>
      </c>
      <c r="M93" s="66">
        <v>85.690077000000002</v>
      </c>
      <c r="N93" s="67">
        <v>100</v>
      </c>
      <c r="O93" s="67">
        <v>100</v>
      </c>
      <c r="P93" s="67">
        <v>14.000000035943486</v>
      </c>
      <c r="Q93" s="187">
        <v>5.4361817699999992</v>
      </c>
      <c r="R93" s="67">
        <v>4.1392499999991728E-2</v>
      </c>
    </row>
    <row r="94" spans="1:18" ht="15.6" x14ac:dyDescent="0.3">
      <c r="A94" s="169">
        <v>82</v>
      </c>
      <c r="B94" s="205" t="s">
        <v>228</v>
      </c>
      <c r="C94" s="66">
        <v>72.539699999999996</v>
      </c>
      <c r="D94" s="66">
        <v>0</v>
      </c>
      <c r="E94" s="66">
        <v>87.397228920000003</v>
      </c>
      <c r="F94" s="66">
        <v>72.539699999999996</v>
      </c>
      <c r="G94" s="66">
        <v>14.85752892</v>
      </c>
      <c r="H94" s="66">
        <v>72.539699999999996</v>
      </c>
      <c r="I94" s="66">
        <v>0</v>
      </c>
      <c r="J94" s="66">
        <v>87.397228920000003</v>
      </c>
      <c r="K94" s="66">
        <v>72.539699999999996</v>
      </c>
      <c r="L94" s="66">
        <v>0</v>
      </c>
      <c r="M94" s="66">
        <v>14.85752892</v>
      </c>
      <c r="N94" s="67">
        <v>100</v>
      </c>
      <c r="O94" s="67">
        <v>100</v>
      </c>
      <c r="P94" s="67">
        <v>17.000000004119123</v>
      </c>
      <c r="Q94" s="187">
        <v>0</v>
      </c>
      <c r="R94" s="67">
        <v>0</v>
      </c>
    </row>
    <row r="95" spans="1:18" s="62" customFormat="1" ht="15.6" x14ac:dyDescent="0.3">
      <c r="A95" s="202">
        <v>83</v>
      </c>
      <c r="B95" s="203" t="s">
        <v>231</v>
      </c>
      <c r="C95" s="61">
        <v>258.76569999999998</v>
      </c>
      <c r="D95" s="61">
        <v>0</v>
      </c>
      <c r="E95" s="61">
        <v>298.23598061999996</v>
      </c>
      <c r="F95" s="61">
        <v>258.76569999999998</v>
      </c>
      <c r="G95" s="61">
        <v>39.470280619999997</v>
      </c>
      <c r="H95" s="61">
        <v>258.76217285000001</v>
      </c>
      <c r="I95" s="61">
        <v>5.4250859099999991</v>
      </c>
      <c r="J95" s="61">
        <v>298.03438207000005</v>
      </c>
      <c r="K95" s="61">
        <v>258.57659235</v>
      </c>
      <c r="L95" s="61">
        <v>0</v>
      </c>
      <c r="M95" s="61">
        <v>39.457789719999994</v>
      </c>
      <c r="N95" s="61">
        <v>99.926919352139805</v>
      </c>
      <c r="O95" s="61">
        <v>99.968353657983172</v>
      </c>
      <c r="P95" s="61">
        <v>13.239341530311242</v>
      </c>
      <c r="Q95" s="61">
        <v>5.4250859099999991</v>
      </c>
      <c r="R95" s="61">
        <v>0.18558049999999782</v>
      </c>
    </row>
    <row r="96" spans="1:18" s="62" customFormat="1" ht="15.6" x14ac:dyDescent="0.3">
      <c r="A96" s="169">
        <v>84</v>
      </c>
      <c r="B96" s="205" t="s">
        <v>198</v>
      </c>
      <c r="C96" s="66">
        <v>32.887799999999999</v>
      </c>
      <c r="D96" s="66">
        <v>0</v>
      </c>
      <c r="E96" s="66">
        <v>34.98702128</v>
      </c>
      <c r="F96" s="66">
        <v>32.887799999999999</v>
      </c>
      <c r="G96" s="66">
        <v>2.0992212799999996</v>
      </c>
      <c r="H96" s="66">
        <v>32.887799999999999</v>
      </c>
      <c r="I96" s="66">
        <v>0.64205160999999999</v>
      </c>
      <c r="J96" s="66">
        <v>34.98702128</v>
      </c>
      <c r="K96" s="66">
        <v>32.887799999999999</v>
      </c>
      <c r="L96" s="66">
        <v>0</v>
      </c>
      <c r="M96" s="66">
        <v>2.0992212799999996</v>
      </c>
      <c r="N96" s="67">
        <v>100</v>
      </c>
      <c r="O96" s="67">
        <v>100</v>
      </c>
      <c r="P96" s="67">
        <v>6.0000000091462473</v>
      </c>
      <c r="Q96" s="187">
        <v>0.64205160999999999</v>
      </c>
      <c r="R96" s="67">
        <v>2.886579864025407E-15</v>
      </c>
    </row>
    <row r="97" spans="1:18" ht="15.6" x14ac:dyDescent="0.3">
      <c r="A97" s="169">
        <v>85</v>
      </c>
      <c r="B97" s="205" t="s">
        <v>234</v>
      </c>
      <c r="C97" s="66">
        <v>23.791599999999999</v>
      </c>
      <c r="D97" s="66">
        <v>0</v>
      </c>
      <c r="E97" s="66">
        <v>25.860434999999999</v>
      </c>
      <c r="F97" s="66">
        <v>23.791599999999999</v>
      </c>
      <c r="G97" s="66">
        <v>2.068835</v>
      </c>
      <c r="H97" s="66">
        <v>23.791599999999999</v>
      </c>
      <c r="I97" s="66">
        <v>0</v>
      </c>
      <c r="J97" s="66">
        <v>25.860434999999999</v>
      </c>
      <c r="K97" s="66">
        <v>23.791599999999999</v>
      </c>
      <c r="L97" s="66">
        <v>0</v>
      </c>
      <c r="M97" s="66">
        <v>2.068835</v>
      </c>
      <c r="N97" s="67">
        <v>100</v>
      </c>
      <c r="O97" s="67">
        <v>100</v>
      </c>
      <c r="P97" s="67">
        <v>8.0000007733821956</v>
      </c>
      <c r="Q97" s="187">
        <v>0</v>
      </c>
      <c r="R97" s="67">
        <v>0</v>
      </c>
    </row>
    <row r="98" spans="1:18" s="126" customFormat="1" ht="15.6" x14ac:dyDescent="0.3">
      <c r="A98" s="169">
        <v>86</v>
      </c>
      <c r="B98" s="205" t="s">
        <v>210</v>
      </c>
      <c r="C98" s="66">
        <v>34.916899999999998</v>
      </c>
      <c r="D98" s="66">
        <v>0</v>
      </c>
      <c r="E98" s="66">
        <v>37.145638299999995</v>
      </c>
      <c r="F98" s="66">
        <v>34.916899999999998</v>
      </c>
      <c r="G98" s="66">
        <v>2.2287382999999998</v>
      </c>
      <c r="H98" s="66">
        <v>34.916899999999998</v>
      </c>
      <c r="I98" s="66">
        <v>0.26547347999999998</v>
      </c>
      <c r="J98" s="66">
        <v>36.948212240000004</v>
      </c>
      <c r="K98" s="66">
        <v>34.731319499999998</v>
      </c>
      <c r="L98" s="66">
        <v>0</v>
      </c>
      <c r="M98" s="66">
        <v>2.21689274</v>
      </c>
      <c r="N98" s="67">
        <v>99.46850808634214</v>
      </c>
      <c r="O98" s="67">
        <v>99.4685082586861</v>
      </c>
      <c r="P98" s="67">
        <v>6.0000000151563482</v>
      </c>
      <c r="Q98" s="187">
        <v>0.26547347999999998</v>
      </c>
      <c r="R98" s="67">
        <v>0.18558049999999754</v>
      </c>
    </row>
    <row r="99" spans="1:18" ht="15.6" x14ac:dyDescent="0.3">
      <c r="A99" s="169">
        <v>87</v>
      </c>
      <c r="B99" s="205" t="s">
        <v>237</v>
      </c>
      <c r="C99" s="66">
        <v>6.3766999999999996</v>
      </c>
      <c r="D99" s="66">
        <v>0</v>
      </c>
      <c r="E99" s="66">
        <v>6.7123157899999999</v>
      </c>
      <c r="F99" s="66">
        <v>6.3766999999999996</v>
      </c>
      <c r="G99" s="66">
        <v>0.33561578999999997</v>
      </c>
      <c r="H99" s="66">
        <v>6.3766999999999996</v>
      </c>
      <c r="I99" s="66">
        <v>6.1218980000000006E-2</v>
      </c>
      <c r="J99" s="66">
        <v>6.7123157899999999</v>
      </c>
      <c r="K99" s="66">
        <v>6.3766999999999996</v>
      </c>
      <c r="L99" s="66">
        <v>0</v>
      </c>
      <c r="M99" s="66">
        <v>0.33561578999999997</v>
      </c>
      <c r="N99" s="67">
        <v>100</v>
      </c>
      <c r="O99" s="67">
        <v>100</v>
      </c>
      <c r="P99" s="67">
        <v>5.0000000074489934</v>
      </c>
      <c r="Q99" s="187">
        <v>6.1218980000000006E-2</v>
      </c>
      <c r="R99" s="67">
        <v>-4.163336342344337E-16</v>
      </c>
    </row>
    <row r="100" spans="1:18" ht="15.6" x14ac:dyDescent="0.3">
      <c r="A100" s="169">
        <v>88</v>
      </c>
      <c r="B100" s="205" t="s">
        <v>240</v>
      </c>
      <c r="C100" s="66">
        <v>77.182699999999997</v>
      </c>
      <c r="D100" s="66">
        <v>0</v>
      </c>
      <c r="E100" s="66">
        <v>87.707613640000005</v>
      </c>
      <c r="F100" s="66">
        <v>77.182699999999997</v>
      </c>
      <c r="G100" s="66">
        <v>10.524913640000001</v>
      </c>
      <c r="H100" s="66">
        <v>77.182699999999997</v>
      </c>
      <c r="I100" s="66">
        <v>4.3254085199999999</v>
      </c>
      <c r="J100" s="66">
        <v>87.707613640000005</v>
      </c>
      <c r="K100" s="66">
        <v>77.182699999999997</v>
      </c>
      <c r="L100" s="66">
        <v>0</v>
      </c>
      <c r="M100" s="66">
        <v>10.524913640000001</v>
      </c>
      <c r="N100" s="67">
        <v>100</v>
      </c>
      <c r="O100" s="67">
        <v>100</v>
      </c>
      <c r="P100" s="67">
        <v>12.000000003648486</v>
      </c>
      <c r="Q100" s="187">
        <v>4.3254085199999999</v>
      </c>
      <c r="R100" s="67">
        <v>-3.5527136788005009E-15</v>
      </c>
    </row>
    <row r="101" spans="1:18" ht="15.6" x14ac:dyDescent="0.3">
      <c r="A101" s="169">
        <v>89</v>
      </c>
      <c r="B101" s="205" t="s">
        <v>243</v>
      </c>
      <c r="C101" s="66">
        <v>10.17</v>
      </c>
      <c r="D101" s="66">
        <v>0</v>
      </c>
      <c r="E101" s="66">
        <v>12.107150000000001</v>
      </c>
      <c r="F101" s="66">
        <v>10.17</v>
      </c>
      <c r="G101" s="66">
        <v>1.9371499999999999</v>
      </c>
      <c r="H101" s="66">
        <v>10.166806960000001</v>
      </c>
      <c r="I101" s="66">
        <v>9.7811049999999997E-2</v>
      </c>
      <c r="J101" s="66">
        <v>12.103348739999999</v>
      </c>
      <c r="K101" s="66">
        <v>10.166806960000001</v>
      </c>
      <c r="L101" s="66">
        <v>0</v>
      </c>
      <c r="M101" s="66">
        <v>1.93654178</v>
      </c>
      <c r="N101" s="67">
        <v>99.96860334316618</v>
      </c>
      <c r="O101" s="67">
        <v>99.968602328162518</v>
      </c>
      <c r="P101" s="67">
        <v>16.000049421033207</v>
      </c>
      <c r="Q101" s="187">
        <v>9.7811049999999997E-2</v>
      </c>
      <c r="R101" s="67">
        <v>6.8001160258290838E-16</v>
      </c>
    </row>
    <row r="102" spans="1:18" ht="15.6" x14ac:dyDescent="0.3">
      <c r="A102" s="169">
        <v>90</v>
      </c>
      <c r="B102" s="205" t="s">
        <v>246</v>
      </c>
      <c r="C102" s="66">
        <v>60.846200000000003</v>
      </c>
      <c r="D102" s="66">
        <v>0</v>
      </c>
      <c r="E102" s="66">
        <v>71.583764709999997</v>
      </c>
      <c r="F102" s="66">
        <v>60.846200000000003</v>
      </c>
      <c r="G102" s="66">
        <v>10.737564710000001</v>
      </c>
      <c r="H102" s="66">
        <v>60.846200000000003</v>
      </c>
      <c r="I102" s="66">
        <v>3.1939999999999998E-3</v>
      </c>
      <c r="J102" s="66">
        <v>71.583764709999997</v>
      </c>
      <c r="K102" s="66">
        <v>60.846200000000003</v>
      </c>
      <c r="L102" s="66">
        <v>0</v>
      </c>
      <c r="M102" s="66">
        <v>10.737564710000001</v>
      </c>
      <c r="N102" s="67">
        <v>100</v>
      </c>
      <c r="O102" s="67">
        <v>100</v>
      </c>
      <c r="P102" s="67">
        <v>15.00000000488938</v>
      </c>
      <c r="Q102" s="187">
        <v>3.1939999999999998E-3</v>
      </c>
      <c r="R102" s="67">
        <v>5.8546917314217239E-16</v>
      </c>
    </row>
    <row r="103" spans="1:18" ht="15.6" x14ac:dyDescent="0.3">
      <c r="A103" s="169">
        <v>91</v>
      </c>
      <c r="B103" s="205" t="s">
        <v>249</v>
      </c>
      <c r="C103" s="66">
        <v>1.8078000000000001</v>
      </c>
      <c r="D103" s="66">
        <v>0</v>
      </c>
      <c r="E103" s="66">
        <v>1.9865999999999999</v>
      </c>
      <c r="F103" s="66">
        <v>1.8078000000000001</v>
      </c>
      <c r="G103" s="66">
        <v>0.17879999999999999</v>
      </c>
      <c r="H103" s="66">
        <v>1.8078000000000001</v>
      </c>
      <c r="I103" s="66">
        <v>0</v>
      </c>
      <c r="J103" s="66">
        <v>1.9865999999999999</v>
      </c>
      <c r="K103" s="66">
        <v>1.8078000000000001</v>
      </c>
      <c r="L103" s="66">
        <v>0</v>
      </c>
      <c r="M103" s="66">
        <v>0.17879999999999999</v>
      </c>
      <c r="N103" s="67">
        <v>100</v>
      </c>
      <c r="O103" s="67">
        <v>100</v>
      </c>
      <c r="P103" s="67">
        <v>9.0003020235578362</v>
      </c>
      <c r="Q103" s="187">
        <v>0</v>
      </c>
      <c r="R103" s="67">
        <v>0</v>
      </c>
    </row>
    <row r="104" spans="1:18" ht="15.6" x14ac:dyDescent="0.3">
      <c r="A104" s="169">
        <v>92</v>
      </c>
      <c r="B104" s="205" t="s">
        <v>252</v>
      </c>
      <c r="C104" s="66">
        <v>6.7198000000000002</v>
      </c>
      <c r="D104" s="66">
        <v>0</v>
      </c>
      <c r="E104" s="66">
        <v>15.627441900000001</v>
      </c>
      <c r="F104" s="66">
        <v>6.7198000000000002</v>
      </c>
      <c r="G104" s="66">
        <v>8.9076418999999998</v>
      </c>
      <c r="H104" s="66">
        <v>6.7198000000000002</v>
      </c>
      <c r="I104" s="66">
        <v>2.992827E-2</v>
      </c>
      <c r="J104" s="66">
        <v>15.627441900000001</v>
      </c>
      <c r="K104" s="66">
        <v>6.7198000000000002</v>
      </c>
      <c r="L104" s="66">
        <v>0</v>
      </c>
      <c r="M104" s="66">
        <v>8.9076418999999998</v>
      </c>
      <c r="N104" s="67">
        <v>100</v>
      </c>
      <c r="O104" s="67">
        <v>100</v>
      </c>
      <c r="P104" s="67">
        <v>57.000000108782999</v>
      </c>
      <c r="Q104" s="187">
        <v>2.992827E-2</v>
      </c>
      <c r="R104" s="67">
        <v>9.0205620750793969E-17</v>
      </c>
    </row>
    <row r="105" spans="1:18" ht="15.6" x14ac:dyDescent="0.3">
      <c r="A105" s="169">
        <v>93</v>
      </c>
      <c r="B105" s="205" t="s">
        <v>254</v>
      </c>
      <c r="C105" s="66">
        <v>4.0662000000000003</v>
      </c>
      <c r="D105" s="66">
        <v>0</v>
      </c>
      <c r="E105" s="66">
        <v>4.5179999999999998</v>
      </c>
      <c r="F105" s="66">
        <v>4.0662000000000003</v>
      </c>
      <c r="G105" s="66">
        <v>0.45179999999999998</v>
      </c>
      <c r="H105" s="66">
        <v>4.0658658900000004</v>
      </c>
      <c r="I105" s="66">
        <v>0</v>
      </c>
      <c r="J105" s="66">
        <v>4.51762877</v>
      </c>
      <c r="K105" s="66">
        <v>4.0658658900000004</v>
      </c>
      <c r="L105" s="66">
        <v>0</v>
      </c>
      <c r="M105" s="66">
        <v>0.45176287999999998</v>
      </c>
      <c r="N105" s="67">
        <v>99.991783237420691</v>
      </c>
      <c r="O105" s="67">
        <v>99.991783975210268</v>
      </c>
      <c r="P105" s="67">
        <v>10.000000066406518</v>
      </c>
      <c r="Q105" s="187">
        <v>0</v>
      </c>
      <c r="R105" s="67">
        <v>0</v>
      </c>
    </row>
    <row r="106" spans="1:18" ht="15.6" x14ac:dyDescent="0.3">
      <c r="A106" s="169">
        <v>94</v>
      </c>
      <c r="B106" s="205" t="s">
        <v>256</v>
      </c>
      <c r="C106" s="66">
        <v>0</v>
      </c>
      <c r="D106" s="66">
        <v>0</v>
      </c>
      <c r="E106" s="66">
        <v>0</v>
      </c>
      <c r="F106" s="66">
        <v>0</v>
      </c>
      <c r="G106" s="66">
        <v>0</v>
      </c>
      <c r="H106" s="66">
        <v>0</v>
      </c>
      <c r="I106" s="66">
        <v>0</v>
      </c>
      <c r="J106" s="66">
        <v>0</v>
      </c>
      <c r="K106" s="66">
        <v>0</v>
      </c>
      <c r="L106" s="66">
        <v>0</v>
      </c>
      <c r="M106" s="66">
        <v>0</v>
      </c>
      <c r="N106" s="67" t="s">
        <v>1230</v>
      </c>
      <c r="O106" s="67" t="s">
        <v>1230</v>
      </c>
      <c r="P106" s="67">
        <v>0</v>
      </c>
      <c r="Q106" s="187">
        <v>0</v>
      </c>
      <c r="R106" s="67">
        <v>0</v>
      </c>
    </row>
  </sheetData>
  <mergeCells count="18">
    <mergeCell ref="D5:E5"/>
    <mergeCell ref="J10:J11"/>
    <mergeCell ref="K10:M10"/>
    <mergeCell ref="J9:M9"/>
    <mergeCell ref="N9:O10"/>
    <mergeCell ref="A7:A11"/>
    <mergeCell ref="B7:B11"/>
    <mergeCell ref="C7:R8"/>
    <mergeCell ref="C9:C11"/>
    <mergeCell ref="D9:D11"/>
    <mergeCell ref="E9:G9"/>
    <mergeCell ref="H9:H11"/>
    <mergeCell ref="I9:I11"/>
    <mergeCell ref="E10:E11"/>
    <mergeCell ref="F10:G10"/>
    <mergeCell ref="P9:P11"/>
    <mergeCell ref="Q9:Q11"/>
    <mergeCell ref="R9:R11"/>
  </mergeCells>
  <printOptions horizontalCentered="1"/>
  <pageMargins left="0.11811023622047245" right="0.11811023622047245" top="0.35433070866141736" bottom="0.11811023622047245" header="0.31496062992125984" footer="0.31496062992125984"/>
  <pageSetup paperSize="9" scale="42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2"/>
  <dimension ref="A1:AQ106"/>
  <sheetViews>
    <sheetView view="pageBreakPreview" zoomScale="60" zoomScaleNormal="60" workbookViewId="0">
      <pane xSplit="2" ySplit="12" topLeftCell="C13" activePane="bottomRight" state="frozen"/>
      <selection activeCell="D21" sqref="D21"/>
      <selection pane="topRight" activeCell="D21" sqref="D21"/>
      <selection pane="bottomLeft" activeCell="D21" sqref="D21"/>
      <selection pane="bottomRight" activeCell="E14" sqref="E14"/>
    </sheetView>
  </sheetViews>
  <sheetFormatPr defaultRowHeight="14.4" outlineLevelCol="1" x14ac:dyDescent="0.3"/>
  <cols>
    <col min="1" max="1" width="5" customWidth="1"/>
    <col min="2" max="2" width="31" customWidth="1"/>
    <col min="3" max="4" width="18.6640625" customWidth="1"/>
    <col min="5" max="6" width="18.6640625" customWidth="1" outlineLevel="1"/>
    <col min="7" max="15" width="18.6640625" customWidth="1"/>
    <col min="16" max="18" width="18.6640625" customWidth="1" outlineLevel="1"/>
    <col min="19" max="19" width="12.5546875" hidden="1" customWidth="1"/>
    <col min="20" max="20" width="26.44140625" hidden="1" customWidth="1"/>
  </cols>
  <sheetData>
    <row r="1" spans="1:20" s="126" customFormat="1" ht="15.6" x14ac:dyDescent="0.3">
      <c r="B1" s="127"/>
    </row>
    <row r="2" spans="1:20" s="126" customFormat="1" ht="17.399999999999999" customHeight="1" x14ac:dyDescent="0.3">
      <c r="D2" s="252"/>
      <c r="E2" s="252"/>
      <c r="F2" s="252"/>
      <c r="G2" s="252"/>
      <c r="H2" s="252"/>
      <c r="I2" s="252"/>
      <c r="J2" s="252"/>
      <c r="K2" s="252"/>
      <c r="L2" s="252"/>
    </row>
    <row r="3" spans="1:20" s="126" customFormat="1" ht="20.25" customHeight="1" x14ac:dyDescent="0.35">
      <c r="A3" s="128"/>
      <c r="B3" s="128"/>
      <c r="C3" s="253"/>
      <c r="D3" s="253"/>
      <c r="E3" s="253"/>
      <c r="F3" s="253"/>
      <c r="G3" s="253"/>
      <c r="H3" s="253"/>
      <c r="I3" s="253"/>
      <c r="J3" s="253"/>
      <c r="K3" s="253"/>
      <c r="L3" s="253"/>
      <c r="M3" s="38"/>
      <c r="N3" s="38"/>
      <c r="O3" s="38"/>
      <c r="P3" s="38"/>
      <c r="S3" s="253"/>
      <c r="T3" s="253"/>
    </row>
    <row r="4" spans="1:20" s="126" customFormat="1" ht="20.25" customHeight="1" x14ac:dyDescent="0.35">
      <c r="A4" s="128"/>
      <c r="B4" s="128"/>
      <c r="D4" s="40"/>
      <c r="E4" s="40"/>
      <c r="F4" s="40"/>
      <c r="G4" s="40"/>
      <c r="H4" s="40"/>
      <c r="I4" s="40"/>
      <c r="J4" s="40"/>
      <c r="K4" s="40"/>
      <c r="L4" s="40"/>
      <c r="M4" s="38"/>
      <c r="N4" s="38"/>
      <c r="O4" s="38"/>
      <c r="P4" s="38"/>
      <c r="S4" s="39"/>
      <c r="T4" s="40"/>
    </row>
    <row r="5" spans="1:20" s="126" customFormat="1" ht="20.399999999999999" x14ac:dyDescent="0.35">
      <c r="A5" s="128"/>
      <c r="B5" s="128"/>
      <c r="D5" s="322" t="s">
        <v>1231</v>
      </c>
      <c r="E5" s="322"/>
      <c r="F5" s="257"/>
      <c r="G5" s="42"/>
      <c r="H5" s="43"/>
      <c r="I5" s="43"/>
      <c r="S5" s="128"/>
      <c r="T5" s="128"/>
    </row>
    <row r="6" spans="1:20" ht="17.399999999999999" x14ac:dyDescent="0.3">
      <c r="B6" s="44" t="s">
        <v>1229</v>
      </c>
      <c r="C6" s="76"/>
      <c r="Q6" s="76"/>
      <c r="R6" s="76"/>
      <c r="S6" s="4"/>
      <c r="T6" s="4"/>
    </row>
    <row r="7" spans="1:20" ht="15" customHeight="1" x14ac:dyDescent="0.3">
      <c r="A7" s="326" t="s">
        <v>284</v>
      </c>
      <c r="B7" s="326" t="s">
        <v>285</v>
      </c>
      <c r="C7" s="336" t="s">
        <v>1075</v>
      </c>
      <c r="D7" s="336"/>
      <c r="E7" s="336"/>
      <c r="F7" s="336"/>
      <c r="G7" s="336"/>
      <c r="H7" s="336"/>
      <c r="I7" s="336"/>
      <c r="J7" s="336"/>
      <c r="K7" s="336"/>
      <c r="L7" s="336"/>
      <c r="M7" s="336"/>
      <c r="N7" s="336"/>
      <c r="O7" s="336"/>
      <c r="P7" s="336"/>
      <c r="Q7" s="336"/>
      <c r="R7" s="336"/>
      <c r="S7" s="323"/>
      <c r="T7" s="324" t="s">
        <v>286</v>
      </c>
    </row>
    <row r="8" spans="1:20" ht="8.25" customHeight="1" x14ac:dyDescent="0.3">
      <c r="A8" s="326"/>
      <c r="B8" s="326"/>
      <c r="C8" s="336"/>
      <c r="D8" s="336"/>
      <c r="E8" s="336"/>
      <c r="F8" s="336"/>
      <c r="G8" s="336"/>
      <c r="H8" s="336"/>
      <c r="I8" s="336"/>
      <c r="J8" s="336"/>
      <c r="K8" s="336"/>
      <c r="L8" s="336"/>
      <c r="M8" s="336"/>
      <c r="N8" s="336"/>
      <c r="O8" s="336"/>
      <c r="P8" s="336"/>
      <c r="Q8" s="336"/>
      <c r="R8" s="336"/>
      <c r="S8" s="323"/>
      <c r="T8" s="324"/>
    </row>
    <row r="9" spans="1:20" ht="15" customHeight="1" x14ac:dyDescent="0.3">
      <c r="A9" s="326"/>
      <c r="B9" s="326"/>
      <c r="C9" s="265" t="s">
        <v>1052</v>
      </c>
      <c r="D9" s="302" t="s">
        <v>1053</v>
      </c>
      <c r="E9" s="302" t="s">
        <v>287</v>
      </c>
      <c r="F9" s="302"/>
      <c r="G9" s="302"/>
      <c r="H9" s="302" t="s">
        <v>312</v>
      </c>
      <c r="I9" s="302" t="s">
        <v>262</v>
      </c>
      <c r="J9" s="302" t="s">
        <v>288</v>
      </c>
      <c r="K9" s="302"/>
      <c r="L9" s="302"/>
      <c r="M9" s="302"/>
      <c r="N9" s="317" t="s">
        <v>289</v>
      </c>
      <c r="O9" s="317"/>
      <c r="P9" s="302" t="s">
        <v>290</v>
      </c>
      <c r="Q9" s="302" t="s">
        <v>266</v>
      </c>
      <c r="R9" s="302" t="s">
        <v>291</v>
      </c>
      <c r="S9" s="323"/>
      <c r="T9" s="325"/>
    </row>
    <row r="10" spans="1:20" ht="15" customHeight="1" x14ac:dyDescent="0.3">
      <c r="A10" s="326"/>
      <c r="B10" s="326"/>
      <c r="C10" s="265"/>
      <c r="D10" s="269"/>
      <c r="E10" s="269" t="s">
        <v>292</v>
      </c>
      <c r="F10" s="269" t="s">
        <v>293</v>
      </c>
      <c r="G10" s="269"/>
      <c r="H10" s="269"/>
      <c r="I10" s="269"/>
      <c r="J10" s="269" t="s">
        <v>292</v>
      </c>
      <c r="K10" s="269" t="s">
        <v>294</v>
      </c>
      <c r="L10" s="269"/>
      <c r="M10" s="269"/>
      <c r="N10" s="318"/>
      <c r="O10" s="318"/>
      <c r="P10" s="269"/>
      <c r="Q10" s="269"/>
      <c r="R10" s="269"/>
      <c r="S10" s="323"/>
      <c r="T10" s="325"/>
    </row>
    <row r="11" spans="1:20" ht="96.6" x14ac:dyDescent="0.3">
      <c r="A11" s="326"/>
      <c r="B11" s="326"/>
      <c r="C11" s="302"/>
      <c r="D11" s="269"/>
      <c r="E11" s="269"/>
      <c r="F11" s="99" t="s">
        <v>259</v>
      </c>
      <c r="G11" s="99" t="s">
        <v>260</v>
      </c>
      <c r="H11" s="269"/>
      <c r="I11" s="269"/>
      <c r="J11" s="269"/>
      <c r="K11" s="99" t="s">
        <v>264</v>
      </c>
      <c r="L11" s="99" t="s">
        <v>303</v>
      </c>
      <c r="M11" s="99" t="s">
        <v>260</v>
      </c>
      <c r="N11" s="99" t="s">
        <v>911</v>
      </c>
      <c r="O11" s="99" t="s">
        <v>295</v>
      </c>
      <c r="P11" s="269"/>
      <c r="Q11" s="269"/>
      <c r="R11" s="269"/>
      <c r="S11" s="323"/>
      <c r="T11" s="325"/>
    </row>
    <row r="12" spans="1:20" ht="39.75" customHeight="1" x14ac:dyDescent="0.3">
      <c r="A12" s="199" t="s">
        <v>2</v>
      </c>
      <c r="B12" s="200" t="s">
        <v>3</v>
      </c>
      <c r="C12" s="53">
        <v>7964.3951999999999</v>
      </c>
      <c r="D12" s="53">
        <v>0</v>
      </c>
      <c r="E12" s="53">
        <v>11245.799044580001</v>
      </c>
      <c r="F12" s="53">
        <v>7964.3951999999999</v>
      </c>
      <c r="G12" s="53">
        <v>3281.4038445800002</v>
      </c>
      <c r="H12" s="53">
        <v>7962.9394124700011</v>
      </c>
      <c r="I12" s="53">
        <v>22.803993389999999</v>
      </c>
      <c r="J12" s="53">
        <v>11242.986475350001</v>
      </c>
      <c r="K12" s="53">
        <v>7962.1952603299997</v>
      </c>
      <c r="L12" s="53">
        <v>0</v>
      </c>
      <c r="M12" s="53">
        <v>3280.7912150200004</v>
      </c>
      <c r="N12" s="53">
        <v>99.972377818845544</v>
      </c>
      <c r="O12" s="53">
        <v>99.981330260186922</v>
      </c>
      <c r="P12" s="53">
        <v>29.180780588974848</v>
      </c>
      <c r="Q12" s="53">
        <v>22.803993389999999</v>
      </c>
      <c r="R12" s="53">
        <v>0.74415214000008134</v>
      </c>
      <c r="S12" s="51"/>
      <c r="T12" s="52"/>
    </row>
    <row r="13" spans="1:20" ht="31.2" hidden="1" x14ac:dyDescent="0.3">
      <c r="A13" s="199"/>
      <c r="B13" s="55" t="s">
        <v>296</v>
      </c>
      <c r="C13" s="80"/>
      <c r="D13" s="53"/>
      <c r="E13" s="53"/>
      <c r="F13" s="8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1"/>
      <c r="T13" s="52"/>
    </row>
    <row r="14" spans="1:20" ht="15.6" x14ac:dyDescent="0.3">
      <c r="A14" s="202" t="s">
        <v>6</v>
      </c>
      <c r="B14" s="203" t="s">
        <v>7</v>
      </c>
      <c r="C14" s="61">
        <v>2199.7561000000001</v>
      </c>
      <c r="D14" s="61">
        <v>0</v>
      </c>
      <c r="E14" s="61">
        <v>2809.7240902199997</v>
      </c>
      <c r="F14" s="61">
        <v>2199.7561000000001</v>
      </c>
      <c r="G14" s="61">
        <v>609.96799022000005</v>
      </c>
      <c r="H14" s="61">
        <v>2199.7559369700002</v>
      </c>
      <c r="I14" s="61">
        <v>12.513043660000001</v>
      </c>
      <c r="J14" s="61">
        <v>2809.7239181099999</v>
      </c>
      <c r="K14" s="61">
        <v>2199.7559369700002</v>
      </c>
      <c r="L14" s="61">
        <v>0</v>
      </c>
      <c r="M14" s="61">
        <v>609.96798114000001</v>
      </c>
      <c r="N14" s="61">
        <v>99.999992588723813</v>
      </c>
      <c r="O14" s="61">
        <v>99.999998511397294</v>
      </c>
      <c r="P14" s="61">
        <v>21.709178514247178</v>
      </c>
      <c r="Q14" s="61">
        <v>12.513043660000001</v>
      </c>
      <c r="R14" s="61">
        <v>7.716050021144838E-15</v>
      </c>
      <c r="S14" s="59"/>
      <c r="T14" s="60"/>
    </row>
    <row r="15" spans="1:20" ht="15.6" x14ac:dyDescent="0.3">
      <c r="A15" s="169" t="s">
        <v>9</v>
      </c>
      <c r="B15" s="205" t="s">
        <v>10</v>
      </c>
      <c r="C15" s="66">
        <v>219.07400000000001</v>
      </c>
      <c r="D15" s="66">
        <v>0</v>
      </c>
      <c r="E15" s="66">
        <v>277.30886076000002</v>
      </c>
      <c r="F15" s="66">
        <v>219.07400000000001</v>
      </c>
      <c r="G15" s="66">
        <v>58.234860759999997</v>
      </c>
      <c r="H15" s="66">
        <v>219.07400000000001</v>
      </c>
      <c r="I15" s="66">
        <v>0</v>
      </c>
      <c r="J15" s="66">
        <v>277.30886076000002</v>
      </c>
      <c r="K15" s="66">
        <v>219.07400000000001</v>
      </c>
      <c r="L15" s="66">
        <v>0</v>
      </c>
      <c r="M15" s="66">
        <v>58.234860759999997</v>
      </c>
      <c r="N15" s="67">
        <v>100</v>
      </c>
      <c r="O15" s="67">
        <v>100</v>
      </c>
      <c r="P15" s="67">
        <v>21.000000000144244</v>
      </c>
      <c r="Q15" s="67">
        <v>0</v>
      </c>
      <c r="R15" s="67">
        <v>0</v>
      </c>
      <c r="S15" s="64"/>
      <c r="T15" s="65"/>
    </row>
    <row r="16" spans="1:20" ht="15.6" x14ac:dyDescent="0.3">
      <c r="A16" s="169" t="s">
        <v>12</v>
      </c>
      <c r="B16" s="205" t="s">
        <v>13</v>
      </c>
      <c r="C16" s="66">
        <v>103.4435</v>
      </c>
      <c r="D16" s="66">
        <v>0</v>
      </c>
      <c r="E16" s="66">
        <v>112.43858695999999</v>
      </c>
      <c r="F16" s="66">
        <v>103.4435</v>
      </c>
      <c r="G16" s="66">
        <v>8.9950869600000001</v>
      </c>
      <c r="H16" s="66">
        <v>103.4435</v>
      </c>
      <c r="I16" s="66">
        <v>5.1665679999999999E-2</v>
      </c>
      <c r="J16" s="66">
        <v>112.43858695999999</v>
      </c>
      <c r="K16" s="66">
        <v>103.4435</v>
      </c>
      <c r="L16" s="66">
        <v>0</v>
      </c>
      <c r="M16" s="66">
        <v>8.9950869600000001</v>
      </c>
      <c r="N16" s="67">
        <v>100</v>
      </c>
      <c r="O16" s="67">
        <v>100</v>
      </c>
      <c r="P16" s="67">
        <v>8.000000002845999</v>
      </c>
      <c r="Q16" s="67">
        <v>5.1665679999999999E-2</v>
      </c>
      <c r="R16" s="67">
        <v>-7.2858385991025898E-16</v>
      </c>
      <c r="S16" s="64"/>
      <c r="T16" s="65"/>
    </row>
    <row r="17" spans="1:20" ht="15.6" x14ac:dyDescent="0.3">
      <c r="A17" s="169" t="s">
        <v>15</v>
      </c>
      <c r="B17" s="205" t="s">
        <v>16</v>
      </c>
      <c r="C17" s="66">
        <v>223.47710000000001</v>
      </c>
      <c r="D17" s="66">
        <v>0</v>
      </c>
      <c r="E17" s="66">
        <v>251.09790000000001</v>
      </c>
      <c r="F17" s="66">
        <v>223.47710000000001</v>
      </c>
      <c r="G17" s="66">
        <v>27.620799999999999</v>
      </c>
      <c r="H17" s="66">
        <v>223.47710000000001</v>
      </c>
      <c r="I17" s="66">
        <v>0.23798942000000001</v>
      </c>
      <c r="J17" s="66">
        <v>251.09790000000001</v>
      </c>
      <c r="K17" s="66">
        <v>223.47710000000001</v>
      </c>
      <c r="L17" s="66">
        <v>0</v>
      </c>
      <c r="M17" s="66">
        <v>27.620799999999999</v>
      </c>
      <c r="N17" s="67">
        <v>100</v>
      </c>
      <c r="O17" s="67">
        <v>100</v>
      </c>
      <c r="P17" s="67">
        <v>11.000012345782261</v>
      </c>
      <c r="Q17" s="67">
        <v>0.23798942000000001</v>
      </c>
      <c r="R17" s="67">
        <v>-8.992806499463768E-15</v>
      </c>
      <c r="S17" s="64"/>
      <c r="T17" s="65"/>
    </row>
    <row r="18" spans="1:20" ht="15.6" x14ac:dyDescent="0.3">
      <c r="A18" s="169" t="s">
        <v>18</v>
      </c>
      <c r="B18" s="205" t="s">
        <v>19</v>
      </c>
      <c r="C18" s="66">
        <v>302.75110000000001</v>
      </c>
      <c r="D18" s="66">
        <v>0</v>
      </c>
      <c r="E18" s="66">
        <v>356.17779999999999</v>
      </c>
      <c r="F18" s="66">
        <v>302.75110000000001</v>
      </c>
      <c r="G18" s="66">
        <v>53.426699999999997</v>
      </c>
      <c r="H18" s="66">
        <v>302.75110000000001</v>
      </c>
      <c r="I18" s="66">
        <v>5.92800875</v>
      </c>
      <c r="J18" s="66">
        <v>356.17779999999999</v>
      </c>
      <c r="K18" s="66">
        <v>302.75110000000001</v>
      </c>
      <c r="L18" s="66">
        <v>0</v>
      </c>
      <c r="M18" s="66">
        <v>53.426699999999997</v>
      </c>
      <c r="N18" s="67">
        <v>100</v>
      </c>
      <c r="O18" s="67">
        <v>100</v>
      </c>
      <c r="P18" s="67">
        <v>15.000008422759645</v>
      </c>
      <c r="Q18" s="67">
        <v>5.92800875</v>
      </c>
      <c r="R18" s="67">
        <v>3.5527136788005009E-15</v>
      </c>
      <c r="S18" s="64"/>
      <c r="T18" s="65"/>
    </row>
    <row r="19" spans="1:20" ht="15.6" x14ac:dyDescent="0.3">
      <c r="A19" s="169" t="s">
        <v>21</v>
      </c>
      <c r="B19" s="205" t="s">
        <v>22</v>
      </c>
      <c r="C19" s="66">
        <v>81.220200000000006</v>
      </c>
      <c r="D19" s="66">
        <v>0</v>
      </c>
      <c r="E19" s="66">
        <v>87.333548390000004</v>
      </c>
      <c r="F19" s="66">
        <v>81.220200000000006</v>
      </c>
      <c r="G19" s="66">
        <v>6.1133483899999996</v>
      </c>
      <c r="H19" s="66">
        <v>81.220200000000006</v>
      </c>
      <c r="I19" s="66">
        <v>1.45891222</v>
      </c>
      <c r="J19" s="66">
        <v>87.333548390000004</v>
      </c>
      <c r="K19" s="66">
        <v>81.220200000000006</v>
      </c>
      <c r="L19" s="66">
        <v>0</v>
      </c>
      <c r="M19" s="66">
        <v>6.1133483899999996</v>
      </c>
      <c r="N19" s="67">
        <v>100</v>
      </c>
      <c r="O19" s="67">
        <v>100</v>
      </c>
      <c r="P19" s="67">
        <v>7.0000000030915945</v>
      </c>
      <c r="Q19" s="67">
        <v>1.45891222</v>
      </c>
      <c r="R19" s="67">
        <v>1.9984014443252818E-15</v>
      </c>
      <c r="S19" s="64"/>
      <c r="T19" s="65"/>
    </row>
    <row r="20" spans="1:20" ht="15.6" x14ac:dyDescent="0.3">
      <c r="A20" s="169" t="s">
        <v>24</v>
      </c>
      <c r="B20" s="205" t="s">
        <v>25</v>
      </c>
      <c r="C20" s="66">
        <v>134.11580000000001</v>
      </c>
      <c r="D20" s="66">
        <v>0</v>
      </c>
      <c r="E20" s="66">
        <v>194.37072499999999</v>
      </c>
      <c r="F20" s="66">
        <v>134.11580000000001</v>
      </c>
      <c r="G20" s="66">
        <v>60.254925</v>
      </c>
      <c r="H20" s="66">
        <v>134.11580000000001</v>
      </c>
      <c r="I20" s="66">
        <v>0.47169918</v>
      </c>
      <c r="J20" s="66">
        <v>194.37072499999999</v>
      </c>
      <c r="K20" s="66">
        <v>134.11580000000001</v>
      </c>
      <c r="L20" s="66">
        <v>0</v>
      </c>
      <c r="M20" s="66">
        <v>60.254925</v>
      </c>
      <c r="N20" s="67">
        <v>100</v>
      </c>
      <c r="O20" s="67">
        <v>100</v>
      </c>
      <c r="P20" s="67">
        <v>31.000000128620194</v>
      </c>
      <c r="Q20" s="67">
        <v>0.47169918</v>
      </c>
      <c r="R20" s="67">
        <v>1.6653345369377348E-15</v>
      </c>
      <c r="S20" s="64"/>
      <c r="T20" s="65"/>
    </row>
    <row r="21" spans="1:20" ht="15.6" x14ac:dyDescent="0.3">
      <c r="A21" s="169" t="s">
        <v>27</v>
      </c>
      <c r="B21" s="205" t="s">
        <v>28</v>
      </c>
      <c r="C21" s="66">
        <v>54.959699999999998</v>
      </c>
      <c r="D21" s="66"/>
      <c r="E21" s="66">
        <v>57.852316000000002</v>
      </c>
      <c r="F21" s="66">
        <v>54.959699999999998</v>
      </c>
      <c r="G21" s="66">
        <v>2.8926159999999999</v>
      </c>
      <c r="H21" s="66">
        <v>54.959537539999999</v>
      </c>
      <c r="I21" s="66">
        <v>0.16178214000000002</v>
      </c>
      <c r="J21" s="66">
        <v>57.852145</v>
      </c>
      <c r="K21" s="66">
        <v>54.959537539999999</v>
      </c>
      <c r="L21" s="66">
        <v>0</v>
      </c>
      <c r="M21" s="66">
        <v>2.8926074599999998</v>
      </c>
      <c r="N21" s="67">
        <v>99.999704401588801</v>
      </c>
      <c r="O21" s="67">
        <v>99.999704765513286</v>
      </c>
      <c r="P21" s="67">
        <v>5.000000362994319</v>
      </c>
      <c r="Q21" s="67">
        <v>0.16178214000000002</v>
      </c>
      <c r="R21" s="67">
        <v>-3.3306690738754696E-16</v>
      </c>
      <c r="S21" s="64"/>
      <c r="T21" s="65"/>
    </row>
    <row r="22" spans="1:20" ht="15.6" x14ac:dyDescent="0.3">
      <c r="A22" s="169" t="s">
        <v>30</v>
      </c>
      <c r="B22" s="205" t="s">
        <v>31</v>
      </c>
      <c r="C22" s="66">
        <v>85.089500000000001</v>
      </c>
      <c r="D22" s="66">
        <v>0</v>
      </c>
      <c r="E22" s="66">
        <v>97.804023000000001</v>
      </c>
      <c r="F22" s="66">
        <v>85.089500000000001</v>
      </c>
      <c r="G22" s="66">
        <v>12.714523</v>
      </c>
      <c r="H22" s="66">
        <v>85.089500000000001</v>
      </c>
      <c r="I22" s="66">
        <v>0</v>
      </c>
      <c r="J22" s="66">
        <v>97.804023000000001</v>
      </c>
      <c r="K22" s="66">
        <v>85.089500000000001</v>
      </c>
      <c r="L22" s="66">
        <v>0</v>
      </c>
      <c r="M22" s="66">
        <v>12.714523</v>
      </c>
      <c r="N22" s="67">
        <v>100</v>
      </c>
      <c r="O22" s="67">
        <v>100</v>
      </c>
      <c r="P22" s="67">
        <v>13.000000010224527</v>
      </c>
      <c r="Q22" s="67">
        <v>0</v>
      </c>
      <c r="R22" s="67">
        <v>0</v>
      </c>
      <c r="S22" s="64"/>
      <c r="T22" s="65"/>
    </row>
    <row r="23" spans="1:20" ht="15.6" x14ac:dyDescent="0.3">
      <c r="A23" s="169" t="s">
        <v>33</v>
      </c>
      <c r="B23" s="205" t="s">
        <v>34</v>
      </c>
      <c r="C23" s="66">
        <v>78.477199999999996</v>
      </c>
      <c r="D23" s="66">
        <v>0</v>
      </c>
      <c r="E23" s="66">
        <v>108.99611111</v>
      </c>
      <c r="F23" s="66">
        <v>78.477199999999996</v>
      </c>
      <c r="G23" s="66">
        <v>30.518911109999998</v>
      </c>
      <c r="H23" s="66">
        <v>78.477199999999996</v>
      </c>
      <c r="I23" s="66">
        <v>0</v>
      </c>
      <c r="J23" s="66">
        <v>108.99611107999999</v>
      </c>
      <c r="K23" s="66">
        <v>78.477199999999996</v>
      </c>
      <c r="L23" s="66">
        <v>0</v>
      </c>
      <c r="M23" s="66">
        <v>30.518911079999999</v>
      </c>
      <c r="N23" s="67">
        <v>100</v>
      </c>
      <c r="O23" s="67">
        <v>99.999999901700292</v>
      </c>
      <c r="P23" s="67">
        <v>27.999999979448809</v>
      </c>
      <c r="Q23" s="67">
        <v>0</v>
      </c>
      <c r="R23" s="67">
        <v>0</v>
      </c>
      <c r="S23" s="64"/>
      <c r="T23" s="65"/>
    </row>
    <row r="24" spans="1:20" ht="15.6" x14ac:dyDescent="0.3">
      <c r="A24" s="169" t="s">
        <v>36</v>
      </c>
      <c r="B24" s="205" t="s">
        <v>37</v>
      </c>
      <c r="C24" s="66">
        <v>228.05449999999999</v>
      </c>
      <c r="D24" s="66">
        <v>0</v>
      </c>
      <c r="E24" s="66">
        <v>422.32350000000002</v>
      </c>
      <c r="F24" s="66">
        <v>228.05449999999999</v>
      </c>
      <c r="G24" s="66">
        <v>194.26900000000001</v>
      </c>
      <c r="H24" s="66">
        <v>228.05449947999998</v>
      </c>
      <c r="I24" s="66">
        <v>0.28559927000000002</v>
      </c>
      <c r="J24" s="66">
        <v>422.32349900000003</v>
      </c>
      <c r="K24" s="66">
        <v>228.05449947999998</v>
      </c>
      <c r="L24" s="66">
        <v>0</v>
      </c>
      <c r="M24" s="66">
        <v>194.26899952000002</v>
      </c>
      <c r="N24" s="67">
        <v>99.999999771984321</v>
      </c>
      <c r="O24" s="67">
        <v>99.999999752919933</v>
      </c>
      <c r="P24" s="67">
        <v>46.000044984472908</v>
      </c>
      <c r="Q24" s="67">
        <v>0.28559927000000002</v>
      </c>
      <c r="R24" s="67">
        <v>5.8286708792820718E-15</v>
      </c>
      <c r="S24" s="64"/>
      <c r="T24" s="65"/>
    </row>
    <row r="25" spans="1:20" ht="15.6" x14ac:dyDescent="0.3">
      <c r="A25" s="169" t="s">
        <v>39</v>
      </c>
      <c r="B25" s="205" t="s">
        <v>297</v>
      </c>
      <c r="C25" s="66">
        <v>0</v>
      </c>
      <c r="D25" s="66">
        <v>0</v>
      </c>
      <c r="E25" s="66">
        <v>0</v>
      </c>
      <c r="F25" s="66">
        <v>0</v>
      </c>
      <c r="G25" s="66">
        <v>0</v>
      </c>
      <c r="H25" s="66">
        <v>0</v>
      </c>
      <c r="I25" s="66">
        <v>0</v>
      </c>
      <c r="J25" s="66">
        <v>0</v>
      </c>
      <c r="K25" s="66">
        <v>0</v>
      </c>
      <c r="L25" s="66">
        <v>0</v>
      </c>
      <c r="M25" s="66">
        <v>0</v>
      </c>
      <c r="N25" s="67" t="s">
        <v>1230</v>
      </c>
      <c r="O25" s="67" t="s">
        <v>1230</v>
      </c>
      <c r="P25" s="67">
        <v>0</v>
      </c>
      <c r="Q25" s="67">
        <v>0</v>
      </c>
      <c r="R25" s="67">
        <v>0</v>
      </c>
      <c r="S25" s="64"/>
      <c r="T25" s="65"/>
    </row>
    <row r="26" spans="1:20" ht="15.6" x14ac:dyDescent="0.3">
      <c r="A26" s="169" t="s">
        <v>41</v>
      </c>
      <c r="B26" s="205" t="s">
        <v>42</v>
      </c>
      <c r="C26" s="66">
        <v>79.683099999999996</v>
      </c>
      <c r="D26" s="66">
        <v>0</v>
      </c>
      <c r="E26" s="66">
        <v>83.876947370000011</v>
      </c>
      <c r="F26" s="66">
        <v>79.683099999999996</v>
      </c>
      <c r="G26" s="66">
        <v>4.1938473700000003</v>
      </c>
      <c r="H26" s="66">
        <v>79.683099999999996</v>
      </c>
      <c r="I26" s="66">
        <v>0.19870279999999998</v>
      </c>
      <c r="J26" s="66">
        <v>83.876947370000011</v>
      </c>
      <c r="K26" s="66">
        <v>79.683099999999996</v>
      </c>
      <c r="L26" s="66">
        <v>0</v>
      </c>
      <c r="M26" s="66">
        <v>4.1938473700000003</v>
      </c>
      <c r="N26" s="67">
        <v>100</v>
      </c>
      <c r="O26" s="67">
        <v>100</v>
      </c>
      <c r="P26" s="67">
        <v>5.0000000017883339</v>
      </c>
      <c r="Q26" s="67">
        <v>0.19870279999999998</v>
      </c>
      <c r="R26" s="67">
        <v>6.6335825721353103E-15</v>
      </c>
      <c r="S26" s="64"/>
      <c r="T26" s="65"/>
    </row>
    <row r="27" spans="1:20" ht="15.6" x14ac:dyDescent="0.3">
      <c r="A27" s="169" t="s">
        <v>44</v>
      </c>
      <c r="B27" s="205" t="s">
        <v>45</v>
      </c>
      <c r="C27" s="66">
        <v>211.80369999999999</v>
      </c>
      <c r="D27" s="66">
        <v>0</v>
      </c>
      <c r="E27" s="66">
        <v>249.18082353</v>
      </c>
      <c r="F27" s="66">
        <v>211.80369999999999</v>
      </c>
      <c r="G27" s="66">
        <v>37.377123529999999</v>
      </c>
      <c r="H27" s="66">
        <v>211.80369999999999</v>
      </c>
      <c r="I27" s="66">
        <v>5.473977E-2</v>
      </c>
      <c r="J27" s="66">
        <v>249.18082353</v>
      </c>
      <c r="K27" s="66">
        <v>211.80369999999999</v>
      </c>
      <c r="L27" s="66">
        <v>0</v>
      </c>
      <c r="M27" s="66">
        <v>37.377123529999999</v>
      </c>
      <c r="N27" s="67">
        <v>100</v>
      </c>
      <c r="O27" s="67">
        <v>100</v>
      </c>
      <c r="P27" s="67">
        <v>15.000000000200659</v>
      </c>
      <c r="Q27" s="67">
        <v>5.473977E-2</v>
      </c>
      <c r="R27" s="67">
        <v>-2.3661628212323649E-15</v>
      </c>
      <c r="S27" s="64"/>
      <c r="T27" s="65"/>
    </row>
    <row r="28" spans="1:20" ht="15.6" x14ac:dyDescent="0.3">
      <c r="A28" s="169" t="s">
        <v>47</v>
      </c>
      <c r="B28" s="205" t="s">
        <v>48</v>
      </c>
      <c r="C28" s="66">
        <v>64.575699999999998</v>
      </c>
      <c r="D28" s="66">
        <v>0</v>
      </c>
      <c r="E28" s="66">
        <v>74.224999999999994</v>
      </c>
      <c r="F28" s="66">
        <v>64.575699999999998</v>
      </c>
      <c r="G28" s="66">
        <v>9.6493000000000002</v>
      </c>
      <c r="H28" s="66">
        <v>64.575699999999998</v>
      </c>
      <c r="I28" s="66">
        <v>3.6002828900000003</v>
      </c>
      <c r="J28" s="66">
        <v>74.224999999999994</v>
      </c>
      <c r="K28" s="66">
        <v>64.575699999999998</v>
      </c>
      <c r="L28" s="66">
        <v>0</v>
      </c>
      <c r="M28" s="66">
        <v>9.6493000000000002</v>
      </c>
      <c r="N28" s="67">
        <v>100</v>
      </c>
      <c r="O28" s="67">
        <v>100</v>
      </c>
      <c r="P28" s="67">
        <v>13.000067362748402</v>
      </c>
      <c r="Q28" s="67">
        <v>3.6002828900000003</v>
      </c>
      <c r="R28" s="67">
        <v>2.2204460492503131E-15</v>
      </c>
      <c r="S28" s="64"/>
      <c r="T28" s="65"/>
    </row>
    <row r="29" spans="1:20" ht="15.6" x14ac:dyDescent="0.3">
      <c r="A29" s="169" t="s">
        <v>50</v>
      </c>
      <c r="B29" s="205" t="s">
        <v>51</v>
      </c>
      <c r="C29" s="66">
        <v>43.669899999999998</v>
      </c>
      <c r="D29" s="66">
        <v>0</v>
      </c>
      <c r="E29" s="66">
        <v>47.9889011</v>
      </c>
      <c r="F29" s="66">
        <v>43.669899999999998</v>
      </c>
      <c r="G29" s="66">
        <v>4.3190010999999995</v>
      </c>
      <c r="H29" s="66">
        <v>43.669899999999998</v>
      </c>
      <c r="I29" s="66">
        <v>0</v>
      </c>
      <c r="J29" s="66">
        <v>47.9889011</v>
      </c>
      <c r="K29" s="66">
        <v>43.669899999999998</v>
      </c>
      <c r="L29" s="66">
        <v>0</v>
      </c>
      <c r="M29" s="66">
        <v>4.3190010999999995</v>
      </c>
      <c r="N29" s="67">
        <v>100</v>
      </c>
      <c r="O29" s="67">
        <v>100</v>
      </c>
      <c r="P29" s="67">
        <v>9.000000002083814</v>
      </c>
      <c r="Q29" s="67">
        <v>0</v>
      </c>
      <c r="R29" s="67">
        <v>0</v>
      </c>
      <c r="S29" s="64"/>
      <c r="T29" s="65"/>
    </row>
    <row r="30" spans="1:20" ht="15.6" x14ac:dyDescent="0.3">
      <c r="A30" s="169" t="s">
        <v>53</v>
      </c>
      <c r="B30" s="205" t="s">
        <v>54</v>
      </c>
      <c r="C30" s="66">
        <v>74.417299999999997</v>
      </c>
      <c r="D30" s="66">
        <v>0</v>
      </c>
      <c r="E30" s="66">
        <v>88.592100000000002</v>
      </c>
      <c r="F30" s="66">
        <v>74.417299999999997</v>
      </c>
      <c r="G30" s="66">
        <v>14.174799999999999</v>
      </c>
      <c r="H30" s="66">
        <v>74.417299999999997</v>
      </c>
      <c r="I30" s="66">
        <v>0</v>
      </c>
      <c r="J30" s="66">
        <v>88.592100000000002</v>
      </c>
      <c r="K30" s="66">
        <v>74.417299999999997</v>
      </c>
      <c r="L30" s="66">
        <v>0</v>
      </c>
      <c r="M30" s="66">
        <v>14.174799999999999</v>
      </c>
      <c r="N30" s="67">
        <v>100</v>
      </c>
      <c r="O30" s="67">
        <v>100</v>
      </c>
      <c r="P30" s="67">
        <v>16.00007224120435</v>
      </c>
      <c r="Q30" s="67">
        <v>0</v>
      </c>
      <c r="R30" s="67">
        <v>0</v>
      </c>
      <c r="S30" s="64"/>
      <c r="T30" s="65"/>
    </row>
    <row r="31" spans="1:20" ht="15.6" x14ac:dyDescent="0.3">
      <c r="A31" s="169" t="s">
        <v>56</v>
      </c>
      <c r="B31" s="205" t="s">
        <v>57</v>
      </c>
      <c r="C31" s="66">
        <v>66.882000000000005</v>
      </c>
      <c r="D31" s="66">
        <v>0</v>
      </c>
      <c r="E31" s="66">
        <v>91.619200000000006</v>
      </c>
      <c r="F31" s="66">
        <v>66.882000000000005</v>
      </c>
      <c r="G31" s="66">
        <v>24.737200000000001</v>
      </c>
      <c r="H31" s="66">
        <v>66.882000000000005</v>
      </c>
      <c r="I31" s="66">
        <v>6.3661540000000003E-2</v>
      </c>
      <c r="J31" s="66">
        <v>91.619200000000006</v>
      </c>
      <c r="K31" s="66">
        <v>66.882000000000005</v>
      </c>
      <c r="L31" s="66">
        <v>0</v>
      </c>
      <c r="M31" s="66">
        <v>24.737200000000001</v>
      </c>
      <c r="N31" s="67">
        <v>100</v>
      </c>
      <c r="O31" s="67">
        <v>100</v>
      </c>
      <c r="P31" s="67">
        <v>27.000017463588417</v>
      </c>
      <c r="Q31" s="67">
        <v>6.3661540000000003E-2</v>
      </c>
      <c r="R31" s="67">
        <v>-1.762479051592436E-15</v>
      </c>
      <c r="S31" s="64"/>
      <c r="T31" s="65"/>
    </row>
    <row r="32" spans="1:20" ht="15.6" x14ac:dyDescent="0.3">
      <c r="A32" s="169" t="s">
        <v>59</v>
      </c>
      <c r="B32" s="205" t="s">
        <v>60</v>
      </c>
      <c r="C32" s="66">
        <v>148.06180000000001</v>
      </c>
      <c r="D32" s="66">
        <v>0</v>
      </c>
      <c r="E32" s="66">
        <v>208.537747</v>
      </c>
      <c r="F32" s="66">
        <v>148.06180000000001</v>
      </c>
      <c r="G32" s="66">
        <v>60.475946999999998</v>
      </c>
      <c r="H32" s="66">
        <v>148.06179994999999</v>
      </c>
      <c r="I32" s="66">
        <v>0</v>
      </c>
      <c r="J32" s="66">
        <v>208.53774691999999</v>
      </c>
      <c r="K32" s="66">
        <v>148.06179994999999</v>
      </c>
      <c r="L32" s="66">
        <v>0</v>
      </c>
      <c r="M32" s="66">
        <v>60.475946969999995</v>
      </c>
      <c r="N32" s="67">
        <v>99.99999996623032</v>
      </c>
      <c r="O32" s="67">
        <v>99.999999950393487</v>
      </c>
      <c r="P32" s="67">
        <v>29.000000174165113</v>
      </c>
      <c r="Q32" s="67">
        <v>0</v>
      </c>
      <c r="R32" s="67">
        <v>0</v>
      </c>
      <c r="S32" s="64"/>
      <c r="T32" s="65"/>
    </row>
    <row r="33" spans="1:20" ht="15.6" x14ac:dyDescent="0.3">
      <c r="A33" s="202" t="s">
        <v>62</v>
      </c>
      <c r="B33" s="203" t="s">
        <v>63</v>
      </c>
      <c r="C33" s="61">
        <v>776.08150000000001</v>
      </c>
      <c r="D33" s="61">
        <v>0</v>
      </c>
      <c r="E33" s="61">
        <v>1113.4429841199999</v>
      </c>
      <c r="F33" s="61">
        <v>776.08150000000001</v>
      </c>
      <c r="G33" s="61">
        <v>337.36148411999994</v>
      </c>
      <c r="H33" s="61">
        <v>774.70011169000009</v>
      </c>
      <c r="I33" s="61">
        <v>1.9475168200000001</v>
      </c>
      <c r="J33" s="61">
        <v>1111.4968476000001</v>
      </c>
      <c r="K33" s="61">
        <v>774.70011166000006</v>
      </c>
      <c r="L33" s="61">
        <v>0</v>
      </c>
      <c r="M33" s="61">
        <v>336.79673593999996</v>
      </c>
      <c r="N33" s="61">
        <v>99.822004732750372</v>
      </c>
      <c r="O33" s="61">
        <v>99.832598501434404</v>
      </c>
      <c r="P33" s="61">
        <v>30.301186788539113</v>
      </c>
      <c r="Q33" s="61">
        <v>1.9475168200000001</v>
      </c>
      <c r="R33" s="61">
        <v>3.0000008338637585E-8</v>
      </c>
      <c r="S33" s="59"/>
      <c r="T33" s="60"/>
    </row>
    <row r="34" spans="1:20" ht="15.6" x14ac:dyDescent="0.3">
      <c r="A34" s="169" t="s">
        <v>65</v>
      </c>
      <c r="B34" s="205" t="s">
        <v>66</v>
      </c>
      <c r="C34" s="66">
        <v>36.319000000000003</v>
      </c>
      <c r="D34" s="66">
        <v>0</v>
      </c>
      <c r="E34" s="66">
        <v>38.637234039999996</v>
      </c>
      <c r="F34" s="66">
        <v>36.319000000000003</v>
      </c>
      <c r="G34" s="66">
        <v>2.3182340400000001</v>
      </c>
      <c r="H34" s="66">
        <v>36.318924000000003</v>
      </c>
      <c r="I34" s="66">
        <v>2.392648E-2</v>
      </c>
      <c r="J34" s="66">
        <v>38.637153210000001</v>
      </c>
      <c r="K34" s="66">
        <v>36.318924000000003</v>
      </c>
      <c r="L34" s="66">
        <v>0</v>
      </c>
      <c r="M34" s="66">
        <v>2.3182292100000002</v>
      </c>
      <c r="N34" s="67">
        <v>99.999790743137197</v>
      </c>
      <c r="O34" s="67">
        <v>99.999791651752304</v>
      </c>
      <c r="P34" s="67">
        <v>6.0000000450343736</v>
      </c>
      <c r="Q34" s="67">
        <v>2.392648E-2</v>
      </c>
      <c r="R34" s="67">
        <v>8.3266726846886741E-17</v>
      </c>
      <c r="S34" s="64"/>
      <c r="T34" s="65"/>
    </row>
    <row r="35" spans="1:20" ht="15.6" x14ac:dyDescent="0.3">
      <c r="A35" s="169" t="s">
        <v>68</v>
      </c>
      <c r="B35" s="205" t="s">
        <v>69</v>
      </c>
      <c r="C35" s="66">
        <v>14.132999999999999</v>
      </c>
      <c r="D35" s="66">
        <v>0</v>
      </c>
      <c r="E35" s="66">
        <v>20.190000000000001</v>
      </c>
      <c r="F35" s="66">
        <v>14.132999999999999</v>
      </c>
      <c r="G35" s="66">
        <v>6.0570000000000004</v>
      </c>
      <c r="H35" s="66">
        <v>14.132999999999999</v>
      </c>
      <c r="I35" s="66">
        <v>0</v>
      </c>
      <c r="J35" s="66">
        <v>20.190000000000001</v>
      </c>
      <c r="K35" s="66">
        <v>14.132999999999999</v>
      </c>
      <c r="L35" s="66">
        <v>0</v>
      </c>
      <c r="M35" s="66">
        <v>6.0570000000000004</v>
      </c>
      <c r="N35" s="67">
        <v>100</v>
      </c>
      <c r="O35" s="67">
        <v>100</v>
      </c>
      <c r="P35" s="67">
        <v>30</v>
      </c>
      <c r="Q35" s="67">
        <v>0</v>
      </c>
      <c r="R35" s="67">
        <v>0</v>
      </c>
      <c r="S35" s="64"/>
      <c r="T35" s="65"/>
    </row>
    <row r="36" spans="1:20" ht="15.6" x14ac:dyDescent="0.3">
      <c r="A36" s="169" t="s">
        <v>71</v>
      </c>
      <c r="B36" s="205" t="s">
        <v>72</v>
      </c>
      <c r="C36" s="66">
        <v>72.338300000000004</v>
      </c>
      <c r="D36" s="66">
        <v>0</v>
      </c>
      <c r="E36" s="66">
        <v>80.375888889999999</v>
      </c>
      <c r="F36" s="66">
        <v>72.338300000000004</v>
      </c>
      <c r="G36" s="66">
        <v>8.0375888900000003</v>
      </c>
      <c r="H36" s="66">
        <v>72.338300000000004</v>
      </c>
      <c r="I36" s="66">
        <v>0</v>
      </c>
      <c r="J36" s="66">
        <v>80.375888889999999</v>
      </c>
      <c r="K36" s="66">
        <v>72.338300000000004</v>
      </c>
      <c r="L36" s="66">
        <v>0</v>
      </c>
      <c r="M36" s="66">
        <v>8.0375888900000003</v>
      </c>
      <c r="N36" s="67">
        <v>100</v>
      </c>
      <c r="O36" s="67">
        <v>100</v>
      </c>
      <c r="P36" s="67">
        <v>10.000000001244155</v>
      </c>
      <c r="Q36" s="67">
        <v>0</v>
      </c>
      <c r="R36" s="67">
        <v>0</v>
      </c>
      <c r="S36" s="64"/>
      <c r="T36" s="65"/>
    </row>
    <row r="37" spans="1:20" ht="15.6" x14ac:dyDescent="0.3">
      <c r="A37" s="169" t="s">
        <v>74</v>
      </c>
      <c r="B37" s="205" t="s">
        <v>1078</v>
      </c>
      <c r="C37" s="66">
        <v>1.2233000000000001</v>
      </c>
      <c r="D37" s="66">
        <v>0</v>
      </c>
      <c r="E37" s="66">
        <v>1.9731000000000001</v>
      </c>
      <c r="F37" s="66">
        <v>1.2233000000000001</v>
      </c>
      <c r="G37" s="66">
        <v>0.74980000000000002</v>
      </c>
      <c r="H37" s="66">
        <v>1.2206328200000001</v>
      </c>
      <c r="I37" s="66">
        <v>0</v>
      </c>
      <c r="J37" s="66">
        <v>1.96879805</v>
      </c>
      <c r="K37" s="66">
        <v>1.2206328200000001</v>
      </c>
      <c r="L37" s="66">
        <v>0</v>
      </c>
      <c r="M37" s="66">
        <v>0.74816523000000001</v>
      </c>
      <c r="N37" s="67">
        <v>99.781968446006715</v>
      </c>
      <c r="O37" s="67">
        <v>99.781972526006939</v>
      </c>
      <c r="P37" s="67">
        <v>38.001115960065079</v>
      </c>
      <c r="Q37" s="67">
        <v>0</v>
      </c>
      <c r="R37" s="67">
        <v>0</v>
      </c>
      <c r="S37" s="64"/>
      <c r="T37" s="65"/>
    </row>
    <row r="38" spans="1:20" ht="15.6" x14ac:dyDescent="0.3">
      <c r="A38" s="169" t="s">
        <v>76</v>
      </c>
      <c r="B38" s="205" t="s">
        <v>77</v>
      </c>
      <c r="C38" s="66">
        <v>266.78750000000002</v>
      </c>
      <c r="D38" s="66">
        <v>0</v>
      </c>
      <c r="E38" s="66">
        <v>346.47727273000004</v>
      </c>
      <c r="F38" s="66">
        <v>266.78750000000002</v>
      </c>
      <c r="G38" s="66">
        <v>79.689772730000001</v>
      </c>
      <c r="H38" s="66">
        <v>266.78750000000002</v>
      </c>
      <c r="I38" s="66">
        <v>0</v>
      </c>
      <c r="J38" s="66">
        <v>346.47727273000004</v>
      </c>
      <c r="K38" s="66">
        <v>266.78750000000002</v>
      </c>
      <c r="L38" s="66">
        <v>0</v>
      </c>
      <c r="M38" s="66">
        <v>79.689772730000001</v>
      </c>
      <c r="N38" s="67">
        <v>100</v>
      </c>
      <c r="O38" s="67">
        <v>100</v>
      </c>
      <c r="P38" s="67">
        <v>23.0000000006061</v>
      </c>
      <c r="Q38" s="67">
        <v>0</v>
      </c>
      <c r="R38" s="67">
        <v>0</v>
      </c>
      <c r="S38" s="64"/>
      <c r="T38" s="65"/>
    </row>
    <row r="39" spans="1:20" ht="15.6" x14ac:dyDescent="0.3">
      <c r="A39" s="169" t="s">
        <v>79</v>
      </c>
      <c r="B39" s="205" t="s">
        <v>80</v>
      </c>
      <c r="C39" s="66">
        <v>61.678600000000003</v>
      </c>
      <c r="D39" s="66">
        <v>0</v>
      </c>
      <c r="E39" s="66">
        <v>80.102078000000006</v>
      </c>
      <c r="F39" s="66">
        <v>61.678600000000003</v>
      </c>
      <c r="G39" s="66">
        <v>18.423477999999999</v>
      </c>
      <c r="H39" s="66">
        <v>61.678600000000003</v>
      </c>
      <c r="I39" s="66">
        <v>0</v>
      </c>
      <c r="J39" s="66">
        <v>80.102078000000006</v>
      </c>
      <c r="K39" s="66">
        <v>61.678600000000003</v>
      </c>
      <c r="L39" s="66">
        <v>0</v>
      </c>
      <c r="M39" s="66">
        <v>18.423477999999999</v>
      </c>
      <c r="N39" s="67">
        <v>100</v>
      </c>
      <c r="O39" s="67">
        <v>100</v>
      </c>
      <c r="P39" s="67">
        <v>23.000000074904424</v>
      </c>
      <c r="Q39" s="67">
        <v>0</v>
      </c>
      <c r="R39" s="67">
        <v>0</v>
      </c>
      <c r="S39" s="64"/>
      <c r="T39" s="65"/>
    </row>
    <row r="40" spans="1:20" ht="15.6" x14ac:dyDescent="0.3">
      <c r="A40" s="169" t="s">
        <v>82</v>
      </c>
      <c r="B40" s="205" t="s">
        <v>83</v>
      </c>
      <c r="C40" s="66">
        <v>192.53970000000001</v>
      </c>
      <c r="D40" s="66">
        <v>0</v>
      </c>
      <c r="E40" s="66">
        <v>392.93816326999996</v>
      </c>
      <c r="F40" s="66">
        <v>192.53970000000001</v>
      </c>
      <c r="G40" s="66">
        <v>200.39846327000001</v>
      </c>
      <c r="H40" s="66">
        <v>192.53970000000001</v>
      </c>
      <c r="I40" s="66">
        <v>1.2480383500000001</v>
      </c>
      <c r="J40" s="66">
        <v>392.93816326999996</v>
      </c>
      <c r="K40" s="66">
        <v>192.53970000000001</v>
      </c>
      <c r="L40" s="66">
        <v>0</v>
      </c>
      <c r="M40" s="66">
        <v>200.39846327000001</v>
      </c>
      <c r="N40" s="67">
        <v>100</v>
      </c>
      <c r="O40" s="67">
        <v>100</v>
      </c>
      <c r="P40" s="67">
        <v>51.000000000585345</v>
      </c>
      <c r="Q40" s="67">
        <v>1.2480383500000001</v>
      </c>
      <c r="R40" s="67">
        <v>1.5543122344752192E-15</v>
      </c>
      <c r="S40" s="64"/>
      <c r="T40" s="65"/>
    </row>
    <row r="41" spans="1:20" ht="15.6" x14ac:dyDescent="0.3">
      <c r="A41" s="169" t="s">
        <v>85</v>
      </c>
      <c r="B41" s="205" t="s">
        <v>299</v>
      </c>
      <c r="C41" s="66">
        <v>3.1730999999999998</v>
      </c>
      <c r="D41" s="66">
        <v>0</v>
      </c>
      <c r="E41" s="66">
        <v>8.5760000000000005</v>
      </c>
      <c r="F41" s="66">
        <v>3.1730999999999998</v>
      </c>
      <c r="G41" s="66">
        <v>5.4028999999999998</v>
      </c>
      <c r="H41" s="66">
        <v>3.1730999999999998</v>
      </c>
      <c r="I41" s="66">
        <v>0</v>
      </c>
      <c r="J41" s="66">
        <v>8.5760000000000005</v>
      </c>
      <c r="K41" s="66">
        <v>3.1730999999999998</v>
      </c>
      <c r="L41" s="66">
        <v>0</v>
      </c>
      <c r="M41" s="66">
        <v>5.4028999999999998</v>
      </c>
      <c r="N41" s="67">
        <v>100</v>
      </c>
      <c r="O41" s="67">
        <v>100</v>
      </c>
      <c r="P41" s="67">
        <v>63.000233208955216</v>
      </c>
      <c r="Q41" s="67">
        <v>0</v>
      </c>
      <c r="R41" s="67">
        <v>0</v>
      </c>
      <c r="S41" s="64"/>
      <c r="T41" s="65"/>
    </row>
    <row r="42" spans="1:20" ht="15.6" x14ac:dyDescent="0.3">
      <c r="A42" s="169" t="s">
        <v>87</v>
      </c>
      <c r="B42" s="205" t="s">
        <v>88</v>
      </c>
      <c r="C42" s="66">
        <v>6.2275</v>
      </c>
      <c r="D42" s="66">
        <v>0</v>
      </c>
      <c r="E42" s="66">
        <v>8.7711267599999996</v>
      </c>
      <c r="F42" s="66">
        <v>6.2275</v>
      </c>
      <c r="G42" s="66">
        <v>2.54362676</v>
      </c>
      <c r="H42" s="66">
        <v>4.8488548700000003</v>
      </c>
      <c r="I42" s="66">
        <v>0</v>
      </c>
      <c r="J42" s="66">
        <v>6.8293730199999994</v>
      </c>
      <c r="K42" s="66">
        <v>4.8488548399999996</v>
      </c>
      <c r="L42" s="66">
        <v>0</v>
      </c>
      <c r="M42" s="66">
        <v>1.98051818</v>
      </c>
      <c r="N42" s="67">
        <v>77.861980570052182</v>
      </c>
      <c r="O42" s="67">
        <v>77.861980819858971</v>
      </c>
      <c r="P42" s="67">
        <v>29.000000061499058</v>
      </c>
      <c r="Q42" s="67">
        <v>0</v>
      </c>
      <c r="R42" s="67">
        <v>3.0000000705854291E-8</v>
      </c>
      <c r="S42" s="64"/>
      <c r="T42" s="65"/>
    </row>
    <row r="43" spans="1:20" ht="15.6" x14ac:dyDescent="0.3">
      <c r="A43" s="169" t="s">
        <v>90</v>
      </c>
      <c r="B43" s="205" t="s">
        <v>91</v>
      </c>
      <c r="C43" s="66">
        <v>20.513100000000001</v>
      </c>
      <c r="D43" s="66">
        <v>0</v>
      </c>
      <c r="E43" s="66">
        <v>26.6404</v>
      </c>
      <c r="F43" s="66">
        <v>20.513100000000001</v>
      </c>
      <c r="G43" s="66">
        <v>6.1273</v>
      </c>
      <c r="H43" s="66">
        <v>20.513100000000001</v>
      </c>
      <c r="I43" s="66">
        <v>0.35256298999999997</v>
      </c>
      <c r="J43" s="66">
        <v>26.6404</v>
      </c>
      <c r="K43" s="66">
        <v>20.513100000000001</v>
      </c>
      <c r="L43" s="66">
        <v>0</v>
      </c>
      <c r="M43" s="66">
        <v>6.1273</v>
      </c>
      <c r="N43" s="67">
        <v>100</v>
      </c>
      <c r="O43" s="67">
        <v>100</v>
      </c>
      <c r="P43" s="67">
        <v>23.000030029579136</v>
      </c>
      <c r="Q43" s="67">
        <v>0.35256298999999997</v>
      </c>
      <c r="R43" s="67">
        <v>-8.3266726846886741E-16</v>
      </c>
      <c r="S43" s="64"/>
      <c r="T43" s="65"/>
    </row>
    <row r="44" spans="1:20" ht="15.6" x14ac:dyDescent="0.3">
      <c r="A44" s="206">
        <v>32</v>
      </c>
      <c r="B44" s="205" t="s">
        <v>93</v>
      </c>
      <c r="C44" s="66">
        <v>101.1484</v>
      </c>
      <c r="D44" s="66">
        <v>0</v>
      </c>
      <c r="E44" s="66">
        <v>108.76172043000001</v>
      </c>
      <c r="F44" s="66">
        <v>101.1484</v>
      </c>
      <c r="G44" s="66">
        <v>7.6133204299999999</v>
      </c>
      <c r="H44" s="66">
        <v>101.1484</v>
      </c>
      <c r="I44" s="66">
        <v>0.32298900000000003</v>
      </c>
      <c r="J44" s="66">
        <v>108.76172043000001</v>
      </c>
      <c r="K44" s="66">
        <v>101.1484</v>
      </c>
      <c r="L44" s="66">
        <v>0</v>
      </c>
      <c r="M44" s="66">
        <v>7.6133204299999999</v>
      </c>
      <c r="N44" s="67">
        <v>100</v>
      </c>
      <c r="O44" s="67">
        <v>100</v>
      </c>
      <c r="P44" s="67">
        <v>6.9999999999080549</v>
      </c>
      <c r="Q44" s="67">
        <v>0.32298900000000003</v>
      </c>
      <c r="R44" s="67">
        <v>6.8278716014447127E-15</v>
      </c>
      <c r="S44" s="64"/>
      <c r="T44" s="65"/>
    </row>
    <row r="45" spans="1:20" ht="15.6" x14ac:dyDescent="0.3">
      <c r="A45" s="208">
        <v>33</v>
      </c>
      <c r="B45" s="209" t="s">
        <v>95</v>
      </c>
      <c r="C45" s="61">
        <v>583.10730000000001</v>
      </c>
      <c r="D45" s="61">
        <v>0</v>
      </c>
      <c r="E45" s="61">
        <v>738.23430510999992</v>
      </c>
      <c r="F45" s="61">
        <v>583.10730000000001</v>
      </c>
      <c r="G45" s="61">
        <v>155.12700511</v>
      </c>
      <c r="H45" s="61">
        <v>583.10730000000001</v>
      </c>
      <c r="I45" s="61">
        <v>2.7514714199999997</v>
      </c>
      <c r="J45" s="61">
        <v>738.23430508999991</v>
      </c>
      <c r="K45" s="61">
        <v>583.10729997999999</v>
      </c>
      <c r="L45" s="61">
        <v>0</v>
      </c>
      <c r="M45" s="61">
        <v>155.12700511</v>
      </c>
      <c r="N45" s="61">
        <v>99.999999996570097</v>
      </c>
      <c r="O45" s="61">
        <v>100</v>
      </c>
      <c r="P45" s="61">
        <v>21.013247967538991</v>
      </c>
      <c r="Q45" s="61">
        <v>2.7514714199999997</v>
      </c>
      <c r="R45" s="61">
        <v>2.0000010314547012E-8</v>
      </c>
      <c r="S45" s="59"/>
      <c r="T45" s="60"/>
    </row>
    <row r="46" spans="1:20" ht="15.6" x14ac:dyDescent="0.3">
      <c r="A46" s="171">
        <v>34</v>
      </c>
      <c r="B46" s="211" t="s">
        <v>97</v>
      </c>
      <c r="C46" s="66">
        <v>6.2317</v>
      </c>
      <c r="D46" s="66">
        <v>0</v>
      </c>
      <c r="E46" s="66">
        <v>6.9241111100000001</v>
      </c>
      <c r="F46" s="66">
        <v>6.2317</v>
      </c>
      <c r="G46" s="66">
        <v>0.69241111</v>
      </c>
      <c r="H46" s="66">
        <v>6.2317</v>
      </c>
      <c r="I46" s="66">
        <v>0</v>
      </c>
      <c r="J46" s="66">
        <v>6.9241111100000001</v>
      </c>
      <c r="K46" s="66">
        <v>6.2317</v>
      </c>
      <c r="L46" s="66">
        <v>0</v>
      </c>
      <c r="M46" s="66">
        <v>0.69241111</v>
      </c>
      <c r="N46" s="67">
        <v>100</v>
      </c>
      <c r="O46" s="67">
        <v>100</v>
      </c>
      <c r="P46" s="67">
        <v>9.9999999855577126</v>
      </c>
      <c r="Q46" s="67">
        <v>0</v>
      </c>
      <c r="R46" s="67">
        <v>0</v>
      </c>
      <c r="S46" s="64"/>
      <c r="T46" s="65"/>
    </row>
    <row r="47" spans="1:20" ht="15.6" x14ac:dyDescent="0.3">
      <c r="A47" s="171">
        <v>35</v>
      </c>
      <c r="B47" s="211" t="s">
        <v>99</v>
      </c>
      <c r="C47" s="66">
        <v>0</v>
      </c>
      <c r="D47" s="66">
        <v>0</v>
      </c>
      <c r="E47" s="66">
        <v>0</v>
      </c>
      <c r="F47" s="66">
        <v>0</v>
      </c>
      <c r="G47" s="66">
        <v>0</v>
      </c>
      <c r="H47" s="66">
        <v>0</v>
      </c>
      <c r="I47" s="66">
        <v>0</v>
      </c>
      <c r="J47" s="66">
        <v>0</v>
      </c>
      <c r="K47" s="66">
        <v>0</v>
      </c>
      <c r="L47" s="66">
        <v>0</v>
      </c>
      <c r="M47" s="66">
        <v>0</v>
      </c>
      <c r="N47" s="67" t="s">
        <v>1230</v>
      </c>
      <c r="O47" s="67" t="s">
        <v>1230</v>
      </c>
      <c r="P47" s="67">
        <v>0</v>
      </c>
      <c r="Q47" s="67">
        <v>0</v>
      </c>
      <c r="R47" s="67">
        <v>0</v>
      </c>
      <c r="S47" s="64"/>
      <c r="T47" s="65"/>
    </row>
    <row r="48" spans="1:20" s="126" customFormat="1" ht="15.6" x14ac:dyDescent="0.3">
      <c r="A48" s="169">
        <v>36</v>
      </c>
      <c r="B48" s="205" t="s">
        <v>318</v>
      </c>
      <c r="C48" s="66">
        <v>34.103700000000003</v>
      </c>
      <c r="D48" s="66">
        <v>0</v>
      </c>
      <c r="E48" s="66">
        <v>35.898631999999999</v>
      </c>
      <c r="F48" s="66">
        <v>34.103700000000003</v>
      </c>
      <c r="G48" s="66">
        <v>1.794932</v>
      </c>
      <c r="H48" s="66">
        <v>34.103700000000003</v>
      </c>
      <c r="I48" s="66">
        <v>0.17824423</v>
      </c>
      <c r="J48" s="66">
        <v>35.898631999999999</v>
      </c>
      <c r="K48" s="66">
        <v>34.103700000000003</v>
      </c>
      <c r="L48" s="66">
        <v>0</v>
      </c>
      <c r="M48" s="66">
        <v>1.794932</v>
      </c>
      <c r="N48" s="67">
        <v>100</v>
      </c>
      <c r="O48" s="67">
        <v>100</v>
      </c>
      <c r="P48" s="67">
        <v>5.0000011142485876</v>
      </c>
      <c r="Q48" s="67">
        <v>0.17824423</v>
      </c>
      <c r="R48" s="67">
        <v>-2.886579864025407E-15</v>
      </c>
      <c r="S48" s="27"/>
      <c r="T48" s="27"/>
    </row>
    <row r="49" spans="1:20" ht="15.6" x14ac:dyDescent="0.3">
      <c r="A49" s="171">
        <v>37</v>
      </c>
      <c r="B49" s="211" t="s">
        <v>101</v>
      </c>
      <c r="C49" s="66">
        <v>427.53969999999998</v>
      </c>
      <c r="D49" s="66">
        <v>0</v>
      </c>
      <c r="E49" s="66">
        <v>562.55229999999995</v>
      </c>
      <c r="F49" s="66">
        <v>427.53969999999998</v>
      </c>
      <c r="G49" s="66">
        <v>135.01259999999999</v>
      </c>
      <c r="H49" s="66">
        <v>427.53969999999998</v>
      </c>
      <c r="I49" s="66">
        <v>2.5732271899999999</v>
      </c>
      <c r="J49" s="66">
        <v>562.55229999999995</v>
      </c>
      <c r="K49" s="66">
        <v>427.53969999999998</v>
      </c>
      <c r="L49" s="66">
        <v>0</v>
      </c>
      <c r="M49" s="66">
        <v>135.01259999999999</v>
      </c>
      <c r="N49" s="67">
        <v>100</v>
      </c>
      <c r="O49" s="67">
        <v>100</v>
      </c>
      <c r="P49" s="67">
        <v>24.000008532539997</v>
      </c>
      <c r="Q49" s="67">
        <v>2.5732271899999999</v>
      </c>
      <c r="R49" s="67">
        <v>1.1546319456101628E-14</v>
      </c>
      <c r="S49" s="64"/>
      <c r="T49" s="65"/>
    </row>
    <row r="50" spans="1:20" ht="15.6" x14ac:dyDescent="0.3">
      <c r="A50" s="171">
        <v>38</v>
      </c>
      <c r="B50" s="211" t="s">
        <v>103</v>
      </c>
      <c r="C50" s="66">
        <v>1.74</v>
      </c>
      <c r="D50" s="66">
        <v>0</v>
      </c>
      <c r="E50" s="66">
        <v>2.1219519999999998</v>
      </c>
      <c r="F50" s="66">
        <v>1.74</v>
      </c>
      <c r="G50" s="66">
        <v>0.38195200000000001</v>
      </c>
      <c r="H50" s="66">
        <v>1.74</v>
      </c>
      <c r="I50" s="66">
        <v>0</v>
      </c>
      <c r="J50" s="66">
        <v>2.1219519999999998</v>
      </c>
      <c r="K50" s="66">
        <v>1.74</v>
      </c>
      <c r="L50" s="66">
        <v>0</v>
      </c>
      <c r="M50" s="66">
        <v>0.38195200000000001</v>
      </c>
      <c r="N50" s="67">
        <v>100</v>
      </c>
      <c r="O50" s="67">
        <v>100</v>
      </c>
      <c r="P50" s="67">
        <v>18.000030160908448</v>
      </c>
      <c r="Q50" s="67">
        <v>0</v>
      </c>
      <c r="R50" s="67">
        <v>0</v>
      </c>
      <c r="S50" s="64"/>
      <c r="T50" s="65"/>
    </row>
    <row r="51" spans="1:20" ht="15.6" x14ac:dyDescent="0.3">
      <c r="A51" s="171">
        <v>39</v>
      </c>
      <c r="B51" s="211" t="s">
        <v>105</v>
      </c>
      <c r="C51" s="66">
        <v>21.43</v>
      </c>
      <c r="D51" s="66">
        <v>0</v>
      </c>
      <c r="E51" s="66">
        <v>24.918610000000001</v>
      </c>
      <c r="F51" s="66">
        <v>21.43</v>
      </c>
      <c r="G51" s="66">
        <v>3.48861</v>
      </c>
      <c r="H51" s="66">
        <v>21.43</v>
      </c>
      <c r="I51" s="66">
        <v>0</v>
      </c>
      <c r="J51" s="66">
        <v>24.918610000000001</v>
      </c>
      <c r="K51" s="66">
        <v>21.43</v>
      </c>
      <c r="L51" s="66">
        <v>0</v>
      </c>
      <c r="M51" s="66">
        <v>3.48861</v>
      </c>
      <c r="N51" s="67">
        <v>100</v>
      </c>
      <c r="O51" s="67">
        <v>100</v>
      </c>
      <c r="P51" s="67">
        <v>14.000018460098696</v>
      </c>
      <c r="Q51" s="67">
        <v>0</v>
      </c>
      <c r="R51" s="67">
        <v>0</v>
      </c>
      <c r="S51" s="64"/>
      <c r="T51" s="65"/>
    </row>
    <row r="52" spans="1:20" s="126" customFormat="1" ht="15.6" x14ac:dyDescent="0.3">
      <c r="A52" s="206">
        <v>40</v>
      </c>
      <c r="B52" s="211" t="s">
        <v>107</v>
      </c>
      <c r="C52" s="66">
        <v>92.062200000000004</v>
      </c>
      <c r="D52" s="66">
        <v>0</v>
      </c>
      <c r="E52" s="66">
        <v>105.81870000000001</v>
      </c>
      <c r="F52" s="66">
        <v>92.062200000000004</v>
      </c>
      <c r="G52" s="66">
        <v>13.756500000000001</v>
      </c>
      <c r="H52" s="66">
        <v>92.062200000000004</v>
      </c>
      <c r="I52" s="66">
        <v>0</v>
      </c>
      <c r="J52" s="66">
        <v>105.81869998000001</v>
      </c>
      <c r="K52" s="66">
        <v>92.062199980000003</v>
      </c>
      <c r="L52" s="66">
        <v>0</v>
      </c>
      <c r="M52" s="66">
        <v>13.756500000000001</v>
      </c>
      <c r="N52" s="67">
        <v>99.999999978275554</v>
      </c>
      <c r="O52" s="67">
        <v>100</v>
      </c>
      <c r="P52" s="67">
        <v>13.000065208323305</v>
      </c>
      <c r="Q52" s="67">
        <v>0</v>
      </c>
      <c r="R52" s="67">
        <v>2.000000165480742E-8</v>
      </c>
      <c r="S52" s="64"/>
      <c r="T52" s="65"/>
    </row>
    <row r="53" spans="1:20" ht="15.6" x14ac:dyDescent="0.3">
      <c r="A53" s="169">
        <v>41</v>
      </c>
      <c r="B53" s="205" t="s">
        <v>319</v>
      </c>
      <c r="C53" s="66">
        <v>0</v>
      </c>
      <c r="D53" s="66">
        <v>0</v>
      </c>
      <c r="E53" s="66">
        <v>0</v>
      </c>
      <c r="F53" s="66">
        <v>0</v>
      </c>
      <c r="G53" s="66">
        <v>0</v>
      </c>
      <c r="H53" s="66">
        <v>0</v>
      </c>
      <c r="I53" s="66">
        <v>0</v>
      </c>
      <c r="J53" s="66">
        <v>0</v>
      </c>
      <c r="K53" s="66">
        <v>0</v>
      </c>
      <c r="L53" s="66">
        <v>0</v>
      </c>
      <c r="M53" s="66">
        <v>0</v>
      </c>
      <c r="N53" s="67" t="s">
        <v>1230</v>
      </c>
      <c r="O53" s="67" t="s">
        <v>1230</v>
      </c>
      <c r="P53" s="67">
        <v>0</v>
      </c>
      <c r="Q53" s="67">
        <v>0</v>
      </c>
      <c r="R53" s="67">
        <v>0</v>
      </c>
      <c r="S53" s="27"/>
      <c r="T53" s="27"/>
    </row>
    <row r="54" spans="1:20" ht="31.2" x14ac:dyDescent="0.3">
      <c r="A54" s="208">
        <v>42</v>
      </c>
      <c r="B54" s="212" t="s">
        <v>109</v>
      </c>
      <c r="C54" s="61">
        <v>318.82950000000005</v>
      </c>
      <c r="D54" s="61">
        <v>0</v>
      </c>
      <c r="E54" s="61">
        <v>338.37776860000002</v>
      </c>
      <c r="F54" s="61">
        <v>318.82950000000005</v>
      </c>
      <c r="G54" s="61">
        <v>19.5482686</v>
      </c>
      <c r="H54" s="61">
        <v>318.82946896999999</v>
      </c>
      <c r="I54" s="61">
        <v>0.20549504000000002</v>
      </c>
      <c r="J54" s="61">
        <v>337.5944179</v>
      </c>
      <c r="K54" s="61">
        <v>318.08531688000005</v>
      </c>
      <c r="L54" s="61">
        <v>0</v>
      </c>
      <c r="M54" s="61">
        <v>19.509101019999999</v>
      </c>
      <c r="N54" s="61">
        <v>99.766589001331425</v>
      </c>
      <c r="O54" s="61">
        <v>99.799636577533008</v>
      </c>
      <c r="P54" s="61">
        <v>5.7788577019004075</v>
      </c>
      <c r="Q54" s="61">
        <v>0.20549504000000002</v>
      </c>
      <c r="R54" s="61">
        <v>0.74415208999999172</v>
      </c>
      <c r="S54" s="59"/>
      <c r="T54" s="60"/>
    </row>
    <row r="55" spans="1:20" ht="15.6" x14ac:dyDescent="0.3">
      <c r="A55" s="171">
        <v>43</v>
      </c>
      <c r="B55" s="211" t="s">
        <v>111</v>
      </c>
      <c r="C55" s="66">
        <v>83.630300000000005</v>
      </c>
      <c r="D55" s="66">
        <v>0</v>
      </c>
      <c r="E55" s="66">
        <v>88.031894739999998</v>
      </c>
      <c r="F55" s="66">
        <v>83.630300000000005</v>
      </c>
      <c r="G55" s="66">
        <v>4.4015947400000002</v>
      </c>
      <c r="H55" s="66">
        <v>83.630300000000005</v>
      </c>
      <c r="I55" s="66">
        <v>0</v>
      </c>
      <c r="J55" s="66">
        <v>88.031894739999998</v>
      </c>
      <c r="K55" s="66">
        <v>83.630300000000005</v>
      </c>
      <c r="L55" s="66">
        <v>0</v>
      </c>
      <c r="M55" s="66">
        <v>4.4015947400000002</v>
      </c>
      <c r="N55" s="67">
        <v>100</v>
      </c>
      <c r="O55" s="67">
        <v>100</v>
      </c>
      <c r="P55" s="67">
        <v>5.0000000034078562</v>
      </c>
      <c r="Q55" s="67">
        <v>0</v>
      </c>
      <c r="R55" s="67">
        <v>0</v>
      </c>
      <c r="S55" s="64"/>
      <c r="T55" s="65"/>
    </row>
    <row r="56" spans="1:20" ht="15.6" x14ac:dyDescent="0.3">
      <c r="A56" s="171">
        <v>44</v>
      </c>
      <c r="B56" s="211" t="s">
        <v>113</v>
      </c>
      <c r="C56" s="66">
        <v>22.525099999999998</v>
      </c>
      <c r="D56" s="66">
        <v>0</v>
      </c>
      <c r="E56" s="66">
        <v>23.710632</v>
      </c>
      <c r="F56" s="66">
        <v>22.525099999999998</v>
      </c>
      <c r="G56" s="66">
        <v>1.185532</v>
      </c>
      <c r="H56" s="66">
        <v>22.52506897</v>
      </c>
      <c r="I56" s="66">
        <v>0</v>
      </c>
      <c r="J56" s="66">
        <v>22.927281300000001</v>
      </c>
      <c r="K56" s="66">
        <v>21.780916879999999</v>
      </c>
      <c r="L56" s="66">
        <v>0</v>
      </c>
      <c r="M56" s="66">
        <v>1.1463644199999998</v>
      </c>
      <c r="N56" s="67">
        <v>96.696205033495971</v>
      </c>
      <c r="O56" s="67">
        <v>96.6962022113279</v>
      </c>
      <c r="P56" s="67">
        <v>5.0000015483737261</v>
      </c>
      <c r="Q56" s="67">
        <v>0</v>
      </c>
      <c r="R56" s="67">
        <v>0.74415209000000004</v>
      </c>
      <c r="S56" s="64"/>
      <c r="T56" s="65"/>
    </row>
    <row r="57" spans="1:20" ht="31.2" x14ac:dyDescent="0.3">
      <c r="A57" s="171">
        <v>45</v>
      </c>
      <c r="B57" s="211" t="s">
        <v>115</v>
      </c>
      <c r="C57" s="66">
        <v>63.753300000000003</v>
      </c>
      <c r="D57" s="66">
        <v>0</v>
      </c>
      <c r="E57" s="66">
        <v>68.551935479999997</v>
      </c>
      <c r="F57" s="66">
        <v>63.753300000000003</v>
      </c>
      <c r="G57" s="66">
        <v>4.7986354800000006</v>
      </c>
      <c r="H57" s="66">
        <v>63.753300000000003</v>
      </c>
      <c r="I57" s="66">
        <v>0.16</v>
      </c>
      <c r="J57" s="66">
        <v>68.551935479999997</v>
      </c>
      <c r="K57" s="66">
        <v>63.753300000000003</v>
      </c>
      <c r="L57" s="66">
        <v>0</v>
      </c>
      <c r="M57" s="66">
        <v>4.7986354800000006</v>
      </c>
      <c r="N57" s="67">
        <v>100</v>
      </c>
      <c r="O57" s="67">
        <v>100</v>
      </c>
      <c r="P57" s="67">
        <v>6.9999999947485083</v>
      </c>
      <c r="Q57" s="67">
        <v>0.16</v>
      </c>
      <c r="R57" s="67">
        <v>-3.4139358007223564E-15</v>
      </c>
      <c r="S57" s="64"/>
      <c r="T57" s="65"/>
    </row>
    <row r="58" spans="1:20" ht="31.2" x14ac:dyDescent="0.3">
      <c r="A58" s="171">
        <v>46</v>
      </c>
      <c r="B58" s="211" t="s">
        <v>117</v>
      </c>
      <c r="C58" s="66">
        <v>26.569500000000001</v>
      </c>
      <c r="D58" s="66">
        <v>0</v>
      </c>
      <c r="E58" s="66">
        <v>27.9679</v>
      </c>
      <c r="F58" s="66">
        <v>26.569500000000001</v>
      </c>
      <c r="G58" s="66">
        <v>1.3984000000000001</v>
      </c>
      <c r="H58" s="66">
        <v>26.569500000000001</v>
      </c>
      <c r="I58" s="66">
        <v>0</v>
      </c>
      <c r="J58" s="66">
        <v>27.9679</v>
      </c>
      <c r="K58" s="66">
        <v>26.569500000000001</v>
      </c>
      <c r="L58" s="66">
        <v>0</v>
      </c>
      <c r="M58" s="66">
        <v>1.3984000000000001</v>
      </c>
      <c r="N58" s="67">
        <v>100</v>
      </c>
      <c r="O58" s="67">
        <v>100</v>
      </c>
      <c r="P58" s="67">
        <v>5.0000178776382933</v>
      </c>
      <c r="Q58" s="67">
        <v>0</v>
      </c>
      <c r="R58" s="67">
        <v>0</v>
      </c>
      <c r="S58" s="64"/>
      <c r="T58" s="65"/>
    </row>
    <row r="59" spans="1:20" ht="31.2" x14ac:dyDescent="0.3">
      <c r="A59" s="171">
        <v>47</v>
      </c>
      <c r="B59" s="211" t="s">
        <v>119</v>
      </c>
      <c r="C59" s="66">
        <v>11.9062</v>
      </c>
      <c r="D59" s="66">
        <v>0</v>
      </c>
      <c r="E59" s="66">
        <v>12.802365589999999</v>
      </c>
      <c r="F59" s="66">
        <v>11.9062</v>
      </c>
      <c r="G59" s="66">
        <v>0.89616558999999996</v>
      </c>
      <c r="H59" s="66">
        <v>11.9062</v>
      </c>
      <c r="I59" s="66">
        <v>0</v>
      </c>
      <c r="J59" s="66">
        <v>12.802365589999999</v>
      </c>
      <c r="K59" s="66">
        <v>11.9062</v>
      </c>
      <c r="L59" s="66">
        <v>0</v>
      </c>
      <c r="M59" s="66">
        <v>0.89616558999999996</v>
      </c>
      <c r="N59" s="67">
        <v>100</v>
      </c>
      <c r="O59" s="67">
        <v>100</v>
      </c>
      <c r="P59" s="67">
        <v>6.9999999898456275</v>
      </c>
      <c r="Q59" s="67">
        <v>0</v>
      </c>
      <c r="R59" s="67">
        <v>0</v>
      </c>
      <c r="S59" s="64"/>
      <c r="T59" s="65"/>
    </row>
    <row r="60" spans="1:20" ht="15.6" x14ac:dyDescent="0.3">
      <c r="A60" s="169">
        <v>48</v>
      </c>
      <c r="B60" s="211" t="s">
        <v>122</v>
      </c>
      <c r="C60" s="66">
        <v>16.23</v>
      </c>
      <c r="D60" s="66">
        <v>0</v>
      </c>
      <c r="E60" s="66">
        <v>17.084211</v>
      </c>
      <c r="F60" s="66">
        <v>16.23</v>
      </c>
      <c r="G60" s="66">
        <v>0.85421100000000005</v>
      </c>
      <c r="H60" s="66">
        <v>16.23</v>
      </c>
      <c r="I60" s="66">
        <v>3.9300000000000002E-2</v>
      </c>
      <c r="J60" s="66">
        <v>17.084211</v>
      </c>
      <c r="K60" s="66">
        <v>16.23</v>
      </c>
      <c r="L60" s="66">
        <v>0</v>
      </c>
      <c r="M60" s="66">
        <v>0.85421100000000005</v>
      </c>
      <c r="N60" s="67">
        <v>100</v>
      </c>
      <c r="O60" s="67">
        <v>100</v>
      </c>
      <c r="P60" s="67">
        <v>5.0000026340110182</v>
      </c>
      <c r="Q60" s="67">
        <v>3.9300000000000002E-2</v>
      </c>
      <c r="R60" s="67">
        <v>7.7715611723760958E-16</v>
      </c>
      <c r="S60" s="64"/>
      <c r="T60" s="65"/>
    </row>
    <row r="61" spans="1:20" ht="15.6" x14ac:dyDescent="0.3">
      <c r="A61" s="215">
        <v>49</v>
      </c>
      <c r="B61" s="211" t="s">
        <v>125</v>
      </c>
      <c r="C61" s="66">
        <v>94.215100000000007</v>
      </c>
      <c r="D61" s="66">
        <v>0</v>
      </c>
      <c r="E61" s="66">
        <v>100.22882979000001</v>
      </c>
      <c r="F61" s="66">
        <v>94.215100000000007</v>
      </c>
      <c r="G61" s="66">
        <v>6.0137297900000002</v>
      </c>
      <c r="H61" s="66">
        <v>94.215100000000007</v>
      </c>
      <c r="I61" s="66">
        <v>6.1950399999999997E-3</v>
      </c>
      <c r="J61" s="66">
        <v>100.22882979000001</v>
      </c>
      <c r="K61" s="66">
        <v>94.215100000000007</v>
      </c>
      <c r="L61" s="66">
        <v>0</v>
      </c>
      <c r="M61" s="66">
        <v>6.0137297900000002</v>
      </c>
      <c r="N61" s="67">
        <v>100</v>
      </c>
      <c r="O61" s="67">
        <v>100</v>
      </c>
      <c r="P61" s="67">
        <v>6.0000000025940636</v>
      </c>
      <c r="Q61" s="67">
        <v>6.1950399999999997E-3</v>
      </c>
      <c r="R61" s="67">
        <v>-5.6213714239028434E-15</v>
      </c>
      <c r="S61" s="64"/>
      <c r="T61" s="65"/>
    </row>
    <row r="62" spans="1:20" ht="15.6" x14ac:dyDescent="0.3">
      <c r="A62" s="202">
        <v>50</v>
      </c>
      <c r="B62" s="203" t="s">
        <v>128</v>
      </c>
      <c r="C62" s="61">
        <v>2595.7554</v>
      </c>
      <c r="D62" s="61">
        <v>0</v>
      </c>
      <c r="E62" s="61">
        <v>3347.6086707499994</v>
      </c>
      <c r="F62" s="61">
        <v>2595.7554</v>
      </c>
      <c r="G62" s="61">
        <v>751.85327074999998</v>
      </c>
      <c r="H62" s="61">
        <v>2595.7516809100002</v>
      </c>
      <c r="I62" s="61">
        <v>2.1621139899999999</v>
      </c>
      <c r="J62" s="61">
        <v>3347.6040792499994</v>
      </c>
      <c r="K62" s="61">
        <v>2595.7516809100002</v>
      </c>
      <c r="L62" s="61">
        <v>0</v>
      </c>
      <c r="M62" s="61">
        <v>751.85239834000015</v>
      </c>
      <c r="N62" s="61">
        <v>99.999856724173625</v>
      </c>
      <c r="O62" s="61">
        <v>99.999883965391419</v>
      </c>
      <c r="P62" s="61">
        <v>22.459418155221208</v>
      </c>
      <c r="Q62" s="61">
        <v>2.1621139899999999</v>
      </c>
      <c r="R62" s="61">
        <v>4.4207693061792952E-14</v>
      </c>
      <c r="S62" s="59"/>
      <c r="T62" s="60"/>
    </row>
    <row r="63" spans="1:20" ht="15.6" x14ac:dyDescent="0.3">
      <c r="A63" s="169">
        <v>51</v>
      </c>
      <c r="B63" s="205" t="s">
        <v>131</v>
      </c>
      <c r="C63" s="66">
        <v>266.25080000000003</v>
      </c>
      <c r="D63" s="66">
        <v>0</v>
      </c>
      <c r="E63" s="66">
        <v>302.55775</v>
      </c>
      <c r="F63" s="66">
        <v>266.25080000000003</v>
      </c>
      <c r="G63" s="66">
        <v>36.306950000000001</v>
      </c>
      <c r="H63" s="66">
        <v>266.25080000000003</v>
      </c>
      <c r="I63" s="66">
        <v>0</v>
      </c>
      <c r="J63" s="66">
        <v>302.55775</v>
      </c>
      <c r="K63" s="66">
        <v>266.25080000000003</v>
      </c>
      <c r="L63" s="66">
        <v>0</v>
      </c>
      <c r="M63" s="66">
        <v>36.306950000000001</v>
      </c>
      <c r="N63" s="67">
        <v>100</v>
      </c>
      <c r="O63" s="67">
        <v>100</v>
      </c>
      <c r="P63" s="67">
        <v>12.000006610308281</v>
      </c>
      <c r="Q63" s="67">
        <v>0</v>
      </c>
      <c r="R63" s="67">
        <v>0</v>
      </c>
      <c r="S63" s="64"/>
      <c r="T63" s="65"/>
    </row>
    <row r="64" spans="1:20" ht="15.6" x14ac:dyDescent="0.3">
      <c r="A64" s="169">
        <v>52</v>
      </c>
      <c r="B64" s="205" t="s">
        <v>134</v>
      </c>
      <c r="C64" s="66">
        <v>59.645600000000002</v>
      </c>
      <c r="D64" s="66">
        <v>0</v>
      </c>
      <c r="E64" s="66">
        <v>64.832173909999995</v>
      </c>
      <c r="F64" s="66">
        <v>59.645600000000002</v>
      </c>
      <c r="G64" s="66">
        <v>5.1865739099999999</v>
      </c>
      <c r="H64" s="66">
        <v>59.645600000000002</v>
      </c>
      <c r="I64" s="66">
        <v>0</v>
      </c>
      <c r="J64" s="66">
        <v>64.832173909999995</v>
      </c>
      <c r="K64" s="66">
        <v>59.645600000000002</v>
      </c>
      <c r="L64" s="66">
        <v>0</v>
      </c>
      <c r="M64" s="66">
        <v>5.1865739099999999</v>
      </c>
      <c r="N64" s="67">
        <v>100</v>
      </c>
      <c r="O64" s="67">
        <v>100</v>
      </c>
      <c r="P64" s="67">
        <v>7.9999999956811578</v>
      </c>
      <c r="Q64" s="67">
        <v>0</v>
      </c>
      <c r="R64" s="67">
        <v>0</v>
      </c>
      <c r="S64" s="64"/>
      <c r="T64" s="65"/>
    </row>
    <row r="65" spans="1:20" ht="15.6" x14ac:dyDescent="0.3">
      <c r="A65" s="169">
        <v>53</v>
      </c>
      <c r="B65" s="205" t="s">
        <v>137</v>
      </c>
      <c r="C65" s="66">
        <v>198.70519999999999</v>
      </c>
      <c r="D65" s="66">
        <v>0</v>
      </c>
      <c r="E65" s="66">
        <v>248.38149999999999</v>
      </c>
      <c r="F65" s="66">
        <v>198.70519999999999</v>
      </c>
      <c r="G65" s="66">
        <v>49.676299999999998</v>
      </c>
      <c r="H65" s="66">
        <v>198.70519999999999</v>
      </c>
      <c r="I65" s="66">
        <v>0</v>
      </c>
      <c r="J65" s="66">
        <v>248.38149999999999</v>
      </c>
      <c r="K65" s="66">
        <v>198.70519999999999</v>
      </c>
      <c r="L65" s="66">
        <v>0</v>
      </c>
      <c r="M65" s="66">
        <v>49.676299999999998</v>
      </c>
      <c r="N65" s="67">
        <v>100</v>
      </c>
      <c r="O65" s="67">
        <v>100</v>
      </c>
      <c r="P65" s="67">
        <v>20</v>
      </c>
      <c r="Q65" s="67">
        <v>0</v>
      </c>
      <c r="R65" s="67">
        <v>0</v>
      </c>
      <c r="S65" s="64"/>
      <c r="T65" s="65"/>
    </row>
    <row r="66" spans="1:20" ht="15.6" x14ac:dyDescent="0.3">
      <c r="A66" s="169">
        <v>54</v>
      </c>
      <c r="B66" s="205" t="s">
        <v>140</v>
      </c>
      <c r="C66" s="66">
        <v>408.08479999999997</v>
      </c>
      <c r="D66" s="66">
        <v>0</v>
      </c>
      <c r="E66" s="66">
        <v>703.59448276000001</v>
      </c>
      <c r="F66" s="66">
        <v>408.08479999999997</v>
      </c>
      <c r="G66" s="66">
        <v>295.50968275999998</v>
      </c>
      <c r="H66" s="66">
        <v>408.08479999999997</v>
      </c>
      <c r="I66" s="66">
        <v>0</v>
      </c>
      <c r="J66" s="66">
        <v>703.59448276000001</v>
      </c>
      <c r="K66" s="66">
        <v>408.08479999999997</v>
      </c>
      <c r="L66" s="66">
        <v>0</v>
      </c>
      <c r="M66" s="66">
        <v>295.50968275999998</v>
      </c>
      <c r="N66" s="67">
        <v>100</v>
      </c>
      <c r="O66" s="67">
        <v>100</v>
      </c>
      <c r="P66" s="67">
        <v>42.000000000113694</v>
      </c>
      <c r="Q66" s="67">
        <v>0</v>
      </c>
      <c r="R66" s="67">
        <v>0</v>
      </c>
      <c r="S66" s="64"/>
      <c r="T66" s="65"/>
    </row>
    <row r="67" spans="1:20" ht="15.6" x14ac:dyDescent="0.3">
      <c r="A67" s="169">
        <v>55</v>
      </c>
      <c r="B67" s="205" t="s">
        <v>143</v>
      </c>
      <c r="C67" s="66">
        <v>363.28769999999997</v>
      </c>
      <c r="D67" s="66">
        <v>0</v>
      </c>
      <c r="E67" s="66">
        <v>448.50369999999998</v>
      </c>
      <c r="F67" s="66">
        <v>363.28769999999997</v>
      </c>
      <c r="G67" s="66">
        <v>85.215999999999994</v>
      </c>
      <c r="H67" s="66">
        <v>363.28398091000003</v>
      </c>
      <c r="I67" s="66">
        <v>0</v>
      </c>
      <c r="J67" s="66">
        <v>448.49910849999998</v>
      </c>
      <c r="K67" s="66">
        <v>363.28398091000003</v>
      </c>
      <c r="L67" s="66">
        <v>0</v>
      </c>
      <c r="M67" s="66">
        <v>85.215127590000009</v>
      </c>
      <c r="N67" s="67">
        <v>99.99897626867083</v>
      </c>
      <c r="O67" s="67">
        <v>99.998976236856947</v>
      </c>
      <c r="P67" s="67">
        <v>19.00006621529327</v>
      </c>
      <c r="Q67" s="67">
        <v>0</v>
      </c>
      <c r="R67" s="67">
        <v>0</v>
      </c>
      <c r="S67" s="64"/>
      <c r="T67" s="65"/>
    </row>
    <row r="68" spans="1:20" ht="15.6" x14ac:dyDescent="0.3">
      <c r="A68" s="169">
        <v>56</v>
      </c>
      <c r="B68" s="205" t="s">
        <v>146</v>
      </c>
      <c r="C68" s="66">
        <v>93.142300000000006</v>
      </c>
      <c r="D68" s="66">
        <v>0</v>
      </c>
      <c r="E68" s="66">
        <v>99.087553189999994</v>
      </c>
      <c r="F68" s="66">
        <v>93.142300000000006</v>
      </c>
      <c r="G68" s="66">
        <v>5.9452531900000007</v>
      </c>
      <c r="H68" s="66">
        <v>93.142300000000006</v>
      </c>
      <c r="I68" s="66">
        <v>1.0817891000000002</v>
      </c>
      <c r="J68" s="66">
        <v>99.087553189999994</v>
      </c>
      <c r="K68" s="66">
        <v>93.142300000000006</v>
      </c>
      <c r="L68" s="66">
        <v>0</v>
      </c>
      <c r="M68" s="66">
        <v>5.9452531900000007</v>
      </c>
      <c r="N68" s="67">
        <v>100</v>
      </c>
      <c r="O68" s="67">
        <v>100</v>
      </c>
      <c r="P68" s="67">
        <v>5.9999999985871089</v>
      </c>
      <c r="Q68" s="67">
        <v>1.0817891000000002</v>
      </c>
      <c r="R68" s="67">
        <v>-5.5511151231257827E-15</v>
      </c>
      <c r="S68" s="64"/>
      <c r="T68" s="65"/>
    </row>
    <row r="69" spans="1:20" ht="15.6" x14ac:dyDescent="0.3">
      <c r="A69" s="169">
        <v>57</v>
      </c>
      <c r="B69" s="205" t="s">
        <v>149</v>
      </c>
      <c r="C69" s="66">
        <v>204.2501</v>
      </c>
      <c r="D69" s="66">
        <v>0</v>
      </c>
      <c r="E69" s="66">
        <v>279.79465754</v>
      </c>
      <c r="F69" s="66">
        <v>204.2501</v>
      </c>
      <c r="G69" s="66">
        <v>75.54455754</v>
      </c>
      <c r="H69" s="66">
        <v>204.2501</v>
      </c>
      <c r="I69" s="66">
        <v>7.7876169999999995E-2</v>
      </c>
      <c r="J69" s="66">
        <v>279.79465754</v>
      </c>
      <c r="K69" s="66">
        <v>204.2501</v>
      </c>
      <c r="L69" s="66">
        <v>0</v>
      </c>
      <c r="M69" s="66">
        <v>75.54455754</v>
      </c>
      <c r="N69" s="67">
        <v>100</v>
      </c>
      <c r="O69" s="67">
        <v>100</v>
      </c>
      <c r="P69" s="67">
        <v>27.0000000015011</v>
      </c>
      <c r="Q69" s="67">
        <v>7.7876169999999995E-2</v>
      </c>
      <c r="R69" s="67">
        <v>-3.858025010572419E-15</v>
      </c>
      <c r="S69" s="64"/>
      <c r="T69" s="65"/>
    </row>
    <row r="70" spans="1:20" ht="15.6" x14ac:dyDescent="0.3">
      <c r="A70" s="169">
        <v>58</v>
      </c>
      <c r="B70" s="205" t="s">
        <v>152</v>
      </c>
      <c r="C70" s="66">
        <v>386.59519999999998</v>
      </c>
      <c r="D70" s="66">
        <v>0</v>
      </c>
      <c r="E70" s="66">
        <v>406.94240000000002</v>
      </c>
      <c r="F70" s="66">
        <v>386.59519999999998</v>
      </c>
      <c r="G70" s="66">
        <v>20.347200000000001</v>
      </c>
      <c r="H70" s="66">
        <v>386.59519999999998</v>
      </c>
      <c r="I70" s="66">
        <v>0.21475190999999999</v>
      </c>
      <c r="J70" s="66">
        <v>406.94240000000002</v>
      </c>
      <c r="K70" s="66">
        <v>386.59519999999998</v>
      </c>
      <c r="L70" s="66">
        <v>0</v>
      </c>
      <c r="M70" s="66">
        <v>20.347200000000001</v>
      </c>
      <c r="N70" s="67">
        <v>100</v>
      </c>
      <c r="O70" s="67">
        <v>100</v>
      </c>
      <c r="P70" s="67">
        <v>5.0000196588018353</v>
      </c>
      <c r="Q70" s="67">
        <v>0.21475190999999999</v>
      </c>
      <c r="R70" s="67">
        <v>1.8152146452621309E-14</v>
      </c>
      <c r="S70" s="64"/>
      <c r="T70" s="65"/>
    </row>
    <row r="71" spans="1:20" ht="15.6" x14ac:dyDescent="0.3">
      <c r="A71" s="169">
        <v>59</v>
      </c>
      <c r="B71" s="205" t="s">
        <v>155</v>
      </c>
      <c r="C71" s="66">
        <v>257.85559999999998</v>
      </c>
      <c r="D71" s="66">
        <v>0</v>
      </c>
      <c r="E71" s="66">
        <v>348.45351399999998</v>
      </c>
      <c r="F71" s="66">
        <v>257.85559999999998</v>
      </c>
      <c r="G71" s="66">
        <v>90.597914000000003</v>
      </c>
      <c r="H71" s="66">
        <v>257.85559999999998</v>
      </c>
      <c r="I71" s="66">
        <v>4.8823070000000003E-2</v>
      </c>
      <c r="J71" s="66">
        <v>348.45351399999998</v>
      </c>
      <c r="K71" s="66">
        <v>257.85559999999998</v>
      </c>
      <c r="L71" s="66">
        <v>0</v>
      </c>
      <c r="M71" s="66">
        <v>90.597914000000003</v>
      </c>
      <c r="N71" s="67">
        <v>100</v>
      </c>
      <c r="O71" s="67">
        <v>100</v>
      </c>
      <c r="P71" s="67">
        <v>26.000000103313642</v>
      </c>
      <c r="Q71" s="67">
        <v>4.8823070000000003E-2</v>
      </c>
      <c r="R71" s="67">
        <v>2.5833502004246611E-14</v>
      </c>
      <c r="S71" s="64"/>
      <c r="T71" s="65"/>
    </row>
    <row r="72" spans="1:20" ht="15.6" x14ac:dyDescent="0.3">
      <c r="A72" s="169">
        <v>60</v>
      </c>
      <c r="B72" s="205" t="s">
        <v>158</v>
      </c>
      <c r="C72" s="66">
        <v>67.079899999999995</v>
      </c>
      <c r="D72" s="66">
        <v>0</v>
      </c>
      <c r="E72" s="66">
        <v>89.439899999999994</v>
      </c>
      <c r="F72" s="66">
        <v>67.079899999999995</v>
      </c>
      <c r="G72" s="66">
        <v>22.36</v>
      </c>
      <c r="H72" s="66">
        <v>67.079899999999995</v>
      </c>
      <c r="I72" s="66">
        <v>0</v>
      </c>
      <c r="J72" s="66">
        <v>89.439899999999994</v>
      </c>
      <c r="K72" s="66">
        <v>67.079899999999995</v>
      </c>
      <c r="L72" s="66">
        <v>0</v>
      </c>
      <c r="M72" s="66">
        <v>22.36</v>
      </c>
      <c r="N72" s="67">
        <v>100</v>
      </c>
      <c r="O72" s="67">
        <v>100</v>
      </c>
      <c r="P72" s="67">
        <v>25.000027951730718</v>
      </c>
      <c r="Q72" s="67">
        <v>0</v>
      </c>
      <c r="R72" s="67">
        <v>0</v>
      </c>
      <c r="S72" s="64"/>
      <c r="T72" s="65"/>
    </row>
    <row r="73" spans="1:20" ht="15.6" x14ac:dyDescent="0.3">
      <c r="A73" s="169">
        <v>61</v>
      </c>
      <c r="B73" s="205" t="s">
        <v>161</v>
      </c>
      <c r="C73" s="66">
        <v>110.9648</v>
      </c>
      <c r="D73" s="66">
        <v>0</v>
      </c>
      <c r="E73" s="66">
        <v>120.61391304</v>
      </c>
      <c r="F73" s="66">
        <v>110.9648</v>
      </c>
      <c r="G73" s="66">
        <v>9.6491130399999996</v>
      </c>
      <c r="H73" s="66">
        <v>110.9648</v>
      </c>
      <c r="I73" s="66">
        <v>0.31104443999999998</v>
      </c>
      <c r="J73" s="66">
        <v>120.61391304</v>
      </c>
      <c r="K73" s="66">
        <v>110.9648</v>
      </c>
      <c r="L73" s="66">
        <v>0</v>
      </c>
      <c r="M73" s="66">
        <v>9.6491130399999996</v>
      </c>
      <c r="N73" s="67">
        <v>100</v>
      </c>
      <c r="O73" s="67">
        <v>100</v>
      </c>
      <c r="P73" s="67">
        <v>7.9999999973469054</v>
      </c>
      <c r="Q73" s="67">
        <v>0.31104443999999998</v>
      </c>
      <c r="R73" s="67">
        <v>3.4416913763379853E-15</v>
      </c>
      <c r="S73" s="64"/>
      <c r="T73" s="65"/>
    </row>
    <row r="74" spans="1:20" ht="15.6" x14ac:dyDescent="0.3">
      <c r="A74" s="169">
        <v>62</v>
      </c>
      <c r="B74" s="205" t="s">
        <v>164</v>
      </c>
      <c r="C74" s="66">
        <v>71.497200000000007</v>
      </c>
      <c r="D74" s="66">
        <v>0</v>
      </c>
      <c r="E74" s="66">
        <v>109.99569231</v>
      </c>
      <c r="F74" s="66">
        <v>71.497200000000007</v>
      </c>
      <c r="G74" s="66">
        <v>38.498492310000003</v>
      </c>
      <c r="H74" s="66">
        <v>71.497200000000007</v>
      </c>
      <c r="I74" s="66">
        <v>8.4871799999999997E-2</v>
      </c>
      <c r="J74" s="66">
        <v>109.99569231</v>
      </c>
      <c r="K74" s="66">
        <v>71.497200000000007</v>
      </c>
      <c r="L74" s="66">
        <v>0</v>
      </c>
      <c r="M74" s="66">
        <v>38.498492310000003</v>
      </c>
      <c r="N74" s="67">
        <v>100</v>
      </c>
      <c r="O74" s="67">
        <v>100</v>
      </c>
      <c r="P74" s="67">
        <v>35.000000001363695</v>
      </c>
      <c r="Q74" s="67">
        <v>8.4871799999999997E-2</v>
      </c>
      <c r="R74" s="67">
        <v>1.9428902930940239E-15</v>
      </c>
      <c r="S74" s="64"/>
      <c r="T74" s="65"/>
    </row>
    <row r="75" spans="1:20" ht="15.6" x14ac:dyDescent="0.3">
      <c r="A75" s="169">
        <v>63</v>
      </c>
      <c r="B75" s="205" t="s">
        <v>167</v>
      </c>
      <c r="C75" s="66">
        <v>70.676500000000004</v>
      </c>
      <c r="D75" s="66">
        <v>0</v>
      </c>
      <c r="E75" s="66">
        <v>79.411799999999999</v>
      </c>
      <c r="F75" s="66">
        <v>70.676500000000004</v>
      </c>
      <c r="G75" s="66">
        <v>8.7353000000000005</v>
      </c>
      <c r="H75" s="66">
        <v>70.676500000000004</v>
      </c>
      <c r="I75" s="66">
        <v>0.24416061999999999</v>
      </c>
      <c r="J75" s="66">
        <v>79.411799999999999</v>
      </c>
      <c r="K75" s="66">
        <v>70.676500000000004</v>
      </c>
      <c r="L75" s="66">
        <v>0</v>
      </c>
      <c r="M75" s="66">
        <v>8.7353000000000005</v>
      </c>
      <c r="N75" s="67">
        <v>100</v>
      </c>
      <c r="O75" s="67">
        <v>100</v>
      </c>
      <c r="P75" s="67">
        <v>11.0000025185174</v>
      </c>
      <c r="Q75" s="67">
        <v>0.24416061999999999</v>
      </c>
      <c r="R75" s="67">
        <v>2.3869795029440866E-15</v>
      </c>
      <c r="S75" s="64"/>
      <c r="T75" s="65"/>
    </row>
    <row r="76" spans="1:20" ht="15.6" x14ac:dyDescent="0.3">
      <c r="A76" s="215">
        <v>64</v>
      </c>
      <c r="B76" s="205" t="s">
        <v>170</v>
      </c>
      <c r="C76" s="66">
        <v>37.719700000000003</v>
      </c>
      <c r="D76" s="66">
        <v>0</v>
      </c>
      <c r="E76" s="66">
        <v>45.999634</v>
      </c>
      <c r="F76" s="66">
        <v>37.719700000000003</v>
      </c>
      <c r="G76" s="66">
        <v>8.2799340000000008</v>
      </c>
      <c r="H76" s="66">
        <v>37.719700000000003</v>
      </c>
      <c r="I76" s="66">
        <v>9.8796880000000004E-2</v>
      </c>
      <c r="J76" s="66">
        <v>45.999634</v>
      </c>
      <c r="K76" s="66">
        <v>37.719700000000003</v>
      </c>
      <c r="L76" s="66">
        <v>0</v>
      </c>
      <c r="M76" s="66">
        <v>8.2799340000000008</v>
      </c>
      <c r="N76" s="67">
        <v>100</v>
      </c>
      <c r="O76" s="67">
        <v>100</v>
      </c>
      <c r="P76" s="67">
        <v>17.999999739128363</v>
      </c>
      <c r="Q76" s="67">
        <v>9.8796880000000004E-2</v>
      </c>
      <c r="R76" s="67">
        <v>1.8596235662471372E-15</v>
      </c>
      <c r="S76" s="64"/>
      <c r="T76" s="65"/>
    </row>
    <row r="77" spans="1:20" ht="15.6" x14ac:dyDescent="0.3">
      <c r="A77" s="202">
        <v>65</v>
      </c>
      <c r="B77" s="203" t="s">
        <v>173</v>
      </c>
      <c r="C77" s="61">
        <v>415.9085</v>
      </c>
      <c r="D77" s="61">
        <v>0</v>
      </c>
      <c r="E77" s="61">
        <v>1310.535179</v>
      </c>
      <c r="F77" s="61">
        <v>415.9085</v>
      </c>
      <c r="G77" s="61">
        <v>894.62667899999997</v>
      </c>
      <c r="H77" s="61">
        <v>415.90849999</v>
      </c>
      <c r="I77" s="61">
        <v>2.09582654</v>
      </c>
      <c r="J77" s="61">
        <v>1310.53517898</v>
      </c>
      <c r="K77" s="61">
        <v>415.90849999</v>
      </c>
      <c r="L77" s="61">
        <v>0</v>
      </c>
      <c r="M77" s="61">
        <v>894.62667898999996</v>
      </c>
      <c r="N77" s="61">
        <v>99.999999997595623</v>
      </c>
      <c r="O77" s="61">
        <v>99.999999998882217</v>
      </c>
      <c r="P77" s="61">
        <v>68.264224672419331</v>
      </c>
      <c r="Q77" s="61">
        <v>2.09582654</v>
      </c>
      <c r="R77" s="61">
        <v>1.8737615625763482E-14</v>
      </c>
      <c r="S77" s="59"/>
      <c r="T77" s="60"/>
    </row>
    <row r="78" spans="1:20" ht="15.6" x14ac:dyDescent="0.3">
      <c r="A78" s="169">
        <v>66</v>
      </c>
      <c r="B78" s="205" t="s">
        <v>176</v>
      </c>
      <c r="C78" s="66">
        <v>27.7638</v>
      </c>
      <c r="D78" s="66">
        <v>0</v>
      </c>
      <c r="E78" s="66">
        <v>29.853549000000001</v>
      </c>
      <c r="F78" s="66">
        <v>27.7638</v>
      </c>
      <c r="G78" s="66">
        <v>2.0897489999999999</v>
      </c>
      <c r="H78" s="66">
        <v>27.7638</v>
      </c>
      <c r="I78" s="66">
        <v>4.4403100000000003E-3</v>
      </c>
      <c r="J78" s="66">
        <v>29.853549000000001</v>
      </c>
      <c r="K78" s="66">
        <v>27.7638</v>
      </c>
      <c r="L78" s="66">
        <v>0</v>
      </c>
      <c r="M78" s="66">
        <v>2.0897489999999999</v>
      </c>
      <c r="N78" s="67">
        <v>100</v>
      </c>
      <c r="O78" s="67">
        <v>100</v>
      </c>
      <c r="P78" s="67">
        <v>7.00000190932073</v>
      </c>
      <c r="Q78" s="67">
        <v>4.4403100000000003E-3</v>
      </c>
      <c r="R78" s="67">
        <v>-3.3046482217358175E-16</v>
      </c>
      <c r="S78" s="64"/>
      <c r="T78" s="65"/>
    </row>
    <row r="79" spans="1:20" ht="15.6" x14ac:dyDescent="0.3">
      <c r="A79" s="169">
        <v>67</v>
      </c>
      <c r="B79" s="205" t="s">
        <v>179</v>
      </c>
      <c r="C79" s="66">
        <v>262.96109999999999</v>
      </c>
      <c r="D79" s="66">
        <v>0</v>
      </c>
      <c r="E79" s="66">
        <v>392.47930000000002</v>
      </c>
      <c r="F79" s="66">
        <v>262.96109999999999</v>
      </c>
      <c r="G79" s="66">
        <v>129.51820000000001</v>
      </c>
      <c r="H79" s="66">
        <v>262.96109999999999</v>
      </c>
      <c r="I79" s="66">
        <v>2.0057307799999999</v>
      </c>
      <c r="J79" s="66">
        <v>392.47930000000002</v>
      </c>
      <c r="K79" s="66">
        <v>262.96109999999999</v>
      </c>
      <c r="L79" s="66">
        <v>0</v>
      </c>
      <c r="M79" s="66">
        <v>129.51820000000001</v>
      </c>
      <c r="N79" s="67">
        <v>100</v>
      </c>
      <c r="O79" s="67">
        <v>100</v>
      </c>
      <c r="P79" s="67">
        <v>33.000007898505729</v>
      </c>
      <c r="Q79" s="67">
        <v>2.0057307799999999</v>
      </c>
      <c r="R79" s="67">
        <v>2.1760371282653068E-14</v>
      </c>
      <c r="S79" s="64"/>
      <c r="T79" s="65"/>
    </row>
    <row r="80" spans="1:20" ht="15.6" x14ac:dyDescent="0.3">
      <c r="A80" s="169">
        <v>68</v>
      </c>
      <c r="B80" s="205" t="s">
        <v>182</v>
      </c>
      <c r="C80" s="66">
        <v>41.358800000000002</v>
      </c>
      <c r="D80" s="66">
        <v>0</v>
      </c>
      <c r="E80" s="66">
        <v>781.56673000000001</v>
      </c>
      <c r="F80" s="66">
        <v>41.358800000000002</v>
      </c>
      <c r="G80" s="66">
        <v>740.20793000000003</v>
      </c>
      <c r="H80" s="66">
        <v>41.358800000000002</v>
      </c>
      <c r="I80" s="66">
        <v>8.5655449999999994E-2</v>
      </c>
      <c r="J80" s="66">
        <v>781.56673000000001</v>
      </c>
      <c r="K80" s="66">
        <v>41.358800000000002</v>
      </c>
      <c r="L80" s="66">
        <v>0</v>
      </c>
      <c r="M80" s="66">
        <v>740.20793000000003</v>
      </c>
      <c r="N80" s="67">
        <v>100</v>
      </c>
      <c r="O80" s="67">
        <v>100</v>
      </c>
      <c r="P80" s="67">
        <v>94.708218964233552</v>
      </c>
      <c r="Q80" s="67">
        <v>8.5655449999999994E-2</v>
      </c>
      <c r="R80" s="67">
        <v>-2.6922908347160046E-15</v>
      </c>
      <c r="S80" s="64"/>
      <c r="T80" s="65"/>
    </row>
    <row r="81" spans="1:20" ht="31.2" x14ac:dyDescent="0.3">
      <c r="A81" s="169">
        <v>69</v>
      </c>
      <c r="B81" s="213" t="s">
        <v>300</v>
      </c>
      <c r="C81" s="66">
        <v>1.5</v>
      </c>
      <c r="D81" s="66">
        <v>0</v>
      </c>
      <c r="E81" s="66">
        <v>5</v>
      </c>
      <c r="F81" s="66">
        <v>1.5</v>
      </c>
      <c r="G81" s="66">
        <v>3.5</v>
      </c>
      <c r="H81" s="66">
        <v>1.4999999900000001</v>
      </c>
      <c r="I81" s="66">
        <v>0</v>
      </c>
      <c r="J81" s="66">
        <v>4.9999999800000001</v>
      </c>
      <c r="K81" s="66">
        <v>1.4999999900000001</v>
      </c>
      <c r="L81" s="66">
        <v>0</v>
      </c>
      <c r="M81" s="66">
        <v>3.4999999900000001</v>
      </c>
      <c r="N81" s="67">
        <v>99.999999333333335</v>
      </c>
      <c r="O81" s="67">
        <v>99.999999714285721</v>
      </c>
      <c r="P81" s="67">
        <v>70.000000080000007</v>
      </c>
      <c r="Q81" s="67">
        <v>0</v>
      </c>
      <c r="R81" s="67">
        <v>0</v>
      </c>
      <c r="S81" s="64"/>
      <c r="T81" s="65"/>
    </row>
    <row r="82" spans="1:20" ht="31.2" x14ac:dyDescent="0.3">
      <c r="A82" s="169">
        <v>70</v>
      </c>
      <c r="B82" s="213" t="s">
        <v>301</v>
      </c>
      <c r="C82" s="66">
        <v>0</v>
      </c>
      <c r="D82" s="66">
        <v>0</v>
      </c>
      <c r="E82" s="66">
        <v>0</v>
      </c>
      <c r="F82" s="66">
        <v>0</v>
      </c>
      <c r="G82" s="66">
        <v>0</v>
      </c>
      <c r="H82" s="66">
        <v>0</v>
      </c>
      <c r="I82" s="66">
        <v>0</v>
      </c>
      <c r="J82" s="66">
        <v>0</v>
      </c>
      <c r="K82" s="66">
        <v>0</v>
      </c>
      <c r="L82" s="66">
        <v>0</v>
      </c>
      <c r="M82" s="66">
        <v>0</v>
      </c>
      <c r="N82" s="67" t="s">
        <v>1230</v>
      </c>
      <c r="O82" s="67" t="s">
        <v>1230</v>
      </c>
      <c r="P82" s="67">
        <v>0</v>
      </c>
      <c r="Q82" s="67">
        <v>0</v>
      </c>
      <c r="R82" s="67">
        <v>0</v>
      </c>
      <c r="S82" s="64"/>
      <c r="T82" s="65"/>
    </row>
    <row r="83" spans="1:20" ht="15.6" x14ac:dyDescent="0.3">
      <c r="A83" s="215">
        <v>71</v>
      </c>
      <c r="B83" s="205" t="s">
        <v>189</v>
      </c>
      <c r="C83" s="66">
        <v>82.324799999999996</v>
      </c>
      <c r="D83" s="66">
        <v>0</v>
      </c>
      <c r="E83" s="66">
        <v>101.6356</v>
      </c>
      <c r="F83" s="66">
        <v>82.324799999999996</v>
      </c>
      <c r="G83" s="66">
        <v>19.3108</v>
      </c>
      <c r="H83" s="66">
        <v>82.324799999999996</v>
      </c>
      <c r="I83" s="66">
        <v>0</v>
      </c>
      <c r="J83" s="66">
        <v>101.6356</v>
      </c>
      <c r="K83" s="66">
        <v>82.324799999999996</v>
      </c>
      <c r="L83" s="66">
        <v>0</v>
      </c>
      <c r="M83" s="66">
        <v>19.3108</v>
      </c>
      <c r="N83" s="67">
        <v>100</v>
      </c>
      <c r="O83" s="67">
        <v>100</v>
      </c>
      <c r="P83" s="67">
        <v>19.000035420659692</v>
      </c>
      <c r="Q83" s="67">
        <v>0</v>
      </c>
      <c r="R83" s="67">
        <v>0</v>
      </c>
      <c r="S83" s="64"/>
      <c r="T83" s="65"/>
    </row>
    <row r="84" spans="1:20" ht="15.6" x14ac:dyDescent="0.3">
      <c r="A84" s="202">
        <v>72</v>
      </c>
      <c r="B84" s="203" t="s">
        <v>192</v>
      </c>
      <c r="C84" s="61">
        <v>946.98609999999985</v>
      </c>
      <c r="D84" s="61">
        <v>0</v>
      </c>
      <c r="E84" s="61">
        <v>1436.3202973400003</v>
      </c>
      <c r="F84" s="61">
        <v>946.98609999999985</v>
      </c>
      <c r="G84" s="61">
        <v>489.33419734</v>
      </c>
      <c r="H84" s="61">
        <v>946.98609999999985</v>
      </c>
      <c r="I84" s="61">
        <v>0.85699513000000005</v>
      </c>
      <c r="J84" s="61">
        <v>1436.3202973400003</v>
      </c>
      <c r="K84" s="61">
        <v>946.98609999999985</v>
      </c>
      <c r="L84" s="61">
        <v>0</v>
      </c>
      <c r="M84" s="61">
        <v>489.33419734</v>
      </c>
      <c r="N84" s="61">
        <v>100</v>
      </c>
      <c r="O84" s="61">
        <v>100</v>
      </c>
      <c r="P84" s="61">
        <v>34.06859864378611</v>
      </c>
      <c r="Q84" s="61">
        <v>0.85699513000000005</v>
      </c>
      <c r="R84" s="61">
        <v>1.3600232051658168E-15</v>
      </c>
      <c r="S84" s="59"/>
      <c r="T84" s="60"/>
    </row>
    <row r="85" spans="1:20" ht="15.6" x14ac:dyDescent="0.3">
      <c r="A85" s="169">
        <v>73</v>
      </c>
      <c r="B85" s="205" t="s">
        <v>195</v>
      </c>
      <c r="C85" s="66">
        <v>6.0906000000000002</v>
      </c>
      <c r="D85" s="66">
        <v>0</v>
      </c>
      <c r="E85" s="66">
        <v>6.4111578899999992</v>
      </c>
      <c r="F85" s="66">
        <v>6.0906000000000002</v>
      </c>
      <c r="G85" s="66">
        <v>0.32055789000000001</v>
      </c>
      <c r="H85" s="66">
        <v>6.0906000000000002</v>
      </c>
      <c r="I85" s="66">
        <v>0</v>
      </c>
      <c r="J85" s="66">
        <v>6.4111578899999992</v>
      </c>
      <c r="K85" s="66">
        <v>6.0906000000000002</v>
      </c>
      <c r="L85" s="66">
        <v>0</v>
      </c>
      <c r="M85" s="66">
        <v>0.32055789000000001</v>
      </c>
      <c r="N85" s="67">
        <v>100</v>
      </c>
      <c r="O85" s="67">
        <v>100</v>
      </c>
      <c r="P85" s="67">
        <v>4.9999999298098716</v>
      </c>
      <c r="Q85" s="67">
        <v>0</v>
      </c>
      <c r="R85" s="67">
        <v>0</v>
      </c>
      <c r="S85" s="64"/>
      <c r="T85" s="65"/>
    </row>
    <row r="86" spans="1:20" ht="15.6" x14ac:dyDescent="0.3">
      <c r="A86" s="169">
        <v>74</v>
      </c>
      <c r="B86" s="205" t="s">
        <v>201</v>
      </c>
      <c r="C86" s="66">
        <v>1.2563</v>
      </c>
      <c r="D86" s="66">
        <v>0</v>
      </c>
      <c r="E86" s="66">
        <v>1.322422</v>
      </c>
      <c r="F86" s="66">
        <v>1.2563</v>
      </c>
      <c r="G86" s="66">
        <v>6.6122E-2</v>
      </c>
      <c r="H86" s="66">
        <v>1.2563</v>
      </c>
      <c r="I86" s="66">
        <v>0</v>
      </c>
      <c r="J86" s="66">
        <v>1.322422</v>
      </c>
      <c r="K86" s="66">
        <v>1.2563</v>
      </c>
      <c r="L86" s="66">
        <v>0</v>
      </c>
      <c r="M86" s="66">
        <v>6.6122E-2</v>
      </c>
      <c r="N86" s="67">
        <v>100</v>
      </c>
      <c r="O86" s="67">
        <v>100</v>
      </c>
      <c r="P86" s="67">
        <v>5.0000680569440012</v>
      </c>
      <c r="Q86" s="67">
        <v>0</v>
      </c>
      <c r="R86" s="67">
        <v>0</v>
      </c>
      <c r="S86" s="64"/>
      <c r="T86" s="65"/>
    </row>
    <row r="87" spans="1:20" ht="15.6" x14ac:dyDescent="0.3">
      <c r="A87" s="169">
        <v>75</v>
      </c>
      <c r="B87" s="205" t="s">
        <v>204</v>
      </c>
      <c r="C87" s="66">
        <v>14.3818</v>
      </c>
      <c r="D87" s="66">
        <v>0</v>
      </c>
      <c r="E87" s="66">
        <v>15.805</v>
      </c>
      <c r="F87" s="66">
        <v>14.3818</v>
      </c>
      <c r="G87" s="66">
        <v>1.4232</v>
      </c>
      <c r="H87" s="66">
        <v>14.3818</v>
      </c>
      <c r="I87" s="66">
        <v>8.0679050000000002E-2</v>
      </c>
      <c r="J87" s="66">
        <v>15.805</v>
      </c>
      <c r="K87" s="66">
        <v>14.3818</v>
      </c>
      <c r="L87" s="66">
        <v>0</v>
      </c>
      <c r="M87" s="66">
        <v>1.4232</v>
      </c>
      <c r="N87" s="67">
        <v>100</v>
      </c>
      <c r="O87" s="67">
        <v>100</v>
      </c>
      <c r="P87" s="67">
        <v>9.0047453337551424</v>
      </c>
      <c r="Q87" s="67">
        <v>8.0679050000000002E-2</v>
      </c>
      <c r="R87" s="67">
        <v>5.2735593669694936E-16</v>
      </c>
      <c r="S87" s="64"/>
      <c r="T87" s="65"/>
    </row>
    <row r="88" spans="1:20" ht="15.6" x14ac:dyDescent="0.3">
      <c r="A88" s="169">
        <v>76</v>
      </c>
      <c r="B88" s="205" t="s">
        <v>207</v>
      </c>
      <c r="C88" s="66">
        <v>267.34949999999998</v>
      </c>
      <c r="D88" s="66">
        <v>0</v>
      </c>
      <c r="E88" s="66">
        <v>287.47258065</v>
      </c>
      <c r="F88" s="66">
        <v>267.34949999999998</v>
      </c>
      <c r="G88" s="66">
        <v>20.123080649999999</v>
      </c>
      <c r="H88" s="66">
        <v>267.34949999999998</v>
      </c>
      <c r="I88" s="66">
        <v>0</v>
      </c>
      <c r="J88" s="66">
        <v>287.47258065</v>
      </c>
      <c r="K88" s="66">
        <v>267.34949999999998</v>
      </c>
      <c r="L88" s="66">
        <v>0</v>
      </c>
      <c r="M88" s="66">
        <v>20.123080649999999</v>
      </c>
      <c r="N88" s="67">
        <v>100</v>
      </c>
      <c r="O88" s="67">
        <v>100</v>
      </c>
      <c r="P88" s="67">
        <v>7.0000000015653665</v>
      </c>
      <c r="Q88" s="67">
        <v>0</v>
      </c>
      <c r="R88" s="67">
        <v>0</v>
      </c>
      <c r="S88" s="64"/>
      <c r="T88" s="65"/>
    </row>
    <row r="89" spans="1:20" ht="15.6" x14ac:dyDescent="0.3">
      <c r="A89" s="169">
        <v>77</v>
      </c>
      <c r="B89" s="205" t="s">
        <v>213</v>
      </c>
      <c r="C89" s="66">
        <v>162.1198</v>
      </c>
      <c r="D89" s="66">
        <v>0</v>
      </c>
      <c r="E89" s="66">
        <v>216.15973333000002</v>
      </c>
      <c r="F89" s="66">
        <v>162.1198</v>
      </c>
      <c r="G89" s="66">
        <v>54.039933329999997</v>
      </c>
      <c r="H89" s="66">
        <v>162.1198</v>
      </c>
      <c r="I89" s="66">
        <v>0.36713444000000001</v>
      </c>
      <c r="J89" s="66">
        <v>216.15973333000002</v>
      </c>
      <c r="K89" s="66">
        <v>162.1198</v>
      </c>
      <c r="L89" s="66">
        <v>0</v>
      </c>
      <c r="M89" s="66">
        <v>54.039933329999997</v>
      </c>
      <c r="N89" s="67">
        <v>100</v>
      </c>
      <c r="O89" s="67">
        <v>100</v>
      </c>
      <c r="P89" s="67">
        <v>24.999999998843446</v>
      </c>
      <c r="Q89" s="67">
        <v>0.36713444000000001</v>
      </c>
      <c r="R89" s="67">
        <v>9.4368957093138306E-16</v>
      </c>
      <c r="S89" s="64"/>
      <c r="T89" s="65"/>
    </row>
    <row r="90" spans="1:20" ht="15.6" x14ac:dyDescent="0.3">
      <c r="A90" s="169">
        <v>78</v>
      </c>
      <c r="B90" s="205" t="s">
        <v>216</v>
      </c>
      <c r="C90" s="66">
        <v>75.115700000000004</v>
      </c>
      <c r="D90" s="66">
        <v>0</v>
      </c>
      <c r="E90" s="66">
        <v>95.083200000000005</v>
      </c>
      <c r="F90" s="66">
        <v>75.115700000000004</v>
      </c>
      <c r="G90" s="66">
        <v>19.967500000000001</v>
      </c>
      <c r="H90" s="66">
        <v>75.115700000000004</v>
      </c>
      <c r="I90" s="66">
        <v>0</v>
      </c>
      <c r="J90" s="66">
        <v>95.083200000000005</v>
      </c>
      <c r="K90" s="66">
        <v>75.115700000000004</v>
      </c>
      <c r="L90" s="66">
        <v>0</v>
      </c>
      <c r="M90" s="66">
        <v>19.967500000000001</v>
      </c>
      <c r="N90" s="67">
        <v>100</v>
      </c>
      <c r="O90" s="67">
        <v>100</v>
      </c>
      <c r="P90" s="67">
        <v>21.000029447894057</v>
      </c>
      <c r="Q90" s="67">
        <v>0</v>
      </c>
      <c r="R90" s="67">
        <v>0</v>
      </c>
      <c r="S90" s="64"/>
      <c r="T90" s="65"/>
    </row>
    <row r="91" spans="1:20" ht="15.6" x14ac:dyDescent="0.3">
      <c r="A91" s="169">
        <v>79</v>
      </c>
      <c r="B91" s="205" t="s">
        <v>219</v>
      </c>
      <c r="C91" s="66">
        <v>68.133300000000006</v>
      </c>
      <c r="D91" s="66">
        <v>0</v>
      </c>
      <c r="E91" s="66">
        <v>378.13330000000002</v>
      </c>
      <c r="F91" s="66">
        <v>68.133300000000006</v>
      </c>
      <c r="G91" s="66">
        <v>310</v>
      </c>
      <c r="H91" s="66">
        <v>68.133300000000006</v>
      </c>
      <c r="I91" s="66">
        <v>0.19893729000000002</v>
      </c>
      <c r="J91" s="66">
        <v>378.13330000000002</v>
      </c>
      <c r="K91" s="66">
        <v>68.133300000000006</v>
      </c>
      <c r="L91" s="66">
        <v>0</v>
      </c>
      <c r="M91" s="66">
        <v>310</v>
      </c>
      <c r="N91" s="67">
        <v>100</v>
      </c>
      <c r="O91" s="67">
        <v>100</v>
      </c>
      <c r="P91" s="67">
        <v>81.981671542813075</v>
      </c>
      <c r="Q91" s="67">
        <v>0.19893729000000002</v>
      </c>
      <c r="R91" s="67">
        <v>3.4694469519536142E-15</v>
      </c>
      <c r="S91" s="64"/>
      <c r="T91" s="65"/>
    </row>
    <row r="92" spans="1:20" ht="15.6" x14ac:dyDescent="0.3">
      <c r="A92" s="169">
        <v>80</v>
      </c>
      <c r="B92" s="205" t="s">
        <v>222</v>
      </c>
      <c r="C92" s="66">
        <v>204.34729999999999</v>
      </c>
      <c r="D92" s="66">
        <v>0</v>
      </c>
      <c r="E92" s="66">
        <v>261.98371796000004</v>
      </c>
      <c r="F92" s="66">
        <v>204.34729999999999</v>
      </c>
      <c r="G92" s="66">
        <v>57.636417960000003</v>
      </c>
      <c r="H92" s="66">
        <v>204.34729999999999</v>
      </c>
      <c r="I92" s="66">
        <v>0</v>
      </c>
      <c r="J92" s="66">
        <v>261.98371796000004</v>
      </c>
      <c r="K92" s="66">
        <v>204.34729999999999</v>
      </c>
      <c r="L92" s="66">
        <v>0</v>
      </c>
      <c r="M92" s="66">
        <v>57.636417960000003</v>
      </c>
      <c r="N92" s="67">
        <v>100</v>
      </c>
      <c r="O92" s="67">
        <v>100</v>
      </c>
      <c r="P92" s="67">
        <v>22.000000003358984</v>
      </c>
      <c r="Q92" s="67">
        <v>0</v>
      </c>
      <c r="R92" s="67">
        <v>0</v>
      </c>
      <c r="S92" s="64"/>
      <c r="T92" s="65"/>
    </row>
    <row r="93" spans="1:20" ht="15.6" x14ac:dyDescent="0.3">
      <c r="A93" s="169">
        <v>81</v>
      </c>
      <c r="B93" s="205" t="s">
        <v>225</v>
      </c>
      <c r="C93" s="66">
        <v>109.334</v>
      </c>
      <c r="D93" s="66">
        <v>0</v>
      </c>
      <c r="E93" s="66">
        <v>127.132559</v>
      </c>
      <c r="F93" s="66">
        <v>109.334</v>
      </c>
      <c r="G93" s="66">
        <v>17.798559000000001</v>
      </c>
      <c r="H93" s="66">
        <v>109.334</v>
      </c>
      <c r="I93" s="66">
        <v>0.21024435</v>
      </c>
      <c r="J93" s="66">
        <v>127.132559</v>
      </c>
      <c r="K93" s="66">
        <v>109.334</v>
      </c>
      <c r="L93" s="66">
        <v>0</v>
      </c>
      <c r="M93" s="66">
        <v>17.798559000000001</v>
      </c>
      <c r="N93" s="67">
        <v>100</v>
      </c>
      <c r="O93" s="67">
        <v>100</v>
      </c>
      <c r="P93" s="67">
        <v>14.000000582069619</v>
      </c>
      <c r="Q93" s="67">
        <v>0.21024435</v>
      </c>
      <c r="R93" s="67">
        <v>-3.5804692544161298E-15</v>
      </c>
      <c r="S93" s="64"/>
      <c r="T93" s="65"/>
    </row>
    <row r="94" spans="1:20" ht="15.6" x14ac:dyDescent="0.3">
      <c r="A94" s="169">
        <v>82</v>
      </c>
      <c r="B94" s="205" t="s">
        <v>228</v>
      </c>
      <c r="C94" s="66">
        <v>38.857799999999997</v>
      </c>
      <c r="D94" s="66">
        <v>0</v>
      </c>
      <c r="E94" s="66">
        <v>46.816626509999999</v>
      </c>
      <c r="F94" s="66">
        <v>38.857799999999997</v>
      </c>
      <c r="G94" s="66">
        <v>7.9588265099999997</v>
      </c>
      <c r="H94" s="66">
        <v>38.857799999999997</v>
      </c>
      <c r="I94" s="66">
        <v>0</v>
      </c>
      <c r="J94" s="66">
        <v>46.816626509999999</v>
      </c>
      <c r="K94" s="66">
        <v>38.857799999999997</v>
      </c>
      <c r="L94" s="66">
        <v>0</v>
      </c>
      <c r="M94" s="66">
        <v>7.9588265099999997</v>
      </c>
      <c r="N94" s="67">
        <v>100</v>
      </c>
      <c r="O94" s="67">
        <v>100</v>
      </c>
      <c r="P94" s="67">
        <v>17.000000007048776</v>
      </c>
      <c r="Q94" s="67">
        <v>0</v>
      </c>
      <c r="R94" s="67">
        <v>0</v>
      </c>
      <c r="S94" s="64"/>
      <c r="T94" s="65"/>
    </row>
    <row r="95" spans="1:20" ht="15.6" x14ac:dyDescent="0.3">
      <c r="A95" s="169">
        <v>83</v>
      </c>
      <c r="B95" s="203" t="s">
        <v>231</v>
      </c>
      <c r="C95" s="61">
        <v>127.97080000000003</v>
      </c>
      <c r="D95" s="61">
        <v>0</v>
      </c>
      <c r="E95" s="61">
        <v>151.55574944</v>
      </c>
      <c r="F95" s="61">
        <v>127.97080000000003</v>
      </c>
      <c r="G95" s="61">
        <v>23.584949439999999</v>
      </c>
      <c r="H95" s="61">
        <v>127.90031394000002</v>
      </c>
      <c r="I95" s="61">
        <v>0.27153079000000002</v>
      </c>
      <c r="J95" s="61">
        <v>151.47743108</v>
      </c>
      <c r="K95" s="61">
        <v>127.90031394000002</v>
      </c>
      <c r="L95" s="61">
        <v>0</v>
      </c>
      <c r="M95" s="61">
        <v>23.577117139999999</v>
      </c>
      <c r="N95" s="61">
        <v>99.944920200545738</v>
      </c>
      <c r="O95" s="61">
        <v>99.966791109644205</v>
      </c>
      <c r="P95" s="61">
        <v>15.564772238280289</v>
      </c>
      <c r="Q95" s="61">
        <v>0.27153079000000002</v>
      </c>
      <c r="R95" s="61">
        <v>-9.7144514654701197E-16</v>
      </c>
      <c r="S95" s="59"/>
      <c r="T95" s="60"/>
    </row>
    <row r="96" spans="1:20" s="126" customFormat="1" ht="15.6" x14ac:dyDescent="0.3">
      <c r="A96" s="169">
        <v>84</v>
      </c>
      <c r="B96" s="205" t="s">
        <v>198</v>
      </c>
      <c r="C96" s="66">
        <v>4.5045000000000002</v>
      </c>
      <c r="D96" s="66">
        <v>0</v>
      </c>
      <c r="E96" s="66">
        <v>4.7920212800000002</v>
      </c>
      <c r="F96" s="66">
        <v>4.5045000000000002</v>
      </c>
      <c r="G96" s="66">
        <v>0.28752128000000005</v>
      </c>
      <c r="H96" s="66">
        <v>4.5045000000000002</v>
      </c>
      <c r="I96" s="66">
        <v>0</v>
      </c>
      <c r="J96" s="66">
        <v>4.7920212800000002</v>
      </c>
      <c r="K96" s="66">
        <v>4.5045000000000002</v>
      </c>
      <c r="L96" s="66">
        <v>0</v>
      </c>
      <c r="M96" s="66">
        <v>0.28752128000000005</v>
      </c>
      <c r="N96" s="67">
        <v>100</v>
      </c>
      <c r="O96" s="67">
        <v>100</v>
      </c>
      <c r="P96" s="67">
        <v>6.000000066777667</v>
      </c>
      <c r="Q96" s="67">
        <v>0</v>
      </c>
      <c r="R96" s="67">
        <v>0</v>
      </c>
      <c r="S96" s="59"/>
      <c r="T96" s="60"/>
    </row>
    <row r="97" spans="1:20" ht="15.6" x14ac:dyDescent="0.3">
      <c r="A97" s="169">
        <v>85</v>
      </c>
      <c r="B97" s="205" t="s">
        <v>234</v>
      </c>
      <c r="C97" s="66">
        <v>40.910600000000002</v>
      </c>
      <c r="D97" s="66">
        <v>0</v>
      </c>
      <c r="E97" s="66">
        <v>44.468043999999999</v>
      </c>
      <c r="F97" s="66">
        <v>40.910600000000002</v>
      </c>
      <c r="G97" s="66">
        <v>3.5574439999999998</v>
      </c>
      <c r="H97" s="66">
        <v>40.910600000000002</v>
      </c>
      <c r="I97" s="66">
        <v>0</v>
      </c>
      <c r="J97" s="66">
        <v>44.468043999999999</v>
      </c>
      <c r="K97" s="66">
        <v>40.910600000000002</v>
      </c>
      <c r="L97" s="66">
        <v>0</v>
      </c>
      <c r="M97" s="66">
        <v>3.5574439999999998</v>
      </c>
      <c r="N97" s="67">
        <v>100</v>
      </c>
      <c r="O97" s="67">
        <v>100</v>
      </c>
      <c r="P97" s="67">
        <v>8.0000010794268359</v>
      </c>
      <c r="Q97" s="67">
        <v>0</v>
      </c>
      <c r="R97" s="67">
        <v>0</v>
      </c>
      <c r="S97" s="64"/>
      <c r="T97" s="65"/>
    </row>
    <row r="98" spans="1:20" s="126" customFormat="1" ht="15.6" x14ac:dyDescent="0.3">
      <c r="A98" s="169">
        <v>86</v>
      </c>
      <c r="B98" s="205" t="s">
        <v>210</v>
      </c>
      <c r="C98" s="66">
        <v>1.6685000000000001</v>
      </c>
      <c r="D98" s="66">
        <v>0</v>
      </c>
      <c r="E98" s="66">
        <v>1.7749999999999999</v>
      </c>
      <c r="F98" s="66">
        <v>1.6685000000000001</v>
      </c>
      <c r="G98" s="66">
        <v>0.1065</v>
      </c>
      <c r="H98" s="66">
        <v>1.6685000000000001</v>
      </c>
      <c r="I98" s="66">
        <v>0</v>
      </c>
      <c r="J98" s="66">
        <v>1.7749999999999999</v>
      </c>
      <c r="K98" s="66">
        <v>1.6685000000000001</v>
      </c>
      <c r="L98" s="66">
        <v>0</v>
      </c>
      <c r="M98" s="66">
        <v>0.1065</v>
      </c>
      <c r="N98" s="67">
        <v>100</v>
      </c>
      <c r="O98" s="67">
        <v>100</v>
      </c>
      <c r="P98" s="67">
        <v>6.0000000000000009</v>
      </c>
      <c r="Q98" s="67">
        <v>0</v>
      </c>
      <c r="R98" s="67">
        <v>0</v>
      </c>
      <c r="S98" s="64"/>
      <c r="T98" s="65"/>
    </row>
    <row r="99" spans="1:20" ht="15.6" x14ac:dyDescent="0.3">
      <c r="A99" s="169">
        <v>87</v>
      </c>
      <c r="B99" s="205" t="s">
        <v>237</v>
      </c>
      <c r="C99" s="66">
        <v>6.5233999999999996</v>
      </c>
      <c r="D99" s="66">
        <v>0</v>
      </c>
      <c r="E99" s="66">
        <v>6.8667368399999997</v>
      </c>
      <c r="F99" s="66">
        <v>6.5233999999999996</v>
      </c>
      <c r="G99" s="66">
        <v>0.34333684000000003</v>
      </c>
      <c r="H99" s="66">
        <v>6.5233999999999996</v>
      </c>
      <c r="I99" s="66">
        <v>0</v>
      </c>
      <c r="J99" s="66">
        <v>6.8667368399999997</v>
      </c>
      <c r="K99" s="66">
        <v>6.5233999999999996</v>
      </c>
      <c r="L99" s="66">
        <v>0</v>
      </c>
      <c r="M99" s="66">
        <v>0.34333684000000003</v>
      </c>
      <c r="N99" s="67">
        <v>100</v>
      </c>
      <c r="O99" s="67">
        <v>100</v>
      </c>
      <c r="P99" s="67">
        <v>4.999999970874085</v>
      </c>
      <c r="Q99" s="67">
        <v>0</v>
      </c>
      <c r="R99" s="67">
        <v>0</v>
      </c>
      <c r="S99" s="64"/>
      <c r="T99" s="65"/>
    </row>
    <row r="100" spans="1:20" ht="15.6" x14ac:dyDescent="0.3">
      <c r="A100" s="169">
        <v>88</v>
      </c>
      <c r="B100" s="205" t="s">
        <v>240</v>
      </c>
      <c r="C100" s="66">
        <v>38.293199999999999</v>
      </c>
      <c r="D100" s="66">
        <v>0</v>
      </c>
      <c r="E100" s="66">
        <v>43.515000000000001</v>
      </c>
      <c r="F100" s="66">
        <v>38.293199999999999</v>
      </c>
      <c r="G100" s="66">
        <v>5.2218</v>
      </c>
      <c r="H100" s="66">
        <v>38.293199999999999</v>
      </c>
      <c r="I100" s="66">
        <v>0</v>
      </c>
      <c r="J100" s="66">
        <v>43.515000000000001</v>
      </c>
      <c r="K100" s="66">
        <v>38.293199999999999</v>
      </c>
      <c r="L100" s="66">
        <v>0</v>
      </c>
      <c r="M100" s="66">
        <v>5.2218</v>
      </c>
      <c r="N100" s="67">
        <v>100</v>
      </c>
      <c r="O100" s="67">
        <v>100</v>
      </c>
      <c r="P100" s="67">
        <v>12</v>
      </c>
      <c r="Q100" s="67">
        <v>0</v>
      </c>
      <c r="R100" s="67">
        <v>0</v>
      </c>
      <c r="S100" s="64"/>
      <c r="T100" s="65"/>
    </row>
    <row r="101" spans="1:20" ht="15.6" x14ac:dyDescent="0.3">
      <c r="A101" s="169">
        <v>89</v>
      </c>
      <c r="B101" s="205" t="s">
        <v>243</v>
      </c>
      <c r="C101" s="66">
        <v>6.4016999999999999</v>
      </c>
      <c r="D101" s="66">
        <v>0</v>
      </c>
      <c r="E101" s="66">
        <v>7.6210800000000001</v>
      </c>
      <c r="F101" s="66">
        <v>6.4016999999999999</v>
      </c>
      <c r="G101" s="66">
        <v>1.2193799999999999</v>
      </c>
      <c r="H101" s="66">
        <v>6.4016999999999999</v>
      </c>
      <c r="I101" s="66">
        <v>0.18926403999999999</v>
      </c>
      <c r="J101" s="66">
        <v>7.6210800000000001</v>
      </c>
      <c r="K101" s="66">
        <v>6.4016999999999999</v>
      </c>
      <c r="L101" s="66">
        <v>0</v>
      </c>
      <c r="M101" s="66">
        <v>1.2193799999999999</v>
      </c>
      <c r="N101" s="67">
        <v>100</v>
      </c>
      <c r="O101" s="67">
        <v>100</v>
      </c>
      <c r="P101" s="67">
        <v>16.000094474798846</v>
      </c>
      <c r="Q101" s="67">
        <v>0.18926403999999999</v>
      </c>
      <c r="R101" s="67">
        <v>3.0531133177191805E-16</v>
      </c>
      <c r="S101" s="64"/>
      <c r="T101" s="65"/>
    </row>
    <row r="102" spans="1:20" ht="15.6" x14ac:dyDescent="0.3">
      <c r="A102" s="169">
        <v>90</v>
      </c>
      <c r="B102" s="205" t="s">
        <v>246</v>
      </c>
      <c r="C102" s="66">
        <v>20.3978</v>
      </c>
      <c r="D102" s="66">
        <v>0</v>
      </c>
      <c r="E102" s="66">
        <v>23.997411760000002</v>
      </c>
      <c r="F102" s="66">
        <v>20.3978</v>
      </c>
      <c r="G102" s="66">
        <v>3.5996117599999997</v>
      </c>
      <c r="H102" s="66">
        <v>20.3978</v>
      </c>
      <c r="I102" s="66">
        <v>8.226675E-2</v>
      </c>
      <c r="J102" s="66">
        <v>23.997411760000002</v>
      </c>
      <c r="K102" s="66">
        <v>20.3978</v>
      </c>
      <c r="L102" s="66">
        <v>0</v>
      </c>
      <c r="M102" s="66">
        <v>3.5996117599999997</v>
      </c>
      <c r="N102" s="67">
        <v>100</v>
      </c>
      <c r="O102" s="67">
        <v>100</v>
      </c>
      <c r="P102" s="67">
        <v>14.999999983331533</v>
      </c>
      <c r="Q102" s="67">
        <v>8.226675E-2</v>
      </c>
      <c r="R102" s="67">
        <v>-1.27675647831893E-15</v>
      </c>
      <c r="S102" s="64"/>
      <c r="T102" s="65"/>
    </row>
    <row r="103" spans="1:20" ht="15.6" x14ac:dyDescent="0.3">
      <c r="A103" s="169">
        <v>91</v>
      </c>
      <c r="B103" s="205" t="s">
        <v>249</v>
      </c>
      <c r="C103" s="66">
        <v>1.7901</v>
      </c>
      <c r="D103" s="66">
        <v>0</v>
      </c>
      <c r="E103" s="66">
        <v>1.9672000000000001</v>
      </c>
      <c r="F103" s="66">
        <v>1.7901</v>
      </c>
      <c r="G103" s="66">
        <v>0.17710000000000001</v>
      </c>
      <c r="H103" s="66">
        <v>1.7901</v>
      </c>
      <c r="I103" s="66">
        <v>0</v>
      </c>
      <c r="J103" s="66">
        <v>1.9672000000000001</v>
      </c>
      <c r="K103" s="66">
        <v>1.7901</v>
      </c>
      <c r="L103" s="66">
        <v>0</v>
      </c>
      <c r="M103" s="66">
        <v>0.17710000000000001</v>
      </c>
      <c r="N103" s="67">
        <v>100</v>
      </c>
      <c r="O103" s="67">
        <v>100</v>
      </c>
      <c r="P103" s="67">
        <v>9.0026433509556725</v>
      </c>
      <c r="Q103" s="67">
        <v>0</v>
      </c>
      <c r="R103" s="67">
        <v>0</v>
      </c>
      <c r="S103" s="64"/>
      <c r="T103" s="65"/>
    </row>
    <row r="104" spans="1:20" ht="15.6" x14ac:dyDescent="0.3">
      <c r="A104" s="169">
        <v>92</v>
      </c>
      <c r="B104" s="205" t="s">
        <v>252</v>
      </c>
      <c r="C104" s="66">
        <v>6.7857000000000003</v>
      </c>
      <c r="D104" s="66">
        <v>0</v>
      </c>
      <c r="E104" s="66">
        <v>15.7807</v>
      </c>
      <c r="F104" s="66">
        <v>6.7857000000000003</v>
      </c>
      <c r="G104" s="66">
        <v>8.9949999999999992</v>
      </c>
      <c r="H104" s="66">
        <v>6.7857000000000003</v>
      </c>
      <c r="I104" s="66">
        <v>0</v>
      </c>
      <c r="J104" s="66">
        <v>15.7807</v>
      </c>
      <c r="K104" s="66">
        <v>6.7857000000000003</v>
      </c>
      <c r="L104" s="66">
        <v>0</v>
      </c>
      <c r="M104" s="66">
        <v>8.9949999999999992</v>
      </c>
      <c r="N104" s="67">
        <v>100</v>
      </c>
      <c r="O104" s="67">
        <v>100</v>
      </c>
      <c r="P104" s="67">
        <v>57.000006336854511</v>
      </c>
      <c r="Q104" s="67">
        <v>0</v>
      </c>
      <c r="R104" s="67">
        <v>0</v>
      </c>
      <c r="S104" s="64"/>
      <c r="T104" s="65"/>
    </row>
    <row r="105" spans="1:20" ht="15.6" x14ac:dyDescent="0.3">
      <c r="A105" s="169">
        <v>93</v>
      </c>
      <c r="B105" s="205" t="s">
        <v>254</v>
      </c>
      <c r="C105" s="66">
        <v>0.69530000000000003</v>
      </c>
      <c r="D105" s="66">
        <v>0</v>
      </c>
      <c r="E105" s="66">
        <v>0.77255556000000003</v>
      </c>
      <c r="F105" s="66">
        <v>0.69530000000000003</v>
      </c>
      <c r="G105" s="66">
        <v>7.7255560000000001E-2</v>
      </c>
      <c r="H105" s="66">
        <v>0.6248139399999999</v>
      </c>
      <c r="I105" s="66">
        <v>0</v>
      </c>
      <c r="J105" s="66">
        <v>0.6942372</v>
      </c>
      <c r="K105" s="66">
        <v>0.6248139399999999</v>
      </c>
      <c r="L105" s="66">
        <v>0</v>
      </c>
      <c r="M105" s="66">
        <v>6.9423260000000001E-2</v>
      </c>
      <c r="N105" s="67">
        <v>89.862496763986755</v>
      </c>
      <c r="O105" s="67">
        <v>89.86183000938702</v>
      </c>
      <c r="P105" s="67">
        <v>9.9999337402259627</v>
      </c>
      <c r="Q105" s="67">
        <v>0</v>
      </c>
      <c r="R105" s="67">
        <v>0</v>
      </c>
      <c r="S105" s="64"/>
      <c r="T105" s="65"/>
    </row>
    <row r="106" spans="1:20" ht="15.6" x14ac:dyDescent="0.3">
      <c r="A106" s="169">
        <v>94</v>
      </c>
      <c r="B106" s="205" t="s">
        <v>256</v>
      </c>
      <c r="C106" s="66">
        <v>0</v>
      </c>
      <c r="D106" s="66">
        <v>0</v>
      </c>
      <c r="E106" s="66">
        <v>0</v>
      </c>
      <c r="F106" s="66">
        <v>0</v>
      </c>
      <c r="G106" s="66">
        <v>0</v>
      </c>
      <c r="H106" s="66">
        <v>0</v>
      </c>
      <c r="I106" s="66">
        <v>0</v>
      </c>
      <c r="J106" s="66">
        <v>0</v>
      </c>
      <c r="K106" s="66">
        <v>0</v>
      </c>
      <c r="L106" s="66">
        <v>0</v>
      </c>
      <c r="M106" s="66">
        <v>0</v>
      </c>
      <c r="N106" s="67" t="s">
        <v>1230</v>
      </c>
      <c r="O106" s="67" t="s">
        <v>1230</v>
      </c>
      <c r="P106" s="67">
        <v>0</v>
      </c>
      <c r="Q106" s="67">
        <v>0</v>
      </c>
      <c r="R106" s="67">
        <v>0</v>
      </c>
      <c r="S106" s="64"/>
      <c r="T106" s="65"/>
    </row>
  </sheetData>
  <mergeCells count="20">
    <mergeCell ref="P9:P11"/>
    <mergeCell ref="Q9:Q11"/>
    <mergeCell ref="R9:R11"/>
    <mergeCell ref="C7:R8"/>
    <mergeCell ref="D5:E5"/>
    <mergeCell ref="S7:S11"/>
    <mergeCell ref="T7:T11"/>
    <mergeCell ref="A7:A11"/>
    <mergeCell ref="B7:B11"/>
    <mergeCell ref="F10:G10"/>
    <mergeCell ref="N9:O10"/>
    <mergeCell ref="J10:J11"/>
    <mergeCell ref="K10:M10"/>
    <mergeCell ref="E9:G9"/>
    <mergeCell ref="H9:H11"/>
    <mergeCell ref="I9:I11"/>
    <mergeCell ref="J9:M9"/>
    <mergeCell ref="C9:C11"/>
    <mergeCell ref="D9:D11"/>
    <mergeCell ref="E10:E11"/>
  </mergeCells>
  <printOptions horizontalCentered="1"/>
  <pageMargins left="0.11811023622047245" right="0.11811023622047245" top="0.35433070866141736" bottom="0.11811023622047245" header="0.31496062992125984" footer="0.31496062992125984"/>
  <pageSetup paperSize="9" scale="42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4"/>
  <dimension ref="A1:AN106"/>
  <sheetViews>
    <sheetView view="pageBreakPreview" zoomScale="60" zoomScaleNormal="60" workbookViewId="0">
      <pane xSplit="24" ySplit="12" topLeftCell="Y13" activePane="bottomRight" state="frozen"/>
      <selection activeCell="D21" sqref="D21"/>
      <selection pane="topRight" activeCell="D21" sqref="D21"/>
      <selection pane="bottomLeft" activeCell="D21" sqref="D21"/>
      <selection pane="bottomRight" activeCell="AB21" sqref="AB21"/>
    </sheetView>
  </sheetViews>
  <sheetFormatPr defaultRowHeight="14.4" outlineLevelCol="1" x14ac:dyDescent="0.3"/>
  <cols>
    <col min="1" max="1" width="5" customWidth="1"/>
    <col min="2" max="2" width="31.6640625" customWidth="1"/>
    <col min="3" max="3" width="18.6640625" hidden="1" customWidth="1"/>
    <col min="4" max="5" width="18.6640625" hidden="1" customWidth="1" outlineLevel="1"/>
    <col min="6" max="15" width="18.6640625" hidden="1" customWidth="1"/>
    <col min="16" max="19" width="18.6640625" hidden="1" customWidth="1" outlineLevel="1"/>
    <col min="20" max="20" width="9.109375" hidden="1" customWidth="1"/>
    <col min="21" max="21" width="12.5546875" hidden="1" customWidth="1"/>
    <col min="22" max="22" width="26.44140625" hidden="1" customWidth="1"/>
    <col min="23" max="23" width="12.5546875" hidden="1" customWidth="1"/>
    <col min="24" max="24" width="26.44140625" hidden="1" customWidth="1"/>
    <col min="25" max="26" width="18.6640625" customWidth="1"/>
    <col min="27" max="28" width="18.6640625" customWidth="1" outlineLevel="1"/>
    <col min="29" max="37" width="18.6640625" customWidth="1"/>
    <col min="38" max="40" width="18.6640625" customWidth="1" outlineLevel="1"/>
  </cols>
  <sheetData>
    <row r="1" spans="1:40" s="126" customFormat="1" ht="15.6" x14ac:dyDescent="0.3">
      <c r="B1" s="127"/>
    </row>
    <row r="2" spans="1:40" s="126" customFormat="1" ht="17.399999999999999" x14ac:dyDescent="0.3">
      <c r="C2" s="252"/>
      <c r="D2" s="252"/>
      <c r="E2" s="252"/>
      <c r="F2" s="252"/>
      <c r="G2" s="252"/>
      <c r="H2" s="252"/>
      <c r="I2" s="252"/>
      <c r="J2" s="252"/>
      <c r="K2" s="252"/>
      <c r="L2" s="252"/>
      <c r="Z2" s="252"/>
      <c r="AA2" s="252"/>
      <c r="AB2" s="252"/>
      <c r="AC2" s="252"/>
      <c r="AD2" s="252"/>
      <c r="AE2" s="252"/>
      <c r="AF2" s="252"/>
      <c r="AG2" s="252"/>
      <c r="AH2" s="252"/>
    </row>
    <row r="3" spans="1:40" s="126" customFormat="1" ht="20.399999999999999" customHeight="1" x14ac:dyDescent="0.35">
      <c r="A3" s="128"/>
      <c r="B3" s="128"/>
      <c r="C3" s="252"/>
      <c r="D3" s="252"/>
      <c r="E3" s="252"/>
      <c r="F3" s="252"/>
      <c r="G3" s="252"/>
      <c r="H3" s="252"/>
      <c r="I3" s="252"/>
      <c r="J3" s="252"/>
      <c r="K3" s="252"/>
      <c r="L3" s="252"/>
      <c r="M3" s="38"/>
      <c r="N3" s="38"/>
      <c r="O3" s="38"/>
      <c r="P3" s="38"/>
      <c r="U3" s="253"/>
      <c r="V3" s="253"/>
      <c r="W3" s="253"/>
      <c r="X3" s="253"/>
      <c r="Y3" s="253"/>
      <c r="Z3" s="253"/>
      <c r="AA3" s="253"/>
      <c r="AB3" s="253"/>
      <c r="AC3" s="253"/>
      <c r="AD3" s="253"/>
      <c r="AE3" s="253"/>
      <c r="AF3" s="253"/>
      <c r="AG3" s="253"/>
      <c r="AH3" s="253"/>
      <c r="AI3" s="38"/>
      <c r="AJ3" s="38"/>
      <c r="AK3" s="38"/>
      <c r="AL3" s="38"/>
    </row>
    <row r="4" spans="1:40" s="126" customFormat="1" ht="20.25" customHeight="1" x14ac:dyDescent="0.35">
      <c r="A4" s="128"/>
      <c r="B4" s="128"/>
      <c r="C4" s="252"/>
      <c r="D4" s="252"/>
      <c r="E4" s="252"/>
      <c r="F4" s="252"/>
      <c r="G4" s="252"/>
      <c r="H4" s="252"/>
      <c r="I4" s="252"/>
      <c r="J4" s="252"/>
      <c r="K4" s="252"/>
      <c r="L4" s="252"/>
      <c r="M4" s="38"/>
      <c r="N4" s="38"/>
      <c r="O4" s="38"/>
      <c r="P4" s="38"/>
      <c r="U4" s="39"/>
      <c r="V4" s="40"/>
      <c r="W4" s="39"/>
      <c r="X4" s="40"/>
      <c r="Z4" s="40"/>
      <c r="AA4" s="40"/>
      <c r="AB4" s="40"/>
      <c r="AC4" s="40"/>
      <c r="AD4" s="40"/>
      <c r="AE4" s="40"/>
      <c r="AF4" s="40"/>
      <c r="AG4" s="40"/>
      <c r="AH4" s="40"/>
      <c r="AI4" s="38"/>
      <c r="AJ4" s="38"/>
      <c r="AK4" s="38"/>
      <c r="AL4" s="38"/>
    </row>
    <row r="5" spans="1:40" s="126" customFormat="1" ht="20.399999999999999" x14ac:dyDescent="0.35">
      <c r="A5" s="128"/>
      <c r="B5" s="128"/>
      <c r="C5" s="355"/>
      <c r="D5" s="355"/>
      <c r="E5" s="257"/>
      <c r="F5" s="42"/>
      <c r="G5" s="43"/>
      <c r="H5" s="43"/>
      <c r="I5" s="43"/>
      <c r="U5" s="128"/>
      <c r="V5" s="128"/>
      <c r="W5" s="128"/>
      <c r="X5" s="128"/>
      <c r="Z5" s="322" t="s">
        <v>1231</v>
      </c>
      <c r="AA5" s="322"/>
      <c r="AB5" s="257"/>
      <c r="AC5" s="42"/>
      <c r="AD5" s="43"/>
      <c r="AE5" s="43"/>
    </row>
    <row r="6" spans="1:40" ht="17.399999999999999" x14ac:dyDescent="0.3">
      <c r="B6" s="44" t="s">
        <v>1229</v>
      </c>
      <c r="Q6" s="76"/>
      <c r="R6" s="76"/>
      <c r="U6" s="4"/>
      <c r="V6" s="4"/>
      <c r="W6" s="4"/>
      <c r="X6" s="4"/>
      <c r="Y6" s="76"/>
      <c r="AM6" s="76"/>
      <c r="AN6" s="76"/>
    </row>
    <row r="7" spans="1:40" ht="15" customHeight="1" x14ac:dyDescent="0.3">
      <c r="A7" s="326" t="s">
        <v>284</v>
      </c>
      <c r="B7" s="326" t="s">
        <v>285</v>
      </c>
      <c r="C7" s="329"/>
      <c r="D7" s="329"/>
      <c r="E7" s="329"/>
      <c r="F7" s="329"/>
      <c r="G7" s="329"/>
      <c r="H7" s="329"/>
      <c r="I7" s="329"/>
      <c r="J7" s="329"/>
      <c r="K7" s="329"/>
      <c r="L7" s="329"/>
      <c r="M7" s="329"/>
      <c r="N7" s="329"/>
      <c r="O7" s="329"/>
      <c r="P7" s="329"/>
      <c r="Q7" s="329"/>
      <c r="R7" s="329"/>
      <c r="S7" s="329"/>
      <c r="U7" s="323"/>
      <c r="V7" s="324" t="s">
        <v>286</v>
      </c>
      <c r="W7" s="323"/>
      <c r="X7" s="324" t="s">
        <v>286</v>
      </c>
      <c r="Y7" s="336" t="s">
        <v>1074</v>
      </c>
      <c r="Z7" s="336"/>
      <c r="AA7" s="336"/>
      <c r="AB7" s="336"/>
      <c r="AC7" s="336"/>
      <c r="AD7" s="336"/>
      <c r="AE7" s="336"/>
      <c r="AF7" s="336"/>
      <c r="AG7" s="336"/>
      <c r="AH7" s="336"/>
      <c r="AI7" s="336"/>
      <c r="AJ7" s="336"/>
      <c r="AK7" s="336"/>
      <c r="AL7" s="336"/>
      <c r="AM7" s="336"/>
      <c r="AN7" s="336"/>
    </row>
    <row r="8" spans="1:40" ht="6" customHeight="1" thickBot="1" x14ac:dyDescent="0.35">
      <c r="A8" s="326"/>
      <c r="B8" s="326"/>
      <c r="C8" s="328"/>
      <c r="D8" s="328"/>
      <c r="E8" s="328"/>
      <c r="F8" s="328"/>
      <c r="G8" s="328"/>
      <c r="H8" s="328"/>
      <c r="I8" s="328"/>
      <c r="J8" s="328"/>
      <c r="K8" s="328"/>
      <c r="L8" s="328"/>
      <c r="M8" s="328"/>
      <c r="N8" s="328"/>
      <c r="O8" s="328"/>
      <c r="P8" s="328"/>
      <c r="Q8" s="328"/>
      <c r="R8" s="328"/>
      <c r="S8" s="328"/>
      <c r="U8" s="323"/>
      <c r="V8" s="324"/>
      <c r="W8" s="323"/>
      <c r="X8" s="324"/>
      <c r="Y8" s="336"/>
      <c r="Z8" s="336"/>
      <c r="AA8" s="336"/>
      <c r="AB8" s="336"/>
      <c r="AC8" s="336"/>
      <c r="AD8" s="336"/>
      <c r="AE8" s="336"/>
      <c r="AF8" s="336"/>
      <c r="AG8" s="336"/>
      <c r="AH8" s="336"/>
      <c r="AI8" s="336"/>
      <c r="AJ8" s="336"/>
      <c r="AK8" s="336"/>
      <c r="AL8" s="336"/>
      <c r="AM8" s="336"/>
      <c r="AN8" s="336"/>
    </row>
    <row r="9" spans="1:40" ht="15" customHeight="1" x14ac:dyDescent="0.3">
      <c r="A9" s="326"/>
      <c r="B9" s="326"/>
      <c r="C9" s="316" t="s">
        <v>325</v>
      </c>
      <c r="D9" s="316" t="s">
        <v>287</v>
      </c>
      <c r="E9" s="316"/>
      <c r="F9" s="316"/>
      <c r="G9" s="316" t="s">
        <v>312</v>
      </c>
      <c r="H9" s="316" t="s">
        <v>262</v>
      </c>
      <c r="I9" s="316" t="s">
        <v>272</v>
      </c>
      <c r="J9" s="316" t="s">
        <v>288</v>
      </c>
      <c r="K9" s="316"/>
      <c r="L9" s="316"/>
      <c r="M9" s="316"/>
      <c r="N9" s="331" t="s">
        <v>289</v>
      </c>
      <c r="O9" s="331"/>
      <c r="P9" s="316" t="s">
        <v>290</v>
      </c>
      <c r="Q9" s="316" t="s">
        <v>266</v>
      </c>
      <c r="R9" s="316" t="s">
        <v>291</v>
      </c>
      <c r="S9" s="316" t="s">
        <v>302</v>
      </c>
      <c r="U9" s="323"/>
      <c r="V9" s="325"/>
      <c r="W9" s="323"/>
      <c r="X9" s="325"/>
      <c r="Y9" s="265" t="s">
        <v>1052</v>
      </c>
      <c r="Z9" s="302" t="s">
        <v>1053</v>
      </c>
      <c r="AA9" s="302" t="s">
        <v>287</v>
      </c>
      <c r="AB9" s="302"/>
      <c r="AC9" s="302"/>
      <c r="AD9" s="302" t="s">
        <v>312</v>
      </c>
      <c r="AE9" s="302" t="s">
        <v>262</v>
      </c>
      <c r="AF9" s="302" t="s">
        <v>288</v>
      </c>
      <c r="AG9" s="302"/>
      <c r="AH9" s="302"/>
      <c r="AI9" s="302"/>
      <c r="AJ9" s="317" t="s">
        <v>289</v>
      </c>
      <c r="AK9" s="317"/>
      <c r="AL9" s="302" t="s">
        <v>290</v>
      </c>
      <c r="AM9" s="302" t="s">
        <v>266</v>
      </c>
      <c r="AN9" s="338" t="s">
        <v>291</v>
      </c>
    </row>
    <row r="10" spans="1:40" ht="15" customHeight="1" x14ac:dyDescent="0.3">
      <c r="A10" s="326"/>
      <c r="B10" s="326"/>
      <c r="C10" s="269"/>
      <c r="D10" s="269" t="s">
        <v>292</v>
      </c>
      <c r="E10" s="269" t="s">
        <v>293</v>
      </c>
      <c r="F10" s="269"/>
      <c r="G10" s="269"/>
      <c r="H10" s="269"/>
      <c r="I10" s="269"/>
      <c r="J10" s="269" t="s">
        <v>292</v>
      </c>
      <c r="K10" s="269" t="s">
        <v>294</v>
      </c>
      <c r="L10" s="269"/>
      <c r="M10" s="269"/>
      <c r="N10" s="318"/>
      <c r="O10" s="318"/>
      <c r="P10" s="269"/>
      <c r="Q10" s="269"/>
      <c r="R10" s="269"/>
      <c r="S10" s="269"/>
      <c r="U10" s="323"/>
      <c r="V10" s="325"/>
      <c r="W10" s="323"/>
      <c r="X10" s="325"/>
      <c r="Y10" s="265"/>
      <c r="Z10" s="269"/>
      <c r="AA10" s="269" t="s">
        <v>292</v>
      </c>
      <c r="AB10" s="269" t="s">
        <v>293</v>
      </c>
      <c r="AC10" s="269"/>
      <c r="AD10" s="269"/>
      <c r="AE10" s="269"/>
      <c r="AF10" s="269" t="s">
        <v>292</v>
      </c>
      <c r="AG10" s="269" t="s">
        <v>294</v>
      </c>
      <c r="AH10" s="269"/>
      <c r="AI10" s="269"/>
      <c r="AJ10" s="318"/>
      <c r="AK10" s="318"/>
      <c r="AL10" s="269"/>
      <c r="AM10" s="269"/>
      <c r="AN10" s="339"/>
    </row>
    <row r="11" spans="1:40" ht="96.6" x14ac:dyDescent="0.3">
      <c r="A11" s="326"/>
      <c r="B11" s="326"/>
      <c r="C11" s="269"/>
      <c r="D11" s="269"/>
      <c r="E11" s="99" t="s">
        <v>259</v>
      </c>
      <c r="F11" s="99" t="s">
        <v>260</v>
      </c>
      <c r="G11" s="269"/>
      <c r="H11" s="269"/>
      <c r="I11" s="269"/>
      <c r="J11" s="269"/>
      <c r="K11" s="99" t="s">
        <v>264</v>
      </c>
      <c r="L11" s="99" t="s">
        <v>303</v>
      </c>
      <c r="M11" s="99" t="s">
        <v>260</v>
      </c>
      <c r="N11" s="99" t="s">
        <v>911</v>
      </c>
      <c r="O11" s="99" t="s">
        <v>295</v>
      </c>
      <c r="P11" s="269"/>
      <c r="Q11" s="269"/>
      <c r="R11" s="269"/>
      <c r="S11" s="269"/>
      <c r="U11" s="323"/>
      <c r="V11" s="325"/>
      <c r="W11" s="323"/>
      <c r="X11" s="325"/>
      <c r="Y11" s="302"/>
      <c r="Z11" s="269"/>
      <c r="AA11" s="269"/>
      <c r="AB11" s="99" t="s">
        <v>259</v>
      </c>
      <c r="AC11" s="99" t="s">
        <v>260</v>
      </c>
      <c r="AD11" s="269"/>
      <c r="AE11" s="269"/>
      <c r="AF11" s="269"/>
      <c r="AG11" s="99" t="s">
        <v>264</v>
      </c>
      <c r="AH11" s="99" t="s">
        <v>303</v>
      </c>
      <c r="AI11" s="99" t="s">
        <v>260</v>
      </c>
      <c r="AJ11" s="99" t="s">
        <v>911</v>
      </c>
      <c r="AK11" s="99" t="s">
        <v>295</v>
      </c>
      <c r="AL11" s="269"/>
      <c r="AM11" s="269"/>
      <c r="AN11" s="339"/>
    </row>
    <row r="12" spans="1:40" ht="25.8" customHeight="1" x14ac:dyDescent="0.3">
      <c r="A12" s="199" t="s">
        <v>2</v>
      </c>
      <c r="B12" s="200" t="s">
        <v>3</v>
      </c>
      <c r="C12" s="53">
        <v>0</v>
      </c>
      <c r="D12" s="53">
        <v>49484.887741059996</v>
      </c>
      <c r="E12" s="53">
        <v>40392.690699999999</v>
      </c>
      <c r="F12" s="53">
        <v>9092.1970410599988</v>
      </c>
      <c r="G12" s="53">
        <v>40135.212004640001</v>
      </c>
      <c r="H12" s="53">
        <v>505.50037872000001</v>
      </c>
      <c r="I12" s="53">
        <v>0</v>
      </c>
      <c r="J12" s="53">
        <v>48930.293009490859</v>
      </c>
      <c r="K12" s="53">
        <v>40132.226265019999</v>
      </c>
      <c r="L12" s="53">
        <v>0</v>
      </c>
      <c r="M12" s="53">
        <v>8798.0667444708615</v>
      </c>
      <c r="N12" s="53">
        <v>99.355169387168345</v>
      </c>
      <c r="O12" s="53">
        <v>96.7650250510316</v>
      </c>
      <c r="P12" s="53">
        <v>17.98081761489621</v>
      </c>
      <c r="Q12" s="53">
        <v>480.22828068000001</v>
      </c>
      <c r="R12" s="53">
        <v>28.257837660000053</v>
      </c>
      <c r="S12" s="53">
        <v>257.47869535999985</v>
      </c>
      <c r="U12" s="51"/>
      <c r="V12" s="52"/>
      <c r="W12" s="51"/>
      <c r="X12" s="52"/>
      <c r="Y12" s="53">
        <v>40620.807400000005</v>
      </c>
      <c r="Z12" s="53">
        <v>0</v>
      </c>
      <c r="AA12" s="53">
        <v>49727.56508149</v>
      </c>
      <c r="AB12" s="53">
        <v>40620.807400000005</v>
      </c>
      <c r="AC12" s="53">
        <v>9106.7576814899985</v>
      </c>
      <c r="AD12" s="53">
        <v>40363.32870464</v>
      </c>
      <c r="AE12" s="53">
        <v>505.51383227000002</v>
      </c>
      <c r="AF12" s="53">
        <v>49172.970349920855</v>
      </c>
      <c r="AG12" s="53">
        <v>40360.342965020005</v>
      </c>
      <c r="AH12" s="53">
        <v>0</v>
      </c>
      <c r="AI12" s="53">
        <v>8812.6273849008612</v>
      </c>
      <c r="AJ12" s="53">
        <v>99.358790601045513</v>
      </c>
      <c r="AK12" s="53">
        <v>96.770197397620734</v>
      </c>
      <c r="AL12" s="53">
        <v>17.921690152514948</v>
      </c>
      <c r="AM12" s="53">
        <v>480.24173423000002</v>
      </c>
      <c r="AN12" s="225">
        <v>28.257837660000064</v>
      </c>
    </row>
    <row r="13" spans="1:40" ht="15.6" hidden="1" x14ac:dyDescent="0.3">
      <c r="A13" s="199"/>
      <c r="B13" s="55" t="s">
        <v>296</v>
      </c>
      <c r="C13" s="53"/>
      <c r="D13" s="53"/>
      <c r="E13" s="8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80"/>
      <c r="U13" s="51"/>
      <c r="V13" s="52"/>
      <c r="W13" s="51"/>
      <c r="X13" s="52"/>
      <c r="Y13" s="80"/>
      <c r="Z13" s="53"/>
      <c r="AA13" s="53"/>
      <c r="AB13" s="8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225"/>
    </row>
    <row r="14" spans="1:40" ht="15.6" x14ac:dyDescent="0.3">
      <c r="A14" s="202" t="s">
        <v>6</v>
      </c>
      <c r="B14" s="203" t="s">
        <v>7</v>
      </c>
      <c r="C14" s="61">
        <v>0</v>
      </c>
      <c r="D14" s="61">
        <v>12313.378266789998</v>
      </c>
      <c r="E14" s="61">
        <v>10030.506399999998</v>
      </c>
      <c r="F14" s="61">
        <v>2282.8718667900002</v>
      </c>
      <c r="G14" s="61">
        <v>9996.3057090300008</v>
      </c>
      <c r="H14" s="61">
        <v>93.109146470000027</v>
      </c>
      <c r="I14" s="61">
        <v>0</v>
      </c>
      <c r="J14" s="61">
        <v>12271.889314400858</v>
      </c>
      <c r="K14" s="61">
        <v>9996.1021079799993</v>
      </c>
      <c r="L14" s="61">
        <v>0</v>
      </c>
      <c r="M14" s="61">
        <v>2275.7872064208605</v>
      </c>
      <c r="N14" s="61">
        <v>99.657003438829378</v>
      </c>
      <c r="O14" s="61">
        <v>99.689660183201539</v>
      </c>
      <c r="P14" s="61">
        <v>18.544717509391663</v>
      </c>
      <c r="Q14" s="61">
        <v>93.105409080000044</v>
      </c>
      <c r="R14" s="61">
        <v>0.20733844000008697</v>
      </c>
      <c r="S14" s="61">
        <v>34.200690970000068</v>
      </c>
      <c r="U14" s="59"/>
      <c r="V14" s="60"/>
      <c r="W14" s="59"/>
      <c r="X14" s="60"/>
      <c r="Y14" s="61">
        <v>10030.506399999998</v>
      </c>
      <c r="Z14" s="61">
        <v>0</v>
      </c>
      <c r="AA14" s="61">
        <v>12313.378266789998</v>
      </c>
      <c r="AB14" s="61">
        <v>10030.506399999998</v>
      </c>
      <c r="AC14" s="61">
        <v>2282.8718667900002</v>
      </c>
      <c r="AD14" s="61">
        <v>9996.3057090300008</v>
      </c>
      <c r="AE14" s="61">
        <v>93.109146470000027</v>
      </c>
      <c r="AF14" s="61">
        <v>12271.889314400858</v>
      </c>
      <c r="AG14" s="61">
        <v>9996.1021079799993</v>
      </c>
      <c r="AH14" s="61">
        <v>0</v>
      </c>
      <c r="AI14" s="61">
        <v>2275.7872064208605</v>
      </c>
      <c r="AJ14" s="61">
        <v>99.657003438829378</v>
      </c>
      <c r="AK14" s="61">
        <v>99.689660183201539</v>
      </c>
      <c r="AL14" s="61">
        <v>18.544717509391663</v>
      </c>
      <c r="AM14" s="61">
        <v>93.105409080000044</v>
      </c>
      <c r="AN14" s="226">
        <v>0.20733844000008697</v>
      </c>
    </row>
    <row r="15" spans="1:40" ht="15.6" x14ac:dyDescent="0.3">
      <c r="A15" s="169" t="s">
        <v>9</v>
      </c>
      <c r="B15" s="205" t="s">
        <v>10</v>
      </c>
      <c r="C15" s="66">
        <v>0</v>
      </c>
      <c r="D15" s="66">
        <v>1938.93873418</v>
      </c>
      <c r="E15" s="66">
        <v>1531.7616</v>
      </c>
      <c r="F15" s="66">
        <v>407.17713418</v>
      </c>
      <c r="G15" s="66">
        <v>1531.7616</v>
      </c>
      <c r="H15" s="66">
        <v>0</v>
      </c>
      <c r="I15" s="66">
        <v>0</v>
      </c>
      <c r="J15" s="66">
        <v>1938.93873418</v>
      </c>
      <c r="K15" s="66">
        <v>1531.7616</v>
      </c>
      <c r="L15" s="66">
        <v>0</v>
      </c>
      <c r="M15" s="66">
        <v>407.17713418</v>
      </c>
      <c r="N15" s="67">
        <v>100</v>
      </c>
      <c r="O15" s="67">
        <v>100</v>
      </c>
      <c r="P15" s="67">
        <v>21.000000000113463</v>
      </c>
      <c r="Q15" s="66">
        <v>0</v>
      </c>
      <c r="R15" s="67">
        <v>0</v>
      </c>
      <c r="S15" s="67">
        <v>0</v>
      </c>
      <c r="U15" s="64"/>
      <c r="V15" s="65"/>
      <c r="W15" s="64"/>
      <c r="X15" s="65"/>
      <c r="Y15" s="66">
        <v>1531.7616</v>
      </c>
      <c r="Z15" s="66">
        <v>0</v>
      </c>
      <c r="AA15" s="66">
        <v>1938.93873418</v>
      </c>
      <c r="AB15" s="66">
        <v>1531.7616</v>
      </c>
      <c r="AC15" s="66">
        <v>407.17713418</v>
      </c>
      <c r="AD15" s="66">
        <v>1531.7616</v>
      </c>
      <c r="AE15" s="66">
        <v>0</v>
      </c>
      <c r="AF15" s="66">
        <v>1938.93873418</v>
      </c>
      <c r="AG15" s="66">
        <v>1531.7616</v>
      </c>
      <c r="AH15" s="66">
        <v>0</v>
      </c>
      <c r="AI15" s="66">
        <v>407.17713418</v>
      </c>
      <c r="AJ15" s="67">
        <v>100</v>
      </c>
      <c r="AK15" s="67">
        <v>100</v>
      </c>
      <c r="AL15" s="67">
        <v>21.000000000113463</v>
      </c>
      <c r="AM15" s="67">
        <v>0</v>
      </c>
      <c r="AN15" s="237">
        <v>0</v>
      </c>
    </row>
    <row r="16" spans="1:40" ht="15.6" x14ac:dyDescent="0.3">
      <c r="A16" s="169" t="s">
        <v>12</v>
      </c>
      <c r="B16" s="205" t="s">
        <v>13</v>
      </c>
      <c r="C16" s="66">
        <v>0</v>
      </c>
      <c r="D16" s="66">
        <v>1817.3922826099999</v>
      </c>
      <c r="E16" s="66">
        <v>1672.0009</v>
      </c>
      <c r="F16" s="66">
        <v>145.39138261000002</v>
      </c>
      <c r="G16" s="66">
        <v>1672.0009</v>
      </c>
      <c r="H16" s="66">
        <v>4.6741230099999997</v>
      </c>
      <c r="I16" s="66">
        <v>0</v>
      </c>
      <c r="J16" s="66">
        <v>1817.3922826099999</v>
      </c>
      <c r="K16" s="66">
        <v>1672.0009</v>
      </c>
      <c r="L16" s="66">
        <v>0</v>
      </c>
      <c r="M16" s="66">
        <v>145.39138261000002</v>
      </c>
      <c r="N16" s="67">
        <v>100</v>
      </c>
      <c r="O16" s="67">
        <v>100</v>
      </c>
      <c r="P16" s="67">
        <v>8.0000000000660307</v>
      </c>
      <c r="Q16" s="66">
        <v>4.6740310100000002</v>
      </c>
      <c r="R16" s="67">
        <v>9.1999999902725449E-5</v>
      </c>
      <c r="S16" s="67">
        <v>0</v>
      </c>
      <c r="U16" s="64"/>
      <c r="V16" s="65"/>
      <c r="W16" s="64"/>
      <c r="X16" s="65"/>
      <c r="Y16" s="66">
        <v>1672.0009</v>
      </c>
      <c r="Z16" s="66">
        <v>0</v>
      </c>
      <c r="AA16" s="66">
        <v>1817.3922826099999</v>
      </c>
      <c r="AB16" s="66">
        <v>1672.0009</v>
      </c>
      <c r="AC16" s="66">
        <v>145.39138261000002</v>
      </c>
      <c r="AD16" s="66">
        <v>1672.0009</v>
      </c>
      <c r="AE16" s="66">
        <v>4.6741230099999997</v>
      </c>
      <c r="AF16" s="66">
        <v>1817.3922826099999</v>
      </c>
      <c r="AG16" s="66">
        <v>1672.0009</v>
      </c>
      <c r="AH16" s="66">
        <v>0</v>
      </c>
      <c r="AI16" s="66">
        <v>145.39138261000002</v>
      </c>
      <c r="AJ16" s="67">
        <v>100</v>
      </c>
      <c r="AK16" s="67">
        <v>100</v>
      </c>
      <c r="AL16" s="67">
        <v>8.0000000000660307</v>
      </c>
      <c r="AM16" s="67">
        <v>4.6740310100000002</v>
      </c>
      <c r="AN16" s="237">
        <v>9.1999999902725449E-5</v>
      </c>
    </row>
    <row r="17" spans="1:40" ht="15.6" x14ac:dyDescent="0.3">
      <c r="A17" s="169" t="s">
        <v>15</v>
      </c>
      <c r="B17" s="205" t="s">
        <v>16</v>
      </c>
      <c r="C17" s="66">
        <v>0</v>
      </c>
      <c r="D17" s="66">
        <v>301.02839999999998</v>
      </c>
      <c r="E17" s="66">
        <v>267.91520000000003</v>
      </c>
      <c r="F17" s="66">
        <v>33.113199999999999</v>
      </c>
      <c r="G17" s="66">
        <v>267.91520000000003</v>
      </c>
      <c r="H17" s="66">
        <v>14.028877169999999</v>
      </c>
      <c r="I17" s="66">
        <v>0</v>
      </c>
      <c r="J17" s="66">
        <v>301.02839999999998</v>
      </c>
      <c r="K17" s="66">
        <v>267.91520000000003</v>
      </c>
      <c r="L17" s="66">
        <v>0</v>
      </c>
      <c r="M17" s="66">
        <v>33.113199999999999</v>
      </c>
      <c r="N17" s="67">
        <v>100</v>
      </c>
      <c r="O17" s="67">
        <v>100</v>
      </c>
      <c r="P17" s="67">
        <v>11.000025246787347</v>
      </c>
      <c r="Q17" s="66">
        <v>14.028877169999999</v>
      </c>
      <c r="R17" s="67">
        <v>-1.2434497875801753E-14</v>
      </c>
      <c r="S17" s="67">
        <v>0</v>
      </c>
      <c r="U17" s="64"/>
      <c r="V17" s="65"/>
      <c r="W17" s="64"/>
      <c r="X17" s="65"/>
      <c r="Y17" s="66">
        <v>267.91520000000003</v>
      </c>
      <c r="Z17" s="66">
        <v>0</v>
      </c>
      <c r="AA17" s="66">
        <v>301.02839999999998</v>
      </c>
      <c r="AB17" s="66">
        <v>267.91520000000003</v>
      </c>
      <c r="AC17" s="66">
        <v>33.113199999999999</v>
      </c>
      <c r="AD17" s="66">
        <v>267.91520000000003</v>
      </c>
      <c r="AE17" s="66">
        <v>14.028877169999999</v>
      </c>
      <c r="AF17" s="66">
        <v>301.02839999999998</v>
      </c>
      <c r="AG17" s="66">
        <v>267.91520000000003</v>
      </c>
      <c r="AH17" s="66">
        <v>0</v>
      </c>
      <c r="AI17" s="66">
        <v>33.113199999999999</v>
      </c>
      <c r="AJ17" s="67">
        <v>100</v>
      </c>
      <c r="AK17" s="67">
        <v>100</v>
      </c>
      <c r="AL17" s="67">
        <v>11.000025246787347</v>
      </c>
      <c r="AM17" s="67">
        <v>14.028877169999999</v>
      </c>
      <c r="AN17" s="237">
        <v>-1.2434497875801753E-14</v>
      </c>
    </row>
    <row r="18" spans="1:40" ht="15.6" x14ac:dyDescent="0.3">
      <c r="A18" s="169" t="s">
        <v>18</v>
      </c>
      <c r="B18" s="205" t="s">
        <v>19</v>
      </c>
      <c r="C18" s="66">
        <v>0</v>
      </c>
      <c r="D18" s="66">
        <v>2351.5909999999999</v>
      </c>
      <c r="E18" s="66">
        <v>1998.8523</v>
      </c>
      <c r="F18" s="66">
        <v>352.73869999999999</v>
      </c>
      <c r="G18" s="66">
        <v>1998.8179385599999</v>
      </c>
      <c r="H18" s="66">
        <v>48.00795334</v>
      </c>
      <c r="I18" s="66">
        <v>0</v>
      </c>
      <c r="J18" s="66">
        <v>2351.5505731308599</v>
      </c>
      <c r="K18" s="66">
        <v>1998.8179371699998</v>
      </c>
      <c r="L18" s="66">
        <v>0</v>
      </c>
      <c r="M18" s="66">
        <v>352.73263596086002</v>
      </c>
      <c r="N18" s="67">
        <v>99.99828087197838</v>
      </c>
      <c r="O18" s="67">
        <v>99.998280869340405</v>
      </c>
      <c r="P18" s="67">
        <v>15.00000212588373</v>
      </c>
      <c r="Q18" s="66">
        <v>48.00795334</v>
      </c>
      <c r="R18" s="67">
        <v>1.3900001647471072E-6</v>
      </c>
      <c r="S18" s="67">
        <v>3.4361440000111543E-2</v>
      </c>
      <c r="U18" s="64"/>
      <c r="V18" s="65"/>
      <c r="W18" s="64"/>
      <c r="X18" s="65"/>
      <c r="Y18" s="66">
        <v>1998.8523</v>
      </c>
      <c r="Z18" s="66">
        <v>0</v>
      </c>
      <c r="AA18" s="66">
        <v>2351.5909999999999</v>
      </c>
      <c r="AB18" s="66">
        <v>1998.8523</v>
      </c>
      <c r="AC18" s="66">
        <v>352.73869999999999</v>
      </c>
      <c r="AD18" s="66">
        <v>1998.8179385599999</v>
      </c>
      <c r="AE18" s="66">
        <v>48.00795334</v>
      </c>
      <c r="AF18" s="66">
        <v>2351.5505731308599</v>
      </c>
      <c r="AG18" s="66">
        <v>1998.8179371699998</v>
      </c>
      <c r="AH18" s="66">
        <v>0</v>
      </c>
      <c r="AI18" s="66">
        <v>352.73263596086002</v>
      </c>
      <c r="AJ18" s="67">
        <v>99.99828087197838</v>
      </c>
      <c r="AK18" s="67">
        <v>99.998280869340405</v>
      </c>
      <c r="AL18" s="67">
        <v>15.00000212588373</v>
      </c>
      <c r="AM18" s="67">
        <v>48.00795334</v>
      </c>
      <c r="AN18" s="237">
        <v>1.3900001647471072E-6</v>
      </c>
    </row>
    <row r="19" spans="1:40" ht="15.6" x14ac:dyDescent="0.3">
      <c r="A19" s="169" t="s">
        <v>21</v>
      </c>
      <c r="B19" s="205" t="s">
        <v>22</v>
      </c>
      <c r="C19" s="66">
        <v>0</v>
      </c>
      <c r="D19" s="66">
        <v>114.09408601999999</v>
      </c>
      <c r="E19" s="66">
        <v>106.1075</v>
      </c>
      <c r="F19" s="66">
        <v>7.9865860199999998</v>
      </c>
      <c r="G19" s="66">
        <v>106.09692422000001</v>
      </c>
      <c r="H19" s="66">
        <v>2.05311216</v>
      </c>
      <c r="I19" s="66">
        <v>0</v>
      </c>
      <c r="J19" s="66">
        <v>114.08271420999999</v>
      </c>
      <c r="K19" s="66">
        <v>106.09692422000001</v>
      </c>
      <c r="L19" s="66">
        <v>0</v>
      </c>
      <c r="M19" s="66">
        <v>7.9857899899999998</v>
      </c>
      <c r="N19" s="67">
        <v>99.990032957142532</v>
      </c>
      <c r="O19" s="67">
        <v>99.9900329127113</v>
      </c>
      <c r="P19" s="67">
        <v>6.9999999958801826</v>
      </c>
      <c r="Q19" s="66">
        <v>2.05311216</v>
      </c>
      <c r="R19" s="67">
        <v>-2.2204460492503131E-15</v>
      </c>
      <c r="S19" s="67">
        <v>1.0575779999996371E-2</v>
      </c>
      <c r="U19" s="64"/>
      <c r="V19" s="65"/>
      <c r="W19" s="64"/>
      <c r="X19" s="65"/>
      <c r="Y19" s="66">
        <v>106.1075</v>
      </c>
      <c r="Z19" s="66">
        <v>0</v>
      </c>
      <c r="AA19" s="66">
        <v>114.09408601999999</v>
      </c>
      <c r="AB19" s="66">
        <v>106.1075</v>
      </c>
      <c r="AC19" s="66">
        <v>7.9865860199999998</v>
      </c>
      <c r="AD19" s="66">
        <v>106.09692422000001</v>
      </c>
      <c r="AE19" s="66">
        <v>2.05311216</v>
      </c>
      <c r="AF19" s="66">
        <v>114.08271420999999</v>
      </c>
      <c r="AG19" s="66">
        <v>106.09692422000001</v>
      </c>
      <c r="AH19" s="66">
        <v>0</v>
      </c>
      <c r="AI19" s="66">
        <v>7.9857899899999998</v>
      </c>
      <c r="AJ19" s="67">
        <v>99.990032957142532</v>
      </c>
      <c r="AK19" s="67">
        <v>99.9900329127113</v>
      </c>
      <c r="AL19" s="67">
        <v>6.9999999958801826</v>
      </c>
      <c r="AM19" s="67">
        <v>2.05311216</v>
      </c>
      <c r="AN19" s="237">
        <v>-2.2204460492503131E-15</v>
      </c>
    </row>
    <row r="20" spans="1:40" ht="15.6" x14ac:dyDescent="0.3">
      <c r="A20" s="169" t="s">
        <v>24</v>
      </c>
      <c r="B20" s="205" t="s">
        <v>25</v>
      </c>
      <c r="C20" s="66">
        <v>0</v>
      </c>
      <c r="D20" s="66">
        <v>277.76396499999998</v>
      </c>
      <c r="E20" s="66">
        <v>191.65710000000001</v>
      </c>
      <c r="F20" s="66">
        <v>86.106864999999999</v>
      </c>
      <c r="G20" s="66">
        <v>191.65710000000001</v>
      </c>
      <c r="H20" s="66">
        <v>3.18888565</v>
      </c>
      <c r="I20" s="66">
        <v>0</v>
      </c>
      <c r="J20" s="66">
        <v>277.76396499999998</v>
      </c>
      <c r="K20" s="66">
        <v>191.65710000000001</v>
      </c>
      <c r="L20" s="66">
        <v>0</v>
      </c>
      <c r="M20" s="66">
        <v>86.106864999999999</v>
      </c>
      <c r="N20" s="67">
        <v>100</v>
      </c>
      <c r="O20" s="67">
        <v>100</v>
      </c>
      <c r="P20" s="67">
        <v>31.0000129066418</v>
      </c>
      <c r="Q20" s="66">
        <v>3.18888565</v>
      </c>
      <c r="R20" s="67">
        <v>3.1086244689504383E-15</v>
      </c>
      <c r="S20" s="67">
        <v>0</v>
      </c>
      <c r="U20" s="64"/>
      <c r="V20" s="65"/>
      <c r="W20" s="64"/>
      <c r="X20" s="65"/>
      <c r="Y20" s="66">
        <v>191.65710000000001</v>
      </c>
      <c r="Z20" s="66">
        <v>0</v>
      </c>
      <c r="AA20" s="66">
        <v>277.76396499999998</v>
      </c>
      <c r="AB20" s="66">
        <v>191.65710000000001</v>
      </c>
      <c r="AC20" s="66">
        <v>86.106864999999999</v>
      </c>
      <c r="AD20" s="66">
        <v>191.65710000000001</v>
      </c>
      <c r="AE20" s="66">
        <v>3.18888565</v>
      </c>
      <c r="AF20" s="66">
        <v>277.76396499999998</v>
      </c>
      <c r="AG20" s="66">
        <v>191.65710000000001</v>
      </c>
      <c r="AH20" s="66">
        <v>0</v>
      </c>
      <c r="AI20" s="66">
        <v>86.106864999999999</v>
      </c>
      <c r="AJ20" s="67">
        <v>100</v>
      </c>
      <c r="AK20" s="67">
        <v>100</v>
      </c>
      <c r="AL20" s="67">
        <v>31.0000129066418</v>
      </c>
      <c r="AM20" s="67">
        <v>3.18888565</v>
      </c>
      <c r="AN20" s="237">
        <v>3.1086244689504383E-15</v>
      </c>
    </row>
    <row r="21" spans="1:40" ht="15.6" x14ac:dyDescent="0.3">
      <c r="A21" s="169" t="s">
        <v>27</v>
      </c>
      <c r="B21" s="205" t="s">
        <v>28</v>
      </c>
      <c r="C21" s="66">
        <v>0</v>
      </c>
      <c r="D21" s="66">
        <v>107.9945</v>
      </c>
      <c r="E21" s="66">
        <v>75.285499999999999</v>
      </c>
      <c r="F21" s="66">
        <v>32.709000000000003</v>
      </c>
      <c r="G21" s="66">
        <v>75.283164819999996</v>
      </c>
      <c r="H21" s="66">
        <v>0</v>
      </c>
      <c r="I21" s="66">
        <v>0</v>
      </c>
      <c r="J21" s="66">
        <v>107.99115024</v>
      </c>
      <c r="K21" s="66">
        <v>75.283164819999996</v>
      </c>
      <c r="L21" s="66">
        <v>0</v>
      </c>
      <c r="M21" s="66">
        <v>32.70798542</v>
      </c>
      <c r="N21" s="67">
        <v>99.996898234055692</v>
      </c>
      <c r="O21" s="67">
        <v>99.996898162585211</v>
      </c>
      <c r="P21" s="67">
        <v>30.287653522820747</v>
      </c>
      <c r="Q21" s="66">
        <v>0</v>
      </c>
      <c r="R21" s="67">
        <v>0</v>
      </c>
      <c r="S21" s="67">
        <v>2.3351800000028788E-3</v>
      </c>
      <c r="U21" s="64"/>
      <c r="V21" s="65"/>
      <c r="W21" s="64"/>
      <c r="X21" s="65"/>
      <c r="Y21" s="66">
        <v>75.285499999999999</v>
      </c>
      <c r="Z21" s="66">
        <v>0</v>
      </c>
      <c r="AA21" s="66">
        <v>107.9945</v>
      </c>
      <c r="AB21" s="66">
        <v>75.285499999999999</v>
      </c>
      <c r="AC21" s="66">
        <v>32.709000000000003</v>
      </c>
      <c r="AD21" s="66">
        <v>75.283164819999996</v>
      </c>
      <c r="AE21" s="66">
        <v>0</v>
      </c>
      <c r="AF21" s="66">
        <v>107.99115024</v>
      </c>
      <c r="AG21" s="66">
        <v>75.283164819999996</v>
      </c>
      <c r="AH21" s="66">
        <v>0</v>
      </c>
      <c r="AI21" s="66">
        <v>32.70798542</v>
      </c>
      <c r="AJ21" s="67">
        <v>99.996898234055692</v>
      </c>
      <c r="AK21" s="67">
        <v>99.996898162585211</v>
      </c>
      <c r="AL21" s="67">
        <v>30.287653522820747</v>
      </c>
      <c r="AM21" s="67">
        <v>0</v>
      </c>
      <c r="AN21" s="67">
        <v>0</v>
      </c>
    </row>
    <row r="22" spans="1:40" ht="15.6" x14ac:dyDescent="0.3">
      <c r="A22" s="169" t="s">
        <v>30</v>
      </c>
      <c r="B22" s="205" t="s">
        <v>31</v>
      </c>
      <c r="C22" s="66">
        <v>0</v>
      </c>
      <c r="D22" s="66">
        <v>612.687817</v>
      </c>
      <c r="E22" s="66">
        <v>533.03840000000002</v>
      </c>
      <c r="F22" s="66">
        <v>79.649417</v>
      </c>
      <c r="G22" s="66">
        <v>532.99490018999995</v>
      </c>
      <c r="H22" s="66">
        <v>2.7061563199999998</v>
      </c>
      <c r="I22" s="66">
        <v>0</v>
      </c>
      <c r="J22" s="66">
        <v>612.63781700000004</v>
      </c>
      <c r="K22" s="66">
        <v>532.99490018999995</v>
      </c>
      <c r="L22" s="66">
        <v>0</v>
      </c>
      <c r="M22" s="66">
        <v>79.642916810000003</v>
      </c>
      <c r="N22" s="67">
        <v>99.991839272742808</v>
      </c>
      <c r="O22" s="67">
        <v>99.991838998645775</v>
      </c>
      <c r="P22" s="67">
        <v>13.000000097937148</v>
      </c>
      <c r="Q22" s="66">
        <v>2.7061563199999998</v>
      </c>
      <c r="R22" s="67">
        <v>-8.8817841970012523E-15</v>
      </c>
      <c r="S22" s="67">
        <v>4.3499810000071193E-2</v>
      </c>
      <c r="U22" s="64"/>
      <c r="V22" s="65"/>
      <c r="W22" s="64"/>
      <c r="X22" s="65"/>
      <c r="Y22" s="66">
        <v>533.03840000000002</v>
      </c>
      <c r="Z22" s="66">
        <v>0</v>
      </c>
      <c r="AA22" s="66">
        <v>612.687817</v>
      </c>
      <c r="AB22" s="66">
        <v>533.03840000000002</v>
      </c>
      <c r="AC22" s="66">
        <v>79.649417</v>
      </c>
      <c r="AD22" s="66">
        <v>532.99490018999995</v>
      </c>
      <c r="AE22" s="66">
        <v>2.7061563199999998</v>
      </c>
      <c r="AF22" s="66">
        <v>612.63781700000004</v>
      </c>
      <c r="AG22" s="66">
        <v>532.99490018999995</v>
      </c>
      <c r="AH22" s="66">
        <v>0</v>
      </c>
      <c r="AI22" s="66">
        <v>79.642916810000003</v>
      </c>
      <c r="AJ22" s="67">
        <v>99.991839272742808</v>
      </c>
      <c r="AK22" s="67">
        <v>99.991838998645775</v>
      </c>
      <c r="AL22" s="67">
        <v>13.000000097937148</v>
      </c>
      <c r="AM22" s="67">
        <v>2.7061563199999998</v>
      </c>
      <c r="AN22" s="67">
        <v>-8.8817841970012523E-15</v>
      </c>
    </row>
    <row r="23" spans="1:40" ht="15.6" x14ac:dyDescent="0.3">
      <c r="A23" s="169" t="s">
        <v>33</v>
      </c>
      <c r="B23" s="205" t="s">
        <v>34</v>
      </c>
      <c r="C23" s="66">
        <v>0</v>
      </c>
      <c r="D23" s="66">
        <v>890.87041665999993</v>
      </c>
      <c r="E23" s="66">
        <v>641.42669999999998</v>
      </c>
      <c r="F23" s="66">
        <v>249.44371666000001</v>
      </c>
      <c r="G23" s="66">
        <v>641.34822870000005</v>
      </c>
      <c r="H23" s="66">
        <v>0</v>
      </c>
      <c r="I23" s="66">
        <v>0</v>
      </c>
      <c r="J23" s="66">
        <v>890.76142870000001</v>
      </c>
      <c r="K23" s="66">
        <v>641.34822870000005</v>
      </c>
      <c r="L23" s="66">
        <v>0</v>
      </c>
      <c r="M23" s="66">
        <v>249.41319999999999</v>
      </c>
      <c r="N23" s="67">
        <v>99.987766131344401</v>
      </c>
      <c r="O23" s="67">
        <v>99.987766113972071</v>
      </c>
      <c r="P23" s="67">
        <v>27.999999995958515</v>
      </c>
      <c r="Q23" s="66">
        <v>0</v>
      </c>
      <c r="R23" s="67">
        <v>0</v>
      </c>
      <c r="S23" s="67">
        <v>7.8471299999932853E-2</v>
      </c>
      <c r="U23" s="64"/>
      <c r="V23" s="65"/>
      <c r="W23" s="64"/>
      <c r="X23" s="65"/>
      <c r="Y23" s="66">
        <v>641.42669999999998</v>
      </c>
      <c r="Z23" s="66">
        <v>0</v>
      </c>
      <c r="AA23" s="66">
        <v>890.87041665999993</v>
      </c>
      <c r="AB23" s="66">
        <v>641.42669999999998</v>
      </c>
      <c r="AC23" s="66">
        <v>249.44371666000001</v>
      </c>
      <c r="AD23" s="66">
        <v>641.34822870000005</v>
      </c>
      <c r="AE23" s="66">
        <v>0</v>
      </c>
      <c r="AF23" s="66">
        <v>890.76142870000001</v>
      </c>
      <c r="AG23" s="66">
        <v>641.34822870000005</v>
      </c>
      <c r="AH23" s="66">
        <v>0</v>
      </c>
      <c r="AI23" s="66">
        <v>249.41319999999999</v>
      </c>
      <c r="AJ23" s="67">
        <v>99.987766131344401</v>
      </c>
      <c r="AK23" s="67">
        <v>99.987766113972071</v>
      </c>
      <c r="AL23" s="67">
        <v>27.999999995958515</v>
      </c>
      <c r="AM23" s="67">
        <v>0</v>
      </c>
      <c r="AN23" s="67">
        <v>0</v>
      </c>
    </row>
    <row r="24" spans="1:40" ht="15.6" x14ac:dyDescent="0.3">
      <c r="A24" s="169" t="s">
        <v>36</v>
      </c>
      <c r="B24" s="205" t="s">
        <v>37</v>
      </c>
      <c r="C24" s="66">
        <v>0</v>
      </c>
      <c r="D24" s="66">
        <v>1054.8124</v>
      </c>
      <c r="E24" s="66">
        <v>569.59839999999997</v>
      </c>
      <c r="F24" s="66">
        <v>485.214</v>
      </c>
      <c r="G24" s="66">
        <v>569.29916928</v>
      </c>
      <c r="H24" s="66">
        <v>4.5112478400000002</v>
      </c>
      <c r="I24" s="66">
        <v>0</v>
      </c>
      <c r="J24" s="66">
        <v>1054.2582687000001</v>
      </c>
      <c r="K24" s="66">
        <v>569.29916928</v>
      </c>
      <c r="L24" s="66">
        <v>0</v>
      </c>
      <c r="M24" s="66">
        <v>484.95909942000003</v>
      </c>
      <c r="N24" s="67">
        <v>99.947466369287568</v>
      </c>
      <c r="O24" s="67">
        <v>99.94746635917349</v>
      </c>
      <c r="P24" s="67">
        <v>46.000028059348338</v>
      </c>
      <c r="Q24" s="66">
        <v>4.5076024500000003</v>
      </c>
      <c r="R24" s="67">
        <v>3.6453900000097406E-3</v>
      </c>
      <c r="S24" s="67">
        <v>0.29923071999996864</v>
      </c>
      <c r="U24" s="64"/>
      <c r="V24" s="65"/>
      <c r="W24" s="64"/>
      <c r="X24" s="65"/>
      <c r="Y24" s="66">
        <v>569.59839999999997</v>
      </c>
      <c r="Z24" s="66">
        <v>0</v>
      </c>
      <c r="AA24" s="66">
        <v>1054.8124</v>
      </c>
      <c r="AB24" s="66">
        <v>569.59839999999997</v>
      </c>
      <c r="AC24" s="66">
        <v>485.214</v>
      </c>
      <c r="AD24" s="66">
        <v>569.29916928</v>
      </c>
      <c r="AE24" s="66">
        <v>4.5112478400000002</v>
      </c>
      <c r="AF24" s="66">
        <v>1054.2582687000001</v>
      </c>
      <c r="AG24" s="66">
        <v>569.29916928</v>
      </c>
      <c r="AH24" s="66">
        <v>0</v>
      </c>
      <c r="AI24" s="66">
        <v>484.95909942000003</v>
      </c>
      <c r="AJ24" s="67">
        <v>99.947466369287568</v>
      </c>
      <c r="AK24" s="67">
        <v>99.94746635917349</v>
      </c>
      <c r="AL24" s="67">
        <v>46.000028059348338</v>
      </c>
      <c r="AM24" s="67">
        <v>4.5076024500000003</v>
      </c>
      <c r="AN24" s="67">
        <v>3.6453900000097406E-3</v>
      </c>
    </row>
    <row r="25" spans="1:40" ht="15.6" x14ac:dyDescent="0.3">
      <c r="A25" s="169" t="s">
        <v>39</v>
      </c>
      <c r="B25" s="205" t="s">
        <v>297</v>
      </c>
      <c r="C25" s="66">
        <v>0</v>
      </c>
      <c r="D25" s="66">
        <v>0</v>
      </c>
      <c r="E25" s="66">
        <v>0</v>
      </c>
      <c r="F25" s="66">
        <v>0</v>
      </c>
      <c r="G25" s="66">
        <v>0</v>
      </c>
      <c r="H25" s="66">
        <v>0</v>
      </c>
      <c r="I25" s="66">
        <v>0</v>
      </c>
      <c r="J25" s="66">
        <v>0</v>
      </c>
      <c r="K25" s="66">
        <v>0</v>
      </c>
      <c r="L25" s="66">
        <v>0</v>
      </c>
      <c r="M25" s="66">
        <v>0</v>
      </c>
      <c r="N25" s="67" t="s">
        <v>1230</v>
      </c>
      <c r="O25" s="67" t="s">
        <v>1230</v>
      </c>
      <c r="P25" s="67">
        <v>0</v>
      </c>
      <c r="Q25" s="66">
        <v>0</v>
      </c>
      <c r="R25" s="67">
        <v>0</v>
      </c>
      <c r="S25" s="67">
        <v>0</v>
      </c>
      <c r="U25" s="64"/>
      <c r="V25" s="65"/>
      <c r="W25" s="64"/>
      <c r="X25" s="65"/>
      <c r="Y25" s="66">
        <v>0</v>
      </c>
      <c r="Z25" s="66">
        <v>0</v>
      </c>
      <c r="AA25" s="66">
        <v>0</v>
      </c>
      <c r="AB25" s="66">
        <v>0</v>
      </c>
      <c r="AC25" s="66">
        <v>0</v>
      </c>
      <c r="AD25" s="66">
        <v>0</v>
      </c>
      <c r="AE25" s="66">
        <v>0</v>
      </c>
      <c r="AF25" s="66">
        <v>0</v>
      </c>
      <c r="AG25" s="66">
        <v>0</v>
      </c>
      <c r="AH25" s="66">
        <v>0</v>
      </c>
      <c r="AI25" s="66">
        <v>0</v>
      </c>
      <c r="AJ25" s="67" t="s">
        <v>1230</v>
      </c>
      <c r="AK25" s="67" t="s">
        <v>1230</v>
      </c>
      <c r="AL25" s="67">
        <v>0</v>
      </c>
      <c r="AM25" s="67">
        <v>0</v>
      </c>
      <c r="AN25" s="67">
        <v>0</v>
      </c>
    </row>
    <row r="26" spans="1:40" ht="15.6" x14ac:dyDescent="0.3">
      <c r="A26" s="169" t="s">
        <v>41</v>
      </c>
      <c r="B26" s="205" t="s">
        <v>42</v>
      </c>
      <c r="C26" s="66">
        <v>0</v>
      </c>
      <c r="D26" s="66">
        <v>657.13610526000002</v>
      </c>
      <c r="E26" s="66">
        <v>624.27930000000003</v>
      </c>
      <c r="F26" s="66">
        <v>32.856805260000002</v>
      </c>
      <c r="G26" s="66">
        <v>624.27930000000003</v>
      </c>
      <c r="H26" s="66">
        <v>4.2192362800000005</v>
      </c>
      <c r="I26" s="66">
        <v>0</v>
      </c>
      <c r="J26" s="66">
        <v>657.13610526000002</v>
      </c>
      <c r="K26" s="66">
        <v>624.27930000000003</v>
      </c>
      <c r="L26" s="66">
        <v>0</v>
      </c>
      <c r="M26" s="66">
        <v>32.856805260000002</v>
      </c>
      <c r="N26" s="67">
        <v>100</v>
      </c>
      <c r="O26" s="67">
        <v>100</v>
      </c>
      <c r="P26" s="67">
        <v>4.9999999995434736</v>
      </c>
      <c r="Q26" s="66">
        <v>4.2192362800000005</v>
      </c>
      <c r="R26" s="67">
        <v>1.7763568394002505E-14</v>
      </c>
      <c r="S26" s="67">
        <v>0</v>
      </c>
      <c r="U26" s="64"/>
      <c r="V26" s="65"/>
      <c r="W26" s="64"/>
      <c r="X26" s="65"/>
      <c r="Y26" s="66">
        <v>624.27930000000003</v>
      </c>
      <c r="Z26" s="66">
        <v>0</v>
      </c>
      <c r="AA26" s="66">
        <v>657.13610526000002</v>
      </c>
      <c r="AB26" s="66">
        <v>624.27930000000003</v>
      </c>
      <c r="AC26" s="66">
        <v>32.856805260000002</v>
      </c>
      <c r="AD26" s="66">
        <v>624.27930000000003</v>
      </c>
      <c r="AE26" s="66">
        <v>4.2192362800000005</v>
      </c>
      <c r="AF26" s="66">
        <v>657.13610526000002</v>
      </c>
      <c r="AG26" s="66">
        <v>624.27930000000003</v>
      </c>
      <c r="AH26" s="66">
        <v>0</v>
      </c>
      <c r="AI26" s="66">
        <v>32.856805260000002</v>
      </c>
      <c r="AJ26" s="67">
        <v>100</v>
      </c>
      <c r="AK26" s="67">
        <v>100</v>
      </c>
      <c r="AL26" s="67">
        <v>4.9999999995434736</v>
      </c>
      <c r="AM26" s="67">
        <v>4.2192362800000005</v>
      </c>
      <c r="AN26" s="67">
        <v>1.7763568394002505E-14</v>
      </c>
    </row>
    <row r="27" spans="1:40" ht="15.6" x14ac:dyDescent="0.3">
      <c r="A27" s="169" t="s">
        <v>44</v>
      </c>
      <c r="B27" s="205" t="s">
        <v>45</v>
      </c>
      <c r="C27" s="66">
        <v>0</v>
      </c>
      <c r="D27" s="66">
        <v>332.69941176999998</v>
      </c>
      <c r="E27" s="66">
        <v>282.79450000000003</v>
      </c>
      <c r="F27" s="66">
        <v>49.904911770000005</v>
      </c>
      <c r="G27" s="66">
        <v>282.62704606</v>
      </c>
      <c r="H27" s="66">
        <v>0.45471714000000002</v>
      </c>
      <c r="I27" s="66">
        <v>0</v>
      </c>
      <c r="J27" s="66">
        <v>332.50240714999995</v>
      </c>
      <c r="K27" s="66">
        <v>282.62704606</v>
      </c>
      <c r="L27" s="66">
        <v>0</v>
      </c>
      <c r="M27" s="66">
        <v>49.875361090000006</v>
      </c>
      <c r="N27" s="67">
        <v>99.94078599831326</v>
      </c>
      <c r="O27" s="67">
        <v>99.940786028966073</v>
      </c>
      <c r="P27" s="67">
        <v>15.000000005263123</v>
      </c>
      <c r="Q27" s="66">
        <v>0.45471714000000002</v>
      </c>
      <c r="R27" s="67">
        <v>1.3822276656583199E-14</v>
      </c>
      <c r="S27" s="67">
        <v>0.16745394000002989</v>
      </c>
      <c r="U27" s="64"/>
      <c r="V27" s="65"/>
      <c r="W27" s="64"/>
      <c r="X27" s="65"/>
      <c r="Y27" s="66">
        <v>282.79450000000003</v>
      </c>
      <c r="Z27" s="66">
        <v>0</v>
      </c>
      <c r="AA27" s="66">
        <v>332.69941176999998</v>
      </c>
      <c r="AB27" s="66">
        <v>282.79450000000003</v>
      </c>
      <c r="AC27" s="66">
        <v>49.904911770000005</v>
      </c>
      <c r="AD27" s="66">
        <v>282.62704606</v>
      </c>
      <c r="AE27" s="66">
        <v>0.45471714000000002</v>
      </c>
      <c r="AF27" s="66">
        <v>332.50240714999995</v>
      </c>
      <c r="AG27" s="66">
        <v>282.62704606</v>
      </c>
      <c r="AH27" s="66">
        <v>0</v>
      </c>
      <c r="AI27" s="66">
        <v>49.875361090000006</v>
      </c>
      <c r="AJ27" s="67">
        <v>99.94078599831326</v>
      </c>
      <c r="AK27" s="67">
        <v>99.940786028966073</v>
      </c>
      <c r="AL27" s="67">
        <v>15.000000005263123</v>
      </c>
      <c r="AM27" s="67">
        <v>0.45471714000000002</v>
      </c>
      <c r="AN27" s="67">
        <v>1.3822276656583199E-14</v>
      </c>
    </row>
    <row r="28" spans="1:40" ht="15.6" x14ac:dyDescent="0.3">
      <c r="A28" s="169" t="s">
        <v>47</v>
      </c>
      <c r="B28" s="205" t="s">
        <v>48</v>
      </c>
      <c r="C28" s="66">
        <v>0</v>
      </c>
      <c r="D28" s="66">
        <v>150.09219999999999</v>
      </c>
      <c r="E28" s="66">
        <v>130.58019999999999</v>
      </c>
      <c r="F28" s="66">
        <v>19.512</v>
      </c>
      <c r="G28" s="66">
        <v>115.22368845</v>
      </c>
      <c r="H28" s="66">
        <v>1.83884928</v>
      </c>
      <c r="I28" s="66">
        <v>0</v>
      </c>
      <c r="J28" s="66">
        <v>132.4410354</v>
      </c>
      <c r="K28" s="66">
        <v>115.22368845</v>
      </c>
      <c r="L28" s="66">
        <v>0</v>
      </c>
      <c r="M28" s="66">
        <v>17.21734695</v>
      </c>
      <c r="N28" s="67">
        <v>88.239785549417149</v>
      </c>
      <c r="O28" s="67">
        <v>88.239785516605167</v>
      </c>
      <c r="P28" s="67">
        <v>13.000009323394341</v>
      </c>
      <c r="Q28" s="66">
        <v>1.83884928</v>
      </c>
      <c r="R28" s="67">
        <v>5.1070259132757201E-15</v>
      </c>
      <c r="S28" s="67">
        <v>15.356511549999993</v>
      </c>
      <c r="U28" s="64"/>
      <c r="V28" s="65"/>
      <c r="W28" s="64"/>
      <c r="X28" s="65"/>
      <c r="Y28" s="66">
        <v>130.58019999999999</v>
      </c>
      <c r="Z28" s="66">
        <v>0</v>
      </c>
      <c r="AA28" s="66">
        <v>150.09219999999999</v>
      </c>
      <c r="AB28" s="66">
        <v>130.58019999999999</v>
      </c>
      <c r="AC28" s="66">
        <v>19.512</v>
      </c>
      <c r="AD28" s="66">
        <v>115.22368845</v>
      </c>
      <c r="AE28" s="66">
        <v>1.83884928</v>
      </c>
      <c r="AF28" s="66">
        <v>132.4410354</v>
      </c>
      <c r="AG28" s="66">
        <v>115.22368845</v>
      </c>
      <c r="AH28" s="66">
        <v>0</v>
      </c>
      <c r="AI28" s="66">
        <v>17.21734695</v>
      </c>
      <c r="AJ28" s="67">
        <v>88.239785549417149</v>
      </c>
      <c r="AK28" s="67">
        <v>88.239785516605167</v>
      </c>
      <c r="AL28" s="67">
        <v>13.000009323394341</v>
      </c>
      <c r="AM28" s="67">
        <v>1.83884928</v>
      </c>
      <c r="AN28" s="67">
        <v>5.1070259132757201E-15</v>
      </c>
    </row>
    <row r="29" spans="1:40" ht="15.6" x14ac:dyDescent="0.3">
      <c r="A29" s="169" t="s">
        <v>50</v>
      </c>
      <c r="B29" s="205" t="s">
        <v>51</v>
      </c>
      <c r="C29" s="66">
        <v>0</v>
      </c>
      <c r="D29" s="66">
        <v>762.79571428999998</v>
      </c>
      <c r="E29" s="66">
        <v>694.14409999999998</v>
      </c>
      <c r="F29" s="66">
        <v>68.651614290000012</v>
      </c>
      <c r="G29" s="66">
        <v>694.14409999999998</v>
      </c>
      <c r="H29" s="66">
        <v>4.1954279100000003</v>
      </c>
      <c r="I29" s="66">
        <v>0</v>
      </c>
      <c r="J29" s="66">
        <v>762.79571428999998</v>
      </c>
      <c r="K29" s="66">
        <v>694.14409999999998</v>
      </c>
      <c r="L29" s="66">
        <v>0</v>
      </c>
      <c r="M29" s="66">
        <v>68.651614290000012</v>
      </c>
      <c r="N29" s="67">
        <v>100</v>
      </c>
      <c r="O29" s="67">
        <v>100</v>
      </c>
      <c r="P29" s="67">
        <v>9.0000000005112799</v>
      </c>
      <c r="Q29" s="66">
        <v>4.1954279100000003</v>
      </c>
      <c r="R29" s="67">
        <v>3.4638958368304884E-14</v>
      </c>
      <c r="S29" s="67">
        <v>0</v>
      </c>
      <c r="U29" s="64"/>
      <c r="V29" s="65"/>
      <c r="W29" s="64"/>
      <c r="X29" s="65"/>
      <c r="Y29" s="66">
        <v>694.14409999999998</v>
      </c>
      <c r="Z29" s="66">
        <v>0</v>
      </c>
      <c r="AA29" s="66">
        <v>762.79571428999998</v>
      </c>
      <c r="AB29" s="66">
        <v>694.14409999999998</v>
      </c>
      <c r="AC29" s="66">
        <v>68.651614290000012</v>
      </c>
      <c r="AD29" s="66">
        <v>694.14409999999998</v>
      </c>
      <c r="AE29" s="66">
        <v>4.1954279100000003</v>
      </c>
      <c r="AF29" s="66">
        <v>762.79571428999998</v>
      </c>
      <c r="AG29" s="66">
        <v>694.14409999999998</v>
      </c>
      <c r="AH29" s="66">
        <v>0</v>
      </c>
      <c r="AI29" s="66">
        <v>68.651614290000012</v>
      </c>
      <c r="AJ29" s="67">
        <v>100</v>
      </c>
      <c r="AK29" s="67">
        <v>100</v>
      </c>
      <c r="AL29" s="67">
        <v>9.0000000005112799</v>
      </c>
      <c r="AM29" s="67">
        <v>4.1954279100000003</v>
      </c>
      <c r="AN29" s="67">
        <v>3.4638958368304884E-14</v>
      </c>
    </row>
    <row r="30" spans="1:40" ht="15.6" x14ac:dyDescent="0.3">
      <c r="A30" s="169" t="s">
        <v>53</v>
      </c>
      <c r="B30" s="205" t="s">
        <v>54</v>
      </c>
      <c r="C30" s="66">
        <v>0</v>
      </c>
      <c r="D30" s="66">
        <v>237.2457</v>
      </c>
      <c r="E30" s="66">
        <v>199.28630000000001</v>
      </c>
      <c r="F30" s="66">
        <v>37.959400000000002</v>
      </c>
      <c r="G30" s="66">
        <v>186.37969428</v>
      </c>
      <c r="H30" s="66">
        <v>8.7298799999999989E-3</v>
      </c>
      <c r="I30" s="66">
        <v>0</v>
      </c>
      <c r="J30" s="66">
        <v>221.65271378</v>
      </c>
      <c r="K30" s="66">
        <v>186.18816462000001</v>
      </c>
      <c r="L30" s="66">
        <v>0</v>
      </c>
      <c r="M30" s="66">
        <v>35.464549159999997</v>
      </c>
      <c r="N30" s="67">
        <v>93.427478266192907</v>
      </c>
      <c r="O30" s="67">
        <v>93.427580941743003</v>
      </c>
      <c r="P30" s="67">
        <v>16.000051862753239</v>
      </c>
      <c r="Q30" s="66">
        <v>8.7298799999999989E-3</v>
      </c>
      <c r="R30" s="67">
        <v>0.19152965999999047</v>
      </c>
      <c r="S30" s="67">
        <v>12.906605720000016</v>
      </c>
      <c r="U30" s="64"/>
      <c r="V30" s="65"/>
      <c r="W30" s="64"/>
      <c r="X30" s="65"/>
      <c r="Y30" s="66">
        <v>199.28630000000001</v>
      </c>
      <c r="Z30" s="66">
        <v>0</v>
      </c>
      <c r="AA30" s="66">
        <v>237.2457</v>
      </c>
      <c r="AB30" s="66">
        <v>199.28630000000001</v>
      </c>
      <c r="AC30" s="66">
        <v>37.959400000000002</v>
      </c>
      <c r="AD30" s="66">
        <v>186.37969428</v>
      </c>
      <c r="AE30" s="66">
        <v>8.7298799999999989E-3</v>
      </c>
      <c r="AF30" s="66">
        <v>221.65271378</v>
      </c>
      <c r="AG30" s="66">
        <v>186.18816462000001</v>
      </c>
      <c r="AH30" s="66">
        <v>0</v>
      </c>
      <c r="AI30" s="66">
        <v>35.464549159999997</v>
      </c>
      <c r="AJ30" s="67">
        <v>93.427478266192907</v>
      </c>
      <c r="AK30" s="67">
        <v>93.427580941743003</v>
      </c>
      <c r="AL30" s="67">
        <v>16.000051862753239</v>
      </c>
      <c r="AM30" s="67">
        <v>8.7298799999999989E-3</v>
      </c>
      <c r="AN30" s="67">
        <v>0.19152965999999047</v>
      </c>
    </row>
    <row r="31" spans="1:40" ht="15.6" x14ac:dyDescent="0.3">
      <c r="A31" s="169" t="s">
        <v>56</v>
      </c>
      <c r="B31" s="205" t="s">
        <v>57</v>
      </c>
      <c r="C31" s="66">
        <v>0</v>
      </c>
      <c r="D31" s="66">
        <v>517.55989999999997</v>
      </c>
      <c r="E31" s="66">
        <v>377.81869999999998</v>
      </c>
      <c r="F31" s="66">
        <v>139.74119999999999</v>
      </c>
      <c r="G31" s="66">
        <v>372.51706711000003</v>
      </c>
      <c r="H31" s="66">
        <v>2.3849837999999997</v>
      </c>
      <c r="I31" s="66">
        <v>0</v>
      </c>
      <c r="J31" s="66">
        <v>510.29738861999999</v>
      </c>
      <c r="K31" s="66">
        <v>372.51706711000003</v>
      </c>
      <c r="L31" s="66">
        <v>0</v>
      </c>
      <c r="M31" s="66">
        <v>137.78032150999999</v>
      </c>
      <c r="N31" s="67">
        <v>98.596778589836887</v>
      </c>
      <c r="O31" s="67">
        <v>98.59677855206624</v>
      </c>
      <c r="P31" s="67">
        <v>27.000005209236928</v>
      </c>
      <c r="Q31" s="66">
        <v>2.3849837999999997</v>
      </c>
      <c r="R31" s="67">
        <v>-1.3322676295501878E-14</v>
      </c>
      <c r="S31" s="67">
        <v>5.3016328899999507</v>
      </c>
      <c r="U31" s="64"/>
      <c r="V31" s="65"/>
      <c r="W31" s="64"/>
      <c r="X31" s="65"/>
      <c r="Y31" s="66">
        <v>377.81869999999998</v>
      </c>
      <c r="Z31" s="66">
        <v>0</v>
      </c>
      <c r="AA31" s="66">
        <v>517.55989999999997</v>
      </c>
      <c r="AB31" s="66">
        <v>377.81869999999998</v>
      </c>
      <c r="AC31" s="66">
        <v>139.74119999999999</v>
      </c>
      <c r="AD31" s="66">
        <v>372.51706711000003</v>
      </c>
      <c r="AE31" s="66">
        <v>2.3849837999999997</v>
      </c>
      <c r="AF31" s="66">
        <v>510.29738861999999</v>
      </c>
      <c r="AG31" s="66">
        <v>372.51706711000003</v>
      </c>
      <c r="AH31" s="66">
        <v>0</v>
      </c>
      <c r="AI31" s="66">
        <v>137.78032150999999</v>
      </c>
      <c r="AJ31" s="67">
        <v>98.596778589836887</v>
      </c>
      <c r="AK31" s="67">
        <v>98.59677855206624</v>
      </c>
      <c r="AL31" s="67">
        <v>27.000005209236928</v>
      </c>
      <c r="AM31" s="67">
        <v>2.3849837999999997</v>
      </c>
      <c r="AN31" s="67">
        <v>-1.3322676295501878E-14</v>
      </c>
    </row>
    <row r="32" spans="1:40" ht="15.6" x14ac:dyDescent="0.3">
      <c r="A32" s="169" t="s">
        <v>59</v>
      </c>
      <c r="B32" s="205" t="s">
        <v>60</v>
      </c>
      <c r="C32" s="66">
        <v>0</v>
      </c>
      <c r="D32" s="66">
        <v>188.675634</v>
      </c>
      <c r="E32" s="66">
        <v>133.9597</v>
      </c>
      <c r="F32" s="66">
        <v>54.715933999999997</v>
      </c>
      <c r="G32" s="66">
        <v>133.95968736</v>
      </c>
      <c r="H32" s="66">
        <v>0.83684668999999989</v>
      </c>
      <c r="I32" s="66">
        <v>0</v>
      </c>
      <c r="J32" s="66">
        <v>188.65861612999998</v>
      </c>
      <c r="K32" s="66">
        <v>133.94761736000001</v>
      </c>
      <c r="L32" s="66">
        <v>0</v>
      </c>
      <c r="M32" s="66">
        <v>54.710998770000003</v>
      </c>
      <c r="N32" s="67">
        <v>99.990980391864127</v>
      </c>
      <c r="O32" s="67">
        <v>99.99098026911139</v>
      </c>
      <c r="P32" s="67">
        <v>29.000000048924353</v>
      </c>
      <c r="Q32" s="66">
        <v>0.83684668999999989</v>
      </c>
      <c r="R32" s="67">
        <v>1.2069999999981706E-2</v>
      </c>
      <c r="S32" s="67">
        <v>1.2639999994235041E-5</v>
      </c>
      <c r="U32" s="64"/>
      <c r="V32" s="65"/>
      <c r="W32" s="64"/>
      <c r="X32" s="65"/>
      <c r="Y32" s="66">
        <v>133.9597</v>
      </c>
      <c r="Z32" s="66">
        <v>0</v>
      </c>
      <c r="AA32" s="66">
        <v>188.675634</v>
      </c>
      <c r="AB32" s="66">
        <v>133.9597</v>
      </c>
      <c r="AC32" s="66">
        <v>54.715933999999997</v>
      </c>
      <c r="AD32" s="66">
        <v>133.95968736</v>
      </c>
      <c r="AE32" s="66">
        <v>0.83684668999999989</v>
      </c>
      <c r="AF32" s="66">
        <v>188.65861612999998</v>
      </c>
      <c r="AG32" s="66">
        <v>133.94761736000001</v>
      </c>
      <c r="AH32" s="66">
        <v>0</v>
      </c>
      <c r="AI32" s="66">
        <v>54.710998770000003</v>
      </c>
      <c r="AJ32" s="67">
        <v>99.990980391864127</v>
      </c>
      <c r="AK32" s="67">
        <v>99.99098026911139</v>
      </c>
      <c r="AL32" s="67">
        <v>29.000000048924353</v>
      </c>
      <c r="AM32" s="67">
        <v>0.83684668999999989</v>
      </c>
      <c r="AN32" s="67">
        <v>1.2069999999981706E-2</v>
      </c>
    </row>
    <row r="33" spans="1:40" ht="15.6" x14ac:dyDescent="0.3">
      <c r="A33" s="202" t="s">
        <v>62</v>
      </c>
      <c r="B33" s="203" t="s">
        <v>63</v>
      </c>
      <c r="C33" s="61">
        <v>0</v>
      </c>
      <c r="D33" s="61">
        <v>2491.1319016399993</v>
      </c>
      <c r="E33" s="61">
        <v>1734.5381</v>
      </c>
      <c r="F33" s="61">
        <v>756.59380164000015</v>
      </c>
      <c r="G33" s="61">
        <v>1732.2934526400002</v>
      </c>
      <c r="H33" s="61">
        <v>22.062420100000001</v>
      </c>
      <c r="I33" s="61">
        <v>0</v>
      </c>
      <c r="J33" s="61">
        <v>2485.0993422399997</v>
      </c>
      <c r="K33" s="61">
        <v>1729.6398636400002</v>
      </c>
      <c r="L33" s="61">
        <v>0</v>
      </c>
      <c r="M33" s="61">
        <v>755.45947860000012</v>
      </c>
      <c r="N33" s="61">
        <v>99.717605721085064</v>
      </c>
      <c r="O33" s="61">
        <v>99.850075028695557</v>
      </c>
      <c r="P33" s="61">
        <v>30.399568570930846</v>
      </c>
      <c r="Q33" s="61">
        <v>22.062420100000001</v>
      </c>
      <c r="R33" s="61">
        <v>2.6535890000000779</v>
      </c>
      <c r="S33" s="61">
        <v>2.2446473599999166</v>
      </c>
      <c r="U33" s="59"/>
      <c r="V33" s="60"/>
      <c r="W33" s="59"/>
      <c r="X33" s="60"/>
      <c r="Y33" s="61">
        <v>1734.5381</v>
      </c>
      <c r="Z33" s="61">
        <v>0</v>
      </c>
      <c r="AA33" s="61">
        <v>2491.1319016399993</v>
      </c>
      <c r="AB33" s="61">
        <v>1734.5381</v>
      </c>
      <c r="AC33" s="61">
        <v>756.59380164000015</v>
      </c>
      <c r="AD33" s="61">
        <v>1732.2934526400002</v>
      </c>
      <c r="AE33" s="61">
        <v>22.062420100000001</v>
      </c>
      <c r="AF33" s="61">
        <v>2485.0993422399997</v>
      </c>
      <c r="AG33" s="61">
        <v>1729.6398636400002</v>
      </c>
      <c r="AH33" s="61">
        <v>0</v>
      </c>
      <c r="AI33" s="61">
        <v>755.45947860000012</v>
      </c>
      <c r="AJ33" s="61">
        <v>99.717605721085064</v>
      </c>
      <c r="AK33" s="61">
        <v>99.850075028695557</v>
      </c>
      <c r="AL33" s="61">
        <v>30.399568570930846</v>
      </c>
      <c r="AM33" s="61">
        <v>22.062420100000001</v>
      </c>
      <c r="AN33" s="61">
        <v>2.6535890000000779</v>
      </c>
    </row>
    <row r="34" spans="1:40" ht="15.6" x14ac:dyDescent="0.3">
      <c r="A34" s="169" t="s">
        <v>65</v>
      </c>
      <c r="B34" s="205" t="s">
        <v>66</v>
      </c>
      <c r="C34" s="66">
        <v>0</v>
      </c>
      <c r="D34" s="66">
        <v>65.720106380000004</v>
      </c>
      <c r="E34" s="66">
        <v>61.776899999999998</v>
      </c>
      <c r="F34" s="66">
        <v>3.9432063799999999</v>
      </c>
      <c r="G34" s="66">
        <v>61.776837990000004</v>
      </c>
      <c r="H34" s="66">
        <v>0.55588095999999998</v>
      </c>
      <c r="I34" s="66">
        <v>0</v>
      </c>
      <c r="J34" s="66">
        <v>65.720040400000002</v>
      </c>
      <c r="K34" s="66">
        <v>61.776837990000004</v>
      </c>
      <c r="L34" s="66">
        <v>0</v>
      </c>
      <c r="M34" s="66">
        <v>3.94320241</v>
      </c>
      <c r="N34" s="67">
        <v>99.999899622674505</v>
      </c>
      <c r="O34" s="67">
        <v>99.999899320511858</v>
      </c>
      <c r="P34" s="67">
        <v>5.9999999786975176</v>
      </c>
      <c r="Q34" s="66">
        <v>0.55588095999999998</v>
      </c>
      <c r="R34" s="67">
        <v>3.219646771412954E-15</v>
      </c>
      <c r="S34" s="67">
        <v>6.2009999993506426E-5</v>
      </c>
      <c r="U34" s="64"/>
      <c r="V34" s="65"/>
      <c r="W34" s="64"/>
      <c r="X34" s="65"/>
      <c r="Y34" s="66">
        <v>61.776899999999998</v>
      </c>
      <c r="Z34" s="66">
        <v>0</v>
      </c>
      <c r="AA34" s="66">
        <v>65.720106380000004</v>
      </c>
      <c r="AB34" s="66">
        <v>61.776899999999998</v>
      </c>
      <c r="AC34" s="66">
        <v>3.9432063799999999</v>
      </c>
      <c r="AD34" s="66">
        <v>61.776837990000004</v>
      </c>
      <c r="AE34" s="66">
        <v>0.55588095999999998</v>
      </c>
      <c r="AF34" s="66">
        <v>65.720040400000002</v>
      </c>
      <c r="AG34" s="66">
        <v>61.776837990000004</v>
      </c>
      <c r="AH34" s="66">
        <v>0</v>
      </c>
      <c r="AI34" s="66">
        <v>3.94320241</v>
      </c>
      <c r="AJ34" s="67">
        <v>99.999899622674505</v>
      </c>
      <c r="AK34" s="67">
        <v>99.999899320511858</v>
      </c>
      <c r="AL34" s="67">
        <v>5.9999999786975176</v>
      </c>
      <c r="AM34" s="67">
        <v>0.55588095999999998</v>
      </c>
      <c r="AN34" s="67">
        <v>3.219646771412954E-15</v>
      </c>
    </row>
    <row r="35" spans="1:40" ht="15.6" x14ac:dyDescent="0.3">
      <c r="A35" s="169" t="s">
        <v>68</v>
      </c>
      <c r="B35" s="205" t="s">
        <v>69</v>
      </c>
      <c r="C35" s="66">
        <v>0</v>
      </c>
      <c r="D35" s="66">
        <v>100.68814286</v>
      </c>
      <c r="E35" s="66">
        <v>70.481700000000004</v>
      </c>
      <c r="F35" s="66">
        <v>30.206442859999999</v>
      </c>
      <c r="G35" s="66">
        <v>70.01353976</v>
      </c>
      <c r="H35" s="66">
        <v>0.24592276999999998</v>
      </c>
      <c r="I35" s="66">
        <v>0</v>
      </c>
      <c r="J35" s="66">
        <v>100.01934249999999</v>
      </c>
      <c r="K35" s="66">
        <v>70.01353976</v>
      </c>
      <c r="L35" s="66">
        <v>0</v>
      </c>
      <c r="M35" s="66">
        <v>30.00580274</v>
      </c>
      <c r="N35" s="67">
        <v>99.335770504967954</v>
      </c>
      <c r="O35" s="67">
        <v>99.335770448278467</v>
      </c>
      <c r="P35" s="67">
        <v>29.999999990001935</v>
      </c>
      <c r="Q35" s="66">
        <v>0.24592276999999998</v>
      </c>
      <c r="R35" s="67">
        <v>7.0776717819853729E-15</v>
      </c>
      <c r="S35" s="67">
        <v>0.46816024000000311</v>
      </c>
      <c r="U35" s="64"/>
      <c r="V35" s="65"/>
      <c r="W35" s="64"/>
      <c r="X35" s="65"/>
      <c r="Y35" s="66">
        <v>70.481700000000004</v>
      </c>
      <c r="Z35" s="66">
        <v>0</v>
      </c>
      <c r="AA35" s="66">
        <v>100.68814286</v>
      </c>
      <c r="AB35" s="66">
        <v>70.481700000000004</v>
      </c>
      <c r="AC35" s="66">
        <v>30.206442859999999</v>
      </c>
      <c r="AD35" s="66">
        <v>70.01353976</v>
      </c>
      <c r="AE35" s="66">
        <v>0.24592276999999998</v>
      </c>
      <c r="AF35" s="66">
        <v>100.01934249999999</v>
      </c>
      <c r="AG35" s="66">
        <v>70.01353976</v>
      </c>
      <c r="AH35" s="66">
        <v>0</v>
      </c>
      <c r="AI35" s="66">
        <v>30.00580274</v>
      </c>
      <c r="AJ35" s="67">
        <v>99.335770504967954</v>
      </c>
      <c r="AK35" s="67">
        <v>99.335770448278467</v>
      </c>
      <c r="AL35" s="67">
        <v>29.999999990001935</v>
      </c>
      <c r="AM35" s="67">
        <v>0.24592276999999998</v>
      </c>
      <c r="AN35" s="67">
        <v>7.0776717819853729E-15</v>
      </c>
    </row>
    <row r="36" spans="1:40" ht="15.6" x14ac:dyDescent="0.3">
      <c r="A36" s="169" t="s">
        <v>71</v>
      </c>
      <c r="B36" s="205" t="s">
        <v>72</v>
      </c>
      <c r="C36" s="66">
        <v>0</v>
      </c>
      <c r="D36" s="66">
        <v>131.50555555</v>
      </c>
      <c r="E36" s="66">
        <v>118.355</v>
      </c>
      <c r="F36" s="66">
        <v>13.15055555</v>
      </c>
      <c r="G36" s="66">
        <v>118.30858898000001</v>
      </c>
      <c r="H36" s="66">
        <v>1.5037858700000002</v>
      </c>
      <c r="I36" s="66">
        <v>0</v>
      </c>
      <c r="J36" s="66">
        <v>128.50555553000001</v>
      </c>
      <c r="K36" s="66">
        <v>115.65499998</v>
      </c>
      <c r="L36" s="66">
        <v>0</v>
      </c>
      <c r="M36" s="66">
        <v>12.850555550000001</v>
      </c>
      <c r="N36" s="67">
        <v>97.718727540027885</v>
      </c>
      <c r="O36" s="67">
        <v>97.71872755596246</v>
      </c>
      <c r="P36" s="67">
        <v>9.999999997665471</v>
      </c>
      <c r="Q36" s="66">
        <v>1.5037858700000002</v>
      </c>
      <c r="R36" s="67">
        <v>2.6535890000000122</v>
      </c>
      <c r="S36" s="67">
        <v>4.6411019999993641E-2</v>
      </c>
      <c r="U36" s="64"/>
      <c r="V36" s="65"/>
      <c r="W36" s="64"/>
      <c r="X36" s="65"/>
      <c r="Y36" s="66">
        <v>118.355</v>
      </c>
      <c r="Z36" s="66">
        <v>0</v>
      </c>
      <c r="AA36" s="66">
        <v>131.50555555</v>
      </c>
      <c r="AB36" s="66">
        <v>118.355</v>
      </c>
      <c r="AC36" s="66">
        <v>13.15055555</v>
      </c>
      <c r="AD36" s="66">
        <v>118.30858898000001</v>
      </c>
      <c r="AE36" s="66">
        <v>1.5037858700000002</v>
      </c>
      <c r="AF36" s="66">
        <v>128.50555553000001</v>
      </c>
      <c r="AG36" s="66">
        <v>115.65499998</v>
      </c>
      <c r="AH36" s="66">
        <v>0</v>
      </c>
      <c r="AI36" s="66">
        <v>12.850555550000001</v>
      </c>
      <c r="AJ36" s="67">
        <v>97.718727540027885</v>
      </c>
      <c r="AK36" s="67">
        <v>97.71872755596246</v>
      </c>
      <c r="AL36" s="67">
        <v>9.999999997665471</v>
      </c>
      <c r="AM36" s="67">
        <v>1.5037858700000002</v>
      </c>
      <c r="AN36" s="67">
        <v>2.6535890000000122</v>
      </c>
    </row>
    <row r="37" spans="1:40" ht="15.6" x14ac:dyDescent="0.3">
      <c r="A37" s="169" t="s">
        <v>74</v>
      </c>
      <c r="B37" s="205" t="s">
        <v>1078</v>
      </c>
      <c r="C37" s="66">
        <v>0</v>
      </c>
      <c r="D37" s="66">
        <v>62.73</v>
      </c>
      <c r="E37" s="66">
        <v>38.892600000000002</v>
      </c>
      <c r="F37" s="66">
        <v>23.837399999999999</v>
      </c>
      <c r="G37" s="66">
        <v>38.892477880000001</v>
      </c>
      <c r="H37" s="66">
        <v>0.99845437999999997</v>
      </c>
      <c r="I37" s="66">
        <v>0</v>
      </c>
      <c r="J37" s="66">
        <v>62.729803020000006</v>
      </c>
      <c r="K37" s="66">
        <v>38.892477880000001</v>
      </c>
      <c r="L37" s="66">
        <v>0</v>
      </c>
      <c r="M37" s="66">
        <v>23.837325140000001</v>
      </c>
      <c r="N37" s="67">
        <v>99.999686007106746</v>
      </c>
      <c r="O37" s="67">
        <v>99.999685955683091</v>
      </c>
      <c r="P37" s="67">
        <v>37.999999987884543</v>
      </c>
      <c r="Q37" s="66">
        <v>0.99845437999999997</v>
      </c>
      <c r="R37" s="67">
        <v>-1.6653345369377348E-15</v>
      </c>
      <c r="S37" s="67">
        <v>1.221200000003364E-4</v>
      </c>
      <c r="U37" s="64"/>
      <c r="V37" s="65"/>
      <c r="W37" s="64"/>
      <c r="X37" s="65"/>
      <c r="Y37" s="66">
        <v>38.892600000000002</v>
      </c>
      <c r="Z37" s="66">
        <v>0</v>
      </c>
      <c r="AA37" s="66">
        <v>62.73</v>
      </c>
      <c r="AB37" s="66">
        <v>38.892600000000002</v>
      </c>
      <c r="AC37" s="66">
        <v>23.837399999999999</v>
      </c>
      <c r="AD37" s="66">
        <v>38.892477880000001</v>
      </c>
      <c r="AE37" s="66">
        <v>0.99845437999999997</v>
      </c>
      <c r="AF37" s="66">
        <v>62.729803020000006</v>
      </c>
      <c r="AG37" s="66">
        <v>38.892477880000001</v>
      </c>
      <c r="AH37" s="66">
        <v>0</v>
      </c>
      <c r="AI37" s="66">
        <v>23.837325140000001</v>
      </c>
      <c r="AJ37" s="67">
        <v>99.999686007106746</v>
      </c>
      <c r="AK37" s="67">
        <v>99.999685955683091</v>
      </c>
      <c r="AL37" s="67">
        <v>37.999999987884543</v>
      </c>
      <c r="AM37" s="67">
        <v>0.99845437999999997</v>
      </c>
      <c r="AN37" s="67">
        <v>-1.6653345369377348E-15</v>
      </c>
    </row>
    <row r="38" spans="1:40" ht="15.6" x14ac:dyDescent="0.3">
      <c r="A38" s="169" t="s">
        <v>76</v>
      </c>
      <c r="B38" s="205" t="s">
        <v>77</v>
      </c>
      <c r="C38" s="66">
        <v>0</v>
      </c>
      <c r="D38" s="66">
        <v>285.01272726999997</v>
      </c>
      <c r="E38" s="66">
        <v>219.4598</v>
      </c>
      <c r="F38" s="66">
        <v>65.552927269999998</v>
      </c>
      <c r="G38" s="66">
        <v>219.4598</v>
      </c>
      <c r="H38" s="66">
        <v>3.8974902500000002</v>
      </c>
      <c r="I38" s="66">
        <v>0</v>
      </c>
      <c r="J38" s="66">
        <v>285.01272725999996</v>
      </c>
      <c r="K38" s="66">
        <v>219.4598</v>
      </c>
      <c r="L38" s="66">
        <v>0</v>
      </c>
      <c r="M38" s="66">
        <v>65.552927260000004</v>
      </c>
      <c r="N38" s="67">
        <v>100</v>
      </c>
      <c r="O38" s="67">
        <v>99.999999984745159</v>
      </c>
      <c r="P38" s="67">
        <v>22.999999996561563</v>
      </c>
      <c r="Q38" s="66">
        <v>3.8974902500000002</v>
      </c>
      <c r="R38" s="67">
        <v>3.9968028886505635E-15</v>
      </c>
      <c r="S38" s="67">
        <v>0</v>
      </c>
      <c r="U38" s="64"/>
      <c r="V38" s="65"/>
      <c r="W38" s="64"/>
      <c r="X38" s="65"/>
      <c r="Y38" s="66">
        <v>219.4598</v>
      </c>
      <c r="Z38" s="66">
        <v>0</v>
      </c>
      <c r="AA38" s="66">
        <v>285.01272726999997</v>
      </c>
      <c r="AB38" s="66">
        <v>219.4598</v>
      </c>
      <c r="AC38" s="66">
        <v>65.552927269999998</v>
      </c>
      <c r="AD38" s="66">
        <v>219.4598</v>
      </c>
      <c r="AE38" s="66">
        <v>3.8974902500000002</v>
      </c>
      <c r="AF38" s="66">
        <v>285.01272725999996</v>
      </c>
      <c r="AG38" s="66">
        <v>219.4598</v>
      </c>
      <c r="AH38" s="66">
        <v>0</v>
      </c>
      <c r="AI38" s="66">
        <v>65.552927260000004</v>
      </c>
      <c r="AJ38" s="67">
        <v>100</v>
      </c>
      <c r="AK38" s="67">
        <v>99.999999984745159</v>
      </c>
      <c r="AL38" s="67">
        <v>22.999999996561563</v>
      </c>
      <c r="AM38" s="67">
        <v>3.8974902500000002</v>
      </c>
      <c r="AN38" s="67">
        <v>3.9968028886505635E-15</v>
      </c>
    </row>
    <row r="39" spans="1:40" ht="15.6" x14ac:dyDescent="0.3">
      <c r="A39" s="169" t="s">
        <v>79</v>
      </c>
      <c r="B39" s="205" t="s">
        <v>80</v>
      </c>
      <c r="C39" s="66">
        <v>0</v>
      </c>
      <c r="D39" s="66">
        <v>691.09337700000003</v>
      </c>
      <c r="E39" s="66">
        <v>532.14189999999996</v>
      </c>
      <c r="F39" s="66">
        <v>158.95147700000001</v>
      </c>
      <c r="G39" s="66">
        <v>531.47700808000002</v>
      </c>
      <c r="H39" s="66">
        <v>2.2133289999999999</v>
      </c>
      <c r="I39" s="66">
        <v>0</v>
      </c>
      <c r="J39" s="66">
        <v>690.22988099999998</v>
      </c>
      <c r="K39" s="66">
        <v>531.47700808000002</v>
      </c>
      <c r="L39" s="66">
        <v>0</v>
      </c>
      <c r="M39" s="66">
        <v>158.75287291999999</v>
      </c>
      <c r="N39" s="67">
        <v>99.875053642646833</v>
      </c>
      <c r="O39" s="67">
        <v>99.875053642942859</v>
      </c>
      <c r="P39" s="67">
        <v>23.000000042014985</v>
      </c>
      <c r="Q39" s="66">
        <v>2.2133289999999999</v>
      </c>
      <c r="R39" s="67">
        <v>4.4408920985006262E-14</v>
      </c>
      <c r="S39" s="67">
        <v>0.66489191999994546</v>
      </c>
      <c r="U39" s="64"/>
      <c r="V39" s="65"/>
      <c r="W39" s="64"/>
      <c r="X39" s="65"/>
      <c r="Y39" s="66">
        <v>532.14189999999996</v>
      </c>
      <c r="Z39" s="66">
        <v>0</v>
      </c>
      <c r="AA39" s="66">
        <v>691.09337700000003</v>
      </c>
      <c r="AB39" s="66">
        <v>532.14189999999996</v>
      </c>
      <c r="AC39" s="66">
        <v>158.95147700000001</v>
      </c>
      <c r="AD39" s="66">
        <v>531.47700808000002</v>
      </c>
      <c r="AE39" s="66">
        <v>2.2133289999999999</v>
      </c>
      <c r="AF39" s="66">
        <v>690.22988099999998</v>
      </c>
      <c r="AG39" s="66">
        <v>531.47700808000002</v>
      </c>
      <c r="AH39" s="66">
        <v>0</v>
      </c>
      <c r="AI39" s="66">
        <v>158.75287291999999</v>
      </c>
      <c r="AJ39" s="67">
        <v>99.875053642646833</v>
      </c>
      <c r="AK39" s="67">
        <v>99.875053642942859</v>
      </c>
      <c r="AL39" s="67">
        <v>23.000000042014985</v>
      </c>
      <c r="AM39" s="67">
        <v>2.2133289999999999</v>
      </c>
      <c r="AN39" s="67">
        <v>4.4408920985006262E-14</v>
      </c>
    </row>
    <row r="40" spans="1:40" ht="15.6" x14ac:dyDescent="0.3">
      <c r="A40" s="169" t="s">
        <v>82</v>
      </c>
      <c r="B40" s="205" t="s">
        <v>83</v>
      </c>
      <c r="C40" s="66">
        <v>0</v>
      </c>
      <c r="D40" s="66">
        <v>730.11428572</v>
      </c>
      <c r="E40" s="66">
        <v>357.75599999999997</v>
      </c>
      <c r="F40" s="66">
        <v>372.35828572000003</v>
      </c>
      <c r="G40" s="66">
        <v>357.75599994999999</v>
      </c>
      <c r="H40" s="66">
        <v>10.13917226</v>
      </c>
      <c r="I40" s="66">
        <v>0</v>
      </c>
      <c r="J40" s="66">
        <v>730.11428566999996</v>
      </c>
      <c r="K40" s="66">
        <v>357.75599994999999</v>
      </c>
      <c r="L40" s="66">
        <v>0</v>
      </c>
      <c r="M40" s="66">
        <v>372.35828572000003</v>
      </c>
      <c r="N40" s="67">
        <v>99.999999986024008</v>
      </c>
      <c r="O40" s="67">
        <v>100</v>
      </c>
      <c r="P40" s="67">
        <v>51.00000000387611</v>
      </c>
      <c r="Q40" s="66">
        <v>10.13917226</v>
      </c>
      <c r="R40" s="67">
        <v>8.8817841970012523E-15</v>
      </c>
      <c r="S40" s="67">
        <v>4.9999982820736477E-8</v>
      </c>
      <c r="U40" s="64"/>
      <c r="V40" s="65"/>
      <c r="W40" s="64"/>
      <c r="X40" s="65"/>
      <c r="Y40" s="66">
        <v>357.75599999999997</v>
      </c>
      <c r="Z40" s="66">
        <v>0</v>
      </c>
      <c r="AA40" s="66">
        <v>730.11428572</v>
      </c>
      <c r="AB40" s="66">
        <v>357.75599999999997</v>
      </c>
      <c r="AC40" s="66">
        <v>372.35828572000003</v>
      </c>
      <c r="AD40" s="66">
        <v>357.75599994999999</v>
      </c>
      <c r="AE40" s="66">
        <v>10.13917226</v>
      </c>
      <c r="AF40" s="66">
        <v>730.11428566999996</v>
      </c>
      <c r="AG40" s="66">
        <v>357.75599994999999</v>
      </c>
      <c r="AH40" s="66">
        <v>0</v>
      </c>
      <c r="AI40" s="66">
        <v>372.35828572000003</v>
      </c>
      <c r="AJ40" s="67">
        <v>99.999999986024008</v>
      </c>
      <c r="AK40" s="67">
        <v>100</v>
      </c>
      <c r="AL40" s="67">
        <v>51.00000000387611</v>
      </c>
      <c r="AM40" s="67">
        <v>10.13917226</v>
      </c>
      <c r="AN40" s="67">
        <v>8.8817841970012523E-15</v>
      </c>
    </row>
    <row r="41" spans="1:40" ht="15.6" x14ac:dyDescent="0.3">
      <c r="A41" s="169" t="s">
        <v>85</v>
      </c>
      <c r="B41" s="205" t="s">
        <v>299</v>
      </c>
      <c r="C41" s="66">
        <v>0</v>
      </c>
      <c r="D41" s="66">
        <v>43.930300000000003</v>
      </c>
      <c r="E41" s="66">
        <v>16.254200000000001</v>
      </c>
      <c r="F41" s="66">
        <v>27.676100000000002</v>
      </c>
      <c r="G41" s="66">
        <v>16.254200000000001</v>
      </c>
      <c r="H41" s="66">
        <v>0</v>
      </c>
      <c r="I41" s="66">
        <v>0</v>
      </c>
      <c r="J41" s="66">
        <v>43.930300000000003</v>
      </c>
      <c r="K41" s="66">
        <v>16.254200000000001</v>
      </c>
      <c r="L41" s="66">
        <v>0</v>
      </c>
      <c r="M41" s="66">
        <v>27.676100000000002</v>
      </c>
      <c r="N41" s="67">
        <v>100</v>
      </c>
      <c r="O41" s="67">
        <v>100</v>
      </c>
      <c r="P41" s="67">
        <v>63.000025039665111</v>
      </c>
      <c r="Q41" s="66">
        <v>0</v>
      </c>
      <c r="R41" s="67">
        <v>0</v>
      </c>
      <c r="S41" s="67">
        <v>0</v>
      </c>
      <c r="U41" s="64"/>
      <c r="V41" s="65"/>
      <c r="W41" s="64"/>
      <c r="X41" s="65"/>
      <c r="Y41" s="66">
        <v>16.254200000000001</v>
      </c>
      <c r="Z41" s="66">
        <v>0</v>
      </c>
      <c r="AA41" s="66">
        <v>43.930300000000003</v>
      </c>
      <c r="AB41" s="66">
        <v>16.254200000000001</v>
      </c>
      <c r="AC41" s="66">
        <v>27.676100000000002</v>
      </c>
      <c r="AD41" s="66">
        <v>16.254200000000001</v>
      </c>
      <c r="AE41" s="66">
        <v>0</v>
      </c>
      <c r="AF41" s="66">
        <v>43.930300000000003</v>
      </c>
      <c r="AG41" s="66">
        <v>16.254200000000001</v>
      </c>
      <c r="AH41" s="66">
        <v>0</v>
      </c>
      <c r="AI41" s="66">
        <v>27.676100000000002</v>
      </c>
      <c r="AJ41" s="67">
        <v>100</v>
      </c>
      <c r="AK41" s="67">
        <v>100</v>
      </c>
      <c r="AL41" s="67">
        <v>63.000025039665111</v>
      </c>
      <c r="AM41" s="67">
        <v>0</v>
      </c>
      <c r="AN41" s="67">
        <v>0</v>
      </c>
    </row>
    <row r="42" spans="1:40" ht="15.6" x14ac:dyDescent="0.3">
      <c r="A42" s="169" t="s">
        <v>87</v>
      </c>
      <c r="B42" s="205" t="s">
        <v>88</v>
      </c>
      <c r="C42" s="66">
        <v>0</v>
      </c>
      <c r="D42" s="66">
        <v>47.748309859999999</v>
      </c>
      <c r="E42" s="66">
        <v>33.901299999999999</v>
      </c>
      <c r="F42" s="66">
        <v>13.84700986</v>
      </c>
      <c r="G42" s="66">
        <v>32.836300000000001</v>
      </c>
      <c r="H42" s="66">
        <v>1.664937E-2</v>
      </c>
      <c r="I42" s="66">
        <v>0</v>
      </c>
      <c r="J42" s="66">
        <v>46.248309859999999</v>
      </c>
      <c r="K42" s="66">
        <v>32.836300000000001</v>
      </c>
      <c r="L42" s="66">
        <v>0</v>
      </c>
      <c r="M42" s="66">
        <v>13.41200986</v>
      </c>
      <c r="N42" s="67">
        <v>96.85852754909105</v>
      </c>
      <c r="O42" s="67">
        <v>96.858527549282755</v>
      </c>
      <c r="P42" s="67">
        <v>29.000000001297344</v>
      </c>
      <c r="Q42" s="66">
        <v>1.664937E-2</v>
      </c>
      <c r="R42" s="67">
        <v>3.2161773244610004E-15</v>
      </c>
      <c r="S42" s="67">
        <v>1.0649999999999977</v>
      </c>
      <c r="U42" s="64"/>
      <c r="V42" s="65"/>
      <c r="W42" s="64"/>
      <c r="X42" s="65"/>
      <c r="Y42" s="66">
        <v>33.901299999999999</v>
      </c>
      <c r="Z42" s="66">
        <v>0</v>
      </c>
      <c r="AA42" s="66">
        <v>47.748309859999999</v>
      </c>
      <c r="AB42" s="66">
        <v>33.901299999999999</v>
      </c>
      <c r="AC42" s="66">
        <v>13.84700986</v>
      </c>
      <c r="AD42" s="66">
        <v>32.836300000000001</v>
      </c>
      <c r="AE42" s="66">
        <v>1.664937E-2</v>
      </c>
      <c r="AF42" s="66">
        <v>46.248309859999999</v>
      </c>
      <c r="AG42" s="66">
        <v>32.836300000000001</v>
      </c>
      <c r="AH42" s="66">
        <v>0</v>
      </c>
      <c r="AI42" s="66">
        <v>13.41200986</v>
      </c>
      <c r="AJ42" s="67">
        <v>96.85852754909105</v>
      </c>
      <c r="AK42" s="67">
        <v>96.858527549282755</v>
      </c>
      <c r="AL42" s="67">
        <v>29.000000001297344</v>
      </c>
      <c r="AM42" s="67">
        <v>1.664937E-2</v>
      </c>
      <c r="AN42" s="67">
        <v>3.2161773244610004E-15</v>
      </c>
    </row>
    <row r="43" spans="1:40" ht="15.6" x14ac:dyDescent="0.3">
      <c r="A43" s="169" t="s">
        <v>90</v>
      </c>
      <c r="B43" s="205" t="s">
        <v>91</v>
      </c>
      <c r="C43" s="66">
        <v>0</v>
      </c>
      <c r="D43" s="66">
        <v>148.68199999999999</v>
      </c>
      <c r="E43" s="66">
        <v>114.4851</v>
      </c>
      <c r="F43" s="66">
        <v>34.196899999999999</v>
      </c>
      <c r="G43" s="66">
        <v>114.4851</v>
      </c>
      <c r="H43" s="66">
        <v>0</v>
      </c>
      <c r="I43" s="66">
        <v>0</v>
      </c>
      <c r="J43" s="66">
        <v>148.68199999999999</v>
      </c>
      <c r="K43" s="66">
        <v>114.4851</v>
      </c>
      <c r="L43" s="66">
        <v>0</v>
      </c>
      <c r="M43" s="66">
        <v>34.196899999999999</v>
      </c>
      <c r="N43" s="67">
        <v>100</v>
      </c>
      <c r="O43" s="67">
        <v>100</v>
      </c>
      <c r="P43" s="67">
        <v>23.000026903054842</v>
      </c>
      <c r="Q43" s="66">
        <v>0</v>
      </c>
      <c r="R43" s="67">
        <v>0</v>
      </c>
      <c r="S43" s="67">
        <v>0</v>
      </c>
      <c r="U43" s="64"/>
      <c r="V43" s="65"/>
      <c r="W43" s="64"/>
      <c r="X43" s="65"/>
      <c r="Y43" s="66">
        <v>114.4851</v>
      </c>
      <c r="Z43" s="66">
        <v>0</v>
      </c>
      <c r="AA43" s="66">
        <v>148.68199999999999</v>
      </c>
      <c r="AB43" s="66">
        <v>114.4851</v>
      </c>
      <c r="AC43" s="66">
        <v>34.196899999999999</v>
      </c>
      <c r="AD43" s="66">
        <v>114.4851</v>
      </c>
      <c r="AE43" s="66">
        <v>0</v>
      </c>
      <c r="AF43" s="66">
        <v>148.68199999999999</v>
      </c>
      <c r="AG43" s="66">
        <v>114.4851</v>
      </c>
      <c r="AH43" s="66">
        <v>0</v>
      </c>
      <c r="AI43" s="66">
        <v>34.196899999999999</v>
      </c>
      <c r="AJ43" s="67">
        <v>100</v>
      </c>
      <c r="AK43" s="67">
        <v>100</v>
      </c>
      <c r="AL43" s="67">
        <v>23.000026903054842</v>
      </c>
      <c r="AM43" s="67">
        <v>0</v>
      </c>
      <c r="AN43" s="67">
        <v>0</v>
      </c>
    </row>
    <row r="44" spans="1:40" ht="15.6" x14ac:dyDescent="0.3">
      <c r="A44" s="206">
        <v>32</v>
      </c>
      <c r="B44" s="205" t="s">
        <v>93</v>
      </c>
      <c r="C44" s="66">
        <v>0</v>
      </c>
      <c r="D44" s="66">
        <v>183.90709699999999</v>
      </c>
      <c r="E44" s="66">
        <v>171.03360000000001</v>
      </c>
      <c r="F44" s="66">
        <v>12.873497</v>
      </c>
      <c r="G44" s="66">
        <v>171.03360000000001</v>
      </c>
      <c r="H44" s="66">
        <v>2.4917352400000001</v>
      </c>
      <c r="I44" s="66">
        <v>0</v>
      </c>
      <c r="J44" s="66">
        <v>183.90709699999999</v>
      </c>
      <c r="K44" s="66">
        <v>171.03360000000001</v>
      </c>
      <c r="L44" s="66">
        <v>0</v>
      </c>
      <c r="M44" s="66">
        <v>12.873497</v>
      </c>
      <c r="N44" s="67">
        <v>100</v>
      </c>
      <c r="O44" s="67">
        <v>100</v>
      </c>
      <c r="P44" s="67">
        <v>7.0000001141880901</v>
      </c>
      <c r="Q44" s="66">
        <v>2.4917352400000001</v>
      </c>
      <c r="R44" s="67">
        <v>-3.1086244689504383E-15</v>
      </c>
      <c r="S44" s="67">
        <v>0</v>
      </c>
      <c r="U44" s="64"/>
      <c r="V44" s="65"/>
      <c r="W44" s="64"/>
      <c r="X44" s="65"/>
      <c r="Y44" s="66">
        <v>171.03360000000001</v>
      </c>
      <c r="Z44" s="66">
        <v>0</v>
      </c>
      <c r="AA44" s="66">
        <v>183.90709699999999</v>
      </c>
      <c r="AB44" s="66">
        <v>171.03360000000001</v>
      </c>
      <c r="AC44" s="66">
        <v>12.873497</v>
      </c>
      <c r="AD44" s="66">
        <v>171.03360000000001</v>
      </c>
      <c r="AE44" s="66">
        <v>2.4917352400000001</v>
      </c>
      <c r="AF44" s="66">
        <v>183.90709699999999</v>
      </c>
      <c r="AG44" s="66">
        <v>171.03360000000001</v>
      </c>
      <c r="AH44" s="66">
        <v>0</v>
      </c>
      <c r="AI44" s="66">
        <v>12.873497</v>
      </c>
      <c r="AJ44" s="67">
        <v>100</v>
      </c>
      <c r="AK44" s="67">
        <v>100</v>
      </c>
      <c r="AL44" s="67">
        <v>7.0000001141880901</v>
      </c>
      <c r="AM44" s="67">
        <v>2.4917352400000001</v>
      </c>
      <c r="AN44" s="67">
        <v>-3.1086244689504383E-15</v>
      </c>
    </row>
    <row r="45" spans="1:40" ht="15.6" x14ac:dyDescent="0.3">
      <c r="A45" s="208">
        <v>33</v>
      </c>
      <c r="B45" s="209" t="s">
        <v>95</v>
      </c>
      <c r="C45" s="61">
        <v>0</v>
      </c>
      <c r="D45" s="61">
        <v>9086.4126989300003</v>
      </c>
      <c r="E45" s="61">
        <v>7770.7026999999998</v>
      </c>
      <c r="F45" s="61">
        <v>1315.70999893</v>
      </c>
      <c r="G45" s="61">
        <v>7690.4815515199998</v>
      </c>
      <c r="H45" s="61">
        <v>136.74579205000001</v>
      </c>
      <c r="I45" s="61">
        <v>0</v>
      </c>
      <c r="J45" s="61">
        <v>8993.5598369500021</v>
      </c>
      <c r="K45" s="61">
        <v>7690.4721402699997</v>
      </c>
      <c r="L45" s="61">
        <v>0</v>
      </c>
      <c r="M45" s="61">
        <v>1303.0876966800001</v>
      </c>
      <c r="N45" s="61">
        <v>98.967525038243963</v>
      </c>
      <c r="O45" s="61">
        <v>99.040647083303696</v>
      </c>
      <c r="P45" s="61">
        <v>14.489120218295207</v>
      </c>
      <c r="Q45" s="61">
        <v>135.90648724000002</v>
      </c>
      <c r="R45" s="61">
        <v>0.84871605999988808</v>
      </c>
      <c r="S45" s="61">
        <v>80.221148480000068</v>
      </c>
      <c r="U45" s="59"/>
      <c r="V45" s="60"/>
      <c r="W45" s="59"/>
      <c r="X45" s="60"/>
      <c r="Y45" s="61">
        <v>7770.7026999999998</v>
      </c>
      <c r="Z45" s="61">
        <v>0</v>
      </c>
      <c r="AA45" s="61">
        <v>9086.4126989300003</v>
      </c>
      <c r="AB45" s="61">
        <v>7770.7026999999998</v>
      </c>
      <c r="AC45" s="61">
        <v>1315.70999893</v>
      </c>
      <c r="AD45" s="61">
        <v>7690.4815515199998</v>
      </c>
      <c r="AE45" s="61">
        <v>136.74579205000001</v>
      </c>
      <c r="AF45" s="61">
        <v>8993.5598369500021</v>
      </c>
      <c r="AG45" s="61">
        <v>7690.4721402699997</v>
      </c>
      <c r="AH45" s="61">
        <v>0</v>
      </c>
      <c r="AI45" s="61">
        <v>1303.0876966800001</v>
      </c>
      <c r="AJ45" s="61">
        <v>98.967525038243963</v>
      </c>
      <c r="AK45" s="61">
        <v>99.040647083303696</v>
      </c>
      <c r="AL45" s="61">
        <v>14.489120218295207</v>
      </c>
      <c r="AM45" s="61">
        <v>135.90648724000002</v>
      </c>
      <c r="AN45" s="61">
        <v>0.84871605999988808</v>
      </c>
    </row>
    <row r="46" spans="1:40" ht="15.6" x14ac:dyDescent="0.3">
      <c r="A46" s="171">
        <v>34</v>
      </c>
      <c r="B46" s="211" t="s">
        <v>97</v>
      </c>
      <c r="C46" s="66">
        <v>0</v>
      </c>
      <c r="D46" s="66">
        <v>209.61711111000002</v>
      </c>
      <c r="E46" s="66">
        <v>188.65539999999999</v>
      </c>
      <c r="F46" s="66">
        <v>20.96171111</v>
      </c>
      <c r="G46" s="66">
        <v>188.65539999999999</v>
      </c>
      <c r="H46" s="66">
        <v>7.2777725999999996</v>
      </c>
      <c r="I46" s="66">
        <v>0</v>
      </c>
      <c r="J46" s="66">
        <v>209.61711111000002</v>
      </c>
      <c r="K46" s="66">
        <v>188.65539999999999</v>
      </c>
      <c r="L46" s="66">
        <v>0</v>
      </c>
      <c r="M46" s="66">
        <v>20.96171111</v>
      </c>
      <c r="N46" s="67">
        <v>100</v>
      </c>
      <c r="O46" s="67">
        <v>100</v>
      </c>
      <c r="P46" s="67">
        <v>9.9999999995229381</v>
      </c>
      <c r="Q46" s="66">
        <v>7.2777725999999996</v>
      </c>
      <c r="R46" s="67">
        <v>-7.9936057773011271E-15</v>
      </c>
      <c r="S46" s="67">
        <v>0</v>
      </c>
      <c r="U46" s="64"/>
      <c r="V46" s="65"/>
      <c r="W46" s="64"/>
      <c r="X46" s="65"/>
      <c r="Y46" s="66">
        <v>188.65539999999999</v>
      </c>
      <c r="Z46" s="66">
        <v>0</v>
      </c>
      <c r="AA46" s="66">
        <v>209.61711111000002</v>
      </c>
      <c r="AB46" s="66">
        <v>188.65539999999999</v>
      </c>
      <c r="AC46" s="66">
        <v>20.96171111</v>
      </c>
      <c r="AD46" s="66">
        <v>188.65539999999999</v>
      </c>
      <c r="AE46" s="66">
        <v>7.2777725999999996</v>
      </c>
      <c r="AF46" s="66">
        <v>209.61711111000002</v>
      </c>
      <c r="AG46" s="66">
        <v>188.65539999999999</v>
      </c>
      <c r="AH46" s="66">
        <v>0</v>
      </c>
      <c r="AI46" s="66">
        <v>20.96171111</v>
      </c>
      <c r="AJ46" s="67">
        <v>100</v>
      </c>
      <c r="AK46" s="67">
        <v>100</v>
      </c>
      <c r="AL46" s="67">
        <v>9.9999999995229381</v>
      </c>
      <c r="AM46" s="67">
        <v>7.2777725999999996</v>
      </c>
      <c r="AN46" s="67">
        <v>-7.9936057773011271E-15</v>
      </c>
    </row>
    <row r="47" spans="1:40" ht="15.6" x14ac:dyDescent="0.3">
      <c r="A47" s="171">
        <v>35</v>
      </c>
      <c r="B47" s="211" t="s">
        <v>99</v>
      </c>
      <c r="C47" s="66">
        <v>0</v>
      </c>
      <c r="D47" s="66">
        <v>524.33680852999998</v>
      </c>
      <c r="E47" s="66">
        <v>492.8766</v>
      </c>
      <c r="F47" s="66">
        <v>31.460208530000003</v>
      </c>
      <c r="G47" s="66">
        <v>492.8766</v>
      </c>
      <c r="H47" s="66">
        <v>0.15986149999999999</v>
      </c>
      <c r="I47" s="66">
        <v>0</v>
      </c>
      <c r="J47" s="66">
        <v>524.33680852999998</v>
      </c>
      <c r="K47" s="66">
        <v>492.8766</v>
      </c>
      <c r="L47" s="66">
        <v>0</v>
      </c>
      <c r="M47" s="66">
        <v>31.460208530000003</v>
      </c>
      <c r="N47" s="67">
        <v>100</v>
      </c>
      <c r="O47" s="67">
        <v>100</v>
      </c>
      <c r="P47" s="67">
        <v>6.0000000034710528</v>
      </c>
      <c r="Q47" s="66">
        <v>0.15986149999999999</v>
      </c>
      <c r="R47" s="67">
        <v>-2.3203661214665772E-14</v>
      </c>
      <c r="S47" s="67">
        <v>0</v>
      </c>
      <c r="U47" s="64"/>
      <c r="V47" s="65"/>
      <c r="W47" s="64"/>
      <c r="X47" s="65"/>
      <c r="Y47" s="66">
        <v>492.8766</v>
      </c>
      <c r="Z47" s="66">
        <v>0</v>
      </c>
      <c r="AA47" s="66">
        <v>524.33680852999998</v>
      </c>
      <c r="AB47" s="66">
        <v>492.8766</v>
      </c>
      <c r="AC47" s="66">
        <v>31.460208530000003</v>
      </c>
      <c r="AD47" s="66">
        <v>492.8766</v>
      </c>
      <c r="AE47" s="66">
        <v>0.15986149999999999</v>
      </c>
      <c r="AF47" s="66">
        <v>524.33680852999998</v>
      </c>
      <c r="AG47" s="66">
        <v>492.8766</v>
      </c>
      <c r="AH47" s="66">
        <v>0</v>
      </c>
      <c r="AI47" s="66">
        <v>31.460208530000003</v>
      </c>
      <c r="AJ47" s="67">
        <v>100</v>
      </c>
      <c r="AK47" s="67">
        <v>100</v>
      </c>
      <c r="AL47" s="67">
        <v>6.0000000034710528</v>
      </c>
      <c r="AM47" s="67">
        <v>0.15986149999999999</v>
      </c>
      <c r="AN47" s="67">
        <v>-2.3203661214665772E-14</v>
      </c>
    </row>
    <row r="48" spans="1:40" s="126" customFormat="1" ht="15.6" x14ac:dyDescent="0.3">
      <c r="A48" s="169">
        <v>36</v>
      </c>
      <c r="B48" s="205" t="s">
        <v>318</v>
      </c>
      <c r="C48" s="66">
        <v>0</v>
      </c>
      <c r="D48" s="66">
        <v>1850.7062109999999</v>
      </c>
      <c r="E48" s="66">
        <v>1758.1709000000001</v>
      </c>
      <c r="F48" s="66">
        <v>92.535310999999993</v>
      </c>
      <c r="G48" s="66">
        <v>1758.17089999</v>
      </c>
      <c r="H48" s="66">
        <v>20.142829809999999</v>
      </c>
      <c r="I48" s="66">
        <v>0</v>
      </c>
      <c r="J48" s="66">
        <v>1850.70621099</v>
      </c>
      <c r="K48" s="66">
        <v>1758.17089999</v>
      </c>
      <c r="L48" s="66">
        <v>0</v>
      </c>
      <c r="M48" s="66">
        <v>92.535310999999993</v>
      </c>
      <c r="N48" s="67">
        <v>99.999999999431225</v>
      </c>
      <c r="O48" s="67">
        <v>100</v>
      </c>
      <c r="P48" s="67">
        <v>5.0000000243420581</v>
      </c>
      <c r="Q48" s="66">
        <v>19.41804213</v>
      </c>
      <c r="R48" s="67">
        <v>0.72478767999996663</v>
      </c>
      <c r="S48" s="67">
        <v>1.0000121619668789E-8</v>
      </c>
      <c r="U48" s="27"/>
      <c r="V48" s="27"/>
      <c r="W48" s="27"/>
      <c r="X48" s="27"/>
      <c r="Y48" s="66">
        <v>1758.1709000000001</v>
      </c>
      <c r="Z48" s="66">
        <v>0</v>
      </c>
      <c r="AA48" s="66">
        <v>1850.7062109999999</v>
      </c>
      <c r="AB48" s="66">
        <v>1758.1709000000001</v>
      </c>
      <c r="AC48" s="66">
        <v>92.535310999999993</v>
      </c>
      <c r="AD48" s="66">
        <v>1758.17089999</v>
      </c>
      <c r="AE48" s="66">
        <v>20.142829809999999</v>
      </c>
      <c r="AF48" s="66">
        <v>1850.70621099</v>
      </c>
      <c r="AG48" s="66">
        <v>1758.17089999</v>
      </c>
      <c r="AH48" s="66">
        <v>0</v>
      </c>
      <c r="AI48" s="66">
        <v>92.535310999999993</v>
      </c>
      <c r="AJ48" s="67">
        <v>99.999999999431225</v>
      </c>
      <c r="AK48" s="67">
        <v>100</v>
      </c>
      <c r="AL48" s="67">
        <v>5.0000000243420581</v>
      </c>
      <c r="AM48" s="67">
        <v>19.41804213</v>
      </c>
      <c r="AN48" s="67">
        <v>0.72478767999996663</v>
      </c>
    </row>
    <row r="49" spans="1:40" ht="15.6" x14ac:dyDescent="0.3">
      <c r="A49" s="171">
        <v>37</v>
      </c>
      <c r="B49" s="211" t="s">
        <v>101</v>
      </c>
      <c r="C49" s="66">
        <v>0</v>
      </c>
      <c r="D49" s="66">
        <v>2953.2736</v>
      </c>
      <c r="E49" s="66">
        <v>2244.4879000000001</v>
      </c>
      <c r="F49" s="66">
        <v>708.78570000000002</v>
      </c>
      <c r="G49" s="66">
        <v>2228.95308965</v>
      </c>
      <c r="H49" s="66">
        <v>76.613982370000002</v>
      </c>
      <c r="I49" s="66">
        <v>0</v>
      </c>
      <c r="J49" s="66">
        <v>2932.8330597899999</v>
      </c>
      <c r="K49" s="66">
        <v>2228.95308965</v>
      </c>
      <c r="L49" s="66">
        <v>0</v>
      </c>
      <c r="M49" s="66">
        <v>703.87997013999995</v>
      </c>
      <c r="N49" s="67">
        <v>99.307868385033387</v>
      </c>
      <c r="O49" s="67">
        <v>99.30786839237868</v>
      </c>
      <c r="P49" s="67">
        <v>24.000001220335399</v>
      </c>
      <c r="Q49" s="66">
        <v>76.613982370000002</v>
      </c>
      <c r="R49" s="67">
        <v>2.8421709430404007E-14</v>
      </c>
      <c r="S49" s="67">
        <v>15.534810350000043</v>
      </c>
      <c r="U49" s="64"/>
      <c r="V49" s="65"/>
      <c r="W49" s="64"/>
      <c r="X49" s="65"/>
      <c r="Y49" s="66">
        <v>2244.4879000000001</v>
      </c>
      <c r="Z49" s="66">
        <v>0</v>
      </c>
      <c r="AA49" s="66">
        <v>2953.2736</v>
      </c>
      <c r="AB49" s="66">
        <v>2244.4879000000001</v>
      </c>
      <c r="AC49" s="66">
        <v>708.78570000000002</v>
      </c>
      <c r="AD49" s="66">
        <v>2228.95308965</v>
      </c>
      <c r="AE49" s="66">
        <v>76.613982370000002</v>
      </c>
      <c r="AF49" s="66">
        <v>2932.8330597899999</v>
      </c>
      <c r="AG49" s="66">
        <v>2228.95308965</v>
      </c>
      <c r="AH49" s="66">
        <v>0</v>
      </c>
      <c r="AI49" s="66">
        <v>703.87997013999995</v>
      </c>
      <c r="AJ49" s="67">
        <v>99.307868385033387</v>
      </c>
      <c r="AK49" s="67">
        <v>99.30786839237868</v>
      </c>
      <c r="AL49" s="67">
        <v>24.000001220335399</v>
      </c>
      <c r="AM49" s="67">
        <v>76.613982370000002</v>
      </c>
      <c r="AN49" s="67">
        <v>2.8421709430404007E-14</v>
      </c>
    </row>
    <row r="50" spans="1:40" ht="15.6" x14ac:dyDescent="0.3">
      <c r="A50" s="171">
        <v>38</v>
      </c>
      <c r="B50" s="211" t="s">
        <v>103</v>
      </c>
      <c r="C50" s="66">
        <v>0</v>
      </c>
      <c r="D50" s="66">
        <v>412.49926829000003</v>
      </c>
      <c r="E50" s="66">
        <v>338.24939999999998</v>
      </c>
      <c r="F50" s="66">
        <v>74.249868290000009</v>
      </c>
      <c r="G50" s="66">
        <v>313.83226879</v>
      </c>
      <c r="H50" s="66">
        <v>4.5552840300000002</v>
      </c>
      <c r="I50" s="66">
        <v>0</v>
      </c>
      <c r="J50" s="66">
        <v>382.72227900999997</v>
      </c>
      <c r="K50" s="66">
        <v>313.83226879</v>
      </c>
      <c r="L50" s="66">
        <v>0</v>
      </c>
      <c r="M50" s="66">
        <v>68.890010219999994</v>
      </c>
      <c r="N50" s="67">
        <v>92.781323127254637</v>
      </c>
      <c r="O50" s="67">
        <v>92.781323127650737</v>
      </c>
      <c r="P50" s="67">
        <v>17.999999999529685</v>
      </c>
      <c r="Q50" s="66">
        <v>4.5548827800000007</v>
      </c>
      <c r="R50" s="67">
        <v>4.0124999999502364E-4</v>
      </c>
      <c r="S50" s="67">
        <v>24.41713120999998</v>
      </c>
      <c r="U50" s="64"/>
      <c r="V50" s="65"/>
      <c r="W50" s="64"/>
      <c r="X50" s="65"/>
      <c r="Y50" s="66">
        <v>338.24939999999998</v>
      </c>
      <c r="Z50" s="66">
        <v>0</v>
      </c>
      <c r="AA50" s="66">
        <v>412.49926829000003</v>
      </c>
      <c r="AB50" s="66">
        <v>338.24939999999998</v>
      </c>
      <c r="AC50" s="66">
        <v>74.249868290000009</v>
      </c>
      <c r="AD50" s="66">
        <v>313.83226879</v>
      </c>
      <c r="AE50" s="66">
        <v>4.5552840300000002</v>
      </c>
      <c r="AF50" s="66">
        <v>382.72227900999997</v>
      </c>
      <c r="AG50" s="66">
        <v>313.83226879</v>
      </c>
      <c r="AH50" s="66">
        <v>0</v>
      </c>
      <c r="AI50" s="66">
        <v>68.890010219999994</v>
      </c>
      <c r="AJ50" s="67">
        <v>92.781323127254637</v>
      </c>
      <c r="AK50" s="67">
        <v>92.781323127650737</v>
      </c>
      <c r="AL50" s="67">
        <v>17.999999999529685</v>
      </c>
      <c r="AM50" s="67">
        <v>4.5548827800000007</v>
      </c>
      <c r="AN50" s="67">
        <v>4.0124999999502364E-4</v>
      </c>
    </row>
    <row r="51" spans="1:40" ht="15.6" x14ac:dyDescent="0.3">
      <c r="A51" s="171">
        <v>39</v>
      </c>
      <c r="B51" s="211" t="s">
        <v>105</v>
      </c>
      <c r="C51" s="66">
        <v>0</v>
      </c>
      <c r="D51" s="66">
        <v>894.79070000000002</v>
      </c>
      <c r="E51" s="66">
        <v>769.52</v>
      </c>
      <c r="F51" s="66">
        <v>125.27070000000001</v>
      </c>
      <c r="G51" s="66">
        <v>769.48809950999998</v>
      </c>
      <c r="H51" s="66">
        <v>0</v>
      </c>
      <c r="I51" s="66">
        <v>0</v>
      </c>
      <c r="J51" s="66">
        <v>894.74266299999999</v>
      </c>
      <c r="K51" s="66">
        <v>769.47868826000001</v>
      </c>
      <c r="L51" s="66">
        <v>0</v>
      </c>
      <c r="M51" s="66">
        <v>125.26397473999999</v>
      </c>
      <c r="N51" s="67">
        <v>99.994631492358877</v>
      </c>
      <c r="O51" s="67">
        <v>99.99463141820074</v>
      </c>
      <c r="P51" s="67">
        <v>14.000000214586839</v>
      </c>
      <c r="Q51" s="66">
        <v>0</v>
      </c>
      <c r="R51" s="67">
        <v>9.4112499999710053E-3</v>
      </c>
      <c r="S51" s="67">
        <v>3.1900489999998172E-2</v>
      </c>
      <c r="U51" s="64"/>
      <c r="V51" s="65"/>
      <c r="W51" s="64"/>
      <c r="X51" s="65"/>
      <c r="Y51" s="66">
        <v>769.52</v>
      </c>
      <c r="Z51" s="66">
        <v>0</v>
      </c>
      <c r="AA51" s="66">
        <v>894.79070000000002</v>
      </c>
      <c r="AB51" s="66">
        <v>769.52</v>
      </c>
      <c r="AC51" s="66">
        <v>125.27070000000001</v>
      </c>
      <c r="AD51" s="66">
        <v>769.48809950999998</v>
      </c>
      <c r="AE51" s="66">
        <v>0</v>
      </c>
      <c r="AF51" s="66">
        <v>894.74266299999999</v>
      </c>
      <c r="AG51" s="66">
        <v>769.47868826000001</v>
      </c>
      <c r="AH51" s="66">
        <v>0</v>
      </c>
      <c r="AI51" s="66">
        <v>125.26397473999999</v>
      </c>
      <c r="AJ51" s="67">
        <v>99.994631492358877</v>
      </c>
      <c r="AK51" s="67">
        <v>99.99463141820074</v>
      </c>
      <c r="AL51" s="67">
        <v>14.000000214586839</v>
      </c>
      <c r="AM51" s="67">
        <v>0</v>
      </c>
      <c r="AN51" s="67">
        <v>9.4112499999710053E-3</v>
      </c>
    </row>
    <row r="52" spans="1:40" s="126" customFormat="1" ht="15.6" x14ac:dyDescent="0.3">
      <c r="A52" s="206">
        <v>40</v>
      </c>
      <c r="B52" s="211" t="s">
        <v>107</v>
      </c>
      <c r="C52" s="66">
        <v>0</v>
      </c>
      <c r="D52" s="66">
        <v>1879.837</v>
      </c>
      <c r="E52" s="66">
        <v>1635.4581000000001</v>
      </c>
      <c r="F52" s="66">
        <v>244.37889999999999</v>
      </c>
      <c r="G52" s="66">
        <v>1633.0588175100002</v>
      </c>
      <c r="H52" s="66">
        <v>22.584612230000001</v>
      </c>
      <c r="I52" s="66">
        <v>0</v>
      </c>
      <c r="J52" s="66">
        <v>1877.0792033900002</v>
      </c>
      <c r="K52" s="66">
        <v>1633.0588175100002</v>
      </c>
      <c r="L52" s="66">
        <v>0</v>
      </c>
      <c r="M52" s="66">
        <v>244.02038587999999</v>
      </c>
      <c r="N52" s="67">
        <v>99.853295997616826</v>
      </c>
      <c r="O52" s="67">
        <v>99.853295795995479</v>
      </c>
      <c r="P52" s="67">
        <v>13.000004764812257</v>
      </c>
      <c r="Q52" s="66">
        <v>22.470496350000001</v>
      </c>
      <c r="R52" s="67">
        <v>0.11411587999994666</v>
      </c>
      <c r="S52" s="67">
        <v>2.399282489999905</v>
      </c>
      <c r="U52" s="64"/>
      <c r="V52" s="65"/>
      <c r="W52" s="64"/>
      <c r="X52" s="65"/>
      <c r="Y52" s="66">
        <v>1635.4581000000001</v>
      </c>
      <c r="Z52" s="66">
        <v>0</v>
      </c>
      <c r="AA52" s="66">
        <v>1879.837</v>
      </c>
      <c r="AB52" s="66">
        <v>1635.4581000000001</v>
      </c>
      <c r="AC52" s="66">
        <v>244.37889999999999</v>
      </c>
      <c r="AD52" s="66">
        <v>1633.0588175100002</v>
      </c>
      <c r="AE52" s="66">
        <v>22.584612230000001</v>
      </c>
      <c r="AF52" s="66">
        <v>1877.0792033900002</v>
      </c>
      <c r="AG52" s="66">
        <v>1633.0588175100002</v>
      </c>
      <c r="AH52" s="66">
        <v>0</v>
      </c>
      <c r="AI52" s="66">
        <v>244.02038587999999</v>
      </c>
      <c r="AJ52" s="67">
        <v>99.853295997616826</v>
      </c>
      <c r="AK52" s="67">
        <v>99.853295795995479</v>
      </c>
      <c r="AL52" s="67">
        <v>13.000004764812257</v>
      </c>
      <c r="AM52" s="67">
        <v>22.470496350000001</v>
      </c>
      <c r="AN52" s="67">
        <v>0.11411587999994666</v>
      </c>
    </row>
    <row r="53" spans="1:40" ht="15.6" x14ac:dyDescent="0.3">
      <c r="A53" s="169">
        <v>41</v>
      </c>
      <c r="B53" s="205" t="s">
        <v>319</v>
      </c>
      <c r="C53" s="66">
        <v>0</v>
      </c>
      <c r="D53" s="66">
        <v>361.35199999999998</v>
      </c>
      <c r="E53" s="66">
        <v>343.28440000000001</v>
      </c>
      <c r="F53" s="66">
        <v>18.067599999999999</v>
      </c>
      <c r="G53" s="66">
        <v>305.44637606999999</v>
      </c>
      <c r="H53" s="66">
        <v>5.4114495099999997</v>
      </c>
      <c r="I53" s="66">
        <v>0</v>
      </c>
      <c r="J53" s="66">
        <v>321.52250113000002</v>
      </c>
      <c r="K53" s="66">
        <v>305.44637606999999</v>
      </c>
      <c r="L53" s="66">
        <v>0</v>
      </c>
      <c r="M53" s="66">
        <v>16.076125059999999</v>
      </c>
      <c r="N53" s="67">
        <v>88.977645378001441</v>
      </c>
      <c r="O53" s="67">
        <v>88.977645398392696</v>
      </c>
      <c r="P53" s="67">
        <v>5.0000000010885701</v>
      </c>
      <c r="Q53" s="66">
        <v>5.4114495099999997</v>
      </c>
      <c r="R53" s="67">
        <v>1.1546319456101628E-14</v>
      </c>
      <c r="S53" s="67">
        <v>37.83802393000002</v>
      </c>
      <c r="T53" s="126"/>
      <c r="U53" s="27"/>
      <c r="V53" s="27"/>
      <c r="W53" s="27"/>
      <c r="X53" s="27"/>
      <c r="Y53" s="66">
        <v>343.28440000000001</v>
      </c>
      <c r="Z53" s="66">
        <v>0</v>
      </c>
      <c r="AA53" s="66">
        <v>361.35199999999998</v>
      </c>
      <c r="AB53" s="66">
        <v>343.28440000000001</v>
      </c>
      <c r="AC53" s="66">
        <v>18.067599999999999</v>
      </c>
      <c r="AD53" s="66">
        <v>305.44637606999999</v>
      </c>
      <c r="AE53" s="66">
        <v>5.4114495099999997</v>
      </c>
      <c r="AF53" s="66">
        <v>321.52250113000002</v>
      </c>
      <c r="AG53" s="66">
        <v>305.44637606999999</v>
      </c>
      <c r="AH53" s="66">
        <v>0</v>
      </c>
      <c r="AI53" s="66">
        <v>16.076125059999999</v>
      </c>
      <c r="AJ53" s="67">
        <v>88.977645378001441</v>
      </c>
      <c r="AK53" s="67">
        <v>88.977645398392696</v>
      </c>
      <c r="AL53" s="67">
        <v>5.0000000010885701</v>
      </c>
      <c r="AM53" s="67">
        <v>5.4114495099999997</v>
      </c>
      <c r="AN53" s="67">
        <v>1.1546319456101628E-14</v>
      </c>
    </row>
    <row r="54" spans="1:40" ht="31.2" x14ac:dyDescent="0.3">
      <c r="A54" s="208">
        <v>42</v>
      </c>
      <c r="B54" s="212" t="s">
        <v>109</v>
      </c>
      <c r="C54" s="61">
        <v>0</v>
      </c>
      <c r="D54" s="61">
        <v>6911.74008039</v>
      </c>
      <c r="E54" s="61">
        <v>6522.3427000000001</v>
      </c>
      <c r="F54" s="61">
        <v>389.39738038999997</v>
      </c>
      <c r="G54" s="61">
        <v>6515.05094534</v>
      </c>
      <c r="H54" s="61">
        <v>141.32952330000001</v>
      </c>
      <c r="I54" s="61">
        <v>0</v>
      </c>
      <c r="J54" s="61">
        <v>6903.9836285199999</v>
      </c>
      <c r="K54" s="61">
        <v>6515.0509453200002</v>
      </c>
      <c r="L54" s="61">
        <v>0</v>
      </c>
      <c r="M54" s="61">
        <v>388.93268319999999</v>
      </c>
      <c r="N54" s="61">
        <v>99.888203441380043</v>
      </c>
      <c r="O54" s="61">
        <v>99.880662476585087</v>
      </c>
      <c r="P54" s="61">
        <v>5.6334531500529517</v>
      </c>
      <c r="Q54" s="61">
        <v>118.40396746000002</v>
      </c>
      <c r="R54" s="61">
        <v>22.925555859999957</v>
      </c>
      <c r="S54" s="61">
        <v>7.2917546599997536</v>
      </c>
      <c r="U54" s="59"/>
      <c r="V54" s="60"/>
      <c r="W54" s="59"/>
      <c r="X54" s="60"/>
      <c r="Y54" s="61">
        <v>6522.3427000000001</v>
      </c>
      <c r="Z54" s="61">
        <v>0</v>
      </c>
      <c r="AA54" s="61">
        <v>6911.74008039</v>
      </c>
      <c r="AB54" s="61">
        <v>6522.3427000000001</v>
      </c>
      <c r="AC54" s="61">
        <v>389.39738038999997</v>
      </c>
      <c r="AD54" s="61">
        <v>6515.05094534</v>
      </c>
      <c r="AE54" s="61">
        <v>141.32952330000001</v>
      </c>
      <c r="AF54" s="61">
        <v>6903.9836285199999</v>
      </c>
      <c r="AG54" s="61">
        <v>6515.0509453200002</v>
      </c>
      <c r="AH54" s="61">
        <v>0</v>
      </c>
      <c r="AI54" s="61">
        <v>388.93268319999999</v>
      </c>
      <c r="AJ54" s="61">
        <v>99.888203441380043</v>
      </c>
      <c r="AK54" s="61">
        <v>99.880662476585087</v>
      </c>
      <c r="AL54" s="61">
        <v>5.6334531500529517</v>
      </c>
      <c r="AM54" s="61">
        <v>118.40396746000002</v>
      </c>
      <c r="AN54" s="61">
        <v>22.925555859999957</v>
      </c>
    </row>
    <row r="55" spans="1:40" ht="15.6" x14ac:dyDescent="0.3">
      <c r="A55" s="171">
        <v>43</v>
      </c>
      <c r="B55" s="211" t="s">
        <v>111</v>
      </c>
      <c r="C55" s="66">
        <v>0</v>
      </c>
      <c r="D55" s="66">
        <v>2187.93694736</v>
      </c>
      <c r="E55" s="66">
        <v>2078.5401000000002</v>
      </c>
      <c r="F55" s="66">
        <v>109.39684736</v>
      </c>
      <c r="G55" s="66">
        <v>2078.5401000000002</v>
      </c>
      <c r="H55" s="66">
        <v>1.5912267499999999</v>
      </c>
      <c r="I55" s="66">
        <v>0</v>
      </c>
      <c r="J55" s="66">
        <v>2187.93694736</v>
      </c>
      <c r="K55" s="66">
        <v>2078.5401000000002</v>
      </c>
      <c r="L55" s="66">
        <v>0</v>
      </c>
      <c r="M55" s="66">
        <v>109.39684736</v>
      </c>
      <c r="N55" s="67">
        <v>100</v>
      </c>
      <c r="O55" s="67">
        <v>100</v>
      </c>
      <c r="P55" s="67">
        <v>4.9999999996343591</v>
      </c>
      <c r="Q55" s="66">
        <v>1.5912267499999999</v>
      </c>
      <c r="R55" s="67">
        <v>-1.9473311851925246E-13</v>
      </c>
      <c r="S55" s="67">
        <v>0</v>
      </c>
      <c r="U55" s="64"/>
      <c r="V55" s="65"/>
      <c r="W55" s="64"/>
      <c r="X55" s="65"/>
      <c r="Y55" s="66">
        <v>2078.5401000000002</v>
      </c>
      <c r="Z55" s="66">
        <v>0</v>
      </c>
      <c r="AA55" s="66">
        <v>2187.93694736</v>
      </c>
      <c r="AB55" s="66">
        <v>2078.5401000000002</v>
      </c>
      <c r="AC55" s="66">
        <v>109.39684736</v>
      </c>
      <c r="AD55" s="66">
        <v>2078.5401000000002</v>
      </c>
      <c r="AE55" s="66">
        <v>1.5912267499999999</v>
      </c>
      <c r="AF55" s="66">
        <v>2187.93694736</v>
      </c>
      <c r="AG55" s="66">
        <v>2078.5401000000002</v>
      </c>
      <c r="AH55" s="66">
        <v>0</v>
      </c>
      <c r="AI55" s="66">
        <v>109.39684736</v>
      </c>
      <c r="AJ55" s="67">
        <v>100</v>
      </c>
      <c r="AK55" s="67">
        <v>100</v>
      </c>
      <c r="AL55" s="67">
        <v>4.9999999996343591</v>
      </c>
      <c r="AM55" s="67">
        <v>1.5912267499999999</v>
      </c>
      <c r="AN55" s="67">
        <v>-1.9473311851925246E-13</v>
      </c>
    </row>
    <row r="56" spans="1:40" ht="15.6" x14ac:dyDescent="0.3">
      <c r="A56" s="171">
        <v>44</v>
      </c>
      <c r="B56" s="211" t="s">
        <v>113</v>
      </c>
      <c r="C56" s="66">
        <v>0</v>
      </c>
      <c r="D56" s="66">
        <v>242.040211</v>
      </c>
      <c r="E56" s="66">
        <v>229.93819999999999</v>
      </c>
      <c r="F56" s="66">
        <v>12.102010999999999</v>
      </c>
      <c r="G56" s="66">
        <v>229.87264288999998</v>
      </c>
      <c r="H56" s="66">
        <v>9.3563199999999996E-3</v>
      </c>
      <c r="I56" s="66">
        <v>0</v>
      </c>
      <c r="J56" s="66">
        <v>241.97120359000002</v>
      </c>
      <c r="K56" s="66">
        <v>229.87264288999998</v>
      </c>
      <c r="L56" s="66">
        <v>0</v>
      </c>
      <c r="M56" s="66">
        <v>12.098560699999998</v>
      </c>
      <c r="N56" s="67">
        <v>99.971489247980543</v>
      </c>
      <c r="O56" s="67">
        <v>99.971489862304693</v>
      </c>
      <c r="P56" s="67">
        <v>5.0000002151082397</v>
      </c>
      <c r="Q56" s="66">
        <v>0</v>
      </c>
      <c r="R56" s="67">
        <v>9.3563199999948665E-3</v>
      </c>
      <c r="S56" s="67">
        <v>6.5557110000014518E-2</v>
      </c>
      <c r="U56" s="64"/>
      <c r="V56" s="65"/>
      <c r="W56" s="64"/>
      <c r="X56" s="65"/>
      <c r="Y56" s="66">
        <v>229.93819999999999</v>
      </c>
      <c r="Z56" s="66">
        <v>0</v>
      </c>
      <c r="AA56" s="66">
        <v>242.040211</v>
      </c>
      <c r="AB56" s="66">
        <v>229.93819999999999</v>
      </c>
      <c r="AC56" s="66">
        <v>12.102010999999999</v>
      </c>
      <c r="AD56" s="66">
        <v>229.87264288999998</v>
      </c>
      <c r="AE56" s="66">
        <v>9.3563199999999996E-3</v>
      </c>
      <c r="AF56" s="66">
        <v>241.97120359000002</v>
      </c>
      <c r="AG56" s="66">
        <v>229.87264288999998</v>
      </c>
      <c r="AH56" s="66">
        <v>0</v>
      </c>
      <c r="AI56" s="66">
        <v>12.098560699999998</v>
      </c>
      <c r="AJ56" s="67">
        <v>99.971489247980543</v>
      </c>
      <c r="AK56" s="67">
        <v>99.971489862304693</v>
      </c>
      <c r="AL56" s="67">
        <v>5.0000002151082397</v>
      </c>
      <c r="AM56" s="67">
        <v>0</v>
      </c>
      <c r="AN56" s="67">
        <v>9.3563199999948665E-3</v>
      </c>
    </row>
    <row r="57" spans="1:40" ht="31.2" x14ac:dyDescent="0.3">
      <c r="A57" s="171">
        <v>45</v>
      </c>
      <c r="B57" s="211" t="s">
        <v>115</v>
      </c>
      <c r="C57" s="66">
        <v>0</v>
      </c>
      <c r="D57" s="66">
        <v>998.96387097000002</v>
      </c>
      <c r="E57" s="66">
        <v>929.03639999999996</v>
      </c>
      <c r="F57" s="66">
        <v>69.927470970000002</v>
      </c>
      <c r="G57" s="66">
        <v>929.03639999999996</v>
      </c>
      <c r="H57" s="66">
        <v>3.3433656699999998</v>
      </c>
      <c r="I57" s="66">
        <v>0</v>
      </c>
      <c r="J57" s="66">
        <v>998.96387097000002</v>
      </c>
      <c r="K57" s="66">
        <v>929.03639999999996</v>
      </c>
      <c r="L57" s="66">
        <v>0</v>
      </c>
      <c r="M57" s="66">
        <v>69.927470970000002</v>
      </c>
      <c r="N57" s="67">
        <v>100</v>
      </c>
      <c r="O57" s="67">
        <v>100</v>
      </c>
      <c r="P57" s="67">
        <v>7.0000000002102176</v>
      </c>
      <c r="Q57" s="66">
        <v>3.3433656699999998</v>
      </c>
      <c r="R57" s="67">
        <v>2.5757174171303632E-14</v>
      </c>
      <c r="S57" s="67">
        <v>0</v>
      </c>
      <c r="U57" s="64"/>
      <c r="V57" s="65"/>
      <c r="W57" s="64"/>
      <c r="X57" s="65"/>
      <c r="Y57" s="66">
        <v>929.03639999999996</v>
      </c>
      <c r="Z57" s="66">
        <v>0</v>
      </c>
      <c r="AA57" s="66">
        <v>998.96387097000002</v>
      </c>
      <c r="AB57" s="66">
        <v>929.03639999999996</v>
      </c>
      <c r="AC57" s="66">
        <v>69.927470970000002</v>
      </c>
      <c r="AD57" s="66">
        <v>929.03639999999996</v>
      </c>
      <c r="AE57" s="66">
        <v>3.3433656699999998</v>
      </c>
      <c r="AF57" s="66">
        <v>998.96387097000002</v>
      </c>
      <c r="AG57" s="66">
        <v>929.03639999999996</v>
      </c>
      <c r="AH57" s="66">
        <v>0</v>
      </c>
      <c r="AI57" s="66">
        <v>69.927470970000002</v>
      </c>
      <c r="AJ57" s="67">
        <v>100</v>
      </c>
      <c r="AK57" s="67">
        <v>100</v>
      </c>
      <c r="AL57" s="67">
        <v>7.0000000002102176</v>
      </c>
      <c r="AM57" s="67">
        <v>3.3433656699999998</v>
      </c>
      <c r="AN57" s="67">
        <v>2.5757174171303632E-14</v>
      </c>
    </row>
    <row r="58" spans="1:40" ht="31.2" x14ac:dyDescent="0.3">
      <c r="A58" s="171">
        <v>46</v>
      </c>
      <c r="B58" s="211" t="s">
        <v>117</v>
      </c>
      <c r="C58" s="66">
        <v>0</v>
      </c>
      <c r="D58" s="66">
        <v>604.29250000000002</v>
      </c>
      <c r="E58" s="66">
        <v>574.07780000000002</v>
      </c>
      <c r="F58" s="66">
        <v>30.214700000000001</v>
      </c>
      <c r="G58" s="66">
        <v>574.07780000000002</v>
      </c>
      <c r="H58" s="66">
        <v>2.51490167</v>
      </c>
      <c r="I58" s="66">
        <v>0</v>
      </c>
      <c r="J58" s="66">
        <v>604.29249983</v>
      </c>
      <c r="K58" s="66">
        <v>574.07780000000002</v>
      </c>
      <c r="L58" s="66">
        <v>0</v>
      </c>
      <c r="M58" s="66">
        <v>30.214699829999997</v>
      </c>
      <c r="N58" s="67">
        <v>100</v>
      </c>
      <c r="O58" s="67">
        <v>99.999999437359961</v>
      </c>
      <c r="P58" s="67">
        <v>5.0000123844826838</v>
      </c>
      <c r="Q58" s="66">
        <v>2.51490167</v>
      </c>
      <c r="R58" s="67">
        <v>-2.7977620220553945E-14</v>
      </c>
      <c r="S58" s="67">
        <v>0</v>
      </c>
      <c r="U58" s="64"/>
      <c r="V58" s="65"/>
      <c r="W58" s="64"/>
      <c r="X58" s="65"/>
      <c r="Y58" s="66">
        <v>574.07780000000002</v>
      </c>
      <c r="Z58" s="66">
        <v>0</v>
      </c>
      <c r="AA58" s="66">
        <v>604.29250000000002</v>
      </c>
      <c r="AB58" s="66">
        <v>574.07780000000002</v>
      </c>
      <c r="AC58" s="66">
        <v>30.214700000000001</v>
      </c>
      <c r="AD58" s="66">
        <v>574.07780000000002</v>
      </c>
      <c r="AE58" s="66">
        <v>2.51490167</v>
      </c>
      <c r="AF58" s="66">
        <v>604.29249983</v>
      </c>
      <c r="AG58" s="66">
        <v>574.07780000000002</v>
      </c>
      <c r="AH58" s="66">
        <v>0</v>
      </c>
      <c r="AI58" s="66">
        <v>30.214699829999997</v>
      </c>
      <c r="AJ58" s="67">
        <v>100</v>
      </c>
      <c r="AK58" s="67">
        <v>99.999999437359961</v>
      </c>
      <c r="AL58" s="67">
        <v>5.0000123844826838</v>
      </c>
      <c r="AM58" s="67">
        <v>2.51490167</v>
      </c>
      <c r="AN58" s="67">
        <v>-2.7977620220553945E-14</v>
      </c>
    </row>
    <row r="59" spans="1:40" ht="31.2" x14ac:dyDescent="0.3">
      <c r="A59" s="171">
        <v>47</v>
      </c>
      <c r="B59" s="211" t="s">
        <v>119</v>
      </c>
      <c r="C59" s="66">
        <v>0</v>
      </c>
      <c r="D59" s="66">
        <v>257.77871020999999</v>
      </c>
      <c r="E59" s="66">
        <v>239.73419999999999</v>
      </c>
      <c r="F59" s="66">
        <v>18.044510210000002</v>
      </c>
      <c r="G59" s="66">
        <v>239.73419934</v>
      </c>
      <c r="H59" s="66">
        <v>0</v>
      </c>
      <c r="I59" s="66">
        <v>0</v>
      </c>
      <c r="J59" s="66">
        <v>257.77870944</v>
      </c>
      <c r="K59" s="66">
        <v>239.73419934</v>
      </c>
      <c r="L59" s="66">
        <v>0</v>
      </c>
      <c r="M59" s="66">
        <v>18.0445101</v>
      </c>
      <c r="N59" s="67">
        <v>99.999999724695115</v>
      </c>
      <c r="O59" s="67">
        <v>99.999999390396297</v>
      </c>
      <c r="P59" s="67">
        <v>7.0000001703786952</v>
      </c>
      <c r="Q59" s="66">
        <v>0</v>
      </c>
      <c r="R59" s="67">
        <v>0</v>
      </c>
      <c r="S59" s="67">
        <v>6.5999998355437128E-7</v>
      </c>
      <c r="U59" s="64"/>
      <c r="V59" s="65"/>
      <c r="W59" s="64"/>
      <c r="X59" s="65"/>
      <c r="Y59" s="66">
        <v>239.73419999999999</v>
      </c>
      <c r="Z59" s="66">
        <v>0</v>
      </c>
      <c r="AA59" s="66">
        <v>257.77871020999999</v>
      </c>
      <c r="AB59" s="66">
        <v>239.73419999999999</v>
      </c>
      <c r="AC59" s="66">
        <v>18.044510210000002</v>
      </c>
      <c r="AD59" s="66">
        <v>239.73419934</v>
      </c>
      <c r="AE59" s="66">
        <v>0</v>
      </c>
      <c r="AF59" s="66">
        <v>257.77870944</v>
      </c>
      <c r="AG59" s="66">
        <v>239.73419934</v>
      </c>
      <c r="AH59" s="66">
        <v>0</v>
      </c>
      <c r="AI59" s="66">
        <v>18.0445101</v>
      </c>
      <c r="AJ59" s="67">
        <v>99.999999724695115</v>
      </c>
      <c r="AK59" s="67">
        <v>99.999999390396297</v>
      </c>
      <c r="AL59" s="67">
        <v>7.0000001703786952</v>
      </c>
      <c r="AM59" s="67">
        <v>0</v>
      </c>
      <c r="AN59" s="67">
        <v>0</v>
      </c>
    </row>
    <row r="60" spans="1:40" ht="15.6" x14ac:dyDescent="0.3">
      <c r="A60" s="169">
        <v>48</v>
      </c>
      <c r="B60" s="211" t="s">
        <v>122</v>
      </c>
      <c r="C60" s="66">
        <v>0</v>
      </c>
      <c r="D60" s="66">
        <v>753.18316000000004</v>
      </c>
      <c r="E60" s="66">
        <v>715.524</v>
      </c>
      <c r="F60" s="66">
        <v>37.65916</v>
      </c>
      <c r="G60" s="66">
        <v>715.524</v>
      </c>
      <c r="H60" s="66">
        <v>41.984575</v>
      </c>
      <c r="I60" s="66">
        <v>0</v>
      </c>
      <c r="J60" s="66">
        <v>753.18316000000004</v>
      </c>
      <c r="K60" s="66">
        <v>715.524</v>
      </c>
      <c r="L60" s="66">
        <v>0</v>
      </c>
      <c r="M60" s="66">
        <v>37.65916</v>
      </c>
      <c r="N60" s="67">
        <v>100</v>
      </c>
      <c r="O60" s="67">
        <v>100</v>
      </c>
      <c r="P60" s="67">
        <v>5.0000002655396596</v>
      </c>
      <c r="Q60" s="66">
        <v>41.984575</v>
      </c>
      <c r="R60" s="67">
        <v>-4.9737991503207013E-14</v>
      </c>
      <c r="S60" s="67">
        <v>0</v>
      </c>
      <c r="U60" s="64"/>
      <c r="V60" s="65"/>
      <c r="W60" s="64"/>
      <c r="X60" s="65"/>
      <c r="Y60" s="66">
        <v>715.524</v>
      </c>
      <c r="Z60" s="66">
        <v>0</v>
      </c>
      <c r="AA60" s="66">
        <v>753.18316000000004</v>
      </c>
      <c r="AB60" s="66">
        <v>715.524</v>
      </c>
      <c r="AC60" s="66">
        <v>37.65916</v>
      </c>
      <c r="AD60" s="66">
        <v>715.524</v>
      </c>
      <c r="AE60" s="66">
        <v>41.984575</v>
      </c>
      <c r="AF60" s="66">
        <v>753.18316000000004</v>
      </c>
      <c r="AG60" s="66">
        <v>715.524</v>
      </c>
      <c r="AH60" s="66">
        <v>0</v>
      </c>
      <c r="AI60" s="66">
        <v>37.65916</v>
      </c>
      <c r="AJ60" s="67">
        <v>100</v>
      </c>
      <c r="AK60" s="67">
        <v>100</v>
      </c>
      <c r="AL60" s="67">
        <v>5.0000002655396596</v>
      </c>
      <c r="AM60" s="67">
        <v>41.984575</v>
      </c>
      <c r="AN60" s="67">
        <v>-4.9737991503207013E-14</v>
      </c>
    </row>
    <row r="61" spans="1:40" ht="15.6" x14ac:dyDescent="0.3">
      <c r="A61" s="215">
        <v>49</v>
      </c>
      <c r="B61" s="211" t="s">
        <v>125</v>
      </c>
      <c r="C61" s="66">
        <v>0</v>
      </c>
      <c r="D61" s="66">
        <v>1867.5446808499998</v>
      </c>
      <c r="E61" s="66">
        <v>1755.492</v>
      </c>
      <c r="F61" s="66">
        <v>112.05268084999999</v>
      </c>
      <c r="G61" s="66">
        <v>1748.2658031100002</v>
      </c>
      <c r="H61" s="66">
        <v>91.886097890000002</v>
      </c>
      <c r="I61" s="66">
        <v>0</v>
      </c>
      <c r="J61" s="66">
        <v>1859.8572373299999</v>
      </c>
      <c r="K61" s="66">
        <v>1748.26580309</v>
      </c>
      <c r="L61" s="66">
        <v>0</v>
      </c>
      <c r="M61" s="66">
        <v>111.59143424</v>
      </c>
      <c r="N61" s="67">
        <v>99.588366286488352</v>
      </c>
      <c r="O61" s="67">
        <v>99.588366287623728</v>
      </c>
      <c r="P61" s="67">
        <v>6.0000000000107541</v>
      </c>
      <c r="Q61" s="66">
        <v>68.96989837000001</v>
      </c>
      <c r="R61" s="67">
        <v>22.916199540000207</v>
      </c>
      <c r="S61" s="67">
        <v>7.2261968899997555</v>
      </c>
      <c r="U61" s="64"/>
      <c r="V61" s="65"/>
      <c r="W61" s="64"/>
      <c r="X61" s="65"/>
      <c r="Y61" s="66">
        <v>1755.492</v>
      </c>
      <c r="Z61" s="66">
        <v>0</v>
      </c>
      <c r="AA61" s="66">
        <v>1867.5446808499998</v>
      </c>
      <c r="AB61" s="66">
        <v>1755.492</v>
      </c>
      <c r="AC61" s="66">
        <v>112.05268084999999</v>
      </c>
      <c r="AD61" s="66">
        <v>1748.2658031100002</v>
      </c>
      <c r="AE61" s="66">
        <v>91.886097890000002</v>
      </c>
      <c r="AF61" s="66">
        <v>1859.8572373299999</v>
      </c>
      <c r="AG61" s="66">
        <v>1748.26580309</v>
      </c>
      <c r="AH61" s="66">
        <v>0</v>
      </c>
      <c r="AI61" s="66">
        <v>111.59143424</v>
      </c>
      <c r="AJ61" s="67">
        <v>99.588366286488352</v>
      </c>
      <c r="AK61" s="67">
        <v>99.588366287623728</v>
      </c>
      <c r="AL61" s="67">
        <v>6.0000000000107541</v>
      </c>
      <c r="AM61" s="67">
        <v>68.96989837000001</v>
      </c>
      <c r="AN61" s="67">
        <v>22.916199540000207</v>
      </c>
    </row>
    <row r="62" spans="1:40" ht="15.6" x14ac:dyDescent="0.3">
      <c r="A62" s="202">
        <v>50</v>
      </c>
      <c r="B62" s="203" t="s">
        <v>128</v>
      </c>
      <c r="C62" s="61">
        <v>0</v>
      </c>
      <c r="D62" s="61">
        <v>10016.920072020001</v>
      </c>
      <c r="E62" s="61">
        <v>7563.9058000000005</v>
      </c>
      <c r="F62" s="61">
        <v>2453.0142720199997</v>
      </c>
      <c r="G62" s="61">
        <v>7523.80495238</v>
      </c>
      <c r="H62" s="61">
        <v>55.393712629999996</v>
      </c>
      <c r="I62" s="61">
        <v>0</v>
      </c>
      <c r="J62" s="61">
        <v>9962.2318569300005</v>
      </c>
      <c r="K62" s="61">
        <v>7523.8049331599996</v>
      </c>
      <c r="L62" s="61">
        <v>0</v>
      </c>
      <c r="M62" s="61">
        <v>2438.4269237699996</v>
      </c>
      <c r="N62" s="61">
        <v>99.469839155849868</v>
      </c>
      <c r="O62" s="61">
        <v>99.405329662514035</v>
      </c>
      <c r="P62" s="61">
        <v>24.476713238447299</v>
      </c>
      <c r="Q62" s="61">
        <v>55.393712629999996</v>
      </c>
      <c r="R62" s="61">
        <v>1.9219999906616714E-5</v>
      </c>
      <c r="S62" s="61">
        <v>40.100847620000081</v>
      </c>
      <c r="U62" s="59"/>
      <c r="V62" s="60"/>
      <c r="W62" s="59"/>
      <c r="X62" s="60"/>
      <c r="Y62" s="61">
        <v>7563.9058000000005</v>
      </c>
      <c r="Z62" s="61">
        <v>0</v>
      </c>
      <c r="AA62" s="61">
        <v>10016.920072020001</v>
      </c>
      <c r="AB62" s="61">
        <v>7563.9058000000005</v>
      </c>
      <c r="AC62" s="61">
        <v>2453.0142720199997</v>
      </c>
      <c r="AD62" s="61">
        <v>7523.80495238</v>
      </c>
      <c r="AE62" s="61">
        <v>55.393712629999996</v>
      </c>
      <c r="AF62" s="61">
        <v>9962.2318569300005</v>
      </c>
      <c r="AG62" s="61">
        <v>7523.8049331599996</v>
      </c>
      <c r="AH62" s="61">
        <v>0</v>
      </c>
      <c r="AI62" s="61">
        <v>2438.4269237699996</v>
      </c>
      <c r="AJ62" s="61">
        <v>99.469839155849868</v>
      </c>
      <c r="AK62" s="61">
        <v>99.405329662514035</v>
      </c>
      <c r="AL62" s="61">
        <v>24.476713238447299</v>
      </c>
      <c r="AM62" s="61">
        <v>55.393712629999996</v>
      </c>
      <c r="AN62" s="61">
        <v>1.9219999906616714E-5</v>
      </c>
    </row>
    <row r="63" spans="1:40" ht="15.6" x14ac:dyDescent="0.3">
      <c r="A63" s="169">
        <v>51</v>
      </c>
      <c r="B63" s="205" t="s">
        <v>131</v>
      </c>
      <c r="C63" s="66">
        <v>0</v>
      </c>
      <c r="D63" s="66">
        <v>1024.1072630000001</v>
      </c>
      <c r="E63" s="66">
        <v>901.21429999999998</v>
      </c>
      <c r="F63" s="66">
        <v>122.89296299999999</v>
      </c>
      <c r="G63" s="66">
        <v>901.21429999999998</v>
      </c>
      <c r="H63" s="66">
        <v>0</v>
      </c>
      <c r="I63" s="66">
        <v>0</v>
      </c>
      <c r="J63" s="66">
        <v>1024.1072630000001</v>
      </c>
      <c r="K63" s="66">
        <v>901.21429999999998</v>
      </c>
      <c r="L63" s="66">
        <v>0</v>
      </c>
      <c r="M63" s="66">
        <v>122.89296299999999</v>
      </c>
      <c r="N63" s="67">
        <v>100</v>
      </c>
      <c r="O63" s="67">
        <v>100</v>
      </c>
      <c r="P63" s="67">
        <v>12.000008928752221</v>
      </c>
      <c r="Q63" s="66">
        <v>0</v>
      </c>
      <c r="R63" s="67">
        <v>0</v>
      </c>
      <c r="S63" s="67">
        <v>0</v>
      </c>
      <c r="U63" s="64"/>
      <c r="V63" s="65"/>
      <c r="W63" s="64"/>
      <c r="X63" s="65"/>
      <c r="Y63" s="66">
        <v>901.21429999999998</v>
      </c>
      <c r="Z63" s="66">
        <v>0</v>
      </c>
      <c r="AA63" s="66">
        <v>1024.1072630000001</v>
      </c>
      <c r="AB63" s="66">
        <v>901.21429999999998</v>
      </c>
      <c r="AC63" s="66">
        <v>122.89296299999999</v>
      </c>
      <c r="AD63" s="66">
        <v>901.21429999999998</v>
      </c>
      <c r="AE63" s="66">
        <v>0</v>
      </c>
      <c r="AF63" s="66">
        <v>1024.1072630000001</v>
      </c>
      <c r="AG63" s="66">
        <v>901.21429999999998</v>
      </c>
      <c r="AH63" s="66">
        <v>0</v>
      </c>
      <c r="AI63" s="66">
        <v>122.89296299999999</v>
      </c>
      <c r="AJ63" s="67">
        <v>100</v>
      </c>
      <c r="AK63" s="67">
        <v>100</v>
      </c>
      <c r="AL63" s="67">
        <v>12.000008928752221</v>
      </c>
      <c r="AM63" s="67">
        <v>0</v>
      </c>
      <c r="AN63" s="67">
        <v>0</v>
      </c>
    </row>
    <row r="64" spans="1:40" ht="15.6" x14ac:dyDescent="0.3">
      <c r="A64" s="169">
        <v>52</v>
      </c>
      <c r="B64" s="205" t="s">
        <v>134</v>
      </c>
      <c r="C64" s="66">
        <v>0</v>
      </c>
      <c r="D64" s="66">
        <v>161.18391303999999</v>
      </c>
      <c r="E64" s="66">
        <v>148.28919999999999</v>
      </c>
      <c r="F64" s="66">
        <v>12.894713039999999</v>
      </c>
      <c r="G64" s="66">
        <v>148.28919999999999</v>
      </c>
      <c r="H64" s="66">
        <v>4.24658873</v>
      </c>
      <c r="I64" s="66">
        <v>0</v>
      </c>
      <c r="J64" s="66">
        <v>161.18391303999999</v>
      </c>
      <c r="K64" s="66">
        <v>148.28919999999999</v>
      </c>
      <c r="L64" s="66">
        <v>0</v>
      </c>
      <c r="M64" s="66">
        <v>12.894713039999999</v>
      </c>
      <c r="N64" s="67">
        <v>100</v>
      </c>
      <c r="O64" s="67">
        <v>100</v>
      </c>
      <c r="P64" s="67">
        <v>7.9999999980146894</v>
      </c>
      <c r="Q64" s="66">
        <v>4.24658873</v>
      </c>
      <c r="R64" s="67">
        <v>1.3322676295501878E-14</v>
      </c>
      <c r="S64" s="67">
        <v>0</v>
      </c>
      <c r="U64" s="64"/>
      <c r="V64" s="65"/>
      <c r="W64" s="64"/>
      <c r="X64" s="65"/>
      <c r="Y64" s="66">
        <v>148.28919999999999</v>
      </c>
      <c r="Z64" s="66">
        <v>0</v>
      </c>
      <c r="AA64" s="66">
        <v>161.18391303999999</v>
      </c>
      <c r="AB64" s="66">
        <v>148.28919999999999</v>
      </c>
      <c r="AC64" s="66">
        <v>12.894713039999999</v>
      </c>
      <c r="AD64" s="66">
        <v>148.28919999999999</v>
      </c>
      <c r="AE64" s="66">
        <v>4.24658873</v>
      </c>
      <c r="AF64" s="66">
        <v>161.18391303999999</v>
      </c>
      <c r="AG64" s="66">
        <v>148.28919999999999</v>
      </c>
      <c r="AH64" s="66">
        <v>0</v>
      </c>
      <c r="AI64" s="66">
        <v>12.894713039999999</v>
      </c>
      <c r="AJ64" s="67">
        <v>100</v>
      </c>
      <c r="AK64" s="67">
        <v>100</v>
      </c>
      <c r="AL64" s="67">
        <v>7.9999999980146894</v>
      </c>
      <c r="AM64" s="67">
        <v>4.24658873</v>
      </c>
      <c r="AN64" s="67">
        <v>1.3322676295501878E-14</v>
      </c>
    </row>
    <row r="65" spans="1:40" ht="15.6" x14ac:dyDescent="0.3">
      <c r="A65" s="169">
        <v>53</v>
      </c>
      <c r="B65" s="205" t="s">
        <v>137</v>
      </c>
      <c r="C65" s="66">
        <v>0</v>
      </c>
      <c r="D65" s="66">
        <v>558.96462499999996</v>
      </c>
      <c r="E65" s="66">
        <v>447.17169999999999</v>
      </c>
      <c r="F65" s="66">
        <v>111.792925</v>
      </c>
      <c r="G65" s="66">
        <v>447.17169999999999</v>
      </c>
      <c r="H65" s="66">
        <v>0</v>
      </c>
      <c r="I65" s="66">
        <v>0</v>
      </c>
      <c r="J65" s="66">
        <v>558.96462499999996</v>
      </c>
      <c r="K65" s="66">
        <v>447.17169999999999</v>
      </c>
      <c r="L65" s="66">
        <v>0</v>
      </c>
      <c r="M65" s="66">
        <v>111.792925</v>
      </c>
      <c r="N65" s="67">
        <v>100</v>
      </c>
      <c r="O65" s="67">
        <v>100</v>
      </c>
      <c r="P65" s="67">
        <v>20</v>
      </c>
      <c r="Q65" s="66">
        <v>0</v>
      </c>
      <c r="R65" s="67">
        <v>0</v>
      </c>
      <c r="S65" s="67">
        <v>0</v>
      </c>
      <c r="U65" s="64"/>
      <c r="V65" s="65"/>
      <c r="W65" s="64"/>
      <c r="X65" s="65"/>
      <c r="Y65" s="66">
        <v>447.17169999999999</v>
      </c>
      <c r="Z65" s="66">
        <v>0</v>
      </c>
      <c r="AA65" s="66">
        <v>558.96462499999996</v>
      </c>
      <c r="AB65" s="66">
        <v>447.17169999999999</v>
      </c>
      <c r="AC65" s="66">
        <v>111.792925</v>
      </c>
      <c r="AD65" s="66">
        <v>447.17169999999999</v>
      </c>
      <c r="AE65" s="66">
        <v>0</v>
      </c>
      <c r="AF65" s="66">
        <v>558.96462499999996</v>
      </c>
      <c r="AG65" s="66">
        <v>447.17169999999999</v>
      </c>
      <c r="AH65" s="66">
        <v>0</v>
      </c>
      <c r="AI65" s="66">
        <v>111.792925</v>
      </c>
      <c r="AJ65" s="67">
        <v>100</v>
      </c>
      <c r="AK65" s="67">
        <v>100</v>
      </c>
      <c r="AL65" s="67">
        <v>20</v>
      </c>
      <c r="AM65" s="67">
        <v>0</v>
      </c>
      <c r="AN65" s="67">
        <v>0</v>
      </c>
    </row>
    <row r="66" spans="1:40" ht="15.6" x14ac:dyDescent="0.3">
      <c r="A66" s="169">
        <v>54</v>
      </c>
      <c r="B66" s="205" t="s">
        <v>140</v>
      </c>
      <c r="C66" s="66">
        <v>0</v>
      </c>
      <c r="D66" s="66">
        <v>2697.3827586200005</v>
      </c>
      <c r="E66" s="66">
        <v>1564.482</v>
      </c>
      <c r="F66" s="66">
        <v>1132.9007586199998</v>
      </c>
      <c r="G66" s="66">
        <v>1564.4819600999999</v>
      </c>
      <c r="H66" s="66">
        <v>8.8858457200000007</v>
      </c>
      <c r="I66" s="66">
        <v>0</v>
      </c>
      <c r="J66" s="66">
        <v>2697.3826898299999</v>
      </c>
      <c r="K66" s="66">
        <v>1564.4819600999999</v>
      </c>
      <c r="L66" s="66">
        <v>0</v>
      </c>
      <c r="M66" s="66">
        <v>1132.90072973</v>
      </c>
      <c r="N66" s="67">
        <v>99.999997449635075</v>
      </c>
      <c r="O66" s="67">
        <v>99.999997449909046</v>
      </c>
      <c r="P66" s="67">
        <v>42.000000000051898</v>
      </c>
      <c r="Q66" s="66">
        <v>8.8858457200000007</v>
      </c>
      <c r="R66" s="67">
        <v>-9.4146912488213275E-14</v>
      </c>
      <c r="S66" s="67">
        <v>3.9900000047055073E-5</v>
      </c>
      <c r="U66" s="64"/>
      <c r="V66" s="65"/>
      <c r="W66" s="64"/>
      <c r="X66" s="65"/>
      <c r="Y66" s="66">
        <v>1564.482</v>
      </c>
      <c r="Z66" s="66">
        <v>0</v>
      </c>
      <c r="AA66" s="66">
        <v>2697.3827586200005</v>
      </c>
      <c r="AB66" s="66">
        <v>1564.482</v>
      </c>
      <c r="AC66" s="66">
        <v>1132.9007586199998</v>
      </c>
      <c r="AD66" s="66">
        <v>1564.4819600999999</v>
      </c>
      <c r="AE66" s="66">
        <v>8.8858457200000007</v>
      </c>
      <c r="AF66" s="66">
        <v>2697.3826898299999</v>
      </c>
      <c r="AG66" s="66">
        <v>1564.4819600999999</v>
      </c>
      <c r="AH66" s="66">
        <v>0</v>
      </c>
      <c r="AI66" s="66">
        <v>1132.90072973</v>
      </c>
      <c r="AJ66" s="67">
        <v>99.999997449635075</v>
      </c>
      <c r="AK66" s="67">
        <v>99.999997449909046</v>
      </c>
      <c r="AL66" s="67">
        <v>42.000000000051898</v>
      </c>
      <c r="AM66" s="67">
        <v>8.8858457200000007</v>
      </c>
      <c r="AN66" s="67">
        <v>-9.4146912488213275E-14</v>
      </c>
    </row>
    <row r="67" spans="1:40" ht="15.6" x14ac:dyDescent="0.3">
      <c r="A67" s="169">
        <v>55</v>
      </c>
      <c r="B67" s="205" t="s">
        <v>143</v>
      </c>
      <c r="C67" s="66">
        <v>0</v>
      </c>
      <c r="D67" s="66">
        <v>455.41019999999997</v>
      </c>
      <c r="E67" s="66">
        <v>368.88220000000001</v>
      </c>
      <c r="F67" s="66">
        <v>86.528000000000006</v>
      </c>
      <c r="G67" s="66">
        <v>367.98580973000003</v>
      </c>
      <c r="H67" s="66">
        <v>3.84669902</v>
      </c>
      <c r="I67" s="66">
        <v>0</v>
      </c>
      <c r="J67" s="66">
        <v>454.30354513999998</v>
      </c>
      <c r="K67" s="66">
        <v>367.98580973000003</v>
      </c>
      <c r="L67" s="66">
        <v>0</v>
      </c>
      <c r="M67" s="66">
        <v>86.317735409999997</v>
      </c>
      <c r="N67" s="67">
        <v>99.756998231413718</v>
      </c>
      <c r="O67" s="67">
        <v>99.756998208672329</v>
      </c>
      <c r="P67" s="67">
        <v>19.000013610591566</v>
      </c>
      <c r="Q67" s="66">
        <v>3.84669902</v>
      </c>
      <c r="R67" s="67">
        <v>1.6875389974302379E-14</v>
      </c>
      <c r="S67" s="67">
        <v>0.8963902699999835</v>
      </c>
      <c r="U67" s="64"/>
      <c r="V67" s="65"/>
      <c r="W67" s="64"/>
      <c r="X67" s="65"/>
      <c r="Y67" s="66">
        <v>368.88220000000001</v>
      </c>
      <c r="Z67" s="66">
        <v>0</v>
      </c>
      <c r="AA67" s="66">
        <v>455.41019999999997</v>
      </c>
      <c r="AB67" s="66">
        <v>368.88220000000001</v>
      </c>
      <c r="AC67" s="66">
        <v>86.528000000000006</v>
      </c>
      <c r="AD67" s="66">
        <v>367.98580973000003</v>
      </c>
      <c r="AE67" s="66">
        <v>3.84669902</v>
      </c>
      <c r="AF67" s="66">
        <v>454.30354513999998</v>
      </c>
      <c r="AG67" s="66">
        <v>367.98580973000003</v>
      </c>
      <c r="AH67" s="66">
        <v>0</v>
      </c>
      <c r="AI67" s="66">
        <v>86.317735409999997</v>
      </c>
      <c r="AJ67" s="67">
        <v>99.756998231413718</v>
      </c>
      <c r="AK67" s="67">
        <v>99.756998208672329</v>
      </c>
      <c r="AL67" s="67">
        <v>19.000013610591566</v>
      </c>
      <c r="AM67" s="67">
        <v>3.84669902</v>
      </c>
      <c r="AN67" s="67">
        <v>1.6875389974302379E-14</v>
      </c>
    </row>
    <row r="68" spans="1:40" ht="15.6" x14ac:dyDescent="0.3">
      <c r="A68" s="169">
        <v>56</v>
      </c>
      <c r="B68" s="205" t="s">
        <v>146</v>
      </c>
      <c r="C68" s="66">
        <v>0</v>
      </c>
      <c r="D68" s="66">
        <v>605.61212765999994</v>
      </c>
      <c r="E68" s="66">
        <v>569.27539999999999</v>
      </c>
      <c r="F68" s="66">
        <v>36.336727659999994</v>
      </c>
      <c r="G68" s="66">
        <v>569.27539999999999</v>
      </c>
      <c r="H68" s="66">
        <v>7.3047789600000002</v>
      </c>
      <c r="I68" s="66">
        <v>0</v>
      </c>
      <c r="J68" s="66">
        <v>605.61212765999994</v>
      </c>
      <c r="K68" s="66">
        <v>569.27539999999999</v>
      </c>
      <c r="L68" s="66">
        <v>0</v>
      </c>
      <c r="M68" s="66">
        <v>36.336727659999994</v>
      </c>
      <c r="N68" s="67">
        <v>100</v>
      </c>
      <c r="O68" s="67">
        <v>100</v>
      </c>
      <c r="P68" s="67">
        <v>6.0000000000660485</v>
      </c>
      <c r="Q68" s="66">
        <v>7.3047789600000002</v>
      </c>
      <c r="R68" s="67">
        <v>2.1316282072803006E-14</v>
      </c>
      <c r="S68" s="67">
        <v>0</v>
      </c>
      <c r="U68" s="64"/>
      <c r="V68" s="65"/>
      <c r="W68" s="64"/>
      <c r="X68" s="65"/>
      <c r="Y68" s="66">
        <v>569.27539999999999</v>
      </c>
      <c r="Z68" s="66">
        <v>0</v>
      </c>
      <c r="AA68" s="66">
        <v>605.61212765999994</v>
      </c>
      <c r="AB68" s="66">
        <v>569.27539999999999</v>
      </c>
      <c r="AC68" s="66">
        <v>36.336727659999994</v>
      </c>
      <c r="AD68" s="66">
        <v>569.27539999999999</v>
      </c>
      <c r="AE68" s="66">
        <v>7.3047789600000002</v>
      </c>
      <c r="AF68" s="66">
        <v>605.61212765999994</v>
      </c>
      <c r="AG68" s="66">
        <v>569.27539999999999</v>
      </c>
      <c r="AH68" s="66">
        <v>0</v>
      </c>
      <c r="AI68" s="66">
        <v>36.336727659999994</v>
      </c>
      <c r="AJ68" s="67">
        <v>100</v>
      </c>
      <c r="AK68" s="67">
        <v>100</v>
      </c>
      <c r="AL68" s="67">
        <v>6.0000000000660485</v>
      </c>
      <c r="AM68" s="67">
        <v>7.3047789600000002</v>
      </c>
      <c r="AN68" s="67">
        <v>2.1316282072803006E-14</v>
      </c>
    </row>
    <row r="69" spans="1:40" ht="15.6" x14ac:dyDescent="0.3">
      <c r="A69" s="169">
        <v>57</v>
      </c>
      <c r="B69" s="205" t="s">
        <v>149</v>
      </c>
      <c r="C69" s="66">
        <v>0</v>
      </c>
      <c r="D69" s="66">
        <v>490.59602739999997</v>
      </c>
      <c r="E69" s="66">
        <v>358.13510000000002</v>
      </c>
      <c r="F69" s="66">
        <v>132.4609274</v>
      </c>
      <c r="G69" s="66">
        <v>319.75061166</v>
      </c>
      <c r="H69" s="66">
        <v>1.8993051999999999</v>
      </c>
      <c r="I69" s="66">
        <v>0</v>
      </c>
      <c r="J69" s="66">
        <v>438.01451042000002</v>
      </c>
      <c r="K69" s="66">
        <v>319.75059250999999</v>
      </c>
      <c r="L69" s="66">
        <v>0</v>
      </c>
      <c r="M69" s="66">
        <v>118.26391791</v>
      </c>
      <c r="N69" s="67">
        <v>89.28211518781599</v>
      </c>
      <c r="O69" s="67">
        <v>89.28211528586958</v>
      </c>
      <c r="P69" s="67">
        <v>27.000000022054067</v>
      </c>
      <c r="Q69" s="66">
        <v>1.8993051999999999</v>
      </c>
      <c r="R69" s="67">
        <v>1.9150000029055647E-5</v>
      </c>
      <c r="S69" s="67">
        <v>38.384488340000019</v>
      </c>
      <c r="U69" s="64"/>
      <c r="V69" s="65"/>
      <c r="W69" s="64"/>
      <c r="X69" s="65"/>
      <c r="Y69" s="66">
        <v>358.13510000000002</v>
      </c>
      <c r="Z69" s="66">
        <v>0</v>
      </c>
      <c r="AA69" s="66">
        <v>490.59602739999997</v>
      </c>
      <c r="AB69" s="66">
        <v>358.13510000000002</v>
      </c>
      <c r="AC69" s="66">
        <v>132.4609274</v>
      </c>
      <c r="AD69" s="66">
        <v>319.75061166</v>
      </c>
      <c r="AE69" s="66">
        <v>1.8993051999999999</v>
      </c>
      <c r="AF69" s="66">
        <v>438.01451042000002</v>
      </c>
      <c r="AG69" s="66">
        <v>319.75059250999999</v>
      </c>
      <c r="AH69" s="66">
        <v>0</v>
      </c>
      <c r="AI69" s="66">
        <v>118.26391791</v>
      </c>
      <c r="AJ69" s="67">
        <v>89.28211518781599</v>
      </c>
      <c r="AK69" s="67">
        <v>89.28211528586958</v>
      </c>
      <c r="AL69" s="67">
        <v>27.000000022054067</v>
      </c>
      <c r="AM69" s="67">
        <v>1.8993051999999999</v>
      </c>
      <c r="AN69" s="67">
        <v>1.9150000029055647E-5</v>
      </c>
    </row>
    <row r="70" spans="1:40" ht="15.6" x14ac:dyDescent="0.3">
      <c r="A70" s="169">
        <v>58</v>
      </c>
      <c r="B70" s="205" t="s">
        <v>152</v>
      </c>
      <c r="C70" s="66">
        <v>0</v>
      </c>
      <c r="D70" s="66">
        <v>314.23379</v>
      </c>
      <c r="E70" s="66">
        <v>298.52210000000002</v>
      </c>
      <c r="F70" s="66">
        <v>15.711690000000001</v>
      </c>
      <c r="G70" s="66">
        <v>298.52209842000002</v>
      </c>
      <c r="H70" s="66">
        <v>0</v>
      </c>
      <c r="I70" s="66">
        <v>0</v>
      </c>
      <c r="J70" s="66">
        <v>314.23378831999997</v>
      </c>
      <c r="K70" s="66">
        <v>298.5220984</v>
      </c>
      <c r="L70" s="66">
        <v>0</v>
      </c>
      <c r="M70" s="66">
        <v>15.71168992</v>
      </c>
      <c r="N70" s="67">
        <v>99.999999464026274</v>
      </c>
      <c r="O70" s="67">
        <v>99.999999490824976</v>
      </c>
      <c r="P70" s="67">
        <v>5.0000001603901358</v>
      </c>
      <c r="Q70" s="66">
        <v>0</v>
      </c>
      <c r="R70" s="67">
        <v>2.0000015865662135E-8</v>
      </c>
      <c r="S70" s="67">
        <v>1.5800000028320937E-6</v>
      </c>
      <c r="U70" s="64"/>
      <c r="V70" s="65"/>
      <c r="W70" s="64"/>
      <c r="X70" s="65"/>
      <c r="Y70" s="66">
        <v>298.52210000000002</v>
      </c>
      <c r="Z70" s="66">
        <v>0</v>
      </c>
      <c r="AA70" s="66">
        <v>314.23379</v>
      </c>
      <c r="AB70" s="66">
        <v>298.52210000000002</v>
      </c>
      <c r="AC70" s="66">
        <v>15.711690000000001</v>
      </c>
      <c r="AD70" s="66">
        <v>298.52209842000002</v>
      </c>
      <c r="AE70" s="66">
        <v>0</v>
      </c>
      <c r="AF70" s="66">
        <v>314.23378831999997</v>
      </c>
      <c r="AG70" s="66">
        <v>298.5220984</v>
      </c>
      <c r="AH70" s="66">
        <v>0</v>
      </c>
      <c r="AI70" s="66">
        <v>15.71168992</v>
      </c>
      <c r="AJ70" s="67">
        <v>99.999999464026274</v>
      </c>
      <c r="AK70" s="67">
        <v>99.999999490824976</v>
      </c>
      <c r="AL70" s="67">
        <v>5.0000001603901358</v>
      </c>
      <c r="AM70" s="67">
        <v>0</v>
      </c>
      <c r="AN70" s="67">
        <v>2.0000015865662135E-8</v>
      </c>
    </row>
    <row r="71" spans="1:40" ht="15.6" x14ac:dyDescent="0.3">
      <c r="A71" s="169">
        <v>59</v>
      </c>
      <c r="B71" s="205" t="s">
        <v>155</v>
      </c>
      <c r="C71" s="66">
        <v>0</v>
      </c>
      <c r="D71" s="66">
        <v>501.66789999999997</v>
      </c>
      <c r="E71" s="66">
        <v>371.23419999999999</v>
      </c>
      <c r="F71" s="66">
        <v>130.43369999999999</v>
      </c>
      <c r="G71" s="66">
        <v>371.23419999999999</v>
      </c>
      <c r="H71" s="66">
        <v>3.3820052299999999</v>
      </c>
      <c r="I71" s="66">
        <v>0</v>
      </c>
      <c r="J71" s="66">
        <v>501.66789996</v>
      </c>
      <c r="K71" s="66">
        <v>371.23419999999999</v>
      </c>
      <c r="L71" s="66">
        <v>0</v>
      </c>
      <c r="M71" s="66">
        <v>130.43369995999998</v>
      </c>
      <c r="N71" s="67">
        <v>100</v>
      </c>
      <c r="O71" s="67">
        <v>99.999999969333075</v>
      </c>
      <c r="P71" s="67">
        <v>26.000009163512356</v>
      </c>
      <c r="Q71" s="66">
        <v>3.3820052299999999</v>
      </c>
      <c r="R71" s="67">
        <v>4.4408920985006262E-15</v>
      </c>
      <c r="S71" s="67">
        <v>0</v>
      </c>
      <c r="U71" s="64"/>
      <c r="V71" s="65"/>
      <c r="W71" s="64"/>
      <c r="X71" s="65"/>
      <c r="Y71" s="66">
        <v>371.23419999999999</v>
      </c>
      <c r="Z71" s="66">
        <v>0</v>
      </c>
      <c r="AA71" s="66">
        <v>501.66789999999997</v>
      </c>
      <c r="AB71" s="66">
        <v>371.23419999999999</v>
      </c>
      <c r="AC71" s="66">
        <v>130.43369999999999</v>
      </c>
      <c r="AD71" s="66">
        <v>371.23419999999999</v>
      </c>
      <c r="AE71" s="66">
        <v>3.3820052299999999</v>
      </c>
      <c r="AF71" s="66">
        <v>501.66789996</v>
      </c>
      <c r="AG71" s="66">
        <v>371.23419999999999</v>
      </c>
      <c r="AH71" s="66">
        <v>0</v>
      </c>
      <c r="AI71" s="66">
        <v>130.43369995999998</v>
      </c>
      <c r="AJ71" s="67">
        <v>100</v>
      </c>
      <c r="AK71" s="67">
        <v>99.999999969333075</v>
      </c>
      <c r="AL71" s="67">
        <v>26.000009163512356</v>
      </c>
      <c r="AM71" s="67">
        <v>3.3820052299999999</v>
      </c>
      <c r="AN71" s="67">
        <v>4.4408920985006262E-15</v>
      </c>
    </row>
    <row r="72" spans="1:40" ht="15.6" x14ac:dyDescent="0.3">
      <c r="A72" s="169">
        <v>60</v>
      </c>
      <c r="B72" s="205" t="s">
        <v>158</v>
      </c>
      <c r="C72" s="66">
        <v>0</v>
      </c>
      <c r="D72" s="66">
        <v>902.90899999999999</v>
      </c>
      <c r="E72" s="66">
        <v>677.18169999999998</v>
      </c>
      <c r="F72" s="66">
        <v>225.72730000000001</v>
      </c>
      <c r="G72" s="66">
        <v>677.18117086999996</v>
      </c>
      <c r="H72" s="66">
        <v>0</v>
      </c>
      <c r="I72" s="66">
        <v>0</v>
      </c>
      <c r="J72" s="66">
        <v>902.90829441999995</v>
      </c>
      <c r="K72" s="66">
        <v>677.18117082000003</v>
      </c>
      <c r="L72" s="66">
        <v>0</v>
      </c>
      <c r="M72" s="66">
        <v>225.7271236</v>
      </c>
      <c r="N72" s="67">
        <v>99.999921855537451</v>
      </c>
      <c r="O72" s="67">
        <v>99.999921852607102</v>
      </c>
      <c r="P72" s="67">
        <v>25.000005537107185</v>
      </c>
      <c r="Q72" s="66">
        <v>0</v>
      </c>
      <c r="R72" s="67">
        <v>4.9999925977317616E-8</v>
      </c>
      <c r="S72" s="67">
        <v>5.2913000001808541E-4</v>
      </c>
      <c r="U72" s="64"/>
      <c r="V72" s="65"/>
      <c r="W72" s="64"/>
      <c r="X72" s="65"/>
      <c r="Y72" s="66">
        <v>677.18169999999998</v>
      </c>
      <c r="Z72" s="66">
        <v>0</v>
      </c>
      <c r="AA72" s="66">
        <v>902.90899999999999</v>
      </c>
      <c r="AB72" s="66">
        <v>677.18169999999998</v>
      </c>
      <c r="AC72" s="66">
        <v>225.72730000000001</v>
      </c>
      <c r="AD72" s="66">
        <v>677.18117086999996</v>
      </c>
      <c r="AE72" s="66">
        <v>0</v>
      </c>
      <c r="AF72" s="66">
        <v>902.90829441999995</v>
      </c>
      <c r="AG72" s="66">
        <v>677.18117082000003</v>
      </c>
      <c r="AH72" s="66">
        <v>0</v>
      </c>
      <c r="AI72" s="66">
        <v>225.7271236</v>
      </c>
      <c r="AJ72" s="67">
        <v>99.999921855537451</v>
      </c>
      <c r="AK72" s="67">
        <v>99.999921852607102</v>
      </c>
      <c r="AL72" s="67">
        <v>25.000005537107185</v>
      </c>
      <c r="AM72" s="67">
        <v>0</v>
      </c>
      <c r="AN72" s="67">
        <v>4.9999925977317616E-8</v>
      </c>
    </row>
    <row r="73" spans="1:40" ht="15.6" x14ac:dyDescent="0.3">
      <c r="A73" s="169">
        <v>61</v>
      </c>
      <c r="B73" s="205" t="s">
        <v>161</v>
      </c>
      <c r="C73" s="66">
        <v>0</v>
      </c>
      <c r="D73" s="66">
        <v>551.99989129999994</v>
      </c>
      <c r="E73" s="66">
        <v>507.8399</v>
      </c>
      <c r="F73" s="66">
        <v>44.159991299999994</v>
      </c>
      <c r="G73" s="66">
        <v>507.8399</v>
      </c>
      <c r="H73" s="66">
        <v>0.77211920000000001</v>
      </c>
      <c r="I73" s="66">
        <v>0</v>
      </c>
      <c r="J73" s="66">
        <v>551.99989129999994</v>
      </c>
      <c r="K73" s="66">
        <v>507.8399</v>
      </c>
      <c r="L73" s="66">
        <v>0</v>
      </c>
      <c r="M73" s="66">
        <v>44.159991299999994</v>
      </c>
      <c r="N73" s="67">
        <v>100</v>
      </c>
      <c r="O73" s="67">
        <v>100</v>
      </c>
      <c r="P73" s="67">
        <v>7.9999999992753619</v>
      </c>
      <c r="Q73" s="66">
        <v>0.77211920000000001</v>
      </c>
      <c r="R73" s="67">
        <v>2.0095036745715333E-14</v>
      </c>
      <c r="S73" s="67">
        <v>0</v>
      </c>
      <c r="U73" s="64"/>
      <c r="V73" s="65"/>
      <c r="W73" s="64"/>
      <c r="X73" s="65"/>
      <c r="Y73" s="66">
        <v>507.8399</v>
      </c>
      <c r="Z73" s="66">
        <v>0</v>
      </c>
      <c r="AA73" s="66">
        <v>551.99989129999994</v>
      </c>
      <c r="AB73" s="66">
        <v>507.8399</v>
      </c>
      <c r="AC73" s="66">
        <v>44.159991299999994</v>
      </c>
      <c r="AD73" s="66">
        <v>507.8399</v>
      </c>
      <c r="AE73" s="66">
        <v>0.77211920000000001</v>
      </c>
      <c r="AF73" s="66">
        <v>551.99989129999994</v>
      </c>
      <c r="AG73" s="66">
        <v>507.8399</v>
      </c>
      <c r="AH73" s="66">
        <v>0</v>
      </c>
      <c r="AI73" s="66">
        <v>44.159991299999994</v>
      </c>
      <c r="AJ73" s="67">
        <v>100</v>
      </c>
      <c r="AK73" s="67">
        <v>100</v>
      </c>
      <c r="AL73" s="67">
        <v>7.9999999992753619</v>
      </c>
      <c r="AM73" s="67">
        <v>0.77211920000000001</v>
      </c>
      <c r="AN73" s="67">
        <v>2.0095036745715333E-14</v>
      </c>
    </row>
    <row r="74" spans="1:40" ht="15.6" x14ac:dyDescent="0.3">
      <c r="A74" s="169">
        <v>62</v>
      </c>
      <c r="B74" s="205" t="s">
        <v>164</v>
      </c>
      <c r="C74" s="66">
        <v>0</v>
      </c>
      <c r="D74" s="66">
        <v>783.59730000000002</v>
      </c>
      <c r="E74" s="66">
        <v>509.33819999999997</v>
      </c>
      <c r="F74" s="66">
        <v>274.25909999999999</v>
      </c>
      <c r="G74" s="66">
        <v>509.33819999999997</v>
      </c>
      <c r="H74" s="66">
        <v>8.5843768900000015</v>
      </c>
      <c r="I74" s="66">
        <v>0</v>
      </c>
      <c r="J74" s="66">
        <v>783.59729944000003</v>
      </c>
      <c r="K74" s="66">
        <v>509.33819999999997</v>
      </c>
      <c r="L74" s="66">
        <v>0</v>
      </c>
      <c r="M74" s="66">
        <v>274.25909944</v>
      </c>
      <c r="N74" s="67">
        <v>100</v>
      </c>
      <c r="O74" s="67">
        <v>99.999999795813522</v>
      </c>
      <c r="P74" s="67">
        <v>35.000005696293243</v>
      </c>
      <c r="Q74" s="66">
        <v>8.5843768900000015</v>
      </c>
      <c r="R74" s="67">
        <v>-1.4210854715202004E-14</v>
      </c>
      <c r="S74" s="67">
        <v>0</v>
      </c>
      <c r="U74" s="64"/>
      <c r="V74" s="65"/>
      <c r="W74" s="64"/>
      <c r="X74" s="65"/>
      <c r="Y74" s="66">
        <v>509.33819999999997</v>
      </c>
      <c r="Z74" s="66">
        <v>0</v>
      </c>
      <c r="AA74" s="66">
        <v>783.59730000000002</v>
      </c>
      <c r="AB74" s="66">
        <v>509.33819999999997</v>
      </c>
      <c r="AC74" s="66">
        <v>274.25909999999999</v>
      </c>
      <c r="AD74" s="66">
        <v>509.33819999999997</v>
      </c>
      <c r="AE74" s="66">
        <v>8.5843768900000015</v>
      </c>
      <c r="AF74" s="66">
        <v>783.59729944000003</v>
      </c>
      <c r="AG74" s="66">
        <v>509.33819999999997</v>
      </c>
      <c r="AH74" s="66">
        <v>0</v>
      </c>
      <c r="AI74" s="66">
        <v>274.25909944</v>
      </c>
      <c r="AJ74" s="67">
        <v>100</v>
      </c>
      <c r="AK74" s="67">
        <v>99.999999795813522</v>
      </c>
      <c r="AL74" s="67">
        <v>35.000005696293243</v>
      </c>
      <c r="AM74" s="67">
        <v>8.5843768900000015</v>
      </c>
      <c r="AN74" s="67">
        <v>-1.4210854715202004E-14</v>
      </c>
    </row>
    <row r="75" spans="1:40" ht="15.6" x14ac:dyDescent="0.3">
      <c r="A75" s="169">
        <v>63</v>
      </c>
      <c r="B75" s="205" t="s">
        <v>167</v>
      </c>
      <c r="C75" s="66">
        <v>0</v>
      </c>
      <c r="D75" s="66">
        <v>679.29930000000002</v>
      </c>
      <c r="E75" s="66">
        <v>604.57590000000005</v>
      </c>
      <c r="F75" s="66">
        <v>74.723399999999998</v>
      </c>
      <c r="G75" s="66">
        <v>604.57590000000005</v>
      </c>
      <c r="H75" s="66">
        <v>16.471993680000001</v>
      </c>
      <c r="I75" s="66">
        <v>0</v>
      </c>
      <c r="J75" s="66">
        <v>679.29930000000002</v>
      </c>
      <c r="K75" s="66">
        <v>604.57590000000005</v>
      </c>
      <c r="L75" s="66">
        <v>0</v>
      </c>
      <c r="M75" s="66">
        <v>74.723399999999998</v>
      </c>
      <c r="N75" s="67">
        <v>100</v>
      </c>
      <c r="O75" s="67">
        <v>100</v>
      </c>
      <c r="P75" s="67">
        <v>11.0000702194158</v>
      </c>
      <c r="Q75" s="66">
        <v>16.471993680000001</v>
      </c>
      <c r="R75" s="67">
        <v>-3.1974423109204508E-14</v>
      </c>
      <c r="S75" s="67">
        <v>0</v>
      </c>
      <c r="U75" s="64"/>
      <c r="V75" s="65"/>
      <c r="W75" s="64"/>
      <c r="X75" s="65"/>
      <c r="Y75" s="66">
        <v>604.57590000000005</v>
      </c>
      <c r="Z75" s="66">
        <v>0</v>
      </c>
      <c r="AA75" s="66">
        <v>679.29930000000002</v>
      </c>
      <c r="AB75" s="66">
        <v>604.57590000000005</v>
      </c>
      <c r="AC75" s="66">
        <v>74.723399999999998</v>
      </c>
      <c r="AD75" s="66">
        <v>604.57590000000005</v>
      </c>
      <c r="AE75" s="66">
        <v>16.471993680000001</v>
      </c>
      <c r="AF75" s="66">
        <v>679.29930000000002</v>
      </c>
      <c r="AG75" s="66">
        <v>604.57590000000005</v>
      </c>
      <c r="AH75" s="66">
        <v>0</v>
      </c>
      <c r="AI75" s="66">
        <v>74.723399999999998</v>
      </c>
      <c r="AJ75" s="67">
        <v>100</v>
      </c>
      <c r="AK75" s="67">
        <v>100</v>
      </c>
      <c r="AL75" s="67">
        <v>11.0000702194158</v>
      </c>
      <c r="AM75" s="67">
        <v>16.471993680000001</v>
      </c>
      <c r="AN75" s="67">
        <v>-3.1974423109204508E-14</v>
      </c>
    </row>
    <row r="76" spans="1:40" ht="15.6" x14ac:dyDescent="0.3">
      <c r="A76" s="215">
        <v>64</v>
      </c>
      <c r="B76" s="205" t="s">
        <v>170</v>
      </c>
      <c r="C76" s="66">
        <v>0</v>
      </c>
      <c r="D76" s="66">
        <v>289.95597600000002</v>
      </c>
      <c r="E76" s="66">
        <v>237.76390000000001</v>
      </c>
      <c r="F76" s="66">
        <v>52.192076</v>
      </c>
      <c r="G76" s="66">
        <v>236.9445016</v>
      </c>
      <c r="H76" s="66">
        <v>0</v>
      </c>
      <c r="I76" s="66">
        <v>0</v>
      </c>
      <c r="J76" s="66">
        <v>288.95670939999997</v>
      </c>
      <c r="K76" s="66">
        <v>236.9445016</v>
      </c>
      <c r="L76" s="66">
        <v>0</v>
      </c>
      <c r="M76" s="66">
        <v>52.012207799999999</v>
      </c>
      <c r="N76" s="67">
        <v>99.655373082288762</v>
      </c>
      <c r="O76" s="67">
        <v>99.655372589509568</v>
      </c>
      <c r="P76" s="67">
        <v>18.000000037375845</v>
      </c>
      <c r="Q76" s="66">
        <v>0</v>
      </c>
      <c r="R76" s="67">
        <v>0</v>
      </c>
      <c r="S76" s="67">
        <v>0.81939840000001141</v>
      </c>
      <c r="U76" s="64"/>
      <c r="V76" s="65"/>
      <c r="W76" s="64"/>
      <c r="X76" s="65"/>
      <c r="Y76" s="66">
        <v>237.76390000000001</v>
      </c>
      <c r="Z76" s="66">
        <v>0</v>
      </c>
      <c r="AA76" s="66">
        <v>289.95597600000002</v>
      </c>
      <c r="AB76" s="66">
        <v>237.76390000000001</v>
      </c>
      <c r="AC76" s="66">
        <v>52.192076</v>
      </c>
      <c r="AD76" s="66">
        <v>236.9445016</v>
      </c>
      <c r="AE76" s="66">
        <v>0</v>
      </c>
      <c r="AF76" s="66">
        <v>288.95670939999997</v>
      </c>
      <c r="AG76" s="66">
        <v>236.9445016</v>
      </c>
      <c r="AH76" s="66">
        <v>0</v>
      </c>
      <c r="AI76" s="66">
        <v>52.012207799999999</v>
      </c>
      <c r="AJ76" s="67">
        <v>99.655373082288762</v>
      </c>
      <c r="AK76" s="67">
        <v>99.655372589509568</v>
      </c>
      <c r="AL76" s="67">
        <v>18.000000037375845</v>
      </c>
      <c r="AM76" s="67">
        <v>0</v>
      </c>
      <c r="AN76" s="67">
        <v>0</v>
      </c>
    </row>
    <row r="77" spans="1:40" ht="15.6" x14ac:dyDescent="0.3">
      <c r="A77" s="202">
        <v>65</v>
      </c>
      <c r="B77" s="203" t="s">
        <v>173</v>
      </c>
      <c r="C77" s="61">
        <v>0</v>
      </c>
      <c r="D77" s="61">
        <v>2234.6806783299999</v>
      </c>
      <c r="E77" s="61">
        <v>1275.9995999999999</v>
      </c>
      <c r="F77" s="61">
        <v>958.6810783300001</v>
      </c>
      <c r="G77" s="61">
        <v>1204.1206429599999</v>
      </c>
      <c r="H77" s="61">
        <v>20.60307847</v>
      </c>
      <c r="I77" s="61">
        <v>0</v>
      </c>
      <c r="J77" s="61">
        <v>1907.9581462400001</v>
      </c>
      <c r="K77" s="61">
        <v>1204.1206429599999</v>
      </c>
      <c r="L77" s="61">
        <v>0</v>
      </c>
      <c r="M77" s="61">
        <v>703.83750327999996</v>
      </c>
      <c r="N77" s="61">
        <v>94.366851130674348</v>
      </c>
      <c r="O77" s="61">
        <v>73.417272875153472</v>
      </c>
      <c r="P77" s="61">
        <v>36.889567240615193</v>
      </c>
      <c r="Q77" s="61">
        <v>19.099578470000001</v>
      </c>
      <c r="R77" s="61">
        <v>1.5035000000000045</v>
      </c>
      <c r="S77" s="61">
        <v>71.878957039999989</v>
      </c>
      <c r="U77" s="59"/>
      <c r="V77" s="60"/>
      <c r="W77" s="59"/>
      <c r="X77" s="60"/>
      <c r="Y77" s="61">
        <v>1275.9995999999999</v>
      </c>
      <c r="Z77" s="61">
        <v>0</v>
      </c>
      <c r="AA77" s="61">
        <v>2234.6806783299999</v>
      </c>
      <c r="AB77" s="61">
        <v>1275.9995999999999</v>
      </c>
      <c r="AC77" s="61">
        <v>958.6810783300001</v>
      </c>
      <c r="AD77" s="61">
        <v>1204.1206429599999</v>
      </c>
      <c r="AE77" s="61">
        <v>20.60307847</v>
      </c>
      <c r="AF77" s="61">
        <v>1907.9581462400001</v>
      </c>
      <c r="AG77" s="61">
        <v>1204.1206429599999</v>
      </c>
      <c r="AH77" s="61">
        <v>0</v>
      </c>
      <c r="AI77" s="61">
        <v>703.83750327999996</v>
      </c>
      <c r="AJ77" s="61">
        <v>94.366851130674348</v>
      </c>
      <c r="AK77" s="61">
        <v>73.417272875153472</v>
      </c>
      <c r="AL77" s="61">
        <v>36.889567240615193</v>
      </c>
      <c r="AM77" s="61">
        <v>19.099578470000001</v>
      </c>
      <c r="AN77" s="61">
        <v>1.5035000000000045</v>
      </c>
    </row>
    <row r="78" spans="1:40" ht="15.6" x14ac:dyDescent="0.3">
      <c r="A78" s="169">
        <v>66</v>
      </c>
      <c r="B78" s="205" t="s">
        <v>176</v>
      </c>
      <c r="C78" s="66">
        <v>0</v>
      </c>
      <c r="D78" s="66">
        <v>267.27204499999999</v>
      </c>
      <c r="E78" s="66">
        <v>248.56299999999999</v>
      </c>
      <c r="F78" s="66">
        <v>18.709045</v>
      </c>
      <c r="G78" s="66">
        <v>248.56299999999999</v>
      </c>
      <c r="H78" s="66">
        <v>4.0079549999999999</v>
      </c>
      <c r="I78" s="66">
        <v>0</v>
      </c>
      <c r="J78" s="66">
        <v>267.27204499999999</v>
      </c>
      <c r="K78" s="66">
        <v>248.56299999999999</v>
      </c>
      <c r="L78" s="66">
        <v>0</v>
      </c>
      <c r="M78" s="66">
        <v>18.709045</v>
      </c>
      <c r="N78" s="67">
        <v>100</v>
      </c>
      <c r="O78" s="67">
        <v>100</v>
      </c>
      <c r="P78" s="67">
        <v>7.0000006921786371</v>
      </c>
      <c r="Q78" s="66">
        <v>4.0079549999999999</v>
      </c>
      <c r="R78" s="67">
        <v>9.7699626167013776E-15</v>
      </c>
      <c r="S78" s="67">
        <v>0</v>
      </c>
      <c r="U78" s="64"/>
      <c r="V78" s="65"/>
      <c r="W78" s="64"/>
      <c r="X78" s="65"/>
      <c r="Y78" s="66">
        <v>248.56299999999999</v>
      </c>
      <c r="Z78" s="66">
        <v>0</v>
      </c>
      <c r="AA78" s="66">
        <v>267.27204499999999</v>
      </c>
      <c r="AB78" s="66">
        <v>248.56299999999999</v>
      </c>
      <c r="AC78" s="66">
        <v>18.709045</v>
      </c>
      <c r="AD78" s="66">
        <v>248.56299999999999</v>
      </c>
      <c r="AE78" s="66">
        <v>4.0079549999999999</v>
      </c>
      <c r="AF78" s="66">
        <v>267.27204499999999</v>
      </c>
      <c r="AG78" s="66">
        <v>248.56299999999999</v>
      </c>
      <c r="AH78" s="66">
        <v>0</v>
      </c>
      <c r="AI78" s="66">
        <v>18.709045</v>
      </c>
      <c r="AJ78" s="67">
        <v>100</v>
      </c>
      <c r="AK78" s="67">
        <v>100</v>
      </c>
      <c r="AL78" s="67">
        <v>7.0000006921786371</v>
      </c>
      <c r="AM78" s="67">
        <v>4.0079549999999999</v>
      </c>
      <c r="AN78" s="67">
        <v>9.7699626167013776E-15</v>
      </c>
    </row>
    <row r="79" spans="1:40" ht="15.6" x14ac:dyDescent="0.3">
      <c r="A79" s="169">
        <v>67</v>
      </c>
      <c r="B79" s="205" t="s">
        <v>179</v>
      </c>
      <c r="C79" s="66">
        <v>0</v>
      </c>
      <c r="D79" s="66">
        <v>544.97609999999997</v>
      </c>
      <c r="E79" s="66">
        <v>365.13389999999998</v>
      </c>
      <c r="F79" s="66">
        <v>179.84219999999999</v>
      </c>
      <c r="G79" s="66">
        <v>365.13389999999998</v>
      </c>
      <c r="H79" s="66">
        <v>4.7425605499999994</v>
      </c>
      <c r="I79" s="66">
        <v>0</v>
      </c>
      <c r="J79" s="66">
        <v>544.97609999999997</v>
      </c>
      <c r="K79" s="66">
        <v>365.13389999999998</v>
      </c>
      <c r="L79" s="66">
        <v>0</v>
      </c>
      <c r="M79" s="66">
        <v>179.84219999999999</v>
      </c>
      <c r="N79" s="67">
        <v>100</v>
      </c>
      <c r="O79" s="67">
        <v>100</v>
      </c>
      <c r="P79" s="67">
        <v>33.000015964002827</v>
      </c>
      <c r="Q79" s="66">
        <v>4.7425605499999994</v>
      </c>
      <c r="R79" s="67">
        <v>7.9936057773011271E-15</v>
      </c>
      <c r="S79" s="67">
        <v>0</v>
      </c>
      <c r="U79" s="64"/>
      <c r="V79" s="65"/>
      <c r="W79" s="64"/>
      <c r="X79" s="65"/>
      <c r="Y79" s="66">
        <v>365.13389999999998</v>
      </c>
      <c r="Z79" s="66">
        <v>0</v>
      </c>
      <c r="AA79" s="66">
        <v>544.97609999999997</v>
      </c>
      <c r="AB79" s="66">
        <v>365.13389999999998</v>
      </c>
      <c r="AC79" s="66">
        <v>179.84219999999999</v>
      </c>
      <c r="AD79" s="66">
        <v>365.13389999999998</v>
      </c>
      <c r="AE79" s="66">
        <v>4.7425605499999994</v>
      </c>
      <c r="AF79" s="66">
        <v>544.97609999999997</v>
      </c>
      <c r="AG79" s="66">
        <v>365.13389999999998</v>
      </c>
      <c r="AH79" s="66">
        <v>0</v>
      </c>
      <c r="AI79" s="66">
        <v>179.84219999999999</v>
      </c>
      <c r="AJ79" s="67">
        <v>100</v>
      </c>
      <c r="AK79" s="67">
        <v>100</v>
      </c>
      <c r="AL79" s="67">
        <v>33.000015964002827</v>
      </c>
      <c r="AM79" s="67">
        <v>4.7425605499999994</v>
      </c>
      <c r="AN79" s="67">
        <v>7.9936057773011271E-15</v>
      </c>
    </row>
    <row r="80" spans="1:40" ht="15.6" x14ac:dyDescent="0.3">
      <c r="A80" s="169">
        <v>68</v>
      </c>
      <c r="B80" s="205" t="s">
        <v>182</v>
      </c>
      <c r="C80" s="66">
        <v>0</v>
      </c>
      <c r="D80" s="66">
        <v>609.72</v>
      </c>
      <c r="E80" s="66">
        <v>134.13839999999999</v>
      </c>
      <c r="F80" s="66">
        <v>475.58159999999998</v>
      </c>
      <c r="G80" s="66">
        <v>62.259442960000001</v>
      </c>
      <c r="H80" s="66">
        <v>2.5899851099999998</v>
      </c>
      <c r="I80" s="66">
        <v>0</v>
      </c>
      <c r="J80" s="66">
        <v>282.99746791000001</v>
      </c>
      <c r="K80" s="66">
        <v>62.259442960000001</v>
      </c>
      <c r="L80" s="66">
        <v>0</v>
      </c>
      <c r="M80" s="66">
        <v>220.73802494999998</v>
      </c>
      <c r="N80" s="67">
        <v>46.414332480482848</v>
      </c>
      <c r="O80" s="67">
        <v>46.414332461558644</v>
      </c>
      <c r="P80" s="67">
        <v>77.99999999300347</v>
      </c>
      <c r="Q80" s="66">
        <v>1.0864851100000001</v>
      </c>
      <c r="R80" s="67">
        <v>1.5035000000000005</v>
      </c>
      <c r="S80" s="67">
        <v>71.878957039999989</v>
      </c>
      <c r="U80" s="64"/>
      <c r="V80" s="65"/>
      <c r="W80" s="64"/>
      <c r="X80" s="65"/>
      <c r="Y80" s="66">
        <v>134.13839999999999</v>
      </c>
      <c r="Z80" s="66">
        <v>0</v>
      </c>
      <c r="AA80" s="66">
        <v>609.72</v>
      </c>
      <c r="AB80" s="66">
        <v>134.13839999999999</v>
      </c>
      <c r="AC80" s="66">
        <v>475.58159999999998</v>
      </c>
      <c r="AD80" s="66">
        <v>62.259442960000001</v>
      </c>
      <c r="AE80" s="66">
        <v>2.5899851099999998</v>
      </c>
      <c r="AF80" s="66">
        <v>282.99746791000001</v>
      </c>
      <c r="AG80" s="66">
        <v>62.259442960000001</v>
      </c>
      <c r="AH80" s="66">
        <v>0</v>
      </c>
      <c r="AI80" s="66">
        <v>220.73802494999998</v>
      </c>
      <c r="AJ80" s="67">
        <v>46.414332480482848</v>
      </c>
      <c r="AK80" s="67">
        <v>46.414332461558644</v>
      </c>
      <c r="AL80" s="67">
        <v>77.99999999300347</v>
      </c>
      <c r="AM80" s="67">
        <v>1.0864851100000001</v>
      </c>
      <c r="AN80" s="67">
        <v>1.5035000000000005</v>
      </c>
    </row>
    <row r="81" spans="1:40" ht="31.2" x14ac:dyDescent="0.3">
      <c r="A81" s="169">
        <v>69</v>
      </c>
      <c r="B81" s="213" t="s">
        <v>300</v>
      </c>
      <c r="C81" s="66">
        <v>0</v>
      </c>
      <c r="D81" s="66">
        <v>64.061333329999997</v>
      </c>
      <c r="E81" s="66">
        <v>19.218399999999999</v>
      </c>
      <c r="F81" s="66">
        <v>44.842933330000001</v>
      </c>
      <c r="G81" s="66">
        <v>19.218399999999999</v>
      </c>
      <c r="H81" s="66">
        <v>2.4730400099999996</v>
      </c>
      <c r="I81" s="66">
        <v>0</v>
      </c>
      <c r="J81" s="66">
        <v>64.061333329999997</v>
      </c>
      <c r="K81" s="66">
        <v>19.218399999999999</v>
      </c>
      <c r="L81" s="66">
        <v>0</v>
      </c>
      <c r="M81" s="66">
        <v>44.842933330000001</v>
      </c>
      <c r="N81" s="67">
        <v>100</v>
      </c>
      <c r="O81" s="67">
        <v>100</v>
      </c>
      <c r="P81" s="67">
        <v>69.999999998438994</v>
      </c>
      <c r="Q81" s="66">
        <v>2.4730400099999996</v>
      </c>
      <c r="R81" s="67">
        <v>-1.3322676295501878E-15</v>
      </c>
      <c r="S81" s="67">
        <v>0</v>
      </c>
      <c r="U81" s="64"/>
      <c r="V81" s="65"/>
      <c r="W81" s="64"/>
      <c r="X81" s="65"/>
      <c r="Y81" s="66">
        <v>19.218399999999999</v>
      </c>
      <c r="Z81" s="66">
        <v>0</v>
      </c>
      <c r="AA81" s="66">
        <v>64.061333329999997</v>
      </c>
      <c r="AB81" s="66">
        <v>19.218399999999999</v>
      </c>
      <c r="AC81" s="66">
        <v>44.842933330000001</v>
      </c>
      <c r="AD81" s="66">
        <v>19.218399999999999</v>
      </c>
      <c r="AE81" s="66">
        <v>2.4730400099999996</v>
      </c>
      <c r="AF81" s="66">
        <v>64.061333329999997</v>
      </c>
      <c r="AG81" s="66">
        <v>19.218399999999999</v>
      </c>
      <c r="AH81" s="66">
        <v>0</v>
      </c>
      <c r="AI81" s="66">
        <v>44.842933330000001</v>
      </c>
      <c r="AJ81" s="67">
        <v>100</v>
      </c>
      <c r="AK81" s="67">
        <v>100</v>
      </c>
      <c r="AL81" s="67">
        <v>69.999999998438994</v>
      </c>
      <c r="AM81" s="67">
        <v>2.4730400099999996</v>
      </c>
      <c r="AN81" s="67">
        <v>-1.3322676295501878E-15</v>
      </c>
    </row>
    <row r="82" spans="1:40" ht="31.2" x14ac:dyDescent="0.3">
      <c r="A82" s="169">
        <v>70</v>
      </c>
      <c r="B82" s="213" t="s">
        <v>301</v>
      </c>
      <c r="C82" s="66">
        <v>0</v>
      </c>
      <c r="D82" s="66">
        <v>145.465</v>
      </c>
      <c r="E82" s="66">
        <v>20.365100000000002</v>
      </c>
      <c r="F82" s="66">
        <v>125.09990000000001</v>
      </c>
      <c r="G82" s="66">
        <v>20.365100000000002</v>
      </c>
      <c r="H82" s="66">
        <v>8.5993630000000001E-2</v>
      </c>
      <c r="I82" s="66">
        <v>0</v>
      </c>
      <c r="J82" s="66">
        <v>145.465</v>
      </c>
      <c r="K82" s="66">
        <v>20.365100000000002</v>
      </c>
      <c r="L82" s="66">
        <v>0</v>
      </c>
      <c r="M82" s="66">
        <v>125.09990000000001</v>
      </c>
      <c r="N82" s="67">
        <v>100</v>
      </c>
      <c r="O82" s="67">
        <v>100</v>
      </c>
      <c r="P82" s="67">
        <v>86</v>
      </c>
      <c r="Q82" s="66">
        <v>8.5993630000000001E-2</v>
      </c>
      <c r="R82" s="67">
        <v>8.1878948066105295E-16</v>
      </c>
      <c r="S82" s="67">
        <v>0</v>
      </c>
      <c r="U82" s="64"/>
      <c r="V82" s="65"/>
      <c r="W82" s="64"/>
      <c r="X82" s="65"/>
      <c r="Y82" s="66">
        <v>20.365100000000002</v>
      </c>
      <c r="Z82" s="66">
        <v>0</v>
      </c>
      <c r="AA82" s="66">
        <v>145.465</v>
      </c>
      <c r="AB82" s="66">
        <v>20.365100000000002</v>
      </c>
      <c r="AC82" s="66">
        <v>125.09990000000001</v>
      </c>
      <c r="AD82" s="66">
        <v>20.365100000000002</v>
      </c>
      <c r="AE82" s="66">
        <v>8.5993630000000001E-2</v>
      </c>
      <c r="AF82" s="66">
        <v>145.465</v>
      </c>
      <c r="AG82" s="66">
        <v>20.365100000000002</v>
      </c>
      <c r="AH82" s="66">
        <v>0</v>
      </c>
      <c r="AI82" s="66">
        <v>125.09990000000001</v>
      </c>
      <c r="AJ82" s="67">
        <v>100</v>
      </c>
      <c r="AK82" s="67">
        <v>100</v>
      </c>
      <c r="AL82" s="67">
        <v>86</v>
      </c>
      <c r="AM82" s="67">
        <v>8.5993630000000001E-2</v>
      </c>
      <c r="AN82" s="67">
        <v>8.1878948066105295E-16</v>
      </c>
    </row>
    <row r="83" spans="1:40" ht="15.6" x14ac:dyDescent="0.3">
      <c r="A83" s="215">
        <v>71</v>
      </c>
      <c r="B83" s="205" t="s">
        <v>189</v>
      </c>
      <c r="C83" s="66">
        <v>0</v>
      </c>
      <c r="D83" s="66">
        <v>603.18619999999999</v>
      </c>
      <c r="E83" s="66">
        <v>488.58080000000001</v>
      </c>
      <c r="F83" s="66">
        <v>114.6054</v>
      </c>
      <c r="G83" s="66">
        <v>488.58080000000001</v>
      </c>
      <c r="H83" s="66">
        <v>6.7035441699999998</v>
      </c>
      <c r="I83" s="66">
        <v>0</v>
      </c>
      <c r="J83" s="66">
        <v>603.18619999999999</v>
      </c>
      <c r="K83" s="66">
        <v>488.58080000000001</v>
      </c>
      <c r="L83" s="66">
        <v>0</v>
      </c>
      <c r="M83" s="66">
        <v>114.6054</v>
      </c>
      <c r="N83" s="67">
        <v>100</v>
      </c>
      <c r="O83" s="67">
        <v>100</v>
      </c>
      <c r="P83" s="67">
        <v>19.000003647298296</v>
      </c>
      <c r="Q83" s="66">
        <v>6.7035441699999998</v>
      </c>
      <c r="R83" s="67">
        <v>-1.3322676295501878E-14</v>
      </c>
      <c r="S83" s="67">
        <v>0</v>
      </c>
      <c r="U83" s="64"/>
      <c r="V83" s="65"/>
      <c r="W83" s="64"/>
      <c r="X83" s="65"/>
      <c r="Y83" s="66">
        <v>488.58080000000001</v>
      </c>
      <c r="Z83" s="66">
        <v>0</v>
      </c>
      <c r="AA83" s="66">
        <v>603.18619999999999</v>
      </c>
      <c r="AB83" s="66">
        <v>488.58080000000001</v>
      </c>
      <c r="AC83" s="66">
        <v>114.6054</v>
      </c>
      <c r="AD83" s="66">
        <v>488.58080000000001</v>
      </c>
      <c r="AE83" s="66">
        <v>6.7035441699999998</v>
      </c>
      <c r="AF83" s="66">
        <v>603.18619999999999</v>
      </c>
      <c r="AG83" s="66">
        <v>488.58080000000001</v>
      </c>
      <c r="AH83" s="66">
        <v>0</v>
      </c>
      <c r="AI83" s="66">
        <v>114.6054</v>
      </c>
      <c r="AJ83" s="67">
        <v>100</v>
      </c>
      <c r="AK83" s="67">
        <v>100</v>
      </c>
      <c r="AL83" s="67">
        <v>19.000003647298296</v>
      </c>
      <c r="AM83" s="67">
        <v>6.7035441699999998</v>
      </c>
      <c r="AN83" s="67">
        <v>-1.3322676295501878E-14</v>
      </c>
    </row>
    <row r="84" spans="1:40" ht="15.6" x14ac:dyDescent="0.3">
      <c r="A84" s="202">
        <v>72</v>
      </c>
      <c r="B84" s="203" t="s">
        <v>192</v>
      </c>
      <c r="C84" s="61">
        <v>0</v>
      </c>
      <c r="D84" s="61">
        <v>4517.7094331300004</v>
      </c>
      <c r="E84" s="61">
        <v>3808.8589000000002</v>
      </c>
      <c r="F84" s="61">
        <v>708.85053313000003</v>
      </c>
      <c r="G84" s="61">
        <v>3807.5696993500005</v>
      </c>
      <c r="H84" s="61">
        <v>17.609864420000001</v>
      </c>
      <c r="I84" s="61">
        <v>0</v>
      </c>
      <c r="J84" s="61">
        <v>4516.2894162599996</v>
      </c>
      <c r="K84" s="61">
        <v>3807.5696979599998</v>
      </c>
      <c r="L84" s="61">
        <v>0</v>
      </c>
      <c r="M84" s="61">
        <v>708.71971829999995</v>
      </c>
      <c r="N84" s="61">
        <v>99.966152538756418</v>
      </c>
      <c r="O84" s="61">
        <v>99.981545498820111</v>
      </c>
      <c r="P84" s="61">
        <v>15.692522178680488</v>
      </c>
      <c r="Q84" s="61">
        <v>17.609864420000001</v>
      </c>
      <c r="R84" s="61">
        <v>1.3900001156474939E-6</v>
      </c>
      <c r="S84" s="61">
        <v>1.2892006500000264</v>
      </c>
      <c r="U84" s="59"/>
      <c r="V84" s="60"/>
      <c r="W84" s="59"/>
      <c r="X84" s="60"/>
      <c r="Y84" s="61">
        <v>3808.8589000000002</v>
      </c>
      <c r="Z84" s="61">
        <v>0</v>
      </c>
      <c r="AA84" s="61">
        <v>4517.7094331300004</v>
      </c>
      <c r="AB84" s="61">
        <v>3808.8589000000002</v>
      </c>
      <c r="AC84" s="61">
        <v>708.85053313000003</v>
      </c>
      <c r="AD84" s="61">
        <v>3807.5696993500005</v>
      </c>
      <c r="AE84" s="61">
        <v>17.609864420000001</v>
      </c>
      <c r="AF84" s="61">
        <v>4516.2894162599996</v>
      </c>
      <c r="AG84" s="61">
        <v>3807.5696979599998</v>
      </c>
      <c r="AH84" s="61">
        <v>0</v>
      </c>
      <c r="AI84" s="61">
        <v>708.71971829999995</v>
      </c>
      <c r="AJ84" s="61">
        <v>99.966152538756418</v>
      </c>
      <c r="AK84" s="61">
        <v>99.981545498820111</v>
      </c>
      <c r="AL84" s="61">
        <v>15.692522178680488</v>
      </c>
      <c r="AM84" s="61">
        <v>17.609864420000001</v>
      </c>
      <c r="AN84" s="61">
        <v>1.3900001156474939E-6</v>
      </c>
    </row>
    <row r="85" spans="1:40" ht="15.6" x14ac:dyDescent="0.3">
      <c r="A85" s="169">
        <v>73</v>
      </c>
      <c r="B85" s="205" t="s">
        <v>195</v>
      </c>
      <c r="C85" s="66">
        <v>0</v>
      </c>
      <c r="D85" s="66">
        <v>245.06042105</v>
      </c>
      <c r="E85" s="66">
        <v>232.8074</v>
      </c>
      <c r="F85" s="66">
        <v>12.253021050000001</v>
      </c>
      <c r="G85" s="66">
        <v>232.8074</v>
      </c>
      <c r="H85" s="66">
        <v>7.1488240000000008E-2</v>
      </c>
      <c r="I85" s="66">
        <v>0</v>
      </c>
      <c r="J85" s="66">
        <v>245.06042105</v>
      </c>
      <c r="K85" s="66">
        <v>232.8074</v>
      </c>
      <c r="L85" s="66">
        <v>0</v>
      </c>
      <c r="M85" s="66">
        <v>12.253021050000001</v>
      </c>
      <c r="N85" s="67">
        <v>100</v>
      </c>
      <c r="O85" s="67">
        <v>100</v>
      </c>
      <c r="P85" s="67">
        <v>4.9999999989798445</v>
      </c>
      <c r="Q85" s="66">
        <v>7.1488240000000008E-2</v>
      </c>
      <c r="R85" s="67">
        <v>7.8548278992229825E-15</v>
      </c>
      <c r="S85" s="67">
        <v>0</v>
      </c>
      <c r="U85" s="64"/>
      <c r="V85" s="65"/>
      <c r="W85" s="64"/>
      <c r="X85" s="65"/>
      <c r="Y85" s="66">
        <v>232.8074</v>
      </c>
      <c r="Z85" s="66">
        <v>0</v>
      </c>
      <c r="AA85" s="66">
        <v>245.06042105</v>
      </c>
      <c r="AB85" s="66">
        <v>232.8074</v>
      </c>
      <c r="AC85" s="66">
        <v>12.253021050000001</v>
      </c>
      <c r="AD85" s="66">
        <v>232.8074</v>
      </c>
      <c r="AE85" s="66">
        <v>7.1488240000000008E-2</v>
      </c>
      <c r="AF85" s="66">
        <v>245.06042105</v>
      </c>
      <c r="AG85" s="66">
        <v>232.8074</v>
      </c>
      <c r="AH85" s="66">
        <v>0</v>
      </c>
      <c r="AI85" s="66">
        <v>12.253021050000001</v>
      </c>
      <c r="AJ85" s="67">
        <v>100</v>
      </c>
      <c r="AK85" s="67">
        <v>100</v>
      </c>
      <c r="AL85" s="67">
        <v>4.9999999989798445</v>
      </c>
      <c r="AM85" s="67">
        <v>7.1488240000000008E-2</v>
      </c>
      <c r="AN85" s="67">
        <v>7.8548278992229825E-15</v>
      </c>
    </row>
    <row r="86" spans="1:40" ht="15.6" x14ac:dyDescent="0.3">
      <c r="A86" s="169">
        <v>74</v>
      </c>
      <c r="B86" s="205" t="s">
        <v>201</v>
      </c>
      <c r="C86" s="66">
        <v>0</v>
      </c>
      <c r="D86" s="66">
        <v>194.55242200000001</v>
      </c>
      <c r="E86" s="66">
        <v>184.82480000000001</v>
      </c>
      <c r="F86" s="66">
        <v>9.7276220000000002</v>
      </c>
      <c r="G86" s="66">
        <v>183.8414894</v>
      </c>
      <c r="H86" s="66">
        <v>0.60546542000000003</v>
      </c>
      <c r="I86" s="66">
        <v>0</v>
      </c>
      <c r="J86" s="66">
        <v>193.517357</v>
      </c>
      <c r="K86" s="66">
        <v>183.84148827000001</v>
      </c>
      <c r="L86" s="66">
        <v>0</v>
      </c>
      <c r="M86" s="66">
        <v>9.6758687300000012</v>
      </c>
      <c r="N86" s="67">
        <v>99.467976305127877</v>
      </c>
      <c r="O86" s="67">
        <v>99.467976140520278</v>
      </c>
      <c r="P86" s="67">
        <v>5.0000004547395722</v>
      </c>
      <c r="Q86" s="66">
        <v>0.60546542000000003</v>
      </c>
      <c r="R86" s="67">
        <v>1.1299999884695211E-6</v>
      </c>
      <c r="S86" s="67">
        <v>0.98331060000001003</v>
      </c>
      <c r="U86" s="64"/>
      <c r="V86" s="65"/>
      <c r="W86" s="64"/>
      <c r="X86" s="65"/>
      <c r="Y86" s="66">
        <v>184.82480000000001</v>
      </c>
      <c r="Z86" s="66">
        <v>0</v>
      </c>
      <c r="AA86" s="66">
        <v>194.55242200000001</v>
      </c>
      <c r="AB86" s="66">
        <v>184.82480000000001</v>
      </c>
      <c r="AC86" s="66">
        <v>9.7276220000000002</v>
      </c>
      <c r="AD86" s="66">
        <v>183.8414894</v>
      </c>
      <c r="AE86" s="66">
        <v>0.60546542000000003</v>
      </c>
      <c r="AF86" s="66">
        <v>193.517357</v>
      </c>
      <c r="AG86" s="66">
        <v>183.84148827000001</v>
      </c>
      <c r="AH86" s="66">
        <v>0</v>
      </c>
      <c r="AI86" s="66">
        <v>9.6758687300000012</v>
      </c>
      <c r="AJ86" s="67">
        <v>99.467976305127877</v>
      </c>
      <c r="AK86" s="67">
        <v>99.467976140520278</v>
      </c>
      <c r="AL86" s="67">
        <v>5.0000004547395722</v>
      </c>
      <c r="AM86" s="67">
        <v>0.60546542000000003</v>
      </c>
      <c r="AN86" s="67">
        <v>1.1299999884695211E-6</v>
      </c>
    </row>
    <row r="87" spans="1:40" ht="15.6" x14ac:dyDescent="0.3">
      <c r="A87" s="169">
        <v>75</v>
      </c>
      <c r="B87" s="205" t="s">
        <v>204</v>
      </c>
      <c r="C87" s="66">
        <v>0</v>
      </c>
      <c r="D87" s="66">
        <v>167.19970000000001</v>
      </c>
      <c r="E87" s="66">
        <v>152.15170000000001</v>
      </c>
      <c r="F87" s="66">
        <v>15.048</v>
      </c>
      <c r="G87" s="66">
        <v>152.15013463999998</v>
      </c>
      <c r="H87" s="66">
        <v>3.4062143100000002</v>
      </c>
      <c r="I87" s="66">
        <v>0</v>
      </c>
      <c r="J87" s="66">
        <v>167.19797987000001</v>
      </c>
      <c r="K87" s="66">
        <v>152.15013463999998</v>
      </c>
      <c r="L87" s="66">
        <v>0</v>
      </c>
      <c r="M87" s="66">
        <v>15.04784523</v>
      </c>
      <c r="N87" s="67">
        <v>99.99897118467949</v>
      </c>
      <c r="O87" s="67">
        <v>99.998971491228076</v>
      </c>
      <c r="P87" s="67">
        <v>9.0000161734609598</v>
      </c>
      <c r="Q87" s="66">
        <v>3.4062143100000002</v>
      </c>
      <c r="R87" s="67">
        <v>-4.4408920985006262E-15</v>
      </c>
      <c r="S87" s="67">
        <v>1.565360000029159E-3</v>
      </c>
      <c r="U87" s="64"/>
      <c r="V87" s="65"/>
      <c r="W87" s="64"/>
      <c r="X87" s="65"/>
      <c r="Y87" s="66">
        <v>152.15170000000001</v>
      </c>
      <c r="Z87" s="66">
        <v>0</v>
      </c>
      <c r="AA87" s="66">
        <v>167.19970000000001</v>
      </c>
      <c r="AB87" s="66">
        <v>152.15170000000001</v>
      </c>
      <c r="AC87" s="66">
        <v>15.048</v>
      </c>
      <c r="AD87" s="66">
        <v>152.15013463999998</v>
      </c>
      <c r="AE87" s="66">
        <v>3.4062143100000002</v>
      </c>
      <c r="AF87" s="66">
        <v>167.19797987000001</v>
      </c>
      <c r="AG87" s="66">
        <v>152.15013463999998</v>
      </c>
      <c r="AH87" s="66">
        <v>0</v>
      </c>
      <c r="AI87" s="66">
        <v>15.04784523</v>
      </c>
      <c r="AJ87" s="67">
        <v>99.99897118467949</v>
      </c>
      <c r="AK87" s="67">
        <v>99.998971491228076</v>
      </c>
      <c r="AL87" s="67">
        <v>9.0000161734609598</v>
      </c>
      <c r="AM87" s="67">
        <v>3.4062143100000002</v>
      </c>
      <c r="AN87" s="67">
        <v>-4.4408920985006262E-15</v>
      </c>
    </row>
    <row r="88" spans="1:40" ht="15.6" x14ac:dyDescent="0.3">
      <c r="A88" s="169">
        <v>76</v>
      </c>
      <c r="B88" s="205" t="s">
        <v>207</v>
      </c>
      <c r="C88" s="66">
        <v>0</v>
      </c>
      <c r="D88" s="66">
        <v>858.40677419000008</v>
      </c>
      <c r="E88" s="66">
        <v>798.31830000000002</v>
      </c>
      <c r="F88" s="66">
        <v>60.088474189999999</v>
      </c>
      <c r="G88" s="66">
        <v>798.31830000000002</v>
      </c>
      <c r="H88" s="66">
        <v>0.75103038</v>
      </c>
      <c r="I88" s="66">
        <v>0</v>
      </c>
      <c r="J88" s="66">
        <v>858.40677419000008</v>
      </c>
      <c r="K88" s="66">
        <v>798.31830000000002</v>
      </c>
      <c r="L88" s="66">
        <v>0</v>
      </c>
      <c r="M88" s="66">
        <v>60.088474189999999</v>
      </c>
      <c r="N88" s="67">
        <v>100</v>
      </c>
      <c r="O88" s="67">
        <v>100</v>
      </c>
      <c r="P88" s="67">
        <v>6.9999999996155662</v>
      </c>
      <c r="Q88" s="66">
        <v>0.75103038</v>
      </c>
      <c r="R88" s="67">
        <v>-2.5313084961453569E-14</v>
      </c>
      <c r="S88" s="67">
        <v>0</v>
      </c>
      <c r="U88" s="64"/>
      <c r="V88" s="65"/>
      <c r="W88" s="64"/>
      <c r="X88" s="65"/>
      <c r="Y88" s="66">
        <v>798.31830000000002</v>
      </c>
      <c r="Z88" s="66">
        <v>0</v>
      </c>
      <c r="AA88" s="66">
        <v>858.40677419000008</v>
      </c>
      <c r="AB88" s="66">
        <v>798.31830000000002</v>
      </c>
      <c r="AC88" s="66">
        <v>60.088474189999999</v>
      </c>
      <c r="AD88" s="66">
        <v>798.31830000000002</v>
      </c>
      <c r="AE88" s="66">
        <v>0.75103038</v>
      </c>
      <c r="AF88" s="66">
        <v>858.40677419000008</v>
      </c>
      <c r="AG88" s="66">
        <v>798.31830000000002</v>
      </c>
      <c r="AH88" s="66">
        <v>0</v>
      </c>
      <c r="AI88" s="66">
        <v>60.088474189999999</v>
      </c>
      <c r="AJ88" s="67">
        <v>100</v>
      </c>
      <c r="AK88" s="67">
        <v>100</v>
      </c>
      <c r="AL88" s="67">
        <v>6.9999999996155662</v>
      </c>
      <c r="AM88" s="67">
        <v>0.75103038</v>
      </c>
      <c r="AN88" s="67">
        <v>-2.5313084961453569E-14</v>
      </c>
    </row>
    <row r="89" spans="1:40" ht="15.6" x14ac:dyDescent="0.3">
      <c r="A89" s="169">
        <v>77</v>
      </c>
      <c r="B89" s="205" t="s">
        <v>213</v>
      </c>
      <c r="C89" s="66">
        <v>0</v>
      </c>
      <c r="D89" s="66">
        <v>653.83213333000003</v>
      </c>
      <c r="E89" s="66">
        <v>490.3741</v>
      </c>
      <c r="F89" s="66">
        <v>163.45803333000001</v>
      </c>
      <c r="G89" s="66">
        <v>490.37387325999998</v>
      </c>
      <c r="H89" s="66">
        <v>0.73613410999999995</v>
      </c>
      <c r="I89" s="66">
        <v>0</v>
      </c>
      <c r="J89" s="66">
        <v>653.83183084000007</v>
      </c>
      <c r="K89" s="66">
        <v>490.37387312999999</v>
      </c>
      <c r="L89" s="66">
        <v>0</v>
      </c>
      <c r="M89" s="66">
        <v>163.45795771000002</v>
      </c>
      <c r="N89" s="67">
        <v>99.999953735321668</v>
      </c>
      <c r="O89" s="67">
        <v>99.999953737360926</v>
      </c>
      <c r="P89" s="67">
        <v>25</v>
      </c>
      <c r="Q89" s="66">
        <v>0.73613410999999995</v>
      </c>
      <c r="R89" s="67">
        <v>1.3000001264362737E-7</v>
      </c>
      <c r="S89" s="67">
        <v>2.2674000001643435E-4</v>
      </c>
      <c r="U89" s="64"/>
      <c r="V89" s="65"/>
      <c r="W89" s="64"/>
      <c r="X89" s="65"/>
      <c r="Y89" s="66">
        <v>490.3741</v>
      </c>
      <c r="Z89" s="66">
        <v>0</v>
      </c>
      <c r="AA89" s="66">
        <v>653.83213333000003</v>
      </c>
      <c r="AB89" s="66">
        <v>490.3741</v>
      </c>
      <c r="AC89" s="66">
        <v>163.45803333000001</v>
      </c>
      <c r="AD89" s="66">
        <v>490.37387325999998</v>
      </c>
      <c r="AE89" s="66">
        <v>0.73613410999999995</v>
      </c>
      <c r="AF89" s="66">
        <v>653.83183084000007</v>
      </c>
      <c r="AG89" s="66">
        <v>490.37387312999999</v>
      </c>
      <c r="AH89" s="66">
        <v>0</v>
      </c>
      <c r="AI89" s="66">
        <v>163.45795771000002</v>
      </c>
      <c r="AJ89" s="67">
        <v>99.999953735321668</v>
      </c>
      <c r="AK89" s="67">
        <v>99.999953737360926</v>
      </c>
      <c r="AL89" s="67">
        <v>25</v>
      </c>
      <c r="AM89" s="67">
        <v>0.73613410999999995</v>
      </c>
      <c r="AN89" s="67">
        <v>1.3000001264362737E-7</v>
      </c>
    </row>
    <row r="90" spans="1:40" ht="15.6" x14ac:dyDescent="0.3">
      <c r="A90" s="169">
        <v>78</v>
      </c>
      <c r="B90" s="205" t="s">
        <v>216</v>
      </c>
      <c r="C90" s="66">
        <v>0</v>
      </c>
      <c r="D90" s="66">
        <v>669.17420000000004</v>
      </c>
      <c r="E90" s="66">
        <v>528.64760000000001</v>
      </c>
      <c r="F90" s="66">
        <v>140.5266</v>
      </c>
      <c r="G90" s="66">
        <v>528.64760000000001</v>
      </c>
      <c r="H90" s="66">
        <v>1.83741968</v>
      </c>
      <c r="I90" s="66">
        <v>0</v>
      </c>
      <c r="J90" s="66">
        <v>669.17420000000004</v>
      </c>
      <c r="K90" s="66">
        <v>528.64760000000001</v>
      </c>
      <c r="L90" s="66">
        <v>0</v>
      </c>
      <c r="M90" s="66">
        <v>140.5266</v>
      </c>
      <c r="N90" s="67">
        <v>100</v>
      </c>
      <c r="O90" s="67">
        <v>100</v>
      </c>
      <c r="P90" s="67">
        <v>21.000002689882542</v>
      </c>
      <c r="Q90" s="66">
        <v>1.83741968</v>
      </c>
      <c r="R90" s="67">
        <v>3.907985046680551E-14</v>
      </c>
      <c r="S90" s="67">
        <v>0</v>
      </c>
      <c r="U90" s="64"/>
      <c r="V90" s="65"/>
      <c r="W90" s="64"/>
      <c r="X90" s="65"/>
      <c r="Y90" s="66">
        <v>528.64760000000001</v>
      </c>
      <c r="Z90" s="66">
        <v>0</v>
      </c>
      <c r="AA90" s="66">
        <v>669.17420000000004</v>
      </c>
      <c r="AB90" s="66">
        <v>528.64760000000001</v>
      </c>
      <c r="AC90" s="66">
        <v>140.5266</v>
      </c>
      <c r="AD90" s="66">
        <v>528.64760000000001</v>
      </c>
      <c r="AE90" s="66">
        <v>1.83741968</v>
      </c>
      <c r="AF90" s="66">
        <v>669.17420000000004</v>
      </c>
      <c r="AG90" s="66">
        <v>528.64760000000001</v>
      </c>
      <c r="AH90" s="66">
        <v>0</v>
      </c>
      <c r="AI90" s="66">
        <v>140.5266</v>
      </c>
      <c r="AJ90" s="67">
        <v>100</v>
      </c>
      <c r="AK90" s="67">
        <v>100</v>
      </c>
      <c r="AL90" s="67">
        <v>21.000002689882542</v>
      </c>
      <c r="AM90" s="67">
        <v>1.83741968</v>
      </c>
      <c r="AN90" s="67">
        <v>3.907985046680551E-14</v>
      </c>
    </row>
    <row r="91" spans="1:40" ht="15.6" x14ac:dyDescent="0.3">
      <c r="A91" s="169">
        <v>79</v>
      </c>
      <c r="B91" s="205" t="s">
        <v>219</v>
      </c>
      <c r="C91" s="66">
        <v>0</v>
      </c>
      <c r="D91" s="66">
        <v>263.31457832000001</v>
      </c>
      <c r="E91" s="66">
        <v>218.55109999999999</v>
      </c>
      <c r="F91" s="66">
        <v>44.763478319999997</v>
      </c>
      <c r="G91" s="66">
        <v>218.55109999999999</v>
      </c>
      <c r="H91" s="66">
        <v>2.8434123599999999</v>
      </c>
      <c r="I91" s="66">
        <v>0</v>
      </c>
      <c r="J91" s="66">
        <v>263.31457832000001</v>
      </c>
      <c r="K91" s="66">
        <v>218.55109999999999</v>
      </c>
      <c r="L91" s="66">
        <v>0</v>
      </c>
      <c r="M91" s="66">
        <v>44.763478319999997</v>
      </c>
      <c r="N91" s="67">
        <v>100</v>
      </c>
      <c r="O91" s="67">
        <v>100</v>
      </c>
      <c r="P91" s="67">
        <v>17.000000002126733</v>
      </c>
      <c r="Q91" s="66">
        <v>2.8434123599999999</v>
      </c>
      <c r="R91" s="67">
        <v>2.2204460492503131E-15</v>
      </c>
      <c r="S91" s="67">
        <v>0</v>
      </c>
      <c r="U91" s="64"/>
      <c r="V91" s="65"/>
      <c r="W91" s="64"/>
      <c r="X91" s="65"/>
      <c r="Y91" s="66">
        <v>218.55109999999999</v>
      </c>
      <c r="Z91" s="66">
        <v>0</v>
      </c>
      <c r="AA91" s="66">
        <v>263.31457832000001</v>
      </c>
      <c r="AB91" s="66">
        <v>218.55109999999999</v>
      </c>
      <c r="AC91" s="66">
        <v>44.763478319999997</v>
      </c>
      <c r="AD91" s="66">
        <v>218.55109999999999</v>
      </c>
      <c r="AE91" s="66">
        <v>2.8434123599999999</v>
      </c>
      <c r="AF91" s="66">
        <v>263.31457832000001</v>
      </c>
      <c r="AG91" s="66">
        <v>218.55109999999999</v>
      </c>
      <c r="AH91" s="66">
        <v>0</v>
      </c>
      <c r="AI91" s="66">
        <v>44.763478319999997</v>
      </c>
      <c r="AJ91" s="67">
        <v>100</v>
      </c>
      <c r="AK91" s="67">
        <v>100</v>
      </c>
      <c r="AL91" s="67">
        <v>17.000000002126733</v>
      </c>
      <c r="AM91" s="67">
        <v>2.8434123599999999</v>
      </c>
      <c r="AN91" s="67">
        <v>2.2204460492503131E-15</v>
      </c>
    </row>
    <row r="92" spans="1:40" ht="15.6" x14ac:dyDescent="0.3">
      <c r="A92" s="169">
        <v>80</v>
      </c>
      <c r="B92" s="205" t="s">
        <v>222</v>
      </c>
      <c r="C92" s="66">
        <v>0</v>
      </c>
      <c r="D92" s="66">
        <v>636.55115384999999</v>
      </c>
      <c r="E92" s="66">
        <v>496.50990000000002</v>
      </c>
      <c r="F92" s="66">
        <v>140.04125385</v>
      </c>
      <c r="G92" s="66">
        <v>496.26399488999999</v>
      </c>
      <c r="H92" s="66">
        <v>4.3470872500000004</v>
      </c>
      <c r="I92" s="66">
        <v>0</v>
      </c>
      <c r="J92" s="66">
        <v>636.23589085000003</v>
      </c>
      <c r="K92" s="66">
        <v>496.26399488999999</v>
      </c>
      <c r="L92" s="66">
        <v>0</v>
      </c>
      <c r="M92" s="66">
        <v>139.97189596000001</v>
      </c>
      <c r="N92" s="67">
        <v>99.95047327152993</v>
      </c>
      <c r="O92" s="67">
        <v>99.950473244066856</v>
      </c>
      <c r="P92" s="67">
        <v>21.999999995756291</v>
      </c>
      <c r="Q92" s="66">
        <v>4.3470872500000004</v>
      </c>
      <c r="R92" s="67">
        <v>1.5099033134902129E-14</v>
      </c>
      <c r="S92" s="67">
        <v>0.2459051100000238</v>
      </c>
      <c r="U92" s="64"/>
      <c r="V92" s="65"/>
      <c r="W92" s="64"/>
      <c r="X92" s="65"/>
      <c r="Y92" s="66">
        <v>496.50990000000002</v>
      </c>
      <c r="Z92" s="66">
        <v>0</v>
      </c>
      <c r="AA92" s="66">
        <v>636.55115384999999</v>
      </c>
      <c r="AB92" s="66">
        <v>496.50990000000002</v>
      </c>
      <c r="AC92" s="66">
        <v>140.04125385</v>
      </c>
      <c r="AD92" s="66">
        <v>496.26399488999999</v>
      </c>
      <c r="AE92" s="66">
        <v>4.3470872500000004</v>
      </c>
      <c r="AF92" s="66">
        <v>636.23589085000003</v>
      </c>
      <c r="AG92" s="66">
        <v>496.26399488999999</v>
      </c>
      <c r="AH92" s="66">
        <v>0</v>
      </c>
      <c r="AI92" s="66">
        <v>139.97189596000001</v>
      </c>
      <c r="AJ92" s="67">
        <v>99.95047327152993</v>
      </c>
      <c r="AK92" s="67">
        <v>99.950473244066856</v>
      </c>
      <c r="AL92" s="67">
        <v>21.999999995756291</v>
      </c>
      <c r="AM92" s="67">
        <v>4.3470872500000004</v>
      </c>
      <c r="AN92" s="67">
        <v>1.5099033134902129E-14</v>
      </c>
    </row>
    <row r="93" spans="1:40" ht="15.6" x14ac:dyDescent="0.3">
      <c r="A93" s="169">
        <v>81</v>
      </c>
      <c r="B93" s="205" t="s">
        <v>225</v>
      </c>
      <c r="C93" s="66">
        <v>0</v>
      </c>
      <c r="D93" s="66">
        <v>603.03395399999999</v>
      </c>
      <c r="E93" s="66">
        <v>518.60919999999999</v>
      </c>
      <c r="F93" s="66">
        <v>84.424753999999993</v>
      </c>
      <c r="G93" s="66">
        <v>518.55100716000004</v>
      </c>
      <c r="H93" s="66">
        <v>3.0116126699999999</v>
      </c>
      <c r="I93" s="66">
        <v>0</v>
      </c>
      <c r="J93" s="66">
        <v>602.96628774999999</v>
      </c>
      <c r="K93" s="66">
        <v>518.55100702999994</v>
      </c>
      <c r="L93" s="66">
        <v>0</v>
      </c>
      <c r="M93" s="66">
        <v>84.415280719999998</v>
      </c>
      <c r="N93" s="67">
        <v>99.988779032458339</v>
      </c>
      <c r="O93" s="67">
        <v>99.988779025639801</v>
      </c>
      <c r="P93" s="67">
        <v>14.000000072143337</v>
      </c>
      <c r="Q93" s="66">
        <v>3.0116126699999999</v>
      </c>
      <c r="R93" s="67">
        <v>1.3000008003416497E-7</v>
      </c>
      <c r="S93" s="67">
        <v>5.8192839999946955E-2</v>
      </c>
      <c r="U93" s="64"/>
      <c r="V93" s="65"/>
      <c r="W93" s="64"/>
      <c r="X93" s="65"/>
      <c r="Y93" s="66">
        <v>518.60919999999999</v>
      </c>
      <c r="Z93" s="66">
        <v>0</v>
      </c>
      <c r="AA93" s="66">
        <v>603.03395399999999</v>
      </c>
      <c r="AB93" s="66">
        <v>518.60919999999999</v>
      </c>
      <c r="AC93" s="66">
        <v>84.424753999999993</v>
      </c>
      <c r="AD93" s="66">
        <v>518.55100716000004</v>
      </c>
      <c r="AE93" s="66">
        <v>3.0116126699999999</v>
      </c>
      <c r="AF93" s="66">
        <v>602.96628774999999</v>
      </c>
      <c r="AG93" s="66">
        <v>518.55100702999994</v>
      </c>
      <c r="AH93" s="66">
        <v>0</v>
      </c>
      <c r="AI93" s="66">
        <v>84.415280719999998</v>
      </c>
      <c r="AJ93" s="67">
        <v>99.988779032458339</v>
      </c>
      <c r="AK93" s="67">
        <v>99.988779025639801</v>
      </c>
      <c r="AL93" s="67">
        <v>14.000000072143337</v>
      </c>
      <c r="AM93" s="67">
        <v>3.0116126699999999</v>
      </c>
      <c r="AN93" s="67">
        <v>1.3000008003416497E-7</v>
      </c>
    </row>
    <row r="94" spans="1:40" ht="15.6" x14ac:dyDescent="0.3">
      <c r="A94" s="169">
        <v>82</v>
      </c>
      <c r="B94" s="205" t="s">
        <v>228</v>
      </c>
      <c r="C94" s="66">
        <v>0</v>
      </c>
      <c r="D94" s="66">
        <v>226.58409638999998</v>
      </c>
      <c r="E94" s="66">
        <v>188.06479999999999</v>
      </c>
      <c r="F94" s="66">
        <v>38.519296390000001</v>
      </c>
      <c r="G94" s="66">
        <v>188.06479999999999</v>
      </c>
      <c r="H94" s="66">
        <v>0</v>
      </c>
      <c r="I94" s="66">
        <v>0</v>
      </c>
      <c r="J94" s="66">
        <v>226.58409638999998</v>
      </c>
      <c r="K94" s="66">
        <v>188.06479999999999</v>
      </c>
      <c r="L94" s="66">
        <v>0</v>
      </c>
      <c r="M94" s="66">
        <v>38.519296390000001</v>
      </c>
      <c r="N94" s="67">
        <v>100</v>
      </c>
      <c r="O94" s="67">
        <v>100</v>
      </c>
      <c r="P94" s="67">
        <v>17.000000001632952</v>
      </c>
      <c r="Q94" s="66">
        <v>0</v>
      </c>
      <c r="R94" s="67">
        <v>0</v>
      </c>
      <c r="S94" s="67">
        <v>0</v>
      </c>
      <c r="U94" s="64"/>
      <c r="V94" s="65"/>
      <c r="W94" s="64"/>
      <c r="X94" s="65"/>
      <c r="Y94" s="66">
        <v>188.06479999999999</v>
      </c>
      <c r="Z94" s="66">
        <v>0</v>
      </c>
      <c r="AA94" s="66">
        <v>226.58409638999998</v>
      </c>
      <c r="AB94" s="66">
        <v>188.06479999999999</v>
      </c>
      <c r="AC94" s="66">
        <v>38.519296390000001</v>
      </c>
      <c r="AD94" s="66">
        <v>188.06479999999999</v>
      </c>
      <c r="AE94" s="66">
        <v>0</v>
      </c>
      <c r="AF94" s="66">
        <v>226.58409638999998</v>
      </c>
      <c r="AG94" s="66">
        <v>188.06479999999999</v>
      </c>
      <c r="AH94" s="66">
        <v>0</v>
      </c>
      <c r="AI94" s="66">
        <v>38.519296390000001</v>
      </c>
      <c r="AJ94" s="67">
        <v>100</v>
      </c>
      <c r="AK94" s="67">
        <v>100</v>
      </c>
      <c r="AL94" s="67">
        <v>17.000000001632952</v>
      </c>
      <c r="AM94" s="67">
        <v>0</v>
      </c>
      <c r="AN94" s="67">
        <v>0</v>
      </c>
    </row>
    <row r="95" spans="1:40" ht="15.6" x14ac:dyDescent="0.3">
      <c r="A95" s="202">
        <v>83</v>
      </c>
      <c r="B95" s="203" t="s">
        <v>231</v>
      </c>
      <c r="C95" s="61">
        <v>0</v>
      </c>
      <c r="D95" s="61">
        <v>1912.9146098299998</v>
      </c>
      <c r="E95" s="61">
        <v>1685.8364999999999</v>
      </c>
      <c r="F95" s="61">
        <v>227.07810982999999</v>
      </c>
      <c r="G95" s="61">
        <v>1665.5850514199997</v>
      </c>
      <c r="H95" s="61">
        <v>18.64684128</v>
      </c>
      <c r="I95" s="61">
        <v>0</v>
      </c>
      <c r="J95" s="61">
        <v>1889.2814679499998</v>
      </c>
      <c r="K95" s="61">
        <v>1665.46593373</v>
      </c>
      <c r="L95" s="61">
        <v>0</v>
      </c>
      <c r="M95" s="61">
        <v>223.81553421999999</v>
      </c>
      <c r="N95" s="61">
        <v>98.791664181550232</v>
      </c>
      <c r="O95" s="61">
        <v>98.563236406872292</v>
      </c>
      <c r="P95" s="61">
        <v>11.846595545281838</v>
      </c>
      <c r="Q95" s="61">
        <v>18.64684128</v>
      </c>
      <c r="R95" s="61">
        <v>0.11911769000001869</v>
      </c>
      <c r="S95" s="61">
        <v>20.251448579999934</v>
      </c>
      <c r="U95" s="59"/>
      <c r="V95" s="60"/>
      <c r="W95" s="59"/>
      <c r="X95" s="60"/>
      <c r="Y95" s="61">
        <v>1913.9531999999999</v>
      </c>
      <c r="Z95" s="61">
        <v>0</v>
      </c>
      <c r="AA95" s="61">
        <v>2155.59195026</v>
      </c>
      <c r="AB95" s="61">
        <v>1913.9531999999999</v>
      </c>
      <c r="AC95" s="61">
        <v>241.63875025999999</v>
      </c>
      <c r="AD95" s="61">
        <v>1893.7017514199997</v>
      </c>
      <c r="AE95" s="61">
        <v>18.660294829999998</v>
      </c>
      <c r="AF95" s="61">
        <v>2131.9588083799999</v>
      </c>
      <c r="AG95" s="61">
        <v>1893.58263373</v>
      </c>
      <c r="AH95" s="61">
        <v>0</v>
      </c>
      <c r="AI95" s="61">
        <v>238.37617465</v>
      </c>
      <c r="AJ95" s="61">
        <v>98.935681067332268</v>
      </c>
      <c r="AK95" s="61">
        <v>98.649812744648983</v>
      </c>
      <c r="AL95" s="61">
        <v>11.181087257081369</v>
      </c>
      <c r="AM95" s="61">
        <v>18.660294829999998</v>
      </c>
      <c r="AN95" s="61">
        <v>0.11911769000002706</v>
      </c>
    </row>
    <row r="96" spans="1:40" s="126" customFormat="1" ht="15.6" x14ac:dyDescent="0.3">
      <c r="A96" s="169">
        <v>84</v>
      </c>
      <c r="B96" s="205" t="s">
        <v>198</v>
      </c>
      <c r="C96" s="66">
        <v>0</v>
      </c>
      <c r="D96" s="66">
        <v>242.67734043000002</v>
      </c>
      <c r="E96" s="66">
        <v>228.11670000000001</v>
      </c>
      <c r="F96" s="66">
        <v>14.560640429999999</v>
      </c>
      <c r="G96" s="66">
        <v>228.11670000000001</v>
      </c>
      <c r="H96" s="66">
        <v>1.345355E-2</v>
      </c>
      <c r="I96" s="66">
        <v>0</v>
      </c>
      <c r="J96" s="66">
        <v>242.67734043000002</v>
      </c>
      <c r="K96" s="66">
        <v>228.11670000000001</v>
      </c>
      <c r="L96" s="66">
        <v>0</v>
      </c>
      <c r="M96" s="66">
        <v>14.560640429999999</v>
      </c>
      <c r="N96" s="67">
        <v>100</v>
      </c>
      <c r="O96" s="67">
        <v>100</v>
      </c>
      <c r="P96" s="67">
        <v>6.000000001730692</v>
      </c>
      <c r="Q96" s="66">
        <v>1.345355E-2</v>
      </c>
      <c r="R96" s="67">
        <v>8.363101877684187E-15</v>
      </c>
      <c r="S96" s="67">
        <v>0</v>
      </c>
      <c r="T96"/>
      <c r="U96" s="64"/>
      <c r="V96" s="65"/>
      <c r="W96" s="64"/>
      <c r="X96" s="65"/>
      <c r="Y96" s="66">
        <v>228.11670000000001</v>
      </c>
      <c r="Z96" s="66">
        <v>0</v>
      </c>
      <c r="AA96" s="66">
        <v>242.67734043000002</v>
      </c>
      <c r="AB96" s="66">
        <v>228.11670000000001</v>
      </c>
      <c r="AC96" s="66">
        <v>14.560640429999999</v>
      </c>
      <c r="AD96" s="66">
        <v>228.11670000000001</v>
      </c>
      <c r="AE96" s="66">
        <v>1.345355E-2</v>
      </c>
      <c r="AF96" s="66">
        <v>242.67734043000002</v>
      </c>
      <c r="AG96" s="66">
        <v>228.11670000000001</v>
      </c>
      <c r="AH96" s="66">
        <v>0</v>
      </c>
      <c r="AI96" s="66">
        <v>14.560640429999999</v>
      </c>
      <c r="AJ96" s="67">
        <v>100</v>
      </c>
      <c r="AK96" s="67">
        <v>100</v>
      </c>
      <c r="AL96" s="67">
        <v>6.000000001730692</v>
      </c>
      <c r="AM96" s="67">
        <v>1.345355E-2</v>
      </c>
      <c r="AN96" s="67">
        <v>8.363101877684187E-15</v>
      </c>
    </row>
    <row r="97" spans="1:40" ht="15.6" x14ac:dyDescent="0.3">
      <c r="A97" s="169">
        <v>85</v>
      </c>
      <c r="B97" s="205" t="s">
        <v>234</v>
      </c>
      <c r="C97" s="66">
        <v>0</v>
      </c>
      <c r="D97" s="66">
        <v>480.98952000000003</v>
      </c>
      <c r="E97" s="66">
        <v>442.51029999999997</v>
      </c>
      <c r="F97" s="66">
        <v>38.479219999999998</v>
      </c>
      <c r="G97" s="66">
        <v>438.81185775</v>
      </c>
      <c r="H97" s="66">
        <v>0</v>
      </c>
      <c r="I97" s="66">
        <v>0</v>
      </c>
      <c r="J97" s="66">
        <v>476.83999777999998</v>
      </c>
      <c r="K97" s="66">
        <v>438.69274006000001</v>
      </c>
      <c r="L97" s="66">
        <v>0</v>
      </c>
      <c r="M97" s="66">
        <v>38.147257719999999</v>
      </c>
      <c r="N97" s="67">
        <v>99.137294670881118</v>
      </c>
      <c r="O97" s="67">
        <v>99.137294674892061</v>
      </c>
      <c r="P97" s="67">
        <v>8.0000121419344588</v>
      </c>
      <c r="Q97" s="66">
        <v>0</v>
      </c>
      <c r="R97" s="67">
        <v>0.11911768999999595</v>
      </c>
      <c r="S97" s="67">
        <v>3.698442249999971</v>
      </c>
      <c r="U97" s="64"/>
      <c r="V97" s="65"/>
      <c r="W97" s="64"/>
      <c r="X97" s="65"/>
      <c r="Y97" s="66">
        <v>442.51029999999997</v>
      </c>
      <c r="Z97" s="66">
        <v>0</v>
      </c>
      <c r="AA97" s="66">
        <v>480.98952000000003</v>
      </c>
      <c r="AB97" s="66">
        <v>442.51029999999997</v>
      </c>
      <c r="AC97" s="66">
        <v>38.479219999999998</v>
      </c>
      <c r="AD97" s="66">
        <v>438.81185775</v>
      </c>
      <c r="AE97" s="66">
        <v>0</v>
      </c>
      <c r="AF97" s="66">
        <v>476.83999777999998</v>
      </c>
      <c r="AG97" s="66">
        <v>438.69274006000001</v>
      </c>
      <c r="AH97" s="66">
        <v>0</v>
      </c>
      <c r="AI97" s="66">
        <v>38.147257719999999</v>
      </c>
      <c r="AJ97" s="67">
        <v>99.137294670881118</v>
      </c>
      <c r="AK97" s="67">
        <v>99.137294674892061</v>
      </c>
      <c r="AL97" s="67">
        <v>8.0000121419344588</v>
      </c>
      <c r="AM97" s="67">
        <v>0</v>
      </c>
      <c r="AN97" s="67">
        <v>0.11911768999999595</v>
      </c>
    </row>
    <row r="98" spans="1:40" s="126" customFormat="1" ht="15.6" x14ac:dyDescent="0.3">
      <c r="A98" s="169">
        <v>86</v>
      </c>
      <c r="B98" s="205" t="s">
        <v>210</v>
      </c>
      <c r="C98" s="66">
        <v>0</v>
      </c>
      <c r="D98" s="66">
        <v>397.89170213</v>
      </c>
      <c r="E98" s="66">
        <v>374.01819999999998</v>
      </c>
      <c r="F98" s="66">
        <v>23.873502129999999</v>
      </c>
      <c r="G98" s="66">
        <v>374.01819999999998</v>
      </c>
      <c r="H98" s="66">
        <v>0.12163227</v>
      </c>
      <c r="I98" s="66">
        <v>0</v>
      </c>
      <c r="J98" s="66">
        <v>397.89170213</v>
      </c>
      <c r="K98" s="66">
        <v>374.01819999999998</v>
      </c>
      <c r="L98" s="66">
        <v>0</v>
      </c>
      <c r="M98" s="66">
        <v>23.873502129999999</v>
      </c>
      <c r="N98" s="67">
        <v>100</v>
      </c>
      <c r="O98" s="67">
        <v>100</v>
      </c>
      <c r="P98" s="67">
        <v>6.0000000005529142</v>
      </c>
      <c r="Q98" s="66">
        <v>0.12163227</v>
      </c>
      <c r="R98" s="67">
        <v>2.0525248167757582E-14</v>
      </c>
      <c r="S98" s="67">
        <v>0</v>
      </c>
      <c r="T98"/>
      <c r="U98" s="64"/>
      <c r="V98" s="65"/>
      <c r="W98" s="64"/>
      <c r="X98" s="65"/>
      <c r="Y98" s="66">
        <v>374.01819999999998</v>
      </c>
      <c r="Z98" s="66">
        <v>0</v>
      </c>
      <c r="AA98" s="66">
        <v>397.89170213</v>
      </c>
      <c r="AB98" s="66">
        <v>374.01819999999998</v>
      </c>
      <c r="AC98" s="66">
        <v>23.873502129999999</v>
      </c>
      <c r="AD98" s="66">
        <v>374.01819999999998</v>
      </c>
      <c r="AE98" s="66">
        <v>0.12163227</v>
      </c>
      <c r="AF98" s="66">
        <v>397.89170213</v>
      </c>
      <c r="AG98" s="66">
        <v>374.01819999999998</v>
      </c>
      <c r="AH98" s="66">
        <v>0</v>
      </c>
      <c r="AI98" s="66">
        <v>23.873502129999999</v>
      </c>
      <c r="AJ98" s="67">
        <v>100</v>
      </c>
      <c r="AK98" s="67">
        <v>100</v>
      </c>
      <c r="AL98" s="67">
        <v>6.0000000005529142</v>
      </c>
      <c r="AM98" s="67">
        <v>0.12163227</v>
      </c>
      <c r="AN98" s="67">
        <v>2.0525248167757582E-14</v>
      </c>
    </row>
    <row r="99" spans="1:40" ht="15.6" x14ac:dyDescent="0.3">
      <c r="A99" s="169">
        <v>87</v>
      </c>
      <c r="B99" s="205" t="s">
        <v>237</v>
      </c>
      <c r="C99" s="66">
        <v>0</v>
      </c>
      <c r="D99" s="66">
        <v>85.135639999999995</v>
      </c>
      <c r="E99" s="66">
        <v>80.860600000000005</v>
      </c>
      <c r="F99" s="66">
        <v>4.2750399999999997</v>
      </c>
      <c r="G99" s="66">
        <v>80.860600000000005</v>
      </c>
      <c r="H99" s="66">
        <v>4.5822600000000003E-3</v>
      </c>
      <c r="I99" s="66">
        <v>0</v>
      </c>
      <c r="J99" s="66">
        <v>85.135639999999995</v>
      </c>
      <c r="K99" s="66">
        <v>80.860600000000005</v>
      </c>
      <c r="L99" s="66">
        <v>0</v>
      </c>
      <c r="M99" s="66">
        <v>4.2750399999999997</v>
      </c>
      <c r="N99" s="67">
        <v>100</v>
      </c>
      <c r="O99" s="67">
        <v>100</v>
      </c>
      <c r="P99" s="67">
        <v>5.0214457775850398</v>
      </c>
      <c r="Q99" s="66">
        <v>4.5822600000000003E-3</v>
      </c>
      <c r="R99" s="67">
        <v>6.4991415027471078E-15</v>
      </c>
      <c r="S99" s="67">
        <v>0</v>
      </c>
      <c r="U99" s="64"/>
      <c r="V99" s="65"/>
      <c r="W99" s="64"/>
      <c r="X99" s="65"/>
      <c r="Y99" s="66">
        <v>80.860600000000005</v>
      </c>
      <c r="Z99" s="66">
        <v>0</v>
      </c>
      <c r="AA99" s="66">
        <v>85.135639999999995</v>
      </c>
      <c r="AB99" s="66">
        <v>80.860600000000005</v>
      </c>
      <c r="AC99" s="66">
        <v>4.2750399999999997</v>
      </c>
      <c r="AD99" s="66">
        <v>80.860600000000005</v>
      </c>
      <c r="AE99" s="66">
        <v>4.5822600000000003E-3</v>
      </c>
      <c r="AF99" s="66">
        <v>85.135639999999995</v>
      </c>
      <c r="AG99" s="66">
        <v>80.860600000000005</v>
      </c>
      <c r="AH99" s="66">
        <v>0</v>
      </c>
      <c r="AI99" s="66">
        <v>4.2750399999999997</v>
      </c>
      <c r="AJ99" s="67">
        <v>100</v>
      </c>
      <c r="AK99" s="67">
        <v>100</v>
      </c>
      <c r="AL99" s="67">
        <v>5.0214457775850398</v>
      </c>
      <c r="AM99" s="67">
        <v>4.5822600000000003E-3</v>
      </c>
      <c r="AN99" s="67">
        <v>6.4991415027471078E-15</v>
      </c>
    </row>
    <row r="100" spans="1:40" ht="15.6" x14ac:dyDescent="0.3">
      <c r="A100" s="169">
        <v>88</v>
      </c>
      <c r="B100" s="205" t="s">
        <v>240</v>
      </c>
      <c r="C100" s="66">
        <v>0</v>
      </c>
      <c r="D100" s="66">
        <v>266.24443181999999</v>
      </c>
      <c r="E100" s="66">
        <v>234.29509999999999</v>
      </c>
      <c r="F100" s="66">
        <v>31.949331820000001</v>
      </c>
      <c r="G100" s="66">
        <v>234.09594583000001</v>
      </c>
      <c r="H100" s="66">
        <v>2.2763590499999999</v>
      </c>
      <c r="I100" s="66">
        <v>0</v>
      </c>
      <c r="J100" s="66">
        <v>266.01812031999998</v>
      </c>
      <c r="K100" s="66">
        <v>234.09594583000001</v>
      </c>
      <c r="L100" s="66">
        <v>0</v>
      </c>
      <c r="M100" s="66">
        <v>31.92217449</v>
      </c>
      <c r="N100" s="67">
        <v>99.914998576581411</v>
      </c>
      <c r="O100" s="67">
        <v>99.914998754424659</v>
      </c>
      <c r="P100" s="67">
        <v>12.000000019397175</v>
      </c>
      <c r="Q100" s="66">
        <v>2.2763590499999999</v>
      </c>
      <c r="R100" s="67">
        <v>-3.5527136788005009E-15</v>
      </c>
      <c r="S100" s="67">
        <v>0.1991541699999857</v>
      </c>
      <c r="U100" s="64"/>
      <c r="V100" s="65"/>
      <c r="W100" s="64"/>
      <c r="X100" s="65"/>
      <c r="Y100" s="66">
        <v>234.29509999999999</v>
      </c>
      <c r="Z100" s="66">
        <v>0</v>
      </c>
      <c r="AA100" s="66">
        <v>266.24443181999999</v>
      </c>
      <c r="AB100" s="66">
        <v>234.29509999999999</v>
      </c>
      <c r="AC100" s="66">
        <v>31.949331820000001</v>
      </c>
      <c r="AD100" s="66">
        <v>234.09594583000001</v>
      </c>
      <c r="AE100" s="66">
        <v>2.2763590499999999</v>
      </c>
      <c r="AF100" s="66">
        <v>266.01812031999998</v>
      </c>
      <c r="AG100" s="66">
        <v>234.09594583000001</v>
      </c>
      <c r="AH100" s="66">
        <v>0</v>
      </c>
      <c r="AI100" s="66">
        <v>31.92217449</v>
      </c>
      <c r="AJ100" s="67">
        <v>99.914998576581411</v>
      </c>
      <c r="AK100" s="67">
        <v>99.914998754424659</v>
      </c>
      <c r="AL100" s="67">
        <v>12.000000019397175</v>
      </c>
      <c r="AM100" s="67">
        <v>2.2763590499999999</v>
      </c>
      <c r="AN100" s="67">
        <v>-3.5527136788005009E-15</v>
      </c>
    </row>
    <row r="101" spans="1:40" ht="15.6" x14ac:dyDescent="0.3">
      <c r="A101" s="169">
        <v>89</v>
      </c>
      <c r="B101" s="205" t="s">
        <v>243</v>
      </c>
      <c r="C101" s="66">
        <v>0</v>
      </c>
      <c r="D101" s="66">
        <v>102.61033</v>
      </c>
      <c r="E101" s="66">
        <v>86.192300000000003</v>
      </c>
      <c r="F101" s="66">
        <v>16.418030000000002</v>
      </c>
      <c r="G101" s="66">
        <v>84.338760680000007</v>
      </c>
      <c r="H101" s="66">
        <v>0.31277990999999999</v>
      </c>
      <c r="I101" s="66">
        <v>0</v>
      </c>
      <c r="J101" s="66">
        <v>100.40372590999999</v>
      </c>
      <c r="K101" s="66">
        <v>84.338760680000007</v>
      </c>
      <c r="L101" s="66">
        <v>0</v>
      </c>
      <c r="M101" s="66">
        <v>16.064965230000002</v>
      </c>
      <c r="N101" s="67">
        <v>97.849530271265536</v>
      </c>
      <c r="O101" s="67">
        <v>97.849530242057057</v>
      </c>
      <c r="P101" s="67">
        <v>16.000367600302337</v>
      </c>
      <c r="Q101" s="66">
        <v>0.31277990999999999</v>
      </c>
      <c r="R101" s="67">
        <v>3.2751579226442118E-15</v>
      </c>
      <c r="S101" s="67">
        <v>1.8535393199999959</v>
      </c>
      <c r="U101" s="64"/>
      <c r="V101" s="65"/>
      <c r="W101" s="64"/>
      <c r="X101" s="65"/>
      <c r="Y101" s="66">
        <v>86.192300000000003</v>
      </c>
      <c r="Z101" s="66">
        <v>0</v>
      </c>
      <c r="AA101" s="66">
        <v>102.61033</v>
      </c>
      <c r="AB101" s="66">
        <v>86.192300000000003</v>
      </c>
      <c r="AC101" s="66">
        <v>16.418030000000002</v>
      </c>
      <c r="AD101" s="66">
        <v>84.338760680000007</v>
      </c>
      <c r="AE101" s="66">
        <v>0.31277990999999999</v>
      </c>
      <c r="AF101" s="66">
        <v>100.40372590999999</v>
      </c>
      <c r="AG101" s="66">
        <v>84.338760680000007</v>
      </c>
      <c r="AH101" s="66">
        <v>0</v>
      </c>
      <c r="AI101" s="66">
        <v>16.064965230000002</v>
      </c>
      <c r="AJ101" s="67">
        <v>97.849530271265536</v>
      </c>
      <c r="AK101" s="67">
        <v>97.849530242057057</v>
      </c>
      <c r="AL101" s="67">
        <v>16.000367600302337</v>
      </c>
      <c r="AM101" s="67">
        <v>0.31277990999999999</v>
      </c>
      <c r="AN101" s="67">
        <v>3.2751579226442118E-15</v>
      </c>
    </row>
    <row r="102" spans="1:40" ht="15.6" x14ac:dyDescent="0.3">
      <c r="A102" s="169">
        <v>90</v>
      </c>
      <c r="B102" s="205" t="s">
        <v>246</v>
      </c>
      <c r="C102" s="66">
        <v>0</v>
      </c>
      <c r="D102" s="66">
        <v>373.11647088000001</v>
      </c>
      <c r="E102" s="66">
        <v>317.149</v>
      </c>
      <c r="F102" s="66">
        <v>55.96747088</v>
      </c>
      <c r="G102" s="66">
        <v>302.77854824000002</v>
      </c>
      <c r="H102" s="66">
        <v>12.806018439999999</v>
      </c>
      <c r="I102" s="66">
        <v>0</v>
      </c>
      <c r="J102" s="66">
        <v>356.21005699</v>
      </c>
      <c r="K102" s="66">
        <v>302.77854824000002</v>
      </c>
      <c r="L102" s="66">
        <v>0</v>
      </c>
      <c r="M102" s="66">
        <v>53.431508749999999</v>
      </c>
      <c r="N102" s="67">
        <v>95.468864237314335</v>
      </c>
      <c r="O102" s="67">
        <v>95.468864163189778</v>
      </c>
      <c r="P102" s="67">
        <v>15.000000056567744</v>
      </c>
      <c r="Q102" s="66">
        <v>12.806018439999999</v>
      </c>
      <c r="R102" s="67">
        <v>3.5527136788005009E-15</v>
      </c>
      <c r="S102" s="67">
        <v>14.37045175999998</v>
      </c>
      <c r="U102" s="64"/>
      <c r="V102" s="65"/>
      <c r="W102" s="64"/>
      <c r="X102" s="65"/>
      <c r="Y102" s="66">
        <v>317.149</v>
      </c>
      <c r="Z102" s="66">
        <v>0</v>
      </c>
      <c r="AA102" s="66">
        <v>373.11647088000001</v>
      </c>
      <c r="AB102" s="66">
        <v>317.149</v>
      </c>
      <c r="AC102" s="66">
        <v>55.96747088</v>
      </c>
      <c r="AD102" s="66">
        <v>302.77854824000002</v>
      </c>
      <c r="AE102" s="66">
        <v>12.806018439999999</v>
      </c>
      <c r="AF102" s="66">
        <v>356.21005699</v>
      </c>
      <c r="AG102" s="66">
        <v>302.77854824000002</v>
      </c>
      <c r="AH102" s="66">
        <v>0</v>
      </c>
      <c r="AI102" s="66">
        <v>53.431508749999999</v>
      </c>
      <c r="AJ102" s="67">
        <v>95.468864237314335</v>
      </c>
      <c r="AK102" s="67">
        <v>95.468864163189778</v>
      </c>
      <c r="AL102" s="67">
        <v>15.000000056567744</v>
      </c>
      <c r="AM102" s="67">
        <v>12.806018439999999</v>
      </c>
      <c r="AN102" s="67">
        <v>3.5527136788005009E-15</v>
      </c>
    </row>
    <row r="103" spans="1:40" ht="15.6" x14ac:dyDescent="0.3">
      <c r="A103" s="169">
        <v>91</v>
      </c>
      <c r="B103" s="205" t="s">
        <v>249</v>
      </c>
      <c r="C103" s="66">
        <v>0</v>
      </c>
      <c r="D103" s="66">
        <v>32.0764</v>
      </c>
      <c r="E103" s="66">
        <v>29.189499999999999</v>
      </c>
      <c r="F103" s="66">
        <v>2.8868999999999998</v>
      </c>
      <c r="G103" s="66">
        <v>29.189499999999999</v>
      </c>
      <c r="H103" s="66">
        <v>0.19437923000000001</v>
      </c>
      <c r="I103" s="66">
        <v>0</v>
      </c>
      <c r="J103" s="66">
        <v>32.0764</v>
      </c>
      <c r="K103" s="66">
        <v>29.189499999999999</v>
      </c>
      <c r="L103" s="66">
        <v>0</v>
      </c>
      <c r="M103" s="66">
        <v>2.8868999999999998</v>
      </c>
      <c r="N103" s="67">
        <v>100</v>
      </c>
      <c r="O103" s="67">
        <v>100</v>
      </c>
      <c r="P103" s="67">
        <v>9.0000748213639934</v>
      </c>
      <c r="Q103" s="66">
        <v>0.19437923000000001</v>
      </c>
      <c r="R103" s="67">
        <v>-8.8817841970012523E-16</v>
      </c>
      <c r="S103" s="67">
        <v>0</v>
      </c>
      <c r="U103" s="64"/>
      <c r="V103" s="65"/>
      <c r="W103" s="64"/>
      <c r="X103" s="65"/>
      <c r="Y103" s="66">
        <v>29.189499999999999</v>
      </c>
      <c r="Z103" s="66">
        <v>0</v>
      </c>
      <c r="AA103" s="66">
        <v>32.0764</v>
      </c>
      <c r="AB103" s="66">
        <v>29.189499999999999</v>
      </c>
      <c r="AC103" s="66">
        <v>2.8868999999999998</v>
      </c>
      <c r="AD103" s="66">
        <v>29.189499999999999</v>
      </c>
      <c r="AE103" s="66">
        <v>0.19437923000000001</v>
      </c>
      <c r="AF103" s="66">
        <v>32.0764</v>
      </c>
      <c r="AG103" s="66">
        <v>29.189499999999999</v>
      </c>
      <c r="AH103" s="66">
        <v>0</v>
      </c>
      <c r="AI103" s="66">
        <v>2.8868999999999998</v>
      </c>
      <c r="AJ103" s="67">
        <v>100</v>
      </c>
      <c r="AK103" s="67">
        <v>100</v>
      </c>
      <c r="AL103" s="67">
        <v>9.0000748213639934</v>
      </c>
      <c r="AM103" s="67">
        <v>0.19437923000000001</v>
      </c>
      <c r="AN103" s="67">
        <v>-8.8817841970012523E-16</v>
      </c>
    </row>
    <row r="104" spans="1:40" ht="15.6" x14ac:dyDescent="0.3">
      <c r="A104" s="169">
        <v>92</v>
      </c>
      <c r="B104" s="205" t="s">
        <v>252</v>
      </c>
      <c r="C104" s="66">
        <v>0</v>
      </c>
      <c r="D104" s="66">
        <v>79.111627999999996</v>
      </c>
      <c r="E104" s="66">
        <v>34.018000000000001</v>
      </c>
      <c r="F104" s="66">
        <v>45.093628000000002</v>
      </c>
      <c r="G104" s="66">
        <v>34.018000000000001</v>
      </c>
      <c r="H104" s="66">
        <v>0</v>
      </c>
      <c r="I104" s="66">
        <v>0</v>
      </c>
      <c r="J104" s="66">
        <v>79.111627999999996</v>
      </c>
      <c r="K104" s="66">
        <v>34.018000000000001</v>
      </c>
      <c r="L104" s="66">
        <v>0</v>
      </c>
      <c r="M104" s="66">
        <v>45.093628000000002</v>
      </c>
      <c r="N104" s="67">
        <v>100</v>
      </c>
      <c r="O104" s="67">
        <v>100</v>
      </c>
      <c r="P104" s="67">
        <v>57.000000050561475</v>
      </c>
      <c r="Q104" s="66">
        <v>0</v>
      </c>
      <c r="R104" s="67">
        <v>0</v>
      </c>
      <c r="S104" s="67">
        <v>0</v>
      </c>
      <c r="U104" s="64"/>
      <c r="V104" s="65"/>
      <c r="W104" s="64"/>
      <c r="X104" s="65"/>
      <c r="Y104" s="66">
        <v>34.018000000000001</v>
      </c>
      <c r="Z104" s="66">
        <v>0</v>
      </c>
      <c r="AA104" s="66">
        <v>79.111627999999996</v>
      </c>
      <c r="AB104" s="66">
        <v>34.018000000000001</v>
      </c>
      <c r="AC104" s="66">
        <v>45.093628000000002</v>
      </c>
      <c r="AD104" s="66">
        <v>34.018000000000001</v>
      </c>
      <c r="AE104" s="66">
        <v>0</v>
      </c>
      <c r="AF104" s="66">
        <v>79.111627999999996</v>
      </c>
      <c r="AG104" s="66">
        <v>34.018000000000001</v>
      </c>
      <c r="AH104" s="66">
        <v>0</v>
      </c>
      <c r="AI104" s="66">
        <v>45.093628000000002</v>
      </c>
      <c r="AJ104" s="67">
        <v>100</v>
      </c>
      <c r="AK104" s="67">
        <v>100</v>
      </c>
      <c r="AL104" s="67">
        <v>57.000000050561475</v>
      </c>
      <c r="AM104" s="67">
        <v>0</v>
      </c>
      <c r="AN104" s="67">
        <v>0</v>
      </c>
    </row>
    <row r="105" spans="1:40" ht="15.6" x14ac:dyDescent="0.3">
      <c r="A105" s="169">
        <v>93</v>
      </c>
      <c r="B105" s="205" t="s">
        <v>254</v>
      </c>
      <c r="C105" s="66">
        <v>0</v>
      </c>
      <c r="D105" s="66">
        <v>23.794899999999998</v>
      </c>
      <c r="E105" s="66">
        <v>21.415400000000002</v>
      </c>
      <c r="F105" s="66">
        <v>2.3795000000000002</v>
      </c>
      <c r="G105" s="66">
        <v>21.28553892</v>
      </c>
      <c r="H105" s="66">
        <v>1.7297928899999999</v>
      </c>
      <c r="I105" s="66">
        <v>0</v>
      </c>
      <c r="J105" s="66">
        <v>23.650609840000001</v>
      </c>
      <c r="K105" s="66">
        <v>21.28553892</v>
      </c>
      <c r="L105" s="66">
        <v>0</v>
      </c>
      <c r="M105" s="66">
        <v>2.36507092</v>
      </c>
      <c r="N105" s="67">
        <v>99.393608898269463</v>
      </c>
      <c r="O105" s="67">
        <v>99.393608741332201</v>
      </c>
      <c r="P105" s="67">
        <v>10.000042011601677</v>
      </c>
      <c r="Q105" s="66">
        <v>1.7297928899999999</v>
      </c>
      <c r="R105" s="67">
        <v>-1.1102230246251565E-15</v>
      </c>
      <c r="S105" s="67">
        <v>0.12986108000000129</v>
      </c>
      <c r="U105" s="64"/>
      <c r="V105" s="65"/>
      <c r="W105" s="64"/>
      <c r="X105" s="65"/>
      <c r="Y105" s="66">
        <v>21.415400000000002</v>
      </c>
      <c r="Z105" s="66">
        <v>0</v>
      </c>
      <c r="AA105" s="66">
        <v>23.794899999999998</v>
      </c>
      <c r="AB105" s="66">
        <v>21.415400000000002</v>
      </c>
      <c r="AC105" s="66">
        <v>2.3795000000000002</v>
      </c>
      <c r="AD105" s="66">
        <v>21.28553892</v>
      </c>
      <c r="AE105" s="66">
        <v>1.7297928899999999</v>
      </c>
      <c r="AF105" s="66">
        <v>23.650609840000001</v>
      </c>
      <c r="AG105" s="66">
        <v>21.28553892</v>
      </c>
      <c r="AH105" s="66">
        <v>0</v>
      </c>
      <c r="AI105" s="66">
        <v>2.36507092</v>
      </c>
      <c r="AJ105" s="67">
        <v>99.393608898269463</v>
      </c>
      <c r="AK105" s="67">
        <v>99.393608741332201</v>
      </c>
      <c r="AL105" s="67">
        <v>10.000042011601677</v>
      </c>
      <c r="AM105" s="67">
        <v>1.7297928899999999</v>
      </c>
      <c r="AN105" s="67">
        <v>-1.1102230246251565E-15</v>
      </c>
    </row>
    <row r="106" spans="1:40" ht="15.6" x14ac:dyDescent="0.3">
      <c r="A106" s="169">
        <v>94</v>
      </c>
      <c r="B106" s="205" t="s">
        <v>256</v>
      </c>
      <c r="C106" s="66">
        <v>0</v>
      </c>
      <c r="D106" s="66">
        <v>71.943586999999994</v>
      </c>
      <c r="E106" s="66">
        <v>66.188100000000006</v>
      </c>
      <c r="F106" s="66">
        <v>5.7554869999999996</v>
      </c>
      <c r="G106" s="66">
        <v>66.188100000000006</v>
      </c>
      <c r="H106" s="66">
        <v>1.20129723</v>
      </c>
      <c r="I106" s="66">
        <v>0</v>
      </c>
      <c r="J106" s="66">
        <v>71.943586980000006</v>
      </c>
      <c r="K106" s="66">
        <v>66.188100000000006</v>
      </c>
      <c r="L106" s="66">
        <v>0</v>
      </c>
      <c r="M106" s="66">
        <v>5.7554869800000006</v>
      </c>
      <c r="N106" s="67">
        <v>100</v>
      </c>
      <c r="O106" s="67">
        <v>99.999999652505537</v>
      </c>
      <c r="P106" s="67">
        <v>8.000000030023525</v>
      </c>
      <c r="Q106" s="66">
        <v>1.20129723</v>
      </c>
      <c r="R106" s="67">
        <v>-5.5511151231257827E-15</v>
      </c>
      <c r="S106" s="67">
        <v>0</v>
      </c>
      <c r="U106" s="64"/>
      <c r="V106" s="65"/>
      <c r="W106" s="64"/>
      <c r="X106" s="65"/>
      <c r="Y106" s="66">
        <v>66.188100000000006</v>
      </c>
      <c r="Z106" s="66">
        <v>0</v>
      </c>
      <c r="AA106" s="66">
        <v>71.943586999999994</v>
      </c>
      <c r="AB106" s="66">
        <v>66.188100000000006</v>
      </c>
      <c r="AC106" s="66">
        <v>5.7554869999999996</v>
      </c>
      <c r="AD106" s="66">
        <v>66.188100000000006</v>
      </c>
      <c r="AE106" s="66">
        <v>1.20129723</v>
      </c>
      <c r="AF106" s="66">
        <v>71.943586980000006</v>
      </c>
      <c r="AG106" s="66">
        <v>66.188100000000006</v>
      </c>
      <c r="AH106" s="66">
        <v>0</v>
      </c>
      <c r="AI106" s="66">
        <v>5.7554869800000006</v>
      </c>
      <c r="AJ106" s="67">
        <v>100</v>
      </c>
      <c r="AK106" s="67">
        <v>99.999999652505537</v>
      </c>
      <c r="AL106" s="67">
        <v>8.000000030023525</v>
      </c>
      <c r="AM106" s="67">
        <v>1.20129723</v>
      </c>
      <c r="AN106" s="67">
        <v>-5.5511151231257827E-15</v>
      </c>
    </row>
  </sheetData>
  <mergeCells count="38">
    <mergeCell ref="Z5:AA5"/>
    <mergeCell ref="W7:W11"/>
    <mergeCell ref="X7:X11"/>
    <mergeCell ref="Y7:AN8"/>
    <mergeCell ref="Y9:Y11"/>
    <mergeCell ref="Z9:Z11"/>
    <mergeCell ref="AA10:AA11"/>
    <mergeCell ref="AB10:AC10"/>
    <mergeCell ref="AF10:AF11"/>
    <mergeCell ref="AN9:AN11"/>
    <mergeCell ref="AG10:AI10"/>
    <mergeCell ref="U7:U11"/>
    <mergeCell ref="V7:V11"/>
    <mergeCell ref="J9:M9"/>
    <mergeCell ref="N9:O10"/>
    <mergeCell ref="P9:P11"/>
    <mergeCell ref="Q9:Q11"/>
    <mergeCell ref="R9:R11"/>
    <mergeCell ref="AD9:AD11"/>
    <mergeCell ref="AE9:AE11"/>
    <mergeCell ref="AF9:AI9"/>
    <mergeCell ref="AL9:AL11"/>
    <mergeCell ref="AJ9:AK10"/>
    <mergeCell ref="AA9:AC9"/>
    <mergeCell ref="AM9:AM11"/>
    <mergeCell ref="A7:A11"/>
    <mergeCell ref="B7:B11"/>
    <mergeCell ref="C7:S8"/>
    <mergeCell ref="S9:S11"/>
    <mergeCell ref="J10:J11"/>
    <mergeCell ref="K10:M10"/>
    <mergeCell ref="C9:C11"/>
    <mergeCell ref="D9:F9"/>
    <mergeCell ref="G9:G11"/>
    <mergeCell ref="H9:H11"/>
    <mergeCell ref="I9:I11"/>
    <mergeCell ref="D10:D11"/>
    <mergeCell ref="E10:F10"/>
  </mergeCells>
  <printOptions horizontalCentered="1"/>
  <pageMargins left="0.11811023622047245" right="0.11811023622047245" top="0.35433070866141736" bottom="0.11811023622047245" header="0.31496062992125984" footer="0.31496062992125984"/>
  <pageSetup paperSize="9" scale="42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6"/>
  <sheetViews>
    <sheetView view="pageBreakPreview" zoomScale="60" zoomScaleNormal="60" workbookViewId="0">
      <pane xSplit="2" ySplit="12" topLeftCell="C13" activePane="bottomRight" state="frozen"/>
      <selection activeCell="D21" sqref="D21"/>
      <selection pane="topRight" activeCell="D21" sqref="D21"/>
      <selection pane="bottomLeft" activeCell="D21" sqref="D21"/>
      <selection pane="bottomRight" activeCell="D5" sqref="D5:E5"/>
    </sheetView>
  </sheetViews>
  <sheetFormatPr defaultColWidth="9.109375" defaultRowHeight="14.4" outlineLevelCol="1" x14ac:dyDescent="0.3"/>
  <cols>
    <col min="1" max="1" width="5" style="126" customWidth="1"/>
    <col min="2" max="2" width="31" style="126" customWidth="1"/>
    <col min="3" max="4" width="18.6640625" style="126" customWidth="1"/>
    <col min="5" max="6" width="18.6640625" style="126" customWidth="1" outlineLevel="1"/>
    <col min="7" max="15" width="18.6640625" style="126" customWidth="1"/>
    <col min="16" max="18" width="18.6640625" style="126" customWidth="1" outlineLevel="1"/>
    <col min="19" max="16384" width="9.109375" style="126"/>
  </cols>
  <sheetData>
    <row r="1" spans="1:18" ht="19.8" customHeight="1" x14ac:dyDescent="0.3">
      <c r="B1" s="127"/>
    </row>
    <row r="2" spans="1:18" ht="19.8" customHeight="1" x14ac:dyDescent="0.3">
      <c r="C2" s="254"/>
      <c r="D2" s="252"/>
      <c r="E2" s="252"/>
      <c r="F2" s="252"/>
      <c r="G2" s="252"/>
      <c r="H2" s="252"/>
      <c r="I2" s="252"/>
      <c r="J2" s="252"/>
      <c r="K2" s="252"/>
      <c r="L2" s="252"/>
    </row>
    <row r="3" spans="1:18" ht="19.8" customHeight="1" x14ac:dyDescent="0.35">
      <c r="A3" s="128"/>
      <c r="B3" s="128"/>
      <c r="C3" s="252"/>
      <c r="D3" s="252"/>
      <c r="E3" s="252"/>
      <c r="F3" s="252"/>
      <c r="G3" s="252"/>
      <c r="H3" s="252"/>
      <c r="I3" s="252"/>
      <c r="J3" s="252"/>
      <c r="K3" s="252"/>
      <c r="L3" s="252"/>
      <c r="M3" s="38"/>
      <c r="N3" s="38"/>
      <c r="O3" s="38"/>
      <c r="P3" s="38"/>
    </row>
    <row r="4" spans="1:18" ht="19.8" customHeight="1" x14ac:dyDescent="0.35">
      <c r="A4" s="128"/>
      <c r="B4" s="128"/>
      <c r="C4" s="252"/>
      <c r="D4" s="252"/>
      <c r="E4" s="252"/>
      <c r="F4" s="252"/>
      <c r="G4" s="252"/>
      <c r="H4" s="252"/>
      <c r="I4" s="252"/>
      <c r="J4" s="252"/>
      <c r="K4" s="252"/>
      <c r="L4" s="252"/>
      <c r="M4" s="38"/>
      <c r="N4" s="38"/>
      <c r="O4" s="38"/>
      <c r="P4" s="38"/>
    </row>
    <row r="5" spans="1:18" ht="19.8" customHeight="1" x14ac:dyDescent="0.35">
      <c r="A5" s="128"/>
      <c r="B5" s="128"/>
      <c r="D5" s="322" t="s">
        <v>1231</v>
      </c>
      <c r="E5" s="322"/>
      <c r="F5" s="257"/>
      <c r="G5" s="42"/>
      <c r="H5" s="43"/>
      <c r="I5" s="43"/>
    </row>
    <row r="6" spans="1:18" ht="15" customHeight="1" x14ac:dyDescent="0.3">
      <c r="B6" s="44" t="s">
        <v>1229</v>
      </c>
      <c r="C6" s="76"/>
      <c r="Q6" s="76"/>
      <c r="R6" s="76"/>
    </row>
    <row r="7" spans="1:18" ht="14.25" customHeight="1" x14ac:dyDescent="0.3">
      <c r="A7" s="332" t="s">
        <v>284</v>
      </c>
      <c r="B7" s="337" t="s">
        <v>285</v>
      </c>
      <c r="C7" s="335" t="s">
        <v>1073</v>
      </c>
      <c r="D7" s="336"/>
      <c r="E7" s="336"/>
      <c r="F7" s="336"/>
      <c r="G7" s="336"/>
      <c r="H7" s="336"/>
      <c r="I7" s="336"/>
      <c r="J7" s="336"/>
      <c r="K7" s="336"/>
      <c r="L7" s="336"/>
      <c r="M7" s="336"/>
      <c r="N7" s="336"/>
      <c r="O7" s="336"/>
      <c r="P7" s="336"/>
      <c r="Q7" s="336"/>
      <c r="R7" s="336"/>
    </row>
    <row r="8" spans="1:18" ht="6" customHeight="1" x14ac:dyDescent="0.3">
      <c r="A8" s="333"/>
      <c r="B8" s="337"/>
      <c r="C8" s="335"/>
      <c r="D8" s="336"/>
      <c r="E8" s="336"/>
      <c r="F8" s="336"/>
      <c r="G8" s="336"/>
      <c r="H8" s="336"/>
      <c r="I8" s="336"/>
      <c r="J8" s="336"/>
      <c r="K8" s="336"/>
      <c r="L8" s="336"/>
      <c r="M8" s="336"/>
      <c r="N8" s="336"/>
      <c r="O8" s="336"/>
      <c r="P8" s="336"/>
      <c r="Q8" s="336"/>
      <c r="R8" s="336"/>
    </row>
    <row r="9" spans="1:18" ht="31.5" customHeight="1" x14ac:dyDescent="0.3">
      <c r="A9" s="333"/>
      <c r="B9" s="326"/>
      <c r="C9" s="265" t="s">
        <v>1052</v>
      </c>
      <c r="D9" s="302" t="s">
        <v>1053</v>
      </c>
      <c r="E9" s="302" t="s">
        <v>287</v>
      </c>
      <c r="F9" s="302"/>
      <c r="G9" s="302"/>
      <c r="H9" s="302" t="s">
        <v>312</v>
      </c>
      <c r="I9" s="302" t="s">
        <v>262</v>
      </c>
      <c r="J9" s="302" t="s">
        <v>288</v>
      </c>
      <c r="K9" s="302"/>
      <c r="L9" s="302"/>
      <c r="M9" s="302"/>
      <c r="N9" s="317" t="s">
        <v>289</v>
      </c>
      <c r="O9" s="317"/>
      <c r="P9" s="302" t="s">
        <v>290</v>
      </c>
      <c r="Q9" s="302" t="s">
        <v>266</v>
      </c>
      <c r="R9" s="269" t="s">
        <v>291</v>
      </c>
    </row>
    <row r="10" spans="1:18" ht="24" customHeight="1" x14ac:dyDescent="0.3">
      <c r="A10" s="333"/>
      <c r="B10" s="326"/>
      <c r="C10" s="265"/>
      <c r="D10" s="269"/>
      <c r="E10" s="269" t="s">
        <v>292</v>
      </c>
      <c r="F10" s="269" t="s">
        <v>293</v>
      </c>
      <c r="G10" s="269"/>
      <c r="H10" s="269"/>
      <c r="I10" s="269"/>
      <c r="J10" s="269" t="s">
        <v>292</v>
      </c>
      <c r="K10" s="269" t="s">
        <v>294</v>
      </c>
      <c r="L10" s="269"/>
      <c r="M10" s="269"/>
      <c r="N10" s="318"/>
      <c r="O10" s="318"/>
      <c r="P10" s="269"/>
      <c r="Q10" s="269"/>
      <c r="R10" s="269"/>
    </row>
    <row r="11" spans="1:18" ht="55.8" customHeight="1" x14ac:dyDescent="0.3">
      <c r="A11" s="334"/>
      <c r="B11" s="326"/>
      <c r="C11" s="302"/>
      <c r="D11" s="269"/>
      <c r="E11" s="269"/>
      <c r="F11" s="189" t="s">
        <v>259</v>
      </c>
      <c r="G11" s="189" t="s">
        <v>260</v>
      </c>
      <c r="H11" s="269"/>
      <c r="I11" s="269"/>
      <c r="J11" s="269"/>
      <c r="K11" s="189" t="s">
        <v>264</v>
      </c>
      <c r="L11" s="189" t="s">
        <v>303</v>
      </c>
      <c r="M11" s="189" t="s">
        <v>260</v>
      </c>
      <c r="N11" s="189" t="s">
        <v>911</v>
      </c>
      <c r="O11" s="189" t="s">
        <v>295</v>
      </c>
      <c r="P11" s="269"/>
      <c r="Q11" s="269"/>
      <c r="R11" s="269"/>
    </row>
    <row r="12" spans="1:18" s="54" customFormat="1" ht="31.2" x14ac:dyDescent="0.3">
      <c r="A12" s="199" t="s">
        <v>2</v>
      </c>
      <c r="B12" s="200" t="s">
        <v>3</v>
      </c>
      <c r="C12" s="53">
        <v>32320.494599999998</v>
      </c>
      <c r="D12" s="53">
        <v>0</v>
      </c>
      <c r="E12" s="53">
        <v>36042.485577359992</v>
      </c>
      <c r="F12" s="53">
        <v>32320.494599999998</v>
      </c>
      <c r="G12" s="53">
        <v>3721.9909773599998</v>
      </c>
      <c r="H12" s="53">
        <v>32114.263908929999</v>
      </c>
      <c r="I12" s="53">
        <v>42.199285599999996</v>
      </c>
      <c r="J12" s="53">
        <v>35823.410311914202</v>
      </c>
      <c r="K12" s="53">
        <v>32114.124130619999</v>
      </c>
      <c r="L12" s="53">
        <v>0</v>
      </c>
      <c r="M12" s="53">
        <v>3709.286181294201</v>
      </c>
      <c r="N12" s="53">
        <v>99.361487279405679</v>
      </c>
      <c r="O12" s="53">
        <v>99.658655914453348</v>
      </c>
      <c r="P12" s="53">
        <v>10.354363666098426</v>
      </c>
      <c r="Q12" s="53">
        <v>41.154390769999999</v>
      </c>
      <c r="R12" s="53">
        <v>1.1846731400000328</v>
      </c>
    </row>
    <row r="13" spans="1:18" s="54" customFormat="1" ht="31.2" hidden="1" x14ac:dyDescent="0.3">
      <c r="A13" s="199"/>
      <c r="B13" s="55" t="s">
        <v>296</v>
      </c>
      <c r="C13" s="80"/>
      <c r="D13" s="53"/>
      <c r="E13" s="53"/>
      <c r="F13" s="8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</row>
    <row r="14" spans="1:18" s="62" customFormat="1" ht="15.6" x14ac:dyDescent="0.3">
      <c r="A14" s="202" t="s">
        <v>6</v>
      </c>
      <c r="B14" s="203" t="s">
        <v>7</v>
      </c>
      <c r="C14" s="61">
        <v>22355.190499999997</v>
      </c>
      <c r="D14" s="61">
        <v>0</v>
      </c>
      <c r="E14" s="61">
        <v>24294.252458809999</v>
      </c>
      <c r="F14" s="61">
        <v>22355.190499999997</v>
      </c>
      <c r="G14" s="61">
        <v>1939.0619588100003</v>
      </c>
      <c r="H14" s="61">
        <v>22225.46035016</v>
      </c>
      <c r="I14" s="61">
        <v>11.163075809999999</v>
      </c>
      <c r="J14" s="61">
        <v>24158.231359239999</v>
      </c>
      <c r="K14" s="61">
        <v>22225.35776192</v>
      </c>
      <c r="L14" s="61">
        <v>0</v>
      </c>
      <c r="M14" s="61">
        <v>1932.8735973200005</v>
      </c>
      <c r="N14" s="61">
        <v>99.419227771375972</v>
      </c>
      <c r="O14" s="61">
        <v>99.680857980742516</v>
      </c>
      <c r="P14" s="61">
        <v>8.0008903324817204</v>
      </c>
      <c r="Q14" s="61">
        <v>11.163075809999999</v>
      </c>
      <c r="R14" s="61">
        <v>0.10258823999985474</v>
      </c>
    </row>
    <row r="15" spans="1:18" ht="15.6" x14ac:dyDescent="0.3">
      <c r="A15" s="169" t="s">
        <v>9</v>
      </c>
      <c r="B15" s="205" t="s">
        <v>10</v>
      </c>
      <c r="C15" s="66">
        <v>2426.9749999999999</v>
      </c>
      <c r="D15" s="66">
        <v>0</v>
      </c>
      <c r="E15" s="66">
        <v>2554.7105263200001</v>
      </c>
      <c r="F15" s="66">
        <v>2426.9749999999999</v>
      </c>
      <c r="G15" s="66">
        <v>127.73552631999999</v>
      </c>
      <c r="H15" s="66">
        <v>2426.9749999999999</v>
      </c>
      <c r="I15" s="66">
        <v>0</v>
      </c>
      <c r="J15" s="66">
        <v>2554.7105263200001</v>
      </c>
      <c r="K15" s="66">
        <v>2426.9749999999999</v>
      </c>
      <c r="L15" s="66">
        <v>0</v>
      </c>
      <c r="M15" s="66">
        <v>127.73552631999999</v>
      </c>
      <c r="N15" s="67">
        <v>100</v>
      </c>
      <c r="O15" s="67">
        <v>100</v>
      </c>
      <c r="P15" s="67">
        <v>5.0000000001565725</v>
      </c>
      <c r="Q15" s="67">
        <v>0</v>
      </c>
      <c r="R15" s="67">
        <v>0</v>
      </c>
    </row>
    <row r="16" spans="1:18" ht="15.6" x14ac:dyDescent="0.3">
      <c r="A16" s="169" t="s">
        <v>12</v>
      </c>
      <c r="B16" s="205" t="s">
        <v>13</v>
      </c>
      <c r="C16" s="66">
        <v>8270.2999999999993</v>
      </c>
      <c r="D16" s="66">
        <v>0</v>
      </c>
      <c r="E16" s="66">
        <v>8501.299986</v>
      </c>
      <c r="F16" s="66">
        <v>8270.2999999999993</v>
      </c>
      <c r="G16" s="66">
        <v>230.99998600000001</v>
      </c>
      <c r="H16" s="66">
        <v>8270.2999999999993</v>
      </c>
      <c r="I16" s="66">
        <v>0</v>
      </c>
      <c r="J16" s="66">
        <v>8501.299986</v>
      </c>
      <c r="K16" s="66">
        <v>8270.2999999999993</v>
      </c>
      <c r="L16" s="66">
        <v>0</v>
      </c>
      <c r="M16" s="66">
        <v>230.99998600000001</v>
      </c>
      <c r="N16" s="67">
        <v>100</v>
      </c>
      <c r="O16" s="67">
        <v>100</v>
      </c>
      <c r="P16" s="67">
        <v>2.7172313220379518</v>
      </c>
      <c r="Q16" s="67">
        <v>0</v>
      </c>
      <c r="R16" s="67">
        <v>0</v>
      </c>
    </row>
    <row r="17" spans="1:18" ht="15.6" x14ac:dyDescent="0.3">
      <c r="A17" s="169" t="s">
        <v>15</v>
      </c>
      <c r="B17" s="205" t="s">
        <v>16</v>
      </c>
      <c r="C17" s="66">
        <v>184.8</v>
      </c>
      <c r="D17" s="66">
        <v>0</v>
      </c>
      <c r="E17" s="66">
        <v>194.52631600000001</v>
      </c>
      <c r="F17" s="66">
        <v>184.8</v>
      </c>
      <c r="G17" s="66">
        <v>9.7263160000000006</v>
      </c>
      <c r="H17" s="66">
        <v>184.8</v>
      </c>
      <c r="I17" s="66">
        <v>0</v>
      </c>
      <c r="J17" s="66">
        <v>194.52631600000001</v>
      </c>
      <c r="K17" s="66">
        <v>184.8</v>
      </c>
      <c r="L17" s="66">
        <v>0</v>
      </c>
      <c r="M17" s="66">
        <v>9.7263160000000006</v>
      </c>
      <c r="N17" s="67">
        <v>100</v>
      </c>
      <c r="O17" s="67">
        <v>100</v>
      </c>
      <c r="P17" s="67">
        <v>5.0000001028138525</v>
      </c>
      <c r="Q17" s="67">
        <v>0</v>
      </c>
      <c r="R17" s="67">
        <v>0</v>
      </c>
    </row>
    <row r="18" spans="1:18" ht="15.6" x14ac:dyDescent="0.3">
      <c r="A18" s="169" t="s">
        <v>18</v>
      </c>
      <c r="B18" s="205" t="s">
        <v>19</v>
      </c>
      <c r="C18" s="66">
        <v>2250</v>
      </c>
      <c r="D18" s="66">
        <v>0</v>
      </c>
      <c r="E18" s="66">
        <v>3119.2638496199997</v>
      </c>
      <c r="F18" s="66">
        <v>2250</v>
      </c>
      <c r="G18" s="66">
        <v>869.26384961999997</v>
      </c>
      <c r="H18" s="66">
        <v>2250</v>
      </c>
      <c r="I18" s="66">
        <v>3.5847699999999996E-2</v>
      </c>
      <c r="J18" s="66">
        <v>3119.2638496199997</v>
      </c>
      <c r="K18" s="66">
        <v>2250</v>
      </c>
      <c r="L18" s="66">
        <v>0</v>
      </c>
      <c r="M18" s="66">
        <v>869.26384961999997</v>
      </c>
      <c r="N18" s="67">
        <v>100</v>
      </c>
      <c r="O18" s="67">
        <v>100</v>
      </c>
      <c r="P18" s="67">
        <v>27.867596058791143</v>
      </c>
      <c r="Q18" s="67">
        <v>3.5847699999999996E-2</v>
      </c>
      <c r="R18" s="67">
        <v>-2.338407245616736E-14</v>
      </c>
    </row>
    <row r="19" spans="1:18" ht="15.6" x14ac:dyDescent="0.3">
      <c r="A19" s="169" t="s">
        <v>21</v>
      </c>
      <c r="B19" s="205" t="s">
        <v>22</v>
      </c>
      <c r="C19" s="66">
        <v>17.2</v>
      </c>
      <c r="D19" s="66">
        <v>0</v>
      </c>
      <c r="E19" s="66">
        <v>18.494623659999998</v>
      </c>
      <c r="F19" s="66">
        <v>17.2</v>
      </c>
      <c r="G19" s="66">
        <v>1.2946236599999998</v>
      </c>
      <c r="H19" s="66">
        <v>17.2</v>
      </c>
      <c r="I19" s="66">
        <v>0</v>
      </c>
      <c r="J19" s="66">
        <v>18.494623659999998</v>
      </c>
      <c r="K19" s="66">
        <v>17.2</v>
      </c>
      <c r="L19" s="66">
        <v>0</v>
      </c>
      <c r="M19" s="66">
        <v>1.2946236599999998</v>
      </c>
      <c r="N19" s="67">
        <v>100</v>
      </c>
      <c r="O19" s="67">
        <v>100</v>
      </c>
      <c r="P19" s="67">
        <v>7.0000000205465112</v>
      </c>
      <c r="Q19" s="67">
        <v>0</v>
      </c>
      <c r="R19" s="67">
        <v>0</v>
      </c>
    </row>
    <row r="20" spans="1:18" ht="15.6" x14ac:dyDescent="0.3">
      <c r="A20" s="169" t="s">
        <v>24</v>
      </c>
      <c r="B20" s="205" t="s">
        <v>25</v>
      </c>
      <c r="C20" s="66">
        <v>582.48500000000001</v>
      </c>
      <c r="D20" s="66">
        <v>0</v>
      </c>
      <c r="E20" s="66">
        <v>613.14210600000001</v>
      </c>
      <c r="F20" s="66">
        <v>582.48500000000001</v>
      </c>
      <c r="G20" s="66">
        <v>30.657105999999999</v>
      </c>
      <c r="H20" s="66">
        <v>582.48500000000001</v>
      </c>
      <c r="I20" s="66">
        <v>0</v>
      </c>
      <c r="J20" s="66">
        <v>613.14210600000001</v>
      </c>
      <c r="K20" s="66">
        <v>582.48500000000001</v>
      </c>
      <c r="L20" s="66">
        <v>0</v>
      </c>
      <c r="M20" s="66">
        <v>30.657105999999999</v>
      </c>
      <c r="N20" s="67">
        <v>100</v>
      </c>
      <c r="O20" s="67">
        <v>100</v>
      </c>
      <c r="P20" s="67">
        <v>5.0000001141660295</v>
      </c>
      <c r="Q20" s="67">
        <v>0</v>
      </c>
      <c r="R20" s="67">
        <v>0</v>
      </c>
    </row>
    <row r="21" spans="1:18" ht="15.6" x14ac:dyDescent="0.3">
      <c r="A21" s="169" t="s">
        <v>27</v>
      </c>
      <c r="B21" s="205" t="s">
        <v>28</v>
      </c>
      <c r="C21" s="66">
        <v>5.0152000000000001</v>
      </c>
      <c r="D21" s="66">
        <v>0</v>
      </c>
      <c r="E21" s="66">
        <v>7.2731010500000002</v>
      </c>
      <c r="F21" s="66">
        <v>5.0152000000000001</v>
      </c>
      <c r="G21" s="66">
        <v>2.2579010499999996</v>
      </c>
      <c r="H21" s="66">
        <v>4.9840032599999997</v>
      </c>
      <c r="I21" s="66">
        <v>2.6761439999999997E-2</v>
      </c>
      <c r="J21" s="66">
        <v>7.2305580599999999</v>
      </c>
      <c r="K21" s="66">
        <v>4.9840032599999997</v>
      </c>
      <c r="L21" s="66">
        <v>0</v>
      </c>
      <c r="M21" s="66">
        <v>2.2465547999999997</v>
      </c>
      <c r="N21" s="67">
        <v>99.377956213112128</v>
      </c>
      <c r="O21" s="67">
        <v>99.497486836280984</v>
      </c>
      <c r="P21" s="67">
        <v>31.070282284684396</v>
      </c>
      <c r="Q21" s="67">
        <v>2.6761439999999997E-2</v>
      </c>
      <c r="R21" s="67">
        <v>-4.163336342344337E-16</v>
      </c>
    </row>
    <row r="22" spans="1:18" ht="15.6" x14ac:dyDescent="0.3">
      <c r="A22" s="169" t="s">
        <v>30</v>
      </c>
      <c r="B22" s="205" t="s">
        <v>31</v>
      </c>
      <c r="C22" s="66">
        <v>2365.6136999999999</v>
      </c>
      <c r="D22" s="66">
        <v>0</v>
      </c>
      <c r="E22" s="66">
        <v>2367.9816820000001</v>
      </c>
      <c r="F22" s="66">
        <v>2365.6136999999999</v>
      </c>
      <c r="G22" s="66">
        <v>2.367982</v>
      </c>
      <c r="H22" s="66">
        <v>2352.9331900799998</v>
      </c>
      <c r="I22" s="66">
        <v>0</v>
      </c>
      <c r="J22" s="66">
        <v>2355.2884789999998</v>
      </c>
      <c r="K22" s="66">
        <v>2352.9331900799998</v>
      </c>
      <c r="L22" s="66">
        <v>0</v>
      </c>
      <c r="M22" s="66">
        <v>2.35528892</v>
      </c>
      <c r="N22" s="67">
        <v>99.463965316061532</v>
      </c>
      <c r="O22" s="67">
        <v>99.463970587614256</v>
      </c>
      <c r="P22" s="67">
        <v>0.10000001872382107</v>
      </c>
      <c r="Q22" s="67">
        <v>0</v>
      </c>
      <c r="R22" s="67">
        <v>0</v>
      </c>
    </row>
    <row r="23" spans="1:18" ht="15.6" x14ac:dyDescent="0.3">
      <c r="A23" s="169" t="s">
        <v>33</v>
      </c>
      <c r="B23" s="205" t="s">
        <v>34</v>
      </c>
      <c r="C23" s="66">
        <v>2050</v>
      </c>
      <c r="D23" s="66">
        <v>0</v>
      </c>
      <c r="E23" s="66">
        <v>2157.89473684</v>
      </c>
      <c r="F23" s="66">
        <v>2050</v>
      </c>
      <c r="G23" s="66">
        <v>107.89473684000001</v>
      </c>
      <c r="H23" s="66">
        <v>2050</v>
      </c>
      <c r="I23" s="66">
        <v>0</v>
      </c>
      <c r="J23" s="66">
        <v>2157.8947365999998</v>
      </c>
      <c r="K23" s="66">
        <v>2049.9999997700002</v>
      </c>
      <c r="L23" s="66">
        <v>0</v>
      </c>
      <c r="M23" s="66">
        <v>107.89473683</v>
      </c>
      <c r="N23" s="67">
        <v>99.999999988780502</v>
      </c>
      <c r="O23" s="67">
        <v>99.999999990731709</v>
      </c>
      <c r="P23" s="67">
        <v>5</v>
      </c>
      <c r="Q23" s="67">
        <v>0</v>
      </c>
      <c r="R23" s="67">
        <v>2.2999984139460139E-7</v>
      </c>
    </row>
    <row r="24" spans="1:18" ht="15.6" x14ac:dyDescent="0.3">
      <c r="A24" s="169" t="s">
        <v>36</v>
      </c>
      <c r="B24" s="205" t="s">
        <v>37</v>
      </c>
      <c r="C24" s="66">
        <v>614.07500000000005</v>
      </c>
      <c r="D24" s="66">
        <v>0</v>
      </c>
      <c r="E24" s="66">
        <v>646.39558826999996</v>
      </c>
      <c r="F24" s="66">
        <v>614.07500000000005</v>
      </c>
      <c r="G24" s="66">
        <v>32.320588270000002</v>
      </c>
      <c r="H24" s="66">
        <v>571.63839751</v>
      </c>
      <c r="I24" s="66">
        <v>11.100466669999999</v>
      </c>
      <c r="J24" s="66">
        <v>601.72542153999996</v>
      </c>
      <c r="K24" s="66">
        <v>571.6383975</v>
      </c>
      <c r="L24" s="66">
        <v>0</v>
      </c>
      <c r="M24" s="66">
        <v>30.087024039999999</v>
      </c>
      <c r="N24" s="67">
        <v>93.089345356837512</v>
      </c>
      <c r="O24" s="67">
        <v>93.089345369146031</v>
      </c>
      <c r="P24" s="67">
        <v>5.0001251339852111</v>
      </c>
      <c r="Q24" s="67">
        <v>11.100466669999999</v>
      </c>
      <c r="R24" s="67">
        <v>9.9999546421258856E-9</v>
      </c>
    </row>
    <row r="25" spans="1:18" ht="15.6" x14ac:dyDescent="0.3">
      <c r="A25" s="169" t="s">
        <v>39</v>
      </c>
      <c r="B25" s="205" t="s">
        <v>297</v>
      </c>
      <c r="C25" s="66">
        <v>0</v>
      </c>
      <c r="D25" s="66">
        <v>0</v>
      </c>
      <c r="E25" s="66">
        <v>0</v>
      </c>
      <c r="F25" s="66">
        <v>0</v>
      </c>
      <c r="G25" s="66">
        <v>0</v>
      </c>
      <c r="H25" s="66">
        <v>0</v>
      </c>
      <c r="I25" s="66">
        <v>0</v>
      </c>
      <c r="J25" s="66">
        <v>0</v>
      </c>
      <c r="K25" s="66">
        <v>0</v>
      </c>
      <c r="L25" s="66">
        <v>0</v>
      </c>
      <c r="M25" s="66">
        <v>0</v>
      </c>
      <c r="N25" s="67" t="s">
        <v>1230</v>
      </c>
      <c r="O25" s="67" t="s">
        <v>1230</v>
      </c>
      <c r="P25" s="67">
        <v>0</v>
      </c>
      <c r="Q25" s="67">
        <v>0</v>
      </c>
      <c r="R25" s="67">
        <v>0</v>
      </c>
    </row>
    <row r="26" spans="1:18" ht="15.6" x14ac:dyDescent="0.3">
      <c r="A26" s="169" t="s">
        <v>41</v>
      </c>
      <c r="B26" s="205" t="s">
        <v>42</v>
      </c>
      <c r="C26" s="66">
        <v>655.23</v>
      </c>
      <c r="D26" s="66">
        <v>0</v>
      </c>
      <c r="E26" s="66">
        <v>689.71578947</v>
      </c>
      <c r="F26" s="66">
        <v>655.23</v>
      </c>
      <c r="G26" s="66">
        <v>34.48578947</v>
      </c>
      <c r="H26" s="66">
        <v>655.23</v>
      </c>
      <c r="I26" s="66">
        <v>0</v>
      </c>
      <c r="J26" s="66">
        <v>689.71578947</v>
      </c>
      <c r="K26" s="66">
        <v>655.23</v>
      </c>
      <c r="L26" s="66">
        <v>0</v>
      </c>
      <c r="M26" s="66">
        <v>34.48578947</v>
      </c>
      <c r="N26" s="67">
        <v>100</v>
      </c>
      <c r="O26" s="67">
        <v>100</v>
      </c>
      <c r="P26" s="67">
        <v>4.9999999994925446</v>
      </c>
      <c r="Q26" s="67">
        <v>0</v>
      </c>
      <c r="R26" s="67">
        <v>0</v>
      </c>
    </row>
    <row r="27" spans="1:18" ht="15.6" x14ac:dyDescent="0.3">
      <c r="A27" s="169" t="s">
        <v>44</v>
      </c>
      <c r="B27" s="205" t="s">
        <v>45</v>
      </c>
      <c r="C27" s="66">
        <v>474.226</v>
      </c>
      <c r="D27" s="66">
        <v>0</v>
      </c>
      <c r="E27" s="66">
        <v>499.18526316000003</v>
      </c>
      <c r="F27" s="66">
        <v>474.226</v>
      </c>
      <c r="G27" s="66">
        <v>24.959263159999999</v>
      </c>
      <c r="H27" s="66">
        <v>474.226</v>
      </c>
      <c r="I27" s="66">
        <v>0</v>
      </c>
      <c r="J27" s="66">
        <v>499.18526316000003</v>
      </c>
      <c r="K27" s="66">
        <v>474.226</v>
      </c>
      <c r="L27" s="66">
        <v>0</v>
      </c>
      <c r="M27" s="66">
        <v>24.959263159999999</v>
      </c>
      <c r="N27" s="67">
        <v>100</v>
      </c>
      <c r="O27" s="67">
        <v>100</v>
      </c>
      <c r="P27" s="67">
        <v>5.000000000400652</v>
      </c>
      <c r="Q27" s="67">
        <v>0</v>
      </c>
      <c r="R27" s="67">
        <v>0</v>
      </c>
    </row>
    <row r="28" spans="1:18" ht="15.6" x14ac:dyDescent="0.3">
      <c r="A28" s="169" t="s">
        <v>47</v>
      </c>
      <c r="B28" s="205" t="s">
        <v>48</v>
      </c>
      <c r="C28" s="66">
        <v>34</v>
      </c>
      <c r="D28" s="66">
        <v>0</v>
      </c>
      <c r="E28" s="66">
        <v>47.5</v>
      </c>
      <c r="F28" s="66">
        <v>34</v>
      </c>
      <c r="G28" s="66">
        <v>13.5</v>
      </c>
      <c r="H28" s="66">
        <v>34</v>
      </c>
      <c r="I28" s="66">
        <v>0</v>
      </c>
      <c r="J28" s="66">
        <v>47.5</v>
      </c>
      <c r="K28" s="66">
        <v>34</v>
      </c>
      <c r="L28" s="66">
        <v>0</v>
      </c>
      <c r="M28" s="66">
        <v>13.5</v>
      </c>
      <c r="N28" s="67">
        <v>100</v>
      </c>
      <c r="O28" s="67">
        <v>100</v>
      </c>
      <c r="P28" s="67">
        <v>28.421052631578945</v>
      </c>
      <c r="Q28" s="67">
        <v>0</v>
      </c>
      <c r="R28" s="67">
        <v>0</v>
      </c>
    </row>
    <row r="29" spans="1:18" ht="15.6" x14ac:dyDescent="0.3">
      <c r="A29" s="169" t="s">
        <v>50</v>
      </c>
      <c r="B29" s="205" t="s">
        <v>51</v>
      </c>
      <c r="C29" s="66">
        <v>1263.9815000000001</v>
      </c>
      <c r="D29" s="66">
        <v>0</v>
      </c>
      <c r="E29" s="66">
        <v>1623.8200154200001</v>
      </c>
      <c r="F29" s="66">
        <v>1263.9815000000001</v>
      </c>
      <c r="G29" s="66">
        <v>359.83851542000002</v>
      </c>
      <c r="H29" s="66">
        <v>1263.9815000000001</v>
      </c>
      <c r="I29" s="66">
        <v>0</v>
      </c>
      <c r="J29" s="66">
        <v>1623.8200154200001</v>
      </c>
      <c r="K29" s="66">
        <v>1263.9815000000001</v>
      </c>
      <c r="L29" s="66">
        <v>0</v>
      </c>
      <c r="M29" s="66">
        <v>359.83851542000002</v>
      </c>
      <c r="N29" s="67">
        <v>100</v>
      </c>
      <c r="O29" s="67">
        <v>100</v>
      </c>
      <c r="P29" s="67">
        <v>22.160000000180315</v>
      </c>
      <c r="Q29" s="67">
        <v>0</v>
      </c>
      <c r="R29" s="67">
        <v>0</v>
      </c>
    </row>
    <row r="30" spans="1:18" ht="15.6" x14ac:dyDescent="0.3">
      <c r="A30" s="169" t="s">
        <v>53</v>
      </c>
      <c r="B30" s="205" t="s">
        <v>54</v>
      </c>
      <c r="C30" s="66">
        <v>776.56830000000002</v>
      </c>
      <c r="D30" s="66">
        <v>0</v>
      </c>
      <c r="E30" s="66">
        <v>817.44029999999998</v>
      </c>
      <c r="F30" s="66">
        <v>776.56830000000002</v>
      </c>
      <c r="G30" s="66">
        <v>40.872</v>
      </c>
      <c r="H30" s="66">
        <v>704.16996886000004</v>
      </c>
      <c r="I30" s="66">
        <v>0</v>
      </c>
      <c r="J30" s="66">
        <v>741.12354450999999</v>
      </c>
      <c r="K30" s="66">
        <v>704.06738085999996</v>
      </c>
      <c r="L30" s="66">
        <v>0</v>
      </c>
      <c r="M30" s="66">
        <v>37.056163650000002</v>
      </c>
      <c r="N30" s="67">
        <v>90.663935272660495</v>
      </c>
      <c r="O30" s="67">
        <v>90.663935334703467</v>
      </c>
      <c r="P30" s="67">
        <v>4.9999981682541197</v>
      </c>
      <c r="Q30" s="67">
        <v>0</v>
      </c>
      <c r="R30" s="67">
        <v>0.1025880000000825</v>
      </c>
    </row>
    <row r="31" spans="1:18" ht="15.6" x14ac:dyDescent="0.3">
      <c r="A31" s="169" t="s">
        <v>56</v>
      </c>
      <c r="B31" s="205" t="s">
        <v>57</v>
      </c>
      <c r="C31" s="66">
        <v>300.32780000000002</v>
      </c>
      <c r="D31" s="66">
        <v>0</v>
      </c>
      <c r="E31" s="66">
        <v>316.13452599999999</v>
      </c>
      <c r="F31" s="66">
        <v>300.32780000000002</v>
      </c>
      <c r="G31" s="66">
        <v>15.806725999999999</v>
      </c>
      <c r="H31" s="66">
        <v>298.14429054999999</v>
      </c>
      <c r="I31" s="66">
        <v>0</v>
      </c>
      <c r="J31" s="66">
        <v>313.836095</v>
      </c>
      <c r="K31" s="66">
        <v>298.14429054999999</v>
      </c>
      <c r="L31" s="66">
        <v>0</v>
      </c>
      <c r="M31" s="66">
        <v>15.691804449999999</v>
      </c>
      <c r="N31" s="67">
        <v>99.272957931300382</v>
      </c>
      <c r="O31" s="67">
        <v>99.272957916775425</v>
      </c>
      <c r="P31" s="67">
        <v>4.9999999044087007</v>
      </c>
      <c r="Q31" s="67">
        <v>0</v>
      </c>
      <c r="R31" s="67">
        <v>0</v>
      </c>
    </row>
    <row r="32" spans="1:18" ht="15.6" x14ac:dyDescent="0.3">
      <c r="A32" s="169" t="s">
        <v>59</v>
      </c>
      <c r="B32" s="205" t="s">
        <v>60</v>
      </c>
      <c r="C32" s="66">
        <v>84.393000000000001</v>
      </c>
      <c r="D32" s="66">
        <v>0</v>
      </c>
      <c r="E32" s="66">
        <v>119.47404899999999</v>
      </c>
      <c r="F32" s="66">
        <v>84.393000000000001</v>
      </c>
      <c r="G32" s="66">
        <v>35.081049</v>
      </c>
      <c r="H32" s="66">
        <v>84.392999900000007</v>
      </c>
      <c r="I32" s="66">
        <v>0</v>
      </c>
      <c r="J32" s="66">
        <v>119.47404888</v>
      </c>
      <c r="K32" s="66">
        <v>84.392999900000007</v>
      </c>
      <c r="L32" s="66">
        <v>0</v>
      </c>
      <c r="M32" s="66">
        <v>35.081048979999998</v>
      </c>
      <c r="N32" s="67">
        <v>99.999999881506767</v>
      </c>
      <c r="O32" s="67">
        <v>99.999999942989163</v>
      </c>
      <c r="P32" s="67">
        <v>29.362902913950361</v>
      </c>
      <c r="Q32" s="67">
        <v>0</v>
      </c>
      <c r="R32" s="67">
        <v>0</v>
      </c>
    </row>
    <row r="33" spans="1:18" s="62" customFormat="1" ht="15.6" x14ac:dyDescent="0.3">
      <c r="A33" s="202" t="s">
        <v>62</v>
      </c>
      <c r="B33" s="203" t="s">
        <v>63</v>
      </c>
      <c r="C33" s="61">
        <v>1772.4161000000001</v>
      </c>
      <c r="D33" s="61">
        <v>0</v>
      </c>
      <c r="E33" s="61">
        <v>1905.7013064500002</v>
      </c>
      <c r="F33" s="61">
        <v>1772.4161000000001</v>
      </c>
      <c r="G33" s="61">
        <v>133.28520645</v>
      </c>
      <c r="H33" s="61">
        <v>1772.3059841099998</v>
      </c>
      <c r="I33" s="61">
        <v>0.67490291000000002</v>
      </c>
      <c r="J33" s="61">
        <v>1905.5699829599998</v>
      </c>
      <c r="K33" s="61">
        <v>1772.3059841099998</v>
      </c>
      <c r="L33" s="61">
        <v>0</v>
      </c>
      <c r="M33" s="61">
        <v>133.26399885000001</v>
      </c>
      <c r="N33" s="61">
        <v>99.993787243864446</v>
      </c>
      <c r="O33" s="61">
        <v>99.984088556738698</v>
      </c>
      <c r="P33" s="61">
        <v>6.9933930551842325</v>
      </c>
      <c r="Q33" s="61">
        <v>0.67490291000000002</v>
      </c>
      <c r="R33" s="61">
        <v>1.4321877017664519E-14</v>
      </c>
    </row>
    <row r="34" spans="1:18" ht="15.6" x14ac:dyDescent="0.3">
      <c r="A34" s="169" t="s">
        <v>65</v>
      </c>
      <c r="B34" s="205" t="s">
        <v>66</v>
      </c>
      <c r="C34" s="66">
        <v>24.968900000000001</v>
      </c>
      <c r="D34" s="66">
        <v>0</v>
      </c>
      <c r="E34" s="66">
        <v>31.211124999999999</v>
      </c>
      <c r="F34" s="66">
        <v>24.968900000000001</v>
      </c>
      <c r="G34" s="66">
        <v>6.2422250000000004</v>
      </c>
      <c r="H34" s="66">
        <v>24.893853549999999</v>
      </c>
      <c r="I34" s="66">
        <v>0</v>
      </c>
      <c r="J34" s="66">
        <v>31.117316940000002</v>
      </c>
      <c r="K34" s="66">
        <v>24.893853549999999</v>
      </c>
      <c r="L34" s="66">
        <v>0</v>
      </c>
      <c r="M34" s="66">
        <v>6.22346339</v>
      </c>
      <c r="N34" s="67">
        <v>99.699440303737845</v>
      </c>
      <c r="O34" s="67">
        <v>99.699440343787671</v>
      </c>
      <c r="P34" s="67">
        <v>20.000000006427289</v>
      </c>
      <c r="Q34" s="67">
        <v>0</v>
      </c>
      <c r="R34" s="67">
        <v>0</v>
      </c>
    </row>
    <row r="35" spans="1:18" ht="15.6" x14ac:dyDescent="0.3">
      <c r="A35" s="169" t="s">
        <v>68</v>
      </c>
      <c r="B35" s="205" t="s">
        <v>69</v>
      </c>
      <c r="C35" s="66">
        <v>4.5873999999999997</v>
      </c>
      <c r="D35" s="66">
        <v>0</v>
      </c>
      <c r="E35" s="66">
        <v>6.1999628499999995</v>
      </c>
      <c r="F35" s="66">
        <v>4.5873999999999997</v>
      </c>
      <c r="G35" s="66">
        <v>1.61256285</v>
      </c>
      <c r="H35" s="66">
        <v>4.5873999900000006</v>
      </c>
      <c r="I35" s="66">
        <v>0</v>
      </c>
      <c r="J35" s="66">
        <v>6.1999628300000005</v>
      </c>
      <c r="K35" s="66">
        <v>4.5873999900000006</v>
      </c>
      <c r="L35" s="66">
        <v>0</v>
      </c>
      <c r="M35" s="66">
        <v>1.6125628400000001</v>
      </c>
      <c r="N35" s="67">
        <v>99.999999782011614</v>
      </c>
      <c r="O35" s="67">
        <v>99.999999379869138</v>
      </c>
      <c r="P35" s="67">
        <v>26.009233994068957</v>
      </c>
      <c r="Q35" s="67">
        <v>0</v>
      </c>
      <c r="R35" s="67">
        <v>0</v>
      </c>
    </row>
    <row r="36" spans="1:18" ht="15.6" x14ac:dyDescent="0.3">
      <c r="A36" s="169" t="s">
        <v>71</v>
      </c>
      <c r="B36" s="205" t="s">
        <v>72</v>
      </c>
      <c r="C36" s="66">
        <v>13.1797</v>
      </c>
      <c r="D36" s="66">
        <v>0</v>
      </c>
      <c r="E36" s="66">
        <v>14.644111109999999</v>
      </c>
      <c r="F36" s="66">
        <v>13.1797</v>
      </c>
      <c r="G36" s="66">
        <v>1.4644111100000001</v>
      </c>
      <c r="H36" s="66">
        <v>13.1797</v>
      </c>
      <c r="I36" s="66">
        <v>0</v>
      </c>
      <c r="J36" s="66">
        <v>14.644111109999999</v>
      </c>
      <c r="K36" s="66">
        <v>13.1797</v>
      </c>
      <c r="L36" s="66">
        <v>0</v>
      </c>
      <c r="M36" s="66">
        <v>1.4644111100000001</v>
      </c>
      <c r="N36" s="67">
        <v>100</v>
      </c>
      <c r="O36" s="67">
        <v>100</v>
      </c>
      <c r="P36" s="67">
        <v>9.9999999931713184</v>
      </c>
      <c r="Q36" s="67">
        <v>0</v>
      </c>
      <c r="R36" s="67">
        <v>0</v>
      </c>
    </row>
    <row r="37" spans="1:18" ht="15.6" x14ac:dyDescent="0.3">
      <c r="A37" s="169" t="s">
        <v>74</v>
      </c>
      <c r="B37" s="205" t="s">
        <v>1078</v>
      </c>
      <c r="C37" s="66">
        <v>0</v>
      </c>
      <c r="D37" s="66">
        <v>0</v>
      </c>
      <c r="E37" s="66">
        <v>0</v>
      </c>
      <c r="F37" s="66">
        <v>0</v>
      </c>
      <c r="G37" s="66">
        <v>0</v>
      </c>
      <c r="H37" s="66">
        <v>0</v>
      </c>
      <c r="I37" s="66">
        <v>0</v>
      </c>
      <c r="J37" s="66">
        <v>0</v>
      </c>
      <c r="K37" s="66">
        <v>0</v>
      </c>
      <c r="L37" s="66">
        <v>0</v>
      </c>
      <c r="M37" s="66">
        <v>0</v>
      </c>
      <c r="N37" s="67" t="s">
        <v>1230</v>
      </c>
      <c r="O37" s="67" t="s">
        <v>1230</v>
      </c>
      <c r="P37" s="67">
        <v>0</v>
      </c>
      <c r="Q37" s="67">
        <v>0</v>
      </c>
      <c r="R37" s="67">
        <v>0</v>
      </c>
    </row>
    <row r="38" spans="1:18" ht="15.6" x14ac:dyDescent="0.3">
      <c r="A38" s="169" t="s">
        <v>76</v>
      </c>
      <c r="B38" s="205" t="s">
        <v>77</v>
      </c>
      <c r="C38" s="66">
        <v>24.464500000000001</v>
      </c>
      <c r="D38" s="66">
        <v>0</v>
      </c>
      <c r="E38" s="66">
        <v>25.75210526</v>
      </c>
      <c r="F38" s="66">
        <v>24.464500000000001</v>
      </c>
      <c r="G38" s="66">
        <v>1.2876052600000001</v>
      </c>
      <c r="H38" s="66">
        <v>24.464500000000001</v>
      </c>
      <c r="I38" s="66">
        <v>0</v>
      </c>
      <c r="J38" s="66">
        <v>25.75210526</v>
      </c>
      <c r="K38" s="66">
        <v>24.464500000000001</v>
      </c>
      <c r="L38" s="66">
        <v>0</v>
      </c>
      <c r="M38" s="66">
        <v>1.2876052600000001</v>
      </c>
      <c r="N38" s="67">
        <v>100</v>
      </c>
      <c r="O38" s="67">
        <v>100</v>
      </c>
      <c r="P38" s="67">
        <v>4.9999999883504671</v>
      </c>
      <c r="Q38" s="67">
        <v>0</v>
      </c>
      <c r="R38" s="67">
        <v>0</v>
      </c>
    </row>
    <row r="39" spans="1:18" ht="15.6" x14ac:dyDescent="0.3">
      <c r="A39" s="169" t="s">
        <v>79</v>
      </c>
      <c r="B39" s="205" t="s">
        <v>80</v>
      </c>
      <c r="C39" s="66">
        <v>798.92070000000001</v>
      </c>
      <c r="D39" s="66">
        <v>0</v>
      </c>
      <c r="E39" s="66">
        <v>854.64345300000002</v>
      </c>
      <c r="F39" s="66">
        <v>798.92070000000001</v>
      </c>
      <c r="G39" s="66">
        <v>55.722752999999997</v>
      </c>
      <c r="H39" s="66">
        <v>798.88563097999997</v>
      </c>
      <c r="I39" s="66">
        <v>0</v>
      </c>
      <c r="J39" s="66">
        <v>854.60593800000004</v>
      </c>
      <c r="K39" s="66">
        <v>798.88563097999997</v>
      </c>
      <c r="L39" s="66">
        <v>0</v>
      </c>
      <c r="M39" s="66">
        <v>55.72030702</v>
      </c>
      <c r="N39" s="67">
        <v>99.995610450448964</v>
      </c>
      <c r="O39" s="67">
        <v>99.995610446598008</v>
      </c>
      <c r="P39" s="67">
        <v>6.5199999838990124</v>
      </c>
      <c r="Q39" s="67">
        <v>0</v>
      </c>
      <c r="R39" s="67">
        <v>0</v>
      </c>
    </row>
    <row r="40" spans="1:18" ht="15.6" x14ac:dyDescent="0.3">
      <c r="A40" s="169" t="s">
        <v>82</v>
      </c>
      <c r="B40" s="205" t="s">
        <v>83</v>
      </c>
      <c r="C40" s="66">
        <v>329.226</v>
      </c>
      <c r="D40" s="66">
        <v>0</v>
      </c>
      <c r="E40" s="66">
        <v>373.69580023000003</v>
      </c>
      <c r="F40" s="66">
        <v>329.226</v>
      </c>
      <c r="G40" s="66">
        <v>44.469800229999997</v>
      </c>
      <c r="H40" s="66">
        <v>329.22599958999996</v>
      </c>
      <c r="I40" s="66">
        <v>0.67490291000000002</v>
      </c>
      <c r="J40" s="66">
        <v>373.69579981999999</v>
      </c>
      <c r="K40" s="66">
        <v>329.22599958999996</v>
      </c>
      <c r="L40" s="66">
        <v>0</v>
      </c>
      <c r="M40" s="66">
        <v>44.469800229999997</v>
      </c>
      <c r="N40" s="67">
        <v>99.999999875465477</v>
      </c>
      <c r="O40" s="67">
        <v>100</v>
      </c>
      <c r="P40" s="67">
        <v>11.900000013759854</v>
      </c>
      <c r="Q40" s="67">
        <v>0.67490291000000002</v>
      </c>
      <c r="R40" s="67">
        <v>1.4321877017664519E-14</v>
      </c>
    </row>
    <row r="41" spans="1:18" ht="15.6" x14ac:dyDescent="0.3">
      <c r="A41" s="169" t="s">
        <v>85</v>
      </c>
      <c r="B41" s="205" t="s">
        <v>299</v>
      </c>
      <c r="C41" s="66">
        <v>0</v>
      </c>
      <c r="D41" s="66">
        <v>0</v>
      </c>
      <c r="E41" s="66">
        <v>0</v>
      </c>
      <c r="F41" s="66">
        <v>0</v>
      </c>
      <c r="G41" s="66">
        <v>0</v>
      </c>
      <c r="H41" s="66">
        <v>0</v>
      </c>
      <c r="I41" s="66">
        <v>0</v>
      </c>
      <c r="J41" s="66">
        <v>0</v>
      </c>
      <c r="K41" s="66">
        <v>0</v>
      </c>
      <c r="L41" s="66">
        <v>0</v>
      </c>
      <c r="M41" s="66">
        <v>0</v>
      </c>
      <c r="N41" s="67" t="s">
        <v>1230</v>
      </c>
      <c r="O41" s="67" t="s">
        <v>1230</v>
      </c>
      <c r="P41" s="67">
        <v>0</v>
      </c>
      <c r="Q41" s="67">
        <v>0</v>
      </c>
      <c r="R41" s="67">
        <v>0</v>
      </c>
    </row>
    <row r="42" spans="1:18" ht="15.6" x14ac:dyDescent="0.3">
      <c r="A42" s="169" t="s">
        <v>87</v>
      </c>
      <c r="B42" s="205" t="s">
        <v>88</v>
      </c>
      <c r="C42" s="66">
        <v>0</v>
      </c>
      <c r="D42" s="66">
        <v>0</v>
      </c>
      <c r="E42" s="66">
        <v>0</v>
      </c>
      <c r="F42" s="66">
        <v>0</v>
      </c>
      <c r="G42" s="66">
        <v>0</v>
      </c>
      <c r="H42" s="66">
        <v>0</v>
      </c>
      <c r="I42" s="66">
        <v>0</v>
      </c>
      <c r="J42" s="66">
        <v>0</v>
      </c>
      <c r="K42" s="66">
        <v>0</v>
      </c>
      <c r="L42" s="66">
        <v>0</v>
      </c>
      <c r="M42" s="66">
        <v>0</v>
      </c>
      <c r="N42" s="67" t="s">
        <v>1230</v>
      </c>
      <c r="O42" s="67" t="s">
        <v>1230</v>
      </c>
      <c r="P42" s="67">
        <v>0</v>
      </c>
      <c r="Q42" s="67">
        <v>0</v>
      </c>
      <c r="R42" s="67">
        <v>0</v>
      </c>
    </row>
    <row r="43" spans="1:18" ht="15.6" x14ac:dyDescent="0.3">
      <c r="A43" s="169" t="s">
        <v>90</v>
      </c>
      <c r="B43" s="205" t="s">
        <v>91</v>
      </c>
      <c r="C43" s="66">
        <v>65.068899999999999</v>
      </c>
      <c r="D43" s="66">
        <v>0</v>
      </c>
      <c r="E43" s="66">
        <v>81.336124999999996</v>
      </c>
      <c r="F43" s="66">
        <v>65.068899999999999</v>
      </c>
      <c r="G43" s="66">
        <v>16.267225</v>
      </c>
      <c r="H43" s="66">
        <v>65.068899999999999</v>
      </c>
      <c r="I43" s="66">
        <v>0</v>
      </c>
      <c r="J43" s="66">
        <v>81.336124999999996</v>
      </c>
      <c r="K43" s="66">
        <v>65.068899999999999</v>
      </c>
      <c r="L43" s="66">
        <v>0</v>
      </c>
      <c r="M43" s="66">
        <v>16.267225</v>
      </c>
      <c r="N43" s="67">
        <v>100</v>
      </c>
      <c r="O43" s="67">
        <v>100</v>
      </c>
      <c r="P43" s="67">
        <v>20</v>
      </c>
      <c r="Q43" s="67">
        <v>0</v>
      </c>
      <c r="R43" s="67">
        <v>0</v>
      </c>
    </row>
    <row r="44" spans="1:18" ht="15.6" x14ac:dyDescent="0.3">
      <c r="A44" s="206">
        <v>32</v>
      </c>
      <c r="B44" s="205" t="s">
        <v>93</v>
      </c>
      <c r="C44" s="66">
        <v>512</v>
      </c>
      <c r="D44" s="66">
        <v>0</v>
      </c>
      <c r="E44" s="66">
        <v>518.21862399999998</v>
      </c>
      <c r="F44" s="66">
        <v>512</v>
      </c>
      <c r="G44" s="66">
        <v>6.2186240000000002</v>
      </c>
      <c r="H44" s="66">
        <v>512</v>
      </c>
      <c r="I44" s="66">
        <v>0</v>
      </c>
      <c r="J44" s="66">
        <v>518.21862399999998</v>
      </c>
      <c r="K44" s="66">
        <v>512</v>
      </c>
      <c r="L44" s="66">
        <v>0</v>
      </c>
      <c r="M44" s="66">
        <v>6.2186240000000002</v>
      </c>
      <c r="N44" s="67">
        <v>100</v>
      </c>
      <c r="O44" s="67">
        <v>100</v>
      </c>
      <c r="P44" s="67">
        <v>1.2000000987999999</v>
      </c>
      <c r="Q44" s="67">
        <v>0</v>
      </c>
      <c r="R44" s="67">
        <v>0</v>
      </c>
    </row>
    <row r="45" spans="1:18" s="62" customFormat="1" ht="15.6" x14ac:dyDescent="0.3">
      <c r="A45" s="208">
        <v>33</v>
      </c>
      <c r="B45" s="209" t="s">
        <v>95</v>
      </c>
      <c r="C45" s="61">
        <v>658.9828</v>
      </c>
      <c r="D45" s="61">
        <v>0</v>
      </c>
      <c r="E45" s="61">
        <v>759.66215269999998</v>
      </c>
      <c r="F45" s="61">
        <v>658.9828</v>
      </c>
      <c r="G45" s="61">
        <v>100.6793527</v>
      </c>
      <c r="H45" s="61">
        <v>658.93460365999999</v>
      </c>
      <c r="I45" s="61">
        <v>1.8180038200000002</v>
      </c>
      <c r="J45" s="61">
        <v>759.58992239000008</v>
      </c>
      <c r="K45" s="61">
        <v>658.93460365999999</v>
      </c>
      <c r="L45" s="61">
        <v>0</v>
      </c>
      <c r="M45" s="61">
        <v>100.65531872999999</v>
      </c>
      <c r="N45" s="61">
        <v>99.992686252205672</v>
      </c>
      <c r="O45" s="61">
        <v>99.976128203692753</v>
      </c>
      <c r="P45" s="61">
        <v>13.251270950685418</v>
      </c>
      <c r="Q45" s="61">
        <v>1.8180038200000002</v>
      </c>
      <c r="R45" s="61">
        <v>1.1102230246251565E-15</v>
      </c>
    </row>
    <row r="46" spans="1:18" ht="15.6" x14ac:dyDescent="0.3">
      <c r="A46" s="171">
        <v>34</v>
      </c>
      <c r="B46" s="211" t="s">
        <v>97</v>
      </c>
      <c r="C46" s="66">
        <v>0.7</v>
      </c>
      <c r="D46" s="66">
        <v>0</v>
      </c>
      <c r="E46" s="66">
        <v>0.77777777999999997</v>
      </c>
      <c r="F46" s="66">
        <v>0.7</v>
      </c>
      <c r="G46" s="66">
        <v>7.7777780000000005E-2</v>
      </c>
      <c r="H46" s="66">
        <v>0.7</v>
      </c>
      <c r="I46" s="66">
        <v>0</v>
      </c>
      <c r="J46" s="66">
        <v>0.77777777999999997</v>
      </c>
      <c r="K46" s="66">
        <v>0.7</v>
      </c>
      <c r="L46" s="66">
        <v>0</v>
      </c>
      <c r="M46" s="66">
        <v>7.7777780000000005E-2</v>
      </c>
      <c r="N46" s="67">
        <v>100</v>
      </c>
      <c r="O46" s="67">
        <v>100</v>
      </c>
      <c r="P46" s="67">
        <v>10.000000257142858</v>
      </c>
      <c r="Q46" s="67">
        <v>0</v>
      </c>
      <c r="R46" s="67">
        <v>0</v>
      </c>
    </row>
    <row r="47" spans="1:18" ht="15.6" x14ac:dyDescent="0.3">
      <c r="A47" s="171">
        <v>35</v>
      </c>
      <c r="B47" s="211" t="s">
        <v>99</v>
      </c>
      <c r="C47" s="66">
        <v>0.53380000000000005</v>
      </c>
      <c r="D47" s="66">
        <v>0</v>
      </c>
      <c r="E47" s="66">
        <v>0.59094787999999998</v>
      </c>
      <c r="F47" s="66">
        <v>0.53380000000000005</v>
      </c>
      <c r="G47" s="66">
        <v>5.7147879999999998E-2</v>
      </c>
      <c r="H47" s="66">
        <v>0.53369268000000003</v>
      </c>
      <c r="I47" s="66">
        <v>0</v>
      </c>
      <c r="J47" s="66">
        <v>0.59083733999999999</v>
      </c>
      <c r="K47" s="66">
        <v>0.53369268000000003</v>
      </c>
      <c r="L47" s="66">
        <v>0</v>
      </c>
      <c r="M47" s="66">
        <v>5.7144660000000007E-2</v>
      </c>
      <c r="N47" s="67">
        <v>99.979895091794674</v>
      </c>
      <c r="O47" s="67">
        <v>99.994365495272987</v>
      </c>
      <c r="P47" s="67">
        <v>9.671809164938697</v>
      </c>
      <c r="Q47" s="67">
        <v>0</v>
      </c>
      <c r="R47" s="67">
        <v>0</v>
      </c>
    </row>
    <row r="48" spans="1:18" ht="15.6" x14ac:dyDescent="0.3">
      <c r="A48" s="169">
        <v>36</v>
      </c>
      <c r="B48" s="205" t="s">
        <v>318</v>
      </c>
      <c r="C48" s="66">
        <v>0</v>
      </c>
      <c r="D48" s="66">
        <v>0</v>
      </c>
      <c r="E48" s="66">
        <v>0</v>
      </c>
      <c r="F48" s="66">
        <v>0</v>
      </c>
      <c r="G48" s="66">
        <v>0</v>
      </c>
      <c r="H48" s="66">
        <v>0</v>
      </c>
      <c r="I48" s="66">
        <v>0</v>
      </c>
      <c r="J48" s="66">
        <v>0</v>
      </c>
      <c r="K48" s="66">
        <v>0</v>
      </c>
      <c r="L48" s="66">
        <v>0</v>
      </c>
      <c r="M48" s="66">
        <v>0</v>
      </c>
      <c r="N48" s="67" t="s">
        <v>1230</v>
      </c>
      <c r="O48" s="67" t="s">
        <v>1230</v>
      </c>
      <c r="P48" s="67">
        <v>0</v>
      </c>
      <c r="Q48" s="67">
        <v>0</v>
      </c>
      <c r="R48" s="67">
        <v>0</v>
      </c>
    </row>
    <row r="49" spans="1:18" ht="15.6" x14ac:dyDescent="0.3">
      <c r="A49" s="171">
        <v>37</v>
      </c>
      <c r="B49" s="211" t="s">
        <v>101</v>
      </c>
      <c r="C49" s="66">
        <v>324.95920000000001</v>
      </c>
      <c r="D49" s="66">
        <v>0</v>
      </c>
      <c r="E49" s="66">
        <v>394.61279999999999</v>
      </c>
      <c r="F49" s="66">
        <v>324.95920000000001</v>
      </c>
      <c r="G49" s="66">
        <v>69.653599999999997</v>
      </c>
      <c r="H49" s="66">
        <v>324.95920000000001</v>
      </c>
      <c r="I49" s="66">
        <v>0</v>
      </c>
      <c r="J49" s="66">
        <v>394.61279999999999</v>
      </c>
      <c r="K49" s="66">
        <v>324.95920000000001</v>
      </c>
      <c r="L49" s="66">
        <v>0</v>
      </c>
      <c r="M49" s="66">
        <v>69.653599999999997</v>
      </c>
      <c r="N49" s="67">
        <v>100</v>
      </c>
      <c r="O49" s="67">
        <v>100</v>
      </c>
      <c r="P49" s="67">
        <v>17.651125356298632</v>
      </c>
      <c r="Q49" s="67">
        <v>0</v>
      </c>
      <c r="R49" s="67">
        <v>0</v>
      </c>
    </row>
    <row r="50" spans="1:18" ht="15.6" x14ac:dyDescent="0.3">
      <c r="A50" s="171">
        <v>38</v>
      </c>
      <c r="B50" s="211" t="s">
        <v>103</v>
      </c>
      <c r="C50" s="66">
        <v>3.2138</v>
      </c>
      <c r="D50" s="66">
        <v>0</v>
      </c>
      <c r="E50" s="66">
        <v>4.5041070400000001</v>
      </c>
      <c r="F50" s="66">
        <v>3.2138</v>
      </c>
      <c r="G50" s="66">
        <v>1.2903070400000001</v>
      </c>
      <c r="H50" s="66">
        <v>3.1657111099999997</v>
      </c>
      <c r="I50" s="66">
        <v>0</v>
      </c>
      <c r="J50" s="66">
        <v>4.4319874000000006</v>
      </c>
      <c r="K50" s="66">
        <v>3.1657111099999997</v>
      </c>
      <c r="L50" s="66">
        <v>0</v>
      </c>
      <c r="M50" s="66">
        <v>1.26627629</v>
      </c>
      <c r="N50" s="67">
        <v>98.503675088680055</v>
      </c>
      <c r="O50" s="67">
        <v>98.137594444187485</v>
      </c>
      <c r="P50" s="67">
        <v>28.571297156666098</v>
      </c>
      <c r="Q50" s="67">
        <v>0</v>
      </c>
      <c r="R50" s="67">
        <v>0</v>
      </c>
    </row>
    <row r="51" spans="1:18" ht="15.6" x14ac:dyDescent="0.3">
      <c r="A51" s="171">
        <v>39</v>
      </c>
      <c r="B51" s="211" t="s">
        <v>105</v>
      </c>
      <c r="C51" s="66">
        <v>224.57599999999999</v>
      </c>
      <c r="D51" s="66">
        <v>0</v>
      </c>
      <c r="E51" s="66">
        <v>227.92652000000001</v>
      </c>
      <c r="F51" s="66">
        <v>224.57599999999999</v>
      </c>
      <c r="G51" s="66">
        <v>3.3505199999999999</v>
      </c>
      <c r="H51" s="66">
        <v>224.57599999999999</v>
      </c>
      <c r="I51" s="66">
        <v>0</v>
      </c>
      <c r="J51" s="66">
        <v>227.92652000000001</v>
      </c>
      <c r="K51" s="66">
        <v>224.57599999999999</v>
      </c>
      <c r="L51" s="66">
        <v>0</v>
      </c>
      <c r="M51" s="66">
        <v>3.3505199999999999</v>
      </c>
      <c r="N51" s="67">
        <v>100</v>
      </c>
      <c r="O51" s="67">
        <v>100</v>
      </c>
      <c r="P51" s="67">
        <v>1.4700000684431105</v>
      </c>
      <c r="Q51" s="67">
        <v>0</v>
      </c>
      <c r="R51" s="67">
        <v>0</v>
      </c>
    </row>
    <row r="52" spans="1:18" ht="15.6" x14ac:dyDescent="0.3">
      <c r="A52" s="206">
        <v>40</v>
      </c>
      <c r="B52" s="211" t="s">
        <v>107</v>
      </c>
      <c r="C52" s="66">
        <v>105</v>
      </c>
      <c r="D52" s="66">
        <v>0</v>
      </c>
      <c r="E52" s="66">
        <v>131.25</v>
      </c>
      <c r="F52" s="66">
        <v>105</v>
      </c>
      <c r="G52" s="66">
        <v>26.25</v>
      </c>
      <c r="H52" s="66">
        <v>104.99999987000001</v>
      </c>
      <c r="I52" s="66">
        <v>1.8180038200000002</v>
      </c>
      <c r="J52" s="66">
        <v>131.24999987000001</v>
      </c>
      <c r="K52" s="66">
        <v>104.99999987000001</v>
      </c>
      <c r="L52" s="66">
        <v>0</v>
      </c>
      <c r="M52" s="66">
        <v>26.25</v>
      </c>
      <c r="N52" s="67">
        <v>99.999999876190486</v>
      </c>
      <c r="O52" s="67">
        <v>100</v>
      </c>
      <c r="P52" s="67">
        <v>20.000000019809523</v>
      </c>
      <c r="Q52" s="67">
        <v>1.8180038200000002</v>
      </c>
      <c r="R52" s="67">
        <v>1.1102230246251565E-15</v>
      </c>
    </row>
    <row r="53" spans="1:18" ht="15.6" x14ac:dyDescent="0.3">
      <c r="A53" s="169">
        <v>41</v>
      </c>
      <c r="B53" s="205" t="s">
        <v>319</v>
      </c>
      <c r="C53" s="66">
        <v>0</v>
      </c>
      <c r="D53" s="66">
        <v>0</v>
      </c>
      <c r="E53" s="66">
        <v>0</v>
      </c>
      <c r="F53" s="66">
        <v>0</v>
      </c>
      <c r="G53" s="66">
        <v>0</v>
      </c>
      <c r="H53" s="66">
        <v>0</v>
      </c>
      <c r="I53" s="66">
        <v>0</v>
      </c>
      <c r="J53" s="66">
        <v>0</v>
      </c>
      <c r="K53" s="66">
        <v>0</v>
      </c>
      <c r="L53" s="66">
        <v>0</v>
      </c>
      <c r="M53" s="66">
        <v>0</v>
      </c>
      <c r="N53" s="67" t="s">
        <v>1230</v>
      </c>
      <c r="O53" s="67" t="s">
        <v>1230</v>
      </c>
      <c r="P53" s="67">
        <v>0</v>
      </c>
      <c r="Q53" s="67">
        <v>0</v>
      </c>
      <c r="R53" s="67">
        <v>0</v>
      </c>
    </row>
    <row r="54" spans="1:18" s="62" customFormat="1" ht="31.2" x14ac:dyDescent="0.3">
      <c r="A54" s="208">
        <v>42</v>
      </c>
      <c r="B54" s="212" t="s">
        <v>109</v>
      </c>
      <c r="C54" s="61">
        <v>1621.7939999999999</v>
      </c>
      <c r="D54" s="61">
        <v>0</v>
      </c>
      <c r="E54" s="61">
        <v>2144.2181068499999</v>
      </c>
      <c r="F54" s="61">
        <v>1621.7939999999999</v>
      </c>
      <c r="G54" s="61">
        <v>522.42410684999993</v>
      </c>
      <c r="H54" s="61">
        <v>1616.92523011</v>
      </c>
      <c r="I54" s="61">
        <v>0</v>
      </c>
      <c r="J54" s="61">
        <v>2137.6765813541997</v>
      </c>
      <c r="K54" s="61">
        <v>1616.9215462299999</v>
      </c>
      <c r="L54" s="61">
        <v>0</v>
      </c>
      <c r="M54" s="61">
        <v>520.75503512419994</v>
      </c>
      <c r="N54" s="61">
        <v>99.699563953868378</v>
      </c>
      <c r="O54" s="61">
        <v>99.680514029901147</v>
      </c>
      <c r="P54" s="61">
        <v>24.360796187153159</v>
      </c>
      <c r="Q54" s="61">
        <v>0</v>
      </c>
      <c r="R54" s="61">
        <v>3.683880000121622E-3</v>
      </c>
    </row>
    <row r="55" spans="1:18" ht="15.6" x14ac:dyDescent="0.3">
      <c r="A55" s="171">
        <v>43</v>
      </c>
      <c r="B55" s="211" t="s">
        <v>111</v>
      </c>
      <c r="C55" s="66">
        <v>1.0158</v>
      </c>
      <c r="D55" s="66">
        <v>0</v>
      </c>
      <c r="E55" s="66">
        <v>1.069264</v>
      </c>
      <c r="F55" s="66">
        <v>1.0158</v>
      </c>
      <c r="G55" s="66">
        <v>5.3463999999999998E-2</v>
      </c>
      <c r="H55" s="66">
        <v>1.0158</v>
      </c>
      <c r="I55" s="66">
        <v>0</v>
      </c>
      <c r="J55" s="66">
        <v>1.069264</v>
      </c>
      <c r="K55" s="66">
        <v>1.0158</v>
      </c>
      <c r="L55" s="66">
        <v>0</v>
      </c>
      <c r="M55" s="66">
        <v>5.3463999999999998E-2</v>
      </c>
      <c r="N55" s="67">
        <v>100</v>
      </c>
      <c r="O55" s="67">
        <v>100</v>
      </c>
      <c r="P55" s="67">
        <v>5.0000748178186116</v>
      </c>
      <c r="Q55" s="67">
        <v>0</v>
      </c>
      <c r="R55" s="67">
        <v>0</v>
      </c>
    </row>
    <row r="56" spans="1:18" ht="15.6" x14ac:dyDescent="0.3">
      <c r="A56" s="171">
        <v>44</v>
      </c>
      <c r="B56" s="211" t="s">
        <v>113</v>
      </c>
      <c r="C56" s="66">
        <v>2.8799999999999999E-2</v>
      </c>
      <c r="D56" s="66">
        <v>0</v>
      </c>
      <c r="E56" s="66">
        <v>3.0315999999999999E-2</v>
      </c>
      <c r="F56" s="66">
        <v>2.8799999999999999E-2</v>
      </c>
      <c r="G56" s="66">
        <v>1.516E-3</v>
      </c>
      <c r="H56" s="66">
        <v>2.7360040000000002E-2</v>
      </c>
      <c r="I56" s="66">
        <v>0</v>
      </c>
      <c r="J56" s="66">
        <v>2.4922284199999999E-2</v>
      </c>
      <c r="K56" s="66">
        <v>2.367617E-2</v>
      </c>
      <c r="L56" s="66">
        <v>0</v>
      </c>
      <c r="M56" s="66">
        <v>1.2461142000000001E-3</v>
      </c>
      <c r="N56" s="67">
        <v>82.208923611111118</v>
      </c>
      <c r="O56" s="67">
        <v>82.19750659630607</v>
      </c>
      <c r="P56" s="67">
        <v>4.999999959875268</v>
      </c>
      <c r="Q56" s="67">
        <v>0</v>
      </c>
      <c r="R56" s="67">
        <v>3.6838700000000023E-3</v>
      </c>
    </row>
    <row r="57" spans="1:18" ht="31.2" x14ac:dyDescent="0.3">
      <c r="A57" s="171">
        <v>45</v>
      </c>
      <c r="B57" s="211" t="s">
        <v>115</v>
      </c>
      <c r="C57" s="66">
        <v>22.1021</v>
      </c>
      <c r="D57" s="66">
        <v>0</v>
      </c>
      <c r="E57" s="66">
        <v>28.588444149999997</v>
      </c>
      <c r="F57" s="66">
        <v>22.1021</v>
      </c>
      <c r="G57" s="66">
        <v>6.4863441500000008</v>
      </c>
      <c r="H57" s="66">
        <v>22.1021</v>
      </c>
      <c r="I57" s="66">
        <v>0</v>
      </c>
      <c r="J57" s="66">
        <v>28.588444149999997</v>
      </c>
      <c r="K57" s="66">
        <v>22.1021</v>
      </c>
      <c r="L57" s="66">
        <v>0</v>
      </c>
      <c r="M57" s="66">
        <v>6.4863441500000008</v>
      </c>
      <c r="N57" s="67">
        <v>100</v>
      </c>
      <c r="O57" s="67">
        <v>100</v>
      </c>
      <c r="P57" s="67">
        <v>22.688692382023177</v>
      </c>
      <c r="Q57" s="67">
        <v>0</v>
      </c>
      <c r="R57" s="67">
        <v>0</v>
      </c>
    </row>
    <row r="58" spans="1:18" ht="31.2" x14ac:dyDescent="0.3">
      <c r="A58" s="171">
        <v>46</v>
      </c>
      <c r="B58" s="211" t="s">
        <v>117</v>
      </c>
      <c r="C58" s="66">
        <v>14.392300000000001</v>
      </c>
      <c r="D58" s="66">
        <v>0</v>
      </c>
      <c r="E58" s="66">
        <v>15.149789480000001</v>
      </c>
      <c r="F58" s="66">
        <v>14.392300000000001</v>
      </c>
      <c r="G58" s="66">
        <v>0.75748947999999994</v>
      </c>
      <c r="H58" s="66">
        <v>14.392300000000001</v>
      </c>
      <c r="I58" s="66">
        <v>0</v>
      </c>
      <c r="J58" s="66">
        <v>15.149789480000001</v>
      </c>
      <c r="K58" s="66">
        <v>14.392300000000001</v>
      </c>
      <c r="L58" s="66">
        <v>0</v>
      </c>
      <c r="M58" s="66">
        <v>0.75748947999999994</v>
      </c>
      <c r="N58" s="67">
        <v>100</v>
      </c>
      <c r="O58" s="67">
        <v>100</v>
      </c>
      <c r="P58" s="67">
        <v>5.0000000396045099</v>
      </c>
      <c r="Q58" s="67">
        <v>0</v>
      </c>
      <c r="R58" s="67">
        <v>0</v>
      </c>
    </row>
    <row r="59" spans="1:18" ht="31.2" x14ac:dyDescent="0.3">
      <c r="A59" s="171">
        <v>47</v>
      </c>
      <c r="B59" s="211" t="s">
        <v>119</v>
      </c>
      <c r="C59" s="66">
        <v>2.4525000000000001</v>
      </c>
      <c r="D59" s="66">
        <v>0</v>
      </c>
      <c r="E59" s="66">
        <v>2.6370967699999999</v>
      </c>
      <c r="F59" s="66">
        <v>2.4525000000000001</v>
      </c>
      <c r="G59" s="66">
        <v>0.18459676999999999</v>
      </c>
      <c r="H59" s="66">
        <v>2.3143454300000004</v>
      </c>
      <c r="I59" s="66">
        <v>0</v>
      </c>
      <c r="J59" s="66">
        <v>2.4885434800000001</v>
      </c>
      <c r="K59" s="66">
        <v>2.3143454300000004</v>
      </c>
      <c r="L59" s="66">
        <v>0</v>
      </c>
      <c r="M59" s="66">
        <v>0.17419804999999999</v>
      </c>
      <c r="N59" s="67">
        <v>94.366786136595323</v>
      </c>
      <c r="O59" s="67">
        <v>94.366792008332538</v>
      </c>
      <c r="P59" s="67">
        <v>7.0000002571785469</v>
      </c>
      <c r="Q59" s="67">
        <v>0</v>
      </c>
      <c r="R59" s="67">
        <v>0</v>
      </c>
    </row>
    <row r="60" spans="1:18" ht="15.6" x14ac:dyDescent="0.3">
      <c r="A60" s="169">
        <v>48</v>
      </c>
      <c r="B60" s="211" t="s">
        <v>122</v>
      </c>
      <c r="C60" s="66">
        <v>526.19349999999997</v>
      </c>
      <c r="D60" s="66">
        <v>0</v>
      </c>
      <c r="E60" s="66">
        <v>553.88789499999996</v>
      </c>
      <c r="F60" s="66">
        <v>526.19349999999997</v>
      </c>
      <c r="G60" s="66">
        <v>27.694395</v>
      </c>
      <c r="H60" s="66">
        <v>526.19349975</v>
      </c>
      <c r="I60" s="66">
        <v>0</v>
      </c>
      <c r="J60" s="66">
        <v>553.88789473999998</v>
      </c>
      <c r="K60" s="66">
        <v>526.19349975</v>
      </c>
      <c r="L60" s="66">
        <v>0</v>
      </c>
      <c r="M60" s="66">
        <v>27.694394989999999</v>
      </c>
      <c r="N60" s="67">
        <v>99.999999952488977</v>
      </c>
      <c r="O60" s="67">
        <v>99.999999963891611</v>
      </c>
      <c r="P60" s="67">
        <v>5.0000000456771128</v>
      </c>
      <c r="Q60" s="67">
        <v>0</v>
      </c>
      <c r="R60" s="67">
        <v>0</v>
      </c>
    </row>
    <row r="61" spans="1:18" ht="15.6" x14ac:dyDescent="0.3">
      <c r="A61" s="215">
        <v>49</v>
      </c>
      <c r="B61" s="211" t="s">
        <v>125</v>
      </c>
      <c r="C61" s="66">
        <v>1055.6089999999999</v>
      </c>
      <c r="D61" s="66">
        <v>0</v>
      </c>
      <c r="E61" s="66">
        <v>1542.8553014499998</v>
      </c>
      <c r="F61" s="66">
        <v>1055.6089999999999</v>
      </c>
      <c r="G61" s="66">
        <v>487.24630144999998</v>
      </c>
      <c r="H61" s="66">
        <v>1050.87982489</v>
      </c>
      <c r="I61" s="66">
        <v>0</v>
      </c>
      <c r="J61" s="66">
        <v>1536.4677232199999</v>
      </c>
      <c r="K61" s="66">
        <v>1050.8798248799999</v>
      </c>
      <c r="L61" s="66">
        <v>0</v>
      </c>
      <c r="M61" s="66">
        <v>485.58789833999998</v>
      </c>
      <c r="N61" s="67">
        <v>99.551995566540256</v>
      </c>
      <c r="O61" s="67">
        <v>99.659637619605377</v>
      </c>
      <c r="P61" s="67">
        <v>31.604171763683109</v>
      </c>
      <c r="Q61" s="67">
        <v>0</v>
      </c>
      <c r="R61" s="67">
        <v>1.0000121619668789E-8</v>
      </c>
    </row>
    <row r="62" spans="1:18" s="62" customFormat="1" ht="15.6" x14ac:dyDescent="0.3">
      <c r="A62" s="202">
        <v>50</v>
      </c>
      <c r="B62" s="203" t="s">
        <v>128</v>
      </c>
      <c r="C62" s="61">
        <v>3444.0920999999998</v>
      </c>
      <c r="D62" s="61">
        <v>0</v>
      </c>
      <c r="E62" s="61">
        <v>3762.0565417100001</v>
      </c>
      <c r="F62" s="61">
        <v>3444.0920999999998</v>
      </c>
      <c r="G62" s="61">
        <v>317.96444170999996</v>
      </c>
      <c r="H62" s="61">
        <v>3375.2959410100007</v>
      </c>
      <c r="I62" s="61">
        <v>5.0424865399999996</v>
      </c>
      <c r="J62" s="61">
        <v>3689.1616348299999</v>
      </c>
      <c r="K62" s="61">
        <v>3375.2959410100007</v>
      </c>
      <c r="L62" s="61">
        <v>0</v>
      </c>
      <c r="M62" s="61">
        <v>313.86569381999999</v>
      </c>
      <c r="N62" s="61">
        <v>98.002487825746613</v>
      </c>
      <c r="O62" s="61">
        <v>98.710941428558158</v>
      </c>
      <c r="P62" s="61">
        <v>8.5077783216853611</v>
      </c>
      <c r="Q62" s="61">
        <v>5.0424865399999996</v>
      </c>
      <c r="R62" s="61">
        <v>2.3890720131369836E-14</v>
      </c>
    </row>
    <row r="63" spans="1:18" ht="15.6" x14ac:dyDescent="0.3">
      <c r="A63" s="169">
        <v>51</v>
      </c>
      <c r="B63" s="205" t="s">
        <v>131</v>
      </c>
      <c r="C63" s="66">
        <v>188</v>
      </c>
      <c r="D63" s="66">
        <v>0</v>
      </c>
      <c r="E63" s="66">
        <v>248.56211363</v>
      </c>
      <c r="F63" s="66">
        <v>188</v>
      </c>
      <c r="G63" s="66">
        <v>60.562113630000006</v>
      </c>
      <c r="H63" s="66">
        <v>188</v>
      </c>
      <c r="I63" s="66">
        <v>0</v>
      </c>
      <c r="J63" s="66">
        <v>248.56211363</v>
      </c>
      <c r="K63" s="66">
        <v>188</v>
      </c>
      <c r="L63" s="66">
        <v>0</v>
      </c>
      <c r="M63" s="66">
        <v>60.562113630000006</v>
      </c>
      <c r="N63" s="67">
        <v>100</v>
      </c>
      <c r="O63" s="67">
        <v>100</v>
      </c>
      <c r="P63" s="67">
        <v>24.364981752669852</v>
      </c>
      <c r="Q63" s="67">
        <v>0</v>
      </c>
      <c r="R63" s="67">
        <v>0</v>
      </c>
    </row>
    <row r="64" spans="1:18" ht="15.6" x14ac:dyDescent="0.3">
      <c r="A64" s="169">
        <v>52</v>
      </c>
      <c r="B64" s="205" t="s">
        <v>134</v>
      </c>
      <c r="C64" s="66">
        <v>482.8</v>
      </c>
      <c r="D64" s="66">
        <v>0</v>
      </c>
      <c r="E64" s="66">
        <v>487.67676768000001</v>
      </c>
      <c r="F64" s="66">
        <v>482.8</v>
      </c>
      <c r="G64" s="66">
        <v>4.8767676799999995</v>
      </c>
      <c r="H64" s="66">
        <v>482.8</v>
      </c>
      <c r="I64" s="66">
        <v>0</v>
      </c>
      <c r="J64" s="66">
        <v>487.67676768000001</v>
      </c>
      <c r="K64" s="66">
        <v>482.8</v>
      </c>
      <c r="L64" s="66">
        <v>0</v>
      </c>
      <c r="M64" s="66">
        <v>4.8767676799999995</v>
      </c>
      <c r="N64" s="67">
        <v>100</v>
      </c>
      <c r="O64" s="67">
        <v>100</v>
      </c>
      <c r="P64" s="67">
        <v>1.0000000006561722</v>
      </c>
      <c r="Q64" s="67">
        <v>0</v>
      </c>
      <c r="R64" s="67">
        <v>0</v>
      </c>
    </row>
    <row r="65" spans="1:18" ht="15.6" x14ac:dyDescent="0.3">
      <c r="A65" s="169">
        <v>53</v>
      </c>
      <c r="B65" s="205" t="s">
        <v>137</v>
      </c>
      <c r="C65" s="66">
        <v>391.5</v>
      </c>
      <c r="D65" s="66">
        <v>0</v>
      </c>
      <c r="E65" s="66">
        <v>489.375</v>
      </c>
      <c r="F65" s="66">
        <v>391.5</v>
      </c>
      <c r="G65" s="66">
        <v>97.875</v>
      </c>
      <c r="H65" s="66">
        <v>391.5</v>
      </c>
      <c r="I65" s="66">
        <v>0</v>
      </c>
      <c r="J65" s="66">
        <v>489.375</v>
      </c>
      <c r="K65" s="66">
        <v>391.5</v>
      </c>
      <c r="L65" s="66">
        <v>0</v>
      </c>
      <c r="M65" s="66">
        <v>97.875</v>
      </c>
      <c r="N65" s="67">
        <v>100</v>
      </c>
      <c r="O65" s="67">
        <v>100</v>
      </c>
      <c r="P65" s="67">
        <v>20</v>
      </c>
      <c r="Q65" s="67">
        <v>0</v>
      </c>
      <c r="R65" s="67">
        <v>0</v>
      </c>
    </row>
    <row r="66" spans="1:18" ht="15.6" x14ac:dyDescent="0.3">
      <c r="A66" s="169">
        <v>54</v>
      </c>
      <c r="B66" s="205" t="s">
        <v>140</v>
      </c>
      <c r="C66" s="66">
        <v>700</v>
      </c>
      <c r="D66" s="66">
        <v>0</v>
      </c>
      <c r="E66" s="66">
        <v>736.84210526000004</v>
      </c>
      <c r="F66" s="66">
        <v>700</v>
      </c>
      <c r="G66" s="66">
        <v>36.842105259999997</v>
      </c>
      <c r="H66" s="66">
        <v>700</v>
      </c>
      <c r="I66" s="66">
        <v>0</v>
      </c>
      <c r="J66" s="66">
        <v>736.84210526000004</v>
      </c>
      <c r="K66" s="66">
        <v>700</v>
      </c>
      <c r="L66" s="66">
        <v>0</v>
      </c>
      <c r="M66" s="66">
        <v>36.842105259999997</v>
      </c>
      <c r="N66" s="67">
        <v>100</v>
      </c>
      <c r="O66" s="67">
        <v>100</v>
      </c>
      <c r="P66" s="67">
        <v>4.9999999995928563</v>
      </c>
      <c r="Q66" s="67">
        <v>0</v>
      </c>
      <c r="R66" s="67">
        <v>0</v>
      </c>
    </row>
    <row r="67" spans="1:18" ht="15.6" x14ac:dyDescent="0.3">
      <c r="A67" s="169">
        <v>55</v>
      </c>
      <c r="B67" s="205" t="s">
        <v>143</v>
      </c>
      <c r="C67" s="66">
        <v>70.846900000000005</v>
      </c>
      <c r="D67" s="66">
        <v>0</v>
      </c>
      <c r="E67" s="66">
        <v>70.853986000000006</v>
      </c>
      <c r="F67" s="66">
        <v>70.846900000000005</v>
      </c>
      <c r="G67" s="66">
        <v>7.0860000000000003E-3</v>
      </c>
      <c r="H67" s="66">
        <v>62.219202409999994</v>
      </c>
      <c r="I67" s="66">
        <v>4.4461000000000001E-2</v>
      </c>
      <c r="J67" s="66">
        <v>62.225425539999996</v>
      </c>
      <c r="K67" s="66">
        <v>62.219202409999994</v>
      </c>
      <c r="L67" s="66">
        <v>0</v>
      </c>
      <c r="M67" s="66">
        <v>6.2231300000000003E-3</v>
      </c>
      <c r="N67" s="67">
        <v>87.822053484344394</v>
      </c>
      <c r="O67" s="67">
        <v>87.822890206040086</v>
      </c>
      <c r="P67" s="67">
        <v>1.0000944061040809E-2</v>
      </c>
      <c r="Q67" s="67">
        <v>4.4461000000000001E-2</v>
      </c>
      <c r="R67" s="67">
        <v>-1.6930901125533637E-15</v>
      </c>
    </row>
    <row r="68" spans="1:18" ht="15.6" x14ac:dyDescent="0.3">
      <c r="A68" s="169">
        <v>56</v>
      </c>
      <c r="B68" s="205" t="s">
        <v>146</v>
      </c>
      <c r="C68" s="66">
        <v>299.17270000000002</v>
      </c>
      <c r="D68" s="66">
        <v>0</v>
      </c>
      <c r="E68" s="66">
        <v>318.26882979000004</v>
      </c>
      <c r="F68" s="66">
        <v>299.17270000000002</v>
      </c>
      <c r="G68" s="66">
        <v>19.096129789999999</v>
      </c>
      <c r="H68" s="66">
        <v>240.23306997999998</v>
      </c>
      <c r="I68" s="66">
        <v>0</v>
      </c>
      <c r="J68" s="66">
        <v>255.56709571000002</v>
      </c>
      <c r="K68" s="66">
        <v>240.23306997999998</v>
      </c>
      <c r="L68" s="66">
        <v>0</v>
      </c>
      <c r="M68" s="66">
        <v>15.33402573</v>
      </c>
      <c r="N68" s="67">
        <v>80.299128222595158</v>
      </c>
      <c r="O68" s="67">
        <v>80.299128140770776</v>
      </c>
      <c r="P68" s="67">
        <v>5.9999999950697873</v>
      </c>
      <c r="Q68" s="67">
        <v>0</v>
      </c>
      <c r="R68" s="67">
        <v>0</v>
      </c>
    </row>
    <row r="69" spans="1:18" ht="15.6" x14ac:dyDescent="0.3">
      <c r="A69" s="169">
        <v>57</v>
      </c>
      <c r="B69" s="205" t="s">
        <v>149</v>
      </c>
      <c r="C69" s="66">
        <v>31.306999999999999</v>
      </c>
      <c r="D69" s="66">
        <v>0</v>
      </c>
      <c r="E69" s="66">
        <v>39.064953810000006</v>
      </c>
      <c r="F69" s="66">
        <v>31.306999999999999</v>
      </c>
      <c r="G69" s="66">
        <v>7.7579538099999992</v>
      </c>
      <c r="H69" s="66">
        <v>30.07816863</v>
      </c>
      <c r="I69" s="66">
        <v>2.9057299999999998E-2</v>
      </c>
      <c r="J69" s="66">
        <v>37.500341490000004</v>
      </c>
      <c r="K69" s="66">
        <v>30.07816863</v>
      </c>
      <c r="L69" s="66">
        <v>0</v>
      </c>
      <c r="M69" s="66">
        <v>7.4221728600000008</v>
      </c>
      <c r="N69" s="67">
        <v>96.074899000223596</v>
      </c>
      <c r="O69" s="67">
        <v>95.671784619712781</v>
      </c>
      <c r="P69" s="67">
        <v>19.792280723574819</v>
      </c>
      <c r="Q69" s="67">
        <v>2.9057299999999998E-2</v>
      </c>
      <c r="R69" s="67">
        <v>1.6202317265623378E-15</v>
      </c>
    </row>
    <row r="70" spans="1:18" ht="15.6" x14ac:dyDescent="0.3">
      <c r="A70" s="169">
        <v>58</v>
      </c>
      <c r="B70" s="205" t="s">
        <v>152</v>
      </c>
      <c r="C70" s="66">
        <v>147.32079999999999</v>
      </c>
      <c r="D70" s="66">
        <v>0</v>
      </c>
      <c r="E70" s="66">
        <v>155.0746</v>
      </c>
      <c r="F70" s="66">
        <v>147.32079999999999</v>
      </c>
      <c r="G70" s="66">
        <v>7.7538</v>
      </c>
      <c r="H70" s="66">
        <v>147.32079999999999</v>
      </c>
      <c r="I70" s="66">
        <v>9.68E-4</v>
      </c>
      <c r="J70" s="66">
        <v>155.0746</v>
      </c>
      <c r="K70" s="66">
        <v>147.32079999999999</v>
      </c>
      <c r="L70" s="66">
        <v>0</v>
      </c>
      <c r="M70" s="66">
        <v>7.7538</v>
      </c>
      <c r="N70" s="67">
        <v>100</v>
      </c>
      <c r="O70" s="67">
        <v>100</v>
      </c>
      <c r="P70" s="67">
        <v>5.0000451395650867</v>
      </c>
      <c r="Q70" s="67">
        <v>9.68E-4</v>
      </c>
      <c r="R70" s="67">
        <v>3.0195030503721298E-16</v>
      </c>
    </row>
    <row r="71" spans="1:18" ht="15.6" x14ac:dyDescent="0.3">
      <c r="A71" s="169">
        <v>59</v>
      </c>
      <c r="B71" s="205" t="s">
        <v>155</v>
      </c>
      <c r="C71" s="66">
        <v>126.9</v>
      </c>
      <c r="D71" s="66">
        <v>0</v>
      </c>
      <c r="E71" s="66">
        <v>133.578948</v>
      </c>
      <c r="F71" s="66">
        <v>126.9</v>
      </c>
      <c r="G71" s="66">
        <v>6.6789480000000001</v>
      </c>
      <c r="H71" s="66">
        <v>126.9</v>
      </c>
      <c r="I71" s="66">
        <v>7.2118000000000002E-2</v>
      </c>
      <c r="J71" s="66">
        <v>133.578948</v>
      </c>
      <c r="K71" s="66">
        <v>126.9</v>
      </c>
      <c r="L71" s="66">
        <v>0</v>
      </c>
      <c r="M71" s="66">
        <v>6.6789480000000001</v>
      </c>
      <c r="N71" s="67">
        <v>100</v>
      </c>
      <c r="O71" s="67">
        <v>100</v>
      </c>
      <c r="P71" s="67">
        <v>5.0000004491725747</v>
      </c>
      <c r="Q71" s="67">
        <v>7.2118000000000002E-2</v>
      </c>
      <c r="R71" s="67">
        <v>3.2335245592207684E-15</v>
      </c>
    </row>
    <row r="72" spans="1:18" ht="15.6" x14ac:dyDescent="0.3">
      <c r="A72" s="169">
        <v>60</v>
      </c>
      <c r="B72" s="205" t="s">
        <v>158</v>
      </c>
      <c r="C72" s="66">
        <v>243.1447</v>
      </c>
      <c r="D72" s="66">
        <v>0</v>
      </c>
      <c r="E72" s="66">
        <v>255.9418</v>
      </c>
      <c r="F72" s="66">
        <v>243.1447</v>
      </c>
      <c r="G72" s="66">
        <v>12.7971</v>
      </c>
      <c r="H72" s="66">
        <v>243.14469999000002</v>
      </c>
      <c r="I72" s="66">
        <v>0</v>
      </c>
      <c r="J72" s="66">
        <v>255.94179997999998</v>
      </c>
      <c r="K72" s="66">
        <v>243.14469999000002</v>
      </c>
      <c r="L72" s="66">
        <v>0</v>
      </c>
      <c r="M72" s="66">
        <v>12.79709999</v>
      </c>
      <c r="N72" s="67">
        <v>99.999999995887237</v>
      </c>
      <c r="O72" s="67">
        <v>99.999999921857281</v>
      </c>
      <c r="P72" s="67">
        <v>5.0000039036218391</v>
      </c>
      <c r="Q72" s="67">
        <v>0</v>
      </c>
      <c r="R72" s="67">
        <v>0</v>
      </c>
    </row>
    <row r="73" spans="1:18" ht="15.6" x14ac:dyDescent="0.3">
      <c r="A73" s="169">
        <v>61</v>
      </c>
      <c r="B73" s="205" t="s">
        <v>161</v>
      </c>
      <c r="C73" s="66">
        <v>641</v>
      </c>
      <c r="D73" s="66">
        <v>0</v>
      </c>
      <c r="E73" s="66">
        <v>696.73913042999993</v>
      </c>
      <c r="F73" s="66">
        <v>641</v>
      </c>
      <c r="G73" s="66">
        <v>55.739130430000003</v>
      </c>
      <c r="H73" s="66">
        <v>641</v>
      </c>
      <c r="I73" s="66">
        <v>3.8326965199999998</v>
      </c>
      <c r="J73" s="66">
        <v>696.73913042999993</v>
      </c>
      <c r="K73" s="66">
        <v>641</v>
      </c>
      <c r="L73" s="66">
        <v>0</v>
      </c>
      <c r="M73" s="66">
        <v>55.739130430000003</v>
      </c>
      <c r="N73" s="67">
        <v>100</v>
      </c>
      <c r="O73" s="67">
        <v>100</v>
      </c>
      <c r="P73" s="67">
        <v>7.9999999993684874</v>
      </c>
      <c r="Q73" s="67">
        <v>3.8326965199999998</v>
      </c>
      <c r="R73" s="67">
        <v>1.3322676295501878E-14</v>
      </c>
    </row>
    <row r="74" spans="1:18" ht="15.6" x14ac:dyDescent="0.3">
      <c r="A74" s="169">
        <v>62</v>
      </c>
      <c r="B74" s="205" t="s">
        <v>164</v>
      </c>
      <c r="C74" s="66">
        <v>29.8</v>
      </c>
      <c r="D74" s="66">
        <v>0</v>
      </c>
      <c r="E74" s="66">
        <v>31.368421050000002</v>
      </c>
      <c r="F74" s="66">
        <v>29.8</v>
      </c>
      <c r="G74" s="66">
        <v>1.56842105</v>
      </c>
      <c r="H74" s="66">
        <v>29.8</v>
      </c>
      <c r="I74" s="66">
        <v>0</v>
      </c>
      <c r="J74" s="66">
        <v>31.368421050000002</v>
      </c>
      <c r="K74" s="66">
        <v>29.8</v>
      </c>
      <c r="L74" s="66">
        <v>0</v>
      </c>
      <c r="M74" s="66">
        <v>1.56842105</v>
      </c>
      <c r="N74" s="67">
        <v>100</v>
      </c>
      <c r="O74" s="67">
        <v>100</v>
      </c>
      <c r="P74" s="67">
        <v>4.999999992030201</v>
      </c>
      <c r="Q74" s="67">
        <v>0</v>
      </c>
      <c r="R74" s="67">
        <v>0</v>
      </c>
    </row>
    <row r="75" spans="1:18" ht="15.6" x14ac:dyDescent="0.3">
      <c r="A75" s="169">
        <v>63</v>
      </c>
      <c r="B75" s="205" t="s">
        <v>167</v>
      </c>
      <c r="C75" s="66">
        <v>83</v>
      </c>
      <c r="D75" s="66">
        <v>0</v>
      </c>
      <c r="E75" s="66">
        <v>87.368421060000003</v>
      </c>
      <c r="F75" s="66">
        <v>83</v>
      </c>
      <c r="G75" s="66">
        <v>4.3684210599999993</v>
      </c>
      <c r="H75" s="66">
        <v>83</v>
      </c>
      <c r="I75" s="66">
        <v>1.0631857199999999</v>
      </c>
      <c r="J75" s="66">
        <v>87.368421060000003</v>
      </c>
      <c r="K75" s="66">
        <v>83</v>
      </c>
      <c r="L75" s="66">
        <v>0</v>
      </c>
      <c r="M75" s="66">
        <v>4.3684210599999993</v>
      </c>
      <c r="N75" s="67">
        <v>100</v>
      </c>
      <c r="O75" s="67">
        <v>100</v>
      </c>
      <c r="P75" s="67">
        <v>5.0000000080120479</v>
      </c>
      <c r="Q75" s="67">
        <v>1.0631857199999999</v>
      </c>
      <c r="R75" s="67">
        <v>7.1054273576010019E-15</v>
      </c>
    </row>
    <row r="76" spans="1:18" ht="15.6" x14ac:dyDescent="0.3">
      <c r="A76" s="215">
        <v>64</v>
      </c>
      <c r="B76" s="205" t="s">
        <v>170</v>
      </c>
      <c r="C76" s="66">
        <v>9.3000000000000007</v>
      </c>
      <c r="D76" s="66">
        <v>0</v>
      </c>
      <c r="E76" s="66">
        <v>11.341464999999999</v>
      </c>
      <c r="F76" s="66">
        <v>9.3000000000000007</v>
      </c>
      <c r="G76" s="66">
        <v>2.0414650000000001</v>
      </c>
      <c r="H76" s="66">
        <v>9.3000000000000007</v>
      </c>
      <c r="I76" s="66">
        <v>0</v>
      </c>
      <c r="J76" s="66">
        <v>11.341464999999999</v>
      </c>
      <c r="K76" s="66">
        <v>9.3000000000000007</v>
      </c>
      <c r="L76" s="66">
        <v>0</v>
      </c>
      <c r="M76" s="66">
        <v>2.0414650000000001</v>
      </c>
      <c r="N76" s="67">
        <v>100</v>
      </c>
      <c r="O76" s="67">
        <v>100</v>
      </c>
      <c r="P76" s="67">
        <v>18.00001146236399</v>
      </c>
      <c r="Q76" s="67">
        <v>0</v>
      </c>
      <c r="R76" s="67">
        <v>0</v>
      </c>
    </row>
    <row r="77" spans="1:18" s="62" customFormat="1" ht="15.6" x14ac:dyDescent="0.3">
      <c r="A77" s="202">
        <v>65</v>
      </c>
      <c r="B77" s="203" t="s">
        <v>173</v>
      </c>
      <c r="C77" s="61">
        <v>1050.3232</v>
      </c>
      <c r="D77" s="61">
        <v>0</v>
      </c>
      <c r="E77" s="61">
        <v>1399.5196812600002</v>
      </c>
      <c r="F77" s="61">
        <v>1050.3232</v>
      </c>
      <c r="G77" s="61">
        <v>349.19648126000004</v>
      </c>
      <c r="H77" s="61">
        <v>1049.9886295599999</v>
      </c>
      <c r="I77" s="61">
        <v>1.5014297199999997</v>
      </c>
      <c r="J77" s="61">
        <v>1399.06748023</v>
      </c>
      <c r="K77" s="61">
        <v>1049.9886295199999</v>
      </c>
      <c r="L77" s="61">
        <v>0</v>
      </c>
      <c r="M77" s="61">
        <v>349.07885070999998</v>
      </c>
      <c r="N77" s="61">
        <v>99.968145949741938</v>
      </c>
      <c r="O77" s="61">
        <v>99.96631393604666</v>
      </c>
      <c r="P77" s="61">
        <v>24.950823004806967</v>
      </c>
      <c r="Q77" s="61">
        <v>0.45653488999999997</v>
      </c>
      <c r="R77" s="61">
        <v>1.0448948700000291</v>
      </c>
    </row>
    <row r="78" spans="1:18" ht="15.6" x14ac:dyDescent="0.3">
      <c r="A78" s="169">
        <v>66</v>
      </c>
      <c r="B78" s="205" t="s">
        <v>176</v>
      </c>
      <c r="C78" s="66">
        <v>15</v>
      </c>
      <c r="D78" s="66">
        <v>0</v>
      </c>
      <c r="E78" s="66">
        <v>16.129032259999999</v>
      </c>
      <c r="F78" s="66">
        <v>15</v>
      </c>
      <c r="G78" s="66">
        <v>1.12903226</v>
      </c>
      <c r="H78" s="66">
        <v>15</v>
      </c>
      <c r="I78" s="66">
        <v>0</v>
      </c>
      <c r="J78" s="66">
        <v>16.129032259999999</v>
      </c>
      <c r="K78" s="66">
        <v>15</v>
      </c>
      <c r="L78" s="66">
        <v>0</v>
      </c>
      <c r="M78" s="66">
        <v>1.12903226</v>
      </c>
      <c r="N78" s="67">
        <v>100</v>
      </c>
      <c r="O78" s="67">
        <v>100</v>
      </c>
      <c r="P78" s="67">
        <v>7.00000001116</v>
      </c>
      <c r="Q78" s="67">
        <v>0</v>
      </c>
      <c r="R78" s="67">
        <v>0</v>
      </c>
    </row>
    <row r="79" spans="1:18" ht="15.6" x14ac:dyDescent="0.3">
      <c r="A79" s="169">
        <v>67</v>
      </c>
      <c r="B79" s="205" t="s">
        <v>179</v>
      </c>
      <c r="C79" s="66">
        <v>38.094900000000003</v>
      </c>
      <c r="D79" s="66">
        <v>0</v>
      </c>
      <c r="E79" s="66">
        <v>51.4803</v>
      </c>
      <c r="F79" s="66">
        <v>38.094900000000003</v>
      </c>
      <c r="G79" s="66">
        <v>13.385400000000001</v>
      </c>
      <c r="H79" s="66">
        <v>37.779790420000005</v>
      </c>
      <c r="I79" s="66">
        <v>1.8682E-4</v>
      </c>
      <c r="J79" s="66">
        <v>51.053130979999999</v>
      </c>
      <c r="K79" s="66">
        <v>37.779790380000001</v>
      </c>
      <c r="L79" s="66">
        <v>0</v>
      </c>
      <c r="M79" s="66">
        <v>13.273340599999999</v>
      </c>
      <c r="N79" s="67">
        <v>99.172829906365408</v>
      </c>
      <c r="O79" s="67">
        <v>99.162823673554755</v>
      </c>
      <c r="P79" s="67">
        <v>25.999072623380954</v>
      </c>
      <c r="Q79" s="67">
        <v>1.8682E-4</v>
      </c>
      <c r="R79" s="67">
        <v>4.000000656121847E-8</v>
      </c>
    </row>
    <row r="80" spans="1:18" ht="15.6" x14ac:dyDescent="0.3">
      <c r="A80" s="169">
        <v>68</v>
      </c>
      <c r="B80" s="205" t="s">
        <v>182</v>
      </c>
      <c r="C80" s="66">
        <v>355.61869999999999</v>
      </c>
      <c r="D80" s="66">
        <v>0</v>
      </c>
      <c r="E80" s="66">
        <v>499.73394000000002</v>
      </c>
      <c r="F80" s="66">
        <v>355.61869999999999</v>
      </c>
      <c r="G80" s="66">
        <v>144.11524</v>
      </c>
      <c r="H80" s="66">
        <v>355.59923914999996</v>
      </c>
      <c r="I80" s="66">
        <v>1.5012428999999998</v>
      </c>
      <c r="J80" s="66">
        <v>499.70890800000001</v>
      </c>
      <c r="K80" s="66">
        <v>355.59923914999996</v>
      </c>
      <c r="L80" s="66">
        <v>0</v>
      </c>
      <c r="M80" s="66">
        <v>144.10966884999999</v>
      </c>
      <c r="N80" s="67">
        <v>99.994527607800137</v>
      </c>
      <c r="O80" s="67">
        <v>99.996134239515527</v>
      </c>
      <c r="P80" s="67">
        <v>28.838723213235173</v>
      </c>
      <c r="Q80" s="67">
        <v>0.45634806999999999</v>
      </c>
      <c r="R80" s="67">
        <v>1.0448948300000225</v>
      </c>
    </row>
    <row r="81" spans="1:18" ht="31.2" x14ac:dyDescent="0.3">
      <c r="A81" s="169">
        <v>69</v>
      </c>
      <c r="B81" s="213" t="s">
        <v>300</v>
      </c>
      <c r="C81" s="66">
        <v>3.5259</v>
      </c>
      <c r="D81" s="66">
        <v>0</v>
      </c>
      <c r="E81" s="66">
        <v>5.2479089999999999</v>
      </c>
      <c r="F81" s="66">
        <v>3.5259</v>
      </c>
      <c r="G81" s="66">
        <v>1.7220089999999999</v>
      </c>
      <c r="H81" s="66">
        <v>3.5258999900000001</v>
      </c>
      <c r="I81" s="66">
        <v>0</v>
      </c>
      <c r="J81" s="66">
        <v>5.24790899</v>
      </c>
      <c r="K81" s="66">
        <v>3.5258999900000001</v>
      </c>
      <c r="L81" s="66">
        <v>0</v>
      </c>
      <c r="M81" s="66">
        <v>1.7220089999999999</v>
      </c>
      <c r="N81" s="67">
        <v>99.999999716384465</v>
      </c>
      <c r="O81" s="67">
        <v>100</v>
      </c>
      <c r="P81" s="67">
        <v>32.813240536017751</v>
      </c>
      <c r="Q81" s="67">
        <v>0</v>
      </c>
      <c r="R81" s="67">
        <v>0</v>
      </c>
    </row>
    <row r="82" spans="1:18" ht="31.2" x14ac:dyDescent="0.3">
      <c r="A82" s="169">
        <v>70</v>
      </c>
      <c r="B82" s="213" t="s">
        <v>301</v>
      </c>
      <c r="C82" s="66">
        <v>0</v>
      </c>
      <c r="D82" s="66">
        <v>0</v>
      </c>
      <c r="E82" s="66">
        <v>0</v>
      </c>
      <c r="F82" s="66">
        <v>0</v>
      </c>
      <c r="G82" s="66">
        <v>0</v>
      </c>
      <c r="H82" s="66">
        <v>0</v>
      </c>
      <c r="I82" s="66">
        <v>0</v>
      </c>
      <c r="J82" s="66">
        <v>0</v>
      </c>
      <c r="K82" s="66">
        <v>0</v>
      </c>
      <c r="L82" s="66">
        <v>0</v>
      </c>
      <c r="M82" s="66">
        <v>0</v>
      </c>
      <c r="N82" s="67" t="s">
        <v>1230</v>
      </c>
      <c r="O82" s="67" t="s">
        <v>1230</v>
      </c>
      <c r="P82" s="67">
        <v>0</v>
      </c>
      <c r="Q82" s="67">
        <v>0</v>
      </c>
      <c r="R82" s="67">
        <v>0</v>
      </c>
    </row>
    <row r="83" spans="1:18" ht="15.6" x14ac:dyDescent="0.3">
      <c r="A83" s="215">
        <v>71</v>
      </c>
      <c r="B83" s="205" t="s">
        <v>189</v>
      </c>
      <c r="C83" s="66">
        <v>638.08370000000002</v>
      </c>
      <c r="D83" s="66">
        <v>0</v>
      </c>
      <c r="E83" s="66">
        <v>826.92849999999999</v>
      </c>
      <c r="F83" s="66">
        <v>638.08370000000002</v>
      </c>
      <c r="G83" s="66">
        <v>188.84479999999999</v>
      </c>
      <c r="H83" s="66">
        <v>638.08370000000002</v>
      </c>
      <c r="I83" s="66">
        <v>0</v>
      </c>
      <c r="J83" s="66">
        <v>826.92849999999999</v>
      </c>
      <c r="K83" s="66">
        <v>638.08370000000002</v>
      </c>
      <c r="L83" s="66">
        <v>0</v>
      </c>
      <c r="M83" s="66">
        <v>188.84479999999999</v>
      </c>
      <c r="N83" s="67">
        <v>100</v>
      </c>
      <c r="O83" s="67">
        <v>100</v>
      </c>
      <c r="P83" s="67">
        <v>22.836895813846059</v>
      </c>
      <c r="Q83" s="67">
        <v>0</v>
      </c>
      <c r="R83" s="67">
        <v>0</v>
      </c>
    </row>
    <row r="84" spans="1:18" s="62" customFormat="1" ht="15.6" x14ac:dyDescent="0.3">
      <c r="A84" s="202">
        <v>72</v>
      </c>
      <c r="B84" s="203" t="s">
        <v>192</v>
      </c>
      <c r="C84" s="61">
        <v>520.36740000000009</v>
      </c>
      <c r="D84" s="61">
        <v>0</v>
      </c>
      <c r="E84" s="61">
        <v>607.79915101999995</v>
      </c>
      <c r="F84" s="61">
        <v>520.36740000000009</v>
      </c>
      <c r="G84" s="61">
        <v>87.431751020000007</v>
      </c>
      <c r="H84" s="61">
        <v>519.28306083999996</v>
      </c>
      <c r="I84" s="61">
        <v>20.766008829999997</v>
      </c>
      <c r="J84" s="61">
        <v>606.31408613000008</v>
      </c>
      <c r="K84" s="61">
        <v>519.28306074</v>
      </c>
      <c r="L84" s="61">
        <v>0</v>
      </c>
      <c r="M84" s="61">
        <v>87.031025389999996</v>
      </c>
      <c r="N84" s="61">
        <v>99.791620447399268</v>
      </c>
      <c r="O84" s="61">
        <v>99.541670359651903</v>
      </c>
      <c r="P84" s="61">
        <v>14.354115693650508</v>
      </c>
      <c r="Q84" s="61">
        <v>20.766008829999997</v>
      </c>
      <c r="R84" s="61">
        <v>9.9999988991935143E-8</v>
      </c>
    </row>
    <row r="85" spans="1:18" ht="15.6" x14ac:dyDescent="0.3">
      <c r="A85" s="169">
        <v>73</v>
      </c>
      <c r="B85" s="205" t="s">
        <v>195</v>
      </c>
      <c r="C85" s="66">
        <v>0.35370000000000001</v>
      </c>
      <c r="D85" s="66">
        <v>0</v>
      </c>
      <c r="E85" s="66">
        <v>0.35373536999999999</v>
      </c>
      <c r="F85" s="66">
        <v>0.35370000000000001</v>
      </c>
      <c r="G85" s="66">
        <v>3.5369999999999995E-5</v>
      </c>
      <c r="H85" s="66">
        <v>0.35370000000000001</v>
      </c>
      <c r="I85" s="66">
        <v>0</v>
      </c>
      <c r="J85" s="66">
        <v>0.35373536999999999</v>
      </c>
      <c r="K85" s="66">
        <v>0.35370000000000001</v>
      </c>
      <c r="L85" s="66">
        <v>0</v>
      </c>
      <c r="M85" s="66">
        <v>3.5369999999999995E-5</v>
      </c>
      <c r="N85" s="67">
        <v>100</v>
      </c>
      <c r="O85" s="67">
        <v>100</v>
      </c>
      <c r="P85" s="67">
        <v>9.9990000999899999E-3</v>
      </c>
      <c r="Q85" s="67">
        <v>0</v>
      </c>
      <c r="R85" s="67">
        <v>0</v>
      </c>
    </row>
    <row r="86" spans="1:18" ht="15.6" x14ac:dyDescent="0.3">
      <c r="A86" s="169">
        <v>74</v>
      </c>
      <c r="B86" s="205" t="s">
        <v>201</v>
      </c>
      <c r="C86" s="66">
        <v>9.1600000000000001E-2</v>
      </c>
      <c r="D86" s="66">
        <v>0</v>
      </c>
      <c r="E86" s="66">
        <v>9.642110000000001E-2</v>
      </c>
      <c r="F86" s="66">
        <v>9.1600000000000001E-2</v>
      </c>
      <c r="G86" s="66">
        <v>4.8211E-3</v>
      </c>
      <c r="H86" s="66">
        <v>9.1600000000000001E-2</v>
      </c>
      <c r="I86" s="66">
        <v>0</v>
      </c>
      <c r="J86" s="66">
        <v>9.642110000000001E-2</v>
      </c>
      <c r="K86" s="66">
        <v>9.1600000000000001E-2</v>
      </c>
      <c r="L86" s="66">
        <v>0</v>
      </c>
      <c r="M86" s="66">
        <v>4.8211E-3</v>
      </c>
      <c r="N86" s="67">
        <v>100</v>
      </c>
      <c r="O86" s="67">
        <v>100</v>
      </c>
      <c r="P86" s="67">
        <v>5.0000466702827495</v>
      </c>
      <c r="Q86" s="67">
        <v>0</v>
      </c>
      <c r="R86" s="67">
        <v>0</v>
      </c>
    </row>
    <row r="87" spans="1:18" ht="15.6" x14ac:dyDescent="0.3">
      <c r="A87" s="169">
        <v>75</v>
      </c>
      <c r="B87" s="205" t="s">
        <v>204</v>
      </c>
      <c r="C87" s="66">
        <v>6.3220999999999998</v>
      </c>
      <c r="D87" s="66">
        <v>0</v>
      </c>
      <c r="E87" s="66">
        <v>9.1015890000000006</v>
      </c>
      <c r="F87" s="66">
        <v>6.3220999999999998</v>
      </c>
      <c r="G87" s="66">
        <v>2.7794889999999999</v>
      </c>
      <c r="H87" s="66">
        <v>5.5072827100000001</v>
      </c>
      <c r="I87" s="66">
        <v>0</v>
      </c>
      <c r="J87" s="66">
        <v>7.9412493700000004</v>
      </c>
      <c r="K87" s="66">
        <v>5.5072827100000001</v>
      </c>
      <c r="L87" s="66">
        <v>0</v>
      </c>
      <c r="M87" s="66">
        <v>2.4339666600000003</v>
      </c>
      <c r="N87" s="67">
        <v>87.111603897439153</v>
      </c>
      <c r="O87" s="67">
        <v>87.568853843278404</v>
      </c>
      <c r="P87" s="67">
        <v>30.649669171640685</v>
      </c>
      <c r="Q87" s="67">
        <v>0</v>
      </c>
      <c r="R87" s="67">
        <v>0</v>
      </c>
    </row>
    <row r="88" spans="1:18" ht="15.6" x14ac:dyDescent="0.3">
      <c r="A88" s="169">
        <v>76</v>
      </c>
      <c r="B88" s="205" t="s">
        <v>207</v>
      </c>
      <c r="C88" s="66">
        <v>57</v>
      </c>
      <c r="D88" s="66">
        <v>0</v>
      </c>
      <c r="E88" s="66">
        <v>60</v>
      </c>
      <c r="F88" s="66">
        <v>57</v>
      </c>
      <c r="G88" s="66">
        <v>3</v>
      </c>
      <c r="H88" s="66">
        <v>57</v>
      </c>
      <c r="I88" s="66">
        <v>0</v>
      </c>
      <c r="J88" s="66">
        <v>60</v>
      </c>
      <c r="K88" s="66">
        <v>57</v>
      </c>
      <c r="L88" s="66">
        <v>0</v>
      </c>
      <c r="M88" s="66">
        <v>3</v>
      </c>
      <c r="N88" s="67">
        <v>100</v>
      </c>
      <c r="O88" s="67">
        <v>100</v>
      </c>
      <c r="P88" s="67">
        <v>5</v>
      </c>
      <c r="Q88" s="67">
        <v>0</v>
      </c>
      <c r="R88" s="67">
        <v>0</v>
      </c>
    </row>
    <row r="89" spans="1:18" ht="15.6" x14ac:dyDescent="0.3">
      <c r="A89" s="169">
        <v>77</v>
      </c>
      <c r="B89" s="205" t="s">
        <v>213</v>
      </c>
      <c r="C89" s="66">
        <v>59</v>
      </c>
      <c r="D89" s="66">
        <v>0</v>
      </c>
      <c r="E89" s="66">
        <v>76.623376620000002</v>
      </c>
      <c r="F89" s="66">
        <v>59</v>
      </c>
      <c r="G89" s="66">
        <v>17.623376620000002</v>
      </c>
      <c r="H89" s="66">
        <v>59</v>
      </c>
      <c r="I89" s="66">
        <v>20.463754649999998</v>
      </c>
      <c r="J89" s="66">
        <v>76.623376620000002</v>
      </c>
      <c r="K89" s="66">
        <v>59</v>
      </c>
      <c r="L89" s="66">
        <v>0</v>
      </c>
      <c r="M89" s="66">
        <v>17.623376620000002</v>
      </c>
      <c r="N89" s="67">
        <v>100</v>
      </c>
      <c r="O89" s="67">
        <v>100</v>
      </c>
      <c r="P89" s="67">
        <v>22.999999996606782</v>
      </c>
      <c r="Q89" s="67">
        <v>20.463754649999998</v>
      </c>
      <c r="R89" s="67">
        <v>0</v>
      </c>
    </row>
    <row r="90" spans="1:18" ht="15.6" x14ac:dyDescent="0.3">
      <c r="A90" s="169">
        <v>78</v>
      </c>
      <c r="B90" s="205" t="s">
        <v>216</v>
      </c>
      <c r="C90" s="66">
        <v>29.8</v>
      </c>
      <c r="D90" s="66">
        <v>0</v>
      </c>
      <c r="E90" s="66">
        <v>31.368500000000001</v>
      </c>
      <c r="F90" s="66">
        <v>29.8</v>
      </c>
      <c r="G90" s="66">
        <v>1.5685</v>
      </c>
      <c r="H90" s="66">
        <v>29.8</v>
      </c>
      <c r="I90" s="66">
        <v>0</v>
      </c>
      <c r="J90" s="66">
        <v>31.368500000000001</v>
      </c>
      <c r="K90" s="66">
        <v>29.8</v>
      </c>
      <c r="L90" s="66">
        <v>0</v>
      </c>
      <c r="M90" s="66">
        <v>1.5685</v>
      </c>
      <c r="N90" s="67">
        <v>100</v>
      </c>
      <c r="O90" s="67">
        <v>100</v>
      </c>
      <c r="P90" s="67">
        <v>5.0002390933579868</v>
      </c>
      <c r="Q90" s="67">
        <v>0</v>
      </c>
      <c r="R90" s="67">
        <v>0</v>
      </c>
    </row>
    <row r="91" spans="1:18" ht="15.6" x14ac:dyDescent="0.3">
      <c r="A91" s="169">
        <v>79</v>
      </c>
      <c r="B91" s="205" t="s">
        <v>219</v>
      </c>
      <c r="C91" s="66">
        <v>16.363</v>
      </c>
      <c r="D91" s="66">
        <v>0</v>
      </c>
      <c r="E91" s="66">
        <v>19.714457829999997</v>
      </c>
      <c r="F91" s="66">
        <v>16.363</v>
      </c>
      <c r="G91" s="66">
        <v>3.3514578300000002</v>
      </c>
      <c r="H91" s="66">
        <v>16.093478130000001</v>
      </c>
      <c r="I91" s="66">
        <v>1.5683800000000001E-3</v>
      </c>
      <c r="J91" s="66">
        <v>19.389732679999998</v>
      </c>
      <c r="K91" s="66">
        <v>16.093478130000001</v>
      </c>
      <c r="L91" s="66">
        <v>0</v>
      </c>
      <c r="M91" s="66">
        <v>3.29625455</v>
      </c>
      <c r="N91" s="67">
        <v>98.352857850027505</v>
      </c>
      <c r="O91" s="67">
        <v>98.352857687605152</v>
      </c>
      <c r="P91" s="67">
        <v>16.999999971118736</v>
      </c>
      <c r="Q91" s="67">
        <v>1.5683800000000001E-3</v>
      </c>
      <c r="R91" s="67">
        <v>-1.6295558652457132E-15</v>
      </c>
    </row>
    <row r="92" spans="1:18" ht="15.6" x14ac:dyDescent="0.3">
      <c r="A92" s="169">
        <v>80</v>
      </c>
      <c r="B92" s="205" t="s">
        <v>222</v>
      </c>
      <c r="C92" s="66">
        <v>89.436999999999998</v>
      </c>
      <c r="D92" s="66">
        <v>0</v>
      </c>
      <c r="E92" s="66">
        <v>114.66282052</v>
      </c>
      <c r="F92" s="66">
        <v>89.436999999999998</v>
      </c>
      <c r="G92" s="66">
        <v>25.225820519999999</v>
      </c>
      <c r="H92" s="66">
        <v>89.436999999999998</v>
      </c>
      <c r="I92" s="66">
        <v>0.3006858</v>
      </c>
      <c r="J92" s="66">
        <v>114.66282052</v>
      </c>
      <c r="K92" s="66">
        <v>89.436999999999998</v>
      </c>
      <c r="L92" s="66">
        <v>0</v>
      </c>
      <c r="M92" s="66">
        <v>25.225820519999999</v>
      </c>
      <c r="N92" s="67">
        <v>100</v>
      </c>
      <c r="O92" s="67">
        <v>100</v>
      </c>
      <c r="P92" s="67">
        <v>22.000000004883884</v>
      </c>
      <c r="Q92" s="67">
        <v>0.3006858</v>
      </c>
      <c r="R92" s="67">
        <v>-3.4416913763379853E-15</v>
      </c>
    </row>
    <row r="93" spans="1:18" ht="15.6" x14ac:dyDescent="0.3">
      <c r="A93" s="169">
        <v>81</v>
      </c>
      <c r="B93" s="205" t="s">
        <v>225</v>
      </c>
      <c r="C93" s="66">
        <v>130</v>
      </c>
      <c r="D93" s="66">
        <v>0</v>
      </c>
      <c r="E93" s="66">
        <v>136.842106</v>
      </c>
      <c r="F93" s="66">
        <v>130</v>
      </c>
      <c r="G93" s="66">
        <v>6.8421060000000002</v>
      </c>
      <c r="H93" s="66">
        <v>130</v>
      </c>
      <c r="I93" s="66">
        <v>0</v>
      </c>
      <c r="J93" s="66">
        <v>136.84210589</v>
      </c>
      <c r="K93" s="66">
        <v>129.99999990000001</v>
      </c>
      <c r="L93" s="66">
        <v>0</v>
      </c>
      <c r="M93" s="66">
        <v>6.8421059900000003</v>
      </c>
      <c r="N93" s="67">
        <v>99.999999923076928</v>
      </c>
      <c r="O93" s="67">
        <v>99.999999853846163</v>
      </c>
      <c r="P93" s="67">
        <v>5.0000005082499976</v>
      </c>
      <c r="Q93" s="67">
        <v>0</v>
      </c>
      <c r="R93" s="67">
        <v>9.9999994063182385E-8</v>
      </c>
    </row>
    <row r="94" spans="1:18" ht="15.6" x14ac:dyDescent="0.3">
      <c r="A94" s="169">
        <v>82</v>
      </c>
      <c r="B94" s="205" t="s">
        <v>228</v>
      </c>
      <c r="C94" s="66">
        <v>132</v>
      </c>
      <c r="D94" s="66">
        <v>0</v>
      </c>
      <c r="E94" s="66">
        <v>159.03614458000001</v>
      </c>
      <c r="F94" s="66">
        <v>132</v>
      </c>
      <c r="G94" s="66">
        <v>27.036144579999998</v>
      </c>
      <c r="H94" s="66">
        <v>132</v>
      </c>
      <c r="I94" s="66">
        <v>0</v>
      </c>
      <c r="J94" s="66">
        <v>159.03614458000001</v>
      </c>
      <c r="K94" s="66">
        <v>132</v>
      </c>
      <c r="L94" s="66">
        <v>0</v>
      </c>
      <c r="M94" s="66">
        <v>27.036144579999998</v>
      </c>
      <c r="N94" s="67">
        <v>100</v>
      </c>
      <c r="O94" s="67">
        <v>100</v>
      </c>
      <c r="P94" s="67">
        <v>17.000000000880299</v>
      </c>
      <c r="Q94" s="67">
        <v>0</v>
      </c>
      <c r="R94" s="67">
        <v>0</v>
      </c>
    </row>
    <row r="95" spans="1:18" s="62" customFormat="1" ht="15.6" x14ac:dyDescent="0.3">
      <c r="A95" s="202">
        <v>83</v>
      </c>
      <c r="B95" s="203" t="s">
        <v>231</v>
      </c>
      <c r="C95" s="61">
        <v>897.32849999999985</v>
      </c>
      <c r="D95" s="61">
        <v>0</v>
      </c>
      <c r="E95" s="61">
        <v>1169.2761785599998</v>
      </c>
      <c r="F95" s="61">
        <v>897.32849999999985</v>
      </c>
      <c r="G95" s="61">
        <v>271.94767855999999</v>
      </c>
      <c r="H95" s="61">
        <v>896.07010948000004</v>
      </c>
      <c r="I95" s="61">
        <v>1.2333779699999998</v>
      </c>
      <c r="J95" s="61">
        <v>1167.7992647799999</v>
      </c>
      <c r="K95" s="61">
        <v>896.03660343000001</v>
      </c>
      <c r="L95" s="61">
        <v>0</v>
      </c>
      <c r="M95" s="61">
        <v>271.76266134999997</v>
      </c>
      <c r="N95" s="61">
        <v>99.856028581506123</v>
      </c>
      <c r="O95" s="61">
        <v>99.931965879988496</v>
      </c>
      <c r="P95" s="61">
        <v>23.271350611887648</v>
      </c>
      <c r="Q95" s="61">
        <v>1.2333779699999998</v>
      </c>
      <c r="R95" s="61">
        <v>3.3506049999999107E-2</v>
      </c>
    </row>
    <row r="96" spans="1:18" s="62" customFormat="1" ht="15.6" x14ac:dyDescent="0.3">
      <c r="A96" s="169">
        <v>84</v>
      </c>
      <c r="B96" s="205" t="s">
        <v>198</v>
      </c>
      <c r="C96" s="66">
        <v>20.7166</v>
      </c>
      <c r="D96" s="66">
        <v>0</v>
      </c>
      <c r="E96" s="66">
        <v>22.038936170000003</v>
      </c>
      <c r="F96" s="66">
        <v>20.7166</v>
      </c>
      <c r="G96" s="66">
        <v>1.32233617</v>
      </c>
      <c r="H96" s="66">
        <v>20.7166</v>
      </c>
      <c r="I96" s="66">
        <v>0</v>
      </c>
      <c r="J96" s="66">
        <v>22.038936170000003</v>
      </c>
      <c r="K96" s="66">
        <v>20.7166</v>
      </c>
      <c r="L96" s="66">
        <v>0</v>
      </c>
      <c r="M96" s="66">
        <v>1.32233617</v>
      </c>
      <c r="N96" s="67">
        <v>100</v>
      </c>
      <c r="O96" s="67">
        <v>100</v>
      </c>
      <c r="P96" s="67">
        <v>5.9999999990925144</v>
      </c>
      <c r="Q96" s="67">
        <v>0</v>
      </c>
      <c r="R96" s="67">
        <v>0</v>
      </c>
    </row>
    <row r="97" spans="1:18" ht="15.6" x14ac:dyDescent="0.3">
      <c r="A97" s="169">
        <v>85</v>
      </c>
      <c r="B97" s="205" t="s">
        <v>234</v>
      </c>
      <c r="C97" s="66">
        <v>1.0665</v>
      </c>
      <c r="D97" s="66">
        <v>0</v>
      </c>
      <c r="E97" s="66">
        <v>1.5230368600000002</v>
      </c>
      <c r="F97" s="66">
        <v>1.0665</v>
      </c>
      <c r="G97" s="66">
        <v>0.45653685999999999</v>
      </c>
      <c r="H97" s="66">
        <v>1.0665</v>
      </c>
      <c r="I97" s="66">
        <v>0</v>
      </c>
      <c r="J97" s="66">
        <v>1.5230368600000002</v>
      </c>
      <c r="K97" s="66">
        <v>1.0665</v>
      </c>
      <c r="L97" s="66">
        <v>0</v>
      </c>
      <c r="M97" s="66">
        <v>0.45653685999999999</v>
      </c>
      <c r="N97" s="67">
        <v>100</v>
      </c>
      <c r="O97" s="67">
        <v>100</v>
      </c>
      <c r="P97" s="67">
        <v>29.975430798175161</v>
      </c>
      <c r="Q97" s="67">
        <v>0</v>
      </c>
      <c r="R97" s="67">
        <v>0</v>
      </c>
    </row>
    <row r="98" spans="1:18" ht="15.6" x14ac:dyDescent="0.3">
      <c r="A98" s="169">
        <v>86</v>
      </c>
      <c r="B98" s="205" t="s">
        <v>210</v>
      </c>
      <c r="C98" s="66">
        <v>0.62209999999999999</v>
      </c>
      <c r="D98" s="66">
        <v>0</v>
      </c>
      <c r="E98" s="66">
        <v>0.66180850999999996</v>
      </c>
      <c r="F98" s="66">
        <v>0.62209999999999999</v>
      </c>
      <c r="G98" s="66">
        <v>3.9708510000000002E-2</v>
      </c>
      <c r="H98" s="66">
        <v>0.59030004000000003</v>
      </c>
      <c r="I98" s="66">
        <v>0</v>
      </c>
      <c r="J98" s="66">
        <v>0.62797875999999997</v>
      </c>
      <c r="K98" s="66">
        <v>0.59030004000000003</v>
      </c>
      <c r="L98" s="66">
        <v>0</v>
      </c>
      <c r="M98" s="66">
        <v>3.7678719999999999E-2</v>
      </c>
      <c r="N98" s="67">
        <v>94.888288056582553</v>
      </c>
      <c r="O98" s="67">
        <v>94.888274578925262</v>
      </c>
      <c r="P98" s="67">
        <v>5.999999108250095</v>
      </c>
      <c r="Q98" s="67">
        <v>0</v>
      </c>
      <c r="R98" s="67">
        <v>0</v>
      </c>
    </row>
    <row r="99" spans="1:18" ht="15.6" x14ac:dyDescent="0.3">
      <c r="A99" s="169">
        <v>87</v>
      </c>
      <c r="B99" s="205" t="s">
        <v>237</v>
      </c>
      <c r="C99" s="66">
        <v>43.684199999999997</v>
      </c>
      <c r="D99" s="66">
        <v>0</v>
      </c>
      <c r="E99" s="66">
        <v>45.983368420000005</v>
      </c>
      <c r="F99" s="66">
        <v>43.684199999999997</v>
      </c>
      <c r="G99" s="66">
        <v>2.29916842</v>
      </c>
      <c r="H99" s="66">
        <v>43.644755750000002</v>
      </c>
      <c r="I99" s="66">
        <v>0</v>
      </c>
      <c r="J99" s="66">
        <v>45.941848149999998</v>
      </c>
      <c r="K99" s="66">
        <v>43.644755740000001</v>
      </c>
      <c r="L99" s="66">
        <v>0</v>
      </c>
      <c r="M99" s="66">
        <v>2.2970924100000003</v>
      </c>
      <c r="N99" s="67">
        <v>99.909705889085771</v>
      </c>
      <c r="O99" s="67">
        <v>99.909706049285433</v>
      </c>
      <c r="P99" s="67">
        <v>5.0000000054416631</v>
      </c>
      <c r="Q99" s="67">
        <v>0</v>
      </c>
      <c r="R99" s="67">
        <v>1.000000082740371E-8</v>
      </c>
    </row>
    <row r="100" spans="1:18" ht="15.6" x14ac:dyDescent="0.3">
      <c r="A100" s="169">
        <v>88</v>
      </c>
      <c r="B100" s="205" t="s">
        <v>240</v>
      </c>
      <c r="C100" s="66">
        <v>719.70899999999995</v>
      </c>
      <c r="D100" s="66">
        <v>0</v>
      </c>
      <c r="E100" s="66">
        <v>937.82751580999991</v>
      </c>
      <c r="F100" s="66">
        <v>719.70899999999995</v>
      </c>
      <c r="G100" s="66">
        <v>218.11851580999999</v>
      </c>
      <c r="H100" s="66">
        <v>719.59293914</v>
      </c>
      <c r="I100" s="66">
        <v>0</v>
      </c>
      <c r="J100" s="66">
        <v>937.67663064999999</v>
      </c>
      <c r="K100" s="66">
        <v>719.59293914</v>
      </c>
      <c r="L100" s="66">
        <v>0</v>
      </c>
      <c r="M100" s="66">
        <v>218.08369150999999</v>
      </c>
      <c r="N100" s="67">
        <v>99.983873918486509</v>
      </c>
      <c r="O100" s="67">
        <v>99.984034230257492</v>
      </c>
      <c r="P100" s="67">
        <v>23.257878503255839</v>
      </c>
      <c r="Q100" s="67">
        <v>0</v>
      </c>
      <c r="R100" s="67">
        <v>0</v>
      </c>
    </row>
    <row r="101" spans="1:18" ht="15.6" x14ac:dyDescent="0.3">
      <c r="A101" s="169">
        <v>89</v>
      </c>
      <c r="B101" s="205" t="s">
        <v>243</v>
      </c>
      <c r="C101" s="66">
        <v>0.64549999999999996</v>
      </c>
      <c r="D101" s="66">
        <v>0</v>
      </c>
      <c r="E101" s="66">
        <v>0.76846000000000003</v>
      </c>
      <c r="F101" s="66">
        <v>0.64549999999999996</v>
      </c>
      <c r="G101" s="66">
        <v>0.12296</v>
      </c>
      <c r="H101" s="66">
        <v>0.63676177</v>
      </c>
      <c r="I101" s="66">
        <v>3.8135349999999998E-2</v>
      </c>
      <c r="J101" s="66">
        <v>0.75805723999999997</v>
      </c>
      <c r="K101" s="66">
        <v>0.63676177</v>
      </c>
      <c r="L101" s="66">
        <v>0</v>
      </c>
      <c r="M101" s="66">
        <v>0.12129547</v>
      </c>
      <c r="N101" s="67">
        <v>98.646285050348567</v>
      </c>
      <c r="O101" s="67">
        <v>98.646283344176965</v>
      </c>
      <c r="P101" s="67">
        <v>16.000832602034119</v>
      </c>
      <c r="Q101" s="67">
        <v>3.8135349999999998E-2</v>
      </c>
      <c r="R101" s="67">
        <v>1.3877787807814457E-17</v>
      </c>
    </row>
    <row r="102" spans="1:18" ht="15.6" x14ac:dyDescent="0.3">
      <c r="A102" s="169">
        <v>90</v>
      </c>
      <c r="B102" s="205" t="s">
        <v>246</v>
      </c>
      <c r="C102" s="66">
        <v>104.4418</v>
      </c>
      <c r="D102" s="66">
        <v>0</v>
      </c>
      <c r="E102" s="66">
        <v>152.92715000999999</v>
      </c>
      <c r="F102" s="66">
        <v>104.4418</v>
      </c>
      <c r="G102" s="66">
        <v>48.485350009999998</v>
      </c>
      <c r="H102" s="66">
        <v>104.38354323</v>
      </c>
      <c r="I102" s="66">
        <v>1.1877514199999999</v>
      </c>
      <c r="J102" s="66">
        <v>152.83976489</v>
      </c>
      <c r="K102" s="66">
        <v>104.38354323</v>
      </c>
      <c r="L102" s="66">
        <v>0</v>
      </c>
      <c r="M102" s="66">
        <v>48.456221659999997</v>
      </c>
      <c r="N102" s="67">
        <v>99.944220829208234</v>
      </c>
      <c r="O102" s="67">
        <v>99.939923399554729</v>
      </c>
      <c r="P102" s="67">
        <v>31.703936272654126</v>
      </c>
      <c r="Q102" s="67">
        <v>1.1877514199999999</v>
      </c>
      <c r="R102" s="67">
        <v>-1.9984014443252818E-15</v>
      </c>
    </row>
    <row r="103" spans="1:18" ht="15.6" x14ac:dyDescent="0.3">
      <c r="A103" s="169">
        <v>91</v>
      </c>
      <c r="B103" s="205" t="s">
        <v>249</v>
      </c>
      <c r="C103" s="66">
        <v>0</v>
      </c>
      <c r="D103" s="66">
        <v>0</v>
      </c>
      <c r="E103" s="66">
        <v>0</v>
      </c>
      <c r="F103" s="66">
        <v>0</v>
      </c>
      <c r="G103" s="66">
        <v>0</v>
      </c>
      <c r="H103" s="66">
        <v>0</v>
      </c>
      <c r="I103" s="66">
        <v>0</v>
      </c>
      <c r="J103" s="66">
        <v>0</v>
      </c>
      <c r="K103" s="66">
        <v>0</v>
      </c>
      <c r="L103" s="66">
        <v>0</v>
      </c>
      <c r="M103" s="66">
        <v>0</v>
      </c>
      <c r="N103" s="67" t="s">
        <v>1230</v>
      </c>
      <c r="O103" s="67" t="s">
        <v>1230</v>
      </c>
      <c r="P103" s="67">
        <v>0</v>
      </c>
      <c r="Q103" s="67">
        <v>0</v>
      </c>
      <c r="R103" s="67">
        <v>0</v>
      </c>
    </row>
    <row r="104" spans="1:18" ht="15.6" x14ac:dyDescent="0.3">
      <c r="A104" s="169">
        <v>92</v>
      </c>
      <c r="B104" s="205" t="s">
        <v>252</v>
      </c>
      <c r="C104" s="66">
        <v>2.7881</v>
      </c>
      <c r="D104" s="66">
        <v>0</v>
      </c>
      <c r="E104" s="66">
        <v>3.485125</v>
      </c>
      <c r="F104" s="66">
        <v>2.7881</v>
      </c>
      <c r="G104" s="66">
        <v>0.69702500000000001</v>
      </c>
      <c r="H104" s="66">
        <v>2.7880626400000001</v>
      </c>
      <c r="I104" s="66">
        <v>0</v>
      </c>
      <c r="J104" s="66">
        <v>3.4850782999999996</v>
      </c>
      <c r="K104" s="66">
        <v>2.7880626400000001</v>
      </c>
      <c r="L104" s="66">
        <v>0</v>
      </c>
      <c r="M104" s="66">
        <v>0.69701566000000004</v>
      </c>
      <c r="N104" s="67">
        <v>99.998660019368032</v>
      </c>
      <c r="O104" s="67">
        <v>99.998660019368032</v>
      </c>
      <c r="P104" s="67">
        <v>20.000000000000004</v>
      </c>
      <c r="Q104" s="67">
        <v>0</v>
      </c>
      <c r="R104" s="67">
        <v>0</v>
      </c>
    </row>
    <row r="105" spans="1:18" ht="15.6" x14ac:dyDescent="0.3">
      <c r="A105" s="169">
        <v>93</v>
      </c>
      <c r="B105" s="205" t="s">
        <v>254</v>
      </c>
      <c r="C105" s="66">
        <v>3.6547000000000001</v>
      </c>
      <c r="D105" s="66">
        <v>0</v>
      </c>
      <c r="E105" s="66">
        <v>4.0607777799999996</v>
      </c>
      <c r="F105" s="66">
        <v>3.6547000000000001</v>
      </c>
      <c r="G105" s="66">
        <v>0.40607778000000005</v>
      </c>
      <c r="H105" s="66">
        <v>2.6506469100000003</v>
      </c>
      <c r="I105" s="66">
        <v>7.4911999999999999E-3</v>
      </c>
      <c r="J105" s="66">
        <v>2.9079337599999997</v>
      </c>
      <c r="K105" s="66">
        <v>2.6171408700000001</v>
      </c>
      <c r="L105" s="66">
        <v>0</v>
      </c>
      <c r="M105" s="66">
        <v>0.29079289000000003</v>
      </c>
      <c r="N105" s="67">
        <v>71.610279092675185</v>
      </c>
      <c r="O105" s="67">
        <v>71.610145721344324</v>
      </c>
      <c r="P105" s="67">
        <v>9.999983287102113</v>
      </c>
      <c r="Q105" s="67">
        <v>7.4911999999999999E-3</v>
      </c>
      <c r="R105" s="67">
        <v>3.3506040000000265E-2</v>
      </c>
    </row>
    <row r="106" spans="1:18" ht="15.6" x14ac:dyDescent="0.3">
      <c r="A106" s="169">
        <v>94</v>
      </c>
      <c r="B106" s="205" t="s">
        <v>256</v>
      </c>
      <c r="C106" s="66">
        <v>0</v>
      </c>
      <c r="D106" s="66">
        <v>0</v>
      </c>
      <c r="E106" s="66">
        <v>0</v>
      </c>
      <c r="F106" s="66">
        <v>0</v>
      </c>
      <c r="G106" s="66">
        <v>0</v>
      </c>
      <c r="H106" s="66">
        <v>0</v>
      </c>
      <c r="I106" s="66">
        <v>0</v>
      </c>
      <c r="J106" s="66">
        <v>0</v>
      </c>
      <c r="K106" s="66">
        <v>0</v>
      </c>
      <c r="L106" s="66">
        <v>0</v>
      </c>
      <c r="M106" s="66">
        <v>0</v>
      </c>
      <c r="N106" s="67" t="s">
        <v>1230</v>
      </c>
      <c r="O106" s="67" t="s">
        <v>1230</v>
      </c>
      <c r="P106" s="67">
        <v>0</v>
      </c>
      <c r="Q106" s="67">
        <v>0</v>
      </c>
      <c r="R106" s="67">
        <v>0</v>
      </c>
    </row>
  </sheetData>
  <mergeCells count="18">
    <mergeCell ref="P9:P11"/>
    <mergeCell ref="Q9:Q11"/>
    <mergeCell ref="K10:M10"/>
    <mergeCell ref="I9:I11"/>
    <mergeCell ref="J9:M9"/>
    <mergeCell ref="N9:O10"/>
    <mergeCell ref="D5:E5"/>
    <mergeCell ref="A7:A11"/>
    <mergeCell ref="B7:B11"/>
    <mergeCell ref="C7:R8"/>
    <mergeCell ref="C9:C11"/>
    <mergeCell ref="D9:D11"/>
    <mergeCell ref="E9:G9"/>
    <mergeCell ref="H9:H11"/>
    <mergeCell ref="R9:R11"/>
    <mergeCell ref="E10:E11"/>
    <mergeCell ref="F10:G10"/>
    <mergeCell ref="J10:J11"/>
  </mergeCells>
  <printOptions horizontalCentered="1"/>
  <pageMargins left="0.11811023622047245" right="0.11811023622047245" top="0.35433070866141736" bottom="0.11811023622047245" header="0.31496062992125984" footer="0.31496062992125984"/>
  <pageSetup paperSize="9" scale="42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3"/>
  <dimension ref="A1:AX106"/>
  <sheetViews>
    <sheetView view="pageBreakPreview" zoomScale="60" zoomScaleNormal="60" workbookViewId="0">
      <pane xSplit="2" ySplit="12" topLeftCell="C13" activePane="bottomRight" state="frozen"/>
      <selection activeCell="D21" sqref="D21"/>
      <selection pane="topRight" activeCell="D21" sqref="D21"/>
      <selection pane="bottomLeft" activeCell="D21" sqref="D21"/>
      <selection pane="bottomRight" activeCell="D5" sqref="D5:E5"/>
    </sheetView>
  </sheetViews>
  <sheetFormatPr defaultRowHeight="14.4" outlineLevelCol="1" x14ac:dyDescent="0.3"/>
  <cols>
    <col min="1" max="1" width="5" customWidth="1"/>
    <col min="2" max="2" width="31.44140625" customWidth="1"/>
    <col min="3" max="4" width="18.6640625" customWidth="1"/>
    <col min="5" max="6" width="18.6640625" customWidth="1" outlineLevel="1"/>
    <col min="7" max="15" width="18.6640625" customWidth="1"/>
    <col min="16" max="18" width="18.6640625" customWidth="1" outlineLevel="1"/>
    <col min="19" max="20" width="18.6640625" customWidth="1"/>
    <col min="21" max="22" width="18.6640625" customWidth="1" outlineLevel="1"/>
    <col min="23" max="31" width="18.6640625" customWidth="1"/>
    <col min="32" max="34" width="18.6640625" customWidth="1" outlineLevel="1"/>
    <col min="35" max="36" width="18.6640625" style="126" customWidth="1"/>
    <col min="37" max="38" width="18.6640625" style="126" customWidth="1" outlineLevel="1"/>
    <col min="39" max="47" width="18.6640625" style="126" customWidth="1"/>
    <col min="48" max="50" width="18.6640625" style="126" customWidth="1" outlineLevel="1"/>
  </cols>
  <sheetData>
    <row r="1" spans="1:50" s="126" customFormat="1" ht="15.6" x14ac:dyDescent="0.3">
      <c r="B1" s="127"/>
    </row>
    <row r="2" spans="1:50" s="126" customFormat="1" ht="17.399999999999999" x14ac:dyDescent="0.3">
      <c r="C2" s="254"/>
      <c r="D2" s="252"/>
      <c r="E2" s="252"/>
      <c r="F2" s="252"/>
      <c r="G2" s="252"/>
      <c r="H2" s="252"/>
      <c r="I2" s="252"/>
      <c r="J2" s="252"/>
      <c r="K2" s="252"/>
      <c r="L2" s="252"/>
      <c r="T2" s="252"/>
      <c r="U2" s="252"/>
      <c r="V2" s="252"/>
      <c r="W2" s="252"/>
      <c r="X2" s="252"/>
      <c r="Y2" s="252"/>
      <c r="Z2" s="252"/>
      <c r="AA2" s="252"/>
      <c r="AB2" s="252"/>
      <c r="AJ2" s="252"/>
      <c r="AK2" s="252"/>
      <c r="AL2" s="252"/>
      <c r="AM2" s="252"/>
      <c r="AN2" s="252"/>
      <c r="AO2" s="252"/>
      <c r="AP2" s="252"/>
      <c r="AQ2" s="252"/>
      <c r="AR2" s="252"/>
    </row>
    <row r="3" spans="1:50" s="126" customFormat="1" ht="20.25" customHeight="1" x14ac:dyDescent="0.35">
      <c r="A3" s="128"/>
      <c r="B3" s="128"/>
      <c r="C3" s="252"/>
      <c r="D3" s="252"/>
      <c r="E3" s="252"/>
      <c r="F3" s="252"/>
      <c r="G3" s="252"/>
      <c r="H3" s="252"/>
      <c r="I3" s="252"/>
      <c r="J3" s="252"/>
      <c r="K3" s="252"/>
      <c r="L3" s="252"/>
      <c r="M3" s="38"/>
      <c r="N3" s="38"/>
      <c r="O3" s="38"/>
      <c r="P3" s="38"/>
      <c r="S3" s="253"/>
      <c r="T3" s="253"/>
      <c r="U3" s="253"/>
      <c r="V3" s="253"/>
      <c r="W3" s="253"/>
      <c r="X3" s="253"/>
      <c r="Y3" s="253"/>
      <c r="Z3" s="253"/>
      <c r="AA3" s="253"/>
      <c r="AB3" s="253"/>
      <c r="AC3" s="38"/>
      <c r="AD3" s="38"/>
      <c r="AE3" s="38"/>
      <c r="AF3" s="38"/>
      <c r="AS3" s="38"/>
      <c r="AT3" s="38"/>
      <c r="AU3" s="38"/>
      <c r="AV3" s="38"/>
    </row>
    <row r="4" spans="1:50" s="126" customFormat="1" ht="20.25" customHeight="1" x14ac:dyDescent="0.35">
      <c r="A4" s="128"/>
      <c r="B4" s="128"/>
      <c r="C4" s="252"/>
      <c r="D4" s="252"/>
      <c r="E4" s="252"/>
      <c r="F4" s="252"/>
      <c r="G4" s="252"/>
      <c r="H4" s="252"/>
      <c r="I4" s="252"/>
      <c r="J4" s="252"/>
      <c r="K4" s="252"/>
      <c r="L4" s="252"/>
      <c r="M4" s="38"/>
      <c r="N4" s="38"/>
      <c r="O4" s="38"/>
      <c r="P4" s="38"/>
      <c r="T4" s="40"/>
      <c r="U4" s="40"/>
      <c r="V4" s="40"/>
      <c r="W4" s="40"/>
      <c r="X4" s="40"/>
      <c r="Y4" s="40"/>
      <c r="Z4" s="40"/>
      <c r="AA4" s="40"/>
      <c r="AB4" s="40"/>
      <c r="AC4" s="38"/>
      <c r="AD4" s="38"/>
      <c r="AE4" s="38"/>
      <c r="AF4" s="38"/>
      <c r="AJ4" s="40"/>
      <c r="AK4" s="40"/>
      <c r="AL4" s="40"/>
      <c r="AM4" s="40"/>
      <c r="AN4" s="40"/>
      <c r="AO4" s="40"/>
      <c r="AP4" s="40"/>
      <c r="AQ4" s="40"/>
      <c r="AR4" s="40"/>
      <c r="AS4" s="38"/>
      <c r="AT4" s="38"/>
      <c r="AU4" s="38"/>
      <c r="AV4" s="38"/>
    </row>
    <row r="5" spans="1:50" s="126" customFormat="1" ht="20.399999999999999" x14ac:dyDescent="0.35">
      <c r="A5" s="128"/>
      <c r="B5" s="128"/>
      <c r="D5" s="322" t="s">
        <v>1231</v>
      </c>
      <c r="E5" s="322"/>
      <c r="F5" s="257"/>
      <c r="G5" s="42"/>
      <c r="H5" s="43"/>
      <c r="I5" s="43"/>
      <c r="T5" s="355"/>
      <c r="U5" s="355"/>
      <c r="V5" s="257"/>
      <c r="W5" s="42"/>
      <c r="X5" s="43"/>
      <c r="Y5" s="43"/>
      <c r="AJ5" s="355"/>
      <c r="AK5" s="355"/>
      <c r="AL5" s="257"/>
      <c r="AM5" s="42"/>
      <c r="AN5" s="43"/>
      <c r="AO5" s="43"/>
    </row>
    <row r="6" spans="1:50" ht="15.6" x14ac:dyDescent="0.3">
      <c r="B6" s="44" t="s">
        <v>1229</v>
      </c>
      <c r="C6" s="76"/>
      <c r="Q6" s="76"/>
      <c r="R6" s="76"/>
      <c r="S6" s="76"/>
      <c r="AG6" s="76"/>
      <c r="AH6" s="76"/>
      <c r="AI6" s="76"/>
      <c r="AW6" s="76"/>
      <c r="AX6" s="76"/>
    </row>
    <row r="7" spans="1:50" ht="15" customHeight="1" x14ac:dyDescent="0.3">
      <c r="A7" s="326" t="s">
        <v>284</v>
      </c>
      <c r="B7" s="326" t="s">
        <v>285</v>
      </c>
      <c r="C7" s="335" t="s">
        <v>1064</v>
      </c>
      <c r="D7" s="336"/>
      <c r="E7" s="336"/>
      <c r="F7" s="336"/>
      <c r="G7" s="336"/>
      <c r="H7" s="336"/>
      <c r="I7" s="336"/>
      <c r="J7" s="336"/>
      <c r="K7" s="336"/>
      <c r="L7" s="336"/>
      <c r="M7" s="336"/>
      <c r="N7" s="336"/>
      <c r="O7" s="336"/>
      <c r="P7" s="336"/>
      <c r="Q7" s="336"/>
      <c r="R7" s="336"/>
      <c r="S7" s="336" t="s">
        <v>1065</v>
      </c>
      <c r="T7" s="336"/>
      <c r="U7" s="336"/>
      <c r="V7" s="336"/>
      <c r="W7" s="336"/>
      <c r="X7" s="336"/>
      <c r="Y7" s="336"/>
      <c r="Z7" s="336"/>
      <c r="AA7" s="336"/>
      <c r="AB7" s="336"/>
      <c r="AC7" s="336"/>
      <c r="AD7" s="336"/>
      <c r="AE7" s="336"/>
      <c r="AF7" s="336"/>
      <c r="AG7" s="336"/>
      <c r="AH7" s="336"/>
      <c r="AI7" s="340" t="s">
        <v>1205</v>
      </c>
      <c r="AJ7" s="340"/>
      <c r="AK7" s="340"/>
      <c r="AL7" s="340"/>
      <c r="AM7" s="340"/>
      <c r="AN7" s="340"/>
      <c r="AO7" s="340"/>
      <c r="AP7" s="340"/>
      <c r="AQ7" s="340"/>
      <c r="AR7" s="340"/>
      <c r="AS7" s="340"/>
      <c r="AT7" s="340"/>
      <c r="AU7" s="340"/>
      <c r="AV7" s="340"/>
      <c r="AW7" s="340"/>
      <c r="AX7" s="340"/>
    </row>
    <row r="8" spans="1:50" ht="6" customHeight="1" thickBot="1" x14ac:dyDescent="0.35">
      <c r="A8" s="326"/>
      <c r="B8" s="326"/>
      <c r="C8" s="335"/>
      <c r="D8" s="336"/>
      <c r="E8" s="336"/>
      <c r="F8" s="336"/>
      <c r="G8" s="336"/>
      <c r="H8" s="336"/>
      <c r="I8" s="336"/>
      <c r="J8" s="336"/>
      <c r="K8" s="336"/>
      <c r="L8" s="336"/>
      <c r="M8" s="336"/>
      <c r="N8" s="336"/>
      <c r="O8" s="336"/>
      <c r="P8" s="336"/>
      <c r="Q8" s="336"/>
      <c r="R8" s="336"/>
      <c r="S8" s="336"/>
      <c r="T8" s="336"/>
      <c r="U8" s="336"/>
      <c r="V8" s="336"/>
      <c r="W8" s="336"/>
      <c r="X8" s="336"/>
      <c r="Y8" s="336"/>
      <c r="Z8" s="336"/>
      <c r="AA8" s="336"/>
      <c r="AB8" s="336"/>
      <c r="AC8" s="336"/>
      <c r="AD8" s="336"/>
      <c r="AE8" s="336"/>
      <c r="AF8" s="336"/>
      <c r="AG8" s="336"/>
      <c r="AH8" s="336"/>
      <c r="AI8" s="340"/>
      <c r="AJ8" s="340"/>
      <c r="AK8" s="340"/>
      <c r="AL8" s="340"/>
      <c r="AM8" s="340"/>
      <c r="AN8" s="340"/>
      <c r="AO8" s="340"/>
      <c r="AP8" s="340"/>
      <c r="AQ8" s="340"/>
      <c r="AR8" s="340"/>
      <c r="AS8" s="340"/>
      <c r="AT8" s="340"/>
      <c r="AU8" s="340"/>
      <c r="AV8" s="340"/>
      <c r="AW8" s="341"/>
      <c r="AX8" s="341"/>
    </row>
    <row r="9" spans="1:50" ht="15" customHeight="1" x14ac:dyDescent="0.3">
      <c r="A9" s="326"/>
      <c r="B9" s="326"/>
      <c r="C9" s="301" t="s">
        <v>1052</v>
      </c>
      <c r="D9" s="316" t="s">
        <v>1053</v>
      </c>
      <c r="E9" s="316" t="s">
        <v>287</v>
      </c>
      <c r="F9" s="316"/>
      <c r="G9" s="316"/>
      <c r="H9" s="316" t="s">
        <v>312</v>
      </c>
      <c r="I9" s="316" t="s">
        <v>262</v>
      </c>
      <c r="J9" s="316" t="s">
        <v>288</v>
      </c>
      <c r="K9" s="316"/>
      <c r="L9" s="316"/>
      <c r="M9" s="316"/>
      <c r="N9" s="331" t="s">
        <v>289</v>
      </c>
      <c r="O9" s="331"/>
      <c r="P9" s="316" t="s">
        <v>290</v>
      </c>
      <c r="Q9" s="316" t="s">
        <v>266</v>
      </c>
      <c r="R9" s="316" t="s">
        <v>291</v>
      </c>
      <c r="S9" s="301" t="s">
        <v>1052</v>
      </c>
      <c r="T9" s="302" t="s">
        <v>1053</v>
      </c>
      <c r="U9" s="302" t="s">
        <v>287</v>
      </c>
      <c r="V9" s="302"/>
      <c r="W9" s="302"/>
      <c r="X9" s="302" t="s">
        <v>312</v>
      </c>
      <c r="Y9" s="302" t="s">
        <v>262</v>
      </c>
      <c r="Z9" s="302" t="s">
        <v>288</v>
      </c>
      <c r="AA9" s="302"/>
      <c r="AB9" s="302"/>
      <c r="AC9" s="302"/>
      <c r="AD9" s="317" t="s">
        <v>289</v>
      </c>
      <c r="AE9" s="317"/>
      <c r="AF9" s="302" t="s">
        <v>290</v>
      </c>
      <c r="AG9" s="302" t="s">
        <v>266</v>
      </c>
      <c r="AH9" s="302" t="s">
        <v>291</v>
      </c>
      <c r="AI9" s="301" t="s">
        <v>1052</v>
      </c>
      <c r="AJ9" s="302" t="s">
        <v>1053</v>
      </c>
      <c r="AK9" s="302" t="s">
        <v>287</v>
      </c>
      <c r="AL9" s="302"/>
      <c r="AM9" s="302"/>
      <c r="AN9" s="302" t="s">
        <v>312</v>
      </c>
      <c r="AO9" s="302" t="s">
        <v>262</v>
      </c>
      <c r="AP9" s="302" t="s">
        <v>288</v>
      </c>
      <c r="AQ9" s="302"/>
      <c r="AR9" s="302"/>
      <c r="AS9" s="302"/>
      <c r="AT9" s="317" t="s">
        <v>289</v>
      </c>
      <c r="AU9" s="317"/>
      <c r="AV9" s="302" t="s">
        <v>290</v>
      </c>
      <c r="AW9" s="269" t="s">
        <v>266</v>
      </c>
      <c r="AX9" s="269" t="s">
        <v>291</v>
      </c>
    </row>
    <row r="10" spans="1:50" ht="15" customHeight="1" x14ac:dyDescent="0.3">
      <c r="A10" s="326"/>
      <c r="B10" s="326"/>
      <c r="C10" s="265"/>
      <c r="D10" s="269"/>
      <c r="E10" s="269" t="s">
        <v>292</v>
      </c>
      <c r="F10" s="269" t="s">
        <v>293</v>
      </c>
      <c r="G10" s="269"/>
      <c r="H10" s="269"/>
      <c r="I10" s="269"/>
      <c r="J10" s="269" t="s">
        <v>292</v>
      </c>
      <c r="K10" s="269" t="s">
        <v>294</v>
      </c>
      <c r="L10" s="269"/>
      <c r="M10" s="269"/>
      <c r="N10" s="318"/>
      <c r="O10" s="318"/>
      <c r="P10" s="269"/>
      <c r="Q10" s="269"/>
      <c r="R10" s="269"/>
      <c r="S10" s="265"/>
      <c r="T10" s="269"/>
      <c r="U10" s="269" t="s">
        <v>292</v>
      </c>
      <c r="V10" s="269" t="s">
        <v>293</v>
      </c>
      <c r="W10" s="269"/>
      <c r="X10" s="269"/>
      <c r="Y10" s="269"/>
      <c r="Z10" s="269" t="s">
        <v>292</v>
      </c>
      <c r="AA10" s="269" t="s">
        <v>294</v>
      </c>
      <c r="AB10" s="269"/>
      <c r="AC10" s="269"/>
      <c r="AD10" s="318"/>
      <c r="AE10" s="318"/>
      <c r="AF10" s="269"/>
      <c r="AG10" s="269"/>
      <c r="AH10" s="269"/>
      <c r="AI10" s="265"/>
      <c r="AJ10" s="269"/>
      <c r="AK10" s="269" t="s">
        <v>292</v>
      </c>
      <c r="AL10" s="269" t="s">
        <v>293</v>
      </c>
      <c r="AM10" s="269"/>
      <c r="AN10" s="269"/>
      <c r="AO10" s="269"/>
      <c r="AP10" s="269" t="s">
        <v>292</v>
      </c>
      <c r="AQ10" s="269" t="s">
        <v>294</v>
      </c>
      <c r="AR10" s="269"/>
      <c r="AS10" s="269"/>
      <c r="AT10" s="318"/>
      <c r="AU10" s="318"/>
      <c r="AV10" s="269"/>
      <c r="AW10" s="269"/>
      <c r="AX10" s="269"/>
    </row>
    <row r="11" spans="1:50" ht="96.6" x14ac:dyDescent="0.3">
      <c r="A11" s="326"/>
      <c r="B11" s="326"/>
      <c r="C11" s="302"/>
      <c r="D11" s="269"/>
      <c r="E11" s="269"/>
      <c r="F11" s="99" t="s">
        <v>259</v>
      </c>
      <c r="G11" s="99" t="s">
        <v>260</v>
      </c>
      <c r="H11" s="269"/>
      <c r="I11" s="269"/>
      <c r="J11" s="269"/>
      <c r="K11" s="99" t="s">
        <v>264</v>
      </c>
      <c r="L11" s="99" t="s">
        <v>303</v>
      </c>
      <c r="M11" s="99" t="s">
        <v>260</v>
      </c>
      <c r="N11" s="99" t="s">
        <v>911</v>
      </c>
      <c r="O11" s="99" t="s">
        <v>295</v>
      </c>
      <c r="P11" s="269"/>
      <c r="Q11" s="269"/>
      <c r="R11" s="269"/>
      <c r="S11" s="302"/>
      <c r="T11" s="269"/>
      <c r="U11" s="269"/>
      <c r="V11" s="99" t="s">
        <v>259</v>
      </c>
      <c r="W11" s="99" t="s">
        <v>260</v>
      </c>
      <c r="X11" s="269"/>
      <c r="Y11" s="269"/>
      <c r="Z11" s="269"/>
      <c r="AA11" s="99" t="s">
        <v>264</v>
      </c>
      <c r="AB11" s="99" t="s">
        <v>303</v>
      </c>
      <c r="AC11" s="99" t="s">
        <v>260</v>
      </c>
      <c r="AD11" s="99" t="s">
        <v>911</v>
      </c>
      <c r="AE11" s="99" t="s">
        <v>295</v>
      </c>
      <c r="AF11" s="269"/>
      <c r="AG11" s="269"/>
      <c r="AH11" s="269"/>
      <c r="AI11" s="302"/>
      <c r="AJ11" s="269"/>
      <c r="AK11" s="269"/>
      <c r="AL11" s="188" t="s">
        <v>259</v>
      </c>
      <c r="AM11" s="188" t="s">
        <v>260</v>
      </c>
      <c r="AN11" s="269"/>
      <c r="AO11" s="269"/>
      <c r="AP11" s="269"/>
      <c r="AQ11" s="188" t="s">
        <v>264</v>
      </c>
      <c r="AR11" s="188" t="s">
        <v>303</v>
      </c>
      <c r="AS11" s="188" t="s">
        <v>260</v>
      </c>
      <c r="AT11" s="188" t="s">
        <v>911</v>
      </c>
      <c r="AU11" s="188" t="s">
        <v>295</v>
      </c>
      <c r="AV11" s="269"/>
      <c r="AW11" s="269"/>
      <c r="AX11" s="269"/>
    </row>
    <row r="12" spans="1:50" ht="26.4" customHeight="1" x14ac:dyDescent="0.3">
      <c r="A12" s="199" t="s">
        <v>2</v>
      </c>
      <c r="B12" s="200" t="s">
        <v>3</v>
      </c>
      <c r="C12" s="53">
        <v>7853.370899999999</v>
      </c>
      <c r="D12" s="53">
        <v>0</v>
      </c>
      <c r="E12" s="53">
        <v>9259.0373770099977</v>
      </c>
      <c r="F12" s="53">
        <v>7853.370899999999</v>
      </c>
      <c r="G12" s="53">
        <v>1405.6664770100001</v>
      </c>
      <c r="H12" s="53">
        <v>7686.6477043500008</v>
      </c>
      <c r="I12" s="53">
        <v>18.997625350000003</v>
      </c>
      <c r="J12" s="53">
        <v>9034.4897799499995</v>
      </c>
      <c r="K12" s="53">
        <v>7685.80320355</v>
      </c>
      <c r="L12" s="53">
        <v>0</v>
      </c>
      <c r="M12" s="53">
        <v>1348.6865763999999</v>
      </c>
      <c r="N12" s="53">
        <v>97.866295905494553</v>
      </c>
      <c r="O12" s="53">
        <v>95.946413922369231</v>
      </c>
      <c r="P12" s="53">
        <v>14.928198595045222</v>
      </c>
      <c r="Q12" s="53">
        <v>18.997625350000003</v>
      </c>
      <c r="R12" s="53">
        <v>0.84450080000001715</v>
      </c>
      <c r="S12" s="53">
        <v>5811.5709000000006</v>
      </c>
      <c r="T12" s="53">
        <v>0</v>
      </c>
      <c r="U12" s="53">
        <v>7107.7753537299996</v>
      </c>
      <c r="V12" s="53">
        <v>5811.5709000000006</v>
      </c>
      <c r="W12" s="53">
        <v>1296.2044537300001</v>
      </c>
      <c r="X12" s="53">
        <v>5680.6316572200012</v>
      </c>
      <c r="Y12" s="53">
        <v>18.997625350000003</v>
      </c>
      <c r="Z12" s="53">
        <v>6924.7401625800003</v>
      </c>
      <c r="AA12" s="53">
        <v>5679.7871564200013</v>
      </c>
      <c r="AB12" s="53">
        <v>0</v>
      </c>
      <c r="AC12" s="53">
        <v>1244.9530061599999</v>
      </c>
      <c r="AD12" s="53">
        <v>97.732390332190576</v>
      </c>
      <c r="AE12" s="53">
        <v>96.046036763527738</v>
      </c>
      <c r="AF12" s="53">
        <v>17.978335315561626</v>
      </c>
      <c r="AG12" s="53">
        <v>18.997625350000003</v>
      </c>
      <c r="AH12" s="53">
        <v>0.84450080000003847</v>
      </c>
      <c r="AI12" s="80">
        <v>2041.8</v>
      </c>
      <c r="AJ12" s="53">
        <v>0</v>
      </c>
      <c r="AK12" s="53">
        <v>2151.26202328</v>
      </c>
      <c r="AL12" s="53">
        <v>2041.8</v>
      </c>
      <c r="AM12" s="53">
        <v>109.46202328</v>
      </c>
      <c r="AN12" s="53">
        <v>2006.0160471300001</v>
      </c>
      <c r="AO12" s="53">
        <v>0</v>
      </c>
      <c r="AP12" s="53">
        <v>2109.7496173700001</v>
      </c>
      <c r="AQ12" s="53">
        <v>2006.0160471300001</v>
      </c>
      <c r="AR12" s="53">
        <v>0</v>
      </c>
      <c r="AS12" s="53">
        <v>103.73357024000001</v>
      </c>
      <c r="AT12" s="53">
        <v>98.247431047605062</v>
      </c>
      <c r="AU12" s="53">
        <v>94.76672103406419</v>
      </c>
      <c r="AV12" s="53">
        <v>4.9168664085036591</v>
      </c>
      <c r="AW12" s="53">
        <v>0</v>
      </c>
      <c r="AX12" s="53">
        <v>0</v>
      </c>
    </row>
    <row r="13" spans="1:50" ht="31.2" hidden="1" x14ac:dyDescent="0.3">
      <c r="A13" s="199"/>
      <c r="B13" s="55" t="s">
        <v>296</v>
      </c>
      <c r="C13" s="80"/>
      <c r="D13" s="53"/>
      <c r="E13" s="53"/>
      <c r="F13" s="8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80"/>
      <c r="T13" s="53"/>
      <c r="U13" s="53"/>
      <c r="V13" s="83"/>
      <c r="W13" s="53"/>
      <c r="X13" s="53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80"/>
      <c r="AJ13" s="53"/>
      <c r="AK13" s="53"/>
      <c r="AL13" s="83"/>
      <c r="AM13" s="53"/>
      <c r="AN13" s="53"/>
      <c r="AO13" s="53"/>
      <c r="AP13" s="53"/>
      <c r="AQ13" s="53"/>
      <c r="AR13" s="53"/>
      <c r="AS13" s="53"/>
      <c r="AT13" s="53"/>
      <c r="AU13" s="53"/>
      <c r="AV13" s="53"/>
      <c r="AW13" s="53"/>
      <c r="AX13" s="53"/>
    </row>
    <row r="14" spans="1:50" ht="15.6" x14ac:dyDescent="0.3">
      <c r="A14" s="202" t="s">
        <v>6</v>
      </c>
      <c r="B14" s="203" t="s">
        <v>7</v>
      </c>
      <c r="C14" s="61">
        <v>1207.1177000000002</v>
      </c>
      <c r="D14" s="61">
        <v>0</v>
      </c>
      <c r="E14" s="61">
        <v>1597.6744912699999</v>
      </c>
      <c r="F14" s="61">
        <v>1207.1177000000002</v>
      </c>
      <c r="G14" s="61">
        <v>390.55679126999996</v>
      </c>
      <c r="H14" s="61">
        <v>1193.5311269400001</v>
      </c>
      <c r="I14" s="61">
        <v>0.67964122000000005</v>
      </c>
      <c r="J14" s="61">
        <v>1580.9659497999999</v>
      </c>
      <c r="K14" s="61">
        <v>1193.5311269400001</v>
      </c>
      <c r="L14" s="61">
        <v>0</v>
      </c>
      <c r="M14" s="61">
        <v>387.43482285999994</v>
      </c>
      <c r="N14" s="61">
        <v>98.87446161546633</v>
      </c>
      <c r="O14" s="61">
        <v>99.200636506704157</v>
      </c>
      <c r="P14" s="61">
        <v>24.506209188693305</v>
      </c>
      <c r="Q14" s="61">
        <v>0.67964122000000005</v>
      </c>
      <c r="R14" s="61">
        <v>7.688294445529209E-15</v>
      </c>
      <c r="S14" s="61">
        <v>1186.7357000000002</v>
      </c>
      <c r="T14" s="61">
        <v>0</v>
      </c>
      <c r="U14" s="61">
        <v>1576.5658844699997</v>
      </c>
      <c r="V14" s="61">
        <v>1186.7357000000002</v>
      </c>
      <c r="W14" s="61">
        <v>389.83018446999995</v>
      </c>
      <c r="X14" s="61">
        <v>1173.1491269400001</v>
      </c>
      <c r="Y14" s="61">
        <v>0.67964122000000005</v>
      </c>
      <c r="Z14" s="61">
        <v>1559.8573429999999</v>
      </c>
      <c r="AA14" s="61">
        <v>1173.1491269400001</v>
      </c>
      <c r="AB14" s="61">
        <v>0</v>
      </c>
      <c r="AC14" s="61">
        <v>386.70821605999993</v>
      </c>
      <c r="AD14" s="61">
        <v>98.855130669786035</v>
      </c>
      <c r="AE14" s="61">
        <v>99.199146568333447</v>
      </c>
      <c r="AF14" s="61">
        <v>24.791255289811456</v>
      </c>
      <c r="AG14" s="61">
        <v>0.67964122000000005</v>
      </c>
      <c r="AH14" s="61">
        <v>7.688294445529209E-15</v>
      </c>
      <c r="AI14" s="238">
        <v>20.381999999999998</v>
      </c>
      <c r="AJ14" s="61">
        <v>0</v>
      </c>
      <c r="AK14" s="61">
        <v>21.1086068</v>
      </c>
      <c r="AL14" s="61">
        <v>20.381999999999998</v>
      </c>
      <c r="AM14" s="61">
        <v>0.7266068</v>
      </c>
      <c r="AN14" s="61">
        <v>20.381999999999998</v>
      </c>
      <c r="AO14" s="61">
        <v>0</v>
      </c>
      <c r="AP14" s="61">
        <v>21.1086068</v>
      </c>
      <c r="AQ14" s="61">
        <v>20.381999999999998</v>
      </c>
      <c r="AR14" s="61">
        <v>0</v>
      </c>
      <c r="AS14" s="61">
        <v>0.7266068</v>
      </c>
      <c r="AT14" s="61">
        <v>100</v>
      </c>
      <c r="AU14" s="61">
        <v>100</v>
      </c>
      <c r="AV14" s="61">
        <v>3.4422300196524578</v>
      </c>
      <c r="AW14" s="61">
        <v>0</v>
      </c>
      <c r="AX14" s="61">
        <v>0</v>
      </c>
    </row>
    <row r="15" spans="1:50" ht="15.6" x14ac:dyDescent="0.3">
      <c r="A15" s="169" t="s">
        <v>9</v>
      </c>
      <c r="B15" s="205" t="s">
        <v>10</v>
      </c>
      <c r="C15" s="66">
        <v>81.689700000000002</v>
      </c>
      <c r="D15" s="66">
        <v>0</v>
      </c>
      <c r="E15" s="66">
        <v>103.40468355</v>
      </c>
      <c r="F15" s="66">
        <v>81.689700000000002</v>
      </c>
      <c r="G15" s="66">
        <v>21.714983549999999</v>
      </c>
      <c r="H15" s="66">
        <v>81.689700000000002</v>
      </c>
      <c r="I15" s="66">
        <v>0</v>
      </c>
      <c r="J15" s="66">
        <v>103.40468355</v>
      </c>
      <c r="K15" s="66">
        <v>81.689700000000002</v>
      </c>
      <c r="L15" s="66">
        <v>0</v>
      </c>
      <c r="M15" s="66">
        <v>21.714983549999999</v>
      </c>
      <c r="N15" s="67">
        <v>100</v>
      </c>
      <c r="O15" s="67">
        <v>100</v>
      </c>
      <c r="P15" s="67">
        <v>21.000000004351833</v>
      </c>
      <c r="Q15" s="66">
        <v>0</v>
      </c>
      <c r="R15" s="67">
        <v>0</v>
      </c>
      <c r="S15" s="66">
        <v>81.689700000000002</v>
      </c>
      <c r="T15" s="66">
        <v>0</v>
      </c>
      <c r="U15" s="66">
        <v>103.40468355</v>
      </c>
      <c r="V15" s="66">
        <v>81.689700000000002</v>
      </c>
      <c r="W15" s="66">
        <v>21.714983549999999</v>
      </c>
      <c r="X15" s="66">
        <v>81.689700000000002</v>
      </c>
      <c r="Y15" s="66">
        <v>0</v>
      </c>
      <c r="Z15" s="66">
        <v>103.40468355</v>
      </c>
      <c r="AA15" s="66">
        <v>81.689700000000002</v>
      </c>
      <c r="AB15" s="66">
        <v>0</v>
      </c>
      <c r="AC15" s="66">
        <v>21.714983549999999</v>
      </c>
      <c r="AD15" s="67">
        <v>100</v>
      </c>
      <c r="AE15" s="67">
        <v>100</v>
      </c>
      <c r="AF15" s="67">
        <v>21.000000004351833</v>
      </c>
      <c r="AG15" s="187">
        <v>0</v>
      </c>
      <c r="AH15" s="67">
        <v>0</v>
      </c>
      <c r="AI15" s="239">
        <v>0</v>
      </c>
      <c r="AJ15" s="66">
        <v>0</v>
      </c>
      <c r="AK15" s="66">
        <v>0</v>
      </c>
      <c r="AL15" s="66">
        <v>0</v>
      </c>
      <c r="AM15" s="66">
        <v>0</v>
      </c>
      <c r="AN15" s="66">
        <v>0</v>
      </c>
      <c r="AO15" s="66">
        <v>0</v>
      </c>
      <c r="AP15" s="66">
        <v>0</v>
      </c>
      <c r="AQ15" s="66">
        <v>0</v>
      </c>
      <c r="AR15" s="66">
        <v>0</v>
      </c>
      <c r="AS15" s="66">
        <v>0</v>
      </c>
      <c r="AT15" s="67" t="s">
        <v>1230</v>
      </c>
      <c r="AU15" s="67" t="s">
        <v>1230</v>
      </c>
      <c r="AV15" s="67">
        <v>0</v>
      </c>
      <c r="AW15" s="187">
        <v>0</v>
      </c>
      <c r="AX15" s="67">
        <v>0</v>
      </c>
    </row>
    <row r="16" spans="1:50" ht="15.6" x14ac:dyDescent="0.3">
      <c r="A16" s="169" t="s">
        <v>12</v>
      </c>
      <c r="B16" s="205" t="s">
        <v>13</v>
      </c>
      <c r="C16" s="66">
        <v>135.5891</v>
      </c>
      <c r="D16" s="66">
        <v>0</v>
      </c>
      <c r="E16" s="66">
        <v>147.37945652000002</v>
      </c>
      <c r="F16" s="66">
        <v>135.5891</v>
      </c>
      <c r="G16" s="66">
        <v>11.79035652</v>
      </c>
      <c r="H16" s="66">
        <v>135.5891</v>
      </c>
      <c r="I16" s="66">
        <v>0.64400000000000002</v>
      </c>
      <c r="J16" s="66">
        <v>147.37945652000002</v>
      </c>
      <c r="K16" s="66">
        <v>135.5891</v>
      </c>
      <c r="L16" s="66">
        <v>0</v>
      </c>
      <c r="M16" s="66">
        <v>11.79035652</v>
      </c>
      <c r="N16" s="67">
        <v>100</v>
      </c>
      <c r="O16" s="67">
        <v>100</v>
      </c>
      <c r="P16" s="67">
        <v>7.9999999989143662</v>
      </c>
      <c r="Q16" s="66">
        <v>0.64400000000000002</v>
      </c>
      <c r="R16" s="67">
        <v>5.440092820663267E-15</v>
      </c>
      <c r="S16" s="66">
        <v>135.5891</v>
      </c>
      <c r="T16" s="66">
        <v>0</v>
      </c>
      <c r="U16" s="66">
        <v>147.37945652000002</v>
      </c>
      <c r="V16" s="66">
        <v>135.5891</v>
      </c>
      <c r="W16" s="66">
        <v>11.79035652</v>
      </c>
      <c r="X16" s="66">
        <v>135.5891</v>
      </c>
      <c r="Y16" s="66">
        <v>0.64400000000000002</v>
      </c>
      <c r="Z16" s="66">
        <v>147.37945652000002</v>
      </c>
      <c r="AA16" s="66">
        <v>135.5891</v>
      </c>
      <c r="AB16" s="66">
        <v>0</v>
      </c>
      <c r="AC16" s="66">
        <v>11.79035652</v>
      </c>
      <c r="AD16" s="67">
        <v>100</v>
      </c>
      <c r="AE16" s="67">
        <v>100</v>
      </c>
      <c r="AF16" s="67">
        <v>7.9999999989143662</v>
      </c>
      <c r="AG16" s="187">
        <v>0.64400000000000002</v>
      </c>
      <c r="AH16" s="67">
        <v>5.440092820663267E-15</v>
      </c>
      <c r="AI16" s="239">
        <v>0</v>
      </c>
      <c r="AJ16" s="66">
        <v>0</v>
      </c>
      <c r="AK16" s="66">
        <v>0</v>
      </c>
      <c r="AL16" s="66">
        <v>0</v>
      </c>
      <c r="AM16" s="66">
        <v>0</v>
      </c>
      <c r="AN16" s="66">
        <v>0</v>
      </c>
      <c r="AO16" s="66">
        <v>0</v>
      </c>
      <c r="AP16" s="66">
        <v>0</v>
      </c>
      <c r="AQ16" s="66">
        <v>0</v>
      </c>
      <c r="AR16" s="66">
        <v>0</v>
      </c>
      <c r="AS16" s="66">
        <v>0</v>
      </c>
      <c r="AT16" s="67" t="s">
        <v>1230</v>
      </c>
      <c r="AU16" s="67" t="s">
        <v>1230</v>
      </c>
      <c r="AV16" s="67">
        <v>0</v>
      </c>
      <c r="AW16" s="187">
        <v>0</v>
      </c>
      <c r="AX16" s="67">
        <v>0</v>
      </c>
    </row>
    <row r="17" spans="1:50" ht="15.6" x14ac:dyDescent="0.3">
      <c r="A17" s="169" t="s">
        <v>15</v>
      </c>
      <c r="B17" s="205" t="s">
        <v>16</v>
      </c>
      <c r="C17" s="66">
        <v>37.771999999999998</v>
      </c>
      <c r="D17" s="66">
        <v>0</v>
      </c>
      <c r="E17" s="66">
        <v>53.96</v>
      </c>
      <c r="F17" s="66">
        <v>37.771999999999998</v>
      </c>
      <c r="G17" s="66">
        <v>16.187999999999999</v>
      </c>
      <c r="H17" s="66">
        <v>37.771999999999998</v>
      </c>
      <c r="I17" s="66">
        <v>0</v>
      </c>
      <c r="J17" s="66">
        <v>53.96</v>
      </c>
      <c r="K17" s="66">
        <v>37.771999999999998</v>
      </c>
      <c r="L17" s="66">
        <v>0</v>
      </c>
      <c r="M17" s="66">
        <v>16.187999999999999</v>
      </c>
      <c r="N17" s="67">
        <v>100</v>
      </c>
      <c r="O17" s="67">
        <v>100</v>
      </c>
      <c r="P17" s="67">
        <v>30</v>
      </c>
      <c r="Q17" s="66">
        <v>0</v>
      </c>
      <c r="R17" s="67">
        <v>0</v>
      </c>
      <c r="S17" s="66">
        <v>37.771999999999998</v>
      </c>
      <c r="T17" s="66">
        <v>0</v>
      </c>
      <c r="U17" s="66">
        <v>53.96</v>
      </c>
      <c r="V17" s="66">
        <v>37.771999999999998</v>
      </c>
      <c r="W17" s="66">
        <v>16.187999999999999</v>
      </c>
      <c r="X17" s="66">
        <v>37.771999999999998</v>
      </c>
      <c r="Y17" s="66">
        <v>0</v>
      </c>
      <c r="Z17" s="66">
        <v>53.96</v>
      </c>
      <c r="AA17" s="66">
        <v>37.771999999999998</v>
      </c>
      <c r="AB17" s="66">
        <v>0</v>
      </c>
      <c r="AC17" s="66">
        <v>16.187999999999999</v>
      </c>
      <c r="AD17" s="67">
        <v>100</v>
      </c>
      <c r="AE17" s="67">
        <v>100</v>
      </c>
      <c r="AF17" s="67">
        <v>30</v>
      </c>
      <c r="AG17" s="187">
        <v>0</v>
      </c>
      <c r="AH17" s="67">
        <v>0</v>
      </c>
      <c r="AI17" s="239">
        <v>0</v>
      </c>
      <c r="AJ17" s="66">
        <v>0</v>
      </c>
      <c r="AK17" s="66">
        <v>0</v>
      </c>
      <c r="AL17" s="66">
        <v>0</v>
      </c>
      <c r="AM17" s="66">
        <v>0</v>
      </c>
      <c r="AN17" s="66">
        <v>0</v>
      </c>
      <c r="AO17" s="66">
        <v>0</v>
      </c>
      <c r="AP17" s="66">
        <v>0</v>
      </c>
      <c r="AQ17" s="66">
        <v>0</v>
      </c>
      <c r="AR17" s="66">
        <v>0</v>
      </c>
      <c r="AS17" s="66">
        <v>0</v>
      </c>
      <c r="AT17" s="67" t="s">
        <v>1230</v>
      </c>
      <c r="AU17" s="67" t="s">
        <v>1230</v>
      </c>
      <c r="AV17" s="67">
        <v>0</v>
      </c>
      <c r="AW17" s="187">
        <v>0</v>
      </c>
      <c r="AX17" s="67">
        <v>0</v>
      </c>
    </row>
    <row r="18" spans="1:50" ht="15.6" x14ac:dyDescent="0.3">
      <c r="A18" s="169" t="s">
        <v>18</v>
      </c>
      <c r="B18" s="205" t="s">
        <v>19</v>
      </c>
      <c r="C18" s="66">
        <v>81.158900000000003</v>
      </c>
      <c r="D18" s="66">
        <v>0</v>
      </c>
      <c r="E18" s="66">
        <v>131.15889999999999</v>
      </c>
      <c r="F18" s="66">
        <v>81.158900000000003</v>
      </c>
      <c r="G18" s="66">
        <v>50</v>
      </c>
      <c r="H18" s="66">
        <v>81.158900000000003</v>
      </c>
      <c r="I18" s="66">
        <v>0</v>
      </c>
      <c r="J18" s="66">
        <v>131.15889999999999</v>
      </c>
      <c r="K18" s="66">
        <v>81.158900000000003</v>
      </c>
      <c r="L18" s="66">
        <v>0</v>
      </c>
      <c r="M18" s="66">
        <v>50</v>
      </c>
      <c r="N18" s="67">
        <v>100</v>
      </c>
      <c r="O18" s="67">
        <v>100</v>
      </c>
      <c r="P18" s="67">
        <v>38.121698184416005</v>
      </c>
      <c r="Q18" s="66">
        <v>0</v>
      </c>
      <c r="R18" s="67">
        <v>0</v>
      </c>
      <c r="S18" s="66">
        <v>81.158900000000003</v>
      </c>
      <c r="T18" s="66">
        <v>0</v>
      </c>
      <c r="U18" s="66">
        <v>131.15889999999999</v>
      </c>
      <c r="V18" s="66">
        <v>81.158900000000003</v>
      </c>
      <c r="W18" s="66">
        <v>50</v>
      </c>
      <c r="X18" s="66">
        <v>81.158900000000003</v>
      </c>
      <c r="Y18" s="66">
        <v>0</v>
      </c>
      <c r="Z18" s="66">
        <v>131.15889999999999</v>
      </c>
      <c r="AA18" s="66">
        <v>81.158900000000003</v>
      </c>
      <c r="AB18" s="66">
        <v>0</v>
      </c>
      <c r="AC18" s="66">
        <v>50</v>
      </c>
      <c r="AD18" s="67">
        <v>100</v>
      </c>
      <c r="AE18" s="67">
        <v>100</v>
      </c>
      <c r="AF18" s="67">
        <v>38.121698184416005</v>
      </c>
      <c r="AG18" s="187">
        <v>0</v>
      </c>
      <c r="AH18" s="67">
        <v>0</v>
      </c>
      <c r="AI18" s="239">
        <v>0</v>
      </c>
      <c r="AJ18" s="66">
        <v>0</v>
      </c>
      <c r="AK18" s="66">
        <v>0</v>
      </c>
      <c r="AL18" s="66">
        <v>0</v>
      </c>
      <c r="AM18" s="66">
        <v>0</v>
      </c>
      <c r="AN18" s="66">
        <v>0</v>
      </c>
      <c r="AO18" s="66">
        <v>0</v>
      </c>
      <c r="AP18" s="66">
        <v>0</v>
      </c>
      <c r="AQ18" s="66">
        <v>0</v>
      </c>
      <c r="AR18" s="66">
        <v>0</v>
      </c>
      <c r="AS18" s="66">
        <v>0</v>
      </c>
      <c r="AT18" s="67" t="s">
        <v>1230</v>
      </c>
      <c r="AU18" s="67" t="s">
        <v>1230</v>
      </c>
      <c r="AV18" s="67">
        <v>0</v>
      </c>
      <c r="AW18" s="187">
        <v>0</v>
      </c>
      <c r="AX18" s="67">
        <v>0</v>
      </c>
    </row>
    <row r="19" spans="1:50" ht="15.6" x14ac:dyDescent="0.3">
      <c r="A19" s="169" t="s">
        <v>21</v>
      </c>
      <c r="B19" s="205" t="s">
        <v>22</v>
      </c>
      <c r="C19" s="66">
        <v>55.168100000000003</v>
      </c>
      <c r="D19" s="66">
        <v>0</v>
      </c>
      <c r="E19" s="66">
        <v>59.320537630000004</v>
      </c>
      <c r="F19" s="66">
        <v>55.168100000000003</v>
      </c>
      <c r="G19" s="66">
        <v>4.1524376299999997</v>
      </c>
      <c r="H19" s="66">
        <v>55.168100000000003</v>
      </c>
      <c r="I19" s="66">
        <v>0</v>
      </c>
      <c r="J19" s="66">
        <v>59.320537630000004</v>
      </c>
      <c r="K19" s="66">
        <v>55.168100000000003</v>
      </c>
      <c r="L19" s="66">
        <v>0</v>
      </c>
      <c r="M19" s="66">
        <v>4.1524376299999997</v>
      </c>
      <c r="N19" s="67">
        <v>100</v>
      </c>
      <c r="O19" s="67">
        <v>100</v>
      </c>
      <c r="P19" s="67">
        <v>6.9999999930883963</v>
      </c>
      <c r="Q19" s="66">
        <v>0</v>
      </c>
      <c r="R19" s="67">
        <v>0</v>
      </c>
      <c r="S19" s="66">
        <v>55.168100000000003</v>
      </c>
      <c r="T19" s="66">
        <v>0</v>
      </c>
      <c r="U19" s="66">
        <v>59.320537630000004</v>
      </c>
      <c r="V19" s="66">
        <v>55.168100000000003</v>
      </c>
      <c r="W19" s="66">
        <v>4.1524376299999997</v>
      </c>
      <c r="X19" s="66">
        <v>55.168100000000003</v>
      </c>
      <c r="Y19" s="66">
        <v>0</v>
      </c>
      <c r="Z19" s="66">
        <v>59.320537630000004</v>
      </c>
      <c r="AA19" s="66">
        <v>55.168100000000003</v>
      </c>
      <c r="AB19" s="66">
        <v>0</v>
      </c>
      <c r="AC19" s="66">
        <v>4.1524376299999997</v>
      </c>
      <c r="AD19" s="67">
        <v>100</v>
      </c>
      <c r="AE19" s="67">
        <v>100</v>
      </c>
      <c r="AF19" s="67">
        <v>6.9999999930883963</v>
      </c>
      <c r="AG19" s="187">
        <v>0</v>
      </c>
      <c r="AH19" s="67">
        <v>0</v>
      </c>
      <c r="AI19" s="239">
        <v>0</v>
      </c>
      <c r="AJ19" s="66">
        <v>0</v>
      </c>
      <c r="AK19" s="66">
        <v>0</v>
      </c>
      <c r="AL19" s="66">
        <v>0</v>
      </c>
      <c r="AM19" s="66">
        <v>0</v>
      </c>
      <c r="AN19" s="66">
        <v>0</v>
      </c>
      <c r="AO19" s="66">
        <v>0</v>
      </c>
      <c r="AP19" s="66">
        <v>0</v>
      </c>
      <c r="AQ19" s="66">
        <v>0</v>
      </c>
      <c r="AR19" s="66">
        <v>0</v>
      </c>
      <c r="AS19" s="66">
        <v>0</v>
      </c>
      <c r="AT19" s="67" t="s">
        <v>1230</v>
      </c>
      <c r="AU19" s="67" t="s">
        <v>1230</v>
      </c>
      <c r="AV19" s="67">
        <v>0</v>
      </c>
      <c r="AW19" s="187">
        <v>0</v>
      </c>
      <c r="AX19" s="67">
        <v>0</v>
      </c>
    </row>
    <row r="20" spans="1:50" ht="15.6" x14ac:dyDescent="0.3">
      <c r="A20" s="169" t="s">
        <v>24</v>
      </c>
      <c r="B20" s="205" t="s">
        <v>25</v>
      </c>
      <c r="C20" s="66">
        <v>8.9610000000000003</v>
      </c>
      <c r="D20" s="66">
        <v>0</v>
      </c>
      <c r="E20" s="66">
        <v>9.3343799999999995</v>
      </c>
      <c r="F20" s="66">
        <v>8.9610000000000003</v>
      </c>
      <c r="G20" s="66">
        <v>0.37337999999999999</v>
      </c>
      <c r="H20" s="66">
        <v>8.9610000000000003</v>
      </c>
      <c r="I20" s="66">
        <v>0</v>
      </c>
      <c r="J20" s="66">
        <v>9.3343799999999995</v>
      </c>
      <c r="K20" s="66">
        <v>8.9610000000000003</v>
      </c>
      <c r="L20" s="66">
        <v>0</v>
      </c>
      <c r="M20" s="66">
        <v>0.37337999999999999</v>
      </c>
      <c r="N20" s="67">
        <v>100</v>
      </c>
      <c r="O20" s="67">
        <v>100</v>
      </c>
      <c r="P20" s="67">
        <v>4.0000514228047281</v>
      </c>
      <c r="Q20" s="66">
        <v>0</v>
      </c>
      <c r="R20" s="67">
        <v>0</v>
      </c>
      <c r="S20" s="66">
        <v>0</v>
      </c>
      <c r="T20" s="66">
        <v>0</v>
      </c>
      <c r="U20" s="66">
        <v>0</v>
      </c>
      <c r="V20" s="66">
        <v>0</v>
      </c>
      <c r="W20" s="66">
        <v>0</v>
      </c>
      <c r="X20" s="66">
        <v>0</v>
      </c>
      <c r="Y20" s="66">
        <v>0</v>
      </c>
      <c r="Z20" s="66">
        <v>0</v>
      </c>
      <c r="AA20" s="66">
        <v>0</v>
      </c>
      <c r="AB20" s="66">
        <v>0</v>
      </c>
      <c r="AC20" s="66">
        <v>0</v>
      </c>
      <c r="AD20" s="67" t="s">
        <v>1230</v>
      </c>
      <c r="AE20" s="67" t="s">
        <v>1230</v>
      </c>
      <c r="AF20" s="67">
        <v>0</v>
      </c>
      <c r="AG20" s="187">
        <v>0</v>
      </c>
      <c r="AH20" s="67">
        <v>0</v>
      </c>
      <c r="AI20" s="66">
        <v>8.9610000000000003</v>
      </c>
      <c r="AJ20" s="66">
        <v>0</v>
      </c>
      <c r="AK20" s="66">
        <v>9.3343799999999995</v>
      </c>
      <c r="AL20" s="66">
        <v>8.9610000000000003</v>
      </c>
      <c r="AM20" s="66">
        <v>0.37337999999999999</v>
      </c>
      <c r="AN20" s="66">
        <v>8.9610000000000003</v>
      </c>
      <c r="AO20" s="66">
        <v>0</v>
      </c>
      <c r="AP20" s="66">
        <v>9.3343799999999995</v>
      </c>
      <c r="AQ20" s="66">
        <v>8.9610000000000003</v>
      </c>
      <c r="AR20" s="66">
        <v>0</v>
      </c>
      <c r="AS20" s="66">
        <v>0.37337999999999999</v>
      </c>
      <c r="AT20" s="67">
        <v>100</v>
      </c>
      <c r="AU20" s="67">
        <v>100</v>
      </c>
      <c r="AV20" s="67">
        <v>4.0000514228047281</v>
      </c>
      <c r="AW20" s="187">
        <v>0</v>
      </c>
      <c r="AX20" s="67">
        <v>0</v>
      </c>
    </row>
    <row r="21" spans="1:50" ht="15.6" x14ac:dyDescent="0.3">
      <c r="A21" s="169" t="s">
        <v>27</v>
      </c>
      <c r="B21" s="205" t="s">
        <v>28</v>
      </c>
      <c r="C21" s="66">
        <v>4.5599999999999996</v>
      </c>
      <c r="D21" s="66">
        <v>0</v>
      </c>
      <c r="E21" s="66">
        <v>4.8</v>
      </c>
      <c r="F21" s="66">
        <v>4.5599999999999996</v>
      </c>
      <c r="G21" s="66">
        <v>0.24</v>
      </c>
      <c r="H21" s="66">
        <v>4.5599999999999996</v>
      </c>
      <c r="I21" s="66">
        <v>0</v>
      </c>
      <c r="J21" s="66">
        <v>4.8</v>
      </c>
      <c r="K21" s="66">
        <v>4.5599999999999996</v>
      </c>
      <c r="L21" s="66">
        <v>0</v>
      </c>
      <c r="M21" s="66">
        <v>0.24</v>
      </c>
      <c r="N21" s="67">
        <v>100</v>
      </c>
      <c r="O21" s="67">
        <v>100</v>
      </c>
      <c r="P21" s="67">
        <v>5</v>
      </c>
      <c r="Q21" s="66">
        <v>0</v>
      </c>
      <c r="R21" s="67">
        <v>0</v>
      </c>
      <c r="S21" s="66">
        <v>4.5599999999999996</v>
      </c>
      <c r="T21" s="66">
        <v>0</v>
      </c>
      <c r="U21" s="66">
        <v>4.8</v>
      </c>
      <c r="V21" s="66">
        <v>4.5599999999999996</v>
      </c>
      <c r="W21" s="66">
        <v>0.24</v>
      </c>
      <c r="X21" s="66">
        <v>4.5599999999999996</v>
      </c>
      <c r="Y21" s="66">
        <v>0</v>
      </c>
      <c r="Z21" s="66">
        <v>4.8</v>
      </c>
      <c r="AA21" s="66">
        <v>4.5599999999999996</v>
      </c>
      <c r="AB21" s="66">
        <v>0</v>
      </c>
      <c r="AC21" s="66">
        <v>0.24</v>
      </c>
      <c r="AD21" s="67">
        <v>100</v>
      </c>
      <c r="AE21" s="67">
        <v>100</v>
      </c>
      <c r="AF21" s="67">
        <v>5</v>
      </c>
      <c r="AG21" s="187">
        <v>0</v>
      </c>
      <c r="AH21" s="67">
        <v>0</v>
      </c>
      <c r="AI21" s="66">
        <v>0</v>
      </c>
      <c r="AJ21" s="66">
        <v>0</v>
      </c>
      <c r="AK21" s="66">
        <v>0</v>
      </c>
      <c r="AL21" s="66">
        <v>0</v>
      </c>
      <c r="AM21" s="66">
        <v>0</v>
      </c>
      <c r="AN21" s="66">
        <v>0</v>
      </c>
      <c r="AO21" s="66">
        <v>0</v>
      </c>
      <c r="AP21" s="66">
        <v>0</v>
      </c>
      <c r="AQ21" s="66">
        <v>0</v>
      </c>
      <c r="AR21" s="66">
        <v>0</v>
      </c>
      <c r="AS21" s="66">
        <v>0</v>
      </c>
      <c r="AT21" s="67" t="s">
        <v>1230</v>
      </c>
      <c r="AU21" s="67" t="s">
        <v>1230</v>
      </c>
      <c r="AV21" s="67">
        <v>0</v>
      </c>
      <c r="AW21" s="187">
        <v>0</v>
      </c>
      <c r="AX21" s="67">
        <v>0</v>
      </c>
    </row>
    <row r="22" spans="1:50" ht="15.6" x14ac:dyDescent="0.3">
      <c r="A22" s="169" t="s">
        <v>30</v>
      </c>
      <c r="B22" s="205" t="s">
        <v>31</v>
      </c>
      <c r="C22" s="66">
        <v>48.831800000000001</v>
      </c>
      <c r="D22" s="66">
        <v>0</v>
      </c>
      <c r="E22" s="66">
        <v>56.128506000000002</v>
      </c>
      <c r="F22" s="66">
        <v>48.831800000000001</v>
      </c>
      <c r="G22" s="66">
        <v>7.2967060000000004</v>
      </c>
      <c r="H22" s="66">
        <v>40.262162579999995</v>
      </c>
      <c r="I22" s="66">
        <v>0</v>
      </c>
      <c r="J22" s="66">
        <v>46.278348000000001</v>
      </c>
      <c r="K22" s="66">
        <v>40.262162579999995</v>
      </c>
      <c r="L22" s="66">
        <v>0</v>
      </c>
      <c r="M22" s="66">
        <v>6.0161854200000002</v>
      </c>
      <c r="N22" s="67">
        <v>82.450703394099733</v>
      </c>
      <c r="O22" s="67">
        <v>82.450703372179163</v>
      </c>
      <c r="P22" s="67">
        <v>13.000000388950788</v>
      </c>
      <c r="Q22" s="66">
        <v>0</v>
      </c>
      <c r="R22" s="67">
        <v>0</v>
      </c>
      <c r="S22" s="66">
        <v>48.831800000000001</v>
      </c>
      <c r="T22" s="66">
        <v>0</v>
      </c>
      <c r="U22" s="66">
        <v>56.128506000000002</v>
      </c>
      <c r="V22" s="66">
        <v>48.831800000000001</v>
      </c>
      <c r="W22" s="66">
        <v>7.2967060000000004</v>
      </c>
      <c r="X22" s="66">
        <v>40.262162579999995</v>
      </c>
      <c r="Y22" s="66">
        <v>0</v>
      </c>
      <c r="Z22" s="66">
        <v>46.278348000000001</v>
      </c>
      <c r="AA22" s="66">
        <v>40.262162579999995</v>
      </c>
      <c r="AB22" s="66">
        <v>0</v>
      </c>
      <c r="AC22" s="66">
        <v>6.0161854200000002</v>
      </c>
      <c r="AD22" s="67">
        <v>82.450703394099733</v>
      </c>
      <c r="AE22" s="67">
        <v>82.450703372179163</v>
      </c>
      <c r="AF22" s="67">
        <v>13.000000388950788</v>
      </c>
      <c r="AG22" s="187">
        <v>0</v>
      </c>
      <c r="AH22" s="67">
        <v>0</v>
      </c>
      <c r="AI22" s="66">
        <v>0</v>
      </c>
      <c r="AJ22" s="66">
        <v>0</v>
      </c>
      <c r="AK22" s="66">
        <v>0</v>
      </c>
      <c r="AL22" s="66">
        <v>0</v>
      </c>
      <c r="AM22" s="66">
        <v>0</v>
      </c>
      <c r="AN22" s="66">
        <v>0</v>
      </c>
      <c r="AO22" s="66">
        <v>0</v>
      </c>
      <c r="AP22" s="66">
        <v>0</v>
      </c>
      <c r="AQ22" s="66">
        <v>0</v>
      </c>
      <c r="AR22" s="66">
        <v>0</v>
      </c>
      <c r="AS22" s="66">
        <v>0</v>
      </c>
      <c r="AT22" s="67" t="s">
        <v>1230</v>
      </c>
      <c r="AU22" s="67" t="s">
        <v>1230</v>
      </c>
      <c r="AV22" s="67">
        <v>0</v>
      </c>
      <c r="AW22" s="187">
        <v>0</v>
      </c>
      <c r="AX22" s="67">
        <v>0</v>
      </c>
    </row>
    <row r="23" spans="1:50" ht="15.6" x14ac:dyDescent="0.3">
      <c r="A23" s="169" t="s">
        <v>33</v>
      </c>
      <c r="B23" s="205" t="s">
        <v>34</v>
      </c>
      <c r="C23" s="66">
        <v>67.294600000000003</v>
      </c>
      <c r="D23" s="66">
        <v>0</v>
      </c>
      <c r="E23" s="66">
        <v>93.464722219999999</v>
      </c>
      <c r="F23" s="66">
        <v>67.294600000000003</v>
      </c>
      <c r="G23" s="66">
        <v>26.17012222</v>
      </c>
      <c r="H23" s="66">
        <v>67.294600000000003</v>
      </c>
      <c r="I23" s="66">
        <v>0</v>
      </c>
      <c r="J23" s="66">
        <v>93.464722219999999</v>
      </c>
      <c r="K23" s="66">
        <v>67.294600000000003</v>
      </c>
      <c r="L23" s="66">
        <v>0</v>
      </c>
      <c r="M23" s="66">
        <v>26.17012222</v>
      </c>
      <c r="N23" s="67">
        <v>100</v>
      </c>
      <c r="O23" s="67">
        <v>100</v>
      </c>
      <c r="P23" s="67">
        <v>27.999999998288121</v>
      </c>
      <c r="Q23" s="66">
        <v>0</v>
      </c>
      <c r="R23" s="67">
        <v>0</v>
      </c>
      <c r="S23" s="66">
        <v>67.294600000000003</v>
      </c>
      <c r="T23" s="66">
        <v>0</v>
      </c>
      <c r="U23" s="66">
        <v>93.464722219999999</v>
      </c>
      <c r="V23" s="66">
        <v>67.294600000000003</v>
      </c>
      <c r="W23" s="66">
        <v>26.17012222</v>
      </c>
      <c r="X23" s="66">
        <v>67.294600000000003</v>
      </c>
      <c r="Y23" s="66">
        <v>0</v>
      </c>
      <c r="Z23" s="66">
        <v>93.464722219999999</v>
      </c>
      <c r="AA23" s="66">
        <v>67.294600000000003</v>
      </c>
      <c r="AB23" s="66">
        <v>0</v>
      </c>
      <c r="AC23" s="66">
        <v>26.17012222</v>
      </c>
      <c r="AD23" s="67">
        <v>100</v>
      </c>
      <c r="AE23" s="67">
        <v>100</v>
      </c>
      <c r="AF23" s="67">
        <v>27.999999998288121</v>
      </c>
      <c r="AG23" s="187">
        <v>0</v>
      </c>
      <c r="AH23" s="67">
        <v>0</v>
      </c>
      <c r="AI23" s="66">
        <v>0</v>
      </c>
      <c r="AJ23" s="66">
        <v>0</v>
      </c>
      <c r="AK23" s="66">
        <v>0</v>
      </c>
      <c r="AL23" s="66">
        <v>0</v>
      </c>
      <c r="AM23" s="66">
        <v>0</v>
      </c>
      <c r="AN23" s="66">
        <v>0</v>
      </c>
      <c r="AO23" s="66">
        <v>0</v>
      </c>
      <c r="AP23" s="66">
        <v>0</v>
      </c>
      <c r="AQ23" s="66">
        <v>0</v>
      </c>
      <c r="AR23" s="66">
        <v>0</v>
      </c>
      <c r="AS23" s="66">
        <v>0</v>
      </c>
      <c r="AT23" s="67" t="s">
        <v>1230</v>
      </c>
      <c r="AU23" s="67" t="s">
        <v>1230</v>
      </c>
      <c r="AV23" s="67">
        <v>0</v>
      </c>
      <c r="AW23" s="187">
        <v>0</v>
      </c>
      <c r="AX23" s="67">
        <v>0</v>
      </c>
    </row>
    <row r="24" spans="1:50" ht="15.6" x14ac:dyDescent="0.3">
      <c r="A24" s="169" t="s">
        <v>36</v>
      </c>
      <c r="B24" s="205" t="s">
        <v>37</v>
      </c>
      <c r="C24" s="66">
        <v>164.59190000000001</v>
      </c>
      <c r="D24" s="66">
        <v>0</v>
      </c>
      <c r="E24" s="66">
        <v>304.79989999999998</v>
      </c>
      <c r="F24" s="66">
        <v>164.59190000000001</v>
      </c>
      <c r="G24" s="66">
        <v>140.208</v>
      </c>
      <c r="H24" s="66">
        <v>164.59190000000001</v>
      </c>
      <c r="I24" s="66">
        <v>0</v>
      </c>
      <c r="J24" s="66">
        <v>304.79989996</v>
      </c>
      <c r="K24" s="66">
        <v>164.59190000000001</v>
      </c>
      <c r="L24" s="66">
        <v>0</v>
      </c>
      <c r="M24" s="66">
        <v>140.20799996</v>
      </c>
      <c r="N24" s="67">
        <v>100</v>
      </c>
      <c r="O24" s="67">
        <v>99.999999971470956</v>
      </c>
      <c r="P24" s="67">
        <v>46.00001508478185</v>
      </c>
      <c r="Q24" s="66">
        <v>0</v>
      </c>
      <c r="R24" s="67">
        <v>0</v>
      </c>
      <c r="S24" s="66">
        <v>164.59190000000001</v>
      </c>
      <c r="T24" s="66">
        <v>0</v>
      </c>
      <c r="U24" s="66">
        <v>304.79989999999998</v>
      </c>
      <c r="V24" s="66">
        <v>164.59190000000001</v>
      </c>
      <c r="W24" s="66">
        <v>140.208</v>
      </c>
      <c r="X24" s="66">
        <v>164.59190000000001</v>
      </c>
      <c r="Y24" s="66">
        <v>0</v>
      </c>
      <c r="Z24" s="66">
        <v>304.79989996</v>
      </c>
      <c r="AA24" s="66">
        <v>164.59190000000001</v>
      </c>
      <c r="AB24" s="66">
        <v>0</v>
      </c>
      <c r="AC24" s="66">
        <v>140.20799996</v>
      </c>
      <c r="AD24" s="67">
        <v>100</v>
      </c>
      <c r="AE24" s="67">
        <v>99.999999971470956</v>
      </c>
      <c r="AF24" s="67">
        <v>46.00001508478185</v>
      </c>
      <c r="AG24" s="187">
        <v>0</v>
      </c>
      <c r="AH24" s="67">
        <v>0</v>
      </c>
      <c r="AI24" s="66">
        <v>0</v>
      </c>
      <c r="AJ24" s="66">
        <v>0</v>
      </c>
      <c r="AK24" s="66">
        <v>0</v>
      </c>
      <c r="AL24" s="66">
        <v>0</v>
      </c>
      <c r="AM24" s="66">
        <v>0</v>
      </c>
      <c r="AN24" s="66">
        <v>0</v>
      </c>
      <c r="AO24" s="66">
        <v>0</v>
      </c>
      <c r="AP24" s="66">
        <v>0</v>
      </c>
      <c r="AQ24" s="66">
        <v>0</v>
      </c>
      <c r="AR24" s="66">
        <v>0</v>
      </c>
      <c r="AS24" s="66">
        <v>0</v>
      </c>
      <c r="AT24" s="67" t="s">
        <v>1230</v>
      </c>
      <c r="AU24" s="67" t="s">
        <v>1230</v>
      </c>
      <c r="AV24" s="67">
        <v>0</v>
      </c>
      <c r="AW24" s="187">
        <v>0</v>
      </c>
      <c r="AX24" s="67">
        <v>0</v>
      </c>
    </row>
    <row r="25" spans="1:50" ht="15.6" x14ac:dyDescent="0.3">
      <c r="A25" s="169" t="s">
        <v>39</v>
      </c>
      <c r="B25" s="205" t="s">
        <v>297</v>
      </c>
      <c r="C25" s="66">
        <v>0</v>
      </c>
      <c r="D25" s="66">
        <v>0</v>
      </c>
      <c r="E25" s="66">
        <v>0</v>
      </c>
      <c r="F25" s="66">
        <v>0</v>
      </c>
      <c r="G25" s="66">
        <v>0</v>
      </c>
      <c r="H25" s="66">
        <v>0</v>
      </c>
      <c r="I25" s="66">
        <v>0</v>
      </c>
      <c r="J25" s="66">
        <v>0</v>
      </c>
      <c r="K25" s="66">
        <v>0</v>
      </c>
      <c r="L25" s="66">
        <v>0</v>
      </c>
      <c r="M25" s="66">
        <v>0</v>
      </c>
      <c r="N25" s="67" t="s">
        <v>1230</v>
      </c>
      <c r="O25" s="67" t="s">
        <v>1230</v>
      </c>
      <c r="P25" s="67">
        <v>0</v>
      </c>
      <c r="Q25" s="66">
        <v>0</v>
      </c>
      <c r="R25" s="67">
        <v>0</v>
      </c>
      <c r="S25" s="66">
        <v>0</v>
      </c>
      <c r="T25" s="66">
        <v>0</v>
      </c>
      <c r="U25" s="66">
        <v>0</v>
      </c>
      <c r="V25" s="66">
        <v>0</v>
      </c>
      <c r="W25" s="66">
        <v>0</v>
      </c>
      <c r="X25" s="66">
        <v>0</v>
      </c>
      <c r="Y25" s="66">
        <v>0</v>
      </c>
      <c r="Z25" s="66">
        <v>0</v>
      </c>
      <c r="AA25" s="66">
        <v>0</v>
      </c>
      <c r="AB25" s="66">
        <v>0</v>
      </c>
      <c r="AC25" s="66">
        <v>0</v>
      </c>
      <c r="AD25" s="67" t="s">
        <v>1230</v>
      </c>
      <c r="AE25" s="67" t="s">
        <v>1230</v>
      </c>
      <c r="AF25" s="67">
        <v>0</v>
      </c>
      <c r="AG25" s="187">
        <v>0</v>
      </c>
      <c r="AH25" s="67">
        <v>0</v>
      </c>
      <c r="AI25" s="66">
        <v>0</v>
      </c>
      <c r="AJ25" s="66">
        <v>0</v>
      </c>
      <c r="AK25" s="66">
        <v>0</v>
      </c>
      <c r="AL25" s="66">
        <v>0</v>
      </c>
      <c r="AM25" s="66">
        <v>0</v>
      </c>
      <c r="AN25" s="66">
        <v>0</v>
      </c>
      <c r="AO25" s="66">
        <v>0</v>
      </c>
      <c r="AP25" s="66">
        <v>0</v>
      </c>
      <c r="AQ25" s="66">
        <v>0</v>
      </c>
      <c r="AR25" s="66">
        <v>0</v>
      </c>
      <c r="AS25" s="66">
        <v>0</v>
      </c>
      <c r="AT25" s="67" t="s">
        <v>1230</v>
      </c>
      <c r="AU25" s="67" t="s">
        <v>1230</v>
      </c>
      <c r="AV25" s="67">
        <v>0</v>
      </c>
      <c r="AW25" s="187">
        <v>0</v>
      </c>
      <c r="AX25" s="67">
        <v>0</v>
      </c>
    </row>
    <row r="26" spans="1:50" ht="15.6" x14ac:dyDescent="0.3">
      <c r="A26" s="169" t="s">
        <v>41</v>
      </c>
      <c r="B26" s="205" t="s">
        <v>42</v>
      </c>
      <c r="C26" s="66">
        <v>27.196000000000002</v>
      </c>
      <c r="D26" s="66">
        <v>0</v>
      </c>
      <c r="E26" s="66">
        <v>28.627368420000003</v>
      </c>
      <c r="F26" s="66">
        <v>27.196000000000002</v>
      </c>
      <c r="G26" s="66">
        <v>1.4313684199999999</v>
      </c>
      <c r="H26" s="66">
        <v>27.181795519999998</v>
      </c>
      <c r="I26" s="66">
        <v>0</v>
      </c>
      <c r="J26" s="66">
        <v>28.612416339999999</v>
      </c>
      <c r="K26" s="66">
        <v>27.181795519999998</v>
      </c>
      <c r="L26" s="66">
        <v>0</v>
      </c>
      <c r="M26" s="66">
        <v>1.4306208200000001</v>
      </c>
      <c r="N26" s="67">
        <v>99.947769966171478</v>
      </c>
      <c r="O26" s="67">
        <v>99.947770260294007</v>
      </c>
      <c r="P26" s="67">
        <v>5.0000000104849587</v>
      </c>
      <c r="Q26" s="66">
        <v>0</v>
      </c>
      <c r="R26" s="67">
        <v>0</v>
      </c>
      <c r="S26" s="66">
        <v>27.196000000000002</v>
      </c>
      <c r="T26" s="66">
        <v>0</v>
      </c>
      <c r="U26" s="66">
        <v>28.627368420000003</v>
      </c>
      <c r="V26" s="66">
        <v>27.196000000000002</v>
      </c>
      <c r="W26" s="66">
        <v>1.4313684199999999</v>
      </c>
      <c r="X26" s="66">
        <v>27.181795519999998</v>
      </c>
      <c r="Y26" s="66">
        <v>0</v>
      </c>
      <c r="Z26" s="66">
        <v>28.612416339999999</v>
      </c>
      <c r="AA26" s="66">
        <v>27.181795519999998</v>
      </c>
      <c r="AB26" s="66">
        <v>0</v>
      </c>
      <c r="AC26" s="66">
        <v>1.4306208200000001</v>
      </c>
      <c r="AD26" s="67">
        <v>99.947769966171478</v>
      </c>
      <c r="AE26" s="67">
        <v>99.947770260294007</v>
      </c>
      <c r="AF26" s="67">
        <v>5.0000000104849587</v>
      </c>
      <c r="AG26" s="187">
        <v>0</v>
      </c>
      <c r="AH26" s="67">
        <v>0</v>
      </c>
      <c r="AI26" s="66">
        <v>0</v>
      </c>
      <c r="AJ26" s="66">
        <v>0</v>
      </c>
      <c r="AK26" s="66">
        <v>0</v>
      </c>
      <c r="AL26" s="66">
        <v>0</v>
      </c>
      <c r="AM26" s="66">
        <v>0</v>
      </c>
      <c r="AN26" s="66">
        <v>0</v>
      </c>
      <c r="AO26" s="66">
        <v>0</v>
      </c>
      <c r="AP26" s="66">
        <v>0</v>
      </c>
      <c r="AQ26" s="66">
        <v>0</v>
      </c>
      <c r="AR26" s="66">
        <v>0</v>
      </c>
      <c r="AS26" s="66">
        <v>0</v>
      </c>
      <c r="AT26" s="67" t="s">
        <v>1230</v>
      </c>
      <c r="AU26" s="67" t="s">
        <v>1230</v>
      </c>
      <c r="AV26" s="67">
        <v>0</v>
      </c>
      <c r="AW26" s="187">
        <v>0</v>
      </c>
      <c r="AX26" s="67">
        <v>0</v>
      </c>
    </row>
    <row r="27" spans="1:50" ht="15.6" x14ac:dyDescent="0.3">
      <c r="A27" s="169" t="s">
        <v>44</v>
      </c>
      <c r="B27" s="205" t="s">
        <v>45</v>
      </c>
      <c r="C27" s="66">
        <v>167.5436</v>
      </c>
      <c r="D27" s="66">
        <v>0</v>
      </c>
      <c r="E27" s="66">
        <v>195.44787386000002</v>
      </c>
      <c r="F27" s="66">
        <v>167.5436</v>
      </c>
      <c r="G27" s="66">
        <v>27.90427386</v>
      </c>
      <c r="H27" s="66">
        <v>167.5436</v>
      </c>
      <c r="I27" s="66">
        <v>0</v>
      </c>
      <c r="J27" s="66">
        <v>195.44787386000002</v>
      </c>
      <c r="K27" s="66">
        <v>167.5436</v>
      </c>
      <c r="L27" s="66">
        <v>0</v>
      </c>
      <c r="M27" s="66">
        <v>27.90427386</v>
      </c>
      <c r="N27" s="67">
        <v>100</v>
      </c>
      <c r="O27" s="67">
        <v>100</v>
      </c>
      <c r="P27" s="67">
        <v>14.277092561256474</v>
      </c>
      <c r="Q27" s="66">
        <v>0</v>
      </c>
      <c r="R27" s="67">
        <v>0</v>
      </c>
      <c r="S27" s="66">
        <v>156.12260000000001</v>
      </c>
      <c r="T27" s="66">
        <v>0</v>
      </c>
      <c r="U27" s="66">
        <v>183.67364706000001</v>
      </c>
      <c r="V27" s="66">
        <v>156.12260000000001</v>
      </c>
      <c r="W27" s="66">
        <v>27.551047059999998</v>
      </c>
      <c r="X27" s="66">
        <v>156.12260000000001</v>
      </c>
      <c r="Y27" s="66">
        <v>0</v>
      </c>
      <c r="Z27" s="66">
        <v>183.67364706000001</v>
      </c>
      <c r="AA27" s="66">
        <v>156.12260000000001</v>
      </c>
      <c r="AB27" s="66">
        <v>0</v>
      </c>
      <c r="AC27" s="66">
        <v>27.551047059999998</v>
      </c>
      <c r="AD27" s="67">
        <v>100</v>
      </c>
      <c r="AE27" s="67">
        <v>100</v>
      </c>
      <c r="AF27" s="67">
        <v>15.000000000544441</v>
      </c>
      <c r="AG27" s="187">
        <v>0</v>
      </c>
      <c r="AH27" s="67">
        <v>0</v>
      </c>
      <c r="AI27" s="66">
        <v>11.420999999999999</v>
      </c>
      <c r="AJ27" s="66">
        <v>0</v>
      </c>
      <c r="AK27" s="66">
        <v>11.774226800000001</v>
      </c>
      <c r="AL27" s="66">
        <v>11.420999999999999</v>
      </c>
      <c r="AM27" s="66">
        <v>0.35322680000000001</v>
      </c>
      <c r="AN27" s="66">
        <v>11.420999999999999</v>
      </c>
      <c r="AO27" s="66">
        <v>0</v>
      </c>
      <c r="AP27" s="66">
        <v>11.774226800000001</v>
      </c>
      <c r="AQ27" s="66">
        <v>11.420999999999999</v>
      </c>
      <c r="AR27" s="66">
        <v>0</v>
      </c>
      <c r="AS27" s="66">
        <v>0.35322680000000001</v>
      </c>
      <c r="AT27" s="67">
        <v>100</v>
      </c>
      <c r="AU27" s="67">
        <v>100</v>
      </c>
      <c r="AV27" s="67">
        <v>2.999999966027493</v>
      </c>
      <c r="AW27" s="187">
        <v>0</v>
      </c>
      <c r="AX27" s="67">
        <v>0</v>
      </c>
    </row>
    <row r="28" spans="1:50" ht="15.6" x14ac:dyDescent="0.3">
      <c r="A28" s="169" t="s">
        <v>47</v>
      </c>
      <c r="B28" s="205" t="s">
        <v>48</v>
      </c>
      <c r="C28" s="66">
        <v>105.21040000000001</v>
      </c>
      <c r="D28" s="66">
        <v>0</v>
      </c>
      <c r="E28" s="66">
        <v>120.9315</v>
      </c>
      <c r="F28" s="66">
        <v>105.21040000000001</v>
      </c>
      <c r="G28" s="66">
        <v>15.7211</v>
      </c>
      <c r="H28" s="66">
        <v>105.21040000000001</v>
      </c>
      <c r="I28" s="66">
        <v>3.5641220000000001E-2</v>
      </c>
      <c r="J28" s="66">
        <v>120.9315</v>
      </c>
      <c r="K28" s="66">
        <v>105.21040000000001</v>
      </c>
      <c r="L28" s="66">
        <v>0</v>
      </c>
      <c r="M28" s="66">
        <v>15.7211</v>
      </c>
      <c r="N28" s="67">
        <v>100</v>
      </c>
      <c r="O28" s="67">
        <v>100</v>
      </c>
      <c r="P28" s="67">
        <v>13.000004134572052</v>
      </c>
      <c r="Q28" s="66">
        <v>3.5641220000000001E-2</v>
      </c>
      <c r="R28" s="67">
        <v>2.248201624865942E-15</v>
      </c>
      <c r="S28" s="66">
        <v>105.21040000000001</v>
      </c>
      <c r="T28" s="66">
        <v>0</v>
      </c>
      <c r="U28" s="66">
        <v>120.9315</v>
      </c>
      <c r="V28" s="66">
        <v>105.21040000000001</v>
      </c>
      <c r="W28" s="66">
        <v>15.7211</v>
      </c>
      <c r="X28" s="66">
        <v>105.21040000000001</v>
      </c>
      <c r="Y28" s="66">
        <v>3.5641220000000001E-2</v>
      </c>
      <c r="Z28" s="66">
        <v>120.9315</v>
      </c>
      <c r="AA28" s="66">
        <v>105.21040000000001</v>
      </c>
      <c r="AB28" s="66">
        <v>0</v>
      </c>
      <c r="AC28" s="66">
        <v>15.7211</v>
      </c>
      <c r="AD28" s="67">
        <v>100</v>
      </c>
      <c r="AE28" s="67">
        <v>100</v>
      </c>
      <c r="AF28" s="67">
        <v>13.000004134572052</v>
      </c>
      <c r="AG28" s="187">
        <v>3.5641220000000001E-2</v>
      </c>
      <c r="AH28" s="67">
        <v>2.248201624865942E-15</v>
      </c>
      <c r="AI28" s="66">
        <v>0</v>
      </c>
      <c r="AJ28" s="66">
        <v>0</v>
      </c>
      <c r="AK28" s="66">
        <v>0</v>
      </c>
      <c r="AL28" s="66">
        <v>0</v>
      </c>
      <c r="AM28" s="66">
        <v>0</v>
      </c>
      <c r="AN28" s="66">
        <v>0</v>
      </c>
      <c r="AO28" s="66">
        <v>0</v>
      </c>
      <c r="AP28" s="66">
        <v>0</v>
      </c>
      <c r="AQ28" s="66">
        <v>0</v>
      </c>
      <c r="AR28" s="66">
        <v>0</v>
      </c>
      <c r="AS28" s="66">
        <v>0</v>
      </c>
      <c r="AT28" s="67" t="s">
        <v>1230</v>
      </c>
      <c r="AU28" s="67" t="s">
        <v>1230</v>
      </c>
      <c r="AV28" s="67">
        <v>0</v>
      </c>
      <c r="AW28" s="187">
        <v>0</v>
      </c>
      <c r="AX28" s="67">
        <v>0</v>
      </c>
    </row>
    <row r="29" spans="1:50" ht="15.6" x14ac:dyDescent="0.3">
      <c r="A29" s="169" t="s">
        <v>50</v>
      </c>
      <c r="B29" s="205" t="s">
        <v>51</v>
      </c>
      <c r="C29" s="66">
        <v>35.741100000000003</v>
      </c>
      <c r="D29" s="66">
        <v>0</v>
      </c>
      <c r="E29" s="66">
        <v>39.275934069999998</v>
      </c>
      <c r="F29" s="66">
        <v>35.741100000000003</v>
      </c>
      <c r="G29" s="66">
        <v>3.5348340700000001</v>
      </c>
      <c r="H29" s="66">
        <v>35.741100000000003</v>
      </c>
      <c r="I29" s="66">
        <v>0</v>
      </c>
      <c r="J29" s="66">
        <v>39.275934069999998</v>
      </c>
      <c r="K29" s="66">
        <v>35.741100000000003</v>
      </c>
      <c r="L29" s="66">
        <v>0</v>
      </c>
      <c r="M29" s="66">
        <v>3.5348340700000001</v>
      </c>
      <c r="N29" s="67">
        <v>100</v>
      </c>
      <c r="O29" s="67">
        <v>100</v>
      </c>
      <c r="P29" s="67">
        <v>9.0000000094205284</v>
      </c>
      <c r="Q29" s="66">
        <v>0</v>
      </c>
      <c r="R29" s="67">
        <v>0</v>
      </c>
      <c r="S29" s="66">
        <v>35.741100000000003</v>
      </c>
      <c r="T29" s="66">
        <v>0</v>
      </c>
      <c r="U29" s="66">
        <v>39.275934069999998</v>
      </c>
      <c r="V29" s="66">
        <v>35.741100000000003</v>
      </c>
      <c r="W29" s="66">
        <v>3.5348340700000001</v>
      </c>
      <c r="X29" s="66">
        <v>35.741100000000003</v>
      </c>
      <c r="Y29" s="66">
        <v>0</v>
      </c>
      <c r="Z29" s="66">
        <v>39.275934069999998</v>
      </c>
      <c r="AA29" s="66">
        <v>35.741100000000003</v>
      </c>
      <c r="AB29" s="66">
        <v>0</v>
      </c>
      <c r="AC29" s="66">
        <v>3.5348340700000001</v>
      </c>
      <c r="AD29" s="67">
        <v>100</v>
      </c>
      <c r="AE29" s="67">
        <v>100</v>
      </c>
      <c r="AF29" s="67">
        <v>9.0000000094205284</v>
      </c>
      <c r="AG29" s="187">
        <v>0</v>
      </c>
      <c r="AH29" s="67">
        <v>0</v>
      </c>
      <c r="AI29" s="66">
        <v>0</v>
      </c>
      <c r="AJ29" s="66">
        <v>0</v>
      </c>
      <c r="AK29" s="66">
        <v>0</v>
      </c>
      <c r="AL29" s="66">
        <v>0</v>
      </c>
      <c r="AM29" s="66">
        <v>0</v>
      </c>
      <c r="AN29" s="66">
        <v>0</v>
      </c>
      <c r="AO29" s="66">
        <v>0</v>
      </c>
      <c r="AP29" s="66">
        <v>0</v>
      </c>
      <c r="AQ29" s="66">
        <v>0</v>
      </c>
      <c r="AR29" s="66">
        <v>0</v>
      </c>
      <c r="AS29" s="66">
        <v>0</v>
      </c>
      <c r="AT29" s="67" t="s">
        <v>1230</v>
      </c>
      <c r="AU29" s="67" t="s">
        <v>1230</v>
      </c>
      <c r="AV29" s="67">
        <v>0</v>
      </c>
      <c r="AW29" s="187">
        <v>0</v>
      </c>
      <c r="AX29" s="67">
        <v>0</v>
      </c>
    </row>
    <row r="30" spans="1:50" ht="15.6" x14ac:dyDescent="0.3">
      <c r="A30" s="169" t="s">
        <v>53</v>
      </c>
      <c r="B30" s="205" t="s">
        <v>54</v>
      </c>
      <c r="C30" s="66">
        <v>36.826999999999998</v>
      </c>
      <c r="D30" s="66">
        <v>0</v>
      </c>
      <c r="E30" s="66">
        <v>43.841700000000003</v>
      </c>
      <c r="F30" s="66">
        <v>36.826999999999998</v>
      </c>
      <c r="G30" s="66">
        <v>7.0147000000000004</v>
      </c>
      <c r="H30" s="66">
        <v>36.773333539999996</v>
      </c>
      <c r="I30" s="66">
        <v>0</v>
      </c>
      <c r="J30" s="66">
        <v>43.777811299999996</v>
      </c>
      <c r="K30" s="66">
        <v>36.773333539999996</v>
      </c>
      <c r="L30" s="66">
        <v>0</v>
      </c>
      <c r="M30" s="66">
        <v>7.0044777599999994</v>
      </c>
      <c r="N30" s="67">
        <v>99.854274146685853</v>
      </c>
      <c r="O30" s="67">
        <v>99.854274024548445</v>
      </c>
      <c r="P30" s="67">
        <v>16.000063849697302</v>
      </c>
      <c r="Q30" s="66">
        <v>0</v>
      </c>
      <c r="R30" s="67">
        <v>0</v>
      </c>
      <c r="S30" s="66">
        <v>36.826999999999998</v>
      </c>
      <c r="T30" s="66">
        <v>0</v>
      </c>
      <c r="U30" s="66">
        <v>43.841700000000003</v>
      </c>
      <c r="V30" s="66">
        <v>36.826999999999998</v>
      </c>
      <c r="W30" s="66">
        <v>7.0147000000000004</v>
      </c>
      <c r="X30" s="66">
        <v>36.773333539999996</v>
      </c>
      <c r="Y30" s="66">
        <v>0</v>
      </c>
      <c r="Z30" s="66">
        <v>43.777811299999996</v>
      </c>
      <c r="AA30" s="66">
        <v>36.773333539999996</v>
      </c>
      <c r="AB30" s="66">
        <v>0</v>
      </c>
      <c r="AC30" s="66">
        <v>7.0044777599999994</v>
      </c>
      <c r="AD30" s="67">
        <v>99.854274146685853</v>
      </c>
      <c r="AE30" s="67">
        <v>99.854274024548445</v>
      </c>
      <c r="AF30" s="67">
        <v>16.000063849697302</v>
      </c>
      <c r="AG30" s="187">
        <v>0</v>
      </c>
      <c r="AH30" s="67">
        <v>0</v>
      </c>
      <c r="AI30" s="66">
        <v>0</v>
      </c>
      <c r="AJ30" s="66">
        <v>0</v>
      </c>
      <c r="AK30" s="66">
        <v>0</v>
      </c>
      <c r="AL30" s="66">
        <v>0</v>
      </c>
      <c r="AM30" s="66">
        <v>0</v>
      </c>
      <c r="AN30" s="66">
        <v>0</v>
      </c>
      <c r="AO30" s="66">
        <v>0</v>
      </c>
      <c r="AP30" s="66">
        <v>0</v>
      </c>
      <c r="AQ30" s="66">
        <v>0</v>
      </c>
      <c r="AR30" s="66">
        <v>0</v>
      </c>
      <c r="AS30" s="66">
        <v>0</v>
      </c>
      <c r="AT30" s="67" t="s">
        <v>1230</v>
      </c>
      <c r="AU30" s="67" t="s">
        <v>1230</v>
      </c>
      <c r="AV30" s="67">
        <v>0</v>
      </c>
      <c r="AW30" s="187">
        <v>0</v>
      </c>
      <c r="AX30" s="67">
        <v>0</v>
      </c>
    </row>
    <row r="31" spans="1:50" ht="15.6" x14ac:dyDescent="0.3">
      <c r="A31" s="169" t="s">
        <v>56</v>
      </c>
      <c r="B31" s="205" t="s">
        <v>57</v>
      </c>
      <c r="C31" s="66">
        <v>104.5805</v>
      </c>
      <c r="D31" s="66">
        <v>0</v>
      </c>
      <c r="E31" s="66">
        <v>143.261</v>
      </c>
      <c r="F31" s="66">
        <v>104.5805</v>
      </c>
      <c r="G31" s="66">
        <v>38.680500000000002</v>
      </c>
      <c r="H31" s="66">
        <v>99.631435299999993</v>
      </c>
      <c r="I31" s="66">
        <v>0</v>
      </c>
      <c r="J31" s="66">
        <v>136.48145735</v>
      </c>
      <c r="K31" s="66">
        <v>99.631435299999993</v>
      </c>
      <c r="L31" s="66">
        <v>0</v>
      </c>
      <c r="M31" s="66">
        <v>36.85002205</v>
      </c>
      <c r="N31" s="67">
        <v>95.267698375892252</v>
      </c>
      <c r="O31" s="67">
        <v>95.267698323444634</v>
      </c>
      <c r="P31" s="67">
        <v>27.000020929949425</v>
      </c>
      <c r="Q31" s="66">
        <v>0</v>
      </c>
      <c r="R31" s="67">
        <v>0</v>
      </c>
      <c r="S31" s="66">
        <v>104.5805</v>
      </c>
      <c r="T31" s="66">
        <v>0</v>
      </c>
      <c r="U31" s="66">
        <v>143.261</v>
      </c>
      <c r="V31" s="66">
        <v>104.5805</v>
      </c>
      <c r="W31" s="66">
        <v>38.680500000000002</v>
      </c>
      <c r="X31" s="66">
        <v>99.631435299999993</v>
      </c>
      <c r="Y31" s="66">
        <v>0</v>
      </c>
      <c r="Z31" s="66">
        <v>136.48145735</v>
      </c>
      <c r="AA31" s="66">
        <v>99.631435299999993</v>
      </c>
      <c r="AB31" s="66">
        <v>0</v>
      </c>
      <c r="AC31" s="66">
        <v>36.85002205</v>
      </c>
      <c r="AD31" s="67">
        <v>95.267698375892252</v>
      </c>
      <c r="AE31" s="67">
        <v>95.267698323444634</v>
      </c>
      <c r="AF31" s="67">
        <v>27.000020929949425</v>
      </c>
      <c r="AG31" s="187">
        <v>0</v>
      </c>
      <c r="AH31" s="67">
        <v>0</v>
      </c>
      <c r="AI31" s="66">
        <v>0</v>
      </c>
      <c r="AJ31" s="66">
        <v>0</v>
      </c>
      <c r="AK31" s="66">
        <v>0</v>
      </c>
      <c r="AL31" s="66">
        <v>0</v>
      </c>
      <c r="AM31" s="66">
        <v>0</v>
      </c>
      <c r="AN31" s="66">
        <v>0</v>
      </c>
      <c r="AO31" s="66">
        <v>0</v>
      </c>
      <c r="AP31" s="66">
        <v>0</v>
      </c>
      <c r="AQ31" s="66">
        <v>0</v>
      </c>
      <c r="AR31" s="66">
        <v>0</v>
      </c>
      <c r="AS31" s="66">
        <v>0</v>
      </c>
      <c r="AT31" s="67" t="s">
        <v>1230</v>
      </c>
      <c r="AU31" s="67" t="s">
        <v>1230</v>
      </c>
      <c r="AV31" s="67">
        <v>0</v>
      </c>
      <c r="AW31" s="187">
        <v>0</v>
      </c>
      <c r="AX31" s="67">
        <v>0</v>
      </c>
    </row>
    <row r="32" spans="1:50" ht="15.6" x14ac:dyDescent="0.3">
      <c r="A32" s="169" t="s">
        <v>59</v>
      </c>
      <c r="B32" s="205" t="s">
        <v>60</v>
      </c>
      <c r="C32" s="66">
        <v>44.402000000000001</v>
      </c>
      <c r="D32" s="66">
        <v>0</v>
      </c>
      <c r="E32" s="66">
        <v>62.538029000000002</v>
      </c>
      <c r="F32" s="66">
        <v>44.402000000000001</v>
      </c>
      <c r="G32" s="66">
        <v>18.136029000000001</v>
      </c>
      <c r="H32" s="66">
        <v>44.402000000000001</v>
      </c>
      <c r="I32" s="66">
        <v>0</v>
      </c>
      <c r="J32" s="66">
        <v>62.538029000000002</v>
      </c>
      <c r="K32" s="66">
        <v>44.402000000000001</v>
      </c>
      <c r="L32" s="66">
        <v>0</v>
      </c>
      <c r="M32" s="66">
        <v>18.136029000000001</v>
      </c>
      <c r="N32" s="67">
        <v>100</v>
      </c>
      <c r="O32" s="67">
        <v>100</v>
      </c>
      <c r="P32" s="67">
        <v>29.000000943425956</v>
      </c>
      <c r="Q32" s="66">
        <v>0</v>
      </c>
      <c r="R32" s="67">
        <v>0</v>
      </c>
      <c r="S32" s="66">
        <v>44.402000000000001</v>
      </c>
      <c r="T32" s="66">
        <v>0</v>
      </c>
      <c r="U32" s="66">
        <v>62.538029000000002</v>
      </c>
      <c r="V32" s="66">
        <v>44.402000000000001</v>
      </c>
      <c r="W32" s="66">
        <v>18.136029000000001</v>
      </c>
      <c r="X32" s="66">
        <v>44.402000000000001</v>
      </c>
      <c r="Y32" s="66">
        <v>0</v>
      </c>
      <c r="Z32" s="66">
        <v>62.538029000000002</v>
      </c>
      <c r="AA32" s="66">
        <v>44.402000000000001</v>
      </c>
      <c r="AB32" s="66">
        <v>0</v>
      </c>
      <c r="AC32" s="66">
        <v>18.136029000000001</v>
      </c>
      <c r="AD32" s="67">
        <v>100</v>
      </c>
      <c r="AE32" s="67">
        <v>100</v>
      </c>
      <c r="AF32" s="67">
        <v>29.000000943425956</v>
      </c>
      <c r="AG32" s="187">
        <v>0</v>
      </c>
      <c r="AH32" s="67">
        <v>0</v>
      </c>
      <c r="AI32" s="66">
        <v>0</v>
      </c>
      <c r="AJ32" s="66">
        <v>0</v>
      </c>
      <c r="AK32" s="66">
        <v>0</v>
      </c>
      <c r="AL32" s="66">
        <v>0</v>
      </c>
      <c r="AM32" s="66">
        <v>0</v>
      </c>
      <c r="AN32" s="66">
        <v>0</v>
      </c>
      <c r="AO32" s="66">
        <v>0</v>
      </c>
      <c r="AP32" s="66">
        <v>0</v>
      </c>
      <c r="AQ32" s="66">
        <v>0</v>
      </c>
      <c r="AR32" s="66">
        <v>0</v>
      </c>
      <c r="AS32" s="66">
        <v>0</v>
      </c>
      <c r="AT32" s="67" t="s">
        <v>1230</v>
      </c>
      <c r="AU32" s="67" t="s">
        <v>1230</v>
      </c>
      <c r="AV32" s="67">
        <v>0</v>
      </c>
      <c r="AW32" s="187">
        <v>0</v>
      </c>
      <c r="AX32" s="67">
        <v>0</v>
      </c>
    </row>
    <row r="33" spans="1:50" ht="15.6" x14ac:dyDescent="0.3">
      <c r="A33" s="202" t="s">
        <v>62</v>
      </c>
      <c r="B33" s="203" t="s">
        <v>63</v>
      </c>
      <c r="C33" s="61">
        <v>450.94139999999993</v>
      </c>
      <c r="D33" s="61">
        <v>0</v>
      </c>
      <c r="E33" s="61">
        <v>623.45521708000001</v>
      </c>
      <c r="F33" s="61">
        <v>450.94139999999993</v>
      </c>
      <c r="G33" s="61">
        <v>172.51381708000002</v>
      </c>
      <c r="H33" s="61">
        <v>446.03282944</v>
      </c>
      <c r="I33" s="61">
        <v>0.61187033000000002</v>
      </c>
      <c r="J33" s="61">
        <v>615.91215054999998</v>
      </c>
      <c r="K33" s="61">
        <v>446.03282944</v>
      </c>
      <c r="L33" s="61">
        <v>0</v>
      </c>
      <c r="M33" s="61">
        <v>169.87932111000003</v>
      </c>
      <c r="N33" s="61">
        <v>98.911483718283591</v>
      </c>
      <c r="O33" s="61">
        <v>98.472878280365052</v>
      </c>
      <c r="P33" s="61">
        <v>27.581745376885397</v>
      </c>
      <c r="Q33" s="61">
        <v>0.61187033000000002</v>
      </c>
      <c r="R33" s="61">
        <v>2.1371793224034263E-15</v>
      </c>
      <c r="S33" s="61">
        <v>435.47140000000002</v>
      </c>
      <c r="T33" s="61">
        <v>0</v>
      </c>
      <c r="U33" s="61">
        <v>607.50676707999992</v>
      </c>
      <c r="V33" s="61">
        <v>435.47140000000002</v>
      </c>
      <c r="W33" s="61">
        <v>172.03536708000001</v>
      </c>
      <c r="X33" s="61">
        <v>430.56282943999997</v>
      </c>
      <c r="Y33" s="61">
        <v>0.61187033000000002</v>
      </c>
      <c r="Z33" s="61">
        <v>599.96370054999988</v>
      </c>
      <c r="AA33" s="61">
        <v>430.56282943999997</v>
      </c>
      <c r="AB33" s="61">
        <v>0</v>
      </c>
      <c r="AC33" s="61">
        <v>169.40087111000003</v>
      </c>
      <c r="AD33" s="61">
        <v>98.872814481042838</v>
      </c>
      <c r="AE33" s="61">
        <v>98.468631180485758</v>
      </c>
      <c r="AF33" s="61">
        <v>28.235186721247725</v>
      </c>
      <c r="AG33" s="61">
        <v>0.61187033000000002</v>
      </c>
      <c r="AH33" s="61">
        <v>2.1371793224034263E-15</v>
      </c>
      <c r="AI33" s="61">
        <v>15.47</v>
      </c>
      <c r="AJ33" s="61">
        <v>0</v>
      </c>
      <c r="AK33" s="61">
        <v>15.948449999999999</v>
      </c>
      <c r="AL33" s="61">
        <v>15.47</v>
      </c>
      <c r="AM33" s="61">
        <v>0.47844999999999999</v>
      </c>
      <c r="AN33" s="61">
        <v>15.47</v>
      </c>
      <c r="AO33" s="61">
        <v>0</v>
      </c>
      <c r="AP33" s="61">
        <v>15.948449999999999</v>
      </c>
      <c r="AQ33" s="61">
        <v>15.47</v>
      </c>
      <c r="AR33" s="61">
        <v>0</v>
      </c>
      <c r="AS33" s="61">
        <v>0.47844999999999999</v>
      </c>
      <c r="AT33" s="61">
        <v>100</v>
      </c>
      <c r="AU33" s="61">
        <v>100</v>
      </c>
      <c r="AV33" s="61">
        <v>2.9999780542936776</v>
      </c>
      <c r="AW33" s="61">
        <v>0</v>
      </c>
      <c r="AX33" s="61">
        <v>0</v>
      </c>
    </row>
    <row r="34" spans="1:50" ht="15.6" x14ac:dyDescent="0.3">
      <c r="A34" s="169" t="s">
        <v>65</v>
      </c>
      <c r="B34" s="205" t="s">
        <v>66</v>
      </c>
      <c r="C34" s="66">
        <v>11.636699999999999</v>
      </c>
      <c r="D34" s="66">
        <v>0</v>
      </c>
      <c r="E34" s="66">
        <v>28.936699999999998</v>
      </c>
      <c r="F34" s="66">
        <v>11.636699999999999</v>
      </c>
      <c r="G34" s="66">
        <v>17.3</v>
      </c>
      <c r="H34" s="66">
        <v>10.331447000000001</v>
      </c>
      <c r="I34" s="66">
        <v>1.5053759999999999E-2</v>
      </c>
      <c r="J34" s="66">
        <v>25.69095896</v>
      </c>
      <c r="K34" s="66">
        <v>10.331447000000001</v>
      </c>
      <c r="L34" s="66">
        <v>0</v>
      </c>
      <c r="M34" s="66">
        <v>15.359511960000001</v>
      </c>
      <c r="N34" s="67">
        <v>88.783306263803325</v>
      </c>
      <c r="O34" s="67">
        <v>88.783306127167634</v>
      </c>
      <c r="P34" s="67">
        <v>59.785670063598126</v>
      </c>
      <c r="Q34" s="66">
        <v>1.5053759999999999E-2</v>
      </c>
      <c r="R34" s="67">
        <v>6.9388939039072284E-16</v>
      </c>
      <c r="S34" s="66">
        <v>11.636699999999999</v>
      </c>
      <c r="T34" s="66">
        <v>0</v>
      </c>
      <c r="U34" s="66">
        <v>28.936699999999998</v>
      </c>
      <c r="V34" s="66">
        <v>11.636699999999999</v>
      </c>
      <c r="W34" s="66">
        <v>17.3</v>
      </c>
      <c r="X34" s="66">
        <v>10.331447000000001</v>
      </c>
      <c r="Y34" s="66">
        <v>1.5053759999999999E-2</v>
      </c>
      <c r="Z34" s="66">
        <v>25.69095896</v>
      </c>
      <c r="AA34" s="66">
        <v>10.331447000000001</v>
      </c>
      <c r="AB34" s="66">
        <v>0</v>
      </c>
      <c r="AC34" s="66">
        <v>15.359511960000001</v>
      </c>
      <c r="AD34" s="67">
        <v>88.783306263803325</v>
      </c>
      <c r="AE34" s="67">
        <v>88.783306127167634</v>
      </c>
      <c r="AF34" s="67">
        <v>59.785670063598126</v>
      </c>
      <c r="AG34" s="187">
        <v>1.5053759999999999E-2</v>
      </c>
      <c r="AH34" s="67">
        <v>6.9388939039072284E-16</v>
      </c>
      <c r="AI34" s="66">
        <v>0</v>
      </c>
      <c r="AJ34" s="66">
        <v>0</v>
      </c>
      <c r="AK34" s="66">
        <v>0</v>
      </c>
      <c r="AL34" s="66">
        <v>0</v>
      </c>
      <c r="AM34" s="66">
        <v>0</v>
      </c>
      <c r="AN34" s="66">
        <v>0</v>
      </c>
      <c r="AO34" s="66">
        <v>0</v>
      </c>
      <c r="AP34" s="66">
        <v>0</v>
      </c>
      <c r="AQ34" s="66">
        <v>0</v>
      </c>
      <c r="AR34" s="66">
        <v>0</v>
      </c>
      <c r="AS34" s="66">
        <v>0</v>
      </c>
      <c r="AT34" s="67" t="s">
        <v>1230</v>
      </c>
      <c r="AU34" s="67" t="s">
        <v>1230</v>
      </c>
      <c r="AV34" s="67">
        <v>0</v>
      </c>
      <c r="AW34" s="187">
        <v>0</v>
      </c>
      <c r="AX34" s="67">
        <v>0</v>
      </c>
    </row>
    <row r="35" spans="1:50" ht="15.6" x14ac:dyDescent="0.3">
      <c r="A35" s="169" t="s">
        <v>68</v>
      </c>
      <c r="B35" s="205" t="s">
        <v>69</v>
      </c>
      <c r="C35" s="66">
        <v>3.4780000000000002</v>
      </c>
      <c r="D35" s="66">
        <v>0</v>
      </c>
      <c r="E35" s="66">
        <v>4.9685714299999999</v>
      </c>
      <c r="F35" s="66">
        <v>3.4780000000000002</v>
      </c>
      <c r="G35" s="66">
        <v>1.4905714299999999</v>
      </c>
      <c r="H35" s="66">
        <v>2.5524067400000003</v>
      </c>
      <c r="I35" s="66">
        <v>0</v>
      </c>
      <c r="J35" s="66">
        <v>3.6462953499999999</v>
      </c>
      <c r="K35" s="66">
        <v>2.5524067400000003</v>
      </c>
      <c r="L35" s="66">
        <v>0</v>
      </c>
      <c r="M35" s="66">
        <v>1.09388861</v>
      </c>
      <c r="N35" s="67">
        <v>73.387197814836114</v>
      </c>
      <c r="O35" s="67">
        <v>73.387198223704047</v>
      </c>
      <c r="P35" s="67">
        <v>30.000000137125483</v>
      </c>
      <c r="Q35" s="66">
        <v>0</v>
      </c>
      <c r="R35" s="67">
        <v>0</v>
      </c>
      <c r="S35" s="66">
        <v>3.4780000000000002</v>
      </c>
      <c r="T35" s="66">
        <v>0</v>
      </c>
      <c r="U35" s="66">
        <v>4.9685714299999999</v>
      </c>
      <c r="V35" s="66">
        <v>3.4780000000000002</v>
      </c>
      <c r="W35" s="66">
        <v>1.4905714299999999</v>
      </c>
      <c r="X35" s="66">
        <v>2.5524067400000003</v>
      </c>
      <c r="Y35" s="66">
        <v>0</v>
      </c>
      <c r="Z35" s="66">
        <v>3.6462953499999999</v>
      </c>
      <c r="AA35" s="66">
        <v>2.5524067400000003</v>
      </c>
      <c r="AB35" s="66">
        <v>0</v>
      </c>
      <c r="AC35" s="66">
        <v>1.09388861</v>
      </c>
      <c r="AD35" s="67">
        <v>73.387197814836114</v>
      </c>
      <c r="AE35" s="67">
        <v>73.387198223704047</v>
      </c>
      <c r="AF35" s="67">
        <v>30.000000137125483</v>
      </c>
      <c r="AG35" s="187">
        <v>0</v>
      </c>
      <c r="AH35" s="67">
        <v>0</v>
      </c>
      <c r="AI35" s="66">
        <v>0</v>
      </c>
      <c r="AJ35" s="66">
        <v>0</v>
      </c>
      <c r="AK35" s="66">
        <v>0</v>
      </c>
      <c r="AL35" s="66">
        <v>0</v>
      </c>
      <c r="AM35" s="66">
        <v>0</v>
      </c>
      <c r="AN35" s="66">
        <v>0</v>
      </c>
      <c r="AO35" s="66">
        <v>0</v>
      </c>
      <c r="AP35" s="66">
        <v>0</v>
      </c>
      <c r="AQ35" s="66">
        <v>0</v>
      </c>
      <c r="AR35" s="66">
        <v>0</v>
      </c>
      <c r="AS35" s="66">
        <v>0</v>
      </c>
      <c r="AT35" s="67" t="s">
        <v>1230</v>
      </c>
      <c r="AU35" s="67" t="s">
        <v>1230</v>
      </c>
      <c r="AV35" s="67">
        <v>0</v>
      </c>
      <c r="AW35" s="187">
        <v>0</v>
      </c>
      <c r="AX35" s="67">
        <v>0</v>
      </c>
    </row>
    <row r="36" spans="1:50" ht="15.6" x14ac:dyDescent="0.3">
      <c r="A36" s="169" t="s">
        <v>71</v>
      </c>
      <c r="B36" s="205" t="s">
        <v>72</v>
      </c>
      <c r="C36" s="66">
        <v>62.735199999999999</v>
      </c>
      <c r="D36" s="66">
        <v>0</v>
      </c>
      <c r="E36" s="66">
        <v>69.705582219999997</v>
      </c>
      <c r="F36" s="66">
        <v>62.735199999999999</v>
      </c>
      <c r="G36" s="66">
        <v>6.9703822199999994</v>
      </c>
      <c r="H36" s="66">
        <v>60.057475700000005</v>
      </c>
      <c r="I36" s="66">
        <v>0</v>
      </c>
      <c r="J36" s="66">
        <v>66.73053281</v>
      </c>
      <c r="K36" s="66">
        <v>60.057475700000005</v>
      </c>
      <c r="L36" s="66">
        <v>0</v>
      </c>
      <c r="M36" s="66">
        <v>6.6730571100000002</v>
      </c>
      <c r="N36" s="67">
        <v>95.731703573113663</v>
      </c>
      <c r="O36" s="67">
        <v>95.734450412964605</v>
      </c>
      <c r="P36" s="67">
        <v>10.000005738003038</v>
      </c>
      <c r="Q36" s="66">
        <v>0</v>
      </c>
      <c r="R36" s="67">
        <v>0</v>
      </c>
      <c r="S36" s="66">
        <v>62.735199999999999</v>
      </c>
      <c r="T36" s="66">
        <v>0</v>
      </c>
      <c r="U36" s="66">
        <v>69.705582219999997</v>
      </c>
      <c r="V36" s="66">
        <v>62.735199999999999</v>
      </c>
      <c r="W36" s="66">
        <v>6.9703822199999994</v>
      </c>
      <c r="X36" s="66">
        <v>60.057475700000005</v>
      </c>
      <c r="Y36" s="66">
        <v>0</v>
      </c>
      <c r="Z36" s="66">
        <v>66.73053281</v>
      </c>
      <c r="AA36" s="66">
        <v>60.057475700000005</v>
      </c>
      <c r="AB36" s="66">
        <v>0</v>
      </c>
      <c r="AC36" s="66">
        <v>6.6730571100000002</v>
      </c>
      <c r="AD36" s="67">
        <v>95.731703573113663</v>
      </c>
      <c r="AE36" s="67">
        <v>95.734450412964605</v>
      </c>
      <c r="AF36" s="67">
        <v>10.000005738003038</v>
      </c>
      <c r="AG36" s="187">
        <v>0</v>
      </c>
      <c r="AH36" s="67">
        <v>0</v>
      </c>
      <c r="AI36" s="66">
        <v>0</v>
      </c>
      <c r="AJ36" s="66">
        <v>0</v>
      </c>
      <c r="AK36" s="66">
        <v>0</v>
      </c>
      <c r="AL36" s="66">
        <v>0</v>
      </c>
      <c r="AM36" s="66">
        <v>0</v>
      </c>
      <c r="AN36" s="66">
        <v>0</v>
      </c>
      <c r="AO36" s="66">
        <v>0</v>
      </c>
      <c r="AP36" s="66">
        <v>0</v>
      </c>
      <c r="AQ36" s="66">
        <v>0</v>
      </c>
      <c r="AR36" s="66">
        <v>0</v>
      </c>
      <c r="AS36" s="66">
        <v>0</v>
      </c>
      <c r="AT36" s="67" t="s">
        <v>1230</v>
      </c>
      <c r="AU36" s="67" t="s">
        <v>1230</v>
      </c>
      <c r="AV36" s="67">
        <v>0</v>
      </c>
      <c r="AW36" s="187">
        <v>0</v>
      </c>
      <c r="AX36" s="67">
        <v>0</v>
      </c>
    </row>
    <row r="37" spans="1:50" ht="15.6" x14ac:dyDescent="0.3">
      <c r="A37" s="169" t="s">
        <v>74</v>
      </c>
      <c r="B37" s="205" t="s">
        <v>1078</v>
      </c>
      <c r="C37" s="66">
        <v>0</v>
      </c>
      <c r="D37" s="66">
        <v>0</v>
      </c>
      <c r="E37" s="66">
        <v>0</v>
      </c>
      <c r="F37" s="66">
        <v>0</v>
      </c>
      <c r="G37" s="66">
        <v>0</v>
      </c>
      <c r="H37" s="66">
        <v>0</v>
      </c>
      <c r="I37" s="66">
        <v>0</v>
      </c>
      <c r="J37" s="66">
        <v>0</v>
      </c>
      <c r="K37" s="66">
        <v>0</v>
      </c>
      <c r="L37" s="66">
        <v>0</v>
      </c>
      <c r="M37" s="66">
        <v>0</v>
      </c>
      <c r="N37" s="67" t="s">
        <v>1230</v>
      </c>
      <c r="O37" s="67" t="s">
        <v>1230</v>
      </c>
      <c r="P37" s="67">
        <v>0</v>
      </c>
      <c r="Q37" s="66">
        <v>0</v>
      </c>
      <c r="R37" s="67">
        <v>0</v>
      </c>
      <c r="S37" s="66">
        <v>0</v>
      </c>
      <c r="T37" s="66">
        <v>0</v>
      </c>
      <c r="U37" s="66">
        <v>0</v>
      </c>
      <c r="V37" s="66">
        <v>0</v>
      </c>
      <c r="W37" s="66">
        <v>0</v>
      </c>
      <c r="X37" s="66">
        <v>0</v>
      </c>
      <c r="Y37" s="66">
        <v>0</v>
      </c>
      <c r="Z37" s="66">
        <v>0</v>
      </c>
      <c r="AA37" s="66">
        <v>0</v>
      </c>
      <c r="AB37" s="66">
        <v>0</v>
      </c>
      <c r="AC37" s="66">
        <v>0</v>
      </c>
      <c r="AD37" s="67" t="s">
        <v>1230</v>
      </c>
      <c r="AE37" s="67" t="s">
        <v>1230</v>
      </c>
      <c r="AF37" s="67">
        <v>0</v>
      </c>
      <c r="AG37" s="187">
        <v>0</v>
      </c>
      <c r="AH37" s="67">
        <v>0</v>
      </c>
      <c r="AI37" s="66">
        <v>0</v>
      </c>
      <c r="AJ37" s="66">
        <v>0</v>
      </c>
      <c r="AK37" s="66">
        <v>0</v>
      </c>
      <c r="AL37" s="66">
        <v>0</v>
      </c>
      <c r="AM37" s="66">
        <v>0</v>
      </c>
      <c r="AN37" s="66">
        <v>0</v>
      </c>
      <c r="AO37" s="66">
        <v>0</v>
      </c>
      <c r="AP37" s="66">
        <v>0</v>
      </c>
      <c r="AQ37" s="66">
        <v>0</v>
      </c>
      <c r="AR37" s="66">
        <v>0</v>
      </c>
      <c r="AS37" s="66">
        <v>0</v>
      </c>
      <c r="AT37" s="67" t="s">
        <v>1230</v>
      </c>
      <c r="AU37" s="67" t="s">
        <v>1230</v>
      </c>
      <c r="AV37" s="67">
        <v>0</v>
      </c>
      <c r="AW37" s="187">
        <v>0</v>
      </c>
      <c r="AX37" s="67">
        <v>0</v>
      </c>
    </row>
    <row r="38" spans="1:50" ht="15.6" x14ac:dyDescent="0.3">
      <c r="A38" s="169" t="s">
        <v>76</v>
      </c>
      <c r="B38" s="205" t="s">
        <v>77</v>
      </c>
      <c r="C38" s="66">
        <v>2.6859000000000002</v>
      </c>
      <c r="D38" s="66">
        <v>0</v>
      </c>
      <c r="E38" s="66">
        <v>3.4882</v>
      </c>
      <c r="F38" s="66">
        <v>2.6859000000000002</v>
      </c>
      <c r="G38" s="66">
        <v>0.80230000000000001</v>
      </c>
      <c r="H38" s="66">
        <v>2.6859000000000002</v>
      </c>
      <c r="I38" s="66">
        <v>0</v>
      </c>
      <c r="J38" s="66">
        <v>3.4882</v>
      </c>
      <c r="K38" s="66">
        <v>2.6859000000000002</v>
      </c>
      <c r="L38" s="66">
        <v>0</v>
      </c>
      <c r="M38" s="66">
        <v>0.80230000000000001</v>
      </c>
      <c r="N38" s="67">
        <v>100</v>
      </c>
      <c r="O38" s="67">
        <v>100</v>
      </c>
      <c r="P38" s="67">
        <v>23.000401353133419</v>
      </c>
      <c r="Q38" s="66">
        <v>0</v>
      </c>
      <c r="R38" s="67">
        <v>0</v>
      </c>
      <c r="S38" s="66">
        <v>2.6859000000000002</v>
      </c>
      <c r="T38" s="66">
        <v>0</v>
      </c>
      <c r="U38" s="66">
        <v>3.4882</v>
      </c>
      <c r="V38" s="66">
        <v>2.6859000000000002</v>
      </c>
      <c r="W38" s="66">
        <v>0.80230000000000001</v>
      </c>
      <c r="X38" s="66">
        <v>2.6859000000000002</v>
      </c>
      <c r="Y38" s="66">
        <v>0</v>
      </c>
      <c r="Z38" s="66">
        <v>3.4882</v>
      </c>
      <c r="AA38" s="66">
        <v>2.6859000000000002</v>
      </c>
      <c r="AB38" s="66">
        <v>0</v>
      </c>
      <c r="AC38" s="66">
        <v>0.80230000000000001</v>
      </c>
      <c r="AD38" s="67">
        <v>100</v>
      </c>
      <c r="AE38" s="67">
        <v>100</v>
      </c>
      <c r="AF38" s="67">
        <v>23.000401353133419</v>
      </c>
      <c r="AG38" s="187">
        <v>0</v>
      </c>
      <c r="AH38" s="67">
        <v>0</v>
      </c>
      <c r="AI38" s="66">
        <v>0</v>
      </c>
      <c r="AJ38" s="66">
        <v>0</v>
      </c>
      <c r="AK38" s="66">
        <v>0</v>
      </c>
      <c r="AL38" s="66">
        <v>0</v>
      </c>
      <c r="AM38" s="66">
        <v>0</v>
      </c>
      <c r="AN38" s="66">
        <v>0</v>
      </c>
      <c r="AO38" s="66">
        <v>0</v>
      </c>
      <c r="AP38" s="66">
        <v>0</v>
      </c>
      <c r="AQ38" s="66">
        <v>0</v>
      </c>
      <c r="AR38" s="66">
        <v>0</v>
      </c>
      <c r="AS38" s="66">
        <v>0</v>
      </c>
      <c r="AT38" s="67" t="s">
        <v>1230</v>
      </c>
      <c r="AU38" s="67" t="s">
        <v>1230</v>
      </c>
      <c r="AV38" s="67">
        <v>0</v>
      </c>
      <c r="AW38" s="187">
        <v>0</v>
      </c>
      <c r="AX38" s="67">
        <v>0</v>
      </c>
    </row>
    <row r="39" spans="1:50" ht="15.6" x14ac:dyDescent="0.3">
      <c r="A39" s="169" t="s">
        <v>79</v>
      </c>
      <c r="B39" s="205" t="s">
        <v>80</v>
      </c>
      <c r="C39" s="66">
        <v>50.136000000000003</v>
      </c>
      <c r="D39" s="66">
        <v>0</v>
      </c>
      <c r="E39" s="66">
        <v>65.111699999999999</v>
      </c>
      <c r="F39" s="66">
        <v>50.136000000000003</v>
      </c>
      <c r="G39" s="66">
        <v>14.9757</v>
      </c>
      <c r="H39" s="66">
        <v>50.136000000000003</v>
      </c>
      <c r="I39" s="66">
        <v>0</v>
      </c>
      <c r="J39" s="66">
        <v>65.111699999999999</v>
      </c>
      <c r="K39" s="66">
        <v>50.136000000000003</v>
      </c>
      <c r="L39" s="66">
        <v>0</v>
      </c>
      <c r="M39" s="66">
        <v>14.9757</v>
      </c>
      <c r="N39" s="67">
        <v>100</v>
      </c>
      <c r="O39" s="67">
        <v>100</v>
      </c>
      <c r="P39" s="67">
        <v>23.000013822400582</v>
      </c>
      <c r="Q39" s="66">
        <v>0</v>
      </c>
      <c r="R39" s="67">
        <v>0</v>
      </c>
      <c r="S39" s="66">
        <v>50.136000000000003</v>
      </c>
      <c r="T39" s="66">
        <v>0</v>
      </c>
      <c r="U39" s="66">
        <v>65.111699999999999</v>
      </c>
      <c r="V39" s="66">
        <v>50.136000000000003</v>
      </c>
      <c r="W39" s="66">
        <v>14.9757</v>
      </c>
      <c r="X39" s="66">
        <v>50.136000000000003</v>
      </c>
      <c r="Y39" s="66">
        <v>0</v>
      </c>
      <c r="Z39" s="66">
        <v>65.111699999999999</v>
      </c>
      <c r="AA39" s="66">
        <v>50.136000000000003</v>
      </c>
      <c r="AB39" s="66">
        <v>0</v>
      </c>
      <c r="AC39" s="66">
        <v>14.9757</v>
      </c>
      <c r="AD39" s="67">
        <v>100</v>
      </c>
      <c r="AE39" s="67">
        <v>100</v>
      </c>
      <c r="AF39" s="67">
        <v>23.000013822400582</v>
      </c>
      <c r="AG39" s="187">
        <v>0</v>
      </c>
      <c r="AH39" s="67">
        <v>0</v>
      </c>
      <c r="AI39" s="66">
        <v>0</v>
      </c>
      <c r="AJ39" s="66">
        <v>0</v>
      </c>
      <c r="AK39" s="66">
        <v>0</v>
      </c>
      <c r="AL39" s="66">
        <v>0</v>
      </c>
      <c r="AM39" s="66">
        <v>0</v>
      </c>
      <c r="AN39" s="66">
        <v>0</v>
      </c>
      <c r="AO39" s="66">
        <v>0</v>
      </c>
      <c r="AP39" s="66">
        <v>0</v>
      </c>
      <c r="AQ39" s="66">
        <v>0</v>
      </c>
      <c r="AR39" s="66">
        <v>0</v>
      </c>
      <c r="AS39" s="66">
        <v>0</v>
      </c>
      <c r="AT39" s="67" t="s">
        <v>1230</v>
      </c>
      <c r="AU39" s="67" t="s">
        <v>1230</v>
      </c>
      <c r="AV39" s="67">
        <v>0</v>
      </c>
      <c r="AW39" s="187">
        <v>0</v>
      </c>
      <c r="AX39" s="67">
        <v>0</v>
      </c>
    </row>
    <row r="40" spans="1:50" ht="15.6" x14ac:dyDescent="0.3">
      <c r="A40" s="169" t="s">
        <v>82</v>
      </c>
      <c r="B40" s="205" t="s">
        <v>83</v>
      </c>
      <c r="C40" s="66">
        <v>94.577600000000004</v>
      </c>
      <c r="D40" s="66">
        <v>0</v>
      </c>
      <c r="E40" s="66">
        <v>193.01551019999999</v>
      </c>
      <c r="F40" s="66">
        <v>94.577600000000004</v>
      </c>
      <c r="G40" s="66">
        <v>98.437910200000005</v>
      </c>
      <c r="H40" s="66">
        <v>94.577600000000004</v>
      </c>
      <c r="I40" s="66">
        <v>0.59681656999999999</v>
      </c>
      <c r="J40" s="66">
        <v>193.01551019999999</v>
      </c>
      <c r="K40" s="66">
        <v>94.577600000000004</v>
      </c>
      <c r="L40" s="66">
        <v>0</v>
      </c>
      <c r="M40" s="66">
        <v>98.437910200000005</v>
      </c>
      <c r="N40" s="67">
        <v>100</v>
      </c>
      <c r="O40" s="67">
        <v>100</v>
      </c>
      <c r="P40" s="67">
        <v>50.999999998963816</v>
      </c>
      <c r="Q40" s="66">
        <v>0.59681656999999999</v>
      </c>
      <c r="R40" s="67">
        <v>1.4432899320127035E-15</v>
      </c>
      <c r="S40" s="66">
        <v>94.577600000000004</v>
      </c>
      <c r="T40" s="66">
        <v>0</v>
      </c>
      <c r="U40" s="66">
        <v>193.01551019999999</v>
      </c>
      <c r="V40" s="66">
        <v>94.577600000000004</v>
      </c>
      <c r="W40" s="66">
        <v>98.437910200000005</v>
      </c>
      <c r="X40" s="66">
        <v>94.577600000000004</v>
      </c>
      <c r="Y40" s="66">
        <v>0.59681656999999999</v>
      </c>
      <c r="Z40" s="66">
        <v>193.01551019999999</v>
      </c>
      <c r="AA40" s="66">
        <v>94.577600000000004</v>
      </c>
      <c r="AB40" s="66">
        <v>0</v>
      </c>
      <c r="AC40" s="66">
        <v>98.437910200000005</v>
      </c>
      <c r="AD40" s="67">
        <v>100</v>
      </c>
      <c r="AE40" s="67">
        <v>100</v>
      </c>
      <c r="AF40" s="67">
        <v>50.999999998963816</v>
      </c>
      <c r="AG40" s="187">
        <v>0.59681656999999999</v>
      </c>
      <c r="AH40" s="67">
        <v>1.4432899320127035E-15</v>
      </c>
      <c r="AI40" s="66">
        <v>0</v>
      </c>
      <c r="AJ40" s="66">
        <v>0</v>
      </c>
      <c r="AK40" s="66">
        <v>0</v>
      </c>
      <c r="AL40" s="66">
        <v>0</v>
      </c>
      <c r="AM40" s="66">
        <v>0</v>
      </c>
      <c r="AN40" s="66">
        <v>0</v>
      </c>
      <c r="AO40" s="66">
        <v>0</v>
      </c>
      <c r="AP40" s="66">
        <v>0</v>
      </c>
      <c r="AQ40" s="66">
        <v>0</v>
      </c>
      <c r="AR40" s="66">
        <v>0</v>
      </c>
      <c r="AS40" s="66">
        <v>0</v>
      </c>
      <c r="AT40" s="67" t="s">
        <v>1230</v>
      </c>
      <c r="AU40" s="67" t="s">
        <v>1230</v>
      </c>
      <c r="AV40" s="67">
        <v>0</v>
      </c>
      <c r="AW40" s="187">
        <v>0</v>
      </c>
      <c r="AX40" s="67">
        <v>0</v>
      </c>
    </row>
    <row r="41" spans="1:50" ht="15.6" x14ac:dyDescent="0.3">
      <c r="A41" s="169" t="s">
        <v>85</v>
      </c>
      <c r="B41" s="205" t="s">
        <v>299</v>
      </c>
      <c r="C41" s="66">
        <v>0</v>
      </c>
      <c r="D41" s="66">
        <v>0</v>
      </c>
      <c r="E41" s="66">
        <v>0</v>
      </c>
      <c r="F41" s="66">
        <v>0</v>
      </c>
      <c r="G41" s="66">
        <v>0</v>
      </c>
      <c r="H41" s="66">
        <v>0</v>
      </c>
      <c r="I41" s="66">
        <v>0</v>
      </c>
      <c r="J41" s="66">
        <v>0</v>
      </c>
      <c r="K41" s="66">
        <v>0</v>
      </c>
      <c r="L41" s="66">
        <v>0</v>
      </c>
      <c r="M41" s="66">
        <v>0</v>
      </c>
      <c r="N41" s="67" t="s">
        <v>1230</v>
      </c>
      <c r="O41" s="67" t="s">
        <v>1230</v>
      </c>
      <c r="P41" s="67">
        <v>0</v>
      </c>
      <c r="Q41" s="66">
        <v>0</v>
      </c>
      <c r="R41" s="67">
        <v>0</v>
      </c>
      <c r="S41" s="66">
        <v>0</v>
      </c>
      <c r="T41" s="66">
        <v>0</v>
      </c>
      <c r="U41" s="66">
        <v>0</v>
      </c>
      <c r="V41" s="66">
        <v>0</v>
      </c>
      <c r="W41" s="66">
        <v>0</v>
      </c>
      <c r="X41" s="66">
        <v>0</v>
      </c>
      <c r="Y41" s="66">
        <v>0</v>
      </c>
      <c r="Z41" s="66">
        <v>0</v>
      </c>
      <c r="AA41" s="66">
        <v>0</v>
      </c>
      <c r="AB41" s="66">
        <v>0</v>
      </c>
      <c r="AC41" s="66">
        <v>0</v>
      </c>
      <c r="AD41" s="67" t="s">
        <v>1230</v>
      </c>
      <c r="AE41" s="67" t="s">
        <v>1230</v>
      </c>
      <c r="AF41" s="67">
        <v>0</v>
      </c>
      <c r="AG41" s="187">
        <v>0</v>
      </c>
      <c r="AH41" s="67">
        <v>0</v>
      </c>
      <c r="AI41" s="66">
        <v>0</v>
      </c>
      <c r="AJ41" s="66">
        <v>0</v>
      </c>
      <c r="AK41" s="66">
        <v>0</v>
      </c>
      <c r="AL41" s="66">
        <v>0</v>
      </c>
      <c r="AM41" s="66">
        <v>0</v>
      </c>
      <c r="AN41" s="66">
        <v>0</v>
      </c>
      <c r="AO41" s="66">
        <v>0</v>
      </c>
      <c r="AP41" s="66">
        <v>0</v>
      </c>
      <c r="AQ41" s="66">
        <v>0</v>
      </c>
      <c r="AR41" s="66">
        <v>0</v>
      </c>
      <c r="AS41" s="66">
        <v>0</v>
      </c>
      <c r="AT41" s="67" t="s">
        <v>1230</v>
      </c>
      <c r="AU41" s="67" t="s">
        <v>1230</v>
      </c>
      <c r="AV41" s="67">
        <v>0</v>
      </c>
      <c r="AW41" s="187">
        <v>0</v>
      </c>
      <c r="AX41" s="67">
        <v>0</v>
      </c>
    </row>
    <row r="42" spans="1:50" ht="15.6" x14ac:dyDescent="0.3">
      <c r="A42" s="169" t="s">
        <v>87</v>
      </c>
      <c r="B42" s="205" t="s">
        <v>88</v>
      </c>
      <c r="C42" s="66">
        <v>0</v>
      </c>
      <c r="D42" s="66">
        <v>0</v>
      </c>
      <c r="E42" s="66">
        <v>0</v>
      </c>
      <c r="F42" s="66">
        <v>0</v>
      </c>
      <c r="G42" s="66">
        <v>0</v>
      </c>
      <c r="H42" s="66">
        <v>0</v>
      </c>
      <c r="I42" s="66">
        <v>0</v>
      </c>
      <c r="J42" s="66">
        <v>0</v>
      </c>
      <c r="K42" s="66">
        <v>0</v>
      </c>
      <c r="L42" s="66">
        <v>0</v>
      </c>
      <c r="M42" s="66">
        <v>0</v>
      </c>
      <c r="N42" s="67" t="s">
        <v>1230</v>
      </c>
      <c r="O42" s="67" t="s">
        <v>1230</v>
      </c>
      <c r="P42" s="67">
        <v>0</v>
      </c>
      <c r="Q42" s="66">
        <v>0</v>
      </c>
      <c r="R42" s="67">
        <v>0</v>
      </c>
      <c r="S42" s="66">
        <v>0</v>
      </c>
      <c r="T42" s="66">
        <v>0</v>
      </c>
      <c r="U42" s="66">
        <v>0</v>
      </c>
      <c r="V42" s="66">
        <v>0</v>
      </c>
      <c r="W42" s="66">
        <v>0</v>
      </c>
      <c r="X42" s="66">
        <v>0</v>
      </c>
      <c r="Y42" s="66">
        <v>0</v>
      </c>
      <c r="Z42" s="66">
        <v>0</v>
      </c>
      <c r="AA42" s="66">
        <v>0</v>
      </c>
      <c r="AB42" s="66">
        <v>0</v>
      </c>
      <c r="AC42" s="66">
        <v>0</v>
      </c>
      <c r="AD42" s="67" t="s">
        <v>1230</v>
      </c>
      <c r="AE42" s="67" t="s">
        <v>1230</v>
      </c>
      <c r="AF42" s="67">
        <v>0</v>
      </c>
      <c r="AG42" s="187">
        <v>0</v>
      </c>
      <c r="AH42" s="67">
        <v>0</v>
      </c>
      <c r="AI42" s="66">
        <v>0</v>
      </c>
      <c r="AJ42" s="66">
        <v>0</v>
      </c>
      <c r="AK42" s="66">
        <v>0</v>
      </c>
      <c r="AL42" s="66">
        <v>0</v>
      </c>
      <c r="AM42" s="66">
        <v>0</v>
      </c>
      <c r="AN42" s="66">
        <v>0</v>
      </c>
      <c r="AO42" s="66">
        <v>0</v>
      </c>
      <c r="AP42" s="66">
        <v>0</v>
      </c>
      <c r="AQ42" s="66">
        <v>0</v>
      </c>
      <c r="AR42" s="66">
        <v>0</v>
      </c>
      <c r="AS42" s="66">
        <v>0</v>
      </c>
      <c r="AT42" s="67" t="s">
        <v>1230</v>
      </c>
      <c r="AU42" s="67" t="s">
        <v>1230</v>
      </c>
      <c r="AV42" s="67">
        <v>0</v>
      </c>
      <c r="AW42" s="187">
        <v>0</v>
      </c>
      <c r="AX42" s="67">
        <v>0</v>
      </c>
    </row>
    <row r="43" spans="1:50" ht="15.6" x14ac:dyDescent="0.3">
      <c r="A43" s="169" t="s">
        <v>90</v>
      </c>
      <c r="B43" s="205" t="s">
        <v>91</v>
      </c>
      <c r="C43" s="66">
        <v>88.132999999999996</v>
      </c>
      <c r="D43" s="66">
        <v>0</v>
      </c>
      <c r="E43" s="66">
        <v>110.31604999999999</v>
      </c>
      <c r="F43" s="66">
        <v>88.132999999999996</v>
      </c>
      <c r="G43" s="66">
        <v>22.183049999999998</v>
      </c>
      <c r="H43" s="66">
        <v>88.132999999999996</v>
      </c>
      <c r="I43" s="66">
        <v>0</v>
      </c>
      <c r="J43" s="66">
        <v>110.31604999999999</v>
      </c>
      <c r="K43" s="66">
        <v>88.132999999999996</v>
      </c>
      <c r="L43" s="66">
        <v>0</v>
      </c>
      <c r="M43" s="66">
        <v>22.183049999999998</v>
      </c>
      <c r="N43" s="67">
        <v>100</v>
      </c>
      <c r="O43" s="67">
        <v>100</v>
      </c>
      <c r="P43" s="67">
        <v>20.108633331233307</v>
      </c>
      <c r="Q43" s="66">
        <v>0</v>
      </c>
      <c r="R43" s="67">
        <v>0</v>
      </c>
      <c r="S43" s="66">
        <v>72.662999999999997</v>
      </c>
      <c r="T43" s="66">
        <v>0</v>
      </c>
      <c r="U43" s="66">
        <v>94.367599999999996</v>
      </c>
      <c r="V43" s="66">
        <v>72.662999999999997</v>
      </c>
      <c r="W43" s="66">
        <v>21.704599999999999</v>
      </c>
      <c r="X43" s="66">
        <v>72.662999999999997</v>
      </c>
      <c r="Y43" s="66">
        <v>0</v>
      </c>
      <c r="Z43" s="66">
        <v>94.367599999999996</v>
      </c>
      <c r="AA43" s="66">
        <v>72.662999999999997</v>
      </c>
      <c r="AB43" s="66">
        <v>0</v>
      </c>
      <c r="AC43" s="66">
        <v>21.704599999999999</v>
      </c>
      <c r="AD43" s="67">
        <v>100</v>
      </c>
      <c r="AE43" s="67">
        <v>100</v>
      </c>
      <c r="AF43" s="67">
        <v>23.000055103658461</v>
      </c>
      <c r="AG43" s="187">
        <v>0</v>
      </c>
      <c r="AH43" s="67">
        <v>0</v>
      </c>
      <c r="AI43" s="66">
        <v>15.47</v>
      </c>
      <c r="AJ43" s="66">
        <v>0</v>
      </c>
      <c r="AK43" s="66">
        <v>15.948449999999999</v>
      </c>
      <c r="AL43" s="66">
        <v>15.47</v>
      </c>
      <c r="AM43" s="66">
        <v>0.47844999999999999</v>
      </c>
      <c r="AN43" s="66">
        <v>15.47</v>
      </c>
      <c r="AO43" s="66">
        <v>0</v>
      </c>
      <c r="AP43" s="66">
        <v>15.948449999999999</v>
      </c>
      <c r="AQ43" s="66">
        <v>15.47</v>
      </c>
      <c r="AR43" s="66">
        <v>0</v>
      </c>
      <c r="AS43" s="66">
        <v>0.47844999999999999</v>
      </c>
      <c r="AT43" s="67">
        <v>100</v>
      </c>
      <c r="AU43" s="67">
        <v>100</v>
      </c>
      <c r="AV43" s="67">
        <v>2.9999780542936776</v>
      </c>
      <c r="AW43" s="187">
        <v>0</v>
      </c>
      <c r="AX43" s="67">
        <v>0</v>
      </c>
    </row>
    <row r="44" spans="1:50" ht="15.6" x14ac:dyDescent="0.3">
      <c r="A44" s="206">
        <v>32</v>
      </c>
      <c r="B44" s="205" t="s">
        <v>93</v>
      </c>
      <c r="C44" s="66">
        <v>137.559</v>
      </c>
      <c r="D44" s="66">
        <v>0</v>
      </c>
      <c r="E44" s="66">
        <v>147.91290322999998</v>
      </c>
      <c r="F44" s="66">
        <v>137.559</v>
      </c>
      <c r="G44" s="66">
        <v>10.35390323</v>
      </c>
      <c r="H44" s="66">
        <v>137.559</v>
      </c>
      <c r="I44" s="66">
        <v>0</v>
      </c>
      <c r="J44" s="66">
        <v>147.91290322999998</v>
      </c>
      <c r="K44" s="66">
        <v>137.559</v>
      </c>
      <c r="L44" s="66">
        <v>0</v>
      </c>
      <c r="M44" s="66">
        <v>10.35390323</v>
      </c>
      <c r="N44" s="67">
        <v>100</v>
      </c>
      <c r="O44" s="67">
        <v>100</v>
      </c>
      <c r="P44" s="67">
        <v>7.0000000026366873</v>
      </c>
      <c r="Q44" s="66">
        <v>0</v>
      </c>
      <c r="R44" s="67">
        <v>0</v>
      </c>
      <c r="S44" s="66">
        <v>137.559</v>
      </c>
      <c r="T44" s="66">
        <v>0</v>
      </c>
      <c r="U44" s="66">
        <v>147.91290322999998</v>
      </c>
      <c r="V44" s="66">
        <v>137.559</v>
      </c>
      <c r="W44" s="66">
        <v>10.35390323</v>
      </c>
      <c r="X44" s="66">
        <v>137.559</v>
      </c>
      <c r="Y44" s="66">
        <v>0</v>
      </c>
      <c r="Z44" s="66">
        <v>147.91290322999998</v>
      </c>
      <c r="AA44" s="66">
        <v>137.559</v>
      </c>
      <c r="AB44" s="66">
        <v>0</v>
      </c>
      <c r="AC44" s="66">
        <v>10.35390323</v>
      </c>
      <c r="AD44" s="67">
        <v>100</v>
      </c>
      <c r="AE44" s="67">
        <v>100</v>
      </c>
      <c r="AF44" s="67">
        <v>7.0000000026366873</v>
      </c>
      <c r="AG44" s="187">
        <v>0</v>
      </c>
      <c r="AH44" s="67">
        <v>0</v>
      </c>
      <c r="AI44" s="66">
        <v>0</v>
      </c>
      <c r="AJ44" s="66">
        <v>0</v>
      </c>
      <c r="AK44" s="66">
        <v>0</v>
      </c>
      <c r="AL44" s="66">
        <v>0</v>
      </c>
      <c r="AM44" s="66">
        <v>0</v>
      </c>
      <c r="AN44" s="66">
        <v>0</v>
      </c>
      <c r="AO44" s="66">
        <v>0</v>
      </c>
      <c r="AP44" s="66">
        <v>0</v>
      </c>
      <c r="AQ44" s="66">
        <v>0</v>
      </c>
      <c r="AR44" s="66">
        <v>0</v>
      </c>
      <c r="AS44" s="66">
        <v>0</v>
      </c>
      <c r="AT44" s="67" t="s">
        <v>1230</v>
      </c>
      <c r="AU44" s="67" t="s">
        <v>1230</v>
      </c>
      <c r="AV44" s="67">
        <v>0</v>
      </c>
      <c r="AW44" s="187">
        <v>0</v>
      </c>
      <c r="AX44" s="67">
        <v>0</v>
      </c>
    </row>
    <row r="45" spans="1:50" ht="15.6" x14ac:dyDescent="0.3">
      <c r="A45" s="208">
        <v>33</v>
      </c>
      <c r="B45" s="209" t="s">
        <v>95</v>
      </c>
      <c r="C45" s="61">
        <v>2292.3262999999997</v>
      </c>
      <c r="D45" s="61">
        <v>0</v>
      </c>
      <c r="E45" s="61">
        <v>2529.0316458699999</v>
      </c>
      <c r="F45" s="61">
        <v>2292.3262999999997</v>
      </c>
      <c r="G45" s="61">
        <v>236.70534586999997</v>
      </c>
      <c r="H45" s="61">
        <v>2252.7409957300001</v>
      </c>
      <c r="I45" s="61">
        <v>1.8896084</v>
      </c>
      <c r="J45" s="61">
        <v>2480.9601344999996</v>
      </c>
      <c r="K45" s="61">
        <v>2252.7409957300001</v>
      </c>
      <c r="L45" s="61">
        <v>0</v>
      </c>
      <c r="M45" s="61">
        <v>228.21913877</v>
      </c>
      <c r="N45" s="61">
        <v>98.273138328081842</v>
      </c>
      <c r="O45" s="61">
        <v>96.414864620480245</v>
      </c>
      <c r="P45" s="61">
        <v>9.1988232941112589</v>
      </c>
      <c r="Q45" s="61">
        <v>1.8896084</v>
      </c>
      <c r="R45" s="61">
        <v>2.5923707624997405E-14</v>
      </c>
      <c r="S45" s="61">
        <v>1451.6423</v>
      </c>
      <c r="T45" s="61">
        <v>0</v>
      </c>
      <c r="U45" s="61">
        <v>1663.7761349999998</v>
      </c>
      <c r="V45" s="61">
        <v>1451.6423</v>
      </c>
      <c r="W45" s="61">
        <v>212.133835</v>
      </c>
      <c r="X45" s="61">
        <v>1412.8566300200002</v>
      </c>
      <c r="Y45" s="61">
        <v>1.8896084</v>
      </c>
      <c r="Z45" s="61">
        <v>1616.53757604</v>
      </c>
      <c r="AA45" s="61">
        <v>1412.8566300200002</v>
      </c>
      <c r="AB45" s="61">
        <v>0</v>
      </c>
      <c r="AC45" s="61">
        <v>203.68094601999999</v>
      </c>
      <c r="AD45" s="61">
        <v>97.328152398149342</v>
      </c>
      <c r="AE45" s="61">
        <v>96.01530374444981</v>
      </c>
      <c r="AF45" s="61">
        <v>12.59982749791398</v>
      </c>
      <c r="AG45" s="61">
        <v>1.8896084</v>
      </c>
      <c r="AH45" s="61">
        <v>2.5923707624997405E-14</v>
      </c>
      <c r="AI45" s="61">
        <v>840.68399999999997</v>
      </c>
      <c r="AJ45" s="61">
        <v>0</v>
      </c>
      <c r="AK45" s="61">
        <v>865.25551086999997</v>
      </c>
      <c r="AL45" s="61">
        <v>840.68399999999997</v>
      </c>
      <c r="AM45" s="61">
        <v>24.571510869999997</v>
      </c>
      <c r="AN45" s="61">
        <v>839.88436571</v>
      </c>
      <c r="AO45" s="61">
        <v>0</v>
      </c>
      <c r="AP45" s="61">
        <v>864.42255846000012</v>
      </c>
      <c r="AQ45" s="61">
        <v>839.88436571</v>
      </c>
      <c r="AR45" s="61">
        <v>0</v>
      </c>
      <c r="AS45" s="61">
        <v>24.53819275</v>
      </c>
      <c r="AT45" s="61">
        <v>99.90488289416713</v>
      </c>
      <c r="AU45" s="61">
        <v>99.864403454161717</v>
      </c>
      <c r="AV45" s="61">
        <v>2.8386802854515589</v>
      </c>
      <c r="AW45" s="61">
        <v>0</v>
      </c>
      <c r="AX45" s="61">
        <v>0</v>
      </c>
    </row>
    <row r="46" spans="1:50" ht="15.6" x14ac:dyDescent="0.3">
      <c r="A46" s="171">
        <v>34</v>
      </c>
      <c r="B46" s="211" t="s">
        <v>97</v>
      </c>
      <c r="C46" s="66">
        <v>26.984199999999998</v>
      </c>
      <c r="D46" s="66">
        <v>0</v>
      </c>
      <c r="E46" s="66">
        <v>29.074868689999995</v>
      </c>
      <c r="F46" s="66">
        <v>26.984199999999998</v>
      </c>
      <c r="G46" s="66">
        <v>2.0906686900000002</v>
      </c>
      <c r="H46" s="66">
        <v>26.984199999999998</v>
      </c>
      <c r="I46" s="66">
        <v>0</v>
      </c>
      <c r="J46" s="66">
        <v>29.074868689999995</v>
      </c>
      <c r="K46" s="66">
        <v>26.984199999999998</v>
      </c>
      <c r="L46" s="66">
        <v>0</v>
      </c>
      <c r="M46" s="66">
        <v>2.0906686900000002</v>
      </c>
      <c r="N46" s="67">
        <v>100</v>
      </c>
      <c r="O46" s="67">
        <v>100</v>
      </c>
      <c r="P46" s="67">
        <v>7.1906384592514581</v>
      </c>
      <c r="Q46" s="66">
        <v>0</v>
      </c>
      <c r="R46" s="67">
        <v>0</v>
      </c>
      <c r="S46" s="66">
        <v>17.999199999999998</v>
      </c>
      <c r="T46" s="66">
        <v>0</v>
      </c>
      <c r="U46" s="66">
        <v>19.999111109999998</v>
      </c>
      <c r="V46" s="66">
        <v>17.999199999999998</v>
      </c>
      <c r="W46" s="66">
        <v>1.99991111</v>
      </c>
      <c r="X46" s="66">
        <v>17.999199999999998</v>
      </c>
      <c r="Y46" s="66">
        <v>0</v>
      </c>
      <c r="Z46" s="66">
        <v>19.999111109999998</v>
      </c>
      <c r="AA46" s="66">
        <v>17.999199999999998</v>
      </c>
      <c r="AB46" s="66">
        <v>0</v>
      </c>
      <c r="AC46" s="66">
        <v>1.99991111</v>
      </c>
      <c r="AD46" s="67">
        <v>100</v>
      </c>
      <c r="AE46" s="67">
        <v>100</v>
      </c>
      <c r="AF46" s="67">
        <v>9.9999999949997793</v>
      </c>
      <c r="AG46" s="187">
        <v>0</v>
      </c>
      <c r="AH46" s="67">
        <v>0</v>
      </c>
      <c r="AI46" s="66">
        <v>8.9849999999999994</v>
      </c>
      <c r="AJ46" s="66">
        <v>0</v>
      </c>
      <c r="AK46" s="66">
        <v>9.0757575799999994</v>
      </c>
      <c r="AL46" s="66">
        <v>8.9849999999999994</v>
      </c>
      <c r="AM46" s="66">
        <v>9.0757580000000004E-2</v>
      </c>
      <c r="AN46" s="66">
        <v>8.9849999999999994</v>
      </c>
      <c r="AO46" s="66">
        <v>0</v>
      </c>
      <c r="AP46" s="66">
        <v>9.0757575799999994</v>
      </c>
      <c r="AQ46" s="66">
        <v>8.9849999999999994</v>
      </c>
      <c r="AR46" s="66">
        <v>0</v>
      </c>
      <c r="AS46" s="66">
        <v>9.0757580000000004E-2</v>
      </c>
      <c r="AT46" s="67">
        <v>100</v>
      </c>
      <c r="AU46" s="67">
        <v>100</v>
      </c>
      <c r="AV46" s="67">
        <v>1.0000000462771286</v>
      </c>
      <c r="AW46" s="187">
        <v>0</v>
      </c>
      <c r="AX46" s="67">
        <v>0</v>
      </c>
    </row>
    <row r="47" spans="1:50" ht="15.6" x14ac:dyDescent="0.3">
      <c r="A47" s="171">
        <v>35</v>
      </c>
      <c r="B47" s="211" t="s">
        <v>99</v>
      </c>
      <c r="C47" s="66">
        <v>230.7483</v>
      </c>
      <c r="D47" s="66">
        <v>0</v>
      </c>
      <c r="E47" s="66">
        <v>242.54595527000001</v>
      </c>
      <c r="F47" s="66">
        <v>230.7483</v>
      </c>
      <c r="G47" s="66">
        <v>11.79765527</v>
      </c>
      <c r="H47" s="66">
        <v>230.7483</v>
      </c>
      <c r="I47" s="66">
        <v>0</v>
      </c>
      <c r="J47" s="66">
        <v>242.54595527000001</v>
      </c>
      <c r="K47" s="66">
        <v>230.7483</v>
      </c>
      <c r="L47" s="66">
        <v>0</v>
      </c>
      <c r="M47" s="66">
        <v>11.79765527</v>
      </c>
      <c r="N47" s="67">
        <v>100</v>
      </c>
      <c r="O47" s="67">
        <v>100</v>
      </c>
      <c r="P47" s="67">
        <v>4.8640907067969676</v>
      </c>
      <c r="Q47" s="66">
        <v>0</v>
      </c>
      <c r="R47" s="67">
        <v>0</v>
      </c>
      <c r="S47" s="66">
        <v>163.2483</v>
      </c>
      <c r="T47" s="66">
        <v>0</v>
      </c>
      <c r="U47" s="66">
        <v>173.66840425000001</v>
      </c>
      <c r="V47" s="66">
        <v>163.2483</v>
      </c>
      <c r="W47" s="66">
        <v>10.42010425</v>
      </c>
      <c r="X47" s="66">
        <v>163.2483</v>
      </c>
      <c r="Y47" s="66">
        <v>0</v>
      </c>
      <c r="Z47" s="66">
        <v>173.66840425000001</v>
      </c>
      <c r="AA47" s="66">
        <v>163.2483</v>
      </c>
      <c r="AB47" s="66">
        <v>0</v>
      </c>
      <c r="AC47" s="66">
        <v>10.42010425</v>
      </c>
      <c r="AD47" s="67">
        <v>100</v>
      </c>
      <c r="AE47" s="67">
        <v>100</v>
      </c>
      <c r="AF47" s="67">
        <v>5.9999999971209492</v>
      </c>
      <c r="AG47" s="187">
        <v>0</v>
      </c>
      <c r="AH47" s="67">
        <v>0</v>
      </c>
      <c r="AI47" s="66">
        <v>67.5</v>
      </c>
      <c r="AJ47" s="66">
        <v>0</v>
      </c>
      <c r="AK47" s="66">
        <v>68.877551019999999</v>
      </c>
      <c r="AL47" s="66">
        <v>67.5</v>
      </c>
      <c r="AM47" s="66">
        <v>1.3775510200000001</v>
      </c>
      <c r="AN47" s="66">
        <v>67.5</v>
      </c>
      <c r="AO47" s="66">
        <v>0</v>
      </c>
      <c r="AP47" s="66">
        <v>68.877551019999999</v>
      </c>
      <c r="AQ47" s="66">
        <v>67.5</v>
      </c>
      <c r="AR47" s="66">
        <v>0</v>
      </c>
      <c r="AS47" s="66">
        <v>1.3775510200000001</v>
      </c>
      <c r="AT47" s="67">
        <v>100</v>
      </c>
      <c r="AU47" s="67">
        <v>100</v>
      </c>
      <c r="AV47" s="67">
        <v>1.9999999994192594</v>
      </c>
      <c r="AW47" s="187">
        <v>0</v>
      </c>
      <c r="AX47" s="67">
        <v>0</v>
      </c>
    </row>
    <row r="48" spans="1:50" s="126" customFormat="1" ht="15.6" x14ac:dyDescent="0.3">
      <c r="A48" s="169">
        <v>36</v>
      </c>
      <c r="B48" s="205" t="s">
        <v>318</v>
      </c>
      <c r="C48" s="66">
        <v>341.58199999999999</v>
      </c>
      <c r="D48" s="66">
        <v>0</v>
      </c>
      <c r="E48" s="66">
        <v>359.56</v>
      </c>
      <c r="F48" s="66">
        <v>341.58199999999999</v>
      </c>
      <c r="G48" s="66">
        <v>17.978000000000002</v>
      </c>
      <c r="H48" s="66">
        <v>341.58199999999999</v>
      </c>
      <c r="I48" s="66">
        <v>1.65998223</v>
      </c>
      <c r="J48" s="66">
        <v>359.56</v>
      </c>
      <c r="K48" s="66">
        <v>341.58199999999999</v>
      </c>
      <c r="L48" s="66">
        <v>0</v>
      </c>
      <c r="M48" s="66">
        <v>17.978000000000002</v>
      </c>
      <c r="N48" s="67">
        <v>100</v>
      </c>
      <c r="O48" s="67">
        <v>100</v>
      </c>
      <c r="P48" s="67">
        <v>5</v>
      </c>
      <c r="Q48" s="66">
        <v>1.65998223</v>
      </c>
      <c r="R48" s="67">
        <v>2.55351295663786E-14</v>
      </c>
      <c r="S48" s="66">
        <v>341.58199999999999</v>
      </c>
      <c r="T48" s="66">
        <v>0</v>
      </c>
      <c r="U48" s="66">
        <v>359.56</v>
      </c>
      <c r="V48" s="66">
        <v>341.58199999999999</v>
      </c>
      <c r="W48" s="66">
        <v>17.978000000000002</v>
      </c>
      <c r="X48" s="66">
        <v>341.58199999999999</v>
      </c>
      <c r="Y48" s="66">
        <v>1.65998223</v>
      </c>
      <c r="Z48" s="66">
        <v>359.56</v>
      </c>
      <c r="AA48" s="66">
        <v>341.58199999999999</v>
      </c>
      <c r="AB48" s="66">
        <v>0</v>
      </c>
      <c r="AC48" s="66">
        <v>17.978000000000002</v>
      </c>
      <c r="AD48" s="67">
        <v>100</v>
      </c>
      <c r="AE48" s="67">
        <v>100</v>
      </c>
      <c r="AF48" s="67">
        <v>5</v>
      </c>
      <c r="AG48" s="187">
        <v>1.65998223</v>
      </c>
      <c r="AH48" s="67">
        <v>2.55351295663786E-14</v>
      </c>
      <c r="AI48" s="66">
        <v>0</v>
      </c>
      <c r="AJ48" s="66">
        <v>0</v>
      </c>
      <c r="AK48" s="66">
        <v>0</v>
      </c>
      <c r="AL48" s="66">
        <v>0</v>
      </c>
      <c r="AM48" s="66">
        <v>0</v>
      </c>
      <c r="AN48" s="66">
        <v>0</v>
      </c>
      <c r="AO48" s="66">
        <v>0</v>
      </c>
      <c r="AP48" s="66">
        <v>0</v>
      </c>
      <c r="AQ48" s="66">
        <v>0</v>
      </c>
      <c r="AR48" s="66">
        <v>0</v>
      </c>
      <c r="AS48" s="66">
        <v>0</v>
      </c>
      <c r="AT48" s="67" t="s">
        <v>1230</v>
      </c>
      <c r="AU48" s="67" t="s">
        <v>1230</v>
      </c>
      <c r="AV48" s="67">
        <v>0</v>
      </c>
      <c r="AW48" s="187">
        <v>0</v>
      </c>
      <c r="AX48" s="67">
        <v>0</v>
      </c>
    </row>
    <row r="49" spans="1:50" ht="15.6" x14ac:dyDescent="0.3">
      <c r="A49" s="171">
        <v>37</v>
      </c>
      <c r="B49" s="211" t="s">
        <v>101</v>
      </c>
      <c r="C49" s="66">
        <v>462.59719999999999</v>
      </c>
      <c r="D49" s="66">
        <v>0</v>
      </c>
      <c r="E49" s="66">
        <v>519.15560000000005</v>
      </c>
      <c r="F49" s="66">
        <v>462.59719999999999</v>
      </c>
      <c r="G49" s="66">
        <v>56.558399999999999</v>
      </c>
      <c r="H49" s="66">
        <v>460.98548030999996</v>
      </c>
      <c r="I49" s="66">
        <v>0</v>
      </c>
      <c r="J49" s="66">
        <v>517.25411412000005</v>
      </c>
      <c r="K49" s="66">
        <v>460.98548030999996</v>
      </c>
      <c r="L49" s="66">
        <v>0</v>
      </c>
      <c r="M49" s="66">
        <v>56.268633810000004</v>
      </c>
      <c r="N49" s="67">
        <v>99.65159328893472</v>
      </c>
      <c r="O49" s="67">
        <v>99.48766904650769</v>
      </c>
      <c r="P49" s="67">
        <v>10.878334705124452</v>
      </c>
      <c r="Q49" s="66">
        <v>0</v>
      </c>
      <c r="R49" s="67">
        <v>0</v>
      </c>
      <c r="S49" s="66">
        <v>136.0102</v>
      </c>
      <c r="T49" s="66">
        <v>0</v>
      </c>
      <c r="U49" s="66">
        <v>178.96080000000001</v>
      </c>
      <c r="V49" s="66">
        <v>136.0102</v>
      </c>
      <c r="W49" s="66">
        <v>42.950600000000001</v>
      </c>
      <c r="X49" s="66">
        <v>135.1981146</v>
      </c>
      <c r="Y49" s="66">
        <v>0</v>
      </c>
      <c r="Z49" s="66">
        <v>177.89226652000002</v>
      </c>
      <c r="AA49" s="66">
        <v>135.1981146</v>
      </c>
      <c r="AB49" s="66">
        <v>0</v>
      </c>
      <c r="AC49" s="66">
        <v>42.694151920000003</v>
      </c>
      <c r="AD49" s="67">
        <v>99.402923163115702</v>
      </c>
      <c r="AE49" s="67">
        <v>99.402923172202478</v>
      </c>
      <c r="AF49" s="67">
        <v>24.000004471920086</v>
      </c>
      <c r="AG49" s="187">
        <v>0</v>
      </c>
      <c r="AH49" s="67">
        <v>0</v>
      </c>
      <c r="AI49" s="66">
        <v>326.58699999999999</v>
      </c>
      <c r="AJ49" s="66">
        <v>0</v>
      </c>
      <c r="AK49" s="66">
        <v>340.19479999999999</v>
      </c>
      <c r="AL49" s="66">
        <v>326.58699999999999</v>
      </c>
      <c r="AM49" s="66">
        <v>13.607799999999999</v>
      </c>
      <c r="AN49" s="66">
        <v>325.78736570999996</v>
      </c>
      <c r="AO49" s="66">
        <v>0</v>
      </c>
      <c r="AP49" s="66">
        <v>339.36184760000003</v>
      </c>
      <c r="AQ49" s="66">
        <v>325.78736570999996</v>
      </c>
      <c r="AR49" s="66">
        <v>0</v>
      </c>
      <c r="AS49" s="66">
        <v>13.574481890000001</v>
      </c>
      <c r="AT49" s="67">
        <v>99.755154280482685</v>
      </c>
      <c r="AU49" s="67">
        <v>99.755154323255795</v>
      </c>
      <c r="AV49" s="67">
        <v>4.0000023532403706</v>
      </c>
      <c r="AW49" s="187">
        <v>0</v>
      </c>
      <c r="AX49" s="67">
        <v>0</v>
      </c>
    </row>
    <row r="50" spans="1:50" ht="15.6" x14ac:dyDescent="0.3">
      <c r="A50" s="171">
        <v>38</v>
      </c>
      <c r="B50" s="211" t="s">
        <v>103</v>
      </c>
      <c r="C50" s="66">
        <v>275.70210000000003</v>
      </c>
      <c r="D50" s="66">
        <v>0</v>
      </c>
      <c r="E50" s="66">
        <v>326.10169349</v>
      </c>
      <c r="F50" s="66">
        <v>275.70210000000003</v>
      </c>
      <c r="G50" s="66">
        <v>50.399593490000001</v>
      </c>
      <c r="H50" s="66">
        <v>238.56278859</v>
      </c>
      <c r="I50" s="66">
        <v>0</v>
      </c>
      <c r="J50" s="66">
        <v>280.80985032000001</v>
      </c>
      <c r="K50" s="66">
        <v>238.56278859</v>
      </c>
      <c r="L50" s="66">
        <v>0</v>
      </c>
      <c r="M50" s="66">
        <v>42.247061730000006</v>
      </c>
      <c r="N50" s="67">
        <v>86.529188058415215</v>
      </c>
      <c r="O50" s="67">
        <v>83.824211277383469</v>
      </c>
      <c r="P50" s="67">
        <v>15.044722142708631</v>
      </c>
      <c r="Q50" s="66">
        <v>0</v>
      </c>
      <c r="R50" s="67">
        <v>0</v>
      </c>
      <c r="S50" s="66">
        <v>222.03710000000001</v>
      </c>
      <c r="T50" s="66">
        <v>0</v>
      </c>
      <c r="U50" s="66">
        <v>270.77695122</v>
      </c>
      <c r="V50" s="66">
        <v>222.03710000000001</v>
      </c>
      <c r="W50" s="66">
        <v>48.739851219999998</v>
      </c>
      <c r="X50" s="66">
        <v>184.89778859</v>
      </c>
      <c r="Y50" s="66">
        <v>0</v>
      </c>
      <c r="Z50" s="66">
        <v>225.48510805000001</v>
      </c>
      <c r="AA50" s="66">
        <v>184.89778859</v>
      </c>
      <c r="AB50" s="66">
        <v>0</v>
      </c>
      <c r="AC50" s="66">
        <v>40.587319460000003</v>
      </c>
      <c r="AD50" s="67">
        <v>83.27337575116951</v>
      </c>
      <c r="AE50" s="67">
        <v>83.27337577785903</v>
      </c>
      <c r="AF50" s="67">
        <v>18.000000004878373</v>
      </c>
      <c r="AG50" s="187">
        <v>0</v>
      </c>
      <c r="AH50" s="67">
        <v>0</v>
      </c>
      <c r="AI50" s="66">
        <v>53.664999999999999</v>
      </c>
      <c r="AJ50" s="66">
        <v>0</v>
      </c>
      <c r="AK50" s="66">
        <v>55.324742270000002</v>
      </c>
      <c r="AL50" s="66">
        <v>53.664999999999999</v>
      </c>
      <c r="AM50" s="66">
        <v>1.65974227</v>
      </c>
      <c r="AN50" s="66">
        <v>53.664999999999999</v>
      </c>
      <c r="AO50" s="66">
        <v>0</v>
      </c>
      <c r="AP50" s="66">
        <v>55.324742270000002</v>
      </c>
      <c r="AQ50" s="66">
        <v>53.664999999999999</v>
      </c>
      <c r="AR50" s="66">
        <v>0</v>
      </c>
      <c r="AS50" s="66">
        <v>1.65974227</v>
      </c>
      <c r="AT50" s="67">
        <v>100</v>
      </c>
      <c r="AU50" s="67">
        <v>100</v>
      </c>
      <c r="AV50" s="67">
        <v>3.000000003434268</v>
      </c>
      <c r="AW50" s="187">
        <v>0</v>
      </c>
      <c r="AX50" s="67">
        <v>0</v>
      </c>
    </row>
    <row r="51" spans="1:50" ht="15.6" x14ac:dyDescent="0.3">
      <c r="A51" s="171">
        <v>39</v>
      </c>
      <c r="B51" s="211" t="s">
        <v>105</v>
      </c>
      <c r="C51" s="66">
        <v>566.77</v>
      </c>
      <c r="D51" s="66">
        <v>0</v>
      </c>
      <c r="E51" s="66">
        <v>635.14895999999999</v>
      </c>
      <c r="F51" s="66">
        <v>566.77</v>
      </c>
      <c r="G51" s="66">
        <v>68.378959999999992</v>
      </c>
      <c r="H51" s="66">
        <v>566.77</v>
      </c>
      <c r="I51" s="66">
        <v>0</v>
      </c>
      <c r="J51" s="66">
        <v>635.14895999999999</v>
      </c>
      <c r="K51" s="66">
        <v>566.77</v>
      </c>
      <c r="L51" s="66">
        <v>0</v>
      </c>
      <c r="M51" s="66">
        <v>68.378959999999992</v>
      </c>
      <c r="N51" s="67">
        <v>100</v>
      </c>
      <c r="O51" s="67">
        <v>100</v>
      </c>
      <c r="P51" s="67">
        <v>10.765814683849911</v>
      </c>
      <c r="Q51" s="66">
        <v>0</v>
      </c>
      <c r="R51" s="67">
        <v>0</v>
      </c>
      <c r="S51" s="66">
        <v>399.01100000000002</v>
      </c>
      <c r="T51" s="66">
        <v>0</v>
      </c>
      <c r="U51" s="66">
        <v>463.96629999999999</v>
      </c>
      <c r="V51" s="66">
        <v>399.01100000000002</v>
      </c>
      <c r="W51" s="66">
        <v>64.955299999999994</v>
      </c>
      <c r="X51" s="66">
        <v>399.01100000000002</v>
      </c>
      <c r="Y51" s="66">
        <v>0</v>
      </c>
      <c r="Z51" s="66">
        <v>463.96629999999999</v>
      </c>
      <c r="AA51" s="66">
        <v>399.01100000000002</v>
      </c>
      <c r="AB51" s="66">
        <v>0</v>
      </c>
      <c r="AC51" s="66">
        <v>64.955299999999994</v>
      </c>
      <c r="AD51" s="67">
        <v>100</v>
      </c>
      <c r="AE51" s="67">
        <v>100</v>
      </c>
      <c r="AF51" s="67">
        <v>14.000003879592116</v>
      </c>
      <c r="AG51" s="187">
        <v>0</v>
      </c>
      <c r="AH51" s="67">
        <v>0</v>
      </c>
      <c r="AI51" s="66">
        <v>167.75899999999999</v>
      </c>
      <c r="AJ51" s="66">
        <v>0</v>
      </c>
      <c r="AK51" s="66">
        <v>171.18266</v>
      </c>
      <c r="AL51" s="66">
        <v>167.75899999999999</v>
      </c>
      <c r="AM51" s="66">
        <v>3.4236599999999999</v>
      </c>
      <c r="AN51" s="66">
        <v>167.75899999999999</v>
      </c>
      <c r="AO51" s="66">
        <v>0</v>
      </c>
      <c r="AP51" s="66">
        <v>171.18266</v>
      </c>
      <c r="AQ51" s="66">
        <v>167.75899999999999</v>
      </c>
      <c r="AR51" s="66">
        <v>0</v>
      </c>
      <c r="AS51" s="66">
        <v>3.4236599999999999</v>
      </c>
      <c r="AT51" s="67">
        <v>100</v>
      </c>
      <c r="AU51" s="67">
        <v>100</v>
      </c>
      <c r="AV51" s="67">
        <v>2.0000039723649579</v>
      </c>
      <c r="AW51" s="187">
        <v>0</v>
      </c>
      <c r="AX51" s="67">
        <v>0</v>
      </c>
    </row>
    <row r="52" spans="1:50" s="126" customFormat="1" ht="15.6" x14ac:dyDescent="0.3">
      <c r="A52" s="206">
        <v>40</v>
      </c>
      <c r="B52" s="211" t="s">
        <v>107</v>
      </c>
      <c r="C52" s="66">
        <v>382.00749999999999</v>
      </c>
      <c r="D52" s="66">
        <v>0</v>
      </c>
      <c r="E52" s="66">
        <v>411.19719999999995</v>
      </c>
      <c r="F52" s="66">
        <v>382.00749999999999</v>
      </c>
      <c r="G52" s="66">
        <v>29.189699999999998</v>
      </c>
      <c r="H52" s="66">
        <v>382.00749999999999</v>
      </c>
      <c r="I52" s="66">
        <v>0</v>
      </c>
      <c r="J52" s="66">
        <v>411.19719996000003</v>
      </c>
      <c r="K52" s="66">
        <v>382.00749999999999</v>
      </c>
      <c r="L52" s="66">
        <v>0</v>
      </c>
      <c r="M52" s="66">
        <v>29.189699959999999</v>
      </c>
      <c r="N52" s="67">
        <v>100</v>
      </c>
      <c r="O52" s="67">
        <v>99.999999862965367</v>
      </c>
      <c r="P52" s="67">
        <v>7.0987107798495419</v>
      </c>
      <c r="Q52" s="66">
        <v>0</v>
      </c>
      <c r="R52" s="67">
        <v>0</v>
      </c>
      <c r="S52" s="66">
        <v>165.81950000000001</v>
      </c>
      <c r="T52" s="66">
        <v>0</v>
      </c>
      <c r="U52" s="66">
        <v>190.59719999999999</v>
      </c>
      <c r="V52" s="66">
        <v>165.81950000000001</v>
      </c>
      <c r="W52" s="66">
        <v>24.777699999999999</v>
      </c>
      <c r="X52" s="66">
        <v>165.81950000000001</v>
      </c>
      <c r="Y52" s="66">
        <v>0</v>
      </c>
      <c r="Z52" s="66">
        <v>190.59719996999999</v>
      </c>
      <c r="AA52" s="66">
        <v>165.81950000000001</v>
      </c>
      <c r="AB52" s="66">
        <v>0</v>
      </c>
      <c r="AC52" s="66">
        <v>24.77769997</v>
      </c>
      <c r="AD52" s="67">
        <v>100</v>
      </c>
      <c r="AE52" s="67">
        <v>99.99999987892339</v>
      </c>
      <c r="AF52" s="67">
        <v>13.000033564973679</v>
      </c>
      <c r="AG52" s="187">
        <v>0</v>
      </c>
      <c r="AH52" s="67">
        <v>0</v>
      </c>
      <c r="AI52" s="66">
        <v>216.18799999999999</v>
      </c>
      <c r="AJ52" s="66">
        <v>0</v>
      </c>
      <c r="AK52" s="66">
        <v>220.6</v>
      </c>
      <c r="AL52" s="66">
        <v>216.18799999999999</v>
      </c>
      <c r="AM52" s="66">
        <v>4.4119999999999999</v>
      </c>
      <c r="AN52" s="66">
        <v>216.18799999999999</v>
      </c>
      <c r="AO52" s="66">
        <v>0</v>
      </c>
      <c r="AP52" s="66">
        <v>220.59999999000001</v>
      </c>
      <c r="AQ52" s="66">
        <v>216.18799999999999</v>
      </c>
      <c r="AR52" s="66">
        <v>0</v>
      </c>
      <c r="AS52" s="66">
        <v>4.41199999</v>
      </c>
      <c r="AT52" s="67">
        <v>100</v>
      </c>
      <c r="AU52" s="67">
        <v>99.999999773345422</v>
      </c>
      <c r="AV52" s="67">
        <v>1.9999999955575702</v>
      </c>
      <c r="AW52" s="187">
        <v>0</v>
      </c>
      <c r="AX52" s="67">
        <v>0</v>
      </c>
    </row>
    <row r="53" spans="1:50" ht="15.6" x14ac:dyDescent="0.3">
      <c r="A53" s="169">
        <v>41</v>
      </c>
      <c r="B53" s="205" t="s">
        <v>319</v>
      </c>
      <c r="C53" s="66">
        <v>5.9349999999999996</v>
      </c>
      <c r="D53" s="66">
        <v>0</v>
      </c>
      <c r="E53" s="66">
        <v>6.2473684199999999</v>
      </c>
      <c r="F53" s="66">
        <v>5.9349999999999996</v>
      </c>
      <c r="G53" s="66">
        <v>0.31236841999999998</v>
      </c>
      <c r="H53" s="66">
        <v>5.1007268300000002</v>
      </c>
      <c r="I53" s="66">
        <v>0.22962617000000002</v>
      </c>
      <c r="J53" s="66">
        <v>5.3691861400000001</v>
      </c>
      <c r="K53" s="66">
        <v>5.1007268300000002</v>
      </c>
      <c r="L53" s="66">
        <v>0</v>
      </c>
      <c r="M53" s="66">
        <v>0.26845931000000001</v>
      </c>
      <c r="N53" s="67">
        <v>85.943164785172712</v>
      </c>
      <c r="O53" s="67">
        <v>85.943166085739406</v>
      </c>
      <c r="P53" s="67">
        <v>5.0000000558743904</v>
      </c>
      <c r="Q53" s="66">
        <v>0.22962617000000002</v>
      </c>
      <c r="R53" s="67">
        <v>3.8857805861880479E-16</v>
      </c>
      <c r="S53" s="66">
        <v>5.9349999999999996</v>
      </c>
      <c r="T53" s="66">
        <v>0</v>
      </c>
      <c r="U53" s="66">
        <v>6.2473684199999999</v>
      </c>
      <c r="V53" s="66">
        <v>5.9349999999999996</v>
      </c>
      <c r="W53" s="66">
        <v>0.31236841999999998</v>
      </c>
      <c r="X53" s="66">
        <v>5.1007268300000002</v>
      </c>
      <c r="Y53" s="66">
        <v>0.22962617000000002</v>
      </c>
      <c r="Z53" s="66">
        <v>5.3691861400000001</v>
      </c>
      <c r="AA53" s="66">
        <v>5.1007268300000002</v>
      </c>
      <c r="AB53" s="66">
        <v>0</v>
      </c>
      <c r="AC53" s="66">
        <v>0.26845931000000001</v>
      </c>
      <c r="AD53" s="67">
        <v>85.943164785172712</v>
      </c>
      <c r="AE53" s="67">
        <v>85.943166085739406</v>
      </c>
      <c r="AF53" s="67">
        <v>5.0000000558743904</v>
      </c>
      <c r="AG53" s="187">
        <v>0.22962617000000002</v>
      </c>
      <c r="AH53" s="67">
        <v>3.8857805861880479E-16</v>
      </c>
      <c r="AI53" s="66">
        <v>0</v>
      </c>
      <c r="AJ53" s="66">
        <v>0</v>
      </c>
      <c r="AK53" s="66">
        <v>0</v>
      </c>
      <c r="AL53" s="66">
        <v>0</v>
      </c>
      <c r="AM53" s="66">
        <v>0</v>
      </c>
      <c r="AN53" s="66">
        <v>0</v>
      </c>
      <c r="AO53" s="66">
        <v>0</v>
      </c>
      <c r="AP53" s="66">
        <v>0</v>
      </c>
      <c r="AQ53" s="66">
        <v>0</v>
      </c>
      <c r="AR53" s="66">
        <v>0</v>
      </c>
      <c r="AS53" s="66">
        <v>0</v>
      </c>
      <c r="AT53" s="67" t="s">
        <v>1230</v>
      </c>
      <c r="AU53" s="67" t="s">
        <v>1230</v>
      </c>
      <c r="AV53" s="67">
        <v>0</v>
      </c>
      <c r="AW53" s="187">
        <v>0</v>
      </c>
      <c r="AX53" s="67">
        <v>0</v>
      </c>
    </row>
    <row r="54" spans="1:50" ht="33" customHeight="1" x14ac:dyDescent="0.3">
      <c r="A54" s="208">
        <v>42</v>
      </c>
      <c r="B54" s="212" t="s">
        <v>109</v>
      </c>
      <c r="C54" s="61">
        <v>1695.2561000000001</v>
      </c>
      <c r="D54" s="61">
        <v>0</v>
      </c>
      <c r="E54" s="61">
        <v>1793.0603753399998</v>
      </c>
      <c r="F54" s="61">
        <v>1695.2561000000001</v>
      </c>
      <c r="G54" s="61">
        <v>97.804275340000004</v>
      </c>
      <c r="H54" s="61">
        <v>1694.8971571100001</v>
      </c>
      <c r="I54" s="61">
        <v>11.18370215</v>
      </c>
      <c r="J54" s="61">
        <v>1792.6744159999998</v>
      </c>
      <c r="K54" s="61">
        <v>1694.8971571100001</v>
      </c>
      <c r="L54" s="61">
        <v>0</v>
      </c>
      <c r="M54" s="61">
        <v>97.777258890000013</v>
      </c>
      <c r="N54" s="61">
        <v>99.978826627434046</v>
      </c>
      <c r="O54" s="61">
        <v>99.972377025537924</v>
      </c>
      <c r="P54" s="61">
        <v>5.4542675467065971</v>
      </c>
      <c r="Q54" s="61">
        <v>11.18370215</v>
      </c>
      <c r="R54" s="61">
        <v>4.4408920985006262E-16</v>
      </c>
      <c r="S54" s="61">
        <v>1238.0721000000001</v>
      </c>
      <c r="T54" s="61">
        <v>0</v>
      </c>
      <c r="U54" s="61">
        <v>1315.0993717000001</v>
      </c>
      <c r="V54" s="61">
        <v>1238.0721000000001</v>
      </c>
      <c r="W54" s="61">
        <v>77.0272717</v>
      </c>
      <c r="X54" s="61">
        <v>1237.7131571099999</v>
      </c>
      <c r="Y54" s="61">
        <v>11.18370215</v>
      </c>
      <c r="Z54" s="61">
        <v>1314.7134123599999</v>
      </c>
      <c r="AA54" s="61">
        <v>1237.7131571099999</v>
      </c>
      <c r="AB54" s="61">
        <v>0</v>
      </c>
      <c r="AC54" s="61">
        <v>77.000255250000009</v>
      </c>
      <c r="AD54" s="61">
        <v>99.971007917067169</v>
      </c>
      <c r="AE54" s="61">
        <v>99.964926123691342</v>
      </c>
      <c r="AF54" s="61">
        <v>5.8568091362040127</v>
      </c>
      <c r="AG54" s="61">
        <v>11.18370215</v>
      </c>
      <c r="AH54" s="61">
        <v>4.4408920985006262E-16</v>
      </c>
      <c r="AI54" s="61">
        <v>457.18399999999997</v>
      </c>
      <c r="AJ54" s="61">
        <v>0</v>
      </c>
      <c r="AK54" s="61">
        <v>477.96100363999994</v>
      </c>
      <c r="AL54" s="61">
        <v>457.18399999999997</v>
      </c>
      <c r="AM54" s="61">
        <v>20.77700364</v>
      </c>
      <c r="AN54" s="61">
        <v>457.18399999999997</v>
      </c>
      <c r="AO54" s="61">
        <v>0</v>
      </c>
      <c r="AP54" s="61">
        <v>477.96100363999994</v>
      </c>
      <c r="AQ54" s="61">
        <v>457.18399999999997</v>
      </c>
      <c r="AR54" s="61">
        <v>0</v>
      </c>
      <c r="AS54" s="61">
        <v>20.77700364</v>
      </c>
      <c r="AT54" s="61">
        <v>100</v>
      </c>
      <c r="AU54" s="61">
        <v>100</v>
      </c>
      <c r="AV54" s="61">
        <v>4.347008120279459</v>
      </c>
      <c r="AW54" s="61">
        <v>0</v>
      </c>
      <c r="AX54" s="61">
        <v>0</v>
      </c>
    </row>
    <row r="55" spans="1:50" ht="15.6" x14ac:dyDescent="0.3">
      <c r="A55" s="171">
        <v>43</v>
      </c>
      <c r="B55" s="211" t="s">
        <v>111</v>
      </c>
      <c r="C55" s="66">
        <v>273.19589999999999</v>
      </c>
      <c r="D55" s="66">
        <v>0</v>
      </c>
      <c r="E55" s="66">
        <v>285.66109623</v>
      </c>
      <c r="F55" s="66">
        <v>273.19589999999999</v>
      </c>
      <c r="G55" s="66">
        <v>12.46519623</v>
      </c>
      <c r="H55" s="66">
        <v>273.19589999999999</v>
      </c>
      <c r="I55" s="66">
        <v>0</v>
      </c>
      <c r="J55" s="66">
        <v>285.66109623</v>
      </c>
      <c r="K55" s="66">
        <v>273.19589999999999</v>
      </c>
      <c r="L55" s="66">
        <v>0</v>
      </c>
      <c r="M55" s="66">
        <v>12.46519623</v>
      </c>
      <c r="N55" s="67">
        <v>100</v>
      </c>
      <c r="O55" s="67">
        <v>100</v>
      </c>
      <c r="P55" s="67">
        <v>4.3636310279939732</v>
      </c>
      <c r="Q55" s="66">
        <v>0</v>
      </c>
      <c r="R55" s="67">
        <v>0</v>
      </c>
      <c r="S55" s="66">
        <v>228.2039</v>
      </c>
      <c r="T55" s="66">
        <v>0</v>
      </c>
      <c r="U55" s="66">
        <v>240.21463159000001</v>
      </c>
      <c r="V55" s="66">
        <v>228.2039</v>
      </c>
      <c r="W55" s="66">
        <v>12.010731590000001</v>
      </c>
      <c r="X55" s="66">
        <v>228.2039</v>
      </c>
      <c r="Y55" s="66">
        <v>0</v>
      </c>
      <c r="Z55" s="66">
        <v>240.21463159000001</v>
      </c>
      <c r="AA55" s="66">
        <v>228.2039</v>
      </c>
      <c r="AB55" s="66">
        <v>0</v>
      </c>
      <c r="AC55" s="66">
        <v>12.010731590000001</v>
      </c>
      <c r="AD55" s="67">
        <v>100</v>
      </c>
      <c r="AE55" s="67">
        <v>100</v>
      </c>
      <c r="AF55" s="67">
        <v>5.000000004371091</v>
      </c>
      <c r="AG55" s="187">
        <v>0</v>
      </c>
      <c r="AH55" s="67">
        <v>0</v>
      </c>
      <c r="AI55" s="66">
        <v>44.991999999999997</v>
      </c>
      <c r="AJ55" s="66">
        <v>0</v>
      </c>
      <c r="AK55" s="66">
        <v>45.446464640000002</v>
      </c>
      <c r="AL55" s="66">
        <v>44.991999999999997</v>
      </c>
      <c r="AM55" s="66">
        <v>0.45446464000000003</v>
      </c>
      <c r="AN55" s="66">
        <v>44.991999999999997</v>
      </c>
      <c r="AO55" s="66">
        <v>0</v>
      </c>
      <c r="AP55" s="66">
        <v>45.446464640000002</v>
      </c>
      <c r="AQ55" s="66">
        <v>44.991999999999997</v>
      </c>
      <c r="AR55" s="66">
        <v>0</v>
      </c>
      <c r="AS55" s="66">
        <v>0.45446464000000003</v>
      </c>
      <c r="AT55" s="67">
        <v>100</v>
      </c>
      <c r="AU55" s="67">
        <v>100</v>
      </c>
      <c r="AV55" s="67">
        <v>0.9999999859174965</v>
      </c>
      <c r="AW55" s="187">
        <v>0</v>
      </c>
      <c r="AX55" s="67">
        <v>0</v>
      </c>
    </row>
    <row r="56" spans="1:50" ht="15.6" x14ac:dyDescent="0.3">
      <c r="A56" s="171">
        <v>44</v>
      </c>
      <c r="B56" s="211" t="s">
        <v>113</v>
      </c>
      <c r="C56" s="66">
        <v>74.593800000000002</v>
      </c>
      <c r="D56" s="66">
        <v>0</v>
      </c>
      <c r="E56" s="66">
        <v>78.519800000000004</v>
      </c>
      <c r="F56" s="66">
        <v>74.593800000000002</v>
      </c>
      <c r="G56" s="66">
        <v>3.9260000000000002</v>
      </c>
      <c r="H56" s="66">
        <v>74.593781500000006</v>
      </c>
      <c r="I56" s="66">
        <v>0</v>
      </c>
      <c r="J56" s="66">
        <v>78.519780530000006</v>
      </c>
      <c r="K56" s="66">
        <v>74.593781500000006</v>
      </c>
      <c r="L56" s="66">
        <v>0</v>
      </c>
      <c r="M56" s="66">
        <v>3.9259990299999998</v>
      </c>
      <c r="N56" s="67">
        <v>99.999975199011175</v>
      </c>
      <c r="O56" s="67">
        <v>99.999975292919004</v>
      </c>
      <c r="P56" s="67">
        <v>5.0000127401018339</v>
      </c>
      <c r="Q56" s="66">
        <v>0</v>
      </c>
      <c r="R56" s="67">
        <v>0</v>
      </c>
      <c r="S56" s="66">
        <v>74.593800000000002</v>
      </c>
      <c r="T56" s="66">
        <v>0</v>
      </c>
      <c r="U56" s="66">
        <v>78.519800000000004</v>
      </c>
      <c r="V56" s="66">
        <v>74.593800000000002</v>
      </c>
      <c r="W56" s="66">
        <v>3.9260000000000002</v>
      </c>
      <c r="X56" s="66">
        <v>74.593781500000006</v>
      </c>
      <c r="Y56" s="66">
        <v>0</v>
      </c>
      <c r="Z56" s="66">
        <v>78.519780530000006</v>
      </c>
      <c r="AA56" s="66">
        <v>74.593781500000006</v>
      </c>
      <c r="AB56" s="66">
        <v>0</v>
      </c>
      <c r="AC56" s="66">
        <v>3.9259990299999998</v>
      </c>
      <c r="AD56" s="67">
        <v>99.999975199011175</v>
      </c>
      <c r="AE56" s="67">
        <v>99.999975292919004</v>
      </c>
      <c r="AF56" s="67">
        <v>5.0000127401018339</v>
      </c>
      <c r="AG56" s="187">
        <v>0</v>
      </c>
      <c r="AH56" s="67">
        <v>0</v>
      </c>
      <c r="AI56" s="66">
        <v>0</v>
      </c>
      <c r="AJ56" s="66">
        <v>0</v>
      </c>
      <c r="AK56" s="66">
        <v>0</v>
      </c>
      <c r="AL56" s="66">
        <v>0</v>
      </c>
      <c r="AM56" s="66">
        <v>0</v>
      </c>
      <c r="AN56" s="66">
        <v>0</v>
      </c>
      <c r="AO56" s="66">
        <v>0</v>
      </c>
      <c r="AP56" s="66">
        <v>0</v>
      </c>
      <c r="AQ56" s="66">
        <v>0</v>
      </c>
      <c r="AR56" s="66">
        <v>0</v>
      </c>
      <c r="AS56" s="66">
        <v>0</v>
      </c>
      <c r="AT56" s="67" t="s">
        <v>1230</v>
      </c>
      <c r="AU56" s="67" t="s">
        <v>1230</v>
      </c>
      <c r="AV56" s="67">
        <v>0</v>
      </c>
      <c r="AW56" s="187">
        <v>0</v>
      </c>
      <c r="AX56" s="67">
        <v>0</v>
      </c>
    </row>
    <row r="57" spans="1:50" ht="31.2" x14ac:dyDescent="0.3">
      <c r="A57" s="171">
        <v>45</v>
      </c>
      <c r="B57" s="211" t="s">
        <v>115</v>
      </c>
      <c r="C57" s="66">
        <v>401.6694</v>
      </c>
      <c r="D57" s="66">
        <v>0</v>
      </c>
      <c r="E57" s="66">
        <v>424.64021504999999</v>
      </c>
      <c r="F57" s="66">
        <v>401.6694</v>
      </c>
      <c r="G57" s="66">
        <v>22.970815050000002</v>
      </c>
      <c r="H57" s="66">
        <v>401.6694</v>
      </c>
      <c r="I57" s="66">
        <v>0</v>
      </c>
      <c r="J57" s="66">
        <v>424.64021504999999</v>
      </c>
      <c r="K57" s="66">
        <v>401.6694</v>
      </c>
      <c r="L57" s="66">
        <v>0</v>
      </c>
      <c r="M57" s="66">
        <v>22.970815050000002</v>
      </c>
      <c r="N57" s="67">
        <v>100</v>
      </c>
      <c r="O57" s="67">
        <v>100</v>
      </c>
      <c r="P57" s="67">
        <v>5.4094770669083383</v>
      </c>
      <c r="Q57" s="66">
        <v>0</v>
      </c>
      <c r="R57" s="67">
        <v>0</v>
      </c>
      <c r="S57" s="66">
        <v>290.22840000000002</v>
      </c>
      <c r="T57" s="66">
        <v>0</v>
      </c>
      <c r="U57" s="66">
        <v>312.07354838999998</v>
      </c>
      <c r="V57" s="66">
        <v>290.22840000000002</v>
      </c>
      <c r="W57" s="66">
        <v>21.845148390000002</v>
      </c>
      <c r="X57" s="66">
        <v>290.22840000000002</v>
      </c>
      <c r="Y57" s="66">
        <v>0</v>
      </c>
      <c r="Z57" s="66">
        <v>312.07354838999998</v>
      </c>
      <c r="AA57" s="66">
        <v>290.22840000000002</v>
      </c>
      <c r="AB57" s="66">
        <v>0</v>
      </c>
      <c r="AC57" s="66">
        <v>21.845148390000002</v>
      </c>
      <c r="AD57" s="67">
        <v>100</v>
      </c>
      <c r="AE57" s="67">
        <v>100</v>
      </c>
      <c r="AF57" s="67">
        <v>7.0000000008651826</v>
      </c>
      <c r="AG57" s="187">
        <v>0</v>
      </c>
      <c r="AH57" s="67">
        <v>0</v>
      </c>
      <c r="AI57" s="66">
        <v>111.441</v>
      </c>
      <c r="AJ57" s="66">
        <v>0</v>
      </c>
      <c r="AK57" s="66">
        <v>112.56666666</v>
      </c>
      <c r="AL57" s="66">
        <v>111.441</v>
      </c>
      <c r="AM57" s="66">
        <v>1.1256666599999998</v>
      </c>
      <c r="AN57" s="66">
        <v>111.441</v>
      </c>
      <c r="AO57" s="66">
        <v>0</v>
      </c>
      <c r="AP57" s="66">
        <v>112.56666666</v>
      </c>
      <c r="AQ57" s="66">
        <v>111.441</v>
      </c>
      <c r="AR57" s="66">
        <v>0</v>
      </c>
      <c r="AS57" s="66">
        <v>1.1256666599999998</v>
      </c>
      <c r="AT57" s="67">
        <v>100</v>
      </c>
      <c r="AU57" s="67">
        <v>100</v>
      </c>
      <c r="AV57" s="67">
        <v>0.99999999413680762</v>
      </c>
      <c r="AW57" s="187">
        <v>0</v>
      </c>
      <c r="AX57" s="67">
        <v>0</v>
      </c>
    </row>
    <row r="58" spans="1:50" ht="31.2" x14ac:dyDescent="0.3">
      <c r="A58" s="171">
        <v>46</v>
      </c>
      <c r="B58" s="211" t="s">
        <v>117</v>
      </c>
      <c r="C58" s="66">
        <v>49.7667</v>
      </c>
      <c r="D58" s="66">
        <v>0</v>
      </c>
      <c r="E58" s="66">
        <v>52.386000000000003</v>
      </c>
      <c r="F58" s="66">
        <v>49.7667</v>
      </c>
      <c r="G58" s="66">
        <v>2.6193</v>
      </c>
      <c r="H58" s="66">
        <v>49.7667</v>
      </c>
      <c r="I58" s="66">
        <v>0</v>
      </c>
      <c r="J58" s="66">
        <v>52.386000000000003</v>
      </c>
      <c r="K58" s="66">
        <v>49.7667</v>
      </c>
      <c r="L58" s="66">
        <v>0</v>
      </c>
      <c r="M58" s="66">
        <v>2.6193</v>
      </c>
      <c r="N58" s="67">
        <v>100</v>
      </c>
      <c r="O58" s="67">
        <v>100</v>
      </c>
      <c r="P58" s="67">
        <v>5</v>
      </c>
      <c r="Q58" s="66">
        <v>0</v>
      </c>
      <c r="R58" s="67">
        <v>0</v>
      </c>
      <c r="S58" s="66">
        <v>49.7667</v>
      </c>
      <c r="T58" s="66">
        <v>0</v>
      </c>
      <c r="U58" s="66">
        <v>52.386000000000003</v>
      </c>
      <c r="V58" s="66">
        <v>49.7667</v>
      </c>
      <c r="W58" s="66">
        <v>2.6193</v>
      </c>
      <c r="X58" s="66">
        <v>49.7667</v>
      </c>
      <c r="Y58" s="66">
        <v>0</v>
      </c>
      <c r="Z58" s="66">
        <v>52.386000000000003</v>
      </c>
      <c r="AA58" s="66">
        <v>49.7667</v>
      </c>
      <c r="AB58" s="66">
        <v>0</v>
      </c>
      <c r="AC58" s="66">
        <v>2.6193</v>
      </c>
      <c r="AD58" s="67">
        <v>100</v>
      </c>
      <c r="AE58" s="67">
        <v>100</v>
      </c>
      <c r="AF58" s="67">
        <v>5</v>
      </c>
      <c r="AG58" s="187">
        <v>0</v>
      </c>
      <c r="AH58" s="67">
        <v>0</v>
      </c>
      <c r="AI58" s="66">
        <v>0</v>
      </c>
      <c r="AJ58" s="66">
        <v>0</v>
      </c>
      <c r="AK58" s="66">
        <v>0</v>
      </c>
      <c r="AL58" s="66">
        <v>0</v>
      </c>
      <c r="AM58" s="66">
        <v>0</v>
      </c>
      <c r="AN58" s="66">
        <v>0</v>
      </c>
      <c r="AO58" s="66">
        <v>0</v>
      </c>
      <c r="AP58" s="66">
        <v>0</v>
      </c>
      <c r="AQ58" s="66">
        <v>0</v>
      </c>
      <c r="AR58" s="66">
        <v>0</v>
      </c>
      <c r="AS58" s="66">
        <v>0</v>
      </c>
      <c r="AT58" s="67" t="s">
        <v>1230</v>
      </c>
      <c r="AU58" s="67" t="s">
        <v>1230</v>
      </c>
      <c r="AV58" s="67">
        <v>0</v>
      </c>
      <c r="AW58" s="187">
        <v>0</v>
      </c>
      <c r="AX58" s="67">
        <v>0</v>
      </c>
    </row>
    <row r="59" spans="1:50" ht="31.2" x14ac:dyDescent="0.3">
      <c r="A59" s="171">
        <v>47</v>
      </c>
      <c r="B59" s="211" t="s">
        <v>119</v>
      </c>
      <c r="C59" s="66">
        <v>13.025600000000001</v>
      </c>
      <c r="D59" s="66">
        <v>0</v>
      </c>
      <c r="E59" s="66">
        <v>14.006021499999999</v>
      </c>
      <c r="F59" s="66">
        <v>13.025600000000001</v>
      </c>
      <c r="G59" s="66">
        <v>0.98042149999999995</v>
      </c>
      <c r="H59" s="66">
        <v>12.66667623</v>
      </c>
      <c r="I59" s="66">
        <v>2.5938021499999997</v>
      </c>
      <c r="J59" s="66">
        <v>13.62008228</v>
      </c>
      <c r="K59" s="66">
        <v>12.66667623</v>
      </c>
      <c r="L59" s="66">
        <v>0</v>
      </c>
      <c r="M59" s="66">
        <v>0.95340605</v>
      </c>
      <c r="N59" s="67">
        <v>97.244474189288781</v>
      </c>
      <c r="O59" s="67">
        <v>97.244506571918308</v>
      </c>
      <c r="P59" s="67">
        <v>7.0000021321457089</v>
      </c>
      <c r="Q59" s="66">
        <v>2.5938021499999997</v>
      </c>
      <c r="R59" s="67">
        <v>4.4408920985006262E-16</v>
      </c>
      <c r="S59" s="66">
        <v>13.025600000000001</v>
      </c>
      <c r="T59" s="66">
        <v>0</v>
      </c>
      <c r="U59" s="66">
        <v>14.006021499999999</v>
      </c>
      <c r="V59" s="66">
        <v>13.025600000000001</v>
      </c>
      <c r="W59" s="66">
        <v>0.98042149999999995</v>
      </c>
      <c r="X59" s="66">
        <v>12.66667623</v>
      </c>
      <c r="Y59" s="66">
        <v>2.5938021499999997</v>
      </c>
      <c r="Z59" s="66">
        <v>13.62008228</v>
      </c>
      <c r="AA59" s="66">
        <v>12.66667623</v>
      </c>
      <c r="AB59" s="66">
        <v>0</v>
      </c>
      <c r="AC59" s="66">
        <v>0.95340605</v>
      </c>
      <c r="AD59" s="67">
        <v>97.244474189288781</v>
      </c>
      <c r="AE59" s="67">
        <v>97.244506571918308</v>
      </c>
      <c r="AF59" s="67">
        <v>7.0000021321457089</v>
      </c>
      <c r="AG59" s="187">
        <v>2.5938021499999997</v>
      </c>
      <c r="AH59" s="67">
        <v>4.4408920985006262E-16</v>
      </c>
      <c r="AI59" s="66">
        <v>0</v>
      </c>
      <c r="AJ59" s="66">
        <v>0</v>
      </c>
      <c r="AK59" s="66">
        <v>0</v>
      </c>
      <c r="AL59" s="66">
        <v>0</v>
      </c>
      <c r="AM59" s="66">
        <v>0</v>
      </c>
      <c r="AN59" s="66">
        <v>0</v>
      </c>
      <c r="AO59" s="66">
        <v>0</v>
      </c>
      <c r="AP59" s="66">
        <v>0</v>
      </c>
      <c r="AQ59" s="66">
        <v>0</v>
      </c>
      <c r="AR59" s="66">
        <v>0</v>
      </c>
      <c r="AS59" s="66">
        <v>0</v>
      </c>
      <c r="AT59" s="67" t="s">
        <v>1230</v>
      </c>
      <c r="AU59" s="67" t="s">
        <v>1230</v>
      </c>
      <c r="AV59" s="67">
        <v>0</v>
      </c>
      <c r="AW59" s="187">
        <v>0</v>
      </c>
      <c r="AX59" s="67">
        <v>0</v>
      </c>
    </row>
    <row r="60" spans="1:50" ht="15.6" x14ac:dyDescent="0.3">
      <c r="A60" s="169">
        <v>48</v>
      </c>
      <c r="B60" s="211" t="s">
        <v>122</v>
      </c>
      <c r="C60" s="66">
        <v>135.6962</v>
      </c>
      <c r="D60" s="66">
        <v>0</v>
      </c>
      <c r="E60" s="66">
        <v>142.8382</v>
      </c>
      <c r="F60" s="66">
        <v>135.6962</v>
      </c>
      <c r="G60" s="66">
        <v>7.1420000000000003</v>
      </c>
      <c r="H60" s="66">
        <v>135.69619938</v>
      </c>
      <c r="I60" s="66">
        <v>8.5899000000000001</v>
      </c>
      <c r="J60" s="66">
        <v>142.83819935</v>
      </c>
      <c r="K60" s="66">
        <v>135.69619938</v>
      </c>
      <c r="L60" s="66">
        <v>0</v>
      </c>
      <c r="M60" s="66">
        <v>7.1419999699999996</v>
      </c>
      <c r="N60" s="67">
        <v>99.99999954309699</v>
      </c>
      <c r="O60" s="67">
        <v>99.999999579949588</v>
      </c>
      <c r="P60" s="67">
        <v>5.0000630101054266</v>
      </c>
      <c r="Q60" s="66">
        <v>8.5899000000000001</v>
      </c>
      <c r="R60" s="67">
        <v>0</v>
      </c>
      <c r="S60" s="66">
        <v>135.6962</v>
      </c>
      <c r="T60" s="66">
        <v>0</v>
      </c>
      <c r="U60" s="66">
        <v>142.8382</v>
      </c>
      <c r="V60" s="66">
        <v>135.6962</v>
      </c>
      <c r="W60" s="66">
        <v>7.1420000000000003</v>
      </c>
      <c r="X60" s="66">
        <v>135.69619938</v>
      </c>
      <c r="Y60" s="66">
        <v>8.5899000000000001</v>
      </c>
      <c r="Z60" s="66">
        <v>142.83819935</v>
      </c>
      <c r="AA60" s="66">
        <v>135.69619938</v>
      </c>
      <c r="AB60" s="66">
        <v>0</v>
      </c>
      <c r="AC60" s="66">
        <v>7.1419999699999996</v>
      </c>
      <c r="AD60" s="67">
        <v>99.99999954309699</v>
      </c>
      <c r="AE60" s="67">
        <v>99.999999579949588</v>
      </c>
      <c r="AF60" s="67">
        <v>5.0000630101054266</v>
      </c>
      <c r="AG60" s="187">
        <v>8.5899000000000001</v>
      </c>
      <c r="AH60" s="67">
        <v>0</v>
      </c>
      <c r="AI60" s="66">
        <v>0</v>
      </c>
      <c r="AJ60" s="66">
        <v>0</v>
      </c>
      <c r="AK60" s="66">
        <v>0</v>
      </c>
      <c r="AL60" s="66">
        <v>0</v>
      </c>
      <c r="AM60" s="66">
        <v>0</v>
      </c>
      <c r="AN60" s="66">
        <v>0</v>
      </c>
      <c r="AO60" s="66">
        <v>0</v>
      </c>
      <c r="AP60" s="66">
        <v>0</v>
      </c>
      <c r="AQ60" s="66">
        <v>0</v>
      </c>
      <c r="AR60" s="66">
        <v>0</v>
      </c>
      <c r="AS60" s="66">
        <v>0</v>
      </c>
      <c r="AT60" s="67" t="s">
        <v>1230</v>
      </c>
      <c r="AU60" s="67" t="s">
        <v>1230</v>
      </c>
      <c r="AV60" s="67">
        <v>0</v>
      </c>
      <c r="AW60" s="187">
        <v>0</v>
      </c>
      <c r="AX60" s="67">
        <v>0</v>
      </c>
    </row>
    <row r="61" spans="1:50" ht="15.6" x14ac:dyDescent="0.3">
      <c r="A61" s="215">
        <v>49</v>
      </c>
      <c r="B61" s="211" t="s">
        <v>125</v>
      </c>
      <c r="C61" s="66">
        <v>747.30849999999998</v>
      </c>
      <c r="D61" s="66">
        <v>0</v>
      </c>
      <c r="E61" s="66">
        <v>795.0090425599999</v>
      </c>
      <c r="F61" s="66">
        <v>747.30849999999998</v>
      </c>
      <c r="G61" s="66">
        <v>47.700542560000002</v>
      </c>
      <c r="H61" s="66">
        <v>747.30849999999998</v>
      </c>
      <c r="I61" s="66">
        <v>0</v>
      </c>
      <c r="J61" s="66">
        <v>795.0090425599999</v>
      </c>
      <c r="K61" s="66">
        <v>747.30849999999998</v>
      </c>
      <c r="L61" s="66">
        <v>0</v>
      </c>
      <c r="M61" s="66">
        <v>47.700542560000002</v>
      </c>
      <c r="N61" s="67">
        <v>100</v>
      </c>
      <c r="O61" s="67">
        <v>100</v>
      </c>
      <c r="P61" s="67">
        <v>6.0000000008050236</v>
      </c>
      <c r="Q61" s="66">
        <v>0</v>
      </c>
      <c r="R61" s="67">
        <v>0</v>
      </c>
      <c r="S61" s="66">
        <v>446.5575</v>
      </c>
      <c r="T61" s="66">
        <v>0</v>
      </c>
      <c r="U61" s="66">
        <v>475.06117022000001</v>
      </c>
      <c r="V61" s="66">
        <v>446.5575</v>
      </c>
      <c r="W61" s="66">
        <v>28.50367022</v>
      </c>
      <c r="X61" s="66">
        <v>446.5575</v>
      </c>
      <c r="Y61" s="66">
        <v>0</v>
      </c>
      <c r="Z61" s="66">
        <v>475.06117022000001</v>
      </c>
      <c r="AA61" s="66">
        <v>446.5575</v>
      </c>
      <c r="AB61" s="66">
        <v>0</v>
      </c>
      <c r="AC61" s="66">
        <v>28.50367022</v>
      </c>
      <c r="AD61" s="67">
        <v>100</v>
      </c>
      <c r="AE61" s="67">
        <v>100</v>
      </c>
      <c r="AF61" s="67">
        <v>6.0000000014313946</v>
      </c>
      <c r="AG61" s="187">
        <v>0</v>
      </c>
      <c r="AH61" s="67">
        <v>0</v>
      </c>
      <c r="AI61" s="66">
        <v>300.75099999999998</v>
      </c>
      <c r="AJ61" s="66">
        <v>0</v>
      </c>
      <c r="AK61" s="66">
        <v>319.94787233999995</v>
      </c>
      <c r="AL61" s="66">
        <v>300.75099999999998</v>
      </c>
      <c r="AM61" s="66">
        <v>19.196872339999999</v>
      </c>
      <c r="AN61" s="66">
        <v>300.75099999999998</v>
      </c>
      <c r="AO61" s="66">
        <v>0</v>
      </c>
      <c r="AP61" s="66">
        <v>319.94787233999995</v>
      </c>
      <c r="AQ61" s="66">
        <v>300.75099999999998</v>
      </c>
      <c r="AR61" s="66">
        <v>0</v>
      </c>
      <c r="AS61" s="66">
        <v>19.196872339999999</v>
      </c>
      <c r="AT61" s="67">
        <v>100</v>
      </c>
      <c r="AU61" s="67">
        <v>100</v>
      </c>
      <c r="AV61" s="67">
        <v>5.99999999987498</v>
      </c>
      <c r="AW61" s="187">
        <v>0</v>
      </c>
      <c r="AX61" s="67">
        <v>0</v>
      </c>
    </row>
    <row r="62" spans="1:50" ht="15.6" x14ac:dyDescent="0.3">
      <c r="A62" s="202">
        <v>50</v>
      </c>
      <c r="B62" s="203" t="s">
        <v>128</v>
      </c>
      <c r="C62" s="61">
        <v>1372.0366999999999</v>
      </c>
      <c r="D62" s="61">
        <v>0</v>
      </c>
      <c r="E62" s="61">
        <v>1713.4308835599998</v>
      </c>
      <c r="F62" s="61">
        <v>1372.0366999999999</v>
      </c>
      <c r="G62" s="61">
        <v>341.39418356000004</v>
      </c>
      <c r="H62" s="61">
        <v>1283.03872013</v>
      </c>
      <c r="I62" s="61">
        <v>1.0944418300000001</v>
      </c>
      <c r="J62" s="61">
        <v>1592.5914539399998</v>
      </c>
      <c r="K62" s="61">
        <v>1282.1942193299997</v>
      </c>
      <c r="L62" s="61">
        <v>0</v>
      </c>
      <c r="M62" s="61">
        <v>310.39723461</v>
      </c>
      <c r="N62" s="61">
        <v>93.451889394066484</v>
      </c>
      <c r="O62" s="61">
        <v>90.920481237621217</v>
      </c>
      <c r="P62" s="61">
        <v>19.490072852148689</v>
      </c>
      <c r="Q62" s="61">
        <v>1.0944418300000001</v>
      </c>
      <c r="R62" s="61">
        <v>0.8445007999999854</v>
      </c>
      <c r="S62" s="61">
        <v>784.47269999999992</v>
      </c>
      <c r="T62" s="61">
        <v>0</v>
      </c>
      <c r="U62" s="61">
        <v>1066.6857305599999</v>
      </c>
      <c r="V62" s="61">
        <v>784.47269999999992</v>
      </c>
      <c r="W62" s="61">
        <v>282.21303056000005</v>
      </c>
      <c r="X62" s="61">
        <v>730.45903870999996</v>
      </c>
      <c r="Y62" s="61">
        <v>1.0944418300000001</v>
      </c>
      <c r="Z62" s="61">
        <v>986.5257544399999</v>
      </c>
      <c r="AA62" s="61">
        <v>729.61453790999997</v>
      </c>
      <c r="AB62" s="61">
        <v>0</v>
      </c>
      <c r="AC62" s="61">
        <v>256.91121652999999</v>
      </c>
      <c r="AD62" s="61">
        <v>93.007001761820391</v>
      </c>
      <c r="AE62" s="61">
        <v>91.034498307964995</v>
      </c>
      <c r="AF62" s="61">
        <v>26.04201820111988</v>
      </c>
      <c r="AG62" s="61">
        <v>1.0944418300000001</v>
      </c>
      <c r="AH62" s="61">
        <v>0.84450079999999961</v>
      </c>
      <c r="AI62" s="61">
        <v>587.56400000000008</v>
      </c>
      <c r="AJ62" s="61">
        <v>0</v>
      </c>
      <c r="AK62" s="61">
        <v>646.74515299999996</v>
      </c>
      <c r="AL62" s="61">
        <v>587.56400000000008</v>
      </c>
      <c r="AM62" s="61">
        <v>59.181152999999995</v>
      </c>
      <c r="AN62" s="61">
        <v>552.57968142000004</v>
      </c>
      <c r="AO62" s="61">
        <v>0</v>
      </c>
      <c r="AP62" s="61">
        <v>606.06569950000005</v>
      </c>
      <c r="AQ62" s="61">
        <v>552.57968142000004</v>
      </c>
      <c r="AR62" s="61">
        <v>0</v>
      </c>
      <c r="AS62" s="61">
        <v>53.486018079999994</v>
      </c>
      <c r="AT62" s="61">
        <v>94.045870989373071</v>
      </c>
      <c r="AU62" s="61">
        <v>90.376775998264165</v>
      </c>
      <c r="AV62" s="61">
        <v>8.8251188153570777</v>
      </c>
      <c r="AW62" s="61">
        <v>0</v>
      </c>
      <c r="AX62" s="61">
        <v>0</v>
      </c>
    </row>
    <row r="63" spans="1:50" ht="15.6" x14ac:dyDescent="0.3">
      <c r="A63" s="169">
        <v>51</v>
      </c>
      <c r="B63" s="205" t="s">
        <v>131</v>
      </c>
      <c r="C63" s="66">
        <v>50.129199999999997</v>
      </c>
      <c r="D63" s="66">
        <v>0</v>
      </c>
      <c r="E63" s="66">
        <v>85.676299999999998</v>
      </c>
      <c r="F63" s="66">
        <v>50.129199999999997</v>
      </c>
      <c r="G63" s="66">
        <v>35.5471</v>
      </c>
      <c r="H63" s="66">
        <v>50.129199999999997</v>
      </c>
      <c r="I63" s="66">
        <v>0</v>
      </c>
      <c r="J63" s="66">
        <v>85.676299999999998</v>
      </c>
      <c r="K63" s="66">
        <v>50.129199999999997</v>
      </c>
      <c r="L63" s="66">
        <v>0</v>
      </c>
      <c r="M63" s="66">
        <v>35.5471</v>
      </c>
      <c r="N63" s="67">
        <v>100</v>
      </c>
      <c r="O63" s="67">
        <v>100</v>
      </c>
      <c r="P63" s="67">
        <v>41.490003653285683</v>
      </c>
      <c r="Q63" s="66">
        <v>0</v>
      </c>
      <c r="R63" s="67">
        <v>0</v>
      </c>
      <c r="S63" s="66">
        <v>50.129199999999997</v>
      </c>
      <c r="T63" s="66">
        <v>0</v>
      </c>
      <c r="U63" s="66">
        <v>85.676299999999998</v>
      </c>
      <c r="V63" s="66">
        <v>50.129199999999997</v>
      </c>
      <c r="W63" s="66">
        <v>35.5471</v>
      </c>
      <c r="X63" s="66">
        <v>50.129199999999997</v>
      </c>
      <c r="Y63" s="66">
        <v>0</v>
      </c>
      <c r="Z63" s="66">
        <v>85.676299999999998</v>
      </c>
      <c r="AA63" s="66">
        <v>50.129199999999997</v>
      </c>
      <c r="AB63" s="66">
        <v>0</v>
      </c>
      <c r="AC63" s="66">
        <v>35.5471</v>
      </c>
      <c r="AD63" s="67">
        <v>100</v>
      </c>
      <c r="AE63" s="67">
        <v>100</v>
      </c>
      <c r="AF63" s="67">
        <v>41.490003653285683</v>
      </c>
      <c r="AG63" s="187">
        <v>0</v>
      </c>
      <c r="AH63" s="67">
        <v>0</v>
      </c>
      <c r="AI63" s="66">
        <v>0</v>
      </c>
      <c r="AJ63" s="66">
        <v>0</v>
      </c>
      <c r="AK63" s="66">
        <v>0</v>
      </c>
      <c r="AL63" s="66">
        <v>0</v>
      </c>
      <c r="AM63" s="66">
        <v>0</v>
      </c>
      <c r="AN63" s="66">
        <v>0</v>
      </c>
      <c r="AO63" s="66">
        <v>0</v>
      </c>
      <c r="AP63" s="66">
        <v>0</v>
      </c>
      <c r="AQ63" s="66">
        <v>0</v>
      </c>
      <c r="AR63" s="66">
        <v>0</v>
      </c>
      <c r="AS63" s="66">
        <v>0</v>
      </c>
      <c r="AT63" s="67" t="s">
        <v>1230</v>
      </c>
      <c r="AU63" s="67" t="s">
        <v>1230</v>
      </c>
      <c r="AV63" s="67">
        <v>0</v>
      </c>
      <c r="AW63" s="187">
        <v>0</v>
      </c>
      <c r="AX63" s="67">
        <v>0</v>
      </c>
    </row>
    <row r="64" spans="1:50" ht="15.6" x14ac:dyDescent="0.3">
      <c r="A64" s="169">
        <v>52</v>
      </c>
      <c r="B64" s="205" t="s">
        <v>134</v>
      </c>
      <c r="C64" s="66">
        <v>27.6</v>
      </c>
      <c r="D64" s="66">
        <v>0</v>
      </c>
      <c r="E64" s="66">
        <v>30</v>
      </c>
      <c r="F64" s="66">
        <v>27.6</v>
      </c>
      <c r="G64" s="66">
        <v>2.4</v>
      </c>
      <c r="H64" s="66">
        <v>22.233277709999999</v>
      </c>
      <c r="I64" s="66">
        <v>0</v>
      </c>
      <c r="J64" s="66">
        <v>24.166606210000001</v>
      </c>
      <c r="K64" s="66">
        <v>22.233277709999999</v>
      </c>
      <c r="L64" s="66">
        <v>0</v>
      </c>
      <c r="M64" s="66">
        <v>1.9333285</v>
      </c>
      <c r="N64" s="67">
        <v>80.55535402173912</v>
      </c>
      <c r="O64" s="67">
        <v>80.555354166666675</v>
      </c>
      <c r="P64" s="67">
        <v>8.0000000132414115</v>
      </c>
      <c r="Q64" s="66">
        <v>0</v>
      </c>
      <c r="R64" s="67">
        <v>0</v>
      </c>
      <c r="S64" s="66">
        <v>27.6</v>
      </c>
      <c r="T64" s="66">
        <v>0</v>
      </c>
      <c r="U64" s="66">
        <v>30</v>
      </c>
      <c r="V64" s="66">
        <v>27.6</v>
      </c>
      <c r="W64" s="66">
        <v>2.4</v>
      </c>
      <c r="X64" s="66">
        <v>22.233277709999999</v>
      </c>
      <c r="Y64" s="66">
        <v>0</v>
      </c>
      <c r="Z64" s="66">
        <v>24.166606210000001</v>
      </c>
      <c r="AA64" s="66">
        <v>22.233277709999999</v>
      </c>
      <c r="AB64" s="66">
        <v>0</v>
      </c>
      <c r="AC64" s="66">
        <v>1.9333285</v>
      </c>
      <c r="AD64" s="67">
        <v>80.55535402173912</v>
      </c>
      <c r="AE64" s="67">
        <v>80.555354166666675</v>
      </c>
      <c r="AF64" s="67">
        <v>8.0000000132414115</v>
      </c>
      <c r="AG64" s="187">
        <v>0</v>
      </c>
      <c r="AH64" s="67">
        <v>0</v>
      </c>
      <c r="AI64" s="66">
        <v>0</v>
      </c>
      <c r="AJ64" s="66">
        <v>0</v>
      </c>
      <c r="AK64" s="66">
        <v>0</v>
      </c>
      <c r="AL64" s="66">
        <v>0</v>
      </c>
      <c r="AM64" s="66">
        <v>0</v>
      </c>
      <c r="AN64" s="66">
        <v>0</v>
      </c>
      <c r="AO64" s="66">
        <v>0</v>
      </c>
      <c r="AP64" s="66">
        <v>0</v>
      </c>
      <c r="AQ64" s="66">
        <v>0</v>
      </c>
      <c r="AR64" s="66">
        <v>0</v>
      </c>
      <c r="AS64" s="66">
        <v>0</v>
      </c>
      <c r="AT64" s="67" t="s">
        <v>1230</v>
      </c>
      <c r="AU64" s="67" t="s">
        <v>1230</v>
      </c>
      <c r="AV64" s="67">
        <v>0</v>
      </c>
      <c r="AW64" s="187">
        <v>0</v>
      </c>
      <c r="AX64" s="67">
        <v>0</v>
      </c>
    </row>
    <row r="65" spans="1:50" ht="15.6" x14ac:dyDescent="0.3">
      <c r="A65" s="169">
        <v>53</v>
      </c>
      <c r="B65" s="205" t="s">
        <v>137</v>
      </c>
      <c r="C65" s="66">
        <v>97.697699999999998</v>
      </c>
      <c r="D65" s="66">
        <v>0</v>
      </c>
      <c r="E65" s="66">
        <v>122.12220000000001</v>
      </c>
      <c r="F65" s="66">
        <v>97.697699999999998</v>
      </c>
      <c r="G65" s="66">
        <v>24.424499999999998</v>
      </c>
      <c r="H65" s="66">
        <v>97.697699999999998</v>
      </c>
      <c r="I65" s="66">
        <v>0</v>
      </c>
      <c r="J65" s="66">
        <v>122.12220000000001</v>
      </c>
      <c r="K65" s="66">
        <v>97.697699999999998</v>
      </c>
      <c r="L65" s="66">
        <v>0</v>
      </c>
      <c r="M65" s="66">
        <v>24.424499999999998</v>
      </c>
      <c r="N65" s="67">
        <v>100</v>
      </c>
      <c r="O65" s="67">
        <v>100</v>
      </c>
      <c r="P65" s="67">
        <v>20.000049131116207</v>
      </c>
      <c r="Q65" s="66">
        <v>0</v>
      </c>
      <c r="R65" s="67">
        <v>0</v>
      </c>
      <c r="S65" s="66">
        <v>97.697699999999998</v>
      </c>
      <c r="T65" s="66">
        <v>0</v>
      </c>
      <c r="U65" s="66">
        <v>122.12220000000001</v>
      </c>
      <c r="V65" s="66">
        <v>97.697699999999998</v>
      </c>
      <c r="W65" s="66">
        <v>24.424499999999998</v>
      </c>
      <c r="X65" s="66">
        <v>97.697699999999998</v>
      </c>
      <c r="Y65" s="66">
        <v>0</v>
      </c>
      <c r="Z65" s="66">
        <v>122.12220000000001</v>
      </c>
      <c r="AA65" s="66">
        <v>97.697699999999998</v>
      </c>
      <c r="AB65" s="66">
        <v>0</v>
      </c>
      <c r="AC65" s="66">
        <v>24.424499999999998</v>
      </c>
      <c r="AD65" s="67">
        <v>100</v>
      </c>
      <c r="AE65" s="67">
        <v>100</v>
      </c>
      <c r="AF65" s="67">
        <v>20.000049131116207</v>
      </c>
      <c r="AG65" s="187">
        <v>0</v>
      </c>
      <c r="AH65" s="67">
        <v>0</v>
      </c>
      <c r="AI65" s="66">
        <v>0</v>
      </c>
      <c r="AJ65" s="66">
        <v>0</v>
      </c>
      <c r="AK65" s="66">
        <v>0</v>
      </c>
      <c r="AL65" s="66">
        <v>0</v>
      </c>
      <c r="AM65" s="66">
        <v>0</v>
      </c>
      <c r="AN65" s="66">
        <v>0</v>
      </c>
      <c r="AO65" s="66">
        <v>0</v>
      </c>
      <c r="AP65" s="66">
        <v>0</v>
      </c>
      <c r="AQ65" s="66">
        <v>0</v>
      </c>
      <c r="AR65" s="66">
        <v>0</v>
      </c>
      <c r="AS65" s="66">
        <v>0</v>
      </c>
      <c r="AT65" s="67" t="s">
        <v>1230</v>
      </c>
      <c r="AU65" s="67" t="s">
        <v>1230</v>
      </c>
      <c r="AV65" s="67">
        <v>0</v>
      </c>
      <c r="AW65" s="187">
        <v>0</v>
      </c>
      <c r="AX65" s="67">
        <v>0</v>
      </c>
    </row>
    <row r="66" spans="1:50" ht="15.6" x14ac:dyDescent="0.3">
      <c r="A66" s="169">
        <v>54</v>
      </c>
      <c r="B66" s="205" t="s">
        <v>140</v>
      </c>
      <c r="C66" s="66">
        <v>75.894999999999996</v>
      </c>
      <c r="D66" s="66">
        <v>0</v>
      </c>
      <c r="E66" s="66">
        <v>115.51766710999999</v>
      </c>
      <c r="F66" s="66">
        <v>75.894999999999996</v>
      </c>
      <c r="G66" s="66">
        <v>39.622667110000002</v>
      </c>
      <c r="H66" s="66">
        <v>75.894999999999996</v>
      </c>
      <c r="I66" s="66">
        <v>1.0944418300000001</v>
      </c>
      <c r="J66" s="66">
        <v>115.51766710999999</v>
      </c>
      <c r="K66" s="66">
        <v>75.894999999999996</v>
      </c>
      <c r="L66" s="66">
        <v>0</v>
      </c>
      <c r="M66" s="66">
        <v>39.622667110000002</v>
      </c>
      <c r="N66" s="67">
        <v>100</v>
      </c>
      <c r="O66" s="67">
        <v>100</v>
      </c>
      <c r="P66" s="67">
        <v>34.300092878667563</v>
      </c>
      <c r="Q66" s="66">
        <v>1.0944418300000001</v>
      </c>
      <c r="R66" s="67">
        <v>-6.2172489379008766E-15</v>
      </c>
      <c r="S66" s="66">
        <v>44.57</v>
      </c>
      <c r="T66" s="66">
        <v>0</v>
      </c>
      <c r="U66" s="66">
        <v>76.844827599999988</v>
      </c>
      <c r="V66" s="66">
        <v>44.57</v>
      </c>
      <c r="W66" s="66">
        <v>32.274827600000002</v>
      </c>
      <c r="X66" s="66">
        <v>44.57</v>
      </c>
      <c r="Y66" s="66">
        <v>1.0944418300000001</v>
      </c>
      <c r="Z66" s="66">
        <v>76.844827599999988</v>
      </c>
      <c r="AA66" s="66">
        <v>44.57</v>
      </c>
      <c r="AB66" s="66">
        <v>0</v>
      </c>
      <c r="AC66" s="66">
        <v>32.274827600000002</v>
      </c>
      <c r="AD66" s="67">
        <v>100</v>
      </c>
      <c r="AE66" s="67">
        <v>100</v>
      </c>
      <c r="AF66" s="67">
        <v>42.000000010410602</v>
      </c>
      <c r="AG66" s="187">
        <v>1.0944418300000001</v>
      </c>
      <c r="AH66" s="67">
        <v>8.8817841970012523E-16</v>
      </c>
      <c r="AI66" s="66">
        <v>31.324999999999999</v>
      </c>
      <c r="AJ66" s="66">
        <v>0</v>
      </c>
      <c r="AK66" s="66">
        <v>38.672839509999996</v>
      </c>
      <c r="AL66" s="66">
        <v>31.324999999999999</v>
      </c>
      <c r="AM66" s="66">
        <v>7.34783951</v>
      </c>
      <c r="AN66" s="66">
        <v>31.324999999999999</v>
      </c>
      <c r="AO66" s="66">
        <v>0</v>
      </c>
      <c r="AP66" s="66">
        <v>38.672839509999996</v>
      </c>
      <c r="AQ66" s="66">
        <v>31.324999999999999</v>
      </c>
      <c r="AR66" s="66">
        <v>0</v>
      </c>
      <c r="AS66" s="66">
        <v>7.34783951</v>
      </c>
      <c r="AT66" s="67">
        <v>100</v>
      </c>
      <c r="AU66" s="67">
        <v>100</v>
      </c>
      <c r="AV66" s="67">
        <v>19.000000008015963</v>
      </c>
      <c r="AW66" s="187">
        <v>0</v>
      </c>
      <c r="AX66" s="67">
        <v>0</v>
      </c>
    </row>
    <row r="67" spans="1:50" ht="15.6" x14ac:dyDescent="0.3">
      <c r="A67" s="169">
        <v>55</v>
      </c>
      <c r="B67" s="205" t="s">
        <v>143</v>
      </c>
      <c r="C67" s="66">
        <v>7.8343999999999996</v>
      </c>
      <c r="D67" s="66">
        <v>0</v>
      </c>
      <c r="E67" s="66">
        <v>9.6721000000000004</v>
      </c>
      <c r="F67" s="66">
        <v>7.8343999999999996</v>
      </c>
      <c r="G67" s="66">
        <v>1.8376999999999999</v>
      </c>
      <c r="H67" s="66">
        <v>7.8343999999999996</v>
      </c>
      <c r="I67" s="66">
        <v>0</v>
      </c>
      <c r="J67" s="66">
        <v>9.6721000000000004</v>
      </c>
      <c r="K67" s="66">
        <v>7.8343999999999996</v>
      </c>
      <c r="L67" s="66">
        <v>0</v>
      </c>
      <c r="M67" s="66">
        <v>1.8376999999999999</v>
      </c>
      <c r="N67" s="67">
        <v>100</v>
      </c>
      <c r="O67" s="67">
        <v>100</v>
      </c>
      <c r="P67" s="67">
        <v>19.000010339016342</v>
      </c>
      <c r="Q67" s="66">
        <v>0</v>
      </c>
      <c r="R67" s="67">
        <v>0</v>
      </c>
      <c r="S67" s="66">
        <v>7.8343999999999996</v>
      </c>
      <c r="T67" s="66">
        <v>0</v>
      </c>
      <c r="U67" s="66">
        <v>9.6721000000000004</v>
      </c>
      <c r="V67" s="66">
        <v>7.8343999999999996</v>
      </c>
      <c r="W67" s="66">
        <v>1.8376999999999999</v>
      </c>
      <c r="X67" s="66">
        <v>7.8343999999999996</v>
      </c>
      <c r="Y67" s="66">
        <v>0</v>
      </c>
      <c r="Z67" s="66">
        <v>9.6721000000000004</v>
      </c>
      <c r="AA67" s="66">
        <v>7.8343999999999996</v>
      </c>
      <c r="AB67" s="66">
        <v>0</v>
      </c>
      <c r="AC67" s="66">
        <v>1.8376999999999999</v>
      </c>
      <c r="AD67" s="67">
        <v>100</v>
      </c>
      <c r="AE67" s="67">
        <v>100</v>
      </c>
      <c r="AF67" s="67">
        <v>19.000010339016342</v>
      </c>
      <c r="AG67" s="187">
        <v>0</v>
      </c>
      <c r="AH67" s="67">
        <v>0</v>
      </c>
      <c r="AI67" s="66">
        <v>0</v>
      </c>
      <c r="AJ67" s="66">
        <v>0</v>
      </c>
      <c r="AK67" s="66">
        <v>0</v>
      </c>
      <c r="AL67" s="66">
        <v>0</v>
      </c>
      <c r="AM67" s="66">
        <v>0</v>
      </c>
      <c r="AN67" s="66">
        <v>0</v>
      </c>
      <c r="AO67" s="66">
        <v>0</v>
      </c>
      <c r="AP67" s="66">
        <v>0</v>
      </c>
      <c r="AQ67" s="66">
        <v>0</v>
      </c>
      <c r="AR67" s="66">
        <v>0</v>
      </c>
      <c r="AS67" s="66">
        <v>0</v>
      </c>
      <c r="AT67" s="67" t="s">
        <v>1230</v>
      </c>
      <c r="AU67" s="67" t="s">
        <v>1230</v>
      </c>
      <c r="AV67" s="67">
        <v>0</v>
      </c>
      <c r="AW67" s="187">
        <v>0</v>
      </c>
      <c r="AX67" s="67">
        <v>0</v>
      </c>
    </row>
    <row r="68" spans="1:50" ht="15.6" x14ac:dyDescent="0.3">
      <c r="A68" s="169">
        <v>56</v>
      </c>
      <c r="B68" s="205" t="s">
        <v>146</v>
      </c>
      <c r="C68" s="66">
        <v>2.2665000000000002</v>
      </c>
      <c r="D68" s="66">
        <v>0</v>
      </c>
      <c r="E68" s="66">
        <v>2.4112</v>
      </c>
      <c r="F68" s="66">
        <v>2.2665000000000002</v>
      </c>
      <c r="G68" s="66">
        <v>0.1447</v>
      </c>
      <c r="H68" s="66">
        <v>2.2665000000000002</v>
      </c>
      <c r="I68" s="66">
        <v>0</v>
      </c>
      <c r="J68" s="66">
        <v>2.4112</v>
      </c>
      <c r="K68" s="66">
        <v>2.2665000000000002</v>
      </c>
      <c r="L68" s="66">
        <v>0</v>
      </c>
      <c r="M68" s="66">
        <v>0.1447</v>
      </c>
      <c r="N68" s="67">
        <v>100</v>
      </c>
      <c r="O68" s="67">
        <v>100</v>
      </c>
      <c r="P68" s="67">
        <v>6.0011612475116127</v>
      </c>
      <c r="Q68" s="66">
        <v>0</v>
      </c>
      <c r="R68" s="67">
        <v>0</v>
      </c>
      <c r="S68" s="66">
        <v>2.2665000000000002</v>
      </c>
      <c r="T68" s="66">
        <v>0</v>
      </c>
      <c r="U68" s="66">
        <v>2.4112</v>
      </c>
      <c r="V68" s="66">
        <v>2.2665000000000002</v>
      </c>
      <c r="W68" s="66">
        <v>0.1447</v>
      </c>
      <c r="X68" s="66">
        <v>2.2665000000000002</v>
      </c>
      <c r="Y68" s="66">
        <v>0</v>
      </c>
      <c r="Z68" s="66">
        <v>2.4112</v>
      </c>
      <c r="AA68" s="66">
        <v>2.2665000000000002</v>
      </c>
      <c r="AB68" s="66">
        <v>0</v>
      </c>
      <c r="AC68" s="66">
        <v>0.1447</v>
      </c>
      <c r="AD68" s="67">
        <v>100</v>
      </c>
      <c r="AE68" s="67">
        <v>100</v>
      </c>
      <c r="AF68" s="67">
        <v>6.0011612475116127</v>
      </c>
      <c r="AG68" s="187">
        <v>0</v>
      </c>
      <c r="AH68" s="67">
        <v>0</v>
      </c>
      <c r="AI68" s="66">
        <v>0</v>
      </c>
      <c r="AJ68" s="66">
        <v>0</v>
      </c>
      <c r="AK68" s="66">
        <v>0</v>
      </c>
      <c r="AL68" s="66">
        <v>0</v>
      </c>
      <c r="AM68" s="66">
        <v>0</v>
      </c>
      <c r="AN68" s="66">
        <v>0</v>
      </c>
      <c r="AO68" s="66">
        <v>0</v>
      </c>
      <c r="AP68" s="66">
        <v>0</v>
      </c>
      <c r="AQ68" s="66">
        <v>0</v>
      </c>
      <c r="AR68" s="66">
        <v>0</v>
      </c>
      <c r="AS68" s="66">
        <v>0</v>
      </c>
      <c r="AT68" s="67" t="s">
        <v>1230</v>
      </c>
      <c r="AU68" s="67" t="s">
        <v>1230</v>
      </c>
      <c r="AV68" s="67">
        <v>0</v>
      </c>
      <c r="AW68" s="187">
        <v>0</v>
      </c>
      <c r="AX68" s="67">
        <v>0</v>
      </c>
    </row>
    <row r="69" spans="1:50" ht="15.6" x14ac:dyDescent="0.3">
      <c r="A69" s="169">
        <v>57</v>
      </c>
      <c r="B69" s="205" t="s">
        <v>149</v>
      </c>
      <c r="C69" s="66">
        <v>23.3628</v>
      </c>
      <c r="D69" s="66">
        <v>0</v>
      </c>
      <c r="E69" s="66">
        <v>32.003835620000004</v>
      </c>
      <c r="F69" s="66">
        <v>23.3628</v>
      </c>
      <c r="G69" s="66">
        <v>8.6410356199999985</v>
      </c>
      <c r="H69" s="66">
        <v>16.011536159999999</v>
      </c>
      <c r="I69" s="66">
        <v>0</v>
      </c>
      <c r="J69" s="66">
        <v>21.93361118</v>
      </c>
      <c r="K69" s="66">
        <v>16.011536159999999</v>
      </c>
      <c r="L69" s="66">
        <v>0</v>
      </c>
      <c r="M69" s="66">
        <v>5.9220750199999994</v>
      </c>
      <c r="N69" s="67">
        <v>68.534320201345722</v>
      </c>
      <c r="O69" s="67">
        <v>68.534320195291599</v>
      </c>
      <c r="P69" s="67">
        <v>27.000000006382898</v>
      </c>
      <c r="Q69" s="66">
        <v>0</v>
      </c>
      <c r="R69" s="67">
        <v>0</v>
      </c>
      <c r="S69" s="66">
        <v>23.3628</v>
      </c>
      <c r="T69" s="66">
        <v>0</v>
      </c>
      <c r="U69" s="66">
        <v>32.003835620000004</v>
      </c>
      <c r="V69" s="66">
        <v>23.3628</v>
      </c>
      <c r="W69" s="66">
        <v>8.6410356199999985</v>
      </c>
      <c r="X69" s="66">
        <v>16.011536159999999</v>
      </c>
      <c r="Y69" s="66">
        <v>0</v>
      </c>
      <c r="Z69" s="66">
        <v>21.93361118</v>
      </c>
      <c r="AA69" s="66">
        <v>16.011536159999999</v>
      </c>
      <c r="AB69" s="66">
        <v>0</v>
      </c>
      <c r="AC69" s="66">
        <v>5.9220750199999994</v>
      </c>
      <c r="AD69" s="67">
        <v>68.534320201345722</v>
      </c>
      <c r="AE69" s="67">
        <v>68.534320195291599</v>
      </c>
      <c r="AF69" s="67">
        <v>27.000000006382898</v>
      </c>
      <c r="AG69" s="187">
        <v>0</v>
      </c>
      <c r="AH69" s="67">
        <v>0</v>
      </c>
      <c r="AI69" s="66">
        <v>0</v>
      </c>
      <c r="AJ69" s="66">
        <v>0</v>
      </c>
      <c r="AK69" s="66">
        <v>0</v>
      </c>
      <c r="AL69" s="66">
        <v>0</v>
      </c>
      <c r="AM69" s="66">
        <v>0</v>
      </c>
      <c r="AN69" s="66">
        <v>0</v>
      </c>
      <c r="AO69" s="66">
        <v>0</v>
      </c>
      <c r="AP69" s="66">
        <v>0</v>
      </c>
      <c r="AQ69" s="66">
        <v>0</v>
      </c>
      <c r="AR69" s="66">
        <v>0</v>
      </c>
      <c r="AS69" s="66">
        <v>0</v>
      </c>
      <c r="AT69" s="67" t="s">
        <v>1230</v>
      </c>
      <c r="AU69" s="67" t="s">
        <v>1230</v>
      </c>
      <c r="AV69" s="67">
        <v>0</v>
      </c>
      <c r="AW69" s="187">
        <v>0</v>
      </c>
      <c r="AX69" s="67">
        <v>0</v>
      </c>
    </row>
    <row r="70" spans="1:50" ht="15.6" x14ac:dyDescent="0.3">
      <c r="A70" s="169">
        <v>58</v>
      </c>
      <c r="B70" s="205" t="s">
        <v>152</v>
      </c>
      <c r="C70" s="66">
        <v>18.317</v>
      </c>
      <c r="D70" s="66">
        <v>0</v>
      </c>
      <c r="E70" s="66">
        <v>19.281099999999999</v>
      </c>
      <c r="F70" s="66">
        <v>18.317</v>
      </c>
      <c r="G70" s="66">
        <v>0.96409999999999996</v>
      </c>
      <c r="H70" s="66">
        <v>18.317</v>
      </c>
      <c r="I70" s="66">
        <v>0</v>
      </c>
      <c r="J70" s="66">
        <v>19.281099999999999</v>
      </c>
      <c r="K70" s="66">
        <v>18.317</v>
      </c>
      <c r="L70" s="66">
        <v>0</v>
      </c>
      <c r="M70" s="66">
        <v>0.96409999999999996</v>
      </c>
      <c r="N70" s="67">
        <v>100</v>
      </c>
      <c r="O70" s="67">
        <v>100</v>
      </c>
      <c r="P70" s="67">
        <v>5.0002333891738537</v>
      </c>
      <c r="Q70" s="66">
        <v>0</v>
      </c>
      <c r="R70" s="67">
        <v>0</v>
      </c>
      <c r="S70" s="66">
        <v>18.317</v>
      </c>
      <c r="T70" s="66">
        <v>0</v>
      </c>
      <c r="U70" s="66">
        <v>19.281099999999999</v>
      </c>
      <c r="V70" s="66">
        <v>18.317</v>
      </c>
      <c r="W70" s="66">
        <v>0.96409999999999996</v>
      </c>
      <c r="X70" s="66">
        <v>18.317</v>
      </c>
      <c r="Y70" s="66">
        <v>0</v>
      </c>
      <c r="Z70" s="66">
        <v>19.281099999999999</v>
      </c>
      <c r="AA70" s="66">
        <v>18.317</v>
      </c>
      <c r="AB70" s="66">
        <v>0</v>
      </c>
      <c r="AC70" s="66">
        <v>0.96409999999999996</v>
      </c>
      <c r="AD70" s="67">
        <v>100</v>
      </c>
      <c r="AE70" s="67">
        <v>100</v>
      </c>
      <c r="AF70" s="67">
        <v>5.0002333891738537</v>
      </c>
      <c r="AG70" s="187">
        <v>0</v>
      </c>
      <c r="AH70" s="67">
        <v>0</v>
      </c>
      <c r="AI70" s="66">
        <v>0</v>
      </c>
      <c r="AJ70" s="66">
        <v>0</v>
      </c>
      <c r="AK70" s="66">
        <v>0</v>
      </c>
      <c r="AL70" s="66">
        <v>0</v>
      </c>
      <c r="AM70" s="66">
        <v>0</v>
      </c>
      <c r="AN70" s="66">
        <v>0</v>
      </c>
      <c r="AO70" s="66">
        <v>0</v>
      </c>
      <c r="AP70" s="66">
        <v>0</v>
      </c>
      <c r="AQ70" s="66">
        <v>0</v>
      </c>
      <c r="AR70" s="66">
        <v>0</v>
      </c>
      <c r="AS70" s="66">
        <v>0</v>
      </c>
      <c r="AT70" s="67" t="s">
        <v>1230</v>
      </c>
      <c r="AU70" s="67" t="s">
        <v>1230</v>
      </c>
      <c r="AV70" s="67">
        <v>0</v>
      </c>
      <c r="AW70" s="187">
        <v>0</v>
      </c>
      <c r="AX70" s="67">
        <v>0</v>
      </c>
    </row>
    <row r="71" spans="1:50" ht="15.6" x14ac:dyDescent="0.3">
      <c r="A71" s="169">
        <v>59</v>
      </c>
      <c r="B71" s="205" t="s">
        <v>155</v>
      </c>
      <c r="C71" s="66">
        <v>25.923200000000001</v>
      </c>
      <c r="D71" s="66">
        <v>0</v>
      </c>
      <c r="E71" s="66">
        <v>105.87265934</v>
      </c>
      <c r="F71" s="66">
        <v>25.923200000000001</v>
      </c>
      <c r="G71" s="66">
        <v>79.949459340000004</v>
      </c>
      <c r="H71" s="66">
        <v>25.923200000000001</v>
      </c>
      <c r="I71" s="66">
        <v>0</v>
      </c>
      <c r="J71" s="66">
        <v>105.87265934</v>
      </c>
      <c r="K71" s="66">
        <v>25.923200000000001</v>
      </c>
      <c r="L71" s="66">
        <v>0</v>
      </c>
      <c r="M71" s="66">
        <v>79.949459340000004</v>
      </c>
      <c r="N71" s="67">
        <v>100</v>
      </c>
      <c r="O71" s="67">
        <v>100</v>
      </c>
      <c r="P71" s="67">
        <v>75.514736135275399</v>
      </c>
      <c r="Q71" s="66">
        <v>0</v>
      </c>
      <c r="R71" s="67">
        <v>0</v>
      </c>
      <c r="S71" s="66">
        <v>25.923200000000001</v>
      </c>
      <c r="T71" s="66">
        <v>0</v>
      </c>
      <c r="U71" s="66">
        <v>105.87265934</v>
      </c>
      <c r="V71" s="66">
        <v>25.923200000000001</v>
      </c>
      <c r="W71" s="66">
        <v>79.949459340000004</v>
      </c>
      <c r="X71" s="66">
        <v>25.923200000000001</v>
      </c>
      <c r="Y71" s="66">
        <v>0</v>
      </c>
      <c r="Z71" s="66">
        <v>105.87265934</v>
      </c>
      <c r="AA71" s="66">
        <v>25.923200000000001</v>
      </c>
      <c r="AB71" s="66">
        <v>0</v>
      </c>
      <c r="AC71" s="66">
        <v>79.949459340000004</v>
      </c>
      <c r="AD71" s="67">
        <v>100</v>
      </c>
      <c r="AE71" s="67">
        <v>100</v>
      </c>
      <c r="AF71" s="67">
        <v>75.514736135275399</v>
      </c>
      <c r="AG71" s="187">
        <v>0</v>
      </c>
      <c r="AH71" s="67">
        <v>0</v>
      </c>
      <c r="AI71" s="66">
        <v>0</v>
      </c>
      <c r="AJ71" s="66">
        <v>0</v>
      </c>
      <c r="AK71" s="66">
        <v>0</v>
      </c>
      <c r="AL71" s="66">
        <v>0</v>
      </c>
      <c r="AM71" s="66">
        <v>0</v>
      </c>
      <c r="AN71" s="66">
        <v>0</v>
      </c>
      <c r="AO71" s="66">
        <v>0</v>
      </c>
      <c r="AP71" s="66">
        <v>0</v>
      </c>
      <c r="AQ71" s="66">
        <v>0</v>
      </c>
      <c r="AR71" s="66">
        <v>0</v>
      </c>
      <c r="AS71" s="66">
        <v>0</v>
      </c>
      <c r="AT71" s="67" t="s">
        <v>1230</v>
      </c>
      <c r="AU71" s="67" t="s">
        <v>1230</v>
      </c>
      <c r="AV71" s="67">
        <v>0</v>
      </c>
      <c r="AW71" s="187">
        <v>0</v>
      </c>
      <c r="AX71" s="67">
        <v>0</v>
      </c>
    </row>
    <row r="72" spans="1:50" ht="15.6" x14ac:dyDescent="0.3">
      <c r="A72" s="169">
        <v>60</v>
      </c>
      <c r="B72" s="205" t="s">
        <v>158</v>
      </c>
      <c r="C72" s="66">
        <v>275.0197</v>
      </c>
      <c r="D72" s="66">
        <v>0</v>
      </c>
      <c r="E72" s="66">
        <v>290.24739999999997</v>
      </c>
      <c r="F72" s="66">
        <v>275.0197</v>
      </c>
      <c r="G72" s="66">
        <v>15.227699999999999</v>
      </c>
      <c r="H72" s="66">
        <v>274.02541948999999</v>
      </c>
      <c r="I72" s="66">
        <v>0</v>
      </c>
      <c r="J72" s="66">
        <v>288.92169264999995</v>
      </c>
      <c r="K72" s="66">
        <v>274.02541948999999</v>
      </c>
      <c r="L72" s="66">
        <v>0</v>
      </c>
      <c r="M72" s="66">
        <v>14.89627316</v>
      </c>
      <c r="N72" s="67">
        <v>99.638469349650222</v>
      </c>
      <c r="O72" s="67">
        <v>97.823526599552139</v>
      </c>
      <c r="P72" s="67">
        <v>5.1558167970604272</v>
      </c>
      <c r="Q72" s="66">
        <v>0</v>
      </c>
      <c r="R72" s="67">
        <v>0</v>
      </c>
      <c r="S72" s="66">
        <v>12.9207</v>
      </c>
      <c r="T72" s="66">
        <v>0</v>
      </c>
      <c r="U72" s="66">
        <v>17.227599999999999</v>
      </c>
      <c r="V72" s="66">
        <v>12.9207</v>
      </c>
      <c r="W72" s="66">
        <v>4.3068999999999997</v>
      </c>
      <c r="X72" s="66">
        <v>11.926419490000001</v>
      </c>
      <c r="Y72" s="66">
        <v>0</v>
      </c>
      <c r="Z72" s="66">
        <v>15.901892650000001</v>
      </c>
      <c r="AA72" s="66">
        <v>11.926419490000001</v>
      </c>
      <c r="AB72" s="66">
        <v>0</v>
      </c>
      <c r="AC72" s="66">
        <v>3.97547316</v>
      </c>
      <c r="AD72" s="67">
        <v>92.304747343410185</v>
      </c>
      <c r="AE72" s="67">
        <v>92.304747266015013</v>
      </c>
      <c r="AF72" s="67">
        <v>24.999999984278602</v>
      </c>
      <c r="AG72" s="187">
        <v>0</v>
      </c>
      <c r="AH72" s="67">
        <v>0</v>
      </c>
      <c r="AI72" s="66">
        <v>262.09899999999999</v>
      </c>
      <c r="AJ72" s="66">
        <v>0</v>
      </c>
      <c r="AK72" s="66">
        <v>273.01979999999998</v>
      </c>
      <c r="AL72" s="66">
        <v>262.09899999999999</v>
      </c>
      <c r="AM72" s="66">
        <v>10.9208</v>
      </c>
      <c r="AN72" s="66">
        <v>262.09899999999999</v>
      </c>
      <c r="AO72" s="66">
        <v>0</v>
      </c>
      <c r="AP72" s="66">
        <v>273.01979999999998</v>
      </c>
      <c r="AQ72" s="66">
        <v>262.09899999999999</v>
      </c>
      <c r="AR72" s="66">
        <v>0</v>
      </c>
      <c r="AS72" s="66">
        <v>10.9208</v>
      </c>
      <c r="AT72" s="67">
        <v>100</v>
      </c>
      <c r="AU72" s="67">
        <v>100</v>
      </c>
      <c r="AV72" s="67">
        <v>4.0000029301904112</v>
      </c>
      <c r="AW72" s="187">
        <v>0</v>
      </c>
      <c r="AX72" s="67">
        <v>0</v>
      </c>
    </row>
    <row r="73" spans="1:50" ht="15.6" x14ac:dyDescent="0.3">
      <c r="A73" s="169">
        <v>61</v>
      </c>
      <c r="B73" s="205" t="s">
        <v>161</v>
      </c>
      <c r="C73" s="66">
        <v>0</v>
      </c>
      <c r="D73" s="66">
        <v>0</v>
      </c>
      <c r="E73" s="66">
        <v>0</v>
      </c>
      <c r="F73" s="66">
        <v>0</v>
      </c>
      <c r="G73" s="66">
        <v>0</v>
      </c>
      <c r="H73" s="66">
        <v>0</v>
      </c>
      <c r="I73" s="66">
        <v>0</v>
      </c>
      <c r="J73" s="66">
        <v>0</v>
      </c>
      <c r="K73" s="66">
        <v>0</v>
      </c>
      <c r="L73" s="66">
        <v>0</v>
      </c>
      <c r="M73" s="66">
        <v>0</v>
      </c>
      <c r="N73" s="67" t="s">
        <v>1230</v>
      </c>
      <c r="O73" s="67" t="s">
        <v>1230</v>
      </c>
      <c r="P73" s="67">
        <v>0</v>
      </c>
      <c r="Q73" s="66">
        <v>0</v>
      </c>
      <c r="R73" s="67">
        <v>0</v>
      </c>
      <c r="S73" s="66">
        <v>0</v>
      </c>
      <c r="T73" s="66">
        <v>0</v>
      </c>
      <c r="U73" s="66">
        <v>0</v>
      </c>
      <c r="V73" s="66">
        <v>0</v>
      </c>
      <c r="W73" s="66">
        <v>0</v>
      </c>
      <c r="X73" s="66">
        <v>0</v>
      </c>
      <c r="Y73" s="66">
        <v>0</v>
      </c>
      <c r="Z73" s="66">
        <v>0</v>
      </c>
      <c r="AA73" s="66">
        <v>0</v>
      </c>
      <c r="AB73" s="66">
        <v>0</v>
      </c>
      <c r="AC73" s="66">
        <v>0</v>
      </c>
      <c r="AD73" s="67" t="s">
        <v>1230</v>
      </c>
      <c r="AE73" s="67" t="s">
        <v>1230</v>
      </c>
      <c r="AF73" s="67">
        <v>0</v>
      </c>
      <c r="AG73" s="187">
        <v>0</v>
      </c>
      <c r="AH73" s="67">
        <v>0</v>
      </c>
      <c r="AI73" s="66">
        <v>0</v>
      </c>
      <c r="AJ73" s="66">
        <v>0</v>
      </c>
      <c r="AK73" s="66">
        <v>0</v>
      </c>
      <c r="AL73" s="66">
        <v>0</v>
      </c>
      <c r="AM73" s="66">
        <v>0</v>
      </c>
      <c r="AN73" s="66">
        <v>0</v>
      </c>
      <c r="AO73" s="66">
        <v>0</v>
      </c>
      <c r="AP73" s="66">
        <v>0</v>
      </c>
      <c r="AQ73" s="66">
        <v>0</v>
      </c>
      <c r="AR73" s="66">
        <v>0</v>
      </c>
      <c r="AS73" s="66">
        <v>0</v>
      </c>
      <c r="AT73" s="67" t="s">
        <v>1230</v>
      </c>
      <c r="AU73" s="67" t="s">
        <v>1230</v>
      </c>
      <c r="AV73" s="67">
        <v>0</v>
      </c>
      <c r="AW73" s="187">
        <v>0</v>
      </c>
      <c r="AX73" s="67">
        <v>0</v>
      </c>
    </row>
    <row r="74" spans="1:50" ht="15.6" x14ac:dyDescent="0.3">
      <c r="A74" s="169">
        <v>62</v>
      </c>
      <c r="B74" s="205" t="s">
        <v>164</v>
      </c>
      <c r="C74" s="66">
        <v>192.23169999999999</v>
      </c>
      <c r="D74" s="66">
        <v>0</v>
      </c>
      <c r="E74" s="66">
        <v>252.053608</v>
      </c>
      <c r="F74" s="66">
        <v>192.23169999999999</v>
      </c>
      <c r="G74" s="66">
        <v>59.821908000000001</v>
      </c>
      <c r="H74" s="66">
        <v>118.10833449</v>
      </c>
      <c r="I74" s="66">
        <v>0</v>
      </c>
      <c r="J74" s="66">
        <v>149.86100396000001</v>
      </c>
      <c r="K74" s="66">
        <v>117.26383369000001</v>
      </c>
      <c r="L74" s="66">
        <v>0</v>
      </c>
      <c r="M74" s="66">
        <v>32.597170269999999</v>
      </c>
      <c r="N74" s="67">
        <v>61.001298792030667</v>
      </c>
      <c r="O74" s="67">
        <v>54.490355389533882</v>
      </c>
      <c r="P74" s="67">
        <v>21.751602757646438</v>
      </c>
      <c r="Q74" s="66">
        <v>0</v>
      </c>
      <c r="R74" s="67">
        <v>0.84450079999999161</v>
      </c>
      <c r="S74" s="66">
        <v>75.939700000000002</v>
      </c>
      <c r="T74" s="66">
        <v>0</v>
      </c>
      <c r="U74" s="66">
        <v>116.830308</v>
      </c>
      <c r="V74" s="66">
        <v>75.939700000000002</v>
      </c>
      <c r="W74" s="66">
        <v>40.890608</v>
      </c>
      <c r="X74" s="66">
        <v>36.800653070000003</v>
      </c>
      <c r="Y74" s="66">
        <v>0</v>
      </c>
      <c r="Z74" s="66">
        <v>55.317157460000004</v>
      </c>
      <c r="AA74" s="66">
        <v>35.956152270000004</v>
      </c>
      <c r="AB74" s="66">
        <v>0</v>
      </c>
      <c r="AC74" s="66">
        <v>19.36100519</v>
      </c>
      <c r="AD74" s="67">
        <v>47.348293804163042</v>
      </c>
      <c r="AE74" s="67">
        <v>47.34829374510646</v>
      </c>
      <c r="AF74" s="67">
        <v>35.00000014281283</v>
      </c>
      <c r="AG74" s="187">
        <v>0</v>
      </c>
      <c r="AH74" s="67">
        <v>0.84450079999999872</v>
      </c>
      <c r="AI74" s="66">
        <v>116.292</v>
      </c>
      <c r="AJ74" s="66">
        <v>0</v>
      </c>
      <c r="AK74" s="66">
        <v>135.22329999999999</v>
      </c>
      <c r="AL74" s="66">
        <v>116.292</v>
      </c>
      <c r="AM74" s="66">
        <v>18.9313</v>
      </c>
      <c r="AN74" s="66">
        <v>81.307681420000009</v>
      </c>
      <c r="AO74" s="66">
        <v>0</v>
      </c>
      <c r="AP74" s="66">
        <v>94.543846500000001</v>
      </c>
      <c r="AQ74" s="66">
        <v>81.307681420000009</v>
      </c>
      <c r="AR74" s="66">
        <v>0</v>
      </c>
      <c r="AS74" s="66">
        <v>13.236165079999999</v>
      </c>
      <c r="AT74" s="67">
        <v>69.916831269562834</v>
      </c>
      <c r="AU74" s="67">
        <v>69.916831279415575</v>
      </c>
      <c r="AV74" s="67">
        <v>14.000028103362602</v>
      </c>
      <c r="AW74" s="187">
        <v>0</v>
      </c>
      <c r="AX74" s="67">
        <v>0</v>
      </c>
    </row>
    <row r="75" spans="1:50" ht="15.6" x14ac:dyDescent="0.3">
      <c r="A75" s="169">
        <v>63</v>
      </c>
      <c r="B75" s="205" t="s">
        <v>167</v>
      </c>
      <c r="C75" s="66">
        <v>558.53649999999993</v>
      </c>
      <c r="D75" s="66">
        <v>0</v>
      </c>
      <c r="E75" s="66">
        <v>627.56911348999995</v>
      </c>
      <c r="F75" s="66">
        <v>558.53649999999993</v>
      </c>
      <c r="G75" s="66">
        <v>69.032613490000003</v>
      </c>
      <c r="H75" s="66">
        <v>558.53649999999993</v>
      </c>
      <c r="I75" s="66">
        <v>0</v>
      </c>
      <c r="J75" s="66">
        <v>627.56911348999995</v>
      </c>
      <c r="K75" s="66">
        <v>558.53649999999993</v>
      </c>
      <c r="L75" s="66">
        <v>0</v>
      </c>
      <c r="M75" s="66">
        <v>69.032613490000003</v>
      </c>
      <c r="N75" s="67">
        <v>100</v>
      </c>
      <c r="O75" s="67">
        <v>100</v>
      </c>
      <c r="P75" s="67">
        <v>11.000001753766998</v>
      </c>
      <c r="Q75" s="66">
        <v>0</v>
      </c>
      <c r="R75" s="67">
        <v>0</v>
      </c>
      <c r="S75" s="66">
        <v>380.68849999999998</v>
      </c>
      <c r="T75" s="66">
        <v>0</v>
      </c>
      <c r="U75" s="66">
        <v>427.73989999999998</v>
      </c>
      <c r="V75" s="66">
        <v>380.68849999999998</v>
      </c>
      <c r="W75" s="66">
        <v>47.051400000000001</v>
      </c>
      <c r="X75" s="66">
        <v>380.68849999999998</v>
      </c>
      <c r="Y75" s="66">
        <v>0</v>
      </c>
      <c r="Z75" s="66">
        <v>427.73989999999998</v>
      </c>
      <c r="AA75" s="66">
        <v>380.68849999999998</v>
      </c>
      <c r="AB75" s="66">
        <v>0</v>
      </c>
      <c r="AC75" s="66">
        <v>47.051400000000001</v>
      </c>
      <c r="AD75" s="67">
        <v>100</v>
      </c>
      <c r="AE75" s="67">
        <v>100</v>
      </c>
      <c r="AF75" s="67">
        <v>11.000002571656282</v>
      </c>
      <c r="AG75" s="187">
        <v>0</v>
      </c>
      <c r="AH75" s="67">
        <v>0</v>
      </c>
      <c r="AI75" s="66">
        <v>177.84800000000001</v>
      </c>
      <c r="AJ75" s="66">
        <v>0</v>
      </c>
      <c r="AK75" s="66">
        <v>199.82921349</v>
      </c>
      <c r="AL75" s="66">
        <v>177.84800000000001</v>
      </c>
      <c r="AM75" s="66">
        <v>21.981213489999998</v>
      </c>
      <c r="AN75" s="66">
        <v>177.84800000000001</v>
      </c>
      <c r="AO75" s="66">
        <v>0</v>
      </c>
      <c r="AP75" s="66">
        <v>199.82921349</v>
      </c>
      <c r="AQ75" s="66">
        <v>177.84800000000001</v>
      </c>
      <c r="AR75" s="66">
        <v>0</v>
      </c>
      <c r="AS75" s="66">
        <v>21.981213489999998</v>
      </c>
      <c r="AT75" s="67">
        <v>100</v>
      </c>
      <c r="AU75" s="67">
        <v>100</v>
      </c>
      <c r="AV75" s="67">
        <v>11.000000003052605</v>
      </c>
      <c r="AW75" s="187">
        <v>0</v>
      </c>
      <c r="AX75" s="67">
        <v>0</v>
      </c>
    </row>
    <row r="76" spans="1:50" ht="15.6" x14ac:dyDescent="0.3">
      <c r="A76" s="215">
        <v>64</v>
      </c>
      <c r="B76" s="205" t="s">
        <v>170</v>
      </c>
      <c r="C76" s="66">
        <v>17.222999999999999</v>
      </c>
      <c r="D76" s="66">
        <v>0</v>
      </c>
      <c r="E76" s="66">
        <v>21.003699999999998</v>
      </c>
      <c r="F76" s="66">
        <v>17.222999999999999</v>
      </c>
      <c r="G76" s="66">
        <v>3.7806999999999999</v>
      </c>
      <c r="H76" s="66">
        <v>16.060652279999999</v>
      </c>
      <c r="I76" s="66">
        <v>0</v>
      </c>
      <c r="J76" s="66">
        <v>19.586200000000002</v>
      </c>
      <c r="K76" s="66">
        <v>16.060652279999999</v>
      </c>
      <c r="L76" s="66">
        <v>0</v>
      </c>
      <c r="M76" s="66">
        <v>3.5255477200000001</v>
      </c>
      <c r="N76" s="67">
        <v>93.2511889914649</v>
      </c>
      <c r="O76" s="67">
        <v>93.251189462268897</v>
      </c>
      <c r="P76" s="67">
        <v>18.00016195076125</v>
      </c>
      <c r="Q76" s="66">
        <v>0</v>
      </c>
      <c r="R76" s="67">
        <v>0</v>
      </c>
      <c r="S76" s="66">
        <v>17.222999999999999</v>
      </c>
      <c r="T76" s="66">
        <v>0</v>
      </c>
      <c r="U76" s="66">
        <v>21.003699999999998</v>
      </c>
      <c r="V76" s="66">
        <v>17.222999999999999</v>
      </c>
      <c r="W76" s="66">
        <v>3.7806999999999999</v>
      </c>
      <c r="X76" s="66">
        <v>16.060652279999999</v>
      </c>
      <c r="Y76" s="66">
        <v>0</v>
      </c>
      <c r="Z76" s="66">
        <v>19.586200000000002</v>
      </c>
      <c r="AA76" s="66">
        <v>16.060652279999999</v>
      </c>
      <c r="AB76" s="66">
        <v>0</v>
      </c>
      <c r="AC76" s="66">
        <v>3.5255477200000001</v>
      </c>
      <c r="AD76" s="67">
        <v>93.2511889914649</v>
      </c>
      <c r="AE76" s="67">
        <v>93.251189462268897</v>
      </c>
      <c r="AF76" s="67">
        <v>18.00016195076125</v>
      </c>
      <c r="AG76" s="187">
        <v>0</v>
      </c>
      <c r="AH76" s="67">
        <v>0</v>
      </c>
      <c r="AI76" s="66">
        <v>0</v>
      </c>
      <c r="AJ76" s="66">
        <v>0</v>
      </c>
      <c r="AK76" s="66">
        <v>0</v>
      </c>
      <c r="AL76" s="66">
        <v>0</v>
      </c>
      <c r="AM76" s="66">
        <v>0</v>
      </c>
      <c r="AN76" s="66">
        <v>0</v>
      </c>
      <c r="AO76" s="66">
        <v>0</v>
      </c>
      <c r="AP76" s="66">
        <v>0</v>
      </c>
      <c r="AQ76" s="66">
        <v>0</v>
      </c>
      <c r="AR76" s="66">
        <v>0</v>
      </c>
      <c r="AS76" s="66">
        <v>0</v>
      </c>
      <c r="AT76" s="67" t="s">
        <v>1230</v>
      </c>
      <c r="AU76" s="67" t="s">
        <v>1230</v>
      </c>
      <c r="AV76" s="67">
        <v>0</v>
      </c>
      <c r="AW76" s="187">
        <v>0</v>
      </c>
      <c r="AX76" s="67">
        <v>0</v>
      </c>
    </row>
    <row r="77" spans="1:50" ht="15.6" x14ac:dyDescent="0.3">
      <c r="A77" s="202">
        <v>65</v>
      </c>
      <c r="B77" s="203" t="s">
        <v>173</v>
      </c>
      <c r="C77" s="61">
        <v>115.64820000000002</v>
      </c>
      <c r="D77" s="61">
        <v>0</v>
      </c>
      <c r="E77" s="61">
        <v>138.37248942000002</v>
      </c>
      <c r="F77" s="61">
        <v>115.64820000000002</v>
      </c>
      <c r="G77" s="61">
        <v>22.724289419999998</v>
      </c>
      <c r="H77" s="61">
        <v>109.94213628</v>
      </c>
      <c r="I77" s="61">
        <v>0.73837260999999998</v>
      </c>
      <c r="J77" s="61">
        <v>123.87132678</v>
      </c>
      <c r="K77" s="61">
        <v>109.94213628</v>
      </c>
      <c r="L77" s="61">
        <v>0</v>
      </c>
      <c r="M77" s="61">
        <v>13.929190500000001</v>
      </c>
      <c r="N77" s="61">
        <v>95.06601596912013</v>
      </c>
      <c r="O77" s="61">
        <v>61.296484314887778</v>
      </c>
      <c r="P77" s="61">
        <v>11.24488682093375</v>
      </c>
      <c r="Q77" s="61">
        <v>0.73837260999999998</v>
      </c>
      <c r="R77" s="61">
        <v>7.7715611723760958E-16</v>
      </c>
      <c r="S77" s="61">
        <v>115.64820000000002</v>
      </c>
      <c r="T77" s="61">
        <v>0</v>
      </c>
      <c r="U77" s="61">
        <v>138.37248942000002</v>
      </c>
      <c r="V77" s="61">
        <v>115.64820000000002</v>
      </c>
      <c r="W77" s="61">
        <v>22.724289419999998</v>
      </c>
      <c r="X77" s="61">
        <v>109.94213628</v>
      </c>
      <c r="Y77" s="61">
        <v>0.73837260999999998</v>
      </c>
      <c r="Z77" s="61">
        <v>123.87132678</v>
      </c>
      <c r="AA77" s="61">
        <v>109.94213628</v>
      </c>
      <c r="AB77" s="61">
        <v>0</v>
      </c>
      <c r="AC77" s="61">
        <v>13.929190500000001</v>
      </c>
      <c r="AD77" s="61">
        <v>95.06601596912013</v>
      </c>
      <c r="AE77" s="61">
        <v>61.296484314887778</v>
      </c>
      <c r="AF77" s="61">
        <v>11.24488682093375</v>
      </c>
      <c r="AG77" s="61">
        <v>0.73837260999999998</v>
      </c>
      <c r="AH77" s="61">
        <v>7.7715611723760958E-16</v>
      </c>
      <c r="AI77" s="61">
        <v>0</v>
      </c>
      <c r="AJ77" s="61">
        <v>0</v>
      </c>
      <c r="AK77" s="61">
        <v>0</v>
      </c>
      <c r="AL77" s="61">
        <v>0</v>
      </c>
      <c r="AM77" s="61">
        <v>0</v>
      </c>
      <c r="AN77" s="61">
        <v>0</v>
      </c>
      <c r="AO77" s="61">
        <v>0</v>
      </c>
      <c r="AP77" s="61">
        <v>0</v>
      </c>
      <c r="AQ77" s="61">
        <v>0</v>
      </c>
      <c r="AR77" s="61">
        <v>0</v>
      </c>
      <c r="AS77" s="61">
        <v>0</v>
      </c>
      <c r="AT77" s="61" t="s">
        <v>1230</v>
      </c>
      <c r="AU77" s="61" t="s">
        <v>1230</v>
      </c>
      <c r="AV77" s="61">
        <v>0</v>
      </c>
      <c r="AW77" s="61">
        <v>0</v>
      </c>
      <c r="AX77" s="61">
        <v>0</v>
      </c>
    </row>
    <row r="78" spans="1:50" ht="15.6" x14ac:dyDescent="0.3">
      <c r="A78" s="169">
        <v>66</v>
      </c>
      <c r="B78" s="205" t="s">
        <v>176</v>
      </c>
      <c r="C78" s="66">
        <v>96.392300000000006</v>
      </c>
      <c r="D78" s="66">
        <v>0</v>
      </c>
      <c r="E78" s="66">
        <v>103.64763442</v>
      </c>
      <c r="F78" s="66">
        <v>96.392300000000006</v>
      </c>
      <c r="G78" s="66">
        <v>7.2553344199999996</v>
      </c>
      <c r="H78" s="66">
        <v>96.392300000000006</v>
      </c>
      <c r="I78" s="66">
        <v>0</v>
      </c>
      <c r="J78" s="66">
        <v>103.64763442</v>
      </c>
      <c r="K78" s="66">
        <v>96.392300000000006</v>
      </c>
      <c r="L78" s="66">
        <v>0</v>
      </c>
      <c r="M78" s="66">
        <v>7.2553344199999996</v>
      </c>
      <c r="N78" s="67">
        <v>100</v>
      </c>
      <c r="O78" s="67">
        <v>100</v>
      </c>
      <c r="P78" s="67">
        <v>7.0000000102269571</v>
      </c>
      <c r="Q78" s="66">
        <v>0</v>
      </c>
      <c r="R78" s="67">
        <v>0</v>
      </c>
      <c r="S78" s="66">
        <v>96.392300000000006</v>
      </c>
      <c r="T78" s="66">
        <v>0</v>
      </c>
      <c r="U78" s="66">
        <v>103.64763442</v>
      </c>
      <c r="V78" s="66">
        <v>96.392300000000006</v>
      </c>
      <c r="W78" s="66">
        <v>7.2553344199999996</v>
      </c>
      <c r="X78" s="66">
        <v>96.392300000000006</v>
      </c>
      <c r="Y78" s="66">
        <v>0</v>
      </c>
      <c r="Z78" s="66">
        <v>103.64763442</v>
      </c>
      <c r="AA78" s="66">
        <v>96.392300000000006</v>
      </c>
      <c r="AB78" s="66">
        <v>0</v>
      </c>
      <c r="AC78" s="66">
        <v>7.2553344199999996</v>
      </c>
      <c r="AD78" s="67">
        <v>100</v>
      </c>
      <c r="AE78" s="67">
        <v>100</v>
      </c>
      <c r="AF78" s="67">
        <v>7.0000000102269571</v>
      </c>
      <c r="AG78" s="187">
        <v>0</v>
      </c>
      <c r="AH78" s="67">
        <v>0</v>
      </c>
      <c r="AI78" s="66">
        <v>0</v>
      </c>
      <c r="AJ78" s="66">
        <v>0</v>
      </c>
      <c r="AK78" s="66">
        <v>0</v>
      </c>
      <c r="AL78" s="66">
        <v>0</v>
      </c>
      <c r="AM78" s="66">
        <v>0</v>
      </c>
      <c r="AN78" s="66">
        <v>0</v>
      </c>
      <c r="AO78" s="66">
        <v>0</v>
      </c>
      <c r="AP78" s="66">
        <v>0</v>
      </c>
      <c r="AQ78" s="66">
        <v>0</v>
      </c>
      <c r="AR78" s="66">
        <v>0</v>
      </c>
      <c r="AS78" s="66">
        <v>0</v>
      </c>
      <c r="AT78" s="67" t="s">
        <v>1230</v>
      </c>
      <c r="AU78" s="67" t="s">
        <v>1230</v>
      </c>
      <c r="AV78" s="67">
        <v>0</v>
      </c>
      <c r="AW78" s="187">
        <v>0</v>
      </c>
      <c r="AX78" s="67">
        <v>0</v>
      </c>
    </row>
    <row r="79" spans="1:50" ht="15.6" x14ac:dyDescent="0.3">
      <c r="A79" s="169">
        <v>67</v>
      </c>
      <c r="B79" s="205" t="s">
        <v>179</v>
      </c>
      <c r="C79" s="66">
        <v>17.2956</v>
      </c>
      <c r="D79" s="66">
        <v>0</v>
      </c>
      <c r="E79" s="66">
        <v>25.814399999999999</v>
      </c>
      <c r="F79" s="66">
        <v>17.2956</v>
      </c>
      <c r="G79" s="66">
        <v>8.5188000000000006</v>
      </c>
      <c r="H79" s="66">
        <v>13.549836279999999</v>
      </c>
      <c r="I79" s="66">
        <v>0.73837260999999998</v>
      </c>
      <c r="J79" s="66">
        <v>20.223692360000001</v>
      </c>
      <c r="K79" s="66">
        <v>13.549836279999999</v>
      </c>
      <c r="L79" s="66">
        <v>0</v>
      </c>
      <c r="M79" s="66">
        <v>6.6738560800000002</v>
      </c>
      <c r="N79" s="67">
        <v>78.342678369064956</v>
      </c>
      <c r="O79" s="67">
        <v>78.34267831149927</v>
      </c>
      <c r="P79" s="67">
        <v>33.000185926483304</v>
      </c>
      <c r="Q79" s="66">
        <v>0.73837260999999998</v>
      </c>
      <c r="R79" s="67">
        <v>7.7715611723760958E-16</v>
      </c>
      <c r="S79" s="66">
        <v>17.2956</v>
      </c>
      <c r="T79" s="66">
        <v>0</v>
      </c>
      <c r="U79" s="66">
        <v>25.814399999999999</v>
      </c>
      <c r="V79" s="66">
        <v>17.2956</v>
      </c>
      <c r="W79" s="66">
        <v>8.5188000000000006</v>
      </c>
      <c r="X79" s="66">
        <v>13.549836279999999</v>
      </c>
      <c r="Y79" s="66">
        <v>0.73837260999999998</v>
      </c>
      <c r="Z79" s="66">
        <v>20.223692360000001</v>
      </c>
      <c r="AA79" s="66">
        <v>13.549836279999999</v>
      </c>
      <c r="AB79" s="66">
        <v>0</v>
      </c>
      <c r="AC79" s="66">
        <v>6.6738560800000002</v>
      </c>
      <c r="AD79" s="67">
        <v>78.342678369064956</v>
      </c>
      <c r="AE79" s="67">
        <v>78.34267831149927</v>
      </c>
      <c r="AF79" s="67">
        <v>33.000185926483304</v>
      </c>
      <c r="AG79" s="187">
        <v>0.73837260999999998</v>
      </c>
      <c r="AH79" s="67">
        <v>7.7715611723760958E-16</v>
      </c>
      <c r="AI79" s="66">
        <v>0</v>
      </c>
      <c r="AJ79" s="66">
        <v>0</v>
      </c>
      <c r="AK79" s="66">
        <v>0</v>
      </c>
      <c r="AL79" s="66">
        <v>0</v>
      </c>
      <c r="AM79" s="66">
        <v>0</v>
      </c>
      <c r="AN79" s="66">
        <v>0</v>
      </c>
      <c r="AO79" s="66">
        <v>0</v>
      </c>
      <c r="AP79" s="66">
        <v>0</v>
      </c>
      <c r="AQ79" s="66">
        <v>0</v>
      </c>
      <c r="AR79" s="66">
        <v>0</v>
      </c>
      <c r="AS79" s="66">
        <v>0</v>
      </c>
      <c r="AT79" s="67" t="s">
        <v>1230</v>
      </c>
      <c r="AU79" s="67" t="s">
        <v>1230</v>
      </c>
      <c r="AV79" s="67">
        <v>0</v>
      </c>
      <c r="AW79" s="187">
        <v>0</v>
      </c>
      <c r="AX79" s="67">
        <v>0</v>
      </c>
    </row>
    <row r="80" spans="1:50" ht="15.6" x14ac:dyDescent="0.3">
      <c r="A80" s="169">
        <v>68</v>
      </c>
      <c r="B80" s="205" t="s">
        <v>182</v>
      </c>
      <c r="C80" s="66">
        <v>1.9602999999999999</v>
      </c>
      <c r="D80" s="66">
        <v>0</v>
      </c>
      <c r="E80" s="66">
        <v>8.9104550000000007</v>
      </c>
      <c r="F80" s="66">
        <v>1.9602999999999999</v>
      </c>
      <c r="G80" s="66">
        <v>6.9501549999999996</v>
      </c>
      <c r="H80" s="66">
        <v>0</v>
      </c>
      <c r="I80" s="66">
        <v>0</v>
      </c>
      <c r="J80" s="66">
        <v>0</v>
      </c>
      <c r="K80" s="66">
        <v>0</v>
      </c>
      <c r="L80" s="66">
        <v>0</v>
      </c>
      <c r="M80" s="66">
        <v>0</v>
      </c>
      <c r="N80" s="67">
        <v>0</v>
      </c>
      <c r="O80" s="67">
        <v>0</v>
      </c>
      <c r="P80" s="67">
        <v>0</v>
      </c>
      <c r="Q80" s="66">
        <v>0</v>
      </c>
      <c r="R80" s="67">
        <v>0</v>
      </c>
      <c r="S80" s="66">
        <v>1.9602999999999999</v>
      </c>
      <c r="T80" s="66">
        <v>0</v>
      </c>
      <c r="U80" s="66">
        <v>8.9104550000000007</v>
      </c>
      <c r="V80" s="66">
        <v>1.9602999999999999</v>
      </c>
      <c r="W80" s="66">
        <v>6.9501549999999996</v>
      </c>
      <c r="X80" s="66">
        <v>0</v>
      </c>
      <c r="Y80" s="66">
        <v>0</v>
      </c>
      <c r="Z80" s="66">
        <v>0</v>
      </c>
      <c r="AA80" s="66">
        <v>0</v>
      </c>
      <c r="AB80" s="66">
        <v>0</v>
      </c>
      <c r="AC80" s="66">
        <v>0</v>
      </c>
      <c r="AD80" s="67">
        <v>0</v>
      </c>
      <c r="AE80" s="67">
        <v>0</v>
      </c>
      <c r="AF80" s="67">
        <v>0</v>
      </c>
      <c r="AG80" s="187">
        <v>0</v>
      </c>
      <c r="AH80" s="67">
        <v>0</v>
      </c>
      <c r="AI80" s="66">
        <v>0</v>
      </c>
      <c r="AJ80" s="66">
        <v>0</v>
      </c>
      <c r="AK80" s="66">
        <v>0</v>
      </c>
      <c r="AL80" s="66">
        <v>0</v>
      </c>
      <c r="AM80" s="66">
        <v>0</v>
      </c>
      <c r="AN80" s="66">
        <v>0</v>
      </c>
      <c r="AO80" s="66">
        <v>0</v>
      </c>
      <c r="AP80" s="66">
        <v>0</v>
      </c>
      <c r="AQ80" s="66">
        <v>0</v>
      </c>
      <c r="AR80" s="66">
        <v>0</v>
      </c>
      <c r="AS80" s="66">
        <v>0</v>
      </c>
      <c r="AT80" s="67" t="s">
        <v>1230</v>
      </c>
      <c r="AU80" s="67" t="s">
        <v>1230</v>
      </c>
      <c r="AV80" s="67">
        <v>0</v>
      </c>
      <c r="AW80" s="187">
        <v>0</v>
      </c>
      <c r="AX80" s="67">
        <v>0</v>
      </c>
    </row>
    <row r="81" spans="1:50" ht="31.2" x14ac:dyDescent="0.3">
      <c r="A81" s="169">
        <v>69</v>
      </c>
      <c r="B81" s="213" t="s">
        <v>300</v>
      </c>
      <c r="C81" s="66">
        <v>0</v>
      </c>
      <c r="D81" s="66">
        <v>0</v>
      </c>
      <c r="E81" s="66">
        <v>0</v>
      </c>
      <c r="F81" s="66">
        <v>0</v>
      </c>
      <c r="G81" s="66">
        <v>0</v>
      </c>
      <c r="H81" s="66">
        <v>0</v>
      </c>
      <c r="I81" s="66">
        <v>0</v>
      </c>
      <c r="J81" s="66">
        <v>0</v>
      </c>
      <c r="K81" s="66">
        <v>0</v>
      </c>
      <c r="L81" s="66">
        <v>0</v>
      </c>
      <c r="M81" s="66">
        <v>0</v>
      </c>
      <c r="N81" s="67" t="s">
        <v>1230</v>
      </c>
      <c r="O81" s="67" t="s">
        <v>1230</v>
      </c>
      <c r="P81" s="67">
        <v>0</v>
      </c>
      <c r="Q81" s="66">
        <v>0</v>
      </c>
      <c r="R81" s="67">
        <v>0</v>
      </c>
      <c r="S81" s="66">
        <v>0</v>
      </c>
      <c r="T81" s="66">
        <v>0</v>
      </c>
      <c r="U81" s="66">
        <v>0</v>
      </c>
      <c r="V81" s="66">
        <v>0</v>
      </c>
      <c r="W81" s="66">
        <v>0</v>
      </c>
      <c r="X81" s="66">
        <v>0</v>
      </c>
      <c r="Y81" s="66">
        <v>0</v>
      </c>
      <c r="Z81" s="66">
        <v>0</v>
      </c>
      <c r="AA81" s="66">
        <v>0</v>
      </c>
      <c r="AB81" s="66">
        <v>0</v>
      </c>
      <c r="AC81" s="66">
        <v>0</v>
      </c>
      <c r="AD81" s="67" t="s">
        <v>1230</v>
      </c>
      <c r="AE81" s="67" t="s">
        <v>1230</v>
      </c>
      <c r="AF81" s="67">
        <v>0</v>
      </c>
      <c r="AG81" s="187">
        <v>0</v>
      </c>
      <c r="AH81" s="67">
        <v>0</v>
      </c>
      <c r="AI81" s="66">
        <v>0</v>
      </c>
      <c r="AJ81" s="66">
        <v>0</v>
      </c>
      <c r="AK81" s="66">
        <v>0</v>
      </c>
      <c r="AL81" s="66">
        <v>0</v>
      </c>
      <c r="AM81" s="66">
        <v>0</v>
      </c>
      <c r="AN81" s="66">
        <v>0</v>
      </c>
      <c r="AO81" s="66">
        <v>0</v>
      </c>
      <c r="AP81" s="66">
        <v>0</v>
      </c>
      <c r="AQ81" s="66">
        <v>0</v>
      </c>
      <c r="AR81" s="66">
        <v>0</v>
      </c>
      <c r="AS81" s="66">
        <v>0</v>
      </c>
      <c r="AT81" s="67" t="s">
        <v>1230</v>
      </c>
      <c r="AU81" s="67" t="s">
        <v>1230</v>
      </c>
      <c r="AV81" s="67">
        <v>0</v>
      </c>
      <c r="AW81" s="187">
        <v>0</v>
      </c>
      <c r="AX81" s="67">
        <v>0</v>
      </c>
    </row>
    <row r="82" spans="1:50" ht="31.2" x14ac:dyDescent="0.3">
      <c r="A82" s="169">
        <v>70</v>
      </c>
      <c r="B82" s="213" t="s">
        <v>301</v>
      </c>
      <c r="C82" s="66">
        <v>0</v>
      </c>
      <c r="D82" s="66">
        <v>0</v>
      </c>
      <c r="E82" s="66">
        <v>0</v>
      </c>
      <c r="F82" s="66">
        <v>0</v>
      </c>
      <c r="G82" s="66">
        <v>0</v>
      </c>
      <c r="H82" s="66">
        <v>0</v>
      </c>
      <c r="I82" s="66">
        <v>0</v>
      </c>
      <c r="J82" s="66">
        <v>0</v>
      </c>
      <c r="K82" s="66">
        <v>0</v>
      </c>
      <c r="L82" s="66">
        <v>0</v>
      </c>
      <c r="M82" s="66">
        <v>0</v>
      </c>
      <c r="N82" s="67" t="s">
        <v>1230</v>
      </c>
      <c r="O82" s="67" t="s">
        <v>1230</v>
      </c>
      <c r="P82" s="67">
        <v>0</v>
      </c>
      <c r="Q82" s="66">
        <v>0</v>
      </c>
      <c r="R82" s="67">
        <v>0</v>
      </c>
      <c r="S82" s="66">
        <v>0</v>
      </c>
      <c r="T82" s="66">
        <v>0</v>
      </c>
      <c r="U82" s="66">
        <v>0</v>
      </c>
      <c r="V82" s="66">
        <v>0</v>
      </c>
      <c r="W82" s="66">
        <v>0</v>
      </c>
      <c r="X82" s="66">
        <v>0</v>
      </c>
      <c r="Y82" s="66">
        <v>0</v>
      </c>
      <c r="Z82" s="66">
        <v>0</v>
      </c>
      <c r="AA82" s="66">
        <v>0</v>
      </c>
      <c r="AB82" s="66">
        <v>0</v>
      </c>
      <c r="AC82" s="66">
        <v>0</v>
      </c>
      <c r="AD82" s="67" t="s">
        <v>1230</v>
      </c>
      <c r="AE82" s="67" t="s">
        <v>1230</v>
      </c>
      <c r="AF82" s="67">
        <v>0</v>
      </c>
      <c r="AG82" s="187">
        <v>0</v>
      </c>
      <c r="AH82" s="67">
        <v>0</v>
      </c>
      <c r="AI82" s="66">
        <v>0</v>
      </c>
      <c r="AJ82" s="66">
        <v>0</v>
      </c>
      <c r="AK82" s="66">
        <v>0</v>
      </c>
      <c r="AL82" s="66">
        <v>0</v>
      </c>
      <c r="AM82" s="66">
        <v>0</v>
      </c>
      <c r="AN82" s="66">
        <v>0</v>
      </c>
      <c r="AO82" s="66">
        <v>0</v>
      </c>
      <c r="AP82" s="66">
        <v>0</v>
      </c>
      <c r="AQ82" s="66">
        <v>0</v>
      </c>
      <c r="AR82" s="66">
        <v>0</v>
      </c>
      <c r="AS82" s="66">
        <v>0</v>
      </c>
      <c r="AT82" s="67" t="s">
        <v>1230</v>
      </c>
      <c r="AU82" s="67" t="s">
        <v>1230</v>
      </c>
      <c r="AV82" s="67">
        <v>0</v>
      </c>
      <c r="AW82" s="187">
        <v>0</v>
      </c>
      <c r="AX82" s="67">
        <v>0</v>
      </c>
    </row>
    <row r="83" spans="1:50" ht="15.6" x14ac:dyDescent="0.3">
      <c r="A83" s="215">
        <v>71</v>
      </c>
      <c r="B83" s="205" t="s">
        <v>189</v>
      </c>
      <c r="C83" s="66">
        <v>0</v>
      </c>
      <c r="D83" s="66">
        <v>0</v>
      </c>
      <c r="E83" s="66">
        <v>0</v>
      </c>
      <c r="F83" s="66">
        <v>0</v>
      </c>
      <c r="G83" s="66">
        <v>0</v>
      </c>
      <c r="H83" s="66">
        <v>0</v>
      </c>
      <c r="I83" s="66">
        <v>0</v>
      </c>
      <c r="J83" s="66">
        <v>0</v>
      </c>
      <c r="K83" s="66">
        <v>0</v>
      </c>
      <c r="L83" s="66">
        <v>0</v>
      </c>
      <c r="M83" s="66">
        <v>0</v>
      </c>
      <c r="N83" s="67" t="s">
        <v>1230</v>
      </c>
      <c r="O83" s="67" t="s">
        <v>1230</v>
      </c>
      <c r="P83" s="67">
        <v>0</v>
      </c>
      <c r="Q83" s="66">
        <v>0</v>
      </c>
      <c r="R83" s="67">
        <v>0</v>
      </c>
      <c r="S83" s="66">
        <v>0</v>
      </c>
      <c r="T83" s="66">
        <v>0</v>
      </c>
      <c r="U83" s="66">
        <v>0</v>
      </c>
      <c r="V83" s="66">
        <v>0</v>
      </c>
      <c r="W83" s="66">
        <v>0</v>
      </c>
      <c r="X83" s="66">
        <v>0</v>
      </c>
      <c r="Y83" s="66">
        <v>0</v>
      </c>
      <c r="Z83" s="66">
        <v>0</v>
      </c>
      <c r="AA83" s="66">
        <v>0</v>
      </c>
      <c r="AB83" s="66">
        <v>0</v>
      </c>
      <c r="AC83" s="66">
        <v>0</v>
      </c>
      <c r="AD83" s="67" t="s">
        <v>1230</v>
      </c>
      <c r="AE83" s="67" t="s">
        <v>1230</v>
      </c>
      <c r="AF83" s="67">
        <v>0</v>
      </c>
      <c r="AG83" s="187">
        <v>0</v>
      </c>
      <c r="AH83" s="67">
        <v>0</v>
      </c>
      <c r="AI83" s="66">
        <v>0</v>
      </c>
      <c r="AJ83" s="66">
        <v>0</v>
      </c>
      <c r="AK83" s="66">
        <v>0</v>
      </c>
      <c r="AL83" s="66">
        <v>0</v>
      </c>
      <c r="AM83" s="66">
        <v>0</v>
      </c>
      <c r="AN83" s="66">
        <v>0</v>
      </c>
      <c r="AO83" s="66">
        <v>0</v>
      </c>
      <c r="AP83" s="66">
        <v>0</v>
      </c>
      <c r="AQ83" s="66">
        <v>0</v>
      </c>
      <c r="AR83" s="66">
        <v>0</v>
      </c>
      <c r="AS83" s="66">
        <v>0</v>
      </c>
      <c r="AT83" s="67" t="s">
        <v>1230</v>
      </c>
      <c r="AU83" s="67" t="s">
        <v>1230</v>
      </c>
      <c r="AV83" s="67">
        <v>0</v>
      </c>
      <c r="AW83" s="187">
        <v>0</v>
      </c>
      <c r="AX83" s="67">
        <v>0</v>
      </c>
    </row>
    <row r="84" spans="1:50" ht="15.6" x14ac:dyDescent="0.3">
      <c r="A84" s="202">
        <v>72</v>
      </c>
      <c r="B84" s="203" t="s">
        <v>192</v>
      </c>
      <c r="C84" s="61">
        <v>266.58410000000003</v>
      </c>
      <c r="D84" s="61">
        <v>0</v>
      </c>
      <c r="E84" s="61">
        <v>331.13622913000006</v>
      </c>
      <c r="F84" s="61">
        <v>266.58410000000003</v>
      </c>
      <c r="G84" s="61">
        <v>64.552129129999997</v>
      </c>
      <c r="H84" s="61">
        <v>254.12531345000002</v>
      </c>
      <c r="I84" s="61">
        <v>2.7072499900000002</v>
      </c>
      <c r="J84" s="61">
        <v>315.88383244000005</v>
      </c>
      <c r="K84" s="61">
        <v>254.12531345000002</v>
      </c>
      <c r="L84" s="61">
        <v>0</v>
      </c>
      <c r="M84" s="61">
        <v>61.758518989999999</v>
      </c>
      <c r="N84" s="61">
        <v>95.32650801379377</v>
      </c>
      <c r="O84" s="61">
        <v>95.672319135478844</v>
      </c>
      <c r="P84" s="61">
        <v>19.551022448016742</v>
      </c>
      <c r="Q84" s="61">
        <v>2.7072499900000002</v>
      </c>
      <c r="R84" s="61">
        <v>8.8817841970012523E-16</v>
      </c>
      <c r="S84" s="61">
        <v>266.58410000000003</v>
      </c>
      <c r="T84" s="61">
        <v>0</v>
      </c>
      <c r="U84" s="61">
        <v>331.13622913000006</v>
      </c>
      <c r="V84" s="61">
        <v>266.58410000000003</v>
      </c>
      <c r="W84" s="61">
        <v>64.552129129999997</v>
      </c>
      <c r="X84" s="61">
        <v>254.12531345000002</v>
      </c>
      <c r="Y84" s="61">
        <v>2.7072499900000002</v>
      </c>
      <c r="Z84" s="61">
        <v>315.88383244000005</v>
      </c>
      <c r="AA84" s="61">
        <v>254.12531345000002</v>
      </c>
      <c r="AB84" s="61">
        <v>0</v>
      </c>
      <c r="AC84" s="61">
        <v>61.758518989999999</v>
      </c>
      <c r="AD84" s="61">
        <v>95.32650801379377</v>
      </c>
      <c r="AE84" s="61">
        <v>95.672319135478844</v>
      </c>
      <c r="AF84" s="61">
        <v>19.551022448016742</v>
      </c>
      <c r="AG84" s="61">
        <v>2.7072499900000002</v>
      </c>
      <c r="AH84" s="61">
        <v>8.8817841970012523E-16</v>
      </c>
      <c r="AI84" s="61">
        <v>0</v>
      </c>
      <c r="AJ84" s="61">
        <v>0</v>
      </c>
      <c r="AK84" s="61">
        <v>0</v>
      </c>
      <c r="AL84" s="61">
        <v>0</v>
      </c>
      <c r="AM84" s="61">
        <v>0</v>
      </c>
      <c r="AN84" s="61">
        <v>0</v>
      </c>
      <c r="AO84" s="61">
        <v>0</v>
      </c>
      <c r="AP84" s="61">
        <v>0</v>
      </c>
      <c r="AQ84" s="61">
        <v>0</v>
      </c>
      <c r="AR84" s="61">
        <v>0</v>
      </c>
      <c r="AS84" s="61">
        <v>0</v>
      </c>
      <c r="AT84" s="61" t="s">
        <v>1230</v>
      </c>
      <c r="AU84" s="61" t="s">
        <v>1230</v>
      </c>
      <c r="AV84" s="61">
        <v>0</v>
      </c>
      <c r="AW84" s="61">
        <v>0</v>
      </c>
      <c r="AX84" s="61">
        <v>0</v>
      </c>
    </row>
    <row r="85" spans="1:50" ht="15.6" x14ac:dyDescent="0.3">
      <c r="A85" s="169">
        <v>73</v>
      </c>
      <c r="B85" s="205" t="s">
        <v>195</v>
      </c>
      <c r="C85" s="66">
        <v>14.4391</v>
      </c>
      <c r="D85" s="66">
        <v>0</v>
      </c>
      <c r="E85" s="66">
        <v>15.1991</v>
      </c>
      <c r="F85" s="66">
        <v>14.4391</v>
      </c>
      <c r="G85" s="66">
        <v>0.76</v>
      </c>
      <c r="H85" s="66">
        <v>11.29892991</v>
      </c>
      <c r="I85" s="66">
        <v>0</v>
      </c>
      <c r="J85" s="66">
        <v>11.8936475</v>
      </c>
      <c r="K85" s="66">
        <v>11.29892991</v>
      </c>
      <c r="L85" s="66">
        <v>0</v>
      </c>
      <c r="M85" s="66">
        <v>0.59471759000000002</v>
      </c>
      <c r="N85" s="67">
        <v>78.252314271665142</v>
      </c>
      <c r="O85" s="67">
        <v>78.252314473684208</v>
      </c>
      <c r="P85" s="67">
        <v>5.0002960824255132</v>
      </c>
      <c r="Q85" s="66">
        <v>0</v>
      </c>
      <c r="R85" s="67">
        <v>0</v>
      </c>
      <c r="S85" s="66">
        <v>14.4391</v>
      </c>
      <c r="T85" s="66">
        <v>0</v>
      </c>
      <c r="U85" s="66">
        <v>15.1991</v>
      </c>
      <c r="V85" s="66">
        <v>14.4391</v>
      </c>
      <c r="W85" s="66">
        <v>0.76</v>
      </c>
      <c r="X85" s="66">
        <v>11.29892991</v>
      </c>
      <c r="Y85" s="66">
        <v>0</v>
      </c>
      <c r="Z85" s="66">
        <v>11.8936475</v>
      </c>
      <c r="AA85" s="66">
        <v>11.29892991</v>
      </c>
      <c r="AB85" s="66">
        <v>0</v>
      </c>
      <c r="AC85" s="66">
        <v>0.59471759000000002</v>
      </c>
      <c r="AD85" s="67">
        <v>78.252314271665142</v>
      </c>
      <c r="AE85" s="67">
        <v>78.252314473684208</v>
      </c>
      <c r="AF85" s="67">
        <v>5.0002960824255132</v>
      </c>
      <c r="AG85" s="187">
        <v>0</v>
      </c>
      <c r="AH85" s="67">
        <v>0</v>
      </c>
      <c r="AI85" s="66">
        <v>0</v>
      </c>
      <c r="AJ85" s="66">
        <v>0</v>
      </c>
      <c r="AK85" s="66">
        <v>0</v>
      </c>
      <c r="AL85" s="66">
        <v>0</v>
      </c>
      <c r="AM85" s="66">
        <v>0</v>
      </c>
      <c r="AN85" s="66">
        <v>0</v>
      </c>
      <c r="AO85" s="66">
        <v>0</v>
      </c>
      <c r="AP85" s="66">
        <v>0</v>
      </c>
      <c r="AQ85" s="66">
        <v>0</v>
      </c>
      <c r="AR85" s="66">
        <v>0</v>
      </c>
      <c r="AS85" s="66">
        <v>0</v>
      </c>
      <c r="AT85" s="67" t="s">
        <v>1230</v>
      </c>
      <c r="AU85" s="67" t="s">
        <v>1230</v>
      </c>
      <c r="AV85" s="67">
        <v>0</v>
      </c>
      <c r="AW85" s="187">
        <v>0</v>
      </c>
      <c r="AX85" s="67">
        <v>0</v>
      </c>
    </row>
    <row r="86" spans="1:50" ht="15.6" x14ac:dyDescent="0.3">
      <c r="A86" s="169">
        <v>74</v>
      </c>
      <c r="B86" s="205" t="s">
        <v>201</v>
      </c>
      <c r="C86" s="66">
        <v>19.569600000000001</v>
      </c>
      <c r="D86" s="66">
        <v>0</v>
      </c>
      <c r="E86" s="66">
        <v>20.599599999999999</v>
      </c>
      <c r="F86" s="66">
        <v>19.569600000000001</v>
      </c>
      <c r="G86" s="66">
        <v>1.03</v>
      </c>
      <c r="H86" s="66">
        <v>19.569600000000001</v>
      </c>
      <c r="I86" s="66">
        <v>0</v>
      </c>
      <c r="J86" s="66">
        <v>20.599599999999999</v>
      </c>
      <c r="K86" s="66">
        <v>19.569600000000001</v>
      </c>
      <c r="L86" s="66">
        <v>0</v>
      </c>
      <c r="M86" s="66">
        <v>1.03</v>
      </c>
      <c r="N86" s="67">
        <v>100</v>
      </c>
      <c r="O86" s="67">
        <v>100</v>
      </c>
      <c r="P86" s="67">
        <v>5.0000970892638694</v>
      </c>
      <c r="Q86" s="66">
        <v>0</v>
      </c>
      <c r="R86" s="67">
        <v>0</v>
      </c>
      <c r="S86" s="66">
        <v>19.569600000000001</v>
      </c>
      <c r="T86" s="66">
        <v>0</v>
      </c>
      <c r="U86" s="66">
        <v>20.599599999999999</v>
      </c>
      <c r="V86" s="66">
        <v>19.569600000000001</v>
      </c>
      <c r="W86" s="66">
        <v>1.03</v>
      </c>
      <c r="X86" s="66">
        <v>19.569600000000001</v>
      </c>
      <c r="Y86" s="66">
        <v>0</v>
      </c>
      <c r="Z86" s="66">
        <v>20.599599999999999</v>
      </c>
      <c r="AA86" s="66">
        <v>19.569600000000001</v>
      </c>
      <c r="AB86" s="66">
        <v>0</v>
      </c>
      <c r="AC86" s="66">
        <v>1.03</v>
      </c>
      <c r="AD86" s="67">
        <v>100</v>
      </c>
      <c r="AE86" s="67">
        <v>100</v>
      </c>
      <c r="AF86" s="67">
        <v>5.0000970892638694</v>
      </c>
      <c r="AG86" s="187">
        <v>0</v>
      </c>
      <c r="AH86" s="67">
        <v>0</v>
      </c>
      <c r="AI86" s="66">
        <v>0</v>
      </c>
      <c r="AJ86" s="66">
        <v>0</v>
      </c>
      <c r="AK86" s="66">
        <v>0</v>
      </c>
      <c r="AL86" s="66">
        <v>0</v>
      </c>
      <c r="AM86" s="66">
        <v>0</v>
      </c>
      <c r="AN86" s="66">
        <v>0</v>
      </c>
      <c r="AO86" s="66">
        <v>0</v>
      </c>
      <c r="AP86" s="66">
        <v>0</v>
      </c>
      <c r="AQ86" s="66">
        <v>0</v>
      </c>
      <c r="AR86" s="66">
        <v>0</v>
      </c>
      <c r="AS86" s="66">
        <v>0</v>
      </c>
      <c r="AT86" s="67" t="s">
        <v>1230</v>
      </c>
      <c r="AU86" s="67" t="s">
        <v>1230</v>
      </c>
      <c r="AV86" s="67">
        <v>0</v>
      </c>
      <c r="AW86" s="187">
        <v>0</v>
      </c>
      <c r="AX86" s="67">
        <v>0</v>
      </c>
    </row>
    <row r="87" spans="1:50" ht="15.6" x14ac:dyDescent="0.3">
      <c r="A87" s="169">
        <v>75</v>
      </c>
      <c r="B87" s="205" t="s">
        <v>204</v>
      </c>
      <c r="C87" s="66">
        <v>0</v>
      </c>
      <c r="D87" s="66">
        <v>0</v>
      </c>
      <c r="E87" s="66">
        <v>0</v>
      </c>
      <c r="F87" s="66">
        <v>0</v>
      </c>
      <c r="G87" s="66">
        <v>0</v>
      </c>
      <c r="H87" s="66">
        <v>0</v>
      </c>
      <c r="I87" s="66">
        <v>0</v>
      </c>
      <c r="J87" s="66">
        <v>0</v>
      </c>
      <c r="K87" s="66">
        <v>0</v>
      </c>
      <c r="L87" s="66">
        <v>0</v>
      </c>
      <c r="M87" s="66">
        <v>0</v>
      </c>
      <c r="N87" s="67" t="s">
        <v>1230</v>
      </c>
      <c r="O87" s="67" t="s">
        <v>1230</v>
      </c>
      <c r="P87" s="67">
        <v>0</v>
      </c>
      <c r="Q87" s="66">
        <v>0</v>
      </c>
      <c r="R87" s="67">
        <v>0</v>
      </c>
      <c r="S87" s="66">
        <v>0</v>
      </c>
      <c r="T87" s="66">
        <v>0</v>
      </c>
      <c r="U87" s="66">
        <v>0</v>
      </c>
      <c r="V87" s="66">
        <v>0</v>
      </c>
      <c r="W87" s="66">
        <v>0</v>
      </c>
      <c r="X87" s="66">
        <v>0</v>
      </c>
      <c r="Y87" s="66">
        <v>0</v>
      </c>
      <c r="Z87" s="66">
        <v>0</v>
      </c>
      <c r="AA87" s="66">
        <v>0</v>
      </c>
      <c r="AB87" s="66">
        <v>0</v>
      </c>
      <c r="AC87" s="66">
        <v>0</v>
      </c>
      <c r="AD87" s="67" t="s">
        <v>1230</v>
      </c>
      <c r="AE87" s="67" t="s">
        <v>1230</v>
      </c>
      <c r="AF87" s="67">
        <v>0</v>
      </c>
      <c r="AG87" s="187">
        <v>0</v>
      </c>
      <c r="AH87" s="67">
        <v>0</v>
      </c>
      <c r="AI87" s="66">
        <v>0</v>
      </c>
      <c r="AJ87" s="66">
        <v>0</v>
      </c>
      <c r="AK87" s="66">
        <v>0</v>
      </c>
      <c r="AL87" s="66">
        <v>0</v>
      </c>
      <c r="AM87" s="66">
        <v>0</v>
      </c>
      <c r="AN87" s="66">
        <v>0</v>
      </c>
      <c r="AO87" s="66">
        <v>0</v>
      </c>
      <c r="AP87" s="66">
        <v>0</v>
      </c>
      <c r="AQ87" s="66">
        <v>0</v>
      </c>
      <c r="AR87" s="66">
        <v>0</v>
      </c>
      <c r="AS87" s="66">
        <v>0</v>
      </c>
      <c r="AT87" s="67" t="s">
        <v>1230</v>
      </c>
      <c r="AU87" s="67" t="s">
        <v>1230</v>
      </c>
      <c r="AV87" s="67">
        <v>0</v>
      </c>
      <c r="AW87" s="187">
        <v>0</v>
      </c>
      <c r="AX87" s="67">
        <v>0</v>
      </c>
    </row>
    <row r="88" spans="1:50" ht="15.6" x14ac:dyDescent="0.3">
      <c r="A88" s="169">
        <v>76</v>
      </c>
      <c r="B88" s="205" t="s">
        <v>207</v>
      </c>
      <c r="C88" s="66">
        <v>0</v>
      </c>
      <c r="D88" s="66">
        <v>0</v>
      </c>
      <c r="E88" s="66">
        <v>0</v>
      </c>
      <c r="F88" s="66">
        <v>0</v>
      </c>
      <c r="G88" s="66">
        <v>0</v>
      </c>
      <c r="H88" s="66">
        <v>0</v>
      </c>
      <c r="I88" s="66">
        <v>0</v>
      </c>
      <c r="J88" s="66">
        <v>0</v>
      </c>
      <c r="K88" s="66">
        <v>0</v>
      </c>
      <c r="L88" s="66">
        <v>0</v>
      </c>
      <c r="M88" s="66">
        <v>0</v>
      </c>
      <c r="N88" s="67" t="s">
        <v>1230</v>
      </c>
      <c r="O88" s="67" t="s">
        <v>1230</v>
      </c>
      <c r="P88" s="67">
        <v>0</v>
      </c>
      <c r="Q88" s="66">
        <v>0</v>
      </c>
      <c r="R88" s="67">
        <v>0</v>
      </c>
      <c r="S88" s="66">
        <v>0</v>
      </c>
      <c r="T88" s="66">
        <v>0</v>
      </c>
      <c r="U88" s="66">
        <v>0</v>
      </c>
      <c r="V88" s="66">
        <v>0</v>
      </c>
      <c r="W88" s="66">
        <v>0</v>
      </c>
      <c r="X88" s="66">
        <v>0</v>
      </c>
      <c r="Y88" s="66">
        <v>0</v>
      </c>
      <c r="Z88" s="66">
        <v>0</v>
      </c>
      <c r="AA88" s="66">
        <v>0</v>
      </c>
      <c r="AB88" s="66">
        <v>0</v>
      </c>
      <c r="AC88" s="66">
        <v>0</v>
      </c>
      <c r="AD88" s="67" t="s">
        <v>1230</v>
      </c>
      <c r="AE88" s="67" t="s">
        <v>1230</v>
      </c>
      <c r="AF88" s="67">
        <v>0</v>
      </c>
      <c r="AG88" s="187">
        <v>0</v>
      </c>
      <c r="AH88" s="67">
        <v>0</v>
      </c>
      <c r="AI88" s="66">
        <v>0</v>
      </c>
      <c r="AJ88" s="66">
        <v>0</v>
      </c>
      <c r="AK88" s="66">
        <v>0</v>
      </c>
      <c r="AL88" s="66">
        <v>0</v>
      </c>
      <c r="AM88" s="66">
        <v>0</v>
      </c>
      <c r="AN88" s="66">
        <v>0</v>
      </c>
      <c r="AO88" s="66">
        <v>0</v>
      </c>
      <c r="AP88" s="66">
        <v>0</v>
      </c>
      <c r="AQ88" s="66">
        <v>0</v>
      </c>
      <c r="AR88" s="66">
        <v>0</v>
      </c>
      <c r="AS88" s="66">
        <v>0</v>
      </c>
      <c r="AT88" s="67" t="s">
        <v>1230</v>
      </c>
      <c r="AU88" s="67" t="s">
        <v>1230</v>
      </c>
      <c r="AV88" s="67">
        <v>0</v>
      </c>
      <c r="AW88" s="187">
        <v>0</v>
      </c>
      <c r="AX88" s="67">
        <v>0</v>
      </c>
    </row>
    <row r="89" spans="1:50" ht="15.6" x14ac:dyDescent="0.3">
      <c r="A89" s="169">
        <v>77</v>
      </c>
      <c r="B89" s="205" t="s">
        <v>213</v>
      </c>
      <c r="C89" s="66">
        <v>5.383</v>
      </c>
      <c r="D89" s="66">
        <v>0</v>
      </c>
      <c r="E89" s="66">
        <v>13.30121078</v>
      </c>
      <c r="F89" s="66">
        <v>5.383</v>
      </c>
      <c r="G89" s="66">
        <v>7.9182107799999999</v>
      </c>
      <c r="H89" s="66">
        <v>5.383</v>
      </c>
      <c r="I89" s="66">
        <v>0</v>
      </c>
      <c r="J89" s="66">
        <v>13.30121078</v>
      </c>
      <c r="K89" s="66">
        <v>5.383</v>
      </c>
      <c r="L89" s="66">
        <v>0</v>
      </c>
      <c r="M89" s="66">
        <v>7.9182107799999999</v>
      </c>
      <c r="N89" s="67">
        <v>100</v>
      </c>
      <c r="O89" s="67">
        <v>100</v>
      </c>
      <c r="P89" s="67">
        <v>59.530000020043282</v>
      </c>
      <c r="Q89" s="66">
        <v>0</v>
      </c>
      <c r="R89" s="67">
        <v>0</v>
      </c>
      <c r="S89" s="66">
        <v>5.383</v>
      </c>
      <c r="T89" s="66">
        <v>0</v>
      </c>
      <c r="U89" s="66">
        <v>13.30121078</v>
      </c>
      <c r="V89" s="66">
        <v>5.383</v>
      </c>
      <c r="W89" s="66">
        <v>7.9182107799999999</v>
      </c>
      <c r="X89" s="66">
        <v>5.383</v>
      </c>
      <c r="Y89" s="66">
        <v>0</v>
      </c>
      <c r="Z89" s="66">
        <v>13.30121078</v>
      </c>
      <c r="AA89" s="66">
        <v>5.383</v>
      </c>
      <c r="AB89" s="66">
        <v>0</v>
      </c>
      <c r="AC89" s="66">
        <v>7.9182107799999999</v>
      </c>
      <c r="AD89" s="67">
        <v>100</v>
      </c>
      <c r="AE89" s="67">
        <v>100</v>
      </c>
      <c r="AF89" s="67">
        <v>59.530000020043282</v>
      </c>
      <c r="AG89" s="187">
        <v>0</v>
      </c>
      <c r="AH89" s="67">
        <v>0</v>
      </c>
      <c r="AI89" s="66">
        <v>0</v>
      </c>
      <c r="AJ89" s="66">
        <v>0</v>
      </c>
      <c r="AK89" s="66">
        <v>0</v>
      </c>
      <c r="AL89" s="66">
        <v>0</v>
      </c>
      <c r="AM89" s="66">
        <v>0</v>
      </c>
      <c r="AN89" s="66">
        <v>0</v>
      </c>
      <c r="AO89" s="66">
        <v>0</v>
      </c>
      <c r="AP89" s="66">
        <v>0</v>
      </c>
      <c r="AQ89" s="66">
        <v>0</v>
      </c>
      <c r="AR89" s="66">
        <v>0</v>
      </c>
      <c r="AS89" s="66">
        <v>0</v>
      </c>
      <c r="AT89" s="67" t="s">
        <v>1230</v>
      </c>
      <c r="AU89" s="67" t="s">
        <v>1230</v>
      </c>
      <c r="AV89" s="67">
        <v>0</v>
      </c>
      <c r="AW89" s="187">
        <v>0</v>
      </c>
      <c r="AX89" s="67">
        <v>0</v>
      </c>
    </row>
    <row r="90" spans="1:50" ht="15.6" x14ac:dyDescent="0.3">
      <c r="A90" s="169">
        <v>78</v>
      </c>
      <c r="B90" s="205" t="s">
        <v>216</v>
      </c>
      <c r="C90" s="66">
        <v>91.929000000000002</v>
      </c>
      <c r="D90" s="66">
        <v>0</v>
      </c>
      <c r="E90" s="66">
        <v>116.3659</v>
      </c>
      <c r="F90" s="66">
        <v>91.929000000000002</v>
      </c>
      <c r="G90" s="66">
        <v>24.436900000000001</v>
      </c>
      <c r="H90" s="66">
        <v>91.929000000000002</v>
      </c>
      <c r="I90" s="66">
        <v>0</v>
      </c>
      <c r="J90" s="66">
        <v>116.3659</v>
      </c>
      <c r="K90" s="66">
        <v>91.929000000000002</v>
      </c>
      <c r="L90" s="66">
        <v>0</v>
      </c>
      <c r="M90" s="66">
        <v>24.436900000000001</v>
      </c>
      <c r="N90" s="67">
        <v>100</v>
      </c>
      <c r="O90" s="67">
        <v>100</v>
      </c>
      <c r="P90" s="67">
        <v>21.000052420855255</v>
      </c>
      <c r="Q90" s="66">
        <v>0</v>
      </c>
      <c r="R90" s="67">
        <v>0</v>
      </c>
      <c r="S90" s="66">
        <v>91.929000000000002</v>
      </c>
      <c r="T90" s="66">
        <v>0</v>
      </c>
      <c r="U90" s="66">
        <v>116.3659</v>
      </c>
      <c r="V90" s="66">
        <v>91.929000000000002</v>
      </c>
      <c r="W90" s="66">
        <v>24.436900000000001</v>
      </c>
      <c r="X90" s="66">
        <v>91.929000000000002</v>
      </c>
      <c r="Y90" s="66">
        <v>0</v>
      </c>
      <c r="Z90" s="66">
        <v>116.3659</v>
      </c>
      <c r="AA90" s="66">
        <v>91.929000000000002</v>
      </c>
      <c r="AB90" s="66">
        <v>0</v>
      </c>
      <c r="AC90" s="66">
        <v>24.436900000000001</v>
      </c>
      <c r="AD90" s="67">
        <v>100</v>
      </c>
      <c r="AE90" s="67">
        <v>100</v>
      </c>
      <c r="AF90" s="67">
        <v>21.000052420855255</v>
      </c>
      <c r="AG90" s="187">
        <v>0</v>
      </c>
      <c r="AH90" s="67">
        <v>0</v>
      </c>
      <c r="AI90" s="66">
        <v>0</v>
      </c>
      <c r="AJ90" s="66">
        <v>0</v>
      </c>
      <c r="AK90" s="66">
        <v>0</v>
      </c>
      <c r="AL90" s="66">
        <v>0</v>
      </c>
      <c r="AM90" s="66">
        <v>0</v>
      </c>
      <c r="AN90" s="66">
        <v>0</v>
      </c>
      <c r="AO90" s="66">
        <v>0</v>
      </c>
      <c r="AP90" s="66">
        <v>0</v>
      </c>
      <c r="AQ90" s="66">
        <v>0</v>
      </c>
      <c r="AR90" s="66">
        <v>0</v>
      </c>
      <c r="AS90" s="66">
        <v>0</v>
      </c>
      <c r="AT90" s="67" t="s">
        <v>1230</v>
      </c>
      <c r="AU90" s="67" t="s">
        <v>1230</v>
      </c>
      <c r="AV90" s="67">
        <v>0</v>
      </c>
      <c r="AW90" s="187">
        <v>0</v>
      </c>
      <c r="AX90" s="67">
        <v>0</v>
      </c>
    </row>
    <row r="91" spans="1:50" ht="15.6" x14ac:dyDescent="0.3">
      <c r="A91" s="169">
        <v>79</v>
      </c>
      <c r="B91" s="205" t="s">
        <v>219</v>
      </c>
      <c r="C91" s="66">
        <v>0</v>
      </c>
      <c r="D91" s="66">
        <v>0</v>
      </c>
      <c r="E91" s="66">
        <v>0</v>
      </c>
      <c r="F91" s="66">
        <v>0</v>
      </c>
      <c r="G91" s="66">
        <v>0</v>
      </c>
      <c r="H91" s="66">
        <v>0</v>
      </c>
      <c r="I91" s="66">
        <v>0</v>
      </c>
      <c r="J91" s="66">
        <v>0</v>
      </c>
      <c r="K91" s="66">
        <v>0</v>
      </c>
      <c r="L91" s="66">
        <v>0</v>
      </c>
      <c r="M91" s="66">
        <v>0</v>
      </c>
      <c r="N91" s="67" t="s">
        <v>1230</v>
      </c>
      <c r="O91" s="67" t="s">
        <v>1230</v>
      </c>
      <c r="P91" s="67">
        <v>0</v>
      </c>
      <c r="Q91" s="66">
        <v>0</v>
      </c>
      <c r="R91" s="67">
        <v>0</v>
      </c>
      <c r="S91" s="66">
        <v>0</v>
      </c>
      <c r="T91" s="66">
        <v>0</v>
      </c>
      <c r="U91" s="66">
        <v>0</v>
      </c>
      <c r="V91" s="66">
        <v>0</v>
      </c>
      <c r="W91" s="66">
        <v>0</v>
      </c>
      <c r="X91" s="66">
        <v>0</v>
      </c>
      <c r="Y91" s="66">
        <v>0</v>
      </c>
      <c r="Z91" s="66">
        <v>0</v>
      </c>
      <c r="AA91" s="66">
        <v>0</v>
      </c>
      <c r="AB91" s="66">
        <v>0</v>
      </c>
      <c r="AC91" s="66">
        <v>0</v>
      </c>
      <c r="AD91" s="67" t="s">
        <v>1230</v>
      </c>
      <c r="AE91" s="67" t="s">
        <v>1230</v>
      </c>
      <c r="AF91" s="67">
        <v>0</v>
      </c>
      <c r="AG91" s="187">
        <v>0</v>
      </c>
      <c r="AH91" s="67">
        <v>0</v>
      </c>
      <c r="AI91" s="66">
        <v>0</v>
      </c>
      <c r="AJ91" s="66">
        <v>0</v>
      </c>
      <c r="AK91" s="66">
        <v>0</v>
      </c>
      <c r="AL91" s="66">
        <v>0</v>
      </c>
      <c r="AM91" s="66">
        <v>0</v>
      </c>
      <c r="AN91" s="66">
        <v>0</v>
      </c>
      <c r="AO91" s="66">
        <v>0</v>
      </c>
      <c r="AP91" s="66">
        <v>0</v>
      </c>
      <c r="AQ91" s="66">
        <v>0</v>
      </c>
      <c r="AR91" s="66">
        <v>0</v>
      </c>
      <c r="AS91" s="66">
        <v>0</v>
      </c>
      <c r="AT91" s="67" t="s">
        <v>1230</v>
      </c>
      <c r="AU91" s="67" t="s">
        <v>1230</v>
      </c>
      <c r="AV91" s="67">
        <v>0</v>
      </c>
      <c r="AW91" s="187">
        <v>0</v>
      </c>
      <c r="AX91" s="67">
        <v>0</v>
      </c>
    </row>
    <row r="92" spans="1:50" ht="15.6" x14ac:dyDescent="0.3">
      <c r="A92" s="169">
        <v>80</v>
      </c>
      <c r="B92" s="205" t="s">
        <v>222</v>
      </c>
      <c r="C92" s="66">
        <v>67.293000000000006</v>
      </c>
      <c r="D92" s="66">
        <v>0</v>
      </c>
      <c r="E92" s="66">
        <v>86.273076920000008</v>
      </c>
      <c r="F92" s="66">
        <v>67.293000000000006</v>
      </c>
      <c r="G92" s="66">
        <v>18.980076920000002</v>
      </c>
      <c r="H92" s="66">
        <v>57.974383539999998</v>
      </c>
      <c r="I92" s="66">
        <v>0</v>
      </c>
      <c r="J92" s="66">
        <v>74.326132729999998</v>
      </c>
      <c r="K92" s="66">
        <v>57.974383539999998</v>
      </c>
      <c r="L92" s="66">
        <v>0</v>
      </c>
      <c r="M92" s="66">
        <v>16.35174919</v>
      </c>
      <c r="N92" s="67">
        <v>86.152175620049618</v>
      </c>
      <c r="O92" s="67">
        <v>86.152175562415991</v>
      </c>
      <c r="P92" s="67">
        <v>21.99999998573853</v>
      </c>
      <c r="Q92" s="66">
        <v>0</v>
      </c>
      <c r="R92" s="67">
        <v>0</v>
      </c>
      <c r="S92" s="66">
        <v>67.293000000000006</v>
      </c>
      <c r="T92" s="66">
        <v>0</v>
      </c>
      <c r="U92" s="66">
        <v>86.273076920000008</v>
      </c>
      <c r="V92" s="66">
        <v>67.293000000000006</v>
      </c>
      <c r="W92" s="66">
        <v>18.980076920000002</v>
      </c>
      <c r="X92" s="66">
        <v>57.974383539999998</v>
      </c>
      <c r="Y92" s="66">
        <v>0</v>
      </c>
      <c r="Z92" s="66">
        <v>74.326132729999998</v>
      </c>
      <c r="AA92" s="66">
        <v>57.974383539999998</v>
      </c>
      <c r="AB92" s="66">
        <v>0</v>
      </c>
      <c r="AC92" s="66">
        <v>16.35174919</v>
      </c>
      <c r="AD92" s="67">
        <v>86.152175620049618</v>
      </c>
      <c r="AE92" s="67">
        <v>86.152175562415991</v>
      </c>
      <c r="AF92" s="67">
        <v>21.99999998573853</v>
      </c>
      <c r="AG92" s="187">
        <v>0</v>
      </c>
      <c r="AH92" s="67">
        <v>0</v>
      </c>
      <c r="AI92" s="66">
        <v>0</v>
      </c>
      <c r="AJ92" s="66">
        <v>0</v>
      </c>
      <c r="AK92" s="66">
        <v>0</v>
      </c>
      <c r="AL92" s="66">
        <v>0</v>
      </c>
      <c r="AM92" s="66">
        <v>0</v>
      </c>
      <c r="AN92" s="66">
        <v>0</v>
      </c>
      <c r="AO92" s="66">
        <v>0</v>
      </c>
      <c r="AP92" s="66">
        <v>0</v>
      </c>
      <c r="AQ92" s="66">
        <v>0</v>
      </c>
      <c r="AR92" s="66">
        <v>0</v>
      </c>
      <c r="AS92" s="66">
        <v>0</v>
      </c>
      <c r="AT92" s="67" t="s">
        <v>1230</v>
      </c>
      <c r="AU92" s="67" t="s">
        <v>1230</v>
      </c>
      <c r="AV92" s="67">
        <v>0</v>
      </c>
      <c r="AW92" s="187">
        <v>0</v>
      </c>
      <c r="AX92" s="67">
        <v>0</v>
      </c>
    </row>
    <row r="93" spans="1:50" ht="15.6" x14ac:dyDescent="0.3">
      <c r="A93" s="169">
        <v>81</v>
      </c>
      <c r="B93" s="205" t="s">
        <v>225</v>
      </c>
      <c r="C93" s="66">
        <v>59.357399999999998</v>
      </c>
      <c r="D93" s="66">
        <v>0</v>
      </c>
      <c r="E93" s="66">
        <v>69.020233000000005</v>
      </c>
      <c r="F93" s="66">
        <v>59.357399999999998</v>
      </c>
      <c r="G93" s="66">
        <v>9.6628329999999991</v>
      </c>
      <c r="H93" s="66">
        <v>59.357399999999998</v>
      </c>
      <c r="I93" s="66">
        <v>2.7072499900000002</v>
      </c>
      <c r="J93" s="66">
        <v>69.020233000000005</v>
      </c>
      <c r="K93" s="66">
        <v>59.357399999999998</v>
      </c>
      <c r="L93" s="66">
        <v>0</v>
      </c>
      <c r="M93" s="66">
        <v>9.6628329999999991</v>
      </c>
      <c r="N93" s="67">
        <v>100</v>
      </c>
      <c r="O93" s="67">
        <v>100</v>
      </c>
      <c r="P93" s="67">
        <v>14.000000550563193</v>
      </c>
      <c r="Q93" s="66">
        <v>2.7072499900000002</v>
      </c>
      <c r="R93" s="67">
        <v>8.8817841970012523E-16</v>
      </c>
      <c r="S93" s="66">
        <v>59.357399999999998</v>
      </c>
      <c r="T93" s="66">
        <v>0</v>
      </c>
      <c r="U93" s="66">
        <v>69.020233000000005</v>
      </c>
      <c r="V93" s="66">
        <v>59.357399999999998</v>
      </c>
      <c r="W93" s="66">
        <v>9.6628329999999991</v>
      </c>
      <c r="X93" s="66">
        <v>59.357399999999998</v>
      </c>
      <c r="Y93" s="66">
        <v>2.7072499900000002</v>
      </c>
      <c r="Z93" s="66">
        <v>69.020233000000005</v>
      </c>
      <c r="AA93" s="66">
        <v>59.357399999999998</v>
      </c>
      <c r="AB93" s="66">
        <v>0</v>
      </c>
      <c r="AC93" s="66">
        <v>9.6628329999999991</v>
      </c>
      <c r="AD93" s="67">
        <v>100</v>
      </c>
      <c r="AE93" s="67">
        <v>100</v>
      </c>
      <c r="AF93" s="67">
        <v>14.000000550563193</v>
      </c>
      <c r="AG93" s="187">
        <v>2.7072499900000002</v>
      </c>
      <c r="AH93" s="67">
        <v>8.8817841970012523E-16</v>
      </c>
      <c r="AI93" s="66">
        <v>0</v>
      </c>
      <c r="AJ93" s="66">
        <v>0</v>
      </c>
      <c r="AK93" s="66">
        <v>0</v>
      </c>
      <c r="AL93" s="66">
        <v>0</v>
      </c>
      <c r="AM93" s="66">
        <v>0</v>
      </c>
      <c r="AN93" s="66">
        <v>0</v>
      </c>
      <c r="AO93" s="66">
        <v>0</v>
      </c>
      <c r="AP93" s="66">
        <v>0</v>
      </c>
      <c r="AQ93" s="66">
        <v>0</v>
      </c>
      <c r="AR93" s="66">
        <v>0</v>
      </c>
      <c r="AS93" s="66">
        <v>0</v>
      </c>
      <c r="AT93" s="67" t="s">
        <v>1230</v>
      </c>
      <c r="AU93" s="67" t="s">
        <v>1230</v>
      </c>
      <c r="AV93" s="67">
        <v>0</v>
      </c>
      <c r="AW93" s="187">
        <v>0</v>
      </c>
      <c r="AX93" s="67">
        <v>0</v>
      </c>
    </row>
    <row r="94" spans="1:50" ht="15.6" x14ac:dyDescent="0.3">
      <c r="A94" s="169">
        <v>82</v>
      </c>
      <c r="B94" s="205" t="s">
        <v>228</v>
      </c>
      <c r="C94" s="66">
        <v>8.6129999999999995</v>
      </c>
      <c r="D94" s="66">
        <v>0</v>
      </c>
      <c r="E94" s="66">
        <v>10.37710843</v>
      </c>
      <c r="F94" s="66">
        <v>8.6129999999999995</v>
      </c>
      <c r="G94" s="66">
        <v>1.7641084299999998</v>
      </c>
      <c r="H94" s="66">
        <v>8.6129999999999995</v>
      </c>
      <c r="I94" s="66">
        <v>0</v>
      </c>
      <c r="J94" s="66">
        <v>10.37710843</v>
      </c>
      <c r="K94" s="66">
        <v>8.6129999999999995</v>
      </c>
      <c r="L94" s="66">
        <v>0</v>
      </c>
      <c r="M94" s="66">
        <v>1.7641084299999998</v>
      </c>
      <c r="N94" s="67">
        <v>100</v>
      </c>
      <c r="O94" s="67">
        <v>100</v>
      </c>
      <c r="P94" s="67">
        <v>16.999999970126549</v>
      </c>
      <c r="Q94" s="66">
        <v>0</v>
      </c>
      <c r="R94" s="67">
        <v>0</v>
      </c>
      <c r="S94" s="66">
        <v>8.6129999999999995</v>
      </c>
      <c r="T94" s="66">
        <v>0</v>
      </c>
      <c r="U94" s="66">
        <v>10.37710843</v>
      </c>
      <c r="V94" s="66">
        <v>8.6129999999999995</v>
      </c>
      <c r="W94" s="66">
        <v>1.7641084299999998</v>
      </c>
      <c r="X94" s="66">
        <v>8.6129999999999995</v>
      </c>
      <c r="Y94" s="66">
        <v>0</v>
      </c>
      <c r="Z94" s="66">
        <v>10.37710843</v>
      </c>
      <c r="AA94" s="66">
        <v>8.6129999999999995</v>
      </c>
      <c r="AB94" s="66">
        <v>0</v>
      </c>
      <c r="AC94" s="66">
        <v>1.7641084299999998</v>
      </c>
      <c r="AD94" s="67">
        <v>100</v>
      </c>
      <c r="AE94" s="67">
        <v>100</v>
      </c>
      <c r="AF94" s="67">
        <v>16.999999970126549</v>
      </c>
      <c r="AG94" s="187">
        <v>0</v>
      </c>
      <c r="AH94" s="67">
        <v>0</v>
      </c>
      <c r="AI94" s="66">
        <v>0</v>
      </c>
      <c r="AJ94" s="66">
        <v>0</v>
      </c>
      <c r="AK94" s="66">
        <v>0</v>
      </c>
      <c r="AL94" s="66">
        <v>0</v>
      </c>
      <c r="AM94" s="66">
        <v>0</v>
      </c>
      <c r="AN94" s="66">
        <v>0</v>
      </c>
      <c r="AO94" s="66">
        <v>0</v>
      </c>
      <c r="AP94" s="66">
        <v>0</v>
      </c>
      <c r="AQ94" s="66">
        <v>0</v>
      </c>
      <c r="AR94" s="66">
        <v>0</v>
      </c>
      <c r="AS94" s="66">
        <v>0</v>
      </c>
      <c r="AT94" s="67" t="s">
        <v>1230</v>
      </c>
      <c r="AU94" s="67" t="s">
        <v>1230</v>
      </c>
      <c r="AV94" s="67">
        <v>0</v>
      </c>
      <c r="AW94" s="187">
        <v>0</v>
      </c>
      <c r="AX94" s="67">
        <v>0</v>
      </c>
    </row>
    <row r="95" spans="1:50" ht="15.6" x14ac:dyDescent="0.3">
      <c r="A95" s="202">
        <v>83</v>
      </c>
      <c r="B95" s="203" t="s">
        <v>231</v>
      </c>
      <c r="C95" s="61">
        <v>453.46039999999999</v>
      </c>
      <c r="D95" s="61">
        <v>0</v>
      </c>
      <c r="E95" s="61">
        <v>532.87604533999991</v>
      </c>
      <c r="F95" s="61">
        <v>453.46039999999999</v>
      </c>
      <c r="G95" s="61">
        <v>79.415645339999998</v>
      </c>
      <c r="H95" s="61">
        <v>452.33942526999999</v>
      </c>
      <c r="I95" s="61">
        <v>9.2738820000000013E-2</v>
      </c>
      <c r="J95" s="61">
        <v>531.63051594000001</v>
      </c>
      <c r="K95" s="61">
        <v>452.33942526999999</v>
      </c>
      <c r="L95" s="61">
        <v>0</v>
      </c>
      <c r="M95" s="61">
        <v>79.291090670000003</v>
      </c>
      <c r="N95" s="61">
        <v>99.752795452480527</v>
      </c>
      <c r="O95" s="61">
        <v>99.843161042806187</v>
      </c>
      <c r="P95" s="61">
        <v>14.914698891917787</v>
      </c>
      <c r="Q95" s="61">
        <v>9.2738820000000013E-2</v>
      </c>
      <c r="R95" s="61">
        <v>-6.1201044232461754E-15</v>
      </c>
      <c r="S95" s="61">
        <v>332.94440000000003</v>
      </c>
      <c r="T95" s="61">
        <v>0</v>
      </c>
      <c r="U95" s="61">
        <v>408.63274637000006</v>
      </c>
      <c r="V95" s="61">
        <v>332.94440000000003</v>
      </c>
      <c r="W95" s="61">
        <v>75.688346370000005</v>
      </c>
      <c r="X95" s="61">
        <v>331.82342526999997</v>
      </c>
      <c r="Y95" s="61">
        <v>9.2738820000000013E-2</v>
      </c>
      <c r="Z95" s="61">
        <v>407.38721697000005</v>
      </c>
      <c r="AA95" s="61">
        <v>331.82342526999997</v>
      </c>
      <c r="AB95" s="61">
        <v>0</v>
      </c>
      <c r="AC95" s="61">
        <v>75.563791699999996</v>
      </c>
      <c r="AD95" s="61">
        <v>99.663314736634689</v>
      </c>
      <c r="AE95" s="61">
        <v>99.835437453751297</v>
      </c>
      <c r="AF95" s="61">
        <v>18.548395372347805</v>
      </c>
      <c r="AG95" s="61">
        <v>9.2738820000000013E-2</v>
      </c>
      <c r="AH95" s="61">
        <v>9.8532293435482643E-16</v>
      </c>
      <c r="AI95" s="61">
        <v>120.51600000000001</v>
      </c>
      <c r="AJ95" s="61">
        <v>0</v>
      </c>
      <c r="AK95" s="61">
        <v>124.24329897</v>
      </c>
      <c r="AL95" s="61">
        <v>120.51600000000001</v>
      </c>
      <c r="AM95" s="61">
        <v>3.7272989700000001</v>
      </c>
      <c r="AN95" s="61">
        <v>120.51600000000001</v>
      </c>
      <c r="AO95" s="61">
        <v>0</v>
      </c>
      <c r="AP95" s="61">
        <v>124.24329897</v>
      </c>
      <c r="AQ95" s="61">
        <v>120.51600000000001</v>
      </c>
      <c r="AR95" s="61">
        <v>0</v>
      </c>
      <c r="AS95" s="61">
        <v>3.7272989700000001</v>
      </c>
      <c r="AT95" s="61">
        <v>100</v>
      </c>
      <c r="AU95" s="61">
        <v>100</v>
      </c>
      <c r="AV95" s="61">
        <v>3.0000000007243854</v>
      </c>
      <c r="AW95" s="61">
        <v>0</v>
      </c>
      <c r="AX95" s="61">
        <v>0</v>
      </c>
    </row>
    <row r="96" spans="1:50" s="126" customFormat="1" ht="15.6" x14ac:dyDescent="0.3">
      <c r="A96" s="169">
        <v>84</v>
      </c>
      <c r="B96" s="205" t="s">
        <v>198</v>
      </c>
      <c r="C96" s="66">
        <v>36.44</v>
      </c>
      <c r="D96" s="66">
        <v>0</v>
      </c>
      <c r="E96" s="66">
        <v>38.765957440000001</v>
      </c>
      <c r="F96" s="66">
        <v>36.44</v>
      </c>
      <c r="G96" s="66">
        <v>2.3259574399999998</v>
      </c>
      <c r="H96" s="66">
        <v>36.44</v>
      </c>
      <c r="I96" s="66">
        <v>0</v>
      </c>
      <c r="J96" s="66">
        <v>38.765957440000001</v>
      </c>
      <c r="K96" s="66">
        <v>36.44</v>
      </c>
      <c r="L96" s="66">
        <v>0</v>
      </c>
      <c r="M96" s="66">
        <v>2.3259574399999998</v>
      </c>
      <c r="N96" s="67">
        <v>100</v>
      </c>
      <c r="O96" s="67">
        <v>100</v>
      </c>
      <c r="P96" s="67">
        <v>5.9999999834906692</v>
      </c>
      <c r="Q96" s="66">
        <v>0</v>
      </c>
      <c r="R96" s="67">
        <v>0</v>
      </c>
      <c r="S96" s="66">
        <v>36.44</v>
      </c>
      <c r="T96" s="66">
        <v>0</v>
      </c>
      <c r="U96" s="66">
        <v>38.765957440000001</v>
      </c>
      <c r="V96" s="66">
        <v>36.44</v>
      </c>
      <c r="W96" s="66">
        <v>2.3259574399999998</v>
      </c>
      <c r="X96" s="66">
        <v>36.44</v>
      </c>
      <c r="Y96" s="66">
        <v>0</v>
      </c>
      <c r="Z96" s="66">
        <v>38.765957440000001</v>
      </c>
      <c r="AA96" s="66">
        <v>36.44</v>
      </c>
      <c r="AB96" s="66">
        <v>0</v>
      </c>
      <c r="AC96" s="66">
        <v>2.3259574399999998</v>
      </c>
      <c r="AD96" s="67">
        <v>100</v>
      </c>
      <c r="AE96" s="67">
        <v>100</v>
      </c>
      <c r="AF96" s="67">
        <v>5.9999999834906692</v>
      </c>
      <c r="AG96" s="187">
        <v>0</v>
      </c>
      <c r="AH96" s="67">
        <v>0</v>
      </c>
      <c r="AI96" s="66">
        <v>0</v>
      </c>
      <c r="AJ96" s="66">
        <v>0</v>
      </c>
      <c r="AK96" s="66">
        <v>0</v>
      </c>
      <c r="AL96" s="66">
        <v>0</v>
      </c>
      <c r="AM96" s="66">
        <v>0</v>
      </c>
      <c r="AN96" s="66">
        <v>0</v>
      </c>
      <c r="AO96" s="66">
        <v>0</v>
      </c>
      <c r="AP96" s="66">
        <v>0</v>
      </c>
      <c r="AQ96" s="66">
        <v>0</v>
      </c>
      <c r="AR96" s="66">
        <v>0</v>
      </c>
      <c r="AS96" s="66">
        <v>0</v>
      </c>
      <c r="AT96" s="67" t="s">
        <v>1230</v>
      </c>
      <c r="AU96" s="67" t="s">
        <v>1230</v>
      </c>
      <c r="AV96" s="67">
        <v>0</v>
      </c>
      <c r="AW96" s="187">
        <v>0</v>
      </c>
      <c r="AX96" s="67">
        <v>0</v>
      </c>
    </row>
    <row r="97" spans="1:50" ht="15.6" x14ac:dyDescent="0.3">
      <c r="A97" s="169">
        <v>85</v>
      </c>
      <c r="B97" s="205" t="s">
        <v>234</v>
      </c>
      <c r="C97" s="66">
        <v>83.438400000000001</v>
      </c>
      <c r="D97" s="66">
        <v>0</v>
      </c>
      <c r="E97" s="66">
        <v>106.5834</v>
      </c>
      <c r="F97" s="66">
        <v>83.438400000000001</v>
      </c>
      <c r="G97" s="66">
        <v>23.145</v>
      </c>
      <c r="H97" s="66">
        <v>83.438399989999994</v>
      </c>
      <c r="I97" s="66">
        <v>0</v>
      </c>
      <c r="J97" s="66">
        <v>106.58339998999999</v>
      </c>
      <c r="K97" s="66">
        <v>83.438399989999994</v>
      </c>
      <c r="L97" s="66">
        <v>0</v>
      </c>
      <c r="M97" s="66">
        <v>23.145</v>
      </c>
      <c r="N97" s="67">
        <v>99.999999988015105</v>
      </c>
      <c r="O97" s="67">
        <v>100</v>
      </c>
      <c r="P97" s="67">
        <v>21.715389077634548</v>
      </c>
      <c r="Q97" s="66">
        <v>0</v>
      </c>
      <c r="R97" s="67">
        <v>0</v>
      </c>
      <c r="S97" s="66">
        <v>83.438400000000001</v>
      </c>
      <c r="T97" s="66">
        <v>0</v>
      </c>
      <c r="U97" s="66">
        <v>106.5834</v>
      </c>
      <c r="V97" s="66">
        <v>83.438400000000001</v>
      </c>
      <c r="W97" s="66">
        <v>23.145</v>
      </c>
      <c r="X97" s="66">
        <v>83.438399989999994</v>
      </c>
      <c r="Y97" s="66">
        <v>0</v>
      </c>
      <c r="Z97" s="66">
        <v>106.58339998999999</v>
      </c>
      <c r="AA97" s="66">
        <v>83.438399989999994</v>
      </c>
      <c r="AB97" s="66">
        <v>0</v>
      </c>
      <c r="AC97" s="66">
        <v>23.145</v>
      </c>
      <c r="AD97" s="67">
        <v>99.999999988015105</v>
      </c>
      <c r="AE97" s="67">
        <v>100</v>
      </c>
      <c r="AF97" s="67">
        <v>21.715389077634548</v>
      </c>
      <c r="AG97" s="187">
        <v>0</v>
      </c>
      <c r="AH97" s="67">
        <v>0</v>
      </c>
      <c r="AI97" s="66">
        <v>0</v>
      </c>
      <c r="AJ97" s="66">
        <v>0</v>
      </c>
      <c r="AK97" s="66">
        <v>0</v>
      </c>
      <c r="AL97" s="66">
        <v>0</v>
      </c>
      <c r="AM97" s="66">
        <v>0</v>
      </c>
      <c r="AN97" s="66">
        <v>0</v>
      </c>
      <c r="AO97" s="66">
        <v>0</v>
      </c>
      <c r="AP97" s="66">
        <v>0</v>
      </c>
      <c r="AQ97" s="66">
        <v>0</v>
      </c>
      <c r="AR97" s="66">
        <v>0</v>
      </c>
      <c r="AS97" s="66">
        <v>0</v>
      </c>
      <c r="AT97" s="67" t="s">
        <v>1230</v>
      </c>
      <c r="AU97" s="67" t="s">
        <v>1230</v>
      </c>
      <c r="AV97" s="67">
        <v>0</v>
      </c>
      <c r="AW97" s="187">
        <v>0</v>
      </c>
      <c r="AX97" s="67">
        <v>0</v>
      </c>
    </row>
    <row r="98" spans="1:50" s="126" customFormat="1" ht="15.6" x14ac:dyDescent="0.3">
      <c r="A98" s="169">
        <v>86</v>
      </c>
      <c r="B98" s="205" t="s">
        <v>210</v>
      </c>
      <c r="C98" s="66">
        <v>62.497</v>
      </c>
      <c r="D98" s="66">
        <v>0</v>
      </c>
      <c r="E98" s="66">
        <v>66.486170209999997</v>
      </c>
      <c r="F98" s="66">
        <v>62.497</v>
      </c>
      <c r="G98" s="66">
        <v>3.9891702100000002</v>
      </c>
      <c r="H98" s="66">
        <v>62.497</v>
      </c>
      <c r="I98" s="66">
        <v>0</v>
      </c>
      <c r="J98" s="66">
        <v>66.486170209999997</v>
      </c>
      <c r="K98" s="66">
        <v>62.497</v>
      </c>
      <c r="L98" s="66">
        <v>0</v>
      </c>
      <c r="M98" s="66">
        <v>3.9891702100000002</v>
      </c>
      <c r="N98" s="67">
        <v>100</v>
      </c>
      <c r="O98" s="67">
        <v>100</v>
      </c>
      <c r="P98" s="67">
        <v>5.9999999960894126</v>
      </c>
      <c r="Q98" s="66">
        <v>0</v>
      </c>
      <c r="R98" s="67">
        <v>0</v>
      </c>
      <c r="S98" s="66">
        <v>62.497</v>
      </c>
      <c r="T98" s="66">
        <v>0</v>
      </c>
      <c r="U98" s="66">
        <v>66.486170209999997</v>
      </c>
      <c r="V98" s="66">
        <v>62.497</v>
      </c>
      <c r="W98" s="66">
        <v>3.9891702100000002</v>
      </c>
      <c r="X98" s="66">
        <v>62.497</v>
      </c>
      <c r="Y98" s="66">
        <v>0</v>
      </c>
      <c r="Z98" s="66">
        <v>66.486170209999997</v>
      </c>
      <c r="AA98" s="66">
        <v>62.497</v>
      </c>
      <c r="AB98" s="66">
        <v>0</v>
      </c>
      <c r="AC98" s="66">
        <v>3.9891702100000002</v>
      </c>
      <c r="AD98" s="67">
        <v>100</v>
      </c>
      <c r="AE98" s="67">
        <v>100</v>
      </c>
      <c r="AF98" s="67">
        <v>5.9999999960894126</v>
      </c>
      <c r="AG98" s="187">
        <v>0</v>
      </c>
      <c r="AH98" s="67">
        <v>0</v>
      </c>
      <c r="AI98" s="66">
        <v>0</v>
      </c>
      <c r="AJ98" s="66">
        <v>0</v>
      </c>
      <c r="AK98" s="66">
        <v>0</v>
      </c>
      <c r="AL98" s="66">
        <v>0</v>
      </c>
      <c r="AM98" s="66">
        <v>0</v>
      </c>
      <c r="AN98" s="66">
        <v>0</v>
      </c>
      <c r="AO98" s="66">
        <v>0</v>
      </c>
      <c r="AP98" s="66">
        <v>0</v>
      </c>
      <c r="AQ98" s="66">
        <v>0</v>
      </c>
      <c r="AR98" s="66">
        <v>0</v>
      </c>
      <c r="AS98" s="66">
        <v>0</v>
      </c>
      <c r="AT98" s="67" t="s">
        <v>1230</v>
      </c>
      <c r="AU98" s="67" t="s">
        <v>1230</v>
      </c>
      <c r="AV98" s="67">
        <v>0</v>
      </c>
      <c r="AW98" s="187">
        <v>0</v>
      </c>
      <c r="AX98" s="67">
        <v>0</v>
      </c>
    </row>
    <row r="99" spans="1:50" ht="15.6" x14ac:dyDescent="0.3">
      <c r="A99" s="169">
        <v>87</v>
      </c>
      <c r="B99" s="205" t="s">
        <v>237</v>
      </c>
      <c r="C99" s="66">
        <v>0</v>
      </c>
      <c r="D99" s="66">
        <v>0</v>
      </c>
      <c r="E99" s="66">
        <v>0</v>
      </c>
      <c r="F99" s="66">
        <v>0</v>
      </c>
      <c r="G99" s="66">
        <v>0</v>
      </c>
      <c r="H99" s="66">
        <v>0</v>
      </c>
      <c r="I99" s="66">
        <v>0</v>
      </c>
      <c r="J99" s="66">
        <v>0</v>
      </c>
      <c r="K99" s="66">
        <v>0</v>
      </c>
      <c r="L99" s="66">
        <v>0</v>
      </c>
      <c r="M99" s="66">
        <v>0</v>
      </c>
      <c r="N99" s="67" t="s">
        <v>1230</v>
      </c>
      <c r="O99" s="67" t="s">
        <v>1230</v>
      </c>
      <c r="P99" s="67">
        <v>0</v>
      </c>
      <c r="Q99" s="66">
        <v>0</v>
      </c>
      <c r="R99" s="67">
        <v>0</v>
      </c>
      <c r="S99" s="66">
        <v>0</v>
      </c>
      <c r="T99" s="66">
        <v>0</v>
      </c>
      <c r="U99" s="66">
        <v>0</v>
      </c>
      <c r="V99" s="66">
        <v>0</v>
      </c>
      <c r="W99" s="66">
        <v>0</v>
      </c>
      <c r="X99" s="66">
        <v>0</v>
      </c>
      <c r="Y99" s="66">
        <v>0</v>
      </c>
      <c r="Z99" s="66">
        <v>0</v>
      </c>
      <c r="AA99" s="66">
        <v>0</v>
      </c>
      <c r="AB99" s="66">
        <v>0</v>
      </c>
      <c r="AC99" s="66">
        <v>0</v>
      </c>
      <c r="AD99" s="67" t="s">
        <v>1230</v>
      </c>
      <c r="AE99" s="67" t="s">
        <v>1230</v>
      </c>
      <c r="AF99" s="67">
        <v>0</v>
      </c>
      <c r="AG99" s="187">
        <v>0</v>
      </c>
      <c r="AH99" s="67">
        <v>0</v>
      </c>
      <c r="AI99" s="66">
        <v>0</v>
      </c>
      <c r="AJ99" s="66">
        <v>0</v>
      </c>
      <c r="AK99" s="66">
        <v>0</v>
      </c>
      <c r="AL99" s="66">
        <v>0</v>
      </c>
      <c r="AM99" s="66">
        <v>0</v>
      </c>
      <c r="AN99" s="66">
        <v>0</v>
      </c>
      <c r="AO99" s="66">
        <v>0</v>
      </c>
      <c r="AP99" s="66">
        <v>0</v>
      </c>
      <c r="AQ99" s="66">
        <v>0</v>
      </c>
      <c r="AR99" s="66">
        <v>0</v>
      </c>
      <c r="AS99" s="66">
        <v>0</v>
      </c>
      <c r="AT99" s="67" t="s">
        <v>1230</v>
      </c>
      <c r="AU99" s="67" t="s">
        <v>1230</v>
      </c>
      <c r="AV99" s="67">
        <v>0</v>
      </c>
      <c r="AW99" s="187">
        <v>0</v>
      </c>
      <c r="AX99" s="67">
        <v>0</v>
      </c>
    </row>
    <row r="100" spans="1:50" ht="15.6" x14ac:dyDescent="0.3">
      <c r="A100" s="169">
        <v>88</v>
      </c>
      <c r="B100" s="205" t="s">
        <v>240</v>
      </c>
      <c r="C100" s="66">
        <v>47.3</v>
      </c>
      <c r="D100" s="66">
        <v>0</v>
      </c>
      <c r="E100" s="66">
        <v>53.75</v>
      </c>
      <c r="F100" s="66">
        <v>47.3</v>
      </c>
      <c r="G100" s="66">
        <v>6.45</v>
      </c>
      <c r="H100" s="66">
        <v>47.3</v>
      </c>
      <c r="I100" s="66">
        <v>0</v>
      </c>
      <c r="J100" s="66">
        <v>53.75</v>
      </c>
      <c r="K100" s="66">
        <v>47.3</v>
      </c>
      <c r="L100" s="66">
        <v>0</v>
      </c>
      <c r="M100" s="66">
        <v>6.45</v>
      </c>
      <c r="N100" s="67">
        <v>100</v>
      </c>
      <c r="O100" s="67">
        <v>100</v>
      </c>
      <c r="P100" s="67">
        <v>12.000000000000002</v>
      </c>
      <c r="Q100" s="66">
        <v>0</v>
      </c>
      <c r="R100" s="67">
        <v>0</v>
      </c>
      <c r="S100" s="66">
        <v>47.3</v>
      </c>
      <c r="T100" s="66">
        <v>0</v>
      </c>
      <c r="U100" s="66">
        <v>53.75</v>
      </c>
      <c r="V100" s="66">
        <v>47.3</v>
      </c>
      <c r="W100" s="66">
        <v>6.45</v>
      </c>
      <c r="X100" s="66">
        <v>47.3</v>
      </c>
      <c r="Y100" s="66">
        <v>0</v>
      </c>
      <c r="Z100" s="66">
        <v>53.75</v>
      </c>
      <c r="AA100" s="66">
        <v>47.3</v>
      </c>
      <c r="AB100" s="66">
        <v>0</v>
      </c>
      <c r="AC100" s="66">
        <v>6.45</v>
      </c>
      <c r="AD100" s="67">
        <v>100</v>
      </c>
      <c r="AE100" s="67">
        <v>100</v>
      </c>
      <c r="AF100" s="67">
        <v>12.000000000000002</v>
      </c>
      <c r="AG100" s="187">
        <v>0</v>
      </c>
      <c r="AH100" s="67">
        <v>0</v>
      </c>
      <c r="AI100" s="66">
        <v>0</v>
      </c>
      <c r="AJ100" s="66">
        <v>0</v>
      </c>
      <c r="AK100" s="66">
        <v>0</v>
      </c>
      <c r="AL100" s="66">
        <v>0</v>
      </c>
      <c r="AM100" s="66">
        <v>0</v>
      </c>
      <c r="AN100" s="66">
        <v>0</v>
      </c>
      <c r="AO100" s="66">
        <v>0</v>
      </c>
      <c r="AP100" s="66">
        <v>0</v>
      </c>
      <c r="AQ100" s="66">
        <v>0</v>
      </c>
      <c r="AR100" s="66">
        <v>0</v>
      </c>
      <c r="AS100" s="66">
        <v>0</v>
      </c>
      <c r="AT100" s="67" t="s">
        <v>1230</v>
      </c>
      <c r="AU100" s="67" t="s">
        <v>1230</v>
      </c>
      <c r="AV100" s="67">
        <v>0</v>
      </c>
      <c r="AW100" s="187">
        <v>0</v>
      </c>
      <c r="AX100" s="67">
        <v>0</v>
      </c>
    </row>
    <row r="101" spans="1:50" ht="15.6" x14ac:dyDescent="0.3">
      <c r="A101" s="169">
        <v>89</v>
      </c>
      <c r="B101" s="205" t="s">
        <v>243</v>
      </c>
      <c r="C101" s="66">
        <v>19.175999999999998</v>
      </c>
      <c r="D101" s="66">
        <v>0</v>
      </c>
      <c r="E101" s="66">
        <v>22.828579999999999</v>
      </c>
      <c r="F101" s="66">
        <v>19.175999999999998</v>
      </c>
      <c r="G101" s="66">
        <v>3.6525799999999999</v>
      </c>
      <c r="H101" s="66">
        <v>19.17597584</v>
      </c>
      <c r="I101" s="66">
        <v>0</v>
      </c>
      <c r="J101" s="66">
        <v>22.828551239999999</v>
      </c>
      <c r="K101" s="66">
        <v>19.17597584</v>
      </c>
      <c r="L101" s="66">
        <v>0</v>
      </c>
      <c r="M101" s="66">
        <v>3.6525753999999999</v>
      </c>
      <c r="N101" s="67">
        <v>99.999874009178143</v>
      </c>
      <c r="O101" s="67">
        <v>99.999874061622194</v>
      </c>
      <c r="P101" s="67">
        <v>16.000031546460939</v>
      </c>
      <c r="Q101" s="66">
        <v>0</v>
      </c>
      <c r="R101" s="67">
        <v>0</v>
      </c>
      <c r="S101" s="66">
        <v>19.175999999999998</v>
      </c>
      <c r="T101" s="66">
        <v>0</v>
      </c>
      <c r="U101" s="66">
        <v>22.828579999999999</v>
      </c>
      <c r="V101" s="66">
        <v>19.175999999999998</v>
      </c>
      <c r="W101" s="66">
        <v>3.6525799999999999</v>
      </c>
      <c r="X101" s="66">
        <v>19.17597584</v>
      </c>
      <c r="Y101" s="66">
        <v>0</v>
      </c>
      <c r="Z101" s="66">
        <v>22.828551239999999</v>
      </c>
      <c r="AA101" s="66">
        <v>19.17597584</v>
      </c>
      <c r="AB101" s="66">
        <v>0</v>
      </c>
      <c r="AC101" s="66">
        <v>3.6525753999999999</v>
      </c>
      <c r="AD101" s="67">
        <v>99.999874009178143</v>
      </c>
      <c r="AE101" s="67">
        <v>99.999874061622194</v>
      </c>
      <c r="AF101" s="67">
        <v>16.000031546460939</v>
      </c>
      <c r="AG101" s="187">
        <v>0</v>
      </c>
      <c r="AH101" s="67">
        <v>0</v>
      </c>
      <c r="AI101" s="66">
        <v>0</v>
      </c>
      <c r="AJ101" s="66">
        <v>0</v>
      </c>
      <c r="AK101" s="66">
        <v>0</v>
      </c>
      <c r="AL101" s="66">
        <v>0</v>
      </c>
      <c r="AM101" s="66">
        <v>0</v>
      </c>
      <c r="AN101" s="66">
        <v>0</v>
      </c>
      <c r="AO101" s="66">
        <v>0</v>
      </c>
      <c r="AP101" s="66">
        <v>0</v>
      </c>
      <c r="AQ101" s="66">
        <v>0</v>
      </c>
      <c r="AR101" s="66">
        <v>0</v>
      </c>
      <c r="AS101" s="66">
        <v>0</v>
      </c>
      <c r="AT101" s="67" t="s">
        <v>1230</v>
      </c>
      <c r="AU101" s="67" t="s">
        <v>1230</v>
      </c>
      <c r="AV101" s="67">
        <v>0</v>
      </c>
      <c r="AW101" s="187">
        <v>0</v>
      </c>
      <c r="AX101" s="67">
        <v>0</v>
      </c>
    </row>
    <row r="102" spans="1:50" ht="15.6" x14ac:dyDescent="0.3">
      <c r="A102" s="169">
        <v>90</v>
      </c>
      <c r="B102" s="205" t="s">
        <v>246</v>
      </c>
      <c r="C102" s="66">
        <v>166.54900000000001</v>
      </c>
      <c r="D102" s="66">
        <v>0</v>
      </c>
      <c r="E102" s="66">
        <v>178.39976956000001</v>
      </c>
      <c r="F102" s="66">
        <v>166.54900000000001</v>
      </c>
      <c r="G102" s="66">
        <v>11.85076956</v>
      </c>
      <c r="H102" s="66">
        <v>166.54900000000001</v>
      </c>
      <c r="I102" s="66">
        <v>9.2738820000000013E-2</v>
      </c>
      <c r="J102" s="66">
        <v>178.39976956000001</v>
      </c>
      <c r="K102" s="66">
        <v>166.54900000000001</v>
      </c>
      <c r="L102" s="66">
        <v>0</v>
      </c>
      <c r="M102" s="66">
        <v>11.85076956</v>
      </c>
      <c r="N102" s="67">
        <v>100</v>
      </c>
      <c r="O102" s="67">
        <v>100</v>
      </c>
      <c r="P102" s="67">
        <v>6.6428166298804046</v>
      </c>
      <c r="Q102" s="66">
        <v>9.2738820000000013E-2</v>
      </c>
      <c r="R102" s="67">
        <v>-6.1201044232461754E-15</v>
      </c>
      <c r="S102" s="66">
        <v>46.033000000000001</v>
      </c>
      <c r="T102" s="66">
        <v>0</v>
      </c>
      <c r="U102" s="66">
        <v>54.156470590000005</v>
      </c>
      <c r="V102" s="66">
        <v>46.033000000000001</v>
      </c>
      <c r="W102" s="66">
        <v>8.1234705900000002</v>
      </c>
      <c r="X102" s="66">
        <v>46.033000000000001</v>
      </c>
      <c r="Y102" s="66">
        <v>9.2738820000000013E-2</v>
      </c>
      <c r="Z102" s="66">
        <v>54.156470590000005</v>
      </c>
      <c r="AA102" s="66">
        <v>46.033000000000001</v>
      </c>
      <c r="AB102" s="66">
        <v>0</v>
      </c>
      <c r="AC102" s="66">
        <v>8.1234705900000002</v>
      </c>
      <c r="AD102" s="67">
        <v>100</v>
      </c>
      <c r="AE102" s="67">
        <v>100</v>
      </c>
      <c r="AF102" s="67">
        <v>15.000000002769751</v>
      </c>
      <c r="AG102" s="187">
        <v>9.2738820000000013E-2</v>
      </c>
      <c r="AH102" s="67">
        <v>9.8532293435482643E-16</v>
      </c>
      <c r="AI102" s="66">
        <v>120.51600000000001</v>
      </c>
      <c r="AJ102" s="66">
        <v>0</v>
      </c>
      <c r="AK102" s="66">
        <v>124.24329897</v>
      </c>
      <c r="AL102" s="66">
        <v>120.51600000000001</v>
      </c>
      <c r="AM102" s="66">
        <v>3.7272989700000001</v>
      </c>
      <c r="AN102" s="66">
        <v>120.51600000000001</v>
      </c>
      <c r="AO102" s="66">
        <v>0</v>
      </c>
      <c r="AP102" s="66">
        <v>124.24329897</v>
      </c>
      <c r="AQ102" s="66">
        <v>120.51600000000001</v>
      </c>
      <c r="AR102" s="66">
        <v>0</v>
      </c>
      <c r="AS102" s="66">
        <v>3.7272989700000001</v>
      </c>
      <c r="AT102" s="67">
        <v>100</v>
      </c>
      <c r="AU102" s="67">
        <v>100</v>
      </c>
      <c r="AV102" s="67">
        <v>3.0000000007243854</v>
      </c>
      <c r="AW102" s="187">
        <v>0</v>
      </c>
      <c r="AX102" s="67">
        <v>0</v>
      </c>
    </row>
    <row r="103" spans="1:50" ht="15.6" x14ac:dyDescent="0.3">
      <c r="A103" s="169">
        <v>91</v>
      </c>
      <c r="B103" s="205" t="s">
        <v>249</v>
      </c>
      <c r="C103" s="66">
        <v>13.132999999999999</v>
      </c>
      <c r="D103" s="66">
        <v>0</v>
      </c>
      <c r="E103" s="66">
        <v>14.431868130000002</v>
      </c>
      <c r="F103" s="66">
        <v>13.132999999999999</v>
      </c>
      <c r="G103" s="66">
        <v>1.2988681299999998</v>
      </c>
      <c r="H103" s="66">
        <v>13.132999999999999</v>
      </c>
      <c r="I103" s="66">
        <v>0</v>
      </c>
      <c r="J103" s="66">
        <v>14.431868130000002</v>
      </c>
      <c r="K103" s="66">
        <v>13.132999999999999</v>
      </c>
      <c r="L103" s="66">
        <v>0</v>
      </c>
      <c r="M103" s="66">
        <v>1.2988681299999998</v>
      </c>
      <c r="N103" s="67">
        <v>100</v>
      </c>
      <c r="O103" s="67">
        <v>100</v>
      </c>
      <c r="P103" s="67">
        <v>8.9999999882205106</v>
      </c>
      <c r="Q103" s="66">
        <v>0</v>
      </c>
      <c r="R103" s="67">
        <v>0</v>
      </c>
      <c r="S103" s="66">
        <v>13.132999999999999</v>
      </c>
      <c r="T103" s="66">
        <v>0</v>
      </c>
      <c r="U103" s="66">
        <v>14.431868130000002</v>
      </c>
      <c r="V103" s="66">
        <v>13.132999999999999</v>
      </c>
      <c r="W103" s="66">
        <v>1.2988681299999998</v>
      </c>
      <c r="X103" s="66">
        <v>13.132999999999999</v>
      </c>
      <c r="Y103" s="66">
        <v>0</v>
      </c>
      <c r="Z103" s="66">
        <v>14.431868130000002</v>
      </c>
      <c r="AA103" s="66">
        <v>13.132999999999999</v>
      </c>
      <c r="AB103" s="66">
        <v>0</v>
      </c>
      <c r="AC103" s="66">
        <v>1.2988681299999998</v>
      </c>
      <c r="AD103" s="67">
        <v>100</v>
      </c>
      <c r="AE103" s="67">
        <v>100</v>
      </c>
      <c r="AF103" s="67">
        <v>8.9999999882205106</v>
      </c>
      <c r="AG103" s="187">
        <v>0</v>
      </c>
      <c r="AH103" s="67">
        <v>0</v>
      </c>
      <c r="AI103" s="66">
        <v>0</v>
      </c>
      <c r="AJ103" s="66">
        <v>0</v>
      </c>
      <c r="AK103" s="66">
        <v>0</v>
      </c>
      <c r="AL103" s="66">
        <v>0</v>
      </c>
      <c r="AM103" s="66">
        <v>0</v>
      </c>
      <c r="AN103" s="66">
        <v>0</v>
      </c>
      <c r="AO103" s="66">
        <v>0</v>
      </c>
      <c r="AP103" s="66">
        <v>0</v>
      </c>
      <c r="AQ103" s="66">
        <v>0</v>
      </c>
      <c r="AR103" s="66">
        <v>0</v>
      </c>
      <c r="AS103" s="66">
        <v>0</v>
      </c>
      <c r="AT103" s="67" t="s">
        <v>1230</v>
      </c>
      <c r="AU103" s="67" t="s">
        <v>1230</v>
      </c>
      <c r="AV103" s="67">
        <v>0</v>
      </c>
      <c r="AW103" s="187">
        <v>0</v>
      </c>
      <c r="AX103" s="67">
        <v>0</v>
      </c>
    </row>
    <row r="104" spans="1:50" ht="15.6" x14ac:dyDescent="0.3">
      <c r="A104" s="169">
        <v>92</v>
      </c>
      <c r="B104" s="205" t="s">
        <v>252</v>
      </c>
      <c r="C104" s="66">
        <v>19.707000000000001</v>
      </c>
      <c r="D104" s="66">
        <v>0</v>
      </c>
      <c r="E104" s="66">
        <v>45.830300000000001</v>
      </c>
      <c r="F104" s="66">
        <v>19.707000000000001</v>
      </c>
      <c r="G104" s="66">
        <v>26.1233</v>
      </c>
      <c r="H104" s="66">
        <v>19.707000000000001</v>
      </c>
      <c r="I104" s="66">
        <v>0</v>
      </c>
      <c r="J104" s="66">
        <v>45.830300000000001</v>
      </c>
      <c r="K104" s="66">
        <v>19.707000000000001</v>
      </c>
      <c r="L104" s="66">
        <v>0</v>
      </c>
      <c r="M104" s="66">
        <v>26.1233</v>
      </c>
      <c r="N104" s="67">
        <v>100</v>
      </c>
      <c r="O104" s="67">
        <v>100</v>
      </c>
      <c r="P104" s="67">
        <v>57.000063276915057</v>
      </c>
      <c r="Q104" s="66">
        <v>0</v>
      </c>
      <c r="R104" s="67">
        <v>0</v>
      </c>
      <c r="S104" s="66">
        <v>19.707000000000001</v>
      </c>
      <c r="T104" s="66">
        <v>0</v>
      </c>
      <c r="U104" s="66">
        <v>45.830300000000001</v>
      </c>
      <c r="V104" s="66">
        <v>19.707000000000001</v>
      </c>
      <c r="W104" s="66">
        <v>26.1233</v>
      </c>
      <c r="X104" s="66">
        <v>19.707000000000001</v>
      </c>
      <c r="Y104" s="66">
        <v>0</v>
      </c>
      <c r="Z104" s="66">
        <v>45.830300000000001</v>
      </c>
      <c r="AA104" s="66">
        <v>19.707000000000001</v>
      </c>
      <c r="AB104" s="66">
        <v>0</v>
      </c>
      <c r="AC104" s="66">
        <v>26.1233</v>
      </c>
      <c r="AD104" s="67">
        <v>100</v>
      </c>
      <c r="AE104" s="67">
        <v>100</v>
      </c>
      <c r="AF104" s="67">
        <v>57.000063276915057</v>
      </c>
      <c r="AG104" s="187">
        <v>0</v>
      </c>
      <c r="AH104" s="67">
        <v>0</v>
      </c>
      <c r="AI104" s="66">
        <v>0</v>
      </c>
      <c r="AJ104" s="66">
        <v>0</v>
      </c>
      <c r="AK104" s="66">
        <v>0</v>
      </c>
      <c r="AL104" s="66">
        <v>0</v>
      </c>
      <c r="AM104" s="66">
        <v>0</v>
      </c>
      <c r="AN104" s="66">
        <v>0</v>
      </c>
      <c r="AO104" s="66">
        <v>0</v>
      </c>
      <c r="AP104" s="66">
        <v>0</v>
      </c>
      <c r="AQ104" s="66">
        <v>0</v>
      </c>
      <c r="AR104" s="66">
        <v>0</v>
      </c>
      <c r="AS104" s="66">
        <v>0</v>
      </c>
      <c r="AT104" s="67" t="s">
        <v>1230</v>
      </c>
      <c r="AU104" s="67" t="s">
        <v>1230</v>
      </c>
      <c r="AV104" s="67">
        <v>0</v>
      </c>
      <c r="AW104" s="187">
        <v>0</v>
      </c>
      <c r="AX104" s="67">
        <v>0</v>
      </c>
    </row>
    <row r="105" spans="1:50" ht="15.6" x14ac:dyDescent="0.3">
      <c r="A105" s="169">
        <v>93</v>
      </c>
      <c r="B105" s="205" t="s">
        <v>254</v>
      </c>
      <c r="C105" s="66">
        <v>5.22</v>
      </c>
      <c r="D105" s="66">
        <v>0</v>
      </c>
      <c r="E105" s="66">
        <v>5.8</v>
      </c>
      <c r="F105" s="66">
        <v>5.22</v>
      </c>
      <c r="G105" s="66">
        <v>0.57999999999999996</v>
      </c>
      <c r="H105" s="66">
        <v>4.0990494399999999</v>
      </c>
      <c r="I105" s="66">
        <v>0</v>
      </c>
      <c r="J105" s="66">
        <v>4.5544993700000003</v>
      </c>
      <c r="K105" s="66">
        <v>4.0990494399999999</v>
      </c>
      <c r="L105" s="66">
        <v>0</v>
      </c>
      <c r="M105" s="66">
        <v>0.45544993</v>
      </c>
      <c r="N105" s="67">
        <v>78.525851340996169</v>
      </c>
      <c r="O105" s="67">
        <v>78.525850000000005</v>
      </c>
      <c r="P105" s="67">
        <v>9.9999998463058297</v>
      </c>
      <c r="Q105" s="66">
        <v>0</v>
      </c>
      <c r="R105" s="67">
        <v>0</v>
      </c>
      <c r="S105" s="66">
        <v>5.22</v>
      </c>
      <c r="T105" s="66">
        <v>0</v>
      </c>
      <c r="U105" s="66">
        <v>5.8</v>
      </c>
      <c r="V105" s="66">
        <v>5.22</v>
      </c>
      <c r="W105" s="66">
        <v>0.57999999999999996</v>
      </c>
      <c r="X105" s="66">
        <v>4.0990494399999999</v>
      </c>
      <c r="Y105" s="66">
        <v>0</v>
      </c>
      <c r="Z105" s="66">
        <v>4.5544993700000003</v>
      </c>
      <c r="AA105" s="66">
        <v>4.0990494399999999</v>
      </c>
      <c r="AB105" s="66">
        <v>0</v>
      </c>
      <c r="AC105" s="66">
        <v>0.45544993</v>
      </c>
      <c r="AD105" s="67">
        <v>78.525851340996169</v>
      </c>
      <c r="AE105" s="67">
        <v>78.525850000000005</v>
      </c>
      <c r="AF105" s="67">
        <v>9.9999998463058297</v>
      </c>
      <c r="AG105" s="187">
        <v>0</v>
      </c>
      <c r="AH105" s="67">
        <v>0</v>
      </c>
      <c r="AI105" s="66">
        <v>0</v>
      </c>
      <c r="AJ105" s="66">
        <v>0</v>
      </c>
      <c r="AK105" s="66">
        <v>0</v>
      </c>
      <c r="AL105" s="66">
        <v>0</v>
      </c>
      <c r="AM105" s="66">
        <v>0</v>
      </c>
      <c r="AN105" s="66">
        <v>0</v>
      </c>
      <c r="AO105" s="66">
        <v>0</v>
      </c>
      <c r="AP105" s="66">
        <v>0</v>
      </c>
      <c r="AQ105" s="66">
        <v>0</v>
      </c>
      <c r="AR105" s="66">
        <v>0</v>
      </c>
      <c r="AS105" s="66">
        <v>0</v>
      </c>
      <c r="AT105" s="67" t="s">
        <v>1230</v>
      </c>
      <c r="AU105" s="67" t="s">
        <v>1230</v>
      </c>
      <c r="AV105" s="67">
        <v>0</v>
      </c>
      <c r="AW105" s="187">
        <v>0</v>
      </c>
      <c r="AX105" s="67">
        <v>0</v>
      </c>
    </row>
    <row r="106" spans="1:50" ht="15.6" x14ac:dyDescent="0.3">
      <c r="A106" s="169">
        <v>94</v>
      </c>
      <c r="B106" s="205" t="s">
        <v>256</v>
      </c>
      <c r="C106" s="66">
        <v>0</v>
      </c>
      <c r="D106" s="66">
        <v>0</v>
      </c>
      <c r="E106" s="66">
        <v>0</v>
      </c>
      <c r="F106" s="66">
        <v>0</v>
      </c>
      <c r="G106" s="66">
        <v>0</v>
      </c>
      <c r="H106" s="66">
        <v>0</v>
      </c>
      <c r="I106" s="66">
        <v>0</v>
      </c>
      <c r="J106" s="66">
        <v>0</v>
      </c>
      <c r="K106" s="66">
        <v>0</v>
      </c>
      <c r="L106" s="66">
        <v>0</v>
      </c>
      <c r="M106" s="66">
        <v>0</v>
      </c>
      <c r="N106" s="67" t="s">
        <v>1230</v>
      </c>
      <c r="O106" s="67" t="s">
        <v>1230</v>
      </c>
      <c r="P106" s="67">
        <v>0</v>
      </c>
      <c r="Q106" s="66">
        <v>0</v>
      </c>
      <c r="R106" s="67">
        <v>0</v>
      </c>
      <c r="S106" s="66">
        <v>0</v>
      </c>
      <c r="T106" s="66">
        <v>0</v>
      </c>
      <c r="U106" s="66">
        <v>0</v>
      </c>
      <c r="V106" s="66">
        <v>0</v>
      </c>
      <c r="W106" s="66">
        <v>0</v>
      </c>
      <c r="X106" s="66">
        <v>0</v>
      </c>
      <c r="Y106" s="66">
        <v>0</v>
      </c>
      <c r="Z106" s="66">
        <v>0</v>
      </c>
      <c r="AA106" s="66">
        <v>0</v>
      </c>
      <c r="AB106" s="66">
        <v>0</v>
      </c>
      <c r="AC106" s="66">
        <v>0</v>
      </c>
      <c r="AD106" s="67" t="s">
        <v>1230</v>
      </c>
      <c r="AE106" s="67" t="s">
        <v>1230</v>
      </c>
      <c r="AF106" s="67">
        <v>0</v>
      </c>
      <c r="AG106" s="187">
        <v>0</v>
      </c>
      <c r="AH106" s="67">
        <v>0</v>
      </c>
      <c r="AI106" s="66">
        <v>0</v>
      </c>
      <c r="AJ106" s="66">
        <v>0</v>
      </c>
      <c r="AK106" s="66">
        <v>0</v>
      </c>
      <c r="AL106" s="66">
        <v>0</v>
      </c>
      <c r="AM106" s="66">
        <v>0</v>
      </c>
      <c r="AN106" s="66">
        <v>0</v>
      </c>
      <c r="AO106" s="66">
        <v>0</v>
      </c>
      <c r="AP106" s="66">
        <v>0</v>
      </c>
      <c r="AQ106" s="66">
        <v>0</v>
      </c>
      <c r="AR106" s="66">
        <v>0</v>
      </c>
      <c r="AS106" s="66">
        <v>0</v>
      </c>
      <c r="AT106" s="67" t="s">
        <v>1230</v>
      </c>
      <c r="AU106" s="67" t="s">
        <v>1230</v>
      </c>
      <c r="AV106" s="67">
        <v>0</v>
      </c>
      <c r="AW106" s="187">
        <v>0</v>
      </c>
      <c r="AX106" s="67">
        <v>0</v>
      </c>
    </row>
  </sheetData>
  <mergeCells count="48">
    <mergeCell ref="D5:E5"/>
    <mergeCell ref="AH9:AH11"/>
    <mergeCell ref="S7:AH8"/>
    <mergeCell ref="S9:S11"/>
    <mergeCell ref="T9:T11"/>
    <mergeCell ref="AF9:AF11"/>
    <mergeCell ref="AG9:AG11"/>
    <mergeCell ref="U10:U11"/>
    <mergeCell ref="V10:W10"/>
    <mergeCell ref="Z10:Z11"/>
    <mergeCell ref="AA10:AC10"/>
    <mergeCell ref="AD9:AE10"/>
    <mergeCell ref="J9:M9"/>
    <mergeCell ref="X9:X11"/>
    <mergeCell ref="Y9:Y11"/>
    <mergeCell ref="Z9:AC9"/>
    <mergeCell ref="U9:W9"/>
    <mergeCell ref="E10:E11"/>
    <mergeCell ref="F10:G10"/>
    <mergeCell ref="J10:J11"/>
    <mergeCell ref="K10:M10"/>
    <mergeCell ref="D9:D11"/>
    <mergeCell ref="E9:G9"/>
    <mergeCell ref="AW9:AW11"/>
    <mergeCell ref="AX9:AX11"/>
    <mergeCell ref="A7:A11"/>
    <mergeCell ref="B7:B11"/>
    <mergeCell ref="C9:C11"/>
    <mergeCell ref="I9:I11"/>
    <mergeCell ref="H9:H11"/>
    <mergeCell ref="C7:R8"/>
    <mergeCell ref="N9:O10"/>
    <mergeCell ref="P9:P11"/>
    <mergeCell ref="Q9:Q11"/>
    <mergeCell ref="R9:R11"/>
    <mergeCell ref="AK10:AK11"/>
    <mergeCell ref="AL10:AM10"/>
    <mergeCell ref="AP10:AP11"/>
    <mergeCell ref="AQ10:AS10"/>
    <mergeCell ref="AI7:AX8"/>
    <mergeCell ref="AI9:AI11"/>
    <mergeCell ref="AJ9:AJ11"/>
    <mergeCell ref="AK9:AM9"/>
    <mergeCell ref="AN9:AN11"/>
    <mergeCell ref="AO9:AO11"/>
    <mergeCell ref="AP9:AS9"/>
    <mergeCell ref="AT9:AU10"/>
    <mergeCell ref="AV9:AV11"/>
  </mergeCells>
  <printOptions horizontalCentered="1"/>
  <pageMargins left="0.11811023622047245" right="0.11811023622047245" top="0.35433070866141736" bottom="0.11811023622047245" header="0.31496062992125984" footer="0.31496062992125984"/>
  <pageSetup paperSize="9" scale="42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06"/>
  <sheetViews>
    <sheetView view="pageBreakPreview" zoomScale="60" zoomScaleNormal="60" workbookViewId="0">
      <pane xSplit="2" ySplit="12" topLeftCell="C13" activePane="bottomRight" state="frozen"/>
      <selection activeCell="D21" sqref="D21"/>
      <selection pane="topRight" activeCell="D21" sqref="D21"/>
      <selection pane="bottomLeft" activeCell="D21" sqref="D21"/>
      <selection pane="bottomRight" activeCell="D5" sqref="D5:E5"/>
    </sheetView>
  </sheetViews>
  <sheetFormatPr defaultColWidth="9.109375" defaultRowHeight="14.4" outlineLevelCol="1" x14ac:dyDescent="0.3"/>
  <cols>
    <col min="1" max="1" width="9.109375" style="126"/>
    <col min="2" max="2" width="35.33203125" style="126" customWidth="1"/>
    <col min="3" max="20" width="18.44140625" style="126" customWidth="1"/>
    <col min="21" max="22" width="18.44140625" style="126" customWidth="1" outlineLevel="1"/>
    <col min="23" max="31" width="18.44140625" style="126" customWidth="1"/>
    <col min="32" max="34" width="18.44140625" style="126" customWidth="1" outlineLevel="1"/>
    <col min="35" max="50" width="18.44140625" style="126" customWidth="1"/>
    <col min="51" max="16384" width="9.109375" style="126"/>
  </cols>
  <sheetData>
    <row r="1" spans="1:50" ht="19.8" customHeight="1" x14ac:dyDescent="0.3"/>
    <row r="2" spans="1:50" ht="19.8" customHeight="1" x14ac:dyDescent="0.3">
      <c r="C2" s="254"/>
      <c r="D2" s="252"/>
      <c r="E2" s="252"/>
      <c r="F2" s="252"/>
      <c r="G2" s="252"/>
      <c r="H2" s="252"/>
      <c r="I2" s="252"/>
      <c r="J2" s="252"/>
      <c r="K2" s="252"/>
      <c r="L2" s="252"/>
      <c r="S2" s="254"/>
      <c r="T2" s="252"/>
      <c r="U2" s="252"/>
      <c r="V2" s="252"/>
      <c r="W2" s="252"/>
      <c r="X2" s="252"/>
      <c r="Y2" s="252"/>
      <c r="Z2" s="252"/>
      <c r="AA2" s="252"/>
      <c r="AB2" s="252"/>
    </row>
    <row r="3" spans="1:50" ht="19.8" customHeight="1" x14ac:dyDescent="0.3">
      <c r="C3" s="252"/>
      <c r="D3" s="252"/>
      <c r="E3" s="252"/>
      <c r="F3" s="252"/>
      <c r="G3" s="252"/>
      <c r="H3" s="252"/>
      <c r="I3" s="252"/>
      <c r="J3" s="252"/>
      <c r="K3" s="252"/>
      <c r="L3" s="252"/>
      <c r="S3" s="252"/>
      <c r="T3" s="252"/>
      <c r="U3" s="252"/>
      <c r="V3" s="252"/>
      <c r="W3" s="252"/>
      <c r="X3" s="252"/>
      <c r="Y3" s="252"/>
      <c r="Z3" s="252"/>
      <c r="AA3" s="252"/>
      <c r="AB3" s="252"/>
      <c r="AC3" s="38"/>
      <c r="AD3" s="38"/>
      <c r="AE3" s="38"/>
      <c r="AF3" s="38"/>
    </row>
    <row r="4" spans="1:50" ht="19.8" customHeight="1" x14ac:dyDescent="0.3">
      <c r="C4" s="252"/>
      <c r="D4" s="252"/>
      <c r="E4" s="252"/>
      <c r="F4" s="252"/>
      <c r="G4" s="252"/>
      <c r="H4" s="252"/>
      <c r="I4" s="252"/>
      <c r="J4" s="252"/>
      <c r="K4" s="252"/>
      <c r="L4" s="252"/>
      <c r="S4" s="252"/>
      <c r="T4" s="252"/>
      <c r="U4" s="252"/>
      <c r="V4" s="252"/>
      <c r="W4" s="252"/>
      <c r="X4" s="252"/>
      <c r="Y4" s="252"/>
      <c r="Z4" s="252"/>
      <c r="AA4" s="252"/>
      <c r="AB4" s="252"/>
      <c r="AC4" s="38"/>
      <c r="AD4" s="38"/>
      <c r="AE4" s="38"/>
      <c r="AF4" s="38"/>
    </row>
    <row r="5" spans="1:50" ht="19.8" customHeight="1" x14ac:dyDescent="0.35">
      <c r="D5" s="322" t="s">
        <v>1231</v>
      </c>
      <c r="E5" s="322"/>
      <c r="F5" s="257"/>
      <c r="G5" s="42"/>
      <c r="H5" s="43"/>
      <c r="I5" s="43"/>
      <c r="T5" s="355"/>
      <c r="U5" s="355"/>
      <c r="V5" s="257"/>
      <c r="W5" s="42"/>
      <c r="X5" s="43"/>
      <c r="Y5" s="43"/>
      <c r="AJ5" s="355"/>
      <c r="AK5" s="355"/>
    </row>
    <row r="6" spans="1:50" ht="15.6" x14ac:dyDescent="0.3">
      <c r="S6" s="76"/>
      <c r="AG6" s="76"/>
      <c r="AH6" s="76"/>
    </row>
    <row r="7" spans="1:50" ht="19.5" customHeight="1" x14ac:dyDescent="0.3">
      <c r="A7" s="326" t="s">
        <v>284</v>
      </c>
      <c r="B7" s="326" t="s">
        <v>285</v>
      </c>
      <c r="C7" s="344" t="s">
        <v>1200</v>
      </c>
      <c r="D7" s="345"/>
      <c r="E7" s="345"/>
      <c r="F7" s="345"/>
      <c r="G7" s="345"/>
      <c r="H7" s="345"/>
      <c r="I7" s="345"/>
      <c r="J7" s="345"/>
      <c r="K7" s="345"/>
      <c r="L7" s="345"/>
      <c r="M7" s="345"/>
      <c r="N7" s="345"/>
      <c r="O7" s="345"/>
      <c r="P7" s="345"/>
      <c r="Q7" s="345"/>
      <c r="R7" s="345"/>
      <c r="S7" s="346" t="s">
        <v>1207</v>
      </c>
      <c r="T7" s="347"/>
      <c r="U7" s="347"/>
      <c r="V7" s="347"/>
      <c r="W7" s="347"/>
      <c r="X7" s="347"/>
      <c r="Y7" s="347"/>
      <c r="Z7" s="347"/>
      <c r="AA7" s="347"/>
      <c r="AB7" s="347"/>
      <c r="AC7" s="347"/>
      <c r="AD7" s="347"/>
      <c r="AE7" s="347"/>
      <c r="AF7" s="347"/>
      <c r="AG7" s="347"/>
      <c r="AH7" s="347"/>
      <c r="AI7" s="342" t="s">
        <v>1199</v>
      </c>
      <c r="AJ7" s="343"/>
      <c r="AK7" s="343"/>
      <c r="AL7" s="343"/>
      <c r="AM7" s="343"/>
      <c r="AN7" s="343"/>
      <c r="AO7" s="343"/>
      <c r="AP7" s="343"/>
      <c r="AQ7" s="343"/>
      <c r="AR7" s="343"/>
      <c r="AS7" s="343"/>
      <c r="AT7" s="343"/>
      <c r="AU7" s="343"/>
      <c r="AV7" s="343"/>
      <c r="AW7" s="343"/>
      <c r="AX7" s="343"/>
    </row>
    <row r="8" spans="1:50" ht="9.75" customHeight="1" thickBot="1" x14ac:dyDescent="0.35">
      <c r="A8" s="326"/>
      <c r="B8" s="326"/>
      <c r="C8" s="344"/>
      <c r="D8" s="345"/>
      <c r="E8" s="345"/>
      <c r="F8" s="345"/>
      <c r="G8" s="345"/>
      <c r="H8" s="345"/>
      <c r="I8" s="345"/>
      <c r="J8" s="345"/>
      <c r="K8" s="345"/>
      <c r="L8" s="345"/>
      <c r="M8" s="345"/>
      <c r="N8" s="345"/>
      <c r="O8" s="345"/>
      <c r="P8" s="345"/>
      <c r="Q8" s="345"/>
      <c r="R8" s="345"/>
      <c r="S8" s="346"/>
      <c r="T8" s="347"/>
      <c r="U8" s="347"/>
      <c r="V8" s="347"/>
      <c r="W8" s="347"/>
      <c r="X8" s="347"/>
      <c r="Y8" s="347"/>
      <c r="Z8" s="347"/>
      <c r="AA8" s="347"/>
      <c r="AB8" s="347"/>
      <c r="AC8" s="347"/>
      <c r="AD8" s="347"/>
      <c r="AE8" s="347"/>
      <c r="AF8" s="347"/>
      <c r="AG8" s="347"/>
      <c r="AH8" s="347"/>
      <c r="AI8" s="342"/>
      <c r="AJ8" s="343"/>
      <c r="AK8" s="343"/>
      <c r="AL8" s="343"/>
      <c r="AM8" s="343"/>
      <c r="AN8" s="343"/>
      <c r="AO8" s="343"/>
      <c r="AP8" s="343"/>
      <c r="AQ8" s="343"/>
      <c r="AR8" s="343"/>
      <c r="AS8" s="343"/>
      <c r="AT8" s="343"/>
      <c r="AU8" s="343"/>
      <c r="AV8" s="343"/>
      <c r="AW8" s="343"/>
      <c r="AX8" s="343"/>
    </row>
    <row r="9" spans="1:50" ht="15" customHeight="1" x14ac:dyDescent="0.3">
      <c r="A9" s="326"/>
      <c r="B9" s="326"/>
      <c r="C9" s="301" t="s">
        <v>1052</v>
      </c>
      <c r="D9" s="316" t="s">
        <v>1053</v>
      </c>
      <c r="E9" s="316" t="s">
        <v>287</v>
      </c>
      <c r="F9" s="316"/>
      <c r="G9" s="316"/>
      <c r="H9" s="316" t="s">
        <v>312</v>
      </c>
      <c r="I9" s="316" t="s">
        <v>262</v>
      </c>
      <c r="J9" s="316" t="s">
        <v>288</v>
      </c>
      <c r="K9" s="316"/>
      <c r="L9" s="316"/>
      <c r="M9" s="316"/>
      <c r="N9" s="331" t="s">
        <v>289</v>
      </c>
      <c r="O9" s="331"/>
      <c r="P9" s="316" t="s">
        <v>290</v>
      </c>
      <c r="Q9" s="316" t="s">
        <v>266</v>
      </c>
      <c r="R9" s="316" t="s">
        <v>291</v>
      </c>
      <c r="S9" s="301" t="s">
        <v>1052</v>
      </c>
      <c r="T9" s="302" t="s">
        <v>1053</v>
      </c>
      <c r="U9" s="302" t="s">
        <v>287</v>
      </c>
      <c r="V9" s="302"/>
      <c r="W9" s="302"/>
      <c r="X9" s="302" t="s">
        <v>312</v>
      </c>
      <c r="Y9" s="302" t="s">
        <v>262</v>
      </c>
      <c r="Z9" s="302" t="s">
        <v>288</v>
      </c>
      <c r="AA9" s="302"/>
      <c r="AB9" s="302"/>
      <c r="AC9" s="302"/>
      <c r="AD9" s="317" t="s">
        <v>289</v>
      </c>
      <c r="AE9" s="317"/>
      <c r="AF9" s="302" t="s">
        <v>290</v>
      </c>
      <c r="AG9" s="302" t="s">
        <v>266</v>
      </c>
      <c r="AH9" s="338" t="s">
        <v>291</v>
      </c>
      <c r="AI9" s="301" t="s">
        <v>1052</v>
      </c>
      <c r="AJ9" s="302" t="s">
        <v>1053</v>
      </c>
      <c r="AK9" s="302" t="s">
        <v>287</v>
      </c>
      <c r="AL9" s="302"/>
      <c r="AM9" s="302"/>
      <c r="AN9" s="302" t="s">
        <v>312</v>
      </c>
      <c r="AO9" s="302" t="s">
        <v>262</v>
      </c>
      <c r="AP9" s="302" t="s">
        <v>288</v>
      </c>
      <c r="AQ9" s="302"/>
      <c r="AR9" s="302"/>
      <c r="AS9" s="302"/>
      <c r="AT9" s="317" t="s">
        <v>289</v>
      </c>
      <c r="AU9" s="317"/>
      <c r="AV9" s="302" t="s">
        <v>290</v>
      </c>
      <c r="AW9" s="302" t="s">
        <v>266</v>
      </c>
      <c r="AX9" s="338" t="s">
        <v>291</v>
      </c>
    </row>
    <row r="10" spans="1:50" ht="15" customHeight="1" x14ac:dyDescent="0.3">
      <c r="A10" s="326"/>
      <c r="B10" s="326"/>
      <c r="C10" s="265"/>
      <c r="D10" s="269"/>
      <c r="E10" s="269" t="s">
        <v>292</v>
      </c>
      <c r="F10" s="269" t="s">
        <v>293</v>
      </c>
      <c r="G10" s="269"/>
      <c r="H10" s="269"/>
      <c r="I10" s="269"/>
      <c r="J10" s="269" t="s">
        <v>292</v>
      </c>
      <c r="K10" s="269" t="s">
        <v>294</v>
      </c>
      <c r="L10" s="269"/>
      <c r="M10" s="269"/>
      <c r="N10" s="318"/>
      <c r="O10" s="318"/>
      <c r="P10" s="269"/>
      <c r="Q10" s="269"/>
      <c r="R10" s="269"/>
      <c r="S10" s="265"/>
      <c r="T10" s="269"/>
      <c r="U10" s="269" t="s">
        <v>292</v>
      </c>
      <c r="V10" s="269" t="s">
        <v>293</v>
      </c>
      <c r="W10" s="269"/>
      <c r="X10" s="269"/>
      <c r="Y10" s="269"/>
      <c r="Z10" s="269" t="s">
        <v>292</v>
      </c>
      <c r="AA10" s="269" t="s">
        <v>294</v>
      </c>
      <c r="AB10" s="269"/>
      <c r="AC10" s="269"/>
      <c r="AD10" s="318"/>
      <c r="AE10" s="318"/>
      <c r="AF10" s="269"/>
      <c r="AG10" s="269"/>
      <c r="AH10" s="339"/>
      <c r="AI10" s="265"/>
      <c r="AJ10" s="269"/>
      <c r="AK10" s="269" t="s">
        <v>292</v>
      </c>
      <c r="AL10" s="269" t="s">
        <v>293</v>
      </c>
      <c r="AM10" s="269"/>
      <c r="AN10" s="269"/>
      <c r="AO10" s="269"/>
      <c r="AP10" s="269" t="s">
        <v>292</v>
      </c>
      <c r="AQ10" s="269" t="s">
        <v>294</v>
      </c>
      <c r="AR10" s="269"/>
      <c r="AS10" s="269"/>
      <c r="AT10" s="318"/>
      <c r="AU10" s="318"/>
      <c r="AV10" s="269"/>
      <c r="AW10" s="269"/>
      <c r="AX10" s="339"/>
    </row>
    <row r="11" spans="1:50" ht="96.6" x14ac:dyDescent="0.3">
      <c r="A11" s="326"/>
      <c r="B11" s="326"/>
      <c r="C11" s="302"/>
      <c r="D11" s="269"/>
      <c r="E11" s="269"/>
      <c r="F11" s="241" t="s">
        <v>259</v>
      </c>
      <c r="G11" s="241" t="s">
        <v>260</v>
      </c>
      <c r="H11" s="269"/>
      <c r="I11" s="269"/>
      <c r="J11" s="269"/>
      <c r="K11" s="241" t="s">
        <v>264</v>
      </c>
      <c r="L11" s="241" t="s">
        <v>303</v>
      </c>
      <c r="M11" s="241" t="s">
        <v>260</v>
      </c>
      <c r="N11" s="241" t="s">
        <v>911</v>
      </c>
      <c r="O11" s="241" t="s">
        <v>295</v>
      </c>
      <c r="P11" s="269"/>
      <c r="Q11" s="269"/>
      <c r="R11" s="269"/>
      <c r="S11" s="302"/>
      <c r="T11" s="269"/>
      <c r="U11" s="269"/>
      <c r="V11" s="196" t="s">
        <v>259</v>
      </c>
      <c r="W11" s="196" t="s">
        <v>260</v>
      </c>
      <c r="X11" s="269"/>
      <c r="Y11" s="269"/>
      <c r="Z11" s="269"/>
      <c r="AA11" s="196" t="s">
        <v>264</v>
      </c>
      <c r="AB11" s="196" t="s">
        <v>303</v>
      </c>
      <c r="AC11" s="196" t="s">
        <v>260</v>
      </c>
      <c r="AD11" s="196" t="s">
        <v>911</v>
      </c>
      <c r="AE11" s="196" t="s">
        <v>295</v>
      </c>
      <c r="AF11" s="269"/>
      <c r="AG11" s="269"/>
      <c r="AH11" s="339"/>
      <c r="AI11" s="302"/>
      <c r="AJ11" s="269"/>
      <c r="AK11" s="269"/>
      <c r="AL11" s="241" t="s">
        <v>259</v>
      </c>
      <c r="AM11" s="241" t="s">
        <v>260</v>
      </c>
      <c r="AN11" s="269"/>
      <c r="AO11" s="269"/>
      <c r="AP11" s="269"/>
      <c r="AQ11" s="241" t="s">
        <v>264</v>
      </c>
      <c r="AR11" s="241" t="s">
        <v>303</v>
      </c>
      <c r="AS11" s="241" t="s">
        <v>260</v>
      </c>
      <c r="AT11" s="241" t="s">
        <v>911</v>
      </c>
      <c r="AU11" s="241" t="s">
        <v>295</v>
      </c>
      <c r="AV11" s="269"/>
      <c r="AW11" s="269"/>
      <c r="AX11" s="339"/>
    </row>
    <row r="12" spans="1:50" ht="42.75" customHeight="1" x14ac:dyDescent="0.3">
      <c r="A12" s="199" t="s">
        <v>2</v>
      </c>
      <c r="B12" s="200" t="s">
        <v>3</v>
      </c>
      <c r="C12" s="53">
        <v>5922.6130000000012</v>
      </c>
      <c r="D12" s="53">
        <v>0</v>
      </c>
      <c r="E12" s="53">
        <v>6459.5887415000007</v>
      </c>
      <c r="F12" s="53">
        <v>5922.6130000000012</v>
      </c>
      <c r="G12" s="53">
        <v>536.97574149999991</v>
      </c>
      <c r="H12" s="53">
        <v>5918.5196694899996</v>
      </c>
      <c r="I12" s="53">
        <v>6.2183300400000006</v>
      </c>
      <c r="J12" s="53">
        <v>6455.1686816299998</v>
      </c>
      <c r="K12" s="53">
        <v>5918.5196694899996</v>
      </c>
      <c r="L12" s="53">
        <v>0</v>
      </c>
      <c r="M12" s="53">
        <v>536.64901213999997</v>
      </c>
      <c r="N12" s="53">
        <v>99.930886409258861</v>
      </c>
      <c r="O12" s="53">
        <v>99.93915379508816</v>
      </c>
      <c r="P12" s="53">
        <v>8.3134777510491062</v>
      </c>
      <c r="Q12" s="53">
        <v>6.2183300400000006</v>
      </c>
      <c r="R12" s="53">
        <v>7.1609385088322597E-15</v>
      </c>
      <c r="S12" s="53">
        <v>5915.5245000000014</v>
      </c>
      <c r="T12" s="53">
        <v>0</v>
      </c>
      <c r="U12" s="53">
        <v>6452.1271625500003</v>
      </c>
      <c r="V12" s="53">
        <v>5915.5245000000014</v>
      </c>
      <c r="W12" s="53">
        <v>536.60266254999988</v>
      </c>
      <c r="X12" s="53">
        <v>5911.4311694899998</v>
      </c>
      <c r="Y12" s="53">
        <v>6.2183300400000006</v>
      </c>
      <c r="Z12" s="53">
        <v>6447.7071026799995</v>
      </c>
      <c r="AA12" s="53">
        <v>5911.4311694899998</v>
      </c>
      <c r="AB12" s="53">
        <v>0</v>
      </c>
      <c r="AC12" s="53">
        <v>536.27593319000005</v>
      </c>
      <c r="AD12" s="53">
        <v>99.930803591296055</v>
      </c>
      <c r="AE12" s="53">
        <v>99.939111491089676</v>
      </c>
      <c r="AF12" s="53">
        <v>8.3173122576721283</v>
      </c>
      <c r="AG12" s="53">
        <v>6.2183300400000006</v>
      </c>
      <c r="AH12" s="225">
        <v>7.1609385088322597E-15</v>
      </c>
      <c r="AI12" s="53">
        <v>7.0884999999999998</v>
      </c>
      <c r="AJ12" s="53">
        <v>0</v>
      </c>
      <c r="AK12" s="53">
        <v>7.4615789499999998</v>
      </c>
      <c r="AL12" s="53">
        <v>7.0884999999999998</v>
      </c>
      <c r="AM12" s="53">
        <v>0.37307895000000002</v>
      </c>
      <c r="AN12" s="53">
        <v>7.0884999999999998</v>
      </c>
      <c r="AO12" s="53">
        <v>0</v>
      </c>
      <c r="AP12" s="53">
        <v>7.4615789499999998</v>
      </c>
      <c r="AQ12" s="53">
        <v>7.0884999999999998</v>
      </c>
      <c r="AR12" s="53">
        <v>0</v>
      </c>
      <c r="AS12" s="53">
        <v>0.37307895000000002</v>
      </c>
      <c r="AT12" s="53">
        <v>100</v>
      </c>
      <c r="AU12" s="53">
        <v>100</v>
      </c>
      <c r="AV12" s="53">
        <v>5.000000033504973</v>
      </c>
      <c r="AW12" s="53">
        <v>0</v>
      </c>
      <c r="AX12" s="225">
        <v>0</v>
      </c>
    </row>
    <row r="13" spans="1:50" ht="15.6" hidden="1" x14ac:dyDescent="0.3">
      <c r="A13" s="199"/>
      <c r="B13" s="55" t="s">
        <v>296</v>
      </c>
      <c r="C13" s="80"/>
      <c r="D13" s="53"/>
      <c r="E13" s="53"/>
      <c r="F13" s="8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80"/>
      <c r="T13" s="53"/>
      <c r="U13" s="53"/>
      <c r="V13" s="83"/>
      <c r="W13" s="53"/>
      <c r="X13" s="53"/>
      <c r="Y13" s="53"/>
      <c r="Z13" s="53"/>
      <c r="AA13" s="53"/>
      <c r="AB13" s="53"/>
      <c r="AC13" s="53"/>
      <c r="AD13" s="53"/>
      <c r="AE13" s="53"/>
      <c r="AF13" s="53"/>
      <c r="AG13" s="53"/>
      <c r="AH13" s="225"/>
      <c r="AI13" s="80"/>
      <c r="AJ13" s="53"/>
      <c r="AK13" s="53"/>
      <c r="AL13" s="83"/>
      <c r="AM13" s="53"/>
      <c r="AN13" s="53"/>
      <c r="AO13" s="53"/>
      <c r="AP13" s="53"/>
      <c r="AQ13" s="53"/>
      <c r="AR13" s="53"/>
      <c r="AS13" s="53"/>
      <c r="AT13" s="53"/>
      <c r="AU13" s="53"/>
      <c r="AV13" s="53"/>
      <c r="AW13" s="53"/>
      <c r="AX13" s="225"/>
    </row>
    <row r="14" spans="1:50" ht="15.6" x14ac:dyDescent="0.3">
      <c r="A14" s="202" t="s">
        <v>6</v>
      </c>
      <c r="B14" s="203" t="s">
        <v>7</v>
      </c>
      <c r="C14" s="61">
        <v>4070.5655999999999</v>
      </c>
      <c r="D14" s="61">
        <v>0</v>
      </c>
      <c r="E14" s="61">
        <v>4435.0124705100006</v>
      </c>
      <c r="F14" s="61">
        <v>4070.5655999999999</v>
      </c>
      <c r="G14" s="61">
        <v>364.44687050999994</v>
      </c>
      <c r="H14" s="61">
        <v>4069.6327736499998</v>
      </c>
      <c r="I14" s="61">
        <v>0.4621596</v>
      </c>
      <c r="J14" s="61">
        <v>4433.9854522400001</v>
      </c>
      <c r="K14" s="61">
        <v>4069.6327736499998</v>
      </c>
      <c r="L14" s="61">
        <v>0</v>
      </c>
      <c r="M14" s="61">
        <v>364.35267858999998</v>
      </c>
      <c r="N14" s="61">
        <v>99.977083618306011</v>
      </c>
      <c r="O14" s="61">
        <v>99.97415482814597</v>
      </c>
      <c r="P14" s="61">
        <v>8.2172727564077377</v>
      </c>
      <c r="Q14" s="61">
        <v>0.4621596</v>
      </c>
      <c r="R14" s="61">
        <v>6.7723604502134549E-15</v>
      </c>
      <c r="S14" s="61">
        <v>4070.5655999999999</v>
      </c>
      <c r="T14" s="61">
        <v>0</v>
      </c>
      <c r="U14" s="61">
        <v>4435.0124705100006</v>
      </c>
      <c r="V14" s="61">
        <v>4070.5655999999999</v>
      </c>
      <c r="W14" s="61">
        <v>364.44687050999994</v>
      </c>
      <c r="X14" s="61">
        <v>4069.6327736499998</v>
      </c>
      <c r="Y14" s="61">
        <v>0.4621596</v>
      </c>
      <c r="Z14" s="61">
        <v>4433.9854522400001</v>
      </c>
      <c r="AA14" s="61">
        <v>4069.6327736499998</v>
      </c>
      <c r="AB14" s="61">
        <v>0</v>
      </c>
      <c r="AC14" s="61">
        <v>364.35267858999998</v>
      </c>
      <c r="AD14" s="61">
        <v>99.977083618306011</v>
      </c>
      <c r="AE14" s="61">
        <v>99.97415482814597</v>
      </c>
      <c r="AF14" s="61">
        <v>8.2172727564077377</v>
      </c>
      <c r="AG14" s="61">
        <v>0.4621596</v>
      </c>
      <c r="AH14" s="226">
        <v>6.7723604502134549E-15</v>
      </c>
      <c r="AI14" s="61">
        <v>0</v>
      </c>
      <c r="AJ14" s="61">
        <v>0</v>
      </c>
      <c r="AK14" s="61">
        <v>0</v>
      </c>
      <c r="AL14" s="61">
        <v>0</v>
      </c>
      <c r="AM14" s="61">
        <v>0</v>
      </c>
      <c r="AN14" s="61">
        <v>0</v>
      </c>
      <c r="AO14" s="61">
        <v>0</v>
      </c>
      <c r="AP14" s="61">
        <v>0</v>
      </c>
      <c r="AQ14" s="61">
        <v>0</v>
      </c>
      <c r="AR14" s="61">
        <v>0</v>
      </c>
      <c r="AS14" s="61">
        <v>0</v>
      </c>
      <c r="AT14" s="61" t="s">
        <v>1230</v>
      </c>
      <c r="AU14" s="61" t="s">
        <v>1230</v>
      </c>
      <c r="AV14" s="61">
        <v>0</v>
      </c>
      <c r="AW14" s="61">
        <v>0</v>
      </c>
      <c r="AX14" s="226">
        <v>0</v>
      </c>
    </row>
    <row r="15" spans="1:50" ht="15.6" x14ac:dyDescent="0.3">
      <c r="A15" s="169" t="s">
        <v>9</v>
      </c>
      <c r="B15" s="205" t="s">
        <v>10</v>
      </c>
      <c r="C15" s="66">
        <v>556.7346</v>
      </c>
      <c r="D15" s="66">
        <v>0</v>
      </c>
      <c r="E15" s="66">
        <v>556.79027902999997</v>
      </c>
      <c r="F15" s="66">
        <v>556.7346</v>
      </c>
      <c r="G15" s="66">
        <v>5.5679029999999997E-2</v>
      </c>
      <c r="H15" s="66">
        <v>556.7346</v>
      </c>
      <c r="I15" s="66">
        <v>0</v>
      </c>
      <c r="J15" s="66">
        <v>556.79027902999997</v>
      </c>
      <c r="K15" s="66">
        <v>556.7346</v>
      </c>
      <c r="L15" s="66">
        <v>0</v>
      </c>
      <c r="M15" s="66">
        <v>5.5679029999999997E-2</v>
      </c>
      <c r="N15" s="67">
        <v>100</v>
      </c>
      <c r="O15" s="67">
        <v>100</v>
      </c>
      <c r="P15" s="67">
        <v>1.0000000376622955E-2</v>
      </c>
      <c r="Q15" s="66">
        <v>0</v>
      </c>
      <c r="R15" s="67">
        <v>0</v>
      </c>
      <c r="S15" s="66">
        <v>556.7346</v>
      </c>
      <c r="T15" s="66">
        <v>0</v>
      </c>
      <c r="U15" s="66">
        <v>556.79027902999997</v>
      </c>
      <c r="V15" s="66">
        <v>556.7346</v>
      </c>
      <c r="W15" s="66">
        <v>5.5679029999999997E-2</v>
      </c>
      <c r="X15" s="66">
        <v>556.7346</v>
      </c>
      <c r="Y15" s="66">
        <v>0</v>
      </c>
      <c r="Z15" s="66">
        <v>556.79027902999997</v>
      </c>
      <c r="AA15" s="66">
        <v>556.7346</v>
      </c>
      <c r="AB15" s="66">
        <v>0</v>
      </c>
      <c r="AC15" s="66">
        <v>5.5679029999999997E-2</v>
      </c>
      <c r="AD15" s="67">
        <v>100</v>
      </c>
      <c r="AE15" s="67">
        <v>100</v>
      </c>
      <c r="AF15" s="67">
        <v>1.0000000376622955E-2</v>
      </c>
      <c r="AG15" s="66">
        <v>0</v>
      </c>
      <c r="AH15" s="237">
        <v>0</v>
      </c>
      <c r="AI15" s="66">
        <v>0</v>
      </c>
      <c r="AJ15" s="66">
        <v>0</v>
      </c>
      <c r="AK15" s="66">
        <v>0</v>
      </c>
      <c r="AL15" s="66">
        <v>0</v>
      </c>
      <c r="AM15" s="66">
        <v>0</v>
      </c>
      <c r="AN15" s="66">
        <v>0</v>
      </c>
      <c r="AO15" s="66">
        <v>0</v>
      </c>
      <c r="AP15" s="66">
        <v>0</v>
      </c>
      <c r="AQ15" s="66">
        <v>0</v>
      </c>
      <c r="AR15" s="66">
        <v>0</v>
      </c>
      <c r="AS15" s="66">
        <v>0</v>
      </c>
      <c r="AT15" s="67" t="s">
        <v>1230</v>
      </c>
      <c r="AU15" s="67" t="s">
        <v>1230</v>
      </c>
      <c r="AV15" s="67">
        <v>0</v>
      </c>
      <c r="AW15" s="66">
        <v>0</v>
      </c>
      <c r="AX15" s="237">
        <v>0</v>
      </c>
    </row>
    <row r="16" spans="1:50" ht="15.6" x14ac:dyDescent="0.3">
      <c r="A16" s="169" t="s">
        <v>12</v>
      </c>
      <c r="B16" s="205" t="s">
        <v>13</v>
      </c>
      <c r="C16" s="66">
        <v>14.6615</v>
      </c>
      <c r="D16" s="66">
        <v>0</v>
      </c>
      <c r="E16" s="66">
        <v>18.6615</v>
      </c>
      <c r="F16" s="66">
        <v>14.6615</v>
      </c>
      <c r="G16" s="66">
        <v>4</v>
      </c>
      <c r="H16" s="66">
        <v>14.516157570000001</v>
      </c>
      <c r="I16" s="66">
        <v>0</v>
      </c>
      <c r="J16" s="66">
        <v>18.476504760000001</v>
      </c>
      <c r="K16" s="66">
        <v>14.516157570000001</v>
      </c>
      <c r="L16" s="66">
        <v>0</v>
      </c>
      <c r="M16" s="66">
        <v>3.9603471899999998</v>
      </c>
      <c r="N16" s="67">
        <v>99.008679671247833</v>
      </c>
      <c r="O16" s="67">
        <v>99.008679749999999</v>
      </c>
      <c r="P16" s="67">
        <v>21.43450420651963</v>
      </c>
      <c r="Q16" s="66">
        <v>0</v>
      </c>
      <c r="R16" s="67">
        <v>0</v>
      </c>
      <c r="S16" s="66">
        <v>14.6615</v>
      </c>
      <c r="T16" s="66">
        <v>0</v>
      </c>
      <c r="U16" s="66">
        <v>18.6615</v>
      </c>
      <c r="V16" s="66">
        <v>14.6615</v>
      </c>
      <c r="W16" s="66">
        <v>4</v>
      </c>
      <c r="X16" s="66">
        <v>14.516157570000001</v>
      </c>
      <c r="Y16" s="66">
        <v>0</v>
      </c>
      <c r="Z16" s="66">
        <v>18.476504760000001</v>
      </c>
      <c r="AA16" s="66">
        <v>14.516157570000001</v>
      </c>
      <c r="AB16" s="66">
        <v>0</v>
      </c>
      <c r="AC16" s="66">
        <v>3.9603471899999998</v>
      </c>
      <c r="AD16" s="67">
        <v>99.008679671247833</v>
      </c>
      <c r="AE16" s="67">
        <v>99.008679749999999</v>
      </c>
      <c r="AF16" s="67">
        <v>21.43450420651963</v>
      </c>
      <c r="AG16" s="66">
        <v>0</v>
      </c>
      <c r="AH16" s="237">
        <v>0</v>
      </c>
      <c r="AI16" s="66">
        <v>0</v>
      </c>
      <c r="AJ16" s="66">
        <v>0</v>
      </c>
      <c r="AK16" s="66">
        <v>0</v>
      </c>
      <c r="AL16" s="66">
        <v>0</v>
      </c>
      <c r="AM16" s="66">
        <v>0</v>
      </c>
      <c r="AN16" s="66">
        <v>0</v>
      </c>
      <c r="AO16" s="66">
        <v>0</v>
      </c>
      <c r="AP16" s="66">
        <v>0</v>
      </c>
      <c r="AQ16" s="66">
        <v>0</v>
      </c>
      <c r="AR16" s="66">
        <v>0</v>
      </c>
      <c r="AS16" s="66">
        <v>0</v>
      </c>
      <c r="AT16" s="67" t="s">
        <v>1230</v>
      </c>
      <c r="AU16" s="67" t="s">
        <v>1230</v>
      </c>
      <c r="AV16" s="67">
        <v>0</v>
      </c>
      <c r="AW16" s="66">
        <v>0</v>
      </c>
      <c r="AX16" s="237">
        <v>0</v>
      </c>
    </row>
    <row r="17" spans="1:50" ht="15.6" x14ac:dyDescent="0.3">
      <c r="A17" s="169" t="s">
        <v>15</v>
      </c>
      <c r="B17" s="205" t="s">
        <v>16</v>
      </c>
      <c r="C17" s="66">
        <v>0</v>
      </c>
      <c r="D17" s="66">
        <v>0</v>
      </c>
      <c r="E17" s="66">
        <v>0</v>
      </c>
      <c r="F17" s="66">
        <v>0</v>
      </c>
      <c r="G17" s="66">
        <v>0</v>
      </c>
      <c r="H17" s="66">
        <v>0</v>
      </c>
      <c r="I17" s="66">
        <v>0</v>
      </c>
      <c r="J17" s="66">
        <v>0</v>
      </c>
      <c r="K17" s="66">
        <v>0</v>
      </c>
      <c r="L17" s="66">
        <v>0</v>
      </c>
      <c r="M17" s="66">
        <v>0</v>
      </c>
      <c r="N17" s="67" t="s">
        <v>1230</v>
      </c>
      <c r="O17" s="67" t="s">
        <v>1230</v>
      </c>
      <c r="P17" s="67">
        <v>0</v>
      </c>
      <c r="Q17" s="66">
        <v>0</v>
      </c>
      <c r="R17" s="67">
        <v>0</v>
      </c>
      <c r="S17" s="66">
        <v>0</v>
      </c>
      <c r="T17" s="66">
        <v>0</v>
      </c>
      <c r="U17" s="66">
        <v>0</v>
      </c>
      <c r="V17" s="66">
        <v>0</v>
      </c>
      <c r="W17" s="66">
        <v>0</v>
      </c>
      <c r="X17" s="66">
        <v>0</v>
      </c>
      <c r="Y17" s="66">
        <v>0</v>
      </c>
      <c r="Z17" s="66">
        <v>0</v>
      </c>
      <c r="AA17" s="66">
        <v>0</v>
      </c>
      <c r="AB17" s="66">
        <v>0</v>
      </c>
      <c r="AC17" s="66">
        <v>0</v>
      </c>
      <c r="AD17" s="67" t="s">
        <v>1230</v>
      </c>
      <c r="AE17" s="67" t="s">
        <v>1230</v>
      </c>
      <c r="AF17" s="67">
        <v>0</v>
      </c>
      <c r="AG17" s="66">
        <v>0</v>
      </c>
      <c r="AH17" s="237">
        <v>0</v>
      </c>
      <c r="AI17" s="66">
        <v>0</v>
      </c>
      <c r="AJ17" s="66">
        <v>0</v>
      </c>
      <c r="AK17" s="66">
        <v>0</v>
      </c>
      <c r="AL17" s="66">
        <v>0</v>
      </c>
      <c r="AM17" s="66">
        <v>0</v>
      </c>
      <c r="AN17" s="66">
        <v>0</v>
      </c>
      <c r="AO17" s="66">
        <v>0</v>
      </c>
      <c r="AP17" s="66">
        <v>0</v>
      </c>
      <c r="AQ17" s="66">
        <v>0</v>
      </c>
      <c r="AR17" s="66">
        <v>0</v>
      </c>
      <c r="AS17" s="66">
        <v>0</v>
      </c>
      <c r="AT17" s="67" t="s">
        <v>1230</v>
      </c>
      <c r="AU17" s="67" t="s">
        <v>1230</v>
      </c>
      <c r="AV17" s="67">
        <v>0</v>
      </c>
      <c r="AW17" s="66">
        <v>0</v>
      </c>
      <c r="AX17" s="237">
        <v>0</v>
      </c>
    </row>
    <row r="18" spans="1:50" ht="15.6" x14ac:dyDescent="0.3">
      <c r="A18" s="169" t="s">
        <v>18</v>
      </c>
      <c r="B18" s="205" t="s">
        <v>19</v>
      </c>
      <c r="C18" s="66">
        <v>1211.9538</v>
      </c>
      <c r="D18" s="66">
        <v>0</v>
      </c>
      <c r="E18" s="66">
        <v>1273.49230195</v>
      </c>
      <c r="F18" s="66">
        <v>1211.9538</v>
      </c>
      <c r="G18" s="66">
        <v>61.538501950000004</v>
      </c>
      <c r="H18" s="66">
        <v>1211.9538</v>
      </c>
      <c r="I18" s="66">
        <v>0</v>
      </c>
      <c r="J18" s="66">
        <v>1273.49230195</v>
      </c>
      <c r="K18" s="66">
        <v>1211.9538</v>
      </c>
      <c r="L18" s="66">
        <v>0</v>
      </c>
      <c r="M18" s="66">
        <v>61.538501950000004</v>
      </c>
      <c r="N18" s="67">
        <v>100</v>
      </c>
      <c r="O18" s="67">
        <v>100</v>
      </c>
      <c r="P18" s="67">
        <v>4.8322633639615153</v>
      </c>
      <c r="Q18" s="66">
        <v>0</v>
      </c>
      <c r="R18" s="67">
        <v>0</v>
      </c>
      <c r="S18" s="66">
        <v>1211.9538</v>
      </c>
      <c r="T18" s="66">
        <v>0</v>
      </c>
      <c r="U18" s="66">
        <v>1273.49230195</v>
      </c>
      <c r="V18" s="66">
        <v>1211.9538</v>
      </c>
      <c r="W18" s="66">
        <v>61.538501950000004</v>
      </c>
      <c r="X18" s="66">
        <v>1211.9538</v>
      </c>
      <c r="Y18" s="66">
        <v>0</v>
      </c>
      <c r="Z18" s="66">
        <v>1273.49230195</v>
      </c>
      <c r="AA18" s="66">
        <v>1211.9538</v>
      </c>
      <c r="AB18" s="66">
        <v>0</v>
      </c>
      <c r="AC18" s="66">
        <v>61.538501950000004</v>
      </c>
      <c r="AD18" s="67">
        <v>100</v>
      </c>
      <c r="AE18" s="67">
        <v>100</v>
      </c>
      <c r="AF18" s="67">
        <v>4.8322633639615153</v>
      </c>
      <c r="AG18" s="66">
        <v>0</v>
      </c>
      <c r="AH18" s="237">
        <v>0</v>
      </c>
      <c r="AI18" s="66">
        <v>0</v>
      </c>
      <c r="AJ18" s="66">
        <v>0</v>
      </c>
      <c r="AK18" s="66">
        <v>0</v>
      </c>
      <c r="AL18" s="66">
        <v>0</v>
      </c>
      <c r="AM18" s="66">
        <v>0</v>
      </c>
      <c r="AN18" s="66">
        <v>0</v>
      </c>
      <c r="AO18" s="66">
        <v>0</v>
      </c>
      <c r="AP18" s="66">
        <v>0</v>
      </c>
      <c r="AQ18" s="66">
        <v>0</v>
      </c>
      <c r="AR18" s="66">
        <v>0</v>
      </c>
      <c r="AS18" s="66">
        <v>0</v>
      </c>
      <c r="AT18" s="67" t="s">
        <v>1230</v>
      </c>
      <c r="AU18" s="67" t="s">
        <v>1230</v>
      </c>
      <c r="AV18" s="67">
        <v>0</v>
      </c>
      <c r="AW18" s="66">
        <v>0</v>
      </c>
      <c r="AX18" s="237">
        <v>0</v>
      </c>
    </row>
    <row r="19" spans="1:50" ht="15.6" x14ac:dyDescent="0.3">
      <c r="A19" s="169" t="s">
        <v>21</v>
      </c>
      <c r="B19" s="205" t="s">
        <v>22</v>
      </c>
      <c r="C19" s="66">
        <v>16.939</v>
      </c>
      <c r="D19" s="66">
        <v>0</v>
      </c>
      <c r="E19" s="66">
        <v>18.213978489999999</v>
      </c>
      <c r="F19" s="66">
        <v>16.939</v>
      </c>
      <c r="G19" s="66">
        <v>1.2749784900000001</v>
      </c>
      <c r="H19" s="66">
        <v>16.939</v>
      </c>
      <c r="I19" s="66">
        <v>0</v>
      </c>
      <c r="J19" s="66">
        <v>18.213978489999999</v>
      </c>
      <c r="K19" s="66">
        <v>16.939</v>
      </c>
      <c r="L19" s="66">
        <v>0</v>
      </c>
      <c r="M19" s="66">
        <v>1.2749784900000001</v>
      </c>
      <c r="N19" s="67">
        <v>100</v>
      </c>
      <c r="O19" s="67">
        <v>100</v>
      </c>
      <c r="P19" s="67">
        <v>6.9999999763917593</v>
      </c>
      <c r="Q19" s="66">
        <v>0</v>
      </c>
      <c r="R19" s="67">
        <v>0</v>
      </c>
      <c r="S19" s="66">
        <v>16.939</v>
      </c>
      <c r="T19" s="66">
        <v>0</v>
      </c>
      <c r="U19" s="66">
        <v>18.213978489999999</v>
      </c>
      <c r="V19" s="66">
        <v>16.939</v>
      </c>
      <c r="W19" s="66">
        <v>1.2749784900000001</v>
      </c>
      <c r="X19" s="66">
        <v>16.939</v>
      </c>
      <c r="Y19" s="66">
        <v>0</v>
      </c>
      <c r="Z19" s="66">
        <v>18.213978489999999</v>
      </c>
      <c r="AA19" s="66">
        <v>16.939</v>
      </c>
      <c r="AB19" s="66">
        <v>0</v>
      </c>
      <c r="AC19" s="66">
        <v>1.2749784900000001</v>
      </c>
      <c r="AD19" s="67">
        <v>100</v>
      </c>
      <c r="AE19" s="67">
        <v>100</v>
      </c>
      <c r="AF19" s="67">
        <v>6.9999999763917593</v>
      </c>
      <c r="AG19" s="66">
        <v>0</v>
      </c>
      <c r="AH19" s="237">
        <v>0</v>
      </c>
      <c r="AI19" s="66">
        <v>0</v>
      </c>
      <c r="AJ19" s="66">
        <v>0</v>
      </c>
      <c r="AK19" s="66">
        <v>0</v>
      </c>
      <c r="AL19" s="66">
        <v>0</v>
      </c>
      <c r="AM19" s="66">
        <v>0</v>
      </c>
      <c r="AN19" s="66">
        <v>0</v>
      </c>
      <c r="AO19" s="66">
        <v>0</v>
      </c>
      <c r="AP19" s="66">
        <v>0</v>
      </c>
      <c r="AQ19" s="66">
        <v>0</v>
      </c>
      <c r="AR19" s="66">
        <v>0</v>
      </c>
      <c r="AS19" s="66">
        <v>0</v>
      </c>
      <c r="AT19" s="67" t="s">
        <v>1230</v>
      </c>
      <c r="AU19" s="67" t="s">
        <v>1230</v>
      </c>
      <c r="AV19" s="67">
        <v>0</v>
      </c>
      <c r="AW19" s="66">
        <v>0</v>
      </c>
      <c r="AX19" s="237">
        <v>0</v>
      </c>
    </row>
    <row r="20" spans="1:50" ht="15.6" x14ac:dyDescent="0.3">
      <c r="A20" s="169" t="s">
        <v>24</v>
      </c>
      <c r="B20" s="205" t="s">
        <v>25</v>
      </c>
      <c r="C20" s="66">
        <v>644.49019999999996</v>
      </c>
      <c r="D20" s="66">
        <v>0</v>
      </c>
      <c r="E20" s="66">
        <v>835.97148000000004</v>
      </c>
      <c r="F20" s="66">
        <v>644.49019999999996</v>
      </c>
      <c r="G20" s="66">
        <v>191.48128</v>
      </c>
      <c r="H20" s="66">
        <v>644.49019999999996</v>
      </c>
      <c r="I20" s="66">
        <v>0</v>
      </c>
      <c r="J20" s="66">
        <v>835.97148000000004</v>
      </c>
      <c r="K20" s="66">
        <v>644.49019999999996</v>
      </c>
      <c r="L20" s="66">
        <v>0</v>
      </c>
      <c r="M20" s="66">
        <v>191.48128</v>
      </c>
      <c r="N20" s="67">
        <v>100</v>
      </c>
      <c r="O20" s="67">
        <v>100</v>
      </c>
      <c r="P20" s="67">
        <v>22.905240738595531</v>
      </c>
      <c r="Q20" s="66">
        <v>0</v>
      </c>
      <c r="R20" s="67">
        <v>0</v>
      </c>
      <c r="S20" s="66">
        <v>644.49019999999996</v>
      </c>
      <c r="T20" s="66">
        <v>0</v>
      </c>
      <c r="U20" s="66">
        <v>835.97148000000004</v>
      </c>
      <c r="V20" s="66">
        <v>644.49019999999996</v>
      </c>
      <c r="W20" s="66">
        <v>191.48128</v>
      </c>
      <c r="X20" s="66">
        <v>644.49019999999996</v>
      </c>
      <c r="Y20" s="66">
        <v>0</v>
      </c>
      <c r="Z20" s="66">
        <v>835.97148000000004</v>
      </c>
      <c r="AA20" s="66">
        <v>644.49019999999996</v>
      </c>
      <c r="AB20" s="66">
        <v>0</v>
      </c>
      <c r="AC20" s="66">
        <v>191.48128</v>
      </c>
      <c r="AD20" s="67">
        <v>100</v>
      </c>
      <c r="AE20" s="67">
        <v>100</v>
      </c>
      <c r="AF20" s="67">
        <v>22.905240738595531</v>
      </c>
      <c r="AG20" s="66">
        <v>0</v>
      </c>
      <c r="AH20" s="237">
        <v>0</v>
      </c>
      <c r="AI20" s="66">
        <v>0</v>
      </c>
      <c r="AJ20" s="66">
        <v>0</v>
      </c>
      <c r="AK20" s="66">
        <v>0</v>
      </c>
      <c r="AL20" s="66">
        <v>0</v>
      </c>
      <c r="AM20" s="66">
        <v>0</v>
      </c>
      <c r="AN20" s="66">
        <v>0</v>
      </c>
      <c r="AO20" s="66">
        <v>0</v>
      </c>
      <c r="AP20" s="66">
        <v>0</v>
      </c>
      <c r="AQ20" s="66">
        <v>0</v>
      </c>
      <c r="AR20" s="66">
        <v>0</v>
      </c>
      <c r="AS20" s="66">
        <v>0</v>
      </c>
      <c r="AT20" s="67" t="s">
        <v>1230</v>
      </c>
      <c r="AU20" s="67" t="s">
        <v>1230</v>
      </c>
      <c r="AV20" s="67">
        <v>0</v>
      </c>
      <c r="AW20" s="66">
        <v>0</v>
      </c>
      <c r="AX20" s="237">
        <v>0</v>
      </c>
    </row>
    <row r="21" spans="1:50" ht="15.6" x14ac:dyDescent="0.3">
      <c r="A21" s="169" t="s">
        <v>27</v>
      </c>
      <c r="B21" s="205" t="s">
        <v>28</v>
      </c>
      <c r="C21" s="66">
        <v>66.920500000000004</v>
      </c>
      <c r="D21" s="66">
        <v>0</v>
      </c>
      <c r="E21" s="66">
        <v>93.688699999999997</v>
      </c>
      <c r="F21" s="66">
        <v>66.920500000000004</v>
      </c>
      <c r="G21" s="66">
        <v>26.7682</v>
      </c>
      <c r="H21" s="66">
        <v>66.920500000000004</v>
      </c>
      <c r="I21" s="66">
        <v>0.4621596</v>
      </c>
      <c r="J21" s="66">
        <v>93.688699999999997</v>
      </c>
      <c r="K21" s="66">
        <v>66.920500000000004</v>
      </c>
      <c r="L21" s="66">
        <v>0</v>
      </c>
      <c r="M21" s="66">
        <v>26.7682</v>
      </c>
      <c r="N21" s="67">
        <v>100</v>
      </c>
      <c r="O21" s="67">
        <v>100</v>
      </c>
      <c r="P21" s="67">
        <v>28.571428571428569</v>
      </c>
      <c r="Q21" s="66">
        <v>0.4621596</v>
      </c>
      <c r="R21" s="67">
        <v>6.7723604502134549E-15</v>
      </c>
      <c r="S21" s="66">
        <v>66.920500000000004</v>
      </c>
      <c r="T21" s="66">
        <v>0</v>
      </c>
      <c r="U21" s="66">
        <v>93.688699999999997</v>
      </c>
      <c r="V21" s="66">
        <v>66.920500000000004</v>
      </c>
      <c r="W21" s="66">
        <v>26.7682</v>
      </c>
      <c r="X21" s="66">
        <v>66.920500000000004</v>
      </c>
      <c r="Y21" s="66">
        <v>0.4621596</v>
      </c>
      <c r="Z21" s="66">
        <v>93.688699999999997</v>
      </c>
      <c r="AA21" s="66">
        <v>66.920500000000004</v>
      </c>
      <c r="AB21" s="66">
        <v>0</v>
      </c>
      <c r="AC21" s="66">
        <v>26.7682</v>
      </c>
      <c r="AD21" s="67">
        <v>100</v>
      </c>
      <c r="AE21" s="67">
        <v>100</v>
      </c>
      <c r="AF21" s="67">
        <v>28.571428571428569</v>
      </c>
      <c r="AG21" s="66">
        <v>0.4621596</v>
      </c>
      <c r="AH21" s="237">
        <v>6.7723604502134549E-15</v>
      </c>
      <c r="AI21" s="66">
        <v>0</v>
      </c>
      <c r="AJ21" s="66">
        <v>0</v>
      </c>
      <c r="AK21" s="66">
        <v>0</v>
      </c>
      <c r="AL21" s="66">
        <v>0</v>
      </c>
      <c r="AM21" s="66">
        <v>0</v>
      </c>
      <c r="AN21" s="66">
        <v>0</v>
      </c>
      <c r="AO21" s="66">
        <v>0</v>
      </c>
      <c r="AP21" s="66">
        <v>0</v>
      </c>
      <c r="AQ21" s="66">
        <v>0</v>
      </c>
      <c r="AR21" s="66">
        <v>0</v>
      </c>
      <c r="AS21" s="66">
        <v>0</v>
      </c>
      <c r="AT21" s="67" t="s">
        <v>1230</v>
      </c>
      <c r="AU21" s="67" t="s">
        <v>1230</v>
      </c>
      <c r="AV21" s="67">
        <v>0</v>
      </c>
      <c r="AW21" s="66">
        <v>0</v>
      </c>
      <c r="AX21" s="237">
        <v>0</v>
      </c>
    </row>
    <row r="22" spans="1:50" ht="15.6" x14ac:dyDescent="0.3">
      <c r="A22" s="169" t="s">
        <v>30</v>
      </c>
      <c r="B22" s="205" t="s">
        <v>31</v>
      </c>
      <c r="C22" s="66">
        <v>750.52919999999995</v>
      </c>
      <c r="D22" s="66">
        <v>0</v>
      </c>
      <c r="E22" s="66">
        <v>760.52919999999995</v>
      </c>
      <c r="F22" s="66">
        <v>750.52919999999995</v>
      </c>
      <c r="G22" s="66">
        <v>10</v>
      </c>
      <c r="H22" s="66">
        <v>750.52919999999995</v>
      </c>
      <c r="I22" s="66">
        <v>0</v>
      </c>
      <c r="J22" s="66">
        <v>760.52919999999995</v>
      </c>
      <c r="K22" s="66">
        <v>750.52919999999995</v>
      </c>
      <c r="L22" s="66">
        <v>0</v>
      </c>
      <c r="M22" s="66">
        <v>10</v>
      </c>
      <c r="N22" s="67">
        <v>100</v>
      </c>
      <c r="O22" s="67">
        <v>100</v>
      </c>
      <c r="P22" s="67">
        <v>1.3148739062221411</v>
      </c>
      <c r="Q22" s="66">
        <v>0</v>
      </c>
      <c r="R22" s="67">
        <v>0</v>
      </c>
      <c r="S22" s="66">
        <v>750.52919999999995</v>
      </c>
      <c r="T22" s="66">
        <v>0</v>
      </c>
      <c r="U22" s="66">
        <v>760.52919999999995</v>
      </c>
      <c r="V22" s="66">
        <v>750.52919999999995</v>
      </c>
      <c r="W22" s="66">
        <v>10</v>
      </c>
      <c r="X22" s="66">
        <v>750.52919999999995</v>
      </c>
      <c r="Y22" s="66">
        <v>0</v>
      </c>
      <c r="Z22" s="66">
        <v>760.52919999999995</v>
      </c>
      <c r="AA22" s="66">
        <v>750.52919999999995</v>
      </c>
      <c r="AB22" s="66">
        <v>0</v>
      </c>
      <c r="AC22" s="66">
        <v>10</v>
      </c>
      <c r="AD22" s="67">
        <v>100</v>
      </c>
      <c r="AE22" s="67">
        <v>100</v>
      </c>
      <c r="AF22" s="67">
        <v>1.3148739062221411</v>
      </c>
      <c r="AG22" s="66">
        <v>0</v>
      </c>
      <c r="AH22" s="67">
        <v>0</v>
      </c>
      <c r="AI22" s="66">
        <v>0</v>
      </c>
      <c r="AJ22" s="66">
        <v>0</v>
      </c>
      <c r="AK22" s="66">
        <v>0</v>
      </c>
      <c r="AL22" s="66">
        <v>0</v>
      </c>
      <c r="AM22" s="66">
        <v>0</v>
      </c>
      <c r="AN22" s="66">
        <v>0</v>
      </c>
      <c r="AO22" s="66">
        <v>0</v>
      </c>
      <c r="AP22" s="66">
        <v>0</v>
      </c>
      <c r="AQ22" s="66">
        <v>0</v>
      </c>
      <c r="AR22" s="66">
        <v>0</v>
      </c>
      <c r="AS22" s="66">
        <v>0</v>
      </c>
      <c r="AT22" s="67" t="s">
        <v>1230</v>
      </c>
      <c r="AU22" s="67" t="s">
        <v>1230</v>
      </c>
      <c r="AV22" s="67">
        <v>0</v>
      </c>
      <c r="AW22" s="66">
        <v>0</v>
      </c>
      <c r="AX22" s="67">
        <v>0</v>
      </c>
    </row>
    <row r="23" spans="1:50" ht="15.6" x14ac:dyDescent="0.3">
      <c r="A23" s="169" t="s">
        <v>33</v>
      </c>
      <c r="B23" s="205" t="s">
        <v>34</v>
      </c>
      <c r="C23" s="66">
        <v>37.8232</v>
      </c>
      <c r="D23" s="66">
        <v>0</v>
      </c>
      <c r="E23" s="66">
        <v>39.8232</v>
      </c>
      <c r="F23" s="66">
        <v>37.8232</v>
      </c>
      <c r="G23" s="66">
        <v>2</v>
      </c>
      <c r="H23" s="66">
        <v>37.076823470000001</v>
      </c>
      <c r="I23" s="66">
        <v>0</v>
      </c>
      <c r="J23" s="66">
        <v>39.037431380000001</v>
      </c>
      <c r="K23" s="66">
        <v>37.076823470000001</v>
      </c>
      <c r="L23" s="66">
        <v>0</v>
      </c>
      <c r="M23" s="66">
        <v>1.96060791</v>
      </c>
      <c r="N23" s="67">
        <v>98.026670059645937</v>
      </c>
      <c r="O23" s="67">
        <v>98.030395499999997</v>
      </c>
      <c r="P23" s="67">
        <v>5.0223793950861113</v>
      </c>
      <c r="Q23" s="66">
        <v>0</v>
      </c>
      <c r="R23" s="67">
        <v>0</v>
      </c>
      <c r="S23" s="66">
        <v>37.8232</v>
      </c>
      <c r="T23" s="66">
        <v>0</v>
      </c>
      <c r="U23" s="66">
        <v>39.8232</v>
      </c>
      <c r="V23" s="66">
        <v>37.8232</v>
      </c>
      <c r="W23" s="66">
        <v>2</v>
      </c>
      <c r="X23" s="66">
        <v>37.076823470000001</v>
      </c>
      <c r="Y23" s="66">
        <v>0</v>
      </c>
      <c r="Z23" s="66">
        <v>39.037431380000001</v>
      </c>
      <c r="AA23" s="66">
        <v>37.076823470000001</v>
      </c>
      <c r="AB23" s="66">
        <v>0</v>
      </c>
      <c r="AC23" s="66">
        <v>1.96060791</v>
      </c>
      <c r="AD23" s="67">
        <v>98.026670059645937</v>
      </c>
      <c r="AE23" s="67">
        <v>98.030395499999997</v>
      </c>
      <c r="AF23" s="67">
        <v>5.0223793950861113</v>
      </c>
      <c r="AG23" s="66">
        <v>0</v>
      </c>
      <c r="AH23" s="67">
        <v>0</v>
      </c>
      <c r="AI23" s="66">
        <v>0</v>
      </c>
      <c r="AJ23" s="66">
        <v>0</v>
      </c>
      <c r="AK23" s="66">
        <v>0</v>
      </c>
      <c r="AL23" s="66">
        <v>0</v>
      </c>
      <c r="AM23" s="66">
        <v>0</v>
      </c>
      <c r="AN23" s="66">
        <v>0</v>
      </c>
      <c r="AO23" s="66">
        <v>0</v>
      </c>
      <c r="AP23" s="66">
        <v>0</v>
      </c>
      <c r="AQ23" s="66">
        <v>0</v>
      </c>
      <c r="AR23" s="66">
        <v>0</v>
      </c>
      <c r="AS23" s="66">
        <v>0</v>
      </c>
      <c r="AT23" s="67" t="s">
        <v>1230</v>
      </c>
      <c r="AU23" s="67" t="s">
        <v>1230</v>
      </c>
      <c r="AV23" s="67">
        <v>0</v>
      </c>
      <c r="AW23" s="66">
        <v>0</v>
      </c>
      <c r="AX23" s="67">
        <v>0</v>
      </c>
    </row>
    <row r="24" spans="1:50" ht="15.6" x14ac:dyDescent="0.3">
      <c r="A24" s="169" t="s">
        <v>36</v>
      </c>
      <c r="B24" s="205" t="s">
        <v>37</v>
      </c>
      <c r="C24" s="66">
        <v>0</v>
      </c>
      <c r="D24" s="66">
        <v>0</v>
      </c>
      <c r="E24" s="66">
        <v>0</v>
      </c>
      <c r="F24" s="66">
        <v>0</v>
      </c>
      <c r="G24" s="66">
        <v>0</v>
      </c>
      <c r="H24" s="66">
        <v>0</v>
      </c>
      <c r="I24" s="66">
        <v>0</v>
      </c>
      <c r="J24" s="66">
        <v>0</v>
      </c>
      <c r="K24" s="66">
        <v>0</v>
      </c>
      <c r="L24" s="66">
        <v>0</v>
      </c>
      <c r="M24" s="66">
        <v>0</v>
      </c>
      <c r="N24" s="67" t="s">
        <v>1230</v>
      </c>
      <c r="O24" s="67" t="s">
        <v>1230</v>
      </c>
      <c r="P24" s="67">
        <v>0</v>
      </c>
      <c r="Q24" s="66">
        <v>0</v>
      </c>
      <c r="R24" s="67">
        <v>0</v>
      </c>
      <c r="S24" s="66">
        <v>0</v>
      </c>
      <c r="T24" s="66">
        <v>0</v>
      </c>
      <c r="U24" s="66">
        <v>0</v>
      </c>
      <c r="V24" s="66">
        <v>0</v>
      </c>
      <c r="W24" s="66">
        <v>0</v>
      </c>
      <c r="X24" s="66">
        <v>0</v>
      </c>
      <c r="Y24" s="66">
        <v>0</v>
      </c>
      <c r="Z24" s="66">
        <v>0</v>
      </c>
      <c r="AA24" s="66">
        <v>0</v>
      </c>
      <c r="AB24" s="66">
        <v>0</v>
      </c>
      <c r="AC24" s="66">
        <v>0</v>
      </c>
      <c r="AD24" s="67" t="s">
        <v>1230</v>
      </c>
      <c r="AE24" s="67" t="s">
        <v>1230</v>
      </c>
      <c r="AF24" s="67">
        <v>0</v>
      </c>
      <c r="AG24" s="66">
        <v>0</v>
      </c>
      <c r="AH24" s="67">
        <v>0</v>
      </c>
      <c r="AI24" s="66">
        <v>0</v>
      </c>
      <c r="AJ24" s="66">
        <v>0</v>
      </c>
      <c r="AK24" s="66">
        <v>0</v>
      </c>
      <c r="AL24" s="66">
        <v>0</v>
      </c>
      <c r="AM24" s="66">
        <v>0</v>
      </c>
      <c r="AN24" s="66">
        <v>0</v>
      </c>
      <c r="AO24" s="66">
        <v>0</v>
      </c>
      <c r="AP24" s="66">
        <v>0</v>
      </c>
      <c r="AQ24" s="66">
        <v>0</v>
      </c>
      <c r="AR24" s="66">
        <v>0</v>
      </c>
      <c r="AS24" s="66">
        <v>0</v>
      </c>
      <c r="AT24" s="67" t="s">
        <v>1230</v>
      </c>
      <c r="AU24" s="67" t="s">
        <v>1230</v>
      </c>
      <c r="AV24" s="67">
        <v>0</v>
      </c>
      <c r="AW24" s="66">
        <v>0</v>
      </c>
      <c r="AX24" s="67">
        <v>0</v>
      </c>
    </row>
    <row r="25" spans="1:50" ht="15.6" x14ac:dyDescent="0.3">
      <c r="A25" s="169" t="s">
        <v>39</v>
      </c>
      <c r="B25" s="205" t="s">
        <v>297</v>
      </c>
      <c r="C25" s="66">
        <v>0</v>
      </c>
      <c r="D25" s="66">
        <v>0</v>
      </c>
      <c r="E25" s="66">
        <v>0</v>
      </c>
      <c r="F25" s="66">
        <v>0</v>
      </c>
      <c r="G25" s="66">
        <v>0</v>
      </c>
      <c r="H25" s="66">
        <v>0</v>
      </c>
      <c r="I25" s="66">
        <v>0</v>
      </c>
      <c r="J25" s="66">
        <v>0</v>
      </c>
      <c r="K25" s="66">
        <v>0</v>
      </c>
      <c r="L25" s="66">
        <v>0</v>
      </c>
      <c r="M25" s="66">
        <v>0</v>
      </c>
      <c r="N25" s="67" t="s">
        <v>1230</v>
      </c>
      <c r="O25" s="67" t="s">
        <v>1230</v>
      </c>
      <c r="P25" s="67">
        <v>0</v>
      </c>
      <c r="Q25" s="66">
        <v>0</v>
      </c>
      <c r="R25" s="67">
        <v>0</v>
      </c>
      <c r="S25" s="66">
        <v>0</v>
      </c>
      <c r="T25" s="66">
        <v>0</v>
      </c>
      <c r="U25" s="66">
        <v>0</v>
      </c>
      <c r="V25" s="66">
        <v>0</v>
      </c>
      <c r="W25" s="66">
        <v>0</v>
      </c>
      <c r="X25" s="66">
        <v>0</v>
      </c>
      <c r="Y25" s="66">
        <v>0</v>
      </c>
      <c r="Z25" s="66">
        <v>0</v>
      </c>
      <c r="AA25" s="66">
        <v>0</v>
      </c>
      <c r="AB25" s="66">
        <v>0</v>
      </c>
      <c r="AC25" s="66">
        <v>0</v>
      </c>
      <c r="AD25" s="67" t="s">
        <v>1230</v>
      </c>
      <c r="AE25" s="67" t="s">
        <v>1230</v>
      </c>
      <c r="AF25" s="67">
        <v>0</v>
      </c>
      <c r="AG25" s="66">
        <v>0</v>
      </c>
      <c r="AH25" s="67">
        <v>0</v>
      </c>
      <c r="AI25" s="66">
        <v>0</v>
      </c>
      <c r="AJ25" s="66">
        <v>0</v>
      </c>
      <c r="AK25" s="66">
        <v>0</v>
      </c>
      <c r="AL25" s="66">
        <v>0</v>
      </c>
      <c r="AM25" s="66">
        <v>0</v>
      </c>
      <c r="AN25" s="66">
        <v>0</v>
      </c>
      <c r="AO25" s="66">
        <v>0</v>
      </c>
      <c r="AP25" s="66">
        <v>0</v>
      </c>
      <c r="AQ25" s="66">
        <v>0</v>
      </c>
      <c r="AR25" s="66">
        <v>0</v>
      </c>
      <c r="AS25" s="66">
        <v>0</v>
      </c>
      <c r="AT25" s="67" t="s">
        <v>1230</v>
      </c>
      <c r="AU25" s="67" t="s">
        <v>1230</v>
      </c>
      <c r="AV25" s="67">
        <v>0</v>
      </c>
      <c r="AW25" s="66">
        <v>0</v>
      </c>
      <c r="AX25" s="67">
        <v>0</v>
      </c>
    </row>
    <row r="26" spans="1:50" ht="15.6" x14ac:dyDescent="0.3">
      <c r="A26" s="169" t="s">
        <v>41</v>
      </c>
      <c r="B26" s="205" t="s">
        <v>42</v>
      </c>
      <c r="C26" s="66">
        <v>0</v>
      </c>
      <c r="D26" s="66">
        <v>0</v>
      </c>
      <c r="E26" s="66">
        <v>0</v>
      </c>
      <c r="F26" s="66">
        <v>0</v>
      </c>
      <c r="G26" s="66">
        <v>0</v>
      </c>
      <c r="H26" s="66">
        <v>0</v>
      </c>
      <c r="I26" s="66">
        <v>0</v>
      </c>
      <c r="J26" s="66">
        <v>0</v>
      </c>
      <c r="K26" s="66">
        <v>0</v>
      </c>
      <c r="L26" s="66">
        <v>0</v>
      </c>
      <c r="M26" s="66">
        <v>0</v>
      </c>
      <c r="N26" s="67" t="s">
        <v>1230</v>
      </c>
      <c r="O26" s="67" t="s">
        <v>1230</v>
      </c>
      <c r="P26" s="67">
        <v>0</v>
      </c>
      <c r="Q26" s="66">
        <v>0</v>
      </c>
      <c r="R26" s="67">
        <v>0</v>
      </c>
      <c r="S26" s="66">
        <v>0</v>
      </c>
      <c r="T26" s="66">
        <v>0</v>
      </c>
      <c r="U26" s="66">
        <v>0</v>
      </c>
      <c r="V26" s="66">
        <v>0</v>
      </c>
      <c r="W26" s="66">
        <v>0</v>
      </c>
      <c r="X26" s="66">
        <v>0</v>
      </c>
      <c r="Y26" s="66">
        <v>0</v>
      </c>
      <c r="Z26" s="66">
        <v>0</v>
      </c>
      <c r="AA26" s="66">
        <v>0</v>
      </c>
      <c r="AB26" s="66">
        <v>0</v>
      </c>
      <c r="AC26" s="66">
        <v>0</v>
      </c>
      <c r="AD26" s="67" t="s">
        <v>1230</v>
      </c>
      <c r="AE26" s="67" t="s">
        <v>1230</v>
      </c>
      <c r="AF26" s="67">
        <v>0</v>
      </c>
      <c r="AG26" s="66">
        <v>0</v>
      </c>
      <c r="AH26" s="67">
        <v>0</v>
      </c>
      <c r="AI26" s="66">
        <v>0</v>
      </c>
      <c r="AJ26" s="66">
        <v>0</v>
      </c>
      <c r="AK26" s="66">
        <v>0</v>
      </c>
      <c r="AL26" s="66">
        <v>0</v>
      </c>
      <c r="AM26" s="66">
        <v>0</v>
      </c>
      <c r="AN26" s="66">
        <v>0</v>
      </c>
      <c r="AO26" s="66">
        <v>0</v>
      </c>
      <c r="AP26" s="66">
        <v>0</v>
      </c>
      <c r="AQ26" s="66">
        <v>0</v>
      </c>
      <c r="AR26" s="66">
        <v>0</v>
      </c>
      <c r="AS26" s="66">
        <v>0</v>
      </c>
      <c r="AT26" s="67" t="s">
        <v>1230</v>
      </c>
      <c r="AU26" s="67" t="s">
        <v>1230</v>
      </c>
      <c r="AV26" s="67">
        <v>0</v>
      </c>
      <c r="AW26" s="66">
        <v>0</v>
      </c>
      <c r="AX26" s="67">
        <v>0</v>
      </c>
    </row>
    <row r="27" spans="1:50" ht="15.6" x14ac:dyDescent="0.3">
      <c r="A27" s="169" t="s">
        <v>44</v>
      </c>
      <c r="B27" s="205" t="s">
        <v>45</v>
      </c>
      <c r="C27" s="66">
        <v>707.1934</v>
      </c>
      <c r="D27" s="66">
        <v>0</v>
      </c>
      <c r="E27" s="66">
        <v>763.76887199999999</v>
      </c>
      <c r="F27" s="66">
        <v>707.1934</v>
      </c>
      <c r="G27" s="66">
        <v>56.575471999999998</v>
      </c>
      <c r="H27" s="66">
        <v>707.19330175999994</v>
      </c>
      <c r="I27" s="66">
        <v>0</v>
      </c>
      <c r="J27" s="66">
        <v>763.76876589999995</v>
      </c>
      <c r="K27" s="66">
        <v>707.19330175999994</v>
      </c>
      <c r="L27" s="66">
        <v>0</v>
      </c>
      <c r="M27" s="66">
        <v>56.575464140000001</v>
      </c>
      <c r="N27" s="67">
        <v>99.999986108467624</v>
      </c>
      <c r="O27" s="67">
        <v>99.999986107053601</v>
      </c>
      <c r="P27" s="67">
        <v>7.4074074073104237</v>
      </c>
      <c r="Q27" s="66">
        <v>0</v>
      </c>
      <c r="R27" s="67">
        <v>0</v>
      </c>
      <c r="S27" s="66">
        <v>707.1934</v>
      </c>
      <c r="T27" s="66">
        <v>0</v>
      </c>
      <c r="U27" s="66">
        <v>763.76887199999999</v>
      </c>
      <c r="V27" s="66">
        <v>707.1934</v>
      </c>
      <c r="W27" s="66">
        <v>56.575471999999998</v>
      </c>
      <c r="X27" s="66">
        <v>707.19330175999994</v>
      </c>
      <c r="Y27" s="66">
        <v>0</v>
      </c>
      <c r="Z27" s="66">
        <v>763.76876589999995</v>
      </c>
      <c r="AA27" s="66">
        <v>707.19330175999994</v>
      </c>
      <c r="AB27" s="66">
        <v>0</v>
      </c>
      <c r="AC27" s="66">
        <v>56.575464140000001</v>
      </c>
      <c r="AD27" s="67">
        <v>99.999986108467624</v>
      </c>
      <c r="AE27" s="67">
        <v>99.999986107053601</v>
      </c>
      <c r="AF27" s="67">
        <v>7.4074074073104237</v>
      </c>
      <c r="AG27" s="66">
        <v>0</v>
      </c>
      <c r="AH27" s="67">
        <v>0</v>
      </c>
      <c r="AI27" s="66">
        <v>0</v>
      </c>
      <c r="AJ27" s="66">
        <v>0</v>
      </c>
      <c r="AK27" s="66">
        <v>0</v>
      </c>
      <c r="AL27" s="66">
        <v>0</v>
      </c>
      <c r="AM27" s="66">
        <v>0</v>
      </c>
      <c r="AN27" s="66">
        <v>0</v>
      </c>
      <c r="AO27" s="66">
        <v>0</v>
      </c>
      <c r="AP27" s="66">
        <v>0</v>
      </c>
      <c r="AQ27" s="66">
        <v>0</v>
      </c>
      <c r="AR27" s="66">
        <v>0</v>
      </c>
      <c r="AS27" s="66">
        <v>0</v>
      </c>
      <c r="AT27" s="67" t="s">
        <v>1230</v>
      </c>
      <c r="AU27" s="67" t="s">
        <v>1230</v>
      </c>
      <c r="AV27" s="67">
        <v>0</v>
      </c>
      <c r="AW27" s="66">
        <v>0</v>
      </c>
      <c r="AX27" s="67">
        <v>0</v>
      </c>
    </row>
    <row r="28" spans="1:50" ht="15.6" x14ac:dyDescent="0.3">
      <c r="A28" s="169" t="s">
        <v>47</v>
      </c>
      <c r="B28" s="205" t="s">
        <v>48</v>
      </c>
      <c r="C28" s="66">
        <v>11.360300000000001</v>
      </c>
      <c r="D28" s="66">
        <v>0</v>
      </c>
      <c r="E28" s="66">
        <v>16.360287039999999</v>
      </c>
      <c r="F28" s="66">
        <v>11.360300000000001</v>
      </c>
      <c r="G28" s="66">
        <v>4.9999870399999997</v>
      </c>
      <c r="H28" s="66">
        <v>11.360300000000001</v>
      </c>
      <c r="I28" s="66">
        <v>0</v>
      </c>
      <c r="J28" s="66">
        <v>16.360287039999999</v>
      </c>
      <c r="K28" s="66">
        <v>11.360300000000001</v>
      </c>
      <c r="L28" s="66">
        <v>0</v>
      </c>
      <c r="M28" s="66">
        <v>4.9999870399999997</v>
      </c>
      <c r="N28" s="67">
        <v>100</v>
      </c>
      <c r="O28" s="67">
        <v>100</v>
      </c>
      <c r="P28" s="67">
        <v>30.561731757977761</v>
      </c>
      <c r="Q28" s="66">
        <v>0</v>
      </c>
      <c r="R28" s="67">
        <v>0</v>
      </c>
      <c r="S28" s="66">
        <v>11.360300000000001</v>
      </c>
      <c r="T28" s="66">
        <v>0</v>
      </c>
      <c r="U28" s="66">
        <v>16.360287039999999</v>
      </c>
      <c r="V28" s="66">
        <v>11.360300000000001</v>
      </c>
      <c r="W28" s="66">
        <v>4.9999870399999997</v>
      </c>
      <c r="X28" s="66">
        <v>11.360300000000001</v>
      </c>
      <c r="Y28" s="66">
        <v>0</v>
      </c>
      <c r="Z28" s="66">
        <v>16.360287039999999</v>
      </c>
      <c r="AA28" s="66">
        <v>11.360300000000001</v>
      </c>
      <c r="AB28" s="66">
        <v>0</v>
      </c>
      <c r="AC28" s="66">
        <v>4.9999870399999997</v>
      </c>
      <c r="AD28" s="67">
        <v>100</v>
      </c>
      <c r="AE28" s="67">
        <v>100</v>
      </c>
      <c r="AF28" s="67">
        <v>30.561731757977761</v>
      </c>
      <c r="AG28" s="66">
        <v>0</v>
      </c>
      <c r="AH28" s="67">
        <v>0</v>
      </c>
      <c r="AI28" s="66">
        <v>0</v>
      </c>
      <c r="AJ28" s="66">
        <v>0</v>
      </c>
      <c r="AK28" s="66">
        <v>0</v>
      </c>
      <c r="AL28" s="66">
        <v>0</v>
      </c>
      <c r="AM28" s="66">
        <v>0</v>
      </c>
      <c r="AN28" s="66">
        <v>0</v>
      </c>
      <c r="AO28" s="66">
        <v>0</v>
      </c>
      <c r="AP28" s="66">
        <v>0</v>
      </c>
      <c r="AQ28" s="66">
        <v>0</v>
      </c>
      <c r="AR28" s="66">
        <v>0</v>
      </c>
      <c r="AS28" s="66">
        <v>0</v>
      </c>
      <c r="AT28" s="67" t="s">
        <v>1230</v>
      </c>
      <c r="AU28" s="67" t="s">
        <v>1230</v>
      </c>
      <c r="AV28" s="67">
        <v>0</v>
      </c>
      <c r="AW28" s="66">
        <v>0</v>
      </c>
      <c r="AX28" s="67">
        <v>0</v>
      </c>
    </row>
    <row r="29" spans="1:50" ht="15.6" x14ac:dyDescent="0.3">
      <c r="A29" s="169" t="s">
        <v>50</v>
      </c>
      <c r="B29" s="205" t="s">
        <v>51</v>
      </c>
      <c r="C29" s="66">
        <v>29.489100000000001</v>
      </c>
      <c r="D29" s="66">
        <v>0</v>
      </c>
      <c r="E29" s="66">
        <v>29.783991</v>
      </c>
      <c r="F29" s="66">
        <v>29.489100000000001</v>
      </c>
      <c r="G29" s="66">
        <v>0.29489100000000001</v>
      </c>
      <c r="H29" s="66">
        <v>29.489004920000003</v>
      </c>
      <c r="I29" s="66">
        <v>0</v>
      </c>
      <c r="J29" s="66">
        <v>29.783894969999999</v>
      </c>
      <c r="K29" s="66">
        <v>29.489004920000003</v>
      </c>
      <c r="L29" s="66">
        <v>0</v>
      </c>
      <c r="M29" s="66">
        <v>0.29489005000000001</v>
      </c>
      <c r="N29" s="67">
        <v>99.999677575782243</v>
      </c>
      <c r="O29" s="67">
        <v>99.999677847068909</v>
      </c>
      <c r="P29" s="67">
        <v>0.99009901256041144</v>
      </c>
      <c r="Q29" s="66">
        <v>0</v>
      </c>
      <c r="R29" s="67">
        <v>0</v>
      </c>
      <c r="S29" s="66">
        <v>29.489100000000001</v>
      </c>
      <c r="T29" s="66">
        <v>0</v>
      </c>
      <c r="U29" s="66">
        <v>29.783991</v>
      </c>
      <c r="V29" s="66">
        <v>29.489100000000001</v>
      </c>
      <c r="W29" s="66">
        <v>0.29489100000000001</v>
      </c>
      <c r="X29" s="66">
        <v>29.489004920000003</v>
      </c>
      <c r="Y29" s="66">
        <v>0</v>
      </c>
      <c r="Z29" s="66">
        <v>29.783894969999999</v>
      </c>
      <c r="AA29" s="66">
        <v>29.489004920000003</v>
      </c>
      <c r="AB29" s="66">
        <v>0</v>
      </c>
      <c r="AC29" s="66">
        <v>0.29489005000000001</v>
      </c>
      <c r="AD29" s="67">
        <v>99.999677575782243</v>
      </c>
      <c r="AE29" s="67">
        <v>99.999677847068909</v>
      </c>
      <c r="AF29" s="67">
        <v>0.99009901256041144</v>
      </c>
      <c r="AG29" s="66">
        <v>0</v>
      </c>
      <c r="AH29" s="67">
        <v>0</v>
      </c>
      <c r="AI29" s="66">
        <v>0</v>
      </c>
      <c r="AJ29" s="66">
        <v>0</v>
      </c>
      <c r="AK29" s="66">
        <v>0</v>
      </c>
      <c r="AL29" s="66">
        <v>0</v>
      </c>
      <c r="AM29" s="66">
        <v>0</v>
      </c>
      <c r="AN29" s="66">
        <v>0</v>
      </c>
      <c r="AO29" s="66">
        <v>0</v>
      </c>
      <c r="AP29" s="66">
        <v>0</v>
      </c>
      <c r="AQ29" s="66">
        <v>0</v>
      </c>
      <c r="AR29" s="66">
        <v>0</v>
      </c>
      <c r="AS29" s="66">
        <v>0</v>
      </c>
      <c r="AT29" s="67" t="s">
        <v>1230</v>
      </c>
      <c r="AU29" s="67" t="s">
        <v>1230</v>
      </c>
      <c r="AV29" s="67">
        <v>0</v>
      </c>
      <c r="AW29" s="66">
        <v>0</v>
      </c>
      <c r="AX29" s="67">
        <v>0</v>
      </c>
    </row>
    <row r="30" spans="1:50" ht="15.6" x14ac:dyDescent="0.3">
      <c r="A30" s="169" t="s">
        <v>53</v>
      </c>
      <c r="B30" s="205" t="s">
        <v>54</v>
      </c>
      <c r="C30" s="66">
        <v>0</v>
      </c>
      <c r="D30" s="66">
        <v>0</v>
      </c>
      <c r="E30" s="66">
        <v>0</v>
      </c>
      <c r="F30" s="66">
        <v>0</v>
      </c>
      <c r="G30" s="66">
        <v>0</v>
      </c>
      <c r="H30" s="66">
        <v>0</v>
      </c>
      <c r="I30" s="66">
        <v>0</v>
      </c>
      <c r="J30" s="66">
        <v>0</v>
      </c>
      <c r="K30" s="66">
        <v>0</v>
      </c>
      <c r="L30" s="66">
        <v>0</v>
      </c>
      <c r="M30" s="66">
        <v>0</v>
      </c>
      <c r="N30" s="67" t="s">
        <v>1230</v>
      </c>
      <c r="O30" s="67" t="s">
        <v>1230</v>
      </c>
      <c r="P30" s="67">
        <v>0</v>
      </c>
      <c r="Q30" s="66">
        <v>0</v>
      </c>
      <c r="R30" s="67">
        <v>0</v>
      </c>
      <c r="S30" s="66">
        <v>0</v>
      </c>
      <c r="T30" s="66">
        <v>0</v>
      </c>
      <c r="U30" s="66">
        <v>0</v>
      </c>
      <c r="V30" s="66">
        <v>0</v>
      </c>
      <c r="W30" s="66">
        <v>0</v>
      </c>
      <c r="X30" s="66">
        <v>0</v>
      </c>
      <c r="Y30" s="66">
        <v>0</v>
      </c>
      <c r="Z30" s="66">
        <v>0</v>
      </c>
      <c r="AA30" s="66">
        <v>0</v>
      </c>
      <c r="AB30" s="66">
        <v>0</v>
      </c>
      <c r="AC30" s="66">
        <v>0</v>
      </c>
      <c r="AD30" s="67" t="s">
        <v>1230</v>
      </c>
      <c r="AE30" s="67" t="s">
        <v>1230</v>
      </c>
      <c r="AF30" s="67">
        <v>0</v>
      </c>
      <c r="AG30" s="66">
        <v>0</v>
      </c>
      <c r="AH30" s="67">
        <v>0</v>
      </c>
      <c r="AI30" s="66">
        <v>0</v>
      </c>
      <c r="AJ30" s="66">
        <v>0</v>
      </c>
      <c r="AK30" s="66">
        <v>0</v>
      </c>
      <c r="AL30" s="66">
        <v>0</v>
      </c>
      <c r="AM30" s="66">
        <v>0</v>
      </c>
      <c r="AN30" s="66">
        <v>0</v>
      </c>
      <c r="AO30" s="66">
        <v>0</v>
      </c>
      <c r="AP30" s="66">
        <v>0</v>
      </c>
      <c r="AQ30" s="66">
        <v>0</v>
      </c>
      <c r="AR30" s="66">
        <v>0</v>
      </c>
      <c r="AS30" s="66">
        <v>0</v>
      </c>
      <c r="AT30" s="67" t="s">
        <v>1230</v>
      </c>
      <c r="AU30" s="67" t="s">
        <v>1230</v>
      </c>
      <c r="AV30" s="67">
        <v>0</v>
      </c>
      <c r="AW30" s="66">
        <v>0</v>
      </c>
      <c r="AX30" s="67">
        <v>0</v>
      </c>
    </row>
    <row r="31" spans="1:50" ht="15.6" x14ac:dyDescent="0.3">
      <c r="A31" s="169" t="s">
        <v>56</v>
      </c>
      <c r="B31" s="205" t="s">
        <v>57</v>
      </c>
      <c r="C31" s="66">
        <v>13.470800000000001</v>
      </c>
      <c r="D31" s="66">
        <v>0</v>
      </c>
      <c r="E31" s="66">
        <v>18.454996000000001</v>
      </c>
      <c r="F31" s="66">
        <v>13.470800000000001</v>
      </c>
      <c r="G31" s="66">
        <v>4.9841959999999998</v>
      </c>
      <c r="H31" s="66">
        <v>13.429885929999999</v>
      </c>
      <c r="I31" s="66">
        <v>0</v>
      </c>
      <c r="J31" s="66">
        <v>18.398943719999998</v>
      </c>
      <c r="K31" s="66">
        <v>13.429885929999999</v>
      </c>
      <c r="L31" s="66">
        <v>0</v>
      </c>
      <c r="M31" s="66">
        <v>4.9690577899999999</v>
      </c>
      <c r="N31" s="67">
        <v>99.69627587077234</v>
      </c>
      <c r="O31" s="67">
        <v>99.696275788512338</v>
      </c>
      <c r="P31" s="67">
        <v>27.007299253807382</v>
      </c>
      <c r="Q31" s="66">
        <v>0</v>
      </c>
      <c r="R31" s="67">
        <v>0</v>
      </c>
      <c r="S31" s="66">
        <v>13.470800000000001</v>
      </c>
      <c r="T31" s="66">
        <v>0</v>
      </c>
      <c r="U31" s="66">
        <v>18.454996000000001</v>
      </c>
      <c r="V31" s="66">
        <v>13.470800000000001</v>
      </c>
      <c r="W31" s="66">
        <v>4.9841959999999998</v>
      </c>
      <c r="X31" s="66">
        <v>13.429885929999999</v>
      </c>
      <c r="Y31" s="66">
        <v>0</v>
      </c>
      <c r="Z31" s="66">
        <v>18.398943719999998</v>
      </c>
      <c r="AA31" s="66">
        <v>13.429885929999999</v>
      </c>
      <c r="AB31" s="66">
        <v>0</v>
      </c>
      <c r="AC31" s="66">
        <v>4.9690577899999999</v>
      </c>
      <c r="AD31" s="67">
        <v>99.69627587077234</v>
      </c>
      <c r="AE31" s="67">
        <v>99.696275788512338</v>
      </c>
      <c r="AF31" s="67">
        <v>27.007299253807382</v>
      </c>
      <c r="AG31" s="66">
        <v>0</v>
      </c>
      <c r="AH31" s="67">
        <v>0</v>
      </c>
      <c r="AI31" s="66">
        <v>0</v>
      </c>
      <c r="AJ31" s="66">
        <v>0</v>
      </c>
      <c r="AK31" s="66">
        <v>0</v>
      </c>
      <c r="AL31" s="66">
        <v>0</v>
      </c>
      <c r="AM31" s="66">
        <v>0</v>
      </c>
      <c r="AN31" s="66">
        <v>0</v>
      </c>
      <c r="AO31" s="66">
        <v>0</v>
      </c>
      <c r="AP31" s="66">
        <v>0</v>
      </c>
      <c r="AQ31" s="66">
        <v>0</v>
      </c>
      <c r="AR31" s="66">
        <v>0</v>
      </c>
      <c r="AS31" s="66">
        <v>0</v>
      </c>
      <c r="AT31" s="67" t="s">
        <v>1230</v>
      </c>
      <c r="AU31" s="67" t="s">
        <v>1230</v>
      </c>
      <c r="AV31" s="67">
        <v>0</v>
      </c>
      <c r="AW31" s="66">
        <v>0</v>
      </c>
      <c r="AX31" s="67">
        <v>0</v>
      </c>
    </row>
    <row r="32" spans="1:50" ht="15.6" x14ac:dyDescent="0.3">
      <c r="A32" s="169" t="s">
        <v>59</v>
      </c>
      <c r="B32" s="205" t="s">
        <v>60</v>
      </c>
      <c r="C32" s="66">
        <v>9</v>
      </c>
      <c r="D32" s="66">
        <v>0</v>
      </c>
      <c r="E32" s="66">
        <v>9.4736849999999997</v>
      </c>
      <c r="F32" s="66">
        <v>9</v>
      </c>
      <c r="G32" s="66">
        <v>0.47368500000000002</v>
      </c>
      <c r="H32" s="66">
        <v>9</v>
      </c>
      <c r="I32" s="66">
        <v>0</v>
      </c>
      <c r="J32" s="66">
        <v>9.4736849999999997</v>
      </c>
      <c r="K32" s="66">
        <v>9</v>
      </c>
      <c r="L32" s="66">
        <v>0</v>
      </c>
      <c r="M32" s="66">
        <v>0.47368500000000002</v>
      </c>
      <c r="N32" s="67">
        <v>100</v>
      </c>
      <c r="O32" s="67">
        <v>100</v>
      </c>
      <c r="P32" s="67">
        <v>5.0000079166660072</v>
      </c>
      <c r="Q32" s="66">
        <v>0</v>
      </c>
      <c r="R32" s="67">
        <v>0</v>
      </c>
      <c r="S32" s="66">
        <v>9</v>
      </c>
      <c r="T32" s="66">
        <v>0</v>
      </c>
      <c r="U32" s="66">
        <v>9.4736849999999997</v>
      </c>
      <c r="V32" s="66">
        <v>9</v>
      </c>
      <c r="W32" s="66">
        <v>0.47368500000000002</v>
      </c>
      <c r="X32" s="66">
        <v>9</v>
      </c>
      <c r="Y32" s="66">
        <v>0</v>
      </c>
      <c r="Z32" s="66">
        <v>9.4736849999999997</v>
      </c>
      <c r="AA32" s="66">
        <v>9</v>
      </c>
      <c r="AB32" s="66">
        <v>0</v>
      </c>
      <c r="AC32" s="66">
        <v>0.47368500000000002</v>
      </c>
      <c r="AD32" s="67">
        <v>100</v>
      </c>
      <c r="AE32" s="67">
        <v>100</v>
      </c>
      <c r="AF32" s="67">
        <v>5.0000079166660072</v>
      </c>
      <c r="AG32" s="66">
        <v>0</v>
      </c>
      <c r="AH32" s="67">
        <v>0</v>
      </c>
      <c r="AI32" s="66">
        <v>0</v>
      </c>
      <c r="AJ32" s="66">
        <v>0</v>
      </c>
      <c r="AK32" s="66">
        <v>0</v>
      </c>
      <c r="AL32" s="66">
        <v>0</v>
      </c>
      <c r="AM32" s="66">
        <v>0</v>
      </c>
      <c r="AN32" s="66">
        <v>0</v>
      </c>
      <c r="AO32" s="66">
        <v>0</v>
      </c>
      <c r="AP32" s="66">
        <v>0</v>
      </c>
      <c r="AQ32" s="66">
        <v>0</v>
      </c>
      <c r="AR32" s="66">
        <v>0</v>
      </c>
      <c r="AS32" s="66">
        <v>0</v>
      </c>
      <c r="AT32" s="67" t="s">
        <v>1230</v>
      </c>
      <c r="AU32" s="67" t="s">
        <v>1230</v>
      </c>
      <c r="AV32" s="67">
        <v>0</v>
      </c>
      <c r="AW32" s="66">
        <v>0</v>
      </c>
      <c r="AX32" s="67">
        <v>0</v>
      </c>
    </row>
    <row r="33" spans="1:50" ht="15.6" x14ac:dyDescent="0.3">
      <c r="A33" s="202" t="s">
        <v>62</v>
      </c>
      <c r="B33" s="203" t="s">
        <v>63</v>
      </c>
      <c r="C33" s="61">
        <v>43.263499999999993</v>
      </c>
      <c r="D33" s="61">
        <v>0</v>
      </c>
      <c r="E33" s="61">
        <v>57.415337780000009</v>
      </c>
      <c r="F33" s="61">
        <v>43.263499999999993</v>
      </c>
      <c r="G33" s="61">
        <v>14.151837780000001</v>
      </c>
      <c r="H33" s="61">
        <v>43.263467949999992</v>
      </c>
      <c r="I33" s="61">
        <v>0.34125674</v>
      </c>
      <c r="J33" s="61">
        <v>57.415299319999995</v>
      </c>
      <c r="K33" s="61">
        <v>43.263467949999992</v>
      </c>
      <c r="L33" s="61">
        <v>0</v>
      </c>
      <c r="M33" s="61">
        <v>14.15183137</v>
      </c>
      <c r="N33" s="61">
        <v>99.999925919077285</v>
      </c>
      <c r="O33" s="61">
        <v>99.999954705529419</v>
      </c>
      <c r="P33" s="61">
        <v>24.648188788716048</v>
      </c>
      <c r="Q33" s="61">
        <v>0.34125674</v>
      </c>
      <c r="R33" s="61">
        <v>3.8857805861880479E-16</v>
      </c>
      <c r="S33" s="61">
        <v>43.263499999999993</v>
      </c>
      <c r="T33" s="61">
        <v>0</v>
      </c>
      <c r="U33" s="61">
        <v>57.415337780000009</v>
      </c>
      <c r="V33" s="61">
        <v>43.263499999999993</v>
      </c>
      <c r="W33" s="61">
        <v>14.151837780000001</v>
      </c>
      <c r="X33" s="61">
        <v>43.263467949999992</v>
      </c>
      <c r="Y33" s="61">
        <v>0.34125674</v>
      </c>
      <c r="Z33" s="61">
        <v>57.415299319999995</v>
      </c>
      <c r="AA33" s="61">
        <v>43.263467949999992</v>
      </c>
      <c r="AB33" s="61">
        <v>0</v>
      </c>
      <c r="AC33" s="61">
        <v>14.15183137</v>
      </c>
      <c r="AD33" s="61">
        <v>99.999925919077285</v>
      </c>
      <c r="AE33" s="61">
        <v>99.999954705529419</v>
      </c>
      <c r="AF33" s="61">
        <v>24.648188788716048</v>
      </c>
      <c r="AG33" s="61">
        <v>0.34125674</v>
      </c>
      <c r="AH33" s="61">
        <v>3.8857805861880479E-16</v>
      </c>
      <c r="AI33" s="61">
        <v>0</v>
      </c>
      <c r="AJ33" s="61">
        <v>0</v>
      </c>
      <c r="AK33" s="61">
        <v>0</v>
      </c>
      <c r="AL33" s="61">
        <v>0</v>
      </c>
      <c r="AM33" s="61">
        <v>0</v>
      </c>
      <c r="AN33" s="61">
        <v>0</v>
      </c>
      <c r="AO33" s="61">
        <v>0</v>
      </c>
      <c r="AP33" s="61">
        <v>0</v>
      </c>
      <c r="AQ33" s="61">
        <v>0</v>
      </c>
      <c r="AR33" s="61">
        <v>0</v>
      </c>
      <c r="AS33" s="61">
        <v>0</v>
      </c>
      <c r="AT33" s="61" t="s">
        <v>1230</v>
      </c>
      <c r="AU33" s="61" t="s">
        <v>1230</v>
      </c>
      <c r="AV33" s="61">
        <v>0</v>
      </c>
      <c r="AW33" s="61">
        <v>0</v>
      </c>
      <c r="AX33" s="61">
        <v>0</v>
      </c>
    </row>
    <row r="34" spans="1:50" ht="15.6" x14ac:dyDescent="0.3">
      <c r="A34" s="169" t="s">
        <v>65</v>
      </c>
      <c r="B34" s="205" t="s">
        <v>66</v>
      </c>
      <c r="C34" s="66">
        <v>0</v>
      </c>
      <c r="D34" s="66">
        <v>0</v>
      </c>
      <c r="E34" s="66">
        <v>0</v>
      </c>
      <c r="F34" s="66">
        <v>0</v>
      </c>
      <c r="G34" s="66">
        <v>0</v>
      </c>
      <c r="H34" s="66">
        <v>0</v>
      </c>
      <c r="I34" s="66">
        <v>0</v>
      </c>
      <c r="J34" s="66">
        <v>0</v>
      </c>
      <c r="K34" s="66">
        <v>0</v>
      </c>
      <c r="L34" s="66">
        <v>0</v>
      </c>
      <c r="M34" s="66">
        <v>0</v>
      </c>
      <c r="N34" s="67" t="s">
        <v>1230</v>
      </c>
      <c r="O34" s="67" t="s">
        <v>1230</v>
      </c>
      <c r="P34" s="67">
        <v>0</v>
      </c>
      <c r="Q34" s="66">
        <v>0</v>
      </c>
      <c r="R34" s="67">
        <v>0</v>
      </c>
      <c r="S34" s="66">
        <v>0</v>
      </c>
      <c r="T34" s="66">
        <v>0</v>
      </c>
      <c r="U34" s="66">
        <v>0</v>
      </c>
      <c r="V34" s="66">
        <v>0</v>
      </c>
      <c r="W34" s="66">
        <v>0</v>
      </c>
      <c r="X34" s="66">
        <v>0</v>
      </c>
      <c r="Y34" s="66">
        <v>0</v>
      </c>
      <c r="Z34" s="66">
        <v>0</v>
      </c>
      <c r="AA34" s="66">
        <v>0</v>
      </c>
      <c r="AB34" s="66">
        <v>0</v>
      </c>
      <c r="AC34" s="66">
        <v>0</v>
      </c>
      <c r="AD34" s="67" t="s">
        <v>1230</v>
      </c>
      <c r="AE34" s="67" t="s">
        <v>1230</v>
      </c>
      <c r="AF34" s="67">
        <v>0</v>
      </c>
      <c r="AG34" s="66">
        <v>0</v>
      </c>
      <c r="AH34" s="67">
        <v>0</v>
      </c>
      <c r="AI34" s="66">
        <v>0</v>
      </c>
      <c r="AJ34" s="66">
        <v>0</v>
      </c>
      <c r="AK34" s="66">
        <v>0</v>
      </c>
      <c r="AL34" s="66">
        <v>0</v>
      </c>
      <c r="AM34" s="66">
        <v>0</v>
      </c>
      <c r="AN34" s="66">
        <v>0</v>
      </c>
      <c r="AO34" s="66">
        <v>0</v>
      </c>
      <c r="AP34" s="66">
        <v>0</v>
      </c>
      <c r="AQ34" s="66">
        <v>0</v>
      </c>
      <c r="AR34" s="66">
        <v>0</v>
      </c>
      <c r="AS34" s="66">
        <v>0</v>
      </c>
      <c r="AT34" s="67" t="s">
        <v>1230</v>
      </c>
      <c r="AU34" s="67" t="s">
        <v>1230</v>
      </c>
      <c r="AV34" s="67">
        <v>0</v>
      </c>
      <c r="AW34" s="66">
        <v>0</v>
      </c>
      <c r="AX34" s="67">
        <v>0</v>
      </c>
    </row>
    <row r="35" spans="1:50" ht="15.6" x14ac:dyDescent="0.3">
      <c r="A35" s="169" t="s">
        <v>68</v>
      </c>
      <c r="B35" s="205" t="s">
        <v>69</v>
      </c>
      <c r="C35" s="66">
        <v>0</v>
      </c>
      <c r="D35" s="66">
        <v>0</v>
      </c>
      <c r="E35" s="66">
        <v>0</v>
      </c>
      <c r="F35" s="66">
        <v>0</v>
      </c>
      <c r="G35" s="66">
        <v>0</v>
      </c>
      <c r="H35" s="66">
        <v>0</v>
      </c>
      <c r="I35" s="66">
        <v>0</v>
      </c>
      <c r="J35" s="66">
        <v>0</v>
      </c>
      <c r="K35" s="66">
        <v>0</v>
      </c>
      <c r="L35" s="66">
        <v>0</v>
      </c>
      <c r="M35" s="66">
        <v>0</v>
      </c>
      <c r="N35" s="67" t="s">
        <v>1230</v>
      </c>
      <c r="O35" s="67" t="s">
        <v>1230</v>
      </c>
      <c r="P35" s="67">
        <v>0</v>
      </c>
      <c r="Q35" s="66">
        <v>0</v>
      </c>
      <c r="R35" s="67">
        <v>0</v>
      </c>
      <c r="S35" s="66">
        <v>0</v>
      </c>
      <c r="T35" s="66">
        <v>0</v>
      </c>
      <c r="U35" s="66">
        <v>0</v>
      </c>
      <c r="V35" s="66">
        <v>0</v>
      </c>
      <c r="W35" s="66">
        <v>0</v>
      </c>
      <c r="X35" s="66">
        <v>0</v>
      </c>
      <c r="Y35" s="66">
        <v>0</v>
      </c>
      <c r="Z35" s="66">
        <v>0</v>
      </c>
      <c r="AA35" s="66">
        <v>0</v>
      </c>
      <c r="AB35" s="66">
        <v>0</v>
      </c>
      <c r="AC35" s="66">
        <v>0</v>
      </c>
      <c r="AD35" s="67" t="s">
        <v>1230</v>
      </c>
      <c r="AE35" s="67" t="s">
        <v>1230</v>
      </c>
      <c r="AF35" s="67">
        <v>0</v>
      </c>
      <c r="AG35" s="66">
        <v>0</v>
      </c>
      <c r="AH35" s="67">
        <v>0</v>
      </c>
      <c r="AI35" s="66">
        <v>0</v>
      </c>
      <c r="AJ35" s="66">
        <v>0</v>
      </c>
      <c r="AK35" s="66">
        <v>0</v>
      </c>
      <c r="AL35" s="66">
        <v>0</v>
      </c>
      <c r="AM35" s="66">
        <v>0</v>
      </c>
      <c r="AN35" s="66">
        <v>0</v>
      </c>
      <c r="AO35" s="66">
        <v>0</v>
      </c>
      <c r="AP35" s="66">
        <v>0</v>
      </c>
      <c r="AQ35" s="66">
        <v>0</v>
      </c>
      <c r="AR35" s="66">
        <v>0</v>
      </c>
      <c r="AS35" s="66">
        <v>0</v>
      </c>
      <c r="AT35" s="67" t="s">
        <v>1230</v>
      </c>
      <c r="AU35" s="67" t="s">
        <v>1230</v>
      </c>
      <c r="AV35" s="67">
        <v>0</v>
      </c>
      <c r="AW35" s="66">
        <v>0</v>
      </c>
      <c r="AX35" s="67">
        <v>0</v>
      </c>
    </row>
    <row r="36" spans="1:50" ht="15.6" x14ac:dyDescent="0.3">
      <c r="A36" s="169" t="s">
        <v>71</v>
      </c>
      <c r="B36" s="205" t="s">
        <v>72</v>
      </c>
      <c r="C36" s="66">
        <v>6.7821999999999996</v>
      </c>
      <c r="D36" s="66">
        <v>0</v>
      </c>
      <c r="E36" s="66">
        <v>7.5357777800000001</v>
      </c>
      <c r="F36" s="66">
        <v>6.7821999999999996</v>
      </c>
      <c r="G36" s="66">
        <v>0.75357777999999997</v>
      </c>
      <c r="H36" s="66">
        <v>6.7821999999999996</v>
      </c>
      <c r="I36" s="66">
        <v>0.34125674</v>
      </c>
      <c r="J36" s="66">
        <v>7.5357777800000001</v>
      </c>
      <c r="K36" s="66">
        <v>6.7821999999999996</v>
      </c>
      <c r="L36" s="66">
        <v>0</v>
      </c>
      <c r="M36" s="66">
        <v>0.75357777999999997</v>
      </c>
      <c r="N36" s="67">
        <v>100</v>
      </c>
      <c r="O36" s="67">
        <v>100</v>
      </c>
      <c r="P36" s="67">
        <v>10.000000026540059</v>
      </c>
      <c r="Q36" s="66">
        <v>0.34125674</v>
      </c>
      <c r="R36" s="67">
        <v>3.8857805861880479E-16</v>
      </c>
      <c r="S36" s="66">
        <v>6.7821999999999996</v>
      </c>
      <c r="T36" s="66">
        <v>0</v>
      </c>
      <c r="U36" s="66">
        <v>7.5357777800000001</v>
      </c>
      <c r="V36" s="66">
        <v>6.7821999999999996</v>
      </c>
      <c r="W36" s="66">
        <v>0.75357777999999997</v>
      </c>
      <c r="X36" s="66">
        <v>6.7821999999999996</v>
      </c>
      <c r="Y36" s="66">
        <v>0.34125674</v>
      </c>
      <c r="Z36" s="66">
        <v>7.5357777800000001</v>
      </c>
      <c r="AA36" s="66">
        <v>6.7821999999999996</v>
      </c>
      <c r="AB36" s="66">
        <v>0</v>
      </c>
      <c r="AC36" s="66">
        <v>0.75357777999999997</v>
      </c>
      <c r="AD36" s="67">
        <v>100</v>
      </c>
      <c r="AE36" s="67">
        <v>100</v>
      </c>
      <c r="AF36" s="67">
        <v>10.000000026540059</v>
      </c>
      <c r="AG36" s="66">
        <v>0.34125674</v>
      </c>
      <c r="AH36" s="67">
        <v>3.8857805861880479E-16</v>
      </c>
      <c r="AI36" s="66">
        <v>0</v>
      </c>
      <c r="AJ36" s="66">
        <v>0</v>
      </c>
      <c r="AK36" s="66">
        <v>0</v>
      </c>
      <c r="AL36" s="66">
        <v>0</v>
      </c>
      <c r="AM36" s="66">
        <v>0</v>
      </c>
      <c r="AN36" s="66">
        <v>0</v>
      </c>
      <c r="AO36" s="66">
        <v>0</v>
      </c>
      <c r="AP36" s="66">
        <v>0</v>
      </c>
      <c r="AQ36" s="66">
        <v>0</v>
      </c>
      <c r="AR36" s="66">
        <v>0</v>
      </c>
      <c r="AS36" s="66">
        <v>0</v>
      </c>
      <c r="AT36" s="67" t="s">
        <v>1230</v>
      </c>
      <c r="AU36" s="67" t="s">
        <v>1230</v>
      </c>
      <c r="AV36" s="67">
        <v>0</v>
      </c>
      <c r="AW36" s="66">
        <v>0</v>
      </c>
      <c r="AX36" s="67">
        <v>0</v>
      </c>
    </row>
    <row r="37" spans="1:50" ht="15.6" x14ac:dyDescent="0.3">
      <c r="A37" s="169" t="s">
        <v>74</v>
      </c>
      <c r="B37" s="205" t="s">
        <v>1078</v>
      </c>
      <c r="C37" s="66">
        <v>0</v>
      </c>
      <c r="D37" s="66">
        <v>0</v>
      </c>
      <c r="E37" s="66">
        <v>0</v>
      </c>
      <c r="F37" s="66">
        <v>0</v>
      </c>
      <c r="G37" s="66">
        <v>0</v>
      </c>
      <c r="H37" s="66">
        <v>0</v>
      </c>
      <c r="I37" s="66">
        <v>0</v>
      </c>
      <c r="J37" s="66">
        <v>0</v>
      </c>
      <c r="K37" s="66">
        <v>0</v>
      </c>
      <c r="L37" s="66">
        <v>0</v>
      </c>
      <c r="M37" s="66">
        <v>0</v>
      </c>
      <c r="N37" s="67" t="s">
        <v>1230</v>
      </c>
      <c r="O37" s="67" t="s">
        <v>1230</v>
      </c>
      <c r="P37" s="67">
        <v>0</v>
      </c>
      <c r="Q37" s="66">
        <v>0</v>
      </c>
      <c r="R37" s="67">
        <v>0</v>
      </c>
      <c r="S37" s="66">
        <v>0</v>
      </c>
      <c r="T37" s="66">
        <v>0</v>
      </c>
      <c r="U37" s="66">
        <v>0</v>
      </c>
      <c r="V37" s="66">
        <v>0</v>
      </c>
      <c r="W37" s="66">
        <v>0</v>
      </c>
      <c r="X37" s="66">
        <v>0</v>
      </c>
      <c r="Y37" s="66">
        <v>0</v>
      </c>
      <c r="Z37" s="66">
        <v>0</v>
      </c>
      <c r="AA37" s="66">
        <v>0</v>
      </c>
      <c r="AB37" s="66">
        <v>0</v>
      </c>
      <c r="AC37" s="66">
        <v>0</v>
      </c>
      <c r="AD37" s="67" t="s">
        <v>1230</v>
      </c>
      <c r="AE37" s="67" t="s">
        <v>1230</v>
      </c>
      <c r="AF37" s="67">
        <v>0</v>
      </c>
      <c r="AG37" s="66">
        <v>0</v>
      </c>
      <c r="AH37" s="67">
        <v>0</v>
      </c>
      <c r="AI37" s="66">
        <v>0</v>
      </c>
      <c r="AJ37" s="66">
        <v>0</v>
      </c>
      <c r="AK37" s="66">
        <v>0</v>
      </c>
      <c r="AL37" s="66">
        <v>0</v>
      </c>
      <c r="AM37" s="66">
        <v>0</v>
      </c>
      <c r="AN37" s="66">
        <v>0</v>
      </c>
      <c r="AO37" s="66">
        <v>0</v>
      </c>
      <c r="AP37" s="66">
        <v>0</v>
      </c>
      <c r="AQ37" s="66">
        <v>0</v>
      </c>
      <c r="AR37" s="66">
        <v>0</v>
      </c>
      <c r="AS37" s="66">
        <v>0</v>
      </c>
      <c r="AT37" s="67" t="s">
        <v>1230</v>
      </c>
      <c r="AU37" s="67" t="s">
        <v>1230</v>
      </c>
      <c r="AV37" s="67">
        <v>0</v>
      </c>
      <c r="AW37" s="66">
        <v>0</v>
      </c>
      <c r="AX37" s="67">
        <v>0</v>
      </c>
    </row>
    <row r="38" spans="1:50" ht="15.6" x14ac:dyDescent="0.3">
      <c r="A38" s="169" t="s">
        <v>76</v>
      </c>
      <c r="B38" s="205" t="s">
        <v>77</v>
      </c>
      <c r="C38" s="66">
        <v>28.8538</v>
      </c>
      <c r="D38" s="66">
        <v>0</v>
      </c>
      <c r="E38" s="66">
        <v>34.624560000000002</v>
      </c>
      <c r="F38" s="66">
        <v>28.8538</v>
      </c>
      <c r="G38" s="66">
        <v>5.7707600000000001</v>
      </c>
      <c r="H38" s="66">
        <v>28.853767949999998</v>
      </c>
      <c r="I38" s="66">
        <v>0</v>
      </c>
      <c r="J38" s="66">
        <v>34.624521539999996</v>
      </c>
      <c r="K38" s="66">
        <v>28.853767949999998</v>
      </c>
      <c r="L38" s="66">
        <v>0</v>
      </c>
      <c r="M38" s="66">
        <v>5.77075359</v>
      </c>
      <c r="N38" s="67">
        <v>99.999888922776194</v>
      </c>
      <c r="O38" s="67">
        <v>99.999888922776208</v>
      </c>
      <c r="P38" s="67">
        <v>16.666666666666668</v>
      </c>
      <c r="Q38" s="66">
        <v>0</v>
      </c>
      <c r="R38" s="67">
        <v>0</v>
      </c>
      <c r="S38" s="66">
        <v>28.8538</v>
      </c>
      <c r="T38" s="66">
        <v>0</v>
      </c>
      <c r="U38" s="66">
        <v>34.624560000000002</v>
      </c>
      <c r="V38" s="66">
        <v>28.8538</v>
      </c>
      <c r="W38" s="66">
        <v>5.7707600000000001</v>
      </c>
      <c r="X38" s="66">
        <v>28.853767949999998</v>
      </c>
      <c r="Y38" s="66">
        <v>0</v>
      </c>
      <c r="Z38" s="66">
        <v>34.624521539999996</v>
      </c>
      <c r="AA38" s="66">
        <v>28.853767949999998</v>
      </c>
      <c r="AB38" s="66">
        <v>0</v>
      </c>
      <c r="AC38" s="66">
        <v>5.77075359</v>
      </c>
      <c r="AD38" s="67">
        <v>99.999888922776194</v>
      </c>
      <c r="AE38" s="67">
        <v>99.999888922776208</v>
      </c>
      <c r="AF38" s="67">
        <v>16.666666666666668</v>
      </c>
      <c r="AG38" s="66">
        <v>0</v>
      </c>
      <c r="AH38" s="67">
        <v>0</v>
      </c>
      <c r="AI38" s="66">
        <v>0</v>
      </c>
      <c r="AJ38" s="66">
        <v>0</v>
      </c>
      <c r="AK38" s="66">
        <v>0</v>
      </c>
      <c r="AL38" s="66">
        <v>0</v>
      </c>
      <c r="AM38" s="66">
        <v>0</v>
      </c>
      <c r="AN38" s="66">
        <v>0</v>
      </c>
      <c r="AO38" s="66">
        <v>0</v>
      </c>
      <c r="AP38" s="66">
        <v>0</v>
      </c>
      <c r="AQ38" s="66">
        <v>0</v>
      </c>
      <c r="AR38" s="66">
        <v>0</v>
      </c>
      <c r="AS38" s="66">
        <v>0</v>
      </c>
      <c r="AT38" s="67" t="s">
        <v>1230</v>
      </c>
      <c r="AU38" s="67" t="s">
        <v>1230</v>
      </c>
      <c r="AV38" s="67">
        <v>0</v>
      </c>
      <c r="AW38" s="66">
        <v>0</v>
      </c>
      <c r="AX38" s="67">
        <v>0</v>
      </c>
    </row>
    <row r="39" spans="1:50" ht="15.6" x14ac:dyDescent="0.3">
      <c r="A39" s="169" t="s">
        <v>79</v>
      </c>
      <c r="B39" s="205" t="s">
        <v>80</v>
      </c>
      <c r="C39" s="66">
        <v>0</v>
      </c>
      <c r="D39" s="66">
        <v>0</v>
      </c>
      <c r="E39" s="66">
        <v>0</v>
      </c>
      <c r="F39" s="66">
        <v>0</v>
      </c>
      <c r="G39" s="66">
        <v>0</v>
      </c>
      <c r="H39" s="66">
        <v>0</v>
      </c>
      <c r="I39" s="66">
        <v>0</v>
      </c>
      <c r="J39" s="66">
        <v>0</v>
      </c>
      <c r="K39" s="66">
        <v>0</v>
      </c>
      <c r="L39" s="66">
        <v>0</v>
      </c>
      <c r="M39" s="66">
        <v>0</v>
      </c>
      <c r="N39" s="67" t="s">
        <v>1230</v>
      </c>
      <c r="O39" s="67" t="s">
        <v>1230</v>
      </c>
      <c r="P39" s="67">
        <v>0</v>
      </c>
      <c r="Q39" s="66">
        <v>0</v>
      </c>
      <c r="R39" s="67">
        <v>0</v>
      </c>
      <c r="S39" s="66">
        <v>0</v>
      </c>
      <c r="T39" s="66">
        <v>0</v>
      </c>
      <c r="U39" s="66">
        <v>0</v>
      </c>
      <c r="V39" s="66">
        <v>0</v>
      </c>
      <c r="W39" s="66">
        <v>0</v>
      </c>
      <c r="X39" s="66">
        <v>0</v>
      </c>
      <c r="Y39" s="66">
        <v>0</v>
      </c>
      <c r="Z39" s="66">
        <v>0</v>
      </c>
      <c r="AA39" s="66">
        <v>0</v>
      </c>
      <c r="AB39" s="66">
        <v>0</v>
      </c>
      <c r="AC39" s="66">
        <v>0</v>
      </c>
      <c r="AD39" s="67" t="s">
        <v>1230</v>
      </c>
      <c r="AE39" s="67" t="s">
        <v>1230</v>
      </c>
      <c r="AF39" s="67">
        <v>0</v>
      </c>
      <c r="AG39" s="66">
        <v>0</v>
      </c>
      <c r="AH39" s="67">
        <v>0</v>
      </c>
      <c r="AI39" s="66">
        <v>0</v>
      </c>
      <c r="AJ39" s="66">
        <v>0</v>
      </c>
      <c r="AK39" s="66">
        <v>0</v>
      </c>
      <c r="AL39" s="66">
        <v>0</v>
      </c>
      <c r="AM39" s="66">
        <v>0</v>
      </c>
      <c r="AN39" s="66">
        <v>0</v>
      </c>
      <c r="AO39" s="66">
        <v>0</v>
      </c>
      <c r="AP39" s="66">
        <v>0</v>
      </c>
      <c r="AQ39" s="66">
        <v>0</v>
      </c>
      <c r="AR39" s="66">
        <v>0</v>
      </c>
      <c r="AS39" s="66">
        <v>0</v>
      </c>
      <c r="AT39" s="67" t="s">
        <v>1230</v>
      </c>
      <c r="AU39" s="67" t="s">
        <v>1230</v>
      </c>
      <c r="AV39" s="67">
        <v>0</v>
      </c>
      <c r="AW39" s="66">
        <v>0</v>
      </c>
      <c r="AX39" s="67">
        <v>0</v>
      </c>
    </row>
    <row r="40" spans="1:50" ht="15.6" x14ac:dyDescent="0.3">
      <c r="A40" s="169" t="s">
        <v>82</v>
      </c>
      <c r="B40" s="205" t="s">
        <v>83</v>
      </c>
      <c r="C40" s="66">
        <v>7.6275000000000004</v>
      </c>
      <c r="D40" s="66">
        <v>0</v>
      </c>
      <c r="E40" s="66">
        <v>15.255000000000001</v>
      </c>
      <c r="F40" s="66">
        <v>7.6275000000000004</v>
      </c>
      <c r="G40" s="66">
        <v>7.6275000000000004</v>
      </c>
      <c r="H40" s="66">
        <v>7.6275000000000004</v>
      </c>
      <c r="I40" s="66">
        <v>0</v>
      </c>
      <c r="J40" s="66">
        <v>15.255000000000001</v>
      </c>
      <c r="K40" s="66">
        <v>7.6275000000000004</v>
      </c>
      <c r="L40" s="66">
        <v>0</v>
      </c>
      <c r="M40" s="66">
        <v>7.6275000000000004</v>
      </c>
      <c r="N40" s="67">
        <v>100</v>
      </c>
      <c r="O40" s="67">
        <v>100</v>
      </c>
      <c r="P40" s="67">
        <v>50</v>
      </c>
      <c r="Q40" s="66">
        <v>0</v>
      </c>
      <c r="R40" s="67">
        <v>0</v>
      </c>
      <c r="S40" s="66">
        <v>7.6275000000000004</v>
      </c>
      <c r="T40" s="66">
        <v>0</v>
      </c>
      <c r="U40" s="66">
        <v>15.255000000000001</v>
      </c>
      <c r="V40" s="66">
        <v>7.6275000000000004</v>
      </c>
      <c r="W40" s="66">
        <v>7.6275000000000004</v>
      </c>
      <c r="X40" s="66">
        <v>7.6275000000000004</v>
      </c>
      <c r="Y40" s="66">
        <v>0</v>
      </c>
      <c r="Z40" s="66">
        <v>15.255000000000001</v>
      </c>
      <c r="AA40" s="66">
        <v>7.6275000000000004</v>
      </c>
      <c r="AB40" s="66">
        <v>0</v>
      </c>
      <c r="AC40" s="66">
        <v>7.6275000000000004</v>
      </c>
      <c r="AD40" s="67">
        <v>100</v>
      </c>
      <c r="AE40" s="67">
        <v>100</v>
      </c>
      <c r="AF40" s="67">
        <v>50</v>
      </c>
      <c r="AG40" s="66">
        <v>0</v>
      </c>
      <c r="AH40" s="67">
        <v>0</v>
      </c>
      <c r="AI40" s="66">
        <v>0</v>
      </c>
      <c r="AJ40" s="66">
        <v>0</v>
      </c>
      <c r="AK40" s="66">
        <v>0</v>
      </c>
      <c r="AL40" s="66">
        <v>0</v>
      </c>
      <c r="AM40" s="66">
        <v>0</v>
      </c>
      <c r="AN40" s="66">
        <v>0</v>
      </c>
      <c r="AO40" s="66">
        <v>0</v>
      </c>
      <c r="AP40" s="66">
        <v>0</v>
      </c>
      <c r="AQ40" s="66">
        <v>0</v>
      </c>
      <c r="AR40" s="66">
        <v>0</v>
      </c>
      <c r="AS40" s="66">
        <v>0</v>
      </c>
      <c r="AT40" s="67" t="s">
        <v>1230</v>
      </c>
      <c r="AU40" s="67" t="s">
        <v>1230</v>
      </c>
      <c r="AV40" s="67">
        <v>0</v>
      </c>
      <c r="AW40" s="66">
        <v>0</v>
      </c>
      <c r="AX40" s="67">
        <v>0</v>
      </c>
    </row>
    <row r="41" spans="1:50" ht="15.6" x14ac:dyDescent="0.3">
      <c r="A41" s="169" t="s">
        <v>85</v>
      </c>
      <c r="B41" s="205" t="s">
        <v>299</v>
      </c>
      <c r="C41" s="66">
        <v>0</v>
      </c>
      <c r="D41" s="66">
        <v>0</v>
      </c>
      <c r="E41" s="66">
        <v>0</v>
      </c>
      <c r="F41" s="66">
        <v>0</v>
      </c>
      <c r="G41" s="66">
        <v>0</v>
      </c>
      <c r="H41" s="66">
        <v>0</v>
      </c>
      <c r="I41" s="66">
        <v>0</v>
      </c>
      <c r="J41" s="66">
        <v>0</v>
      </c>
      <c r="K41" s="66">
        <v>0</v>
      </c>
      <c r="L41" s="66">
        <v>0</v>
      </c>
      <c r="M41" s="66">
        <v>0</v>
      </c>
      <c r="N41" s="67" t="s">
        <v>1230</v>
      </c>
      <c r="O41" s="67" t="s">
        <v>1230</v>
      </c>
      <c r="P41" s="67">
        <v>0</v>
      </c>
      <c r="Q41" s="66">
        <v>0</v>
      </c>
      <c r="R41" s="67">
        <v>0</v>
      </c>
      <c r="S41" s="66">
        <v>0</v>
      </c>
      <c r="T41" s="66">
        <v>0</v>
      </c>
      <c r="U41" s="66">
        <v>0</v>
      </c>
      <c r="V41" s="66">
        <v>0</v>
      </c>
      <c r="W41" s="66">
        <v>0</v>
      </c>
      <c r="X41" s="66">
        <v>0</v>
      </c>
      <c r="Y41" s="66">
        <v>0</v>
      </c>
      <c r="Z41" s="66">
        <v>0</v>
      </c>
      <c r="AA41" s="66">
        <v>0</v>
      </c>
      <c r="AB41" s="66">
        <v>0</v>
      </c>
      <c r="AC41" s="66">
        <v>0</v>
      </c>
      <c r="AD41" s="67" t="s">
        <v>1230</v>
      </c>
      <c r="AE41" s="67" t="s">
        <v>1230</v>
      </c>
      <c r="AF41" s="67">
        <v>0</v>
      </c>
      <c r="AG41" s="66">
        <v>0</v>
      </c>
      <c r="AH41" s="67">
        <v>0</v>
      </c>
      <c r="AI41" s="66">
        <v>0</v>
      </c>
      <c r="AJ41" s="66">
        <v>0</v>
      </c>
      <c r="AK41" s="66">
        <v>0</v>
      </c>
      <c r="AL41" s="66">
        <v>0</v>
      </c>
      <c r="AM41" s="66">
        <v>0</v>
      </c>
      <c r="AN41" s="66">
        <v>0</v>
      </c>
      <c r="AO41" s="66">
        <v>0</v>
      </c>
      <c r="AP41" s="66">
        <v>0</v>
      </c>
      <c r="AQ41" s="66">
        <v>0</v>
      </c>
      <c r="AR41" s="66">
        <v>0</v>
      </c>
      <c r="AS41" s="66">
        <v>0</v>
      </c>
      <c r="AT41" s="67" t="s">
        <v>1230</v>
      </c>
      <c r="AU41" s="67" t="s">
        <v>1230</v>
      </c>
      <c r="AV41" s="67">
        <v>0</v>
      </c>
      <c r="AW41" s="66">
        <v>0</v>
      </c>
      <c r="AX41" s="67">
        <v>0</v>
      </c>
    </row>
    <row r="42" spans="1:50" ht="15.6" x14ac:dyDescent="0.3">
      <c r="A42" s="169" t="s">
        <v>87</v>
      </c>
      <c r="B42" s="205" t="s">
        <v>88</v>
      </c>
      <c r="C42" s="66">
        <v>0</v>
      </c>
      <c r="D42" s="66">
        <v>0</v>
      </c>
      <c r="E42" s="66">
        <v>0</v>
      </c>
      <c r="F42" s="66">
        <v>0</v>
      </c>
      <c r="G42" s="66">
        <v>0</v>
      </c>
      <c r="H42" s="66">
        <v>0</v>
      </c>
      <c r="I42" s="66">
        <v>0</v>
      </c>
      <c r="J42" s="66">
        <v>0</v>
      </c>
      <c r="K42" s="66">
        <v>0</v>
      </c>
      <c r="L42" s="66">
        <v>0</v>
      </c>
      <c r="M42" s="66">
        <v>0</v>
      </c>
      <c r="N42" s="67" t="s">
        <v>1230</v>
      </c>
      <c r="O42" s="67" t="s">
        <v>1230</v>
      </c>
      <c r="P42" s="67">
        <v>0</v>
      </c>
      <c r="Q42" s="66">
        <v>0</v>
      </c>
      <c r="R42" s="67">
        <v>0</v>
      </c>
      <c r="S42" s="66">
        <v>0</v>
      </c>
      <c r="T42" s="66">
        <v>0</v>
      </c>
      <c r="U42" s="66">
        <v>0</v>
      </c>
      <c r="V42" s="66">
        <v>0</v>
      </c>
      <c r="W42" s="66">
        <v>0</v>
      </c>
      <c r="X42" s="66">
        <v>0</v>
      </c>
      <c r="Y42" s="66">
        <v>0</v>
      </c>
      <c r="Z42" s="66">
        <v>0</v>
      </c>
      <c r="AA42" s="66">
        <v>0</v>
      </c>
      <c r="AB42" s="66">
        <v>0</v>
      </c>
      <c r="AC42" s="66">
        <v>0</v>
      </c>
      <c r="AD42" s="67" t="s">
        <v>1230</v>
      </c>
      <c r="AE42" s="67" t="s">
        <v>1230</v>
      </c>
      <c r="AF42" s="67">
        <v>0</v>
      </c>
      <c r="AG42" s="66">
        <v>0</v>
      </c>
      <c r="AH42" s="67">
        <v>0</v>
      </c>
      <c r="AI42" s="66">
        <v>0</v>
      </c>
      <c r="AJ42" s="66">
        <v>0</v>
      </c>
      <c r="AK42" s="66">
        <v>0</v>
      </c>
      <c r="AL42" s="66">
        <v>0</v>
      </c>
      <c r="AM42" s="66">
        <v>0</v>
      </c>
      <c r="AN42" s="66">
        <v>0</v>
      </c>
      <c r="AO42" s="66">
        <v>0</v>
      </c>
      <c r="AP42" s="66">
        <v>0</v>
      </c>
      <c r="AQ42" s="66">
        <v>0</v>
      </c>
      <c r="AR42" s="66">
        <v>0</v>
      </c>
      <c r="AS42" s="66">
        <v>0</v>
      </c>
      <c r="AT42" s="67" t="s">
        <v>1230</v>
      </c>
      <c r="AU42" s="67" t="s">
        <v>1230</v>
      </c>
      <c r="AV42" s="67">
        <v>0</v>
      </c>
      <c r="AW42" s="66">
        <v>0</v>
      </c>
      <c r="AX42" s="67">
        <v>0</v>
      </c>
    </row>
    <row r="43" spans="1:50" ht="15.6" x14ac:dyDescent="0.3">
      <c r="A43" s="169" t="s">
        <v>90</v>
      </c>
      <c r="B43" s="205" t="s">
        <v>91</v>
      </c>
      <c r="C43" s="66">
        <v>0</v>
      </c>
      <c r="D43" s="66">
        <v>0</v>
      </c>
      <c r="E43" s="66">
        <v>0</v>
      </c>
      <c r="F43" s="66">
        <v>0</v>
      </c>
      <c r="G43" s="66">
        <v>0</v>
      </c>
      <c r="H43" s="66">
        <v>0</v>
      </c>
      <c r="I43" s="66">
        <v>0</v>
      </c>
      <c r="J43" s="66">
        <v>0</v>
      </c>
      <c r="K43" s="66">
        <v>0</v>
      </c>
      <c r="L43" s="66">
        <v>0</v>
      </c>
      <c r="M43" s="66">
        <v>0</v>
      </c>
      <c r="N43" s="67" t="s">
        <v>1230</v>
      </c>
      <c r="O43" s="67" t="s">
        <v>1230</v>
      </c>
      <c r="P43" s="67">
        <v>0</v>
      </c>
      <c r="Q43" s="66">
        <v>0</v>
      </c>
      <c r="R43" s="67">
        <v>0</v>
      </c>
      <c r="S43" s="66">
        <v>0</v>
      </c>
      <c r="T43" s="66">
        <v>0</v>
      </c>
      <c r="U43" s="66">
        <v>0</v>
      </c>
      <c r="V43" s="66">
        <v>0</v>
      </c>
      <c r="W43" s="66">
        <v>0</v>
      </c>
      <c r="X43" s="66">
        <v>0</v>
      </c>
      <c r="Y43" s="66">
        <v>0</v>
      </c>
      <c r="Z43" s="66">
        <v>0</v>
      </c>
      <c r="AA43" s="66">
        <v>0</v>
      </c>
      <c r="AB43" s="66">
        <v>0</v>
      </c>
      <c r="AC43" s="66">
        <v>0</v>
      </c>
      <c r="AD43" s="67" t="s">
        <v>1230</v>
      </c>
      <c r="AE43" s="67" t="s">
        <v>1230</v>
      </c>
      <c r="AF43" s="67">
        <v>0</v>
      </c>
      <c r="AG43" s="66">
        <v>0</v>
      </c>
      <c r="AH43" s="67">
        <v>0</v>
      </c>
      <c r="AI43" s="66">
        <v>0</v>
      </c>
      <c r="AJ43" s="66">
        <v>0</v>
      </c>
      <c r="AK43" s="66">
        <v>0</v>
      </c>
      <c r="AL43" s="66">
        <v>0</v>
      </c>
      <c r="AM43" s="66">
        <v>0</v>
      </c>
      <c r="AN43" s="66">
        <v>0</v>
      </c>
      <c r="AO43" s="66">
        <v>0</v>
      </c>
      <c r="AP43" s="66">
        <v>0</v>
      </c>
      <c r="AQ43" s="66">
        <v>0</v>
      </c>
      <c r="AR43" s="66">
        <v>0</v>
      </c>
      <c r="AS43" s="66">
        <v>0</v>
      </c>
      <c r="AT43" s="67" t="s">
        <v>1230</v>
      </c>
      <c r="AU43" s="67" t="s">
        <v>1230</v>
      </c>
      <c r="AV43" s="67">
        <v>0</v>
      </c>
      <c r="AW43" s="66">
        <v>0</v>
      </c>
      <c r="AX43" s="67">
        <v>0</v>
      </c>
    </row>
    <row r="44" spans="1:50" ht="15.6" x14ac:dyDescent="0.3">
      <c r="A44" s="206">
        <v>32</v>
      </c>
      <c r="B44" s="205" t="s">
        <v>93</v>
      </c>
      <c r="C44" s="66">
        <v>0</v>
      </c>
      <c r="D44" s="66">
        <v>0</v>
      </c>
      <c r="E44" s="66">
        <v>0</v>
      </c>
      <c r="F44" s="66">
        <v>0</v>
      </c>
      <c r="G44" s="66">
        <v>0</v>
      </c>
      <c r="H44" s="66">
        <v>0</v>
      </c>
      <c r="I44" s="66">
        <v>0</v>
      </c>
      <c r="J44" s="66">
        <v>0</v>
      </c>
      <c r="K44" s="66">
        <v>0</v>
      </c>
      <c r="L44" s="66">
        <v>0</v>
      </c>
      <c r="M44" s="66">
        <v>0</v>
      </c>
      <c r="N44" s="67" t="s">
        <v>1230</v>
      </c>
      <c r="O44" s="67" t="s">
        <v>1230</v>
      </c>
      <c r="P44" s="67">
        <v>0</v>
      </c>
      <c r="Q44" s="66">
        <v>0</v>
      </c>
      <c r="R44" s="67">
        <v>0</v>
      </c>
      <c r="S44" s="66">
        <v>0</v>
      </c>
      <c r="T44" s="66">
        <v>0</v>
      </c>
      <c r="U44" s="66">
        <v>0</v>
      </c>
      <c r="V44" s="66">
        <v>0</v>
      </c>
      <c r="W44" s="66">
        <v>0</v>
      </c>
      <c r="X44" s="66">
        <v>0</v>
      </c>
      <c r="Y44" s="66">
        <v>0</v>
      </c>
      <c r="Z44" s="66">
        <v>0</v>
      </c>
      <c r="AA44" s="66">
        <v>0</v>
      </c>
      <c r="AB44" s="66">
        <v>0</v>
      </c>
      <c r="AC44" s="66">
        <v>0</v>
      </c>
      <c r="AD44" s="67" t="s">
        <v>1230</v>
      </c>
      <c r="AE44" s="67" t="s">
        <v>1230</v>
      </c>
      <c r="AF44" s="67">
        <v>0</v>
      </c>
      <c r="AG44" s="66">
        <v>0</v>
      </c>
      <c r="AH44" s="67">
        <v>0</v>
      </c>
      <c r="AI44" s="66">
        <v>0</v>
      </c>
      <c r="AJ44" s="66">
        <v>0</v>
      </c>
      <c r="AK44" s="66">
        <v>0</v>
      </c>
      <c r="AL44" s="66">
        <v>0</v>
      </c>
      <c r="AM44" s="66">
        <v>0</v>
      </c>
      <c r="AN44" s="66">
        <v>0</v>
      </c>
      <c r="AO44" s="66">
        <v>0</v>
      </c>
      <c r="AP44" s="66">
        <v>0</v>
      </c>
      <c r="AQ44" s="66">
        <v>0</v>
      </c>
      <c r="AR44" s="66">
        <v>0</v>
      </c>
      <c r="AS44" s="66">
        <v>0</v>
      </c>
      <c r="AT44" s="67" t="s">
        <v>1230</v>
      </c>
      <c r="AU44" s="67" t="s">
        <v>1230</v>
      </c>
      <c r="AV44" s="67">
        <v>0</v>
      </c>
      <c r="AW44" s="66">
        <v>0</v>
      </c>
      <c r="AX44" s="67">
        <v>0</v>
      </c>
    </row>
    <row r="45" spans="1:50" ht="15.6" x14ac:dyDescent="0.3">
      <c r="A45" s="208">
        <v>33</v>
      </c>
      <c r="B45" s="209" t="s">
        <v>95</v>
      </c>
      <c r="C45" s="61">
        <v>152.46960000000001</v>
      </c>
      <c r="D45" s="61">
        <v>0</v>
      </c>
      <c r="E45" s="61">
        <v>153.12903246000002</v>
      </c>
      <c r="F45" s="61">
        <v>152.46960000000001</v>
      </c>
      <c r="G45" s="61">
        <v>0.65943246</v>
      </c>
      <c r="H45" s="61">
        <v>152.46950451000001</v>
      </c>
      <c r="I45" s="61">
        <v>0</v>
      </c>
      <c r="J45" s="61">
        <v>153.12893690999999</v>
      </c>
      <c r="K45" s="61">
        <v>152.46950451000001</v>
      </c>
      <c r="L45" s="61">
        <v>0</v>
      </c>
      <c r="M45" s="61">
        <v>0.65943240000000003</v>
      </c>
      <c r="N45" s="61">
        <v>99.999937371121845</v>
      </c>
      <c r="O45" s="61">
        <v>99.999990901266827</v>
      </c>
      <c r="P45" s="61">
        <v>0.43063865870601248</v>
      </c>
      <c r="Q45" s="61">
        <v>0</v>
      </c>
      <c r="R45" s="61">
        <v>0</v>
      </c>
      <c r="S45" s="61">
        <v>152.46960000000001</v>
      </c>
      <c r="T45" s="61">
        <v>0</v>
      </c>
      <c r="U45" s="61">
        <v>153.12903246000002</v>
      </c>
      <c r="V45" s="61">
        <v>152.46960000000001</v>
      </c>
      <c r="W45" s="61">
        <v>0.65943246</v>
      </c>
      <c r="X45" s="61">
        <v>152.46950451000001</v>
      </c>
      <c r="Y45" s="61">
        <v>0</v>
      </c>
      <c r="Z45" s="61">
        <v>153.12893690999999</v>
      </c>
      <c r="AA45" s="61">
        <v>152.46950451000001</v>
      </c>
      <c r="AB45" s="61">
        <v>0</v>
      </c>
      <c r="AC45" s="61">
        <v>0.65943240000000003</v>
      </c>
      <c r="AD45" s="61">
        <v>99.999937371121845</v>
      </c>
      <c r="AE45" s="61">
        <v>99.999990901266827</v>
      </c>
      <c r="AF45" s="61">
        <v>0.43063865870601248</v>
      </c>
      <c r="AG45" s="61">
        <v>0</v>
      </c>
      <c r="AH45" s="61">
        <v>0</v>
      </c>
      <c r="AI45" s="61">
        <v>0</v>
      </c>
      <c r="AJ45" s="61">
        <v>0</v>
      </c>
      <c r="AK45" s="61">
        <v>0</v>
      </c>
      <c r="AL45" s="61">
        <v>0</v>
      </c>
      <c r="AM45" s="61">
        <v>0</v>
      </c>
      <c r="AN45" s="61">
        <v>0</v>
      </c>
      <c r="AO45" s="61">
        <v>0</v>
      </c>
      <c r="AP45" s="61">
        <v>0</v>
      </c>
      <c r="AQ45" s="61">
        <v>0</v>
      </c>
      <c r="AR45" s="61">
        <v>0</v>
      </c>
      <c r="AS45" s="61">
        <v>0</v>
      </c>
      <c r="AT45" s="61" t="s">
        <v>1230</v>
      </c>
      <c r="AU45" s="61" t="s">
        <v>1230</v>
      </c>
      <c r="AV45" s="61">
        <v>0</v>
      </c>
      <c r="AW45" s="61">
        <v>0</v>
      </c>
      <c r="AX45" s="61">
        <v>0</v>
      </c>
    </row>
    <row r="46" spans="1:50" ht="15.6" x14ac:dyDescent="0.3">
      <c r="A46" s="171">
        <v>34</v>
      </c>
      <c r="B46" s="211" t="s">
        <v>97</v>
      </c>
      <c r="C46" s="66">
        <v>0</v>
      </c>
      <c r="D46" s="66">
        <v>0</v>
      </c>
      <c r="E46" s="66">
        <v>0</v>
      </c>
      <c r="F46" s="66">
        <v>0</v>
      </c>
      <c r="G46" s="66">
        <v>0</v>
      </c>
      <c r="H46" s="66">
        <v>0</v>
      </c>
      <c r="I46" s="66">
        <v>0</v>
      </c>
      <c r="J46" s="66">
        <v>0</v>
      </c>
      <c r="K46" s="66">
        <v>0</v>
      </c>
      <c r="L46" s="66">
        <v>0</v>
      </c>
      <c r="M46" s="66">
        <v>0</v>
      </c>
      <c r="N46" s="67" t="s">
        <v>1230</v>
      </c>
      <c r="O46" s="67" t="s">
        <v>1230</v>
      </c>
      <c r="P46" s="67">
        <v>0</v>
      </c>
      <c r="Q46" s="66">
        <v>0</v>
      </c>
      <c r="R46" s="67">
        <v>0</v>
      </c>
      <c r="S46" s="66">
        <v>0</v>
      </c>
      <c r="T46" s="66">
        <v>0</v>
      </c>
      <c r="U46" s="66">
        <v>0</v>
      </c>
      <c r="V46" s="66">
        <v>0</v>
      </c>
      <c r="W46" s="66">
        <v>0</v>
      </c>
      <c r="X46" s="66">
        <v>0</v>
      </c>
      <c r="Y46" s="66">
        <v>0</v>
      </c>
      <c r="Z46" s="66">
        <v>0</v>
      </c>
      <c r="AA46" s="66">
        <v>0</v>
      </c>
      <c r="AB46" s="66">
        <v>0</v>
      </c>
      <c r="AC46" s="66">
        <v>0</v>
      </c>
      <c r="AD46" s="67" t="s">
        <v>1230</v>
      </c>
      <c r="AE46" s="67" t="s">
        <v>1230</v>
      </c>
      <c r="AF46" s="67">
        <v>0</v>
      </c>
      <c r="AG46" s="66">
        <v>0</v>
      </c>
      <c r="AH46" s="67">
        <v>0</v>
      </c>
      <c r="AI46" s="66">
        <v>0</v>
      </c>
      <c r="AJ46" s="66">
        <v>0</v>
      </c>
      <c r="AK46" s="66">
        <v>0</v>
      </c>
      <c r="AL46" s="66">
        <v>0</v>
      </c>
      <c r="AM46" s="66">
        <v>0</v>
      </c>
      <c r="AN46" s="66">
        <v>0</v>
      </c>
      <c r="AO46" s="66">
        <v>0</v>
      </c>
      <c r="AP46" s="66">
        <v>0</v>
      </c>
      <c r="AQ46" s="66">
        <v>0</v>
      </c>
      <c r="AR46" s="66">
        <v>0</v>
      </c>
      <c r="AS46" s="66">
        <v>0</v>
      </c>
      <c r="AT46" s="67" t="s">
        <v>1230</v>
      </c>
      <c r="AU46" s="67" t="s">
        <v>1230</v>
      </c>
      <c r="AV46" s="67">
        <v>0</v>
      </c>
      <c r="AW46" s="66">
        <v>0</v>
      </c>
      <c r="AX46" s="67">
        <v>0</v>
      </c>
    </row>
    <row r="47" spans="1:50" ht="15.6" x14ac:dyDescent="0.3">
      <c r="A47" s="171">
        <v>35</v>
      </c>
      <c r="B47" s="211" t="s">
        <v>99</v>
      </c>
      <c r="C47" s="66">
        <v>0</v>
      </c>
      <c r="D47" s="66">
        <v>0</v>
      </c>
      <c r="E47" s="66">
        <v>0</v>
      </c>
      <c r="F47" s="66">
        <v>0</v>
      </c>
      <c r="G47" s="66">
        <v>0</v>
      </c>
      <c r="H47" s="66">
        <v>0</v>
      </c>
      <c r="I47" s="66">
        <v>0</v>
      </c>
      <c r="J47" s="66">
        <v>0</v>
      </c>
      <c r="K47" s="66">
        <v>0</v>
      </c>
      <c r="L47" s="66">
        <v>0</v>
      </c>
      <c r="M47" s="66">
        <v>0</v>
      </c>
      <c r="N47" s="67" t="s">
        <v>1230</v>
      </c>
      <c r="O47" s="67" t="s">
        <v>1230</v>
      </c>
      <c r="P47" s="67">
        <v>0</v>
      </c>
      <c r="Q47" s="66">
        <v>0</v>
      </c>
      <c r="R47" s="67">
        <v>0</v>
      </c>
      <c r="S47" s="66">
        <v>0</v>
      </c>
      <c r="T47" s="66">
        <v>0</v>
      </c>
      <c r="U47" s="66">
        <v>0</v>
      </c>
      <c r="V47" s="66">
        <v>0</v>
      </c>
      <c r="W47" s="66">
        <v>0</v>
      </c>
      <c r="X47" s="66">
        <v>0</v>
      </c>
      <c r="Y47" s="66">
        <v>0</v>
      </c>
      <c r="Z47" s="66">
        <v>0</v>
      </c>
      <c r="AA47" s="66">
        <v>0</v>
      </c>
      <c r="AB47" s="66">
        <v>0</v>
      </c>
      <c r="AC47" s="66">
        <v>0</v>
      </c>
      <c r="AD47" s="67" t="s">
        <v>1230</v>
      </c>
      <c r="AE47" s="67" t="s">
        <v>1230</v>
      </c>
      <c r="AF47" s="67">
        <v>0</v>
      </c>
      <c r="AG47" s="66">
        <v>0</v>
      </c>
      <c r="AH47" s="67">
        <v>0</v>
      </c>
      <c r="AI47" s="66">
        <v>0</v>
      </c>
      <c r="AJ47" s="66">
        <v>0</v>
      </c>
      <c r="AK47" s="66">
        <v>0</v>
      </c>
      <c r="AL47" s="66">
        <v>0</v>
      </c>
      <c r="AM47" s="66">
        <v>0</v>
      </c>
      <c r="AN47" s="66">
        <v>0</v>
      </c>
      <c r="AO47" s="66">
        <v>0</v>
      </c>
      <c r="AP47" s="66">
        <v>0</v>
      </c>
      <c r="AQ47" s="66">
        <v>0</v>
      </c>
      <c r="AR47" s="66">
        <v>0</v>
      </c>
      <c r="AS47" s="66">
        <v>0</v>
      </c>
      <c r="AT47" s="67" t="s">
        <v>1230</v>
      </c>
      <c r="AU47" s="67" t="s">
        <v>1230</v>
      </c>
      <c r="AV47" s="67">
        <v>0</v>
      </c>
      <c r="AW47" s="66">
        <v>0</v>
      </c>
      <c r="AX47" s="67">
        <v>0</v>
      </c>
    </row>
    <row r="48" spans="1:50" ht="15.6" x14ac:dyDescent="0.3">
      <c r="A48" s="169">
        <v>36</v>
      </c>
      <c r="B48" s="205" t="s">
        <v>318</v>
      </c>
      <c r="C48" s="66">
        <v>10.9155</v>
      </c>
      <c r="D48" s="66">
        <v>0</v>
      </c>
      <c r="E48" s="66">
        <v>11.49</v>
      </c>
      <c r="F48" s="66">
        <v>10.9155</v>
      </c>
      <c r="G48" s="66">
        <v>0.57450000000000001</v>
      </c>
      <c r="H48" s="66">
        <v>10.9155</v>
      </c>
      <c r="I48" s="66">
        <v>0</v>
      </c>
      <c r="J48" s="66">
        <v>11.49</v>
      </c>
      <c r="K48" s="66">
        <v>10.9155</v>
      </c>
      <c r="L48" s="66">
        <v>0</v>
      </c>
      <c r="M48" s="66">
        <v>0.57450000000000001</v>
      </c>
      <c r="N48" s="67">
        <v>100</v>
      </c>
      <c r="O48" s="67">
        <v>100</v>
      </c>
      <c r="P48" s="67">
        <v>5</v>
      </c>
      <c r="Q48" s="66">
        <v>0</v>
      </c>
      <c r="R48" s="67">
        <v>0</v>
      </c>
      <c r="S48" s="66">
        <v>10.9155</v>
      </c>
      <c r="T48" s="66">
        <v>0</v>
      </c>
      <c r="U48" s="66">
        <v>11.49</v>
      </c>
      <c r="V48" s="66">
        <v>10.9155</v>
      </c>
      <c r="W48" s="66">
        <v>0.57450000000000001</v>
      </c>
      <c r="X48" s="66">
        <v>10.9155</v>
      </c>
      <c r="Y48" s="66">
        <v>0</v>
      </c>
      <c r="Z48" s="66">
        <v>11.49</v>
      </c>
      <c r="AA48" s="66">
        <v>10.9155</v>
      </c>
      <c r="AB48" s="66">
        <v>0</v>
      </c>
      <c r="AC48" s="66">
        <v>0.57450000000000001</v>
      </c>
      <c r="AD48" s="67">
        <v>100</v>
      </c>
      <c r="AE48" s="67">
        <v>100</v>
      </c>
      <c r="AF48" s="67">
        <v>5</v>
      </c>
      <c r="AG48" s="66">
        <v>0</v>
      </c>
      <c r="AH48" s="67">
        <v>0</v>
      </c>
      <c r="AI48" s="66">
        <v>0</v>
      </c>
      <c r="AJ48" s="66">
        <v>0</v>
      </c>
      <c r="AK48" s="66">
        <v>0</v>
      </c>
      <c r="AL48" s="66">
        <v>0</v>
      </c>
      <c r="AM48" s="66">
        <v>0</v>
      </c>
      <c r="AN48" s="66">
        <v>0</v>
      </c>
      <c r="AO48" s="66">
        <v>0</v>
      </c>
      <c r="AP48" s="66">
        <v>0</v>
      </c>
      <c r="AQ48" s="66">
        <v>0</v>
      </c>
      <c r="AR48" s="66">
        <v>0</v>
      </c>
      <c r="AS48" s="66">
        <v>0</v>
      </c>
      <c r="AT48" s="67" t="s">
        <v>1230</v>
      </c>
      <c r="AU48" s="67" t="s">
        <v>1230</v>
      </c>
      <c r="AV48" s="67">
        <v>0</v>
      </c>
      <c r="AW48" s="66">
        <v>0</v>
      </c>
      <c r="AX48" s="67">
        <v>0</v>
      </c>
    </row>
    <row r="49" spans="1:50" ht="15.6" x14ac:dyDescent="0.3">
      <c r="A49" s="171">
        <v>37</v>
      </c>
      <c r="B49" s="211" t="s">
        <v>101</v>
      </c>
      <c r="C49" s="66">
        <v>141.55410000000001</v>
      </c>
      <c r="D49" s="66">
        <v>0</v>
      </c>
      <c r="E49" s="66">
        <v>141.63903246000001</v>
      </c>
      <c r="F49" s="66">
        <v>141.55410000000001</v>
      </c>
      <c r="G49" s="66">
        <v>8.4932460000000001E-2</v>
      </c>
      <c r="H49" s="66">
        <v>141.55400451</v>
      </c>
      <c r="I49" s="66">
        <v>0</v>
      </c>
      <c r="J49" s="66">
        <v>141.63893690999998</v>
      </c>
      <c r="K49" s="66">
        <v>141.55400451</v>
      </c>
      <c r="L49" s="66">
        <v>0</v>
      </c>
      <c r="M49" s="66">
        <v>8.4932399999999991E-2</v>
      </c>
      <c r="N49" s="67">
        <v>99.999932541692544</v>
      </c>
      <c r="O49" s="67">
        <v>99.999929355631508</v>
      </c>
      <c r="P49" s="67">
        <v>5.9964019677701777E-2</v>
      </c>
      <c r="Q49" s="66">
        <v>0</v>
      </c>
      <c r="R49" s="67">
        <v>0</v>
      </c>
      <c r="S49" s="66">
        <v>141.55410000000001</v>
      </c>
      <c r="T49" s="66">
        <v>0</v>
      </c>
      <c r="U49" s="66">
        <v>141.63903246000001</v>
      </c>
      <c r="V49" s="66">
        <v>141.55410000000001</v>
      </c>
      <c r="W49" s="66">
        <v>8.4932460000000001E-2</v>
      </c>
      <c r="X49" s="66">
        <v>141.55400451</v>
      </c>
      <c r="Y49" s="66">
        <v>0</v>
      </c>
      <c r="Z49" s="66">
        <v>141.63893690999998</v>
      </c>
      <c r="AA49" s="66">
        <v>141.55400451</v>
      </c>
      <c r="AB49" s="66">
        <v>0</v>
      </c>
      <c r="AC49" s="66">
        <v>8.4932399999999991E-2</v>
      </c>
      <c r="AD49" s="67">
        <v>99.999932541692544</v>
      </c>
      <c r="AE49" s="67">
        <v>99.999929355631508</v>
      </c>
      <c r="AF49" s="67">
        <v>5.9964019677701777E-2</v>
      </c>
      <c r="AG49" s="66">
        <v>0</v>
      </c>
      <c r="AH49" s="67">
        <v>0</v>
      </c>
      <c r="AI49" s="66">
        <v>0</v>
      </c>
      <c r="AJ49" s="66">
        <v>0</v>
      </c>
      <c r="AK49" s="66">
        <v>0</v>
      </c>
      <c r="AL49" s="66">
        <v>0</v>
      </c>
      <c r="AM49" s="66">
        <v>0</v>
      </c>
      <c r="AN49" s="66">
        <v>0</v>
      </c>
      <c r="AO49" s="66">
        <v>0</v>
      </c>
      <c r="AP49" s="66">
        <v>0</v>
      </c>
      <c r="AQ49" s="66">
        <v>0</v>
      </c>
      <c r="AR49" s="66">
        <v>0</v>
      </c>
      <c r="AS49" s="66">
        <v>0</v>
      </c>
      <c r="AT49" s="67" t="s">
        <v>1230</v>
      </c>
      <c r="AU49" s="67" t="s">
        <v>1230</v>
      </c>
      <c r="AV49" s="67">
        <v>0</v>
      </c>
      <c r="AW49" s="66">
        <v>0</v>
      </c>
      <c r="AX49" s="67">
        <v>0</v>
      </c>
    </row>
    <row r="50" spans="1:50" ht="15.6" x14ac:dyDescent="0.3">
      <c r="A50" s="171">
        <v>38</v>
      </c>
      <c r="B50" s="211" t="s">
        <v>103</v>
      </c>
      <c r="C50" s="66">
        <v>0</v>
      </c>
      <c r="D50" s="66">
        <v>0</v>
      </c>
      <c r="E50" s="66">
        <v>0</v>
      </c>
      <c r="F50" s="66">
        <v>0</v>
      </c>
      <c r="G50" s="66">
        <v>0</v>
      </c>
      <c r="H50" s="66">
        <v>0</v>
      </c>
      <c r="I50" s="66">
        <v>0</v>
      </c>
      <c r="J50" s="66">
        <v>0</v>
      </c>
      <c r="K50" s="66">
        <v>0</v>
      </c>
      <c r="L50" s="66">
        <v>0</v>
      </c>
      <c r="M50" s="66">
        <v>0</v>
      </c>
      <c r="N50" s="67" t="s">
        <v>1230</v>
      </c>
      <c r="O50" s="67" t="s">
        <v>1230</v>
      </c>
      <c r="P50" s="67">
        <v>0</v>
      </c>
      <c r="Q50" s="66">
        <v>0</v>
      </c>
      <c r="R50" s="67">
        <v>0</v>
      </c>
      <c r="S50" s="66">
        <v>0</v>
      </c>
      <c r="T50" s="66">
        <v>0</v>
      </c>
      <c r="U50" s="66">
        <v>0</v>
      </c>
      <c r="V50" s="66">
        <v>0</v>
      </c>
      <c r="W50" s="66">
        <v>0</v>
      </c>
      <c r="X50" s="66">
        <v>0</v>
      </c>
      <c r="Y50" s="66">
        <v>0</v>
      </c>
      <c r="Z50" s="66">
        <v>0</v>
      </c>
      <c r="AA50" s="66">
        <v>0</v>
      </c>
      <c r="AB50" s="66">
        <v>0</v>
      </c>
      <c r="AC50" s="66">
        <v>0</v>
      </c>
      <c r="AD50" s="67" t="s">
        <v>1230</v>
      </c>
      <c r="AE50" s="67" t="s">
        <v>1230</v>
      </c>
      <c r="AF50" s="67">
        <v>0</v>
      </c>
      <c r="AG50" s="66">
        <v>0</v>
      </c>
      <c r="AH50" s="67">
        <v>0</v>
      </c>
      <c r="AI50" s="66">
        <v>0</v>
      </c>
      <c r="AJ50" s="66">
        <v>0</v>
      </c>
      <c r="AK50" s="66">
        <v>0</v>
      </c>
      <c r="AL50" s="66">
        <v>0</v>
      </c>
      <c r="AM50" s="66">
        <v>0</v>
      </c>
      <c r="AN50" s="66">
        <v>0</v>
      </c>
      <c r="AO50" s="66">
        <v>0</v>
      </c>
      <c r="AP50" s="66">
        <v>0</v>
      </c>
      <c r="AQ50" s="66">
        <v>0</v>
      </c>
      <c r="AR50" s="66">
        <v>0</v>
      </c>
      <c r="AS50" s="66">
        <v>0</v>
      </c>
      <c r="AT50" s="67" t="s">
        <v>1230</v>
      </c>
      <c r="AU50" s="67" t="s">
        <v>1230</v>
      </c>
      <c r="AV50" s="67">
        <v>0</v>
      </c>
      <c r="AW50" s="66">
        <v>0</v>
      </c>
      <c r="AX50" s="67">
        <v>0</v>
      </c>
    </row>
    <row r="51" spans="1:50" ht="15.6" x14ac:dyDescent="0.3">
      <c r="A51" s="171">
        <v>39</v>
      </c>
      <c r="B51" s="211" t="s">
        <v>105</v>
      </c>
      <c r="C51" s="66">
        <v>0</v>
      </c>
      <c r="D51" s="66">
        <v>0</v>
      </c>
      <c r="E51" s="66">
        <v>0</v>
      </c>
      <c r="F51" s="66">
        <v>0</v>
      </c>
      <c r="G51" s="66">
        <v>0</v>
      </c>
      <c r="H51" s="66">
        <v>0</v>
      </c>
      <c r="I51" s="66">
        <v>0</v>
      </c>
      <c r="J51" s="66">
        <v>0</v>
      </c>
      <c r="K51" s="66">
        <v>0</v>
      </c>
      <c r="L51" s="66">
        <v>0</v>
      </c>
      <c r="M51" s="66">
        <v>0</v>
      </c>
      <c r="N51" s="67" t="s">
        <v>1230</v>
      </c>
      <c r="O51" s="67" t="s">
        <v>1230</v>
      </c>
      <c r="P51" s="67">
        <v>0</v>
      </c>
      <c r="Q51" s="66">
        <v>0</v>
      </c>
      <c r="R51" s="67">
        <v>0</v>
      </c>
      <c r="S51" s="66">
        <v>0</v>
      </c>
      <c r="T51" s="66">
        <v>0</v>
      </c>
      <c r="U51" s="66">
        <v>0</v>
      </c>
      <c r="V51" s="66">
        <v>0</v>
      </c>
      <c r="W51" s="66">
        <v>0</v>
      </c>
      <c r="X51" s="66">
        <v>0</v>
      </c>
      <c r="Y51" s="66">
        <v>0</v>
      </c>
      <c r="Z51" s="66">
        <v>0</v>
      </c>
      <c r="AA51" s="66">
        <v>0</v>
      </c>
      <c r="AB51" s="66">
        <v>0</v>
      </c>
      <c r="AC51" s="66">
        <v>0</v>
      </c>
      <c r="AD51" s="67" t="s">
        <v>1230</v>
      </c>
      <c r="AE51" s="67" t="s">
        <v>1230</v>
      </c>
      <c r="AF51" s="67">
        <v>0</v>
      </c>
      <c r="AG51" s="66">
        <v>0</v>
      </c>
      <c r="AH51" s="67">
        <v>0</v>
      </c>
      <c r="AI51" s="66">
        <v>0</v>
      </c>
      <c r="AJ51" s="66">
        <v>0</v>
      </c>
      <c r="AK51" s="66">
        <v>0</v>
      </c>
      <c r="AL51" s="66">
        <v>0</v>
      </c>
      <c r="AM51" s="66">
        <v>0</v>
      </c>
      <c r="AN51" s="66">
        <v>0</v>
      </c>
      <c r="AO51" s="66">
        <v>0</v>
      </c>
      <c r="AP51" s="66">
        <v>0</v>
      </c>
      <c r="AQ51" s="66">
        <v>0</v>
      </c>
      <c r="AR51" s="66">
        <v>0</v>
      </c>
      <c r="AS51" s="66">
        <v>0</v>
      </c>
      <c r="AT51" s="67" t="s">
        <v>1230</v>
      </c>
      <c r="AU51" s="67" t="s">
        <v>1230</v>
      </c>
      <c r="AV51" s="67">
        <v>0</v>
      </c>
      <c r="AW51" s="66">
        <v>0</v>
      </c>
      <c r="AX51" s="67">
        <v>0</v>
      </c>
    </row>
    <row r="52" spans="1:50" ht="15.6" x14ac:dyDescent="0.3">
      <c r="A52" s="206">
        <v>40</v>
      </c>
      <c r="B52" s="211" t="s">
        <v>107</v>
      </c>
      <c r="C52" s="66">
        <v>0</v>
      </c>
      <c r="D52" s="66">
        <v>0</v>
      </c>
      <c r="E52" s="66">
        <v>0</v>
      </c>
      <c r="F52" s="66">
        <v>0</v>
      </c>
      <c r="G52" s="66">
        <v>0</v>
      </c>
      <c r="H52" s="66">
        <v>0</v>
      </c>
      <c r="I52" s="66">
        <v>0</v>
      </c>
      <c r="J52" s="66">
        <v>0</v>
      </c>
      <c r="K52" s="66">
        <v>0</v>
      </c>
      <c r="L52" s="66">
        <v>0</v>
      </c>
      <c r="M52" s="66">
        <v>0</v>
      </c>
      <c r="N52" s="67" t="s">
        <v>1230</v>
      </c>
      <c r="O52" s="67" t="s">
        <v>1230</v>
      </c>
      <c r="P52" s="67">
        <v>0</v>
      </c>
      <c r="Q52" s="66">
        <v>0</v>
      </c>
      <c r="R52" s="67">
        <v>0</v>
      </c>
      <c r="S52" s="66">
        <v>0</v>
      </c>
      <c r="T52" s="66">
        <v>0</v>
      </c>
      <c r="U52" s="66">
        <v>0</v>
      </c>
      <c r="V52" s="66">
        <v>0</v>
      </c>
      <c r="W52" s="66">
        <v>0</v>
      </c>
      <c r="X52" s="66">
        <v>0</v>
      </c>
      <c r="Y52" s="66">
        <v>0</v>
      </c>
      <c r="Z52" s="66">
        <v>0</v>
      </c>
      <c r="AA52" s="66">
        <v>0</v>
      </c>
      <c r="AB52" s="66">
        <v>0</v>
      </c>
      <c r="AC52" s="66">
        <v>0</v>
      </c>
      <c r="AD52" s="67" t="s">
        <v>1230</v>
      </c>
      <c r="AE52" s="67" t="s">
        <v>1230</v>
      </c>
      <c r="AF52" s="67">
        <v>0</v>
      </c>
      <c r="AG52" s="66">
        <v>0</v>
      </c>
      <c r="AH52" s="67">
        <v>0</v>
      </c>
      <c r="AI52" s="66">
        <v>0</v>
      </c>
      <c r="AJ52" s="66">
        <v>0</v>
      </c>
      <c r="AK52" s="66">
        <v>0</v>
      </c>
      <c r="AL52" s="66">
        <v>0</v>
      </c>
      <c r="AM52" s="66">
        <v>0</v>
      </c>
      <c r="AN52" s="66">
        <v>0</v>
      </c>
      <c r="AO52" s="66">
        <v>0</v>
      </c>
      <c r="AP52" s="66">
        <v>0</v>
      </c>
      <c r="AQ52" s="66">
        <v>0</v>
      </c>
      <c r="AR52" s="66">
        <v>0</v>
      </c>
      <c r="AS52" s="66">
        <v>0</v>
      </c>
      <c r="AT52" s="67" t="s">
        <v>1230</v>
      </c>
      <c r="AU52" s="67" t="s">
        <v>1230</v>
      </c>
      <c r="AV52" s="67">
        <v>0</v>
      </c>
      <c r="AW52" s="66">
        <v>0</v>
      </c>
      <c r="AX52" s="67">
        <v>0</v>
      </c>
    </row>
    <row r="53" spans="1:50" ht="15.6" x14ac:dyDescent="0.3">
      <c r="A53" s="169">
        <v>41</v>
      </c>
      <c r="B53" s="205" t="s">
        <v>319</v>
      </c>
      <c r="C53" s="66">
        <v>0</v>
      </c>
      <c r="D53" s="66">
        <v>0</v>
      </c>
      <c r="E53" s="66">
        <v>0</v>
      </c>
      <c r="F53" s="66">
        <v>0</v>
      </c>
      <c r="G53" s="66">
        <v>0</v>
      </c>
      <c r="H53" s="66">
        <v>0</v>
      </c>
      <c r="I53" s="66">
        <v>0</v>
      </c>
      <c r="J53" s="66">
        <v>0</v>
      </c>
      <c r="K53" s="66">
        <v>0</v>
      </c>
      <c r="L53" s="66">
        <v>0</v>
      </c>
      <c r="M53" s="66">
        <v>0</v>
      </c>
      <c r="N53" s="67" t="s">
        <v>1230</v>
      </c>
      <c r="O53" s="67" t="s">
        <v>1230</v>
      </c>
      <c r="P53" s="67">
        <v>0</v>
      </c>
      <c r="Q53" s="66">
        <v>0</v>
      </c>
      <c r="R53" s="67">
        <v>0</v>
      </c>
      <c r="S53" s="66">
        <v>0</v>
      </c>
      <c r="T53" s="66">
        <v>0</v>
      </c>
      <c r="U53" s="66">
        <v>0</v>
      </c>
      <c r="V53" s="66">
        <v>0</v>
      </c>
      <c r="W53" s="66">
        <v>0</v>
      </c>
      <c r="X53" s="66">
        <v>0</v>
      </c>
      <c r="Y53" s="66">
        <v>0</v>
      </c>
      <c r="Z53" s="66">
        <v>0</v>
      </c>
      <c r="AA53" s="66">
        <v>0</v>
      </c>
      <c r="AB53" s="66">
        <v>0</v>
      </c>
      <c r="AC53" s="66">
        <v>0</v>
      </c>
      <c r="AD53" s="67" t="s">
        <v>1230</v>
      </c>
      <c r="AE53" s="67" t="s">
        <v>1230</v>
      </c>
      <c r="AF53" s="67">
        <v>0</v>
      </c>
      <c r="AG53" s="66">
        <v>0</v>
      </c>
      <c r="AH53" s="67">
        <v>0</v>
      </c>
      <c r="AI53" s="66">
        <v>0</v>
      </c>
      <c r="AJ53" s="66">
        <v>0</v>
      </c>
      <c r="AK53" s="66">
        <v>0</v>
      </c>
      <c r="AL53" s="66">
        <v>0</v>
      </c>
      <c r="AM53" s="66">
        <v>0</v>
      </c>
      <c r="AN53" s="66">
        <v>0</v>
      </c>
      <c r="AO53" s="66">
        <v>0</v>
      </c>
      <c r="AP53" s="66">
        <v>0</v>
      </c>
      <c r="AQ53" s="66">
        <v>0</v>
      </c>
      <c r="AR53" s="66">
        <v>0</v>
      </c>
      <c r="AS53" s="66">
        <v>0</v>
      </c>
      <c r="AT53" s="67" t="s">
        <v>1230</v>
      </c>
      <c r="AU53" s="67" t="s">
        <v>1230</v>
      </c>
      <c r="AV53" s="67">
        <v>0</v>
      </c>
      <c r="AW53" s="66">
        <v>0</v>
      </c>
      <c r="AX53" s="67">
        <v>0</v>
      </c>
    </row>
    <row r="54" spans="1:50" ht="15.6" x14ac:dyDescent="0.3">
      <c r="A54" s="208">
        <v>42</v>
      </c>
      <c r="B54" s="212" t="s">
        <v>109</v>
      </c>
      <c r="C54" s="61">
        <v>284.66829999999999</v>
      </c>
      <c r="D54" s="61">
        <v>0</v>
      </c>
      <c r="E54" s="61">
        <v>291.57786345</v>
      </c>
      <c r="F54" s="61">
        <v>284.66829999999999</v>
      </c>
      <c r="G54" s="61">
        <v>6.9095634499999994</v>
      </c>
      <c r="H54" s="61">
        <v>284.66829966</v>
      </c>
      <c r="I54" s="61">
        <v>0</v>
      </c>
      <c r="J54" s="61">
        <v>291.57786308999999</v>
      </c>
      <c r="K54" s="61">
        <v>284.66829966</v>
      </c>
      <c r="L54" s="61">
        <v>0</v>
      </c>
      <c r="M54" s="61">
        <v>6.9095634300000004</v>
      </c>
      <c r="N54" s="61">
        <v>99.999999880562754</v>
      </c>
      <c r="O54" s="61">
        <v>99.999999710546135</v>
      </c>
      <c r="P54" s="61">
        <v>2.3697146816208257</v>
      </c>
      <c r="Q54" s="61">
        <v>0</v>
      </c>
      <c r="R54" s="61">
        <v>0</v>
      </c>
      <c r="S54" s="61">
        <v>277.57979999999998</v>
      </c>
      <c r="T54" s="61">
        <v>0</v>
      </c>
      <c r="U54" s="61">
        <v>284.11628450000001</v>
      </c>
      <c r="V54" s="61">
        <v>277.57979999999998</v>
      </c>
      <c r="W54" s="61">
        <v>6.5364844999999994</v>
      </c>
      <c r="X54" s="61">
        <v>277.57979965999999</v>
      </c>
      <c r="Y54" s="61">
        <v>0</v>
      </c>
      <c r="Z54" s="61">
        <v>284.11628414</v>
      </c>
      <c r="AA54" s="61">
        <v>277.57979965999999</v>
      </c>
      <c r="AB54" s="61">
        <v>0</v>
      </c>
      <c r="AC54" s="61">
        <v>6.5364844800000004</v>
      </c>
      <c r="AD54" s="61">
        <v>99.999999877512707</v>
      </c>
      <c r="AE54" s="61">
        <v>99.999999694025149</v>
      </c>
      <c r="AF54" s="61">
        <v>2.3006370436617103</v>
      </c>
      <c r="AG54" s="61">
        <v>0</v>
      </c>
      <c r="AH54" s="61">
        <v>0</v>
      </c>
      <c r="AI54" s="61">
        <v>7.0884999999999998</v>
      </c>
      <c r="AJ54" s="61">
        <v>0</v>
      </c>
      <c r="AK54" s="61">
        <v>7.4615789499999998</v>
      </c>
      <c r="AL54" s="61">
        <v>7.0884999999999998</v>
      </c>
      <c r="AM54" s="61">
        <v>0.37307895000000002</v>
      </c>
      <c r="AN54" s="61">
        <v>7.0884999999999998</v>
      </c>
      <c r="AO54" s="61">
        <v>0</v>
      </c>
      <c r="AP54" s="61">
        <v>7.4615789499999998</v>
      </c>
      <c r="AQ54" s="61">
        <v>7.0884999999999998</v>
      </c>
      <c r="AR54" s="61">
        <v>0</v>
      </c>
      <c r="AS54" s="61">
        <v>0.37307895000000002</v>
      </c>
      <c r="AT54" s="61">
        <v>100</v>
      </c>
      <c r="AU54" s="61">
        <v>100</v>
      </c>
      <c r="AV54" s="61">
        <v>5.000000033504973</v>
      </c>
      <c r="AW54" s="61">
        <v>0</v>
      </c>
      <c r="AX54" s="61">
        <v>0</v>
      </c>
    </row>
    <row r="55" spans="1:50" ht="15.6" x14ac:dyDescent="0.3">
      <c r="A55" s="171">
        <v>43</v>
      </c>
      <c r="B55" s="211" t="s">
        <v>111</v>
      </c>
      <c r="C55" s="66">
        <v>0</v>
      </c>
      <c r="D55" s="66">
        <v>0</v>
      </c>
      <c r="E55" s="66">
        <v>0</v>
      </c>
      <c r="F55" s="66">
        <v>0</v>
      </c>
      <c r="G55" s="66">
        <v>0</v>
      </c>
      <c r="H55" s="66">
        <v>0</v>
      </c>
      <c r="I55" s="66">
        <v>0</v>
      </c>
      <c r="J55" s="66">
        <v>0</v>
      </c>
      <c r="K55" s="66">
        <v>0</v>
      </c>
      <c r="L55" s="66">
        <v>0</v>
      </c>
      <c r="M55" s="66">
        <v>0</v>
      </c>
      <c r="N55" s="67" t="s">
        <v>1230</v>
      </c>
      <c r="O55" s="67" t="s">
        <v>1230</v>
      </c>
      <c r="P55" s="67">
        <v>0</v>
      </c>
      <c r="Q55" s="66">
        <v>0</v>
      </c>
      <c r="R55" s="67">
        <v>0</v>
      </c>
      <c r="S55" s="66">
        <v>0</v>
      </c>
      <c r="T55" s="66">
        <v>0</v>
      </c>
      <c r="U55" s="66">
        <v>0</v>
      </c>
      <c r="V55" s="66">
        <v>0</v>
      </c>
      <c r="W55" s="66">
        <v>0</v>
      </c>
      <c r="X55" s="66">
        <v>0</v>
      </c>
      <c r="Y55" s="66">
        <v>0</v>
      </c>
      <c r="Z55" s="66">
        <v>0</v>
      </c>
      <c r="AA55" s="66">
        <v>0</v>
      </c>
      <c r="AB55" s="66">
        <v>0</v>
      </c>
      <c r="AC55" s="66">
        <v>0</v>
      </c>
      <c r="AD55" s="67" t="s">
        <v>1230</v>
      </c>
      <c r="AE55" s="67" t="s">
        <v>1230</v>
      </c>
      <c r="AF55" s="67">
        <v>0</v>
      </c>
      <c r="AG55" s="66">
        <v>0</v>
      </c>
      <c r="AH55" s="67">
        <v>0</v>
      </c>
      <c r="AI55" s="66">
        <v>0</v>
      </c>
      <c r="AJ55" s="66">
        <v>0</v>
      </c>
      <c r="AK55" s="66">
        <v>0</v>
      </c>
      <c r="AL55" s="66">
        <v>0</v>
      </c>
      <c r="AM55" s="66">
        <v>0</v>
      </c>
      <c r="AN55" s="66">
        <v>0</v>
      </c>
      <c r="AO55" s="66">
        <v>0</v>
      </c>
      <c r="AP55" s="66">
        <v>0</v>
      </c>
      <c r="AQ55" s="66">
        <v>0</v>
      </c>
      <c r="AR55" s="66">
        <v>0</v>
      </c>
      <c r="AS55" s="66">
        <v>0</v>
      </c>
      <c r="AT55" s="67" t="s">
        <v>1230</v>
      </c>
      <c r="AU55" s="67" t="s">
        <v>1230</v>
      </c>
      <c r="AV55" s="67">
        <v>0</v>
      </c>
      <c r="AW55" s="66">
        <v>0</v>
      </c>
      <c r="AX55" s="67">
        <v>0</v>
      </c>
    </row>
    <row r="56" spans="1:50" ht="15.6" x14ac:dyDescent="0.3">
      <c r="A56" s="171">
        <v>44</v>
      </c>
      <c r="B56" s="211" t="s">
        <v>113</v>
      </c>
      <c r="C56" s="66">
        <v>0</v>
      </c>
      <c r="D56" s="66">
        <v>0</v>
      </c>
      <c r="E56" s="66">
        <v>0</v>
      </c>
      <c r="F56" s="66">
        <v>0</v>
      </c>
      <c r="G56" s="66">
        <v>0</v>
      </c>
      <c r="H56" s="66">
        <v>0</v>
      </c>
      <c r="I56" s="66">
        <v>0</v>
      </c>
      <c r="J56" s="66">
        <v>0</v>
      </c>
      <c r="K56" s="66">
        <v>0</v>
      </c>
      <c r="L56" s="66">
        <v>0</v>
      </c>
      <c r="M56" s="66">
        <v>0</v>
      </c>
      <c r="N56" s="67" t="s">
        <v>1230</v>
      </c>
      <c r="O56" s="67" t="s">
        <v>1230</v>
      </c>
      <c r="P56" s="67">
        <v>0</v>
      </c>
      <c r="Q56" s="66">
        <v>0</v>
      </c>
      <c r="R56" s="67">
        <v>0</v>
      </c>
      <c r="S56" s="66">
        <v>0</v>
      </c>
      <c r="T56" s="66">
        <v>0</v>
      </c>
      <c r="U56" s="66">
        <v>0</v>
      </c>
      <c r="V56" s="66">
        <v>0</v>
      </c>
      <c r="W56" s="66">
        <v>0</v>
      </c>
      <c r="X56" s="66">
        <v>0</v>
      </c>
      <c r="Y56" s="66">
        <v>0</v>
      </c>
      <c r="Z56" s="66">
        <v>0</v>
      </c>
      <c r="AA56" s="66">
        <v>0</v>
      </c>
      <c r="AB56" s="66">
        <v>0</v>
      </c>
      <c r="AC56" s="66">
        <v>0</v>
      </c>
      <c r="AD56" s="67" t="s">
        <v>1230</v>
      </c>
      <c r="AE56" s="67" t="s">
        <v>1230</v>
      </c>
      <c r="AF56" s="67">
        <v>0</v>
      </c>
      <c r="AG56" s="66">
        <v>0</v>
      </c>
      <c r="AH56" s="67">
        <v>0</v>
      </c>
      <c r="AI56" s="66">
        <v>0</v>
      </c>
      <c r="AJ56" s="66">
        <v>0</v>
      </c>
      <c r="AK56" s="66">
        <v>0</v>
      </c>
      <c r="AL56" s="66">
        <v>0</v>
      </c>
      <c r="AM56" s="66">
        <v>0</v>
      </c>
      <c r="AN56" s="66">
        <v>0</v>
      </c>
      <c r="AO56" s="66">
        <v>0</v>
      </c>
      <c r="AP56" s="66">
        <v>0</v>
      </c>
      <c r="AQ56" s="66">
        <v>0</v>
      </c>
      <c r="AR56" s="66">
        <v>0</v>
      </c>
      <c r="AS56" s="66">
        <v>0</v>
      </c>
      <c r="AT56" s="67" t="s">
        <v>1230</v>
      </c>
      <c r="AU56" s="67" t="s">
        <v>1230</v>
      </c>
      <c r="AV56" s="67">
        <v>0</v>
      </c>
      <c r="AW56" s="66">
        <v>0</v>
      </c>
      <c r="AX56" s="67">
        <v>0</v>
      </c>
    </row>
    <row r="57" spans="1:50" ht="31.2" x14ac:dyDescent="0.3">
      <c r="A57" s="171">
        <v>45</v>
      </c>
      <c r="B57" s="211" t="s">
        <v>115</v>
      </c>
      <c r="C57" s="66">
        <v>23.3948</v>
      </c>
      <c r="D57" s="66">
        <v>0</v>
      </c>
      <c r="E57" s="66">
        <v>23.849410450000001</v>
      </c>
      <c r="F57" s="66">
        <v>23.3948</v>
      </c>
      <c r="G57" s="66">
        <v>0.45461045</v>
      </c>
      <c r="H57" s="66">
        <v>23.3948</v>
      </c>
      <c r="I57" s="66">
        <v>0</v>
      </c>
      <c r="J57" s="66">
        <v>23.849410450000001</v>
      </c>
      <c r="K57" s="66">
        <v>23.3948</v>
      </c>
      <c r="L57" s="66">
        <v>0</v>
      </c>
      <c r="M57" s="66">
        <v>0.45461045</v>
      </c>
      <c r="N57" s="67">
        <v>100</v>
      </c>
      <c r="O57" s="67">
        <v>100</v>
      </c>
      <c r="P57" s="67">
        <v>1.9061705988627486</v>
      </c>
      <c r="Q57" s="66">
        <v>0</v>
      </c>
      <c r="R57" s="67">
        <v>0</v>
      </c>
      <c r="S57" s="66">
        <v>16.3063</v>
      </c>
      <c r="T57" s="66">
        <v>0</v>
      </c>
      <c r="U57" s="66">
        <v>16.387831500000001</v>
      </c>
      <c r="V57" s="66">
        <v>16.3063</v>
      </c>
      <c r="W57" s="66">
        <v>8.1531500000000007E-2</v>
      </c>
      <c r="X57" s="66">
        <v>16.3063</v>
      </c>
      <c r="Y57" s="66">
        <v>0</v>
      </c>
      <c r="Z57" s="66">
        <v>16.387831500000001</v>
      </c>
      <c r="AA57" s="66">
        <v>16.3063</v>
      </c>
      <c r="AB57" s="66">
        <v>0</v>
      </c>
      <c r="AC57" s="66">
        <v>8.1531500000000007E-2</v>
      </c>
      <c r="AD57" s="67">
        <v>100</v>
      </c>
      <c r="AE57" s="67">
        <v>100</v>
      </c>
      <c r="AF57" s="67">
        <v>0.49751243781094528</v>
      </c>
      <c r="AG57" s="66">
        <v>0</v>
      </c>
      <c r="AH57" s="67">
        <v>0</v>
      </c>
      <c r="AI57" s="66">
        <v>7.0884999999999998</v>
      </c>
      <c r="AJ57" s="66">
        <v>0</v>
      </c>
      <c r="AK57" s="66">
        <v>7.4615789499999998</v>
      </c>
      <c r="AL57" s="66">
        <v>7.0884999999999998</v>
      </c>
      <c r="AM57" s="66">
        <v>0.37307895000000002</v>
      </c>
      <c r="AN57" s="66">
        <v>7.0884999999999998</v>
      </c>
      <c r="AO57" s="66">
        <v>0</v>
      </c>
      <c r="AP57" s="66">
        <v>7.4615789499999998</v>
      </c>
      <c r="AQ57" s="66">
        <v>7.0884999999999998</v>
      </c>
      <c r="AR57" s="66">
        <v>0</v>
      </c>
      <c r="AS57" s="66">
        <v>0.37307895000000002</v>
      </c>
      <c r="AT57" s="67">
        <v>100</v>
      </c>
      <c r="AU57" s="67">
        <v>100</v>
      </c>
      <c r="AV57" s="67">
        <v>5.000000033504973</v>
      </c>
      <c r="AW57" s="66">
        <v>0</v>
      </c>
      <c r="AX57" s="67">
        <v>0</v>
      </c>
    </row>
    <row r="58" spans="1:50" ht="15.6" x14ac:dyDescent="0.3">
      <c r="A58" s="171">
        <v>46</v>
      </c>
      <c r="B58" s="211" t="s">
        <v>117</v>
      </c>
      <c r="C58" s="66">
        <v>0</v>
      </c>
      <c r="D58" s="66">
        <v>0</v>
      </c>
      <c r="E58" s="66">
        <v>0</v>
      </c>
      <c r="F58" s="66">
        <v>0</v>
      </c>
      <c r="G58" s="66">
        <v>0</v>
      </c>
      <c r="H58" s="66">
        <v>0</v>
      </c>
      <c r="I58" s="66">
        <v>0</v>
      </c>
      <c r="J58" s="66">
        <v>0</v>
      </c>
      <c r="K58" s="66">
        <v>0</v>
      </c>
      <c r="L58" s="66">
        <v>0</v>
      </c>
      <c r="M58" s="66">
        <v>0</v>
      </c>
      <c r="N58" s="67" t="s">
        <v>1230</v>
      </c>
      <c r="O58" s="67" t="s">
        <v>1230</v>
      </c>
      <c r="P58" s="67">
        <v>0</v>
      </c>
      <c r="Q58" s="66">
        <v>0</v>
      </c>
      <c r="R58" s="67">
        <v>0</v>
      </c>
      <c r="S58" s="66">
        <v>0</v>
      </c>
      <c r="T58" s="66">
        <v>0</v>
      </c>
      <c r="U58" s="66">
        <v>0</v>
      </c>
      <c r="V58" s="66">
        <v>0</v>
      </c>
      <c r="W58" s="66">
        <v>0</v>
      </c>
      <c r="X58" s="66">
        <v>0</v>
      </c>
      <c r="Y58" s="66">
        <v>0</v>
      </c>
      <c r="Z58" s="66">
        <v>0</v>
      </c>
      <c r="AA58" s="66">
        <v>0</v>
      </c>
      <c r="AB58" s="66">
        <v>0</v>
      </c>
      <c r="AC58" s="66">
        <v>0</v>
      </c>
      <c r="AD58" s="67" t="s">
        <v>1230</v>
      </c>
      <c r="AE58" s="67" t="s">
        <v>1230</v>
      </c>
      <c r="AF58" s="67">
        <v>0</v>
      </c>
      <c r="AG58" s="66">
        <v>0</v>
      </c>
      <c r="AH58" s="67">
        <v>0</v>
      </c>
      <c r="AI58" s="66">
        <v>0</v>
      </c>
      <c r="AJ58" s="66">
        <v>0</v>
      </c>
      <c r="AK58" s="66">
        <v>0</v>
      </c>
      <c r="AL58" s="66">
        <v>0</v>
      </c>
      <c r="AM58" s="66">
        <v>0</v>
      </c>
      <c r="AN58" s="66">
        <v>0</v>
      </c>
      <c r="AO58" s="66">
        <v>0</v>
      </c>
      <c r="AP58" s="66">
        <v>0</v>
      </c>
      <c r="AQ58" s="66">
        <v>0</v>
      </c>
      <c r="AR58" s="66">
        <v>0</v>
      </c>
      <c r="AS58" s="66">
        <v>0</v>
      </c>
      <c r="AT58" s="67" t="s">
        <v>1230</v>
      </c>
      <c r="AU58" s="67" t="s">
        <v>1230</v>
      </c>
      <c r="AV58" s="67">
        <v>0</v>
      </c>
      <c r="AW58" s="66">
        <v>0</v>
      </c>
      <c r="AX58" s="67">
        <v>0</v>
      </c>
    </row>
    <row r="59" spans="1:50" ht="31.2" x14ac:dyDescent="0.3">
      <c r="A59" s="171">
        <v>47</v>
      </c>
      <c r="B59" s="211" t="s">
        <v>119</v>
      </c>
      <c r="C59" s="66">
        <v>0</v>
      </c>
      <c r="D59" s="66">
        <v>0</v>
      </c>
      <c r="E59" s="66">
        <v>0</v>
      </c>
      <c r="F59" s="66">
        <v>0</v>
      </c>
      <c r="G59" s="66">
        <v>0</v>
      </c>
      <c r="H59" s="66">
        <v>0</v>
      </c>
      <c r="I59" s="66">
        <v>0</v>
      </c>
      <c r="J59" s="66">
        <v>0</v>
      </c>
      <c r="K59" s="66">
        <v>0</v>
      </c>
      <c r="L59" s="66">
        <v>0</v>
      </c>
      <c r="M59" s="66">
        <v>0</v>
      </c>
      <c r="N59" s="67" t="s">
        <v>1230</v>
      </c>
      <c r="O59" s="67" t="s">
        <v>1230</v>
      </c>
      <c r="P59" s="67">
        <v>0</v>
      </c>
      <c r="Q59" s="66">
        <v>0</v>
      </c>
      <c r="R59" s="67">
        <v>0</v>
      </c>
      <c r="S59" s="66">
        <v>0</v>
      </c>
      <c r="T59" s="66">
        <v>0</v>
      </c>
      <c r="U59" s="66">
        <v>0</v>
      </c>
      <c r="V59" s="66">
        <v>0</v>
      </c>
      <c r="W59" s="66">
        <v>0</v>
      </c>
      <c r="X59" s="66">
        <v>0</v>
      </c>
      <c r="Y59" s="66">
        <v>0</v>
      </c>
      <c r="Z59" s="66">
        <v>0</v>
      </c>
      <c r="AA59" s="66">
        <v>0</v>
      </c>
      <c r="AB59" s="66">
        <v>0</v>
      </c>
      <c r="AC59" s="66">
        <v>0</v>
      </c>
      <c r="AD59" s="67" t="s">
        <v>1230</v>
      </c>
      <c r="AE59" s="67" t="s">
        <v>1230</v>
      </c>
      <c r="AF59" s="67">
        <v>0</v>
      </c>
      <c r="AG59" s="66">
        <v>0</v>
      </c>
      <c r="AH59" s="67">
        <v>0</v>
      </c>
      <c r="AI59" s="66">
        <v>0</v>
      </c>
      <c r="AJ59" s="66">
        <v>0</v>
      </c>
      <c r="AK59" s="66">
        <v>0</v>
      </c>
      <c r="AL59" s="66">
        <v>0</v>
      </c>
      <c r="AM59" s="66">
        <v>0</v>
      </c>
      <c r="AN59" s="66">
        <v>0</v>
      </c>
      <c r="AO59" s="66">
        <v>0</v>
      </c>
      <c r="AP59" s="66">
        <v>0</v>
      </c>
      <c r="AQ59" s="66">
        <v>0</v>
      </c>
      <c r="AR59" s="66">
        <v>0</v>
      </c>
      <c r="AS59" s="66">
        <v>0</v>
      </c>
      <c r="AT59" s="67" t="s">
        <v>1230</v>
      </c>
      <c r="AU59" s="67" t="s">
        <v>1230</v>
      </c>
      <c r="AV59" s="67">
        <v>0</v>
      </c>
      <c r="AW59" s="66">
        <v>0</v>
      </c>
      <c r="AX59" s="67">
        <v>0</v>
      </c>
    </row>
    <row r="60" spans="1:50" ht="15.6" x14ac:dyDescent="0.3">
      <c r="A60" s="169">
        <v>48</v>
      </c>
      <c r="B60" s="211" t="s">
        <v>122</v>
      </c>
      <c r="C60" s="66">
        <v>113.14409999999999</v>
      </c>
      <c r="D60" s="66">
        <v>0</v>
      </c>
      <c r="E60" s="66">
        <v>119.099053</v>
      </c>
      <c r="F60" s="66">
        <v>113.14409999999999</v>
      </c>
      <c r="G60" s="66">
        <v>5.9549529999999997</v>
      </c>
      <c r="H60" s="66">
        <v>113.14409965999999</v>
      </c>
      <c r="I60" s="66">
        <v>0</v>
      </c>
      <c r="J60" s="66">
        <v>119.09905264</v>
      </c>
      <c r="K60" s="66">
        <v>113.14409965999999</v>
      </c>
      <c r="L60" s="66">
        <v>0</v>
      </c>
      <c r="M60" s="66">
        <v>5.9549529800000007</v>
      </c>
      <c r="N60" s="67">
        <v>99.999999699498261</v>
      </c>
      <c r="O60" s="67">
        <v>99.99999966414515</v>
      </c>
      <c r="P60" s="67">
        <v>5.0000002921937607</v>
      </c>
      <c r="Q60" s="66">
        <v>0</v>
      </c>
      <c r="R60" s="67">
        <v>0</v>
      </c>
      <c r="S60" s="66">
        <v>113.14409999999999</v>
      </c>
      <c r="T60" s="66">
        <v>0</v>
      </c>
      <c r="U60" s="66">
        <v>119.099053</v>
      </c>
      <c r="V60" s="66">
        <v>113.14409999999999</v>
      </c>
      <c r="W60" s="66">
        <v>5.9549529999999997</v>
      </c>
      <c r="X60" s="66">
        <v>113.14409965999999</v>
      </c>
      <c r="Y60" s="66">
        <v>0</v>
      </c>
      <c r="Z60" s="66">
        <v>119.09905264</v>
      </c>
      <c r="AA60" s="66">
        <v>113.14409965999999</v>
      </c>
      <c r="AB60" s="66">
        <v>0</v>
      </c>
      <c r="AC60" s="66">
        <v>5.9549529800000007</v>
      </c>
      <c r="AD60" s="67">
        <v>99.999999699498261</v>
      </c>
      <c r="AE60" s="67">
        <v>99.99999966414515</v>
      </c>
      <c r="AF60" s="67">
        <v>5.0000002921937607</v>
      </c>
      <c r="AG60" s="66">
        <v>0</v>
      </c>
      <c r="AH60" s="67">
        <v>0</v>
      </c>
      <c r="AI60" s="66">
        <v>0</v>
      </c>
      <c r="AJ60" s="66">
        <v>0</v>
      </c>
      <c r="AK60" s="66">
        <v>0</v>
      </c>
      <c r="AL60" s="66">
        <v>0</v>
      </c>
      <c r="AM60" s="66">
        <v>0</v>
      </c>
      <c r="AN60" s="66">
        <v>0</v>
      </c>
      <c r="AO60" s="66">
        <v>0</v>
      </c>
      <c r="AP60" s="66">
        <v>0</v>
      </c>
      <c r="AQ60" s="66">
        <v>0</v>
      </c>
      <c r="AR60" s="66">
        <v>0</v>
      </c>
      <c r="AS60" s="66">
        <v>0</v>
      </c>
      <c r="AT60" s="67" t="s">
        <v>1230</v>
      </c>
      <c r="AU60" s="67" t="s">
        <v>1230</v>
      </c>
      <c r="AV60" s="67">
        <v>0</v>
      </c>
      <c r="AW60" s="66">
        <v>0</v>
      </c>
      <c r="AX60" s="67">
        <v>0</v>
      </c>
    </row>
    <row r="61" spans="1:50" ht="15.6" x14ac:dyDescent="0.3">
      <c r="A61" s="215">
        <v>49</v>
      </c>
      <c r="B61" s="211" t="s">
        <v>125</v>
      </c>
      <c r="C61" s="66">
        <v>148.1294</v>
      </c>
      <c r="D61" s="66">
        <v>0</v>
      </c>
      <c r="E61" s="66">
        <v>148.6294</v>
      </c>
      <c r="F61" s="66">
        <v>148.1294</v>
      </c>
      <c r="G61" s="66">
        <v>0.5</v>
      </c>
      <c r="H61" s="66">
        <v>148.1294</v>
      </c>
      <c r="I61" s="66">
        <v>0</v>
      </c>
      <c r="J61" s="66">
        <v>148.6294</v>
      </c>
      <c r="K61" s="66">
        <v>148.1294</v>
      </c>
      <c r="L61" s="66">
        <v>0</v>
      </c>
      <c r="M61" s="66">
        <v>0.5</v>
      </c>
      <c r="N61" s="67">
        <v>100</v>
      </c>
      <c r="O61" s="67">
        <v>100</v>
      </c>
      <c r="P61" s="67">
        <v>0.33640719803753494</v>
      </c>
      <c r="Q61" s="66">
        <v>0</v>
      </c>
      <c r="R61" s="67">
        <v>0</v>
      </c>
      <c r="S61" s="66">
        <v>148.1294</v>
      </c>
      <c r="T61" s="66">
        <v>0</v>
      </c>
      <c r="U61" s="66">
        <v>148.6294</v>
      </c>
      <c r="V61" s="66">
        <v>148.1294</v>
      </c>
      <c r="W61" s="66">
        <v>0.5</v>
      </c>
      <c r="X61" s="66">
        <v>148.1294</v>
      </c>
      <c r="Y61" s="66">
        <v>0</v>
      </c>
      <c r="Z61" s="66">
        <v>148.6294</v>
      </c>
      <c r="AA61" s="66">
        <v>148.1294</v>
      </c>
      <c r="AB61" s="66">
        <v>0</v>
      </c>
      <c r="AC61" s="66">
        <v>0.5</v>
      </c>
      <c r="AD61" s="67">
        <v>100</v>
      </c>
      <c r="AE61" s="67">
        <v>100</v>
      </c>
      <c r="AF61" s="67">
        <v>0.33640719803753494</v>
      </c>
      <c r="AG61" s="66">
        <v>0</v>
      </c>
      <c r="AH61" s="67">
        <v>0</v>
      </c>
      <c r="AI61" s="66">
        <v>0</v>
      </c>
      <c r="AJ61" s="66">
        <v>0</v>
      </c>
      <c r="AK61" s="66">
        <v>0</v>
      </c>
      <c r="AL61" s="66">
        <v>0</v>
      </c>
      <c r="AM61" s="66">
        <v>0</v>
      </c>
      <c r="AN61" s="66">
        <v>0</v>
      </c>
      <c r="AO61" s="66">
        <v>0</v>
      </c>
      <c r="AP61" s="66">
        <v>0</v>
      </c>
      <c r="AQ61" s="66">
        <v>0</v>
      </c>
      <c r="AR61" s="66">
        <v>0</v>
      </c>
      <c r="AS61" s="66">
        <v>0</v>
      </c>
      <c r="AT61" s="67" t="s">
        <v>1230</v>
      </c>
      <c r="AU61" s="67" t="s">
        <v>1230</v>
      </c>
      <c r="AV61" s="67">
        <v>0</v>
      </c>
      <c r="AW61" s="66">
        <v>0</v>
      </c>
      <c r="AX61" s="67">
        <v>0</v>
      </c>
    </row>
    <row r="62" spans="1:50" ht="15.6" x14ac:dyDescent="0.3">
      <c r="A62" s="202">
        <v>50</v>
      </c>
      <c r="B62" s="203" t="s">
        <v>128</v>
      </c>
      <c r="C62" s="61">
        <v>1139.3174999999999</v>
      </c>
      <c r="D62" s="61">
        <v>0</v>
      </c>
      <c r="E62" s="61">
        <v>1218.9286791</v>
      </c>
      <c r="F62" s="61">
        <v>1139.3174999999999</v>
      </c>
      <c r="G62" s="61">
        <v>79.611179100000001</v>
      </c>
      <c r="H62" s="61">
        <v>1138.8500867400001</v>
      </c>
      <c r="I62" s="61">
        <v>0</v>
      </c>
      <c r="J62" s="61">
        <v>1218.4314309399999</v>
      </c>
      <c r="K62" s="61">
        <v>1138.8500867400001</v>
      </c>
      <c r="L62" s="61">
        <v>0</v>
      </c>
      <c r="M62" s="61">
        <v>79.581344200000004</v>
      </c>
      <c r="N62" s="61">
        <v>99.95897427538857</v>
      </c>
      <c r="O62" s="61">
        <v>99.96252423298175</v>
      </c>
      <c r="P62" s="61">
        <v>6.5314585769183822</v>
      </c>
      <c r="Q62" s="61">
        <v>0</v>
      </c>
      <c r="R62" s="61">
        <v>0</v>
      </c>
      <c r="S62" s="61">
        <v>1139.3174999999999</v>
      </c>
      <c r="T62" s="61">
        <v>0</v>
      </c>
      <c r="U62" s="61">
        <v>1218.9286791</v>
      </c>
      <c r="V62" s="61">
        <v>1139.3174999999999</v>
      </c>
      <c r="W62" s="61">
        <v>79.611179100000001</v>
      </c>
      <c r="X62" s="61">
        <v>1138.8500867400001</v>
      </c>
      <c r="Y62" s="61">
        <v>0</v>
      </c>
      <c r="Z62" s="61">
        <v>1218.4314309399999</v>
      </c>
      <c r="AA62" s="61">
        <v>1138.8500867400001</v>
      </c>
      <c r="AB62" s="61">
        <v>0</v>
      </c>
      <c r="AC62" s="61">
        <v>79.581344200000004</v>
      </c>
      <c r="AD62" s="61">
        <v>99.95897427538857</v>
      </c>
      <c r="AE62" s="61">
        <v>99.96252423298175</v>
      </c>
      <c r="AF62" s="61">
        <v>6.5314585769183822</v>
      </c>
      <c r="AG62" s="61">
        <v>0</v>
      </c>
      <c r="AH62" s="61">
        <v>0</v>
      </c>
      <c r="AI62" s="61">
        <v>0</v>
      </c>
      <c r="AJ62" s="61">
        <v>0</v>
      </c>
      <c r="AK62" s="61">
        <v>0</v>
      </c>
      <c r="AL62" s="61">
        <v>0</v>
      </c>
      <c r="AM62" s="61">
        <v>0</v>
      </c>
      <c r="AN62" s="61">
        <v>0</v>
      </c>
      <c r="AO62" s="61">
        <v>0</v>
      </c>
      <c r="AP62" s="61">
        <v>0</v>
      </c>
      <c r="AQ62" s="61">
        <v>0</v>
      </c>
      <c r="AR62" s="61">
        <v>0</v>
      </c>
      <c r="AS62" s="61">
        <v>0</v>
      </c>
      <c r="AT62" s="61" t="s">
        <v>1230</v>
      </c>
      <c r="AU62" s="61" t="s">
        <v>1230</v>
      </c>
      <c r="AV62" s="61">
        <v>0</v>
      </c>
      <c r="AW62" s="61">
        <v>0</v>
      </c>
      <c r="AX62" s="61">
        <v>0</v>
      </c>
    </row>
    <row r="63" spans="1:50" ht="15.6" x14ac:dyDescent="0.3">
      <c r="A63" s="169">
        <v>51</v>
      </c>
      <c r="B63" s="205" t="s">
        <v>131</v>
      </c>
      <c r="C63" s="66">
        <v>25.364000000000001</v>
      </c>
      <c r="D63" s="66">
        <v>0</v>
      </c>
      <c r="E63" s="66">
        <v>26.719000000000001</v>
      </c>
      <c r="F63" s="66">
        <v>25.364000000000001</v>
      </c>
      <c r="G63" s="66">
        <v>1.355</v>
      </c>
      <c r="H63" s="66">
        <v>25.364000000000001</v>
      </c>
      <c r="I63" s="66">
        <v>0</v>
      </c>
      <c r="J63" s="66">
        <v>26.719000000000001</v>
      </c>
      <c r="K63" s="66">
        <v>25.364000000000001</v>
      </c>
      <c r="L63" s="66">
        <v>0</v>
      </c>
      <c r="M63" s="66">
        <v>1.355</v>
      </c>
      <c r="N63" s="67">
        <v>100</v>
      </c>
      <c r="O63" s="67">
        <v>100</v>
      </c>
      <c r="P63" s="67">
        <v>5.0712975785021888</v>
      </c>
      <c r="Q63" s="66">
        <v>0</v>
      </c>
      <c r="R63" s="67">
        <v>0</v>
      </c>
      <c r="S63" s="66">
        <v>25.364000000000001</v>
      </c>
      <c r="T63" s="66">
        <v>0</v>
      </c>
      <c r="U63" s="66">
        <v>26.719000000000001</v>
      </c>
      <c r="V63" s="66">
        <v>25.364000000000001</v>
      </c>
      <c r="W63" s="66">
        <v>1.355</v>
      </c>
      <c r="X63" s="66">
        <v>25.364000000000001</v>
      </c>
      <c r="Y63" s="66">
        <v>0</v>
      </c>
      <c r="Z63" s="66">
        <v>26.719000000000001</v>
      </c>
      <c r="AA63" s="66">
        <v>25.364000000000001</v>
      </c>
      <c r="AB63" s="66">
        <v>0</v>
      </c>
      <c r="AC63" s="66">
        <v>1.355</v>
      </c>
      <c r="AD63" s="67">
        <v>100</v>
      </c>
      <c r="AE63" s="67">
        <v>100</v>
      </c>
      <c r="AF63" s="67">
        <v>5.0712975785021888</v>
      </c>
      <c r="AG63" s="66">
        <v>0</v>
      </c>
      <c r="AH63" s="67">
        <v>0</v>
      </c>
      <c r="AI63" s="66">
        <v>0</v>
      </c>
      <c r="AJ63" s="66">
        <v>0</v>
      </c>
      <c r="AK63" s="66">
        <v>0</v>
      </c>
      <c r="AL63" s="66">
        <v>0</v>
      </c>
      <c r="AM63" s="66">
        <v>0</v>
      </c>
      <c r="AN63" s="66">
        <v>0</v>
      </c>
      <c r="AO63" s="66">
        <v>0</v>
      </c>
      <c r="AP63" s="66">
        <v>0</v>
      </c>
      <c r="AQ63" s="66">
        <v>0</v>
      </c>
      <c r="AR63" s="66">
        <v>0</v>
      </c>
      <c r="AS63" s="66">
        <v>0</v>
      </c>
      <c r="AT63" s="67" t="s">
        <v>1230</v>
      </c>
      <c r="AU63" s="67" t="s">
        <v>1230</v>
      </c>
      <c r="AV63" s="67">
        <v>0</v>
      </c>
      <c r="AW63" s="66">
        <v>0</v>
      </c>
      <c r="AX63" s="67">
        <v>0</v>
      </c>
    </row>
    <row r="64" spans="1:50" ht="15.6" x14ac:dyDescent="0.3">
      <c r="A64" s="169">
        <v>52</v>
      </c>
      <c r="B64" s="205" t="s">
        <v>134</v>
      </c>
      <c r="C64" s="66">
        <v>0</v>
      </c>
      <c r="D64" s="66">
        <v>0</v>
      </c>
      <c r="E64" s="66">
        <v>0</v>
      </c>
      <c r="F64" s="66">
        <v>0</v>
      </c>
      <c r="G64" s="66">
        <v>0</v>
      </c>
      <c r="H64" s="66">
        <v>0</v>
      </c>
      <c r="I64" s="66">
        <v>0</v>
      </c>
      <c r="J64" s="66">
        <v>0</v>
      </c>
      <c r="K64" s="66">
        <v>0</v>
      </c>
      <c r="L64" s="66">
        <v>0</v>
      </c>
      <c r="M64" s="66">
        <v>0</v>
      </c>
      <c r="N64" s="67" t="s">
        <v>1230</v>
      </c>
      <c r="O64" s="67" t="s">
        <v>1230</v>
      </c>
      <c r="P64" s="67">
        <v>0</v>
      </c>
      <c r="Q64" s="66">
        <v>0</v>
      </c>
      <c r="R64" s="67">
        <v>0</v>
      </c>
      <c r="S64" s="66">
        <v>0</v>
      </c>
      <c r="T64" s="66">
        <v>0</v>
      </c>
      <c r="U64" s="66">
        <v>0</v>
      </c>
      <c r="V64" s="66">
        <v>0</v>
      </c>
      <c r="W64" s="66">
        <v>0</v>
      </c>
      <c r="X64" s="66">
        <v>0</v>
      </c>
      <c r="Y64" s="66">
        <v>0</v>
      </c>
      <c r="Z64" s="66">
        <v>0</v>
      </c>
      <c r="AA64" s="66">
        <v>0</v>
      </c>
      <c r="AB64" s="66">
        <v>0</v>
      </c>
      <c r="AC64" s="66">
        <v>0</v>
      </c>
      <c r="AD64" s="67" t="s">
        <v>1230</v>
      </c>
      <c r="AE64" s="67" t="s">
        <v>1230</v>
      </c>
      <c r="AF64" s="67">
        <v>0</v>
      </c>
      <c r="AG64" s="66">
        <v>0</v>
      </c>
      <c r="AH64" s="67">
        <v>0</v>
      </c>
      <c r="AI64" s="66">
        <v>0</v>
      </c>
      <c r="AJ64" s="66">
        <v>0</v>
      </c>
      <c r="AK64" s="66">
        <v>0</v>
      </c>
      <c r="AL64" s="66">
        <v>0</v>
      </c>
      <c r="AM64" s="66">
        <v>0</v>
      </c>
      <c r="AN64" s="66">
        <v>0</v>
      </c>
      <c r="AO64" s="66">
        <v>0</v>
      </c>
      <c r="AP64" s="66">
        <v>0</v>
      </c>
      <c r="AQ64" s="66">
        <v>0</v>
      </c>
      <c r="AR64" s="66">
        <v>0</v>
      </c>
      <c r="AS64" s="66">
        <v>0</v>
      </c>
      <c r="AT64" s="67" t="s">
        <v>1230</v>
      </c>
      <c r="AU64" s="67" t="s">
        <v>1230</v>
      </c>
      <c r="AV64" s="67">
        <v>0</v>
      </c>
      <c r="AW64" s="66">
        <v>0</v>
      </c>
      <c r="AX64" s="67">
        <v>0</v>
      </c>
    </row>
    <row r="65" spans="1:50" ht="15.6" x14ac:dyDescent="0.3">
      <c r="A65" s="169">
        <v>53</v>
      </c>
      <c r="B65" s="205" t="s">
        <v>137</v>
      </c>
      <c r="C65" s="66">
        <v>0</v>
      </c>
      <c r="D65" s="66">
        <v>0</v>
      </c>
      <c r="E65" s="66">
        <v>0</v>
      </c>
      <c r="F65" s="66">
        <v>0</v>
      </c>
      <c r="G65" s="66">
        <v>0</v>
      </c>
      <c r="H65" s="66">
        <v>0</v>
      </c>
      <c r="I65" s="66">
        <v>0</v>
      </c>
      <c r="J65" s="66">
        <v>0</v>
      </c>
      <c r="K65" s="66">
        <v>0</v>
      </c>
      <c r="L65" s="66">
        <v>0</v>
      </c>
      <c r="M65" s="66">
        <v>0</v>
      </c>
      <c r="N65" s="67" t="s">
        <v>1230</v>
      </c>
      <c r="O65" s="67" t="s">
        <v>1230</v>
      </c>
      <c r="P65" s="67">
        <v>0</v>
      </c>
      <c r="Q65" s="66">
        <v>0</v>
      </c>
      <c r="R65" s="67">
        <v>0</v>
      </c>
      <c r="S65" s="66">
        <v>0</v>
      </c>
      <c r="T65" s="66">
        <v>0</v>
      </c>
      <c r="U65" s="66">
        <v>0</v>
      </c>
      <c r="V65" s="66">
        <v>0</v>
      </c>
      <c r="W65" s="66">
        <v>0</v>
      </c>
      <c r="X65" s="66">
        <v>0</v>
      </c>
      <c r="Y65" s="66">
        <v>0</v>
      </c>
      <c r="Z65" s="66">
        <v>0</v>
      </c>
      <c r="AA65" s="66">
        <v>0</v>
      </c>
      <c r="AB65" s="66">
        <v>0</v>
      </c>
      <c r="AC65" s="66">
        <v>0</v>
      </c>
      <c r="AD65" s="67" t="s">
        <v>1230</v>
      </c>
      <c r="AE65" s="67" t="s">
        <v>1230</v>
      </c>
      <c r="AF65" s="67">
        <v>0</v>
      </c>
      <c r="AG65" s="66">
        <v>0</v>
      </c>
      <c r="AH65" s="67">
        <v>0</v>
      </c>
      <c r="AI65" s="66">
        <v>0</v>
      </c>
      <c r="AJ65" s="66">
        <v>0</v>
      </c>
      <c r="AK65" s="66">
        <v>0</v>
      </c>
      <c r="AL65" s="66">
        <v>0</v>
      </c>
      <c r="AM65" s="66">
        <v>0</v>
      </c>
      <c r="AN65" s="66">
        <v>0</v>
      </c>
      <c r="AO65" s="66">
        <v>0</v>
      </c>
      <c r="AP65" s="66">
        <v>0</v>
      </c>
      <c r="AQ65" s="66">
        <v>0</v>
      </c>
      <c r="AR65" s="66">
        <v>0</v>
      </c>
      <c r="AS65" s="66">
        <v>0</v>
      </c>
      <c r="AT65" s="67" t="s">
        <v>1230</v>
      </c>
      <c r="AU65" s="67" t="s">
        <v>1230</v>
      </c>
      <c r="AV65" s="67">
        <v>0</v>
      </c>
      <c r="AW65" s="66">
        <v>0</v>
      </c>
      <c r="AX65" s="67">
        <v>0</v>
      </c>
    </row>
    <row r="66" spans="1:50" ht="15.6" x14ac:dyDescent="0.3">
      <c r="A66" s="169">
        <v>54</v>
      </c>
      <c r="B66" s="205" t="s">
        <v>140</v>
      </c>
      <c r="C66" s="66">
        <v>150.04650000000001</v>
      </c>
      <c r="D66" s="66">
        <v>0</v>
      </c>
      <c r="E66" s="66">
        <v>157.94368421000001</v>
      </c>
      <c r="F66" s="66">
        <v>150.04650000000001</v>
      </c>
      <c r="G66" s="66">
        <v>7.8971842099999998</v>
      </c>
      <c r="H66" s="66">
        <v>150.04650000000001</v>
      </c>
      <c r="I66" s="66">
        <v>0</v>
      </c>
      <c r="J66" s="66">
        <v>157.94368421000001</v>
      </c>
      <c r="K66" s="66">
        <v>150.04650000000001</v>
      </c>
      <c r="L66" s="66">
        <v>0</v>
      </c>
      <c r="M66" s="66">
        <v>7.8971842099999998</v>
      </c>
      <c r="N66" s="67">
        <v>100</v>
      </c>
      <c r="O66" s="67">
        <v>100</v>
      </c>
      <c r="P66" s="67">
        <v>4.999999999683431</v>
      </c>
      <c r="Q66" s="66">
        <v>0</v>
      </c>
      <c r="R66" s="67">
        <v>0</v>
      </c>
      <c r="S66" s="66">
        <v>150.04650000000001</v>
      </c>
      <c r="T66" s="66">
        <v>0</v>
      </c>
      <c r="U66" s="66">
        <v>157.94368421000001</v>
      </c>
      <c r="V66" s="66">
        <v>150.04650000000001</v>
      </c>
      <c r="W66" s="66">
        <v>7.8971842099999998</v>
      </c>
      <c r="X66" s="66">
        <v>150.04650000000001</v>
      </c>
      <c r="Y66" s="66">
        <v>0</v>
      </c>
      <c r="Z66" s="66">
        <v>157.94368421000001</v>
      </c>
      <c r="AA66" s="66">
        <v>150.04650000000001</v>
      </c>
      <c r="AB66" s="66">
        <v>0</v>
      </c>
      <c r="AC66" s="66">
        <v>7.8971842099999998</v>
      </c>
      <c r="AD66" s="67">
        <v>100</v>
      </c>
      <c r="AE66" s="67">
        <v>100</v>
      </c>
      <c r="AF66" s="67">
        <v>4.999999999683431</v>
      </c>
      <c r="AG66" s="66">
        <v>0</v>
      </c>
      <c r="AH66" s="67">
        <v>0</v>
      </c>
      <c r="AI66" s="66">
        <v>0</v>
      </c>
      <c r="AJ66" s="66">
        <v>0</v>
      </c>
      <c r="AK66" s="66">
        <v>0</v>
      </c>
      <c r="AL66" s="66">
        <v>0</v>
      </c>
      <c r="AM66" s="66">
        <v>0</v>
      </c>
      <c r="AN66" s="66">
        <v>0</v>
      </c>
      <c r="AO66" s="66">
        <v>0</v>
      </c>
      <c r="AP66" s="66">
        <v>0</v>
      </c>
      <c r="AQ66" s="66">
        <v>0</v>
      </c>
      <c r="AR66" s="66">
        <v>0</v>
      </c>
      <c r="AS66" s="66">
        <v>0</v>
      </c>
      <c r="AT66" s="67" t="s">
        <v>1230</v>
      </c>
      <c r="AU66" s="67" t="s">
        <v>1230</v>
      </c>
      <c r="AV66" s="67">
        <v>0</v>
      </c>
      <c r="AW66" s="66">
        <v>0</v>
      </c>
      <c r="AX66" s="67">
        <v>0</v>
      </c>
    </row>
    <row r="67" spans="1:50" ht="15.6" x14ac:dyDescent="0.3">
      <c r="A67" s="169">
        <v>55</v>
      </c>
      <c r="B67" s="205" t="s">
        <v>143</v>
      </c>
      <c r="C67" s="66">
        <v>0</v>
      </c>
      <c r="D67" s="66">
        <v>0</v>
      </c>
      <c r="E67" s="66">
        <v>0</v>
      </c>
      <c r="F67" s="66">
        <v>0</v>
      </c>
      <c r="G67" s="66">
        <v>0</v>
      </c>
      <c r="H67" s="66">
        <v>0</v>
      </c>
      <c r="I67" s="66">
        <v>0</v>
      </c>
      <c r="J67" s="66">
        <v>0</v>
      </c>
      <c r="K67" s="66">
        <v>0</v>
      </c>
      <c r="L67" s="66">
        <v>0</v>
      </c>
      <c r="M67" s="66">
        <v>0</v>
      </c>
      <c r="N67" s="67" t="s">
        <v>1230</v>
      </c>
      <c r="O67" s="67" t="s">
        <v>1230</v>
      </c>
      <c r="P67" s="67">
        <v>0</v>
      </c>
      <c r="Q67" s="66">
        <v>0</v>
      </c>
      <c r="R67" s="67">
        <v>0</v>
      </c>
      <c r="S67" s="66">
        <v>0</v>
      </c>
      <c r="T67" s="66">
        <v>0</v>
      </c>
      <c r="U67" s="66">
        <v>0</v>
      </c>
      <c r="V67" s="66">
        <v>0</v>
      </c>
      <c r="W67" s="66">
        <v>0</v>
      </c>
      <c r="X67" s="66">
        <v>0</v>
      </c>
      <c r="Y67" s="66">
        <v>0</v>
      </c>
      <c r="Z67" s="66">
        <v>0</v>
      </c>
      <c r="AA67" s="66">
        <v>0</v>
      </c>
      <c r="AB67" s="66">
        <v>0</v>
      </c>
      <c r="AC67" s="66">
        <v>0</v>
      </c>
      <c r="AD67" s="67" t="s">
        <v>1230</v>
      </c>
      <c r="AE67" s="67" t="s">
        <v>1230</v>
      </c>
      <c r="AF67" s="67">
        <v>0</v>
      </c>
      <c r="AG67" s="66">
        <v>0</v>
      </c>
      <c r="AH67" s="67">
        <v>0</v>
      </c>
      <c r="AI67" s="66">
        <v>0</v>
      </c>
      <c r="AJ67" s="66">
        <v>0</v>
      </c>
      <c r="AK67" s="66">
        <v>0</v>
      </c>
      <c r="AL67" s="66">
        <v>0</v>
      </c>
      <c r="AM67" s="66">
        <v>0</v>
      </c>
      <c r="AN67" s="66">
        <v>0</v>
      </c>
      <c r="AO67" s="66">
        <v>0</v>
      </c>
      <c r="AP67" s="66">
        <v>0</v>
      </c>
      <c r="AQ67" s="66">
        <v>0</v>
      </c>
      <c r="AR67" s="66">
        <v>0</v>
      </c>
      <c r="AS67" s="66">
        <v>0</v>
      </c>
      <c r="AT67" s="67" t="s">
        <v>1230</v>
      </c>
      <c r="AU67" s="67" t="s">
        <v>1230</v>
      </c>
      <c r="AV67" s="67">
        <v>0</v>
      </c>
      <c r="AW67" s="66">
        <v>0</v>
      </c>
      <c r="AX67" s="67">
        <v>0</v>
      </c>
    </row>
    <row r="68" spans="1:50" ht="15.6" x14ac:dyDescent="0.3">
      <c r="A68" s="169">
        <v>56</v>
      </c>
      <c r="B68" s="205" t="s">
        <v>146</v>
      </c>
      <c r="C68" s="66">
        <v>94.296499999999995</v>
      </c>
      <c r="D68" s="66">
        <v>0</v>
      </c>
      <c r="E68" s="66">
        <v>100.31542553</v>
      </c>
      <c r="F68" s="66">
        <v>94.296499999999995</v>
      </c>
      <c r="G68" s="66">
        <v>6.0189255300000006</v>
      </c>
      <c r="H68" s="66">
        <v>93.829086739999994</v>
      </c>
      <c r="I68" s="66">
        <v>0</v>
      </c>
      <c r="J68" s="66">
        <v>99.818177370000001</v>
      </c>
      <c r="K68" s="66">
        <v>93.829086739999994</v>
      </c>
      <c r="L68" s="66">
        <v>0</v>
      </c>
      <c r="M68" s="66">
        <v>5.9890906299999997</v>
      </c>
      <c r="N68" s="67">
        <v>99.504315366954231</v>
      </c>
      <c r="O68" s="67">
        <v>99.50431518297917</v>
      </c>
      <c r="P68" s="67">
        <v>5.9999999877777777</v>
      </c>
      <c r="Q68" s="66">
        <v>0</v>
      </c>
      <c r="R68" s="67">
        <v>0</v>
      </c>
      <c r="S68" s="66">
        <v>94.296499999999995</v>
      </c>
      <c r="T68" s="66">
        <v>0</v>
      </c>
      <c r="U68" s="66">
        <v>100.31542553</v>
      </c>
      <c r="V68" s="66">
        <v>94.296499999999995</v>
      </c>
      <c r="W68" s="66">
        <v>6.0189255300000006</v>
      </c>
      <c r="X68" s="66">
        <v>93.829086739999994</v>
      </c>
      <c r="Y68" s="66">
        <v>0</v>
      </c>
      <c r="Z68" s="66">
        <v>99.818177370000001</v>
      </c>
      <c r="AA68" s="66">
        <v>93.829086739999994</v>
      </c>
      <c r="AB68" s="66">
        <v>0</v>
      </c>
      <c r="AC68" s="66">
        <v>5.9890906299999997</v>
      </c>
      <c r="AD68" s="67">
        <v>99.504315366954231</v>
      </c>
      <c r="AE68" s="67">
        <v>99.50431518297917</v>
      </c>
      <c r="AF68" s="67">
        <v>5.9999999877777777</v>
      </c>
      <c r="AG68" s="66">
        <v>0</v>
      </c>
      <c r="AH68" s="67">
        <v>0</v>
      </c>
      <c r="AI68" s="66">
        <v>0</v>
      </c>
      <c r="AJ68" s="66">
        <v>0</v>
      </c>
      <c r="AK68" s="66">
        <v>0</v>
      </c>
      <c r="AL68" s="66">
        <v>0</v>
      </c>
      <c r="AM68" s="66">
        <v>0</v>
      </c>
      <c r="AN68" s="66">
        <v>0</v>
      </c>
      <c r="AO68" s="66">
        <v>0</v>
      </c>
      <c r="AP68" s="66">
        <v>0</v>
      </c>
      <c r="AQ68" s="66">
        <v>0</v>
      </c>
      <c r="AR68" s="66">
        <v>0</v>
      </c>
      <c r="AS68" s="66">
        <v>0</v>
      </c>
      <c r="AT68" s="67" t="s">
        <v>1230</v>
      </c>
      <c r="AU68" s="67" t="s">
        <v>1230</v>
      </c>
      <c r="AV68" s="67">
        <v>0</v>
      </c>
      <c r="AW68" s="66">
        <v>0</v>
      </c>
      <c r="AX68" s="67">
        <v>0</v>
      </c>
    </row>
    <row r="69" spans="1:50" ht="15.6" x14ac:dyDescent="0.3">
      <c r="A69" s="169">
        <v>57</v>
      </c>
      <c r="B69" s="205" t="s">
        <v>149</v>
      </c>
      <c r="C69" s="66">
        <v>27.8733</v>
      </c>
      <c r="D69" s="66">
        <v>0</v>
      </c>
      <c r="E69" s="66">
        <v>61.320807409999993</v>
      </c>
      <c r="F69" s="66">
        <v>27.8733</v>
      </c>
      <c r="G69" s="66">
        <v>33.44750741</v>
      </c>
      <c r="H69" s="66">
        <v>27.8733</v>
      </c>
      <c r="I69" s="66">
        <v>0</v>
      </c>
      <c r="J69" s="66">
        <v>61.320807409999993</v>
      </c>
      <c r="K69" s="66">
        <v>27.8733</v>
      </c>
      <c r="L69" s="66">
        <v>0</v>
      </c>
      <c r="M69" s="66">
        <v>33.44750741</v>
      </c>
      <c r="N69" s="67">
        <v>100</v>
      </c>
      <c r="O69" s="67">
        <v>100</v>
      </c>
      <c r="P69" s="67">
        <v>54.545119059449135</v>
      </c>
      <c r="Q69" s="66">
        <v>0</v>
      </c>
      <c r="R69" s="67">
        <v>0</v>
      </c>
      <c r="S69" s="66">
        <v>27.8733</v>
      </c>
      <c r="T69" s="66">
        <v>0</v>
      </c>
      <c r="U69" s="66">
        <v>61.320807409999993</v>
      </c>
      <c r="V69" s="66">
        <v>27.8733</v>
      </c>
      <c r="W69" s="66">
        <v>33.44750741</v>
      </c>
      <c r="X69" s="66">
        <v>27.8733</v>
      </c>
      <c r="Y69" s="66">
        <v>0</v>
      </c>
      <c r="Z69" s="66">
        <v>61.320807409999993</v>
      </c>
      <c r="AA69" s="66">
        <v>27.8733</v>
      </c>
      <c r="AB69" s="66">
        <v>0</v>
      </c>
      <c r="AC69" s="66">
        <v>33.44750741</v>
      </c>
      <c r="AD69" s="67">
        <v>100</v>
      </c>
      <c r="AE69" s="67">
        <v>100</v>
      </c>
      <c r="AF69" s="67">
        <v>54.545119059449135</v>
      </c>
      <c r="AG69" s="66">
        <v>0</v>
      </c>
      <c r="AH69" s="67">
        <v>0</v>
      </c>
      <c r="AI69" s="66">
        <v>0</v>
      </c>
      <c r="AJ69" s="66">
        <v>0</v>
      </c>
      <c r="AK69" s="66">
        <v>0</v>
      </c>
      <c r="AL69" s="66">
        <v>0</v>
      </c>
      <c r="AM69" s="66">
        <v>0</v>
      </c>
      <c r="AN69" s="66">
        <v>0</v>
      </c>
      <c r="AO69" s="66">
        <v>0</v>
      </c>
      <c r="AP69" s="66">
        <v>0</v>
      </c>
      <c r="AQ69" s="66">
        <v>0</v>
      </c>
      <c r="AR69" s="66">
        <v>0</v>
      </c>
      <c r="AS69" s="66">
        <v>0</v>
      </c>
      <c r="AT69" s="67" t="s">
        <v>1230</v>
      </c>
      <c r="AU69" s="67" t="s">
        <v>1230</v>
      </c>
      <c r="AV69" s="67">
        <v>0</v>
      </c>
      <c r="AW69" s="66">
        <v>0</v>
      </c>
      <c r="AX69" s="67">
        <v>0</v>
      </c>
    </row>
    <row r="70" spans="1:50" ht="15.6" x14ac:dyDescent="0.3">
      <c r="A70" s="169">
        <v>58</v>
      </c>
      <c r="B70" s="205" t="s">
        <v>152</v>
      </c>
      <c r="C70" s="66">
        <v>451.3252</v>
      </c>
      <c r="D70" s="66">
        <v>0</v>
      </c>
      <c r="E70" s="66">
        <v>475.91021999999998</v>
      </c>
      <c r="F70" s="66">
        <v>451.3252</v>
      </c>
      <c r="G70" s="66">
        <v>24.58502</v>
      </c>
      <c r="H70" s="66">
        <v>451.3252</v>
      </c>
      <c r="I70" s="66">
        <v>0</v>
      </c>
      <c r="J70" s="66">
        <v>475.91021999999998</v>
      </c>
      <c r="K70" s="66">
        <v>451.3252</v>
      </c>
      <c r="L70" s="66">
        <v>0</v>
      </c>
      <c r="M70" s="66">
        <v>24.58502</v>
      </c>
      <c r="N70" s="67">
        <v>100</v>
      </c>
      <c r="O70" s="67">
        <v>100</v>
      </c>
      <c r="P70" s="67">
        <v>5.1658945252320914</v>
      </c>
      <c r="Q70" s="66">
        <v>0</v>
      </c>
      <c r="R70" s="67">
        <v>0</v>
      </c>
      <c r="S70" s="66">
        <v>451.3252</v>
      </c>
      <c r="T70" s="66">
        <v>0</v>
      </c>
      <c r="U70" s="66">
        <v>475.91021999999998</v>
      </c>
      <c r="V70" s="66">
        <v>451.3252</v>
      </c>
      <c r="W70" s="66">
        <v>24.58502</v>
      </c>
      <c r="X70" s="66">
        <v>451.3252</v>
      </c>
      <c r="Y70" s="66">
        <v>0</v>
      </c>
      <c r="Z70" s="66">
        <v>475.91021999999998</v>
      </c>
      <c r="AA70" s="66">
        <v>451.3252</v>
      </c>
      <c r="AB70" s="66">
        <v>0</v>
      </c>
      <c r="AC70" s="66">
        <v>24.58502</v>
      </c>
      <c r="AD70" s="67">
        <v>100</v>
      </c>
      <c r="AE70" s="67">
        <v>100</v>
      </c>
      <c r="AF70" s="67">
        <v>5.1658945252320914</v>
      </c>
      <c r="AG70" s="66">
        <v>0</v>
      </c>
      <c r="AH70" s="67">
        <v>0</v>
      </c>
      <c r="AI70" s="66">
        <v>0</v>
      </c>
      <c r="AJ70" s="66">
        <v>0</v>
      </c>
      <c r="AK70" s="66">
        <v>0</v>
      </c>
      <c r="AL70" s="66">
        <v>0</v>
      </c>
      <c r="AM70" s="66">
        <v>0</v>
      </c>
      <c r="AN70" s="66">
        <v>0</v>
      </c>
      <c r="AO70" s="66">
        <v>0</v>
      </c>
      <c r="AP70" s="66">
        <v>0</v>
      </c>
      <c r="AQ70" s="66">
        <v>0</v>
      </c>
      <c r="AR70" s="66">
        <v>0</v>
      </c>
      <c r="AS70" s="66">
        <v>0</v>
      </c>
      <c r="AT70" s="67" t="s">
        <v>1230</v>
      </c>
      <c r="AU70" s="67" t="s">
        <v>1230</v>
      </c>
      <c r="AV70" s="67">
        <v>0</v>
      </c>
      <c r="AW70" s="66">
        <v>0</v>
      </c>
      <c r="AX70" s="67">
        <v>0</v>
      </c>
    </row>
    <row r="71" spans="1:50" ht="15.6" x14ac:dyDescent="0.3">
      <c r="A71" s="169">
        <v>59</v>
      </c>
      <c r="B71" s="205" t="s">
        <v>155</v>
      </c>
      <c r="C71" s="66">
        <v>0</v>
      </c>
      <c r="D71" s="66">
        <v>0</v>
      </c>
      <c r="E71" s="66">
        <v>0</v>
      </c>
      <c r="F71" s="66">
        <v>0</v>
      </c>
      <c r="G71" s="66">
        <v>0</v>
      </c>
      <c r="H71" s="66">
        <v>0</v>
      </c>
      <c r="I71" s="66">
        <v>0</v>
      </c>
      <c r="J71" s="66">
        <v>0</v>
      </c>
      <c r="K71" s="66">
        <v>0</v>
      </c>
      <c r="L71" s="66">
        <v>0</v>
      </c>
      <c r="M71" s="66">
        <v>0</v>
      </c>
      <c r="N71" s="67" t="s">
        <v>1230</v>
      </c>
      <c r="O71" s="67" t="s">
        <v>1230</v>
      </c>
      <c r="P71" s="67">
        <v>0</v>
      </c>
      <c r="Q71" s="66">
        <v>0</v>
      </c>
      <c r="R71" s="67">
        <v>0</v>
      </c>
      <c r="S71" s="66">
        <v>0</v>
      </c>
      <c r="T71" s="66">
        <v>0</v>
      </c>
      <c r="U71" s="66">
        <v>0</v>
      </c>
      <c r="V71" s="66">
        <v>0</v>
      </c>
      <c r="W71" s="66">
        <v>0</v>
      </c>
      <c r="X71" s="66">
        <v>0</v>
      </c>
      <c r="Y71" s="66">
        <v>0</v>
      </c>
      <c r="Z71" s="66">
        <v>0</v>
      </c>
      <c r="AA71" s="66">
        <v>0</v>
      </c>
      <c r="AB71" s="66">
        <v>0</v>
      </c>
      <c r="AC71" s="66">
        <v>0</v>
      </c>
      <c r="AD71" s="67" t="s">
        <v>1230</v>
      </c>
      <c r="AE71" s="67" t="s">
        <v>1230</v>
      </c>
      <c r="AF71" s="67">
        <v>0</v>
      </c>
      <c r="AG71" s="66">
        <v>0</v>
      </c>
      <c r="AH71" s="67">
        <v>0</v>
      </c>
      <c r="AI71" s="66">
        <v>0</v>
      </c>
      <c r="AJ71" s="66">
        <v>0</v>
      </c>
      <c r="AK71" s="66">
        <v>0</v>
      </c>
      <c r="AL71" s="66">
        <v>0</v>
      </c>
      <c r="AM71" s="66">
        <v>0</v>
      </c>
      <c r="AN71" s="66">
        <v>0</v>
      </c>
      <c r="AO71" s="66">
        <v>0</v>
      </c>
      <c r="AP71" s="66">
        <v>0</v>
      </c>
      <c r="AQ71" s="66">
        <v>0</v>
      </c>
      <c r="AR71" s="66">
        <v>0</v>
      </c>
      <c r="AS71" s="66">
        <v>0</v>
      </c>
      <c r="AT71" s="67" t="s">
        <v>1230</v>
      </c>
      <c r="AU71" s="67" t="s">
        <v>1230</v>
      </c>
      <c r="AV71" s="67">
        <v>0</v>
      </c>
      <c r="AW71" s="66">
        <v>0</v>
      </c>
      <c r="AX71" s="67">
        <v>0</v>
      </c>
    </row>
    <row r="72" spans="1:50" ht="15.6" x14ac:dyDescent="0.3">
      <c r="A72" s="169">
        <v>60</v>
      </c>
      <c r="B72" s="205" t="s">
        <v>158</v>
      </c>
      <c r="C72" s="66">
        <v>315</v>
      </c>
      <c r="D72" s="66">
        <v>0</v>
      </c>
      <c r="E72" s="66">
        <v>321.3</v>
      </c>
      <c r="F72" s="66">
        <v>315</v>
      </c>
      <c r="G72" s="66">
        <v>6.3</v>
      </c>
      <c r="H72" s="66">
        <v>315</v>
      </c>
      <c r="I72" s="66">
        <v>0</v>
      </c>
      <c r="J72" s="66">
        <v>321.3</v>
      </c>
      <c r="K72" s="66">
        <v>315</v>
      </c>
      <c r="L72" s="66">
        <v>0</v>
      </c>
      <c r="M72" s="66">
        <v>6.3</v>
      </c>
      <c r="N72" s="67">
        <v>100</v>
      </c>
      <c r="O72" s="67">
        <v>100</v>
      </c>
      <c r="P72" s="67">
        <v>1.9607843137254901</v>
      </c>
      <c r="Q72" s="66">
        <v>0</v>
      </c>
      <c r="R72" s="67">
        <v>0</v>
      </c>
      <c r="S72" s="66">
        <v>315</v>
      </c>
      <c r="T72" s="66">
        <v>0</v>
      </c>
      <c r="U72" s="66">
        <v>321.3</v>
      </c>
      <c r="V72" s="66">
        <v>315</v>
      </c>
      <c r="W72" s="66">
        <v>6.3</v>
      </c>
      <c r="X72" s="66">
        <v>315</v>
      </c>
      <c r="Y72" s="66">
        <v>0</v>
      </c>
      <c r="Z72" s="66">
        <v>321.3</v>
      </c>
      <c r="AA72" s="66">
        <v>315</v>
      </c>
      <c r="AB72" s="66">
        <v>0</v>
      </c>
      <c r="AC72" s="66">
        <v>6.3</v>
      </c>
      <c r="AD72" s="67">
        <v>100</v>
      </c>
      <c r="AE72" s="67">
        <v>100</v>
      </c>
      <c r="AF72" s="67">
        <v>1.9607843137254901</v>
      </c>
      <c r="AG72" s="66">
        <v>0</v>
      </c>
      <c r="AH72" s="67">
        <v>0</v>
      </c>
      <c r="AI72" s="66">
        <v>0</v>
      </c>
      <c r="AJ72" s="66">
        <v>0</v>
      </c>
      <c r="AK72" s="66">
        <v>0</v>
      </c>
      <c r="AL72" s="66">
        <v>0</v>
      </c>
      <c r="AM72" s="66">
        <v>0</v>
      </c>
      <c r="AN72" s="66">
        <v>0</v>
      </c>
      <c r="AO72" s="66">
        <v>0</v>
      </c>
      <c r="AP72" s="66">
        <v>0</v>
      </c>
      <c r="AQ72" s="66">
        <v>0</v>
      </c>
      <c r="AR72" s="66">
        <v>0</v>
      </c>
      <c r="AS72" s="66">
        <v>0</v>
      </c>
      <c r="AT72" s="67" t="s">
        <v>1230</v>
      </c>
      <c r="AU72" s="67" t="s">
        <v>1230</v>
      </c>
      <c r="AV72" s="67">
        <v>0</v>
      </c>
      <c r="AW72" s="66">
        <v>0</v>
      </c>
      <c r="AX72" s="67">
        <v>0</v>
      </c>
    </row>
    <row r="73" spans="1:50" ht="15.6" x14ac:dyDescent="0.3">
      <c r="A73" s="169">
        <v>61</v>
      </c>
      <c r="B73" s="205" t="s">
        <v>161</v>
      </c>
      <c r="C73" s="66">
        <v>75.412000000000006</v>
      </c>
      <c r="D73" s="66">
        <v>0</v>
      </c>
      <c r="E73" s="66">
        <v>75.41954195000001</v>
      </c>
      <c r="F73" s="66">
        <v>75.412000000000006</v>
      </c>
      <c r="G73" s="66">
        <v>7.5419499999999995E-3</v>
      </c>
      <c r="H73" s="66">
        <v>75.412000000000006</v>
      </c>
      <c r="I73" s="66">
        <v>0</v>
      </c>
      <c r="J73" s="66">
        <v>75.41954195000001</v>
      </c>
      <c r="K73" s="66">
        <v>75.412000000000006</v>
      </c>
      <c r="L73" s="66">
        <v>0</v>
      </c>
      <c r="M73" s="66">
        <v>7.5419499999999995E-3</v>
      </c>
      <c r="N73" s="67">
        <v>100</v>
      </c>
      <c r="O73" s="67">
        <v>100</v>
      </c>
      <c r="P73" s="67">
        <v>9.9999944377811203E-3</v>
      </c>
      <c r="Q73" s="66">
        <v>0</v>
      </c>
      <c r="R73" s="67">
        <v>0</v>
      </c>
      <c r="S73" s="66">
        <v>75.412000000000006</v>
      </c>
      <c r="T73" s="66">
        <v>0</v>
      </c>
      <c r="U73" s="66">
        <v>75.41954195000001</v>
      </c>
      <c r="V73" s="66">
        <v>75.412000000000006</v>
      </c>
      <c r="W73" s="66">
        <v>7.5419499999999995E-3</v>
      </c>
      <c r="X73" s="66">
        <v>75.412000000000006</v>
      </c>
      <c r="Y73" s="66">
        <v>0</v>
      </c>
      <c r="Z73" s="66">
        <v>75.41954195000001</v>
      </c>
      <c r="AA73" s="66">
        <v>75.412000000000006</v>
      </c>
      <c r="AB73" s="66">
        <v>0</v>
      </c>
      <c r="AC73" s="66">
        <v>7.5419499999999995E-3</v>
      </c>
      <c r="AD73" s="67">
        <v>100</v>
      </c>
      <c r="AE73" s="67">
        <v>100</v>
      </c>
      <c r="AF73" s="67">
        <v>9.9999944377811203E-3</v>
      </c>
      <c r="AG73" s="66">
        <v>0</v>
      </c>
      <c r="AH73" s="67">
        <v>0</v>
      </c>
      <c r="AI73" s="66">
        <v>0</v>
      </c>
      <c r="AJ73" s="66">
        <v>0</v>
      </c>
      <c r="AK73" s="66">
        <v>0</v>
      </c>
      <c r="AL73" s="66">
        <v>0</v>
      </c>
      <c r="AM73" s="66">
        <v>0</v>
      </c>
      <c r="AN73" s="66">
        <v>0</v>
      </c>
      <c r="AO73" s="66">
        <v>0</v>
      </c>
      <c r="AP73" s="66">
        <v>0</v>
      </c>
      <c r="AQ73" s="66">
        <v>0</v>
      </c>
      <c r="AR73" s="66">
        <v>0</v>
      </c>
      <c r="AS73" s="66">
        <v>0</v>
      </c>
      <c r="AT73" s="67" t="s">
        <v>1230</v>
      </c>
      <c r="AU73" s="67" t="s">
        <v>1230</v>
      </c>
      <c r="AV73" s="67">
        <v>0</v>
      </c>
      <c r="AW73" s="66">
        <v>0</v>
      </c>
      <c r="AX73" s="67">
        <v>0</v>
      </c>
    </row>
    <row r="74" spans="1:50" ht="15.6" x14ac:dyDescent="0.3">
      <c r="A74" s="169">
        <v>62</v>
      </c>
      <c r="B74" s="205" t="s">
        <v>164</v>
      </c>
      <c r="C74" s="66">
        <v>0</v>
      </c>
      <c r="D74" s="66">
        <v>0</v>
      </c>
      <c r="E74" s="66">
        <v>0</v>
      </c>
      <c r="F74" s="66">
        <v>0</v>
      </c>
      <c r="G74" s="66">
        <v>0</v>
      </c>
      <c r="H74" s="66">
        <v>0</v>
      </c>
      <c r="I74" s="66">
        <v>0</v>
      </c>
      <c r="J74" s="66">
        <v>0</v>
      </c>
      <c r="K74" s="66">
        <v>0</v>
      </c>
      <c r="L74" s="66">
        <v>0</v>
      </c>
      <c r="M74" s="66">
        <v>0</v>
      </c>
      <c r="N74" s="67" t="s">
        <v>1230</v>
      </c>
      <c r="O74" s="67" t="s">
        <v>1230</v>
      </c>
      <c r="P74" s="67">
        <v>0</v>
      </c>
      <c r="Q74" s="66">
        <v>0</v>
      </c>
      <c r="R74" s="67">
        <v>0</v>
      </c>
      <c r="S74" s="66">
        <v>0</v>
      </c>
      <c r="T74" s="66">
        <v>0</v>
      </c>
      <c r="U74" s="66">
        <v>0</v>
      </c>
      <c r="V74" s="66">
        <v>0</v>
      </c>
      <c r="W74" s="66">
        <v>0</v>
      </c>
      <c r="X74" s="66">
        <v>0</v>
      </c>
      <c r="Y74" s="66">
        <v>0</v>
      </c>
      <c r="Z74" s="66">
        <v>0</v>
      </c>
      <c r="AA74" s="66">
        <v>0</v>
      </c>
      <c r="AB74" s="66">
        <v>0</v>
      </c>
      <c r="AC74" s="66">
        <v>0</v>
      </c>
      <c r="AD74" s="67" t="s">
        <v>1230</v>
      </c>
      <c r="AE74" s="67" t="s">
        <v>1230</v>
      </c>
      <c r="AF74" s="67">
        <v>0</v>
      </c>
      <c r="AG74" s="66">
        <v>0</v>
      </c>
      <c r="AH74" s="67">
        <v>0</v>
      </c>
      <c r="AI74" s="66">
        <v>0</v>
      </c>
      <c r="AJ74" s="66">
        <v>0</v>
      </c>
      <c r="AK74" s="66">
        <v>0</v>
      </c>
      <c r="AL74" s="66">
        <v>0</v>
      </c>
      <c r="AM74" s="66">
        <v>0</v>
      </c>
      <c r="AN74" s="66">
        <v>0</v>
      </c>
      <c r="AO74" s="66">
        <v>0</v>
      </c>
      <c r="AP74" s="66">
        <v>0</v>
      </c>
      <c r="AQ74" s="66">
        <v>0</v>
      </c>
      <c r="AR74" s="66">
        <v>0</v>
      </c>
      <c r="AS74" s="66">
        <v>0</v>
      </c>
      <c r="AT74" s="67" t="s">
        <v>1230</v>
      </c>
      <c r="AU74" s="67" t="s">
        <v>1230</v>
      </c>
      <c r="AV74" s="67">
        <v>0</v>
      </c>
      <c r="AW74" s="66">
        <v>0</v>
      </c>
      <c r="AX74" s="67">
        <v>0</v>
      </c>
    </row>
    <row r="75" spans="1:50" ht="15.6" x14ac:dyDescent="0.3">
      <c r="A75" s="169">
        <v>63</v>
      </c>
      <c r="B75" s="205" t="s">
        <v>167</v>
      </c>
      <c r="C75" s="66">
        <v>0</v>
      </c>
      <c r="D75" s="66">
        <v>0</v>
      </c>
      <c r="E75" s="66">
        <v>0</v>
      </c>
      <c r="F75" s="66">
        <v>0</v>
      </c>
      <c r="G75" s="66">
        <v>0</v>
      </c>
      <c r="H75" s="66">
        <v>0</v>
      </c>
      <c r="I75" s="66">
        <v>0</v>
      </c>
      <c r="J75" s="66">
        <v>0</v>
      </c>
      <c r="K75" s="66">
        <v>0</v>
      </c>
      <c r="L75" s="66">
        <v>0</v>
      </c>
      <c r="M75" s="66">
        <v>0</v>
      </c>
      <c r="N75" s="67" t="s">
        <v>1230</v>
      </c>
      <c r="O75" s="67" t="s">
        <v>1230</v>
      </c>
      <c r="P75" s="67">
        <v>0</v>
      </c>
      <c r="Q75" s="66">
        <v>0</v>
      </c>
      <c r="R75" s="67">
        <v>0</v>
      </c>
      <c r="S75" s="66">
        <v>0</v>
      </c>
      <c r="T75" s="66">
        <v>0</v>
      </c>
      <c r="U75" s="66">
        <v>0</v>
      </c>
      <c r="V75" s="66">
        <v>0</v>
      </c>
      <c r="W75" s="66">
        <v>0</v>
      </c>
      <c r="X75" s="66">
        <v>0</v>
      </c>
      <c r="Y75" s="66">
        <v>0</v>
      </c>
      <c r="Z75" s="66">
        <v>0</v>
      </c>
      <c r="AA75" s="66">
        <v>0</v>
      </c>
      <c r="AB75" s="66">
        <v>0</v>
      </c>
      <c r="AC75" s="66">
        <v>0</v>
      </c>
      <c r="AD75" s="67" t="s">
        <v>1230</v>
      </c>
      <c r="AE75" s="67" t="s">
        <v>1230</v>
      </c>
      <c r="AF75" s="67">
        <v>0</v>
      </c>
      <c r="AG75" s="66">
        <v>0</v>
      </c>
      <c r="AH75" s="67">
        <v>0</v>
      </c>
      <c r="AI75" s="66">
        <v>0</v>
      </c>
      <c r="AJ75" s="66">
        <v>0</v>
      </c>
      <c r="AK75" s="66">
        <v>0</v>
      </c>
      <c r="AL75" s="66">
        <v>0</v>
      </c>
      <c r="AM75" s="66">
        <v>0</v>
      </c>
      <c r="AN75" s="66">
        <v>0</v>
      </c>
      <c r="AO75" s="66">
        <v>0</v>
      </c>
      <c r="AP75" s="66">
        <v>0</v>
      </c>
      <c r="AQ75" s="66">
        <v>0</v>
      </c>
      <c r="AR75" s="66">
        <v>0</v>
      </c>
      <c r="AS75" s="66">
        <v>0</v>
      </c>
      <c r="AT75" s="67" t="s">
        <v>1230</v>
      </c>
      <c r="AU75" s="67" t="s">
        <v>1230</v>
      </c>
      <c r="AV75" s="67">
        <v>0</v>
      </c>
      <c r="AW75" s="66">
        <v>0</v>
      </c>
      <c r="AX75" s="67">
        <v>0</v>
      </c>
    </row>
    <row r="76" spans="1:50" ht="15.6" x14ac:dyDescent="0.3">
      <c r="A76" s="215">
        <v>64</v>
      </c>
      <c r="B76" s="205" t="s">
        <v>170</v>
      </c>
      <c r="C76" s="66">
        <v>0</v>
      </c>
      <c r="D76" s="66">
        <v>0</v>
      </c>
      <c r="E76" s="66">
        <v>0</v>
      </c>
      <c r="F76" s="66">
        <v>0</v>
      </c>
      <c r="G76" s="66">
        <v>0</v>
      </c>
      <c r="H76" s="66">
        <v>0</v>
      </c>
      <c r="I76" s="66">
        <v>0</v>
      </c>
      <c r="J76" s="66">
        <v>0</v>
      </c>
      <c r="K76" s="66">
        <v>0</v>
      </c>
      <c r="L76" s="66">
        <v>0</v>
      </c>
      <c r="M76" s="66">
        <v>0</v>
      </c>
      <c r="N76" s="67" t="s">
        <v>1230</v>
      </c>
      <c r="O76" s="67" t="s">
        <v>1230</v>
      </c>
      <c r="P76" s="67">
        <v>0</v>
      </c>
      <c r="Q76" s="66">
        <v>0</v>
      </c>
      <c r="R76" s="67">
        <v>0</v>
      </c>
      <c r="S76" s="66">
        <v>0</v>
      </c>
      <c r="T76" s="66">
        <v>0</v>
      </c>
      <c r="U76" s="66">
        <v>0</v>
      </c>
      <c r="V76" s="66">
        <v>0</v>
      </c>
      <c r="W76" s="66">
        <v>0</v>
      </c>
      <c r="X76" s="66">
        <v>0</v>
      </c>
      <c r="Y76" s="66">
        <v>0</v>
      </c>
      <c r="Z76" s="66">
        <v>0</v>
      </c>
      <c r="AA76" s="66">
        <v>0</v>
      </c>
      <c r="AB76" s="66">
        <v>0</v>
      </c>
      <c r="AC76" s="66">
        <v>0</v>
      </c>
      <c r="AD76" s="67" t="s">
        <v>1230</v>
      </c>
      <c r="AE76" s="67" t="s">
        <v>1230</v>
      </c>
      <c r="AF76" s="67">
        <v>0</v>
      </c>
      <c r="AG76" s="66">
        <v>0</v>
      </c>
      <c r="AH76" s="67">
        <v>0</v>
      </c>
      <c r="AI76" s="66">
        <v>0</v>
      </c>
      <c r="AJ76" s="66">
        <v>0</v>
      </c>
      <c r="AK76" s="66">
        <v>0</v>
      </c>
      <c r="AL76" s="66">
        <v>0</v>
      </c>
      <c r="AM76" s="66">
        <v>0</v>
      </c>
      <c r="AN76" s="66">
        <v>0</v>
      </c>
      <c r="AO76" s="66">
        <v>0</v>
      </c>
      <c r="AP76" s="66">
        <v>0</v>
      </c>
      <c r="AQ76" s="66">
        <v>0</v>
      </c>
      <c r="AR76" s="66">
        <v>0</v>
      </c>
      <c r="AS76" s="66">
        <v>0</v>
      </c>
      <c r="AT76" s="67" t="s">
        <v>1230</v>
      </c>
      <c r="AU76" s="67" t="s">
        <v>1230</v>
      </c>
      <c r="AV76" s="67">
        <v>0</v>
      </c>
      <c r="AW76" s="66">
        <v>0</v>
      </c>
      <c r="AX76" s="67">
        <v>0</v>
      </c>
    </row>
    <row r="77" spans="1:50" ht="15.6" x14ac:dyDescent="0.3">
      <c r="A77" s="202">
        <v>65</v>
      </c>
      <c r="B77" s="203" t="s">
        <v>173</v>
      </c>
      <c r="C77" s="61">
        <v>55.619699999999995</v>
      </c>
      <c r="D77" s="61">
        <v>0</v>
      </c>
      <c r="E77" s="61">
        <v>104.44096774</v>
      </c>
      <c r="F77" s="61">
        <v>55.619699999999995</v>
      </c>
      <c r="G77" s="61">
        <v>48.821267739999996</v>
      </c>
      <c r="H77" s="61">
        <v>52.92674049</v>
      </c>
      <c r="I77" s="61">
        <v>0</v>
      </c>
      <c r="J77" s="61">
        <v>101.54531235</v>
      </c>
      <c r="K77" s="61">
        <v>52.92674049</v>
      </c>
      <c r="L77" s="61">
        <v>0</v>
      </c>
      <c r="M77" s="61">
        <v>48.618571859999996</v>
      </c>
      <c r="N77" s="61">
        <v>95.158263151365446</v>
      </c>
      <c r="O77" s="61">
        <v>99.584820531331815</v>
      </c>
      <c r="P77" s="61">
        <v>47.878696450727887</v>
      </c>
      <c r="Q77" s="61">
        <v>0</v>
      </c>
      <c r="R77" s="61">
        <v>0</v>
      </c>
      <c r="S77" s="61">
        <v>55.619699999999995</v>
      </c>
      <c r="T77" s="61">
        <v>0</v>
      </c>
      <c r="U77" s="61">
        <v>104.44096774</v>
      </c>
      <c r="V77" s="61">
        <v>55.619699999999995</v>
      </c>
      <c r="W77" s="61">
        <v>48.821267739999996</v>
      </c>
      <c r="X77" s="61">
        <v>52.92674049</v>
      </c>
      <c r="Y77" s="61">
        <v>0</v>
      </c>
      <c r="Z77" s="61">
        <v>101.54531235</v>
      </c>
      <c r="AA77" s="61">
        <v>52.92674049</v>
      </c>
      <c r="AB77" s="61">
        <v>0</v>
      </c>
      <c r="AC77" s="61">
        <v>48.618571859999996</v>
      </c>
      <c r="AD77" s="61">
        <v>95.158263151365446</v>
      </c>
      <c r="AE77" s="61">
        <v>99.584820531331815</v>
      </c>
      <c r="AF77" s="61">
        <v>47.878696450727887</v>
      </c>
      <c r="AG77" s="61">
        <v>0</v>
      </c>
      <c r="AH77" s="61">
        <v>0</v>
      </c>
      <c r="AI77" s="61">
        <v>0</v>
      </c>
      <c r="AJ77" s="61">
        <v>0</v>
      </c>
      <c r="AK77" s="61">
        <v>0</v>
      </c>
      <c r="AL77" s="61">
        <v>0</v>
      </c>
      <c r="AM77" s="61">
        <v>0</v>
      </c>
      <c r="AN77" s="61">
        <v>0</v>
      </c>
      <c r="AO77" s="61">
        <v>0</v>
      </c>
      <c r="AP77" s="61">
        <v>0</v>
      </c>
      <c r="AQ77" s="61">
        <v>0</v>
      </c>
      <c r="AR77" s="61">
        <v>0</v>
      </c>
      <c r="AS77" s="61">
        <v>0</v>
      </c>
      <c r="AT77" s="61" t="s">
        <v>1230</v>
      </c>
      <c r="AU77" s="61" t="s">
        <v>1230</v>
      </c>
      <c r="AV77" s="61">
        <v>0</v>
      </c>
      <c r="AW77" s="61">
        <v>0</v>
      </c>
      <c r="AX77" s="61">
        <v>0</v>
      </c>
    </row>
    <row r="78" spans="1:50" ht="15.6" x14ac:dyDescent="0.3">
      <c r="A78" s="169">
        <v>66</v>
      </c>
      <c r="B78" s="205" t="s">
        <v>176</v>
      </c>
      <c r="C78" s="66">
        <v>36.419699999999999</v>
      </c>
      <c r="D78" s="66">
        <v>0</v>
      </c>
      <c r="E78" s="66">
        <v>39.160967740000004</v>
      </c>
      <c r="F78" s="66">
        <v>36.419699999999999</v>
      </c>
      <c r="G78" s="66">
        <v>2.7412677400000001</v>
      </c>
      <c r="H78" s="66">
        <v>33.726740490000005</v>
      </c>
      <c r="I78" s="66">
        <v>0</v>
      </c>
      <c r="J78" s="66">
        <v>36.265312350000002</v>
      </c>
      <c r="K78" s="66">
        <v>33.726740490000005</v>
      </c>
      <c r="L78" s="66">
        <v>0</v>
      </c>
      <c r="M78" s="66">
        <v>2.5385718599999998</v>
      </c>
      <c r="N78" s="67">
        <v>92.605761414838682</v>
      </c>
      <c r="O78" s="67">
        <v>92.605761303709784</v>
      </c>
      <c r="P78" s="67">
        <v>6.9999999875914476</v>
      </c>
      <c r="Q78" s="66">
        <v>0</v>
      </c>
      <c r="R78" s="67">
        <v>0</v>
      </c>
      <c r="S78" s="66">
        <v>36.419699999999999</v>
      </c>
      <c r="T78" s="66">
        <v>0</v>
      </c>
      <c r="U78" s="66">
        <v>39.160967740000004</v>
      </c>
      <c r="V78" s="66">
        <v>36.419699999999999</v>
      </c>
      <c r="W78" s="66">
        <v>2.7412677400000001</v>
      </c>
      <c r="X78" s="66">
        <v>33.726740490000005</v>
      </c>
      <c r="Y78" s="66">
        <v>0</v>
      </c>
      <c r="Z78" s="66">
        <v>36.265312350000002</v>
      </c>
      <c r="AA78" s="66">
        <v>33.726740490000005</v>
      </c>
      <c r="AB78" s="66">
        <v>0</v>
      </c>
      <c r="AC78" s="66">
        <v>2.5385718599999998</v>
      </c>
      <c r="AD78" s="67">
        <v>92.605761414838682</v>
      </c>
      <c r="AE78" s="67">
        <v>92.605761303709784</v>
      </c>
      <c r="AF78" s="67">
        <v>6.9999999875914476</v>
      </c>
      <c r="AG78" s="66">
        <v>0</v>
      </c>
      <c r="AH78" s="67">
        <v>0</v>
      </c>
      <c r="AI78" s="66">
        <v>0</v>
      </c>
      <c r="AJ78" s="66">
        <v>0</v>
      </c>
      <c r="AK78" s="66">
        <v>0</v>
      </c>
      <c r="AL78" s="66">
        <v>0</v>
      </c>
      <c r="AM78" s="66">
        <v>0</v>
      </c>
      <c r="AN78" s="66">
        <v>0</v>
      </c>
      <c r="AO78" s="66">
        <v>0</v>
      </c>
      <c r="AP78" s="66">
        <v>0</v>
      </c>
      <c r="AQ78" s="66">
        <v>0</v>
      </c>
      <c r="AR78" s="66">
        <v>0</v>
      </c>
      <c r="AS78" s="66">
        <v>0</v>
      </c>
      <c r="AT78" s="67" t="s">
        <v>1230</v>
      </c>
      <c r="AU78" s="67" t="s">
        <v>1230</v>
      </c>
      <c r="AV78" s="67">
        <v>0</v>
      </c>
      <c r="AW78" s="66">
        <v>0</v>
      </c>
      <c r="AX78" s="67">
        <v>0</v>
      </c>
    </row>
    <row r="79" spans="1:50" ht="15.6" x14ac:dyDescent="0.3">
      <c r="A79" s="169">
        <v>67</v>
      </c>
      <c r="B79" s="205" t="s">
        <v>179</v>
      </c>
      <c r="C79" s="66">
        <v>0</v>
      </c>
      <c r="D79" s="66">
        <v>0</v>
      </c>
      <c r="E79" s="66">
        <v>0</v>
      </c>
      <c r="F79" s="66">
        <v>0</v>
      </c>
      <c r="G79" s="66">
        <v>0</v>
      </c>
      <c r="H79" s="66">
        <v>0</v>
      </c>
      <c r="I79" s="66">
        <v>0</v>
      </c>
      <c r="J79" s="66">
        <v>0</v>
      </c>
      <c r="K79" s="66">
        <v>0</v>
      </c>
      <c r="L79" s="66">
        <v>0</v>
      </c>
      <c r="M79" s="66">
        <v>0</v>
      </c>
      <c r="N79" s="67" t="s">
        <v>1230</v>
      </c>
      <c r="O79" s="67" t="s">
        <v>1230</v>
      </c>
      <c r="P79" s="67">
        <v>0</v>
      </c>
      <c r="Q79" s="66">
        <v>0</v>
      </c>
      <c r="R79" s="67">
        <v>0</v>
      </c>
      <c r="S79" s="66">
        <v>0</v>
      </c>
      <c r="T79" s="66">
        <v>0</v>
      </c>
      <c r="U79" s="66">
        <v>0</v>
      </c>
      <c r="V79" s="66">
        <v>0</v>
      </c>
      <c r="W79" s="66">
        <v>0</v>
      </c>
      <c r="X79" s="66">
        <v>0</v>
      </c>
      <c r="Y79" s="66">
        <v>0</v>
      </c>
      <c r="Z79" s="66">
        <v>0</v>
      </c>
      <c r="AA79" s="66">
        <v>0</v>
      </c>
      <c r="AB79" s="66">
        <v>0</v>
      </c>
      <c r="AC79" s="66">
        <v>0</v>
      </c>
      <c r="AD79" s="67" t="s">
        <v>1230</v>
      </c>
      <c r="AE79" s="67" t="s">
        <v>1230</v>
      </c>
      <c r="AF79" s="67">
        <v>0</v>
      </c>
      <c r="AG79" s="66">
        <v>0</v>
      </c>
      <c r="AH79" s="67">
        <v>0</v>
      </c>
      <c r="AI79" s="66">
        <v>0</v>
      </c>
      <c r="AJ79" s="66">
        <v>0</v>
      </c>
      <c r="AK79" s="66">
        <v>0</v>
      </c>
      <c r="AL79" s="66">
        <v>0</v>
      </c>
      <c r="AM79" s="66">
        <v>0</v>
      </c>
      <c r="AN79" s="66">
        <v>0</v>
      </c>
      <c r="AO79" s="66">
        <v>0</v>
      </c>
      <c r="AP79" s="66">
        <v>0</v>
      </c>
      <c r="AQ79" s="66">
        <v>0</v>
      </c>
      <c r="AR79" s="66">
        <v>0</v>
      </c>
      <c r="AS79" s="66">
        <v>0</v>
      </c>
      <c r="AT79" s="67" t="s">
        <v>1230</v>
      </c>
      <c r="AU79" s="67" t="s">
        <v>1230</v>
      </c>
      <c r="AV79" s="67">
        <v>0</v>
      </c>
      <c r="AW79" s="66">
        <v>0</v>
      </c>
      <c r="AX79" s="67">
        <v>0</v>
      </c>
    </row>
    <row r="80" spans="1:50" ht="15.6" x14ac:dyDescent="0.3">
      <c r="A80" s="169">
        <v>68</v>
      </c>
      <c r="B80" s="205" t="s">
        <v>182</v>
      </c>
      <c r="C80" s="66">
        <v>19.2</v>
      </c>
      <c r="D80" s="66">
        <v>0</v>
      </c>
      <c r="E80" s="66">
        <v>65.28</v>
      </c>
      <c r="F80" s="66">
        <v>19.2</v>
      </c>
      <c r="G80" s="66">
        <v>46.08</v>
      </c>
      <c r="H80" s="66">
        <v>19.2</v>
      </c>
      <c r="I80" s="66">
        <v>0</v>
      </c>
      <c r="J80" s="66">
        <v>65.28</v>
      </c>
      <c r="K80" s="66">
        <v>19.2</v>
      </c>
      <c r="L80" s="66">
        <v>0</v>
      </c>
      <c r="M80" s="66">
        <v>46.08</v>
      </c>
      <c r="N80" s="67">
        <v>100</v>
      </c>
      <c r="O80" s="67">
        <v>100</v>
      </c>
      <c r="P80" s="67">
        <v>70.588235294117638</v>
      </c>
      <c r="Q80" s="66">
        <v>0</v>
      </c>
      <c r="R80" s="67">
        <v>0</v>
      </c>
      <c r="S80" s="66">
        <v>19.2</v>
      </c>
      <c r="T80" s="66">
        <v>0</v>
      </c>
      <c r="U80" s="66">
        <v>65.28</v>
      </c>
      <c r="V80" s="66">
        <v>19.2</v>
      </c>
      <c r="W80" s="66">
        <v>46.08</v>
      </c>
      <c r="X80" s="66">
        <v>19.2</v>
      </c>
      <c r="Y80" s="66">
        <v>0</v>
      </c>
      <c r="Z80" s="66">
        <v>65.28</v>
      </c>
      <c r="AA80" s="66">
        <v>19.2</v>
      </c>
      <c r="AB80" s="66">
        <v>0</v>
      </c>
      <c r="AC80" s="66">
        <v>46.08</v>
      </c>
      <c r="AD80" s="67">
        <v>100</v>
      </c>
      <c r="AE80" s="67">
        <v>100</v>
      </c>
      <c r="AF80" s="67">
        <v>70.588235294117638</v>
      </c>
      <c r="AG80" s="66">
        <v>0</v>
      </c>
      <c r="AH80" s="67">
        <v>0</v>
      </c>
      <c r="AI80" s="66">
        <v>0</v>
      </c>
      <c r="AJ80" s="66">
        <v>0</v>
      </c>
      <c r="AK80" s="66">
        <v>0</v>
      </c>
      <c r="AL80" s="66">
        <v>0</v>
      </c>
      <c r="AM80" s="66">
        <v>0</v>
      </c>
      <c r="AN80" s="66">
        <v>0</v>
      </c>
      <c r="AO80" s="66">
        <v>0</v>
      </c>
      <c r="AP80" s="66">
        <v>0</v>
      </c>
      <c r="AQ80" s="66">
        <v>0</v>
      </c>
      <c r="AR80" s="66">
        <v>0</v>
      </c>
      <c r="AS80" s="66">
        <v>0</v>
      </c>
      <c r="AT80" s="67" t="s">
        <v>1230</v>
      </c>
      <c r="AU80" s="67" t="s">
        <v>1230</v>
      </c>
      <c r="AV80" s="67">
        <v>0</v>
      </c>
      <c r="AW80" s="66">
        <v>0</v>
      </c>
      <c r="AX80" s="67">
        <v>0</v>
      </c>
    </row>
    <row r="81" spans="1:50" ht="31.2" x14ac:dyDescent="0.3">
      <c r="A81" s="169">
        <v>69</v>
      </c>
      <c r="B81" s="213" t="s">
        <v>300</v>
      </c>
      <c r="C81" s="66">
        <v>0</v>
      </c>
      <c r="D81" s="66">
        <v>0</v>
      </c>
      <c r="E81" s="66">
        <v>0</v>
      </c>
      <c r="F81" s="66">
        <v>0</v>
      </c>
      <c r="G81" s="66">
        <v>0</v>
      </c>
      <c r="H81" s="66">
        <v>0</v>
      </c>
      <c r="I81" s="66">
        <v>0</v>
      </c>
      <c r="J81" s="66">
        <v>0</v>
      </c>
      <c r="K81" s="66">
        <v>0</v>
      </c>
      <c r="L81" s="66">
        <v>0</v>
      </c>
      <c r="M81" s="66">
        <v>0</v>
      </c>
      <c r="N81" s="67" t="s">
        <v>1230</v>
      </c>
      <c r="O81" s="67" t="s">
        <v>1230</v>
      </c>
      <c r="P81" s="67">
        <v>0</v>
      </c>
      <c r="Q81" s="66">
        <v>0</v>
      </c>
      <c r="R81" s="67">
        <v>0</v>
      </c>
      <c r="S81" s="66">
        <v>0</v>
      </c>
      <c r="T81" s="66">
        <v>0</v>
      </c>
      <c r="U81" s="66">
        <v>0</v>
      </c>
      <c r="V81" s="66">
        <v>0</v>
      </c>
      <c r="W81" s="66">
        <v>0</v>
      </c>
      <c r="X81" s="66">
        <v>0</v>
      </c>
      <c r="Y81" s="66">
        <v>0</v>
      </c>
      <c r="Z81" s="66">
        <v>0</v>
      </c>
      <c r="AA81" s="66">
        <v>0</v>
      </c>
      <c r="AB81" s="66">
        <v>0</v>
      </c>
      <c r="AC81" s="66">
        <v>0</v>
      </c>
      <c r="AD81" s="67" t="s">
        <v>1230</v>
      </c>
      <c r="AE81" s="67" t="s">
        <v>1230</v>
      </c>
      <c r="AF81" s="67">
        <v>0</v>
      </c>
      <c r="AG81" s="66">
        <v>0</v>
      </c>
      <c r="AH81" s="67">
        <v>0</v>
      </c>
      <c r="AI81" s="66">
        <v>0</v>
      </c>
      <c r="AJ81" s="66">
        <v>0</v>
      </c>
      <c r="AK81" s="66">
        <v>0</v>
      </c>
      <c r="AL81" s="66">
        <v>0</v>
      </c>
      <c r="AM81" s="66">
        <v>0</v>
      </c>
      <c r="AN81" s="66">
        <v>0</v>
      </c>
      <c r="AO81" s="66">
        <v>0</v>
      </c>
      <c r="AP81" s="66">
        <v>0</v>
      </c>
      <c r="AQ81" s="66">
        <v>0</v>
      </c>
      <c r="AR81" s="66">
        <v>0</v>
      </c>
      <c r="AS81" s="66">
        <v>0</v>
      </c>
      <c r="AT81" s="67" t="s">
        <v>1230</v>
      </c>
      <c r="AU81" s="67" t="s">
        <v>1230</v>
      </c>
      <c r="AV81" s="67">
        <v>0</v>
      </c>
      <c r="AW81" s="66">
        <v>0</v>
      </c>
      <c r="AX81" s="67">
        <v>0</v>
      </c>
    </row>
    <row r="82" spans="1:50" ht="31.2" x14ac:dyDescent="0.3">
      <c r="A82" s="169">
        <v>70</v>
      </c>
      <c r="B82" s="213" t="s">
        <v>301</v>
      </c>
      <c r="C82" s="66">
        <v>0</v>
      </c>
      <c r="D82" s="66">
        <v>0</v>
      </c>
      <c r="E82" s="66">
        <v>0</v>
      </c>
      <c r="F82" s="66">
        <v>0</v>
      </c>
      <c r="G82" s="66">
        <v>0</v>
      </c>
      <c r="H82" s="66">
        <v>0</v>
      </c>
      <c r="I82" s="66">
        <v>0</v>
      </c>
      <c r="J82" s="66">
        <v>0</v>
      </c>
      <c r="K82" s="66">
        <v>0</v>
      </c>
      <c r="L82" s="66">
        <v>0</v>
      </c>
      <c r="M82" s="66">
        <v>0</v>
      </c>
      <c r="N82" s="67" t="s">
        <v>1230</v>
      </c>
      <c r="O82" s="67" t="s">
        <v>1230</v>
      </c>
      <c r="P82" s="67">
        <v>0</v>
      </c>
      <c r="Q82" s="66">
        <v>0</v>
      </c>
      <c r="R82" s="67">
        <v>0</v>
      </c>
      <c r="S82" s="66">
        <v>0</v>
      </c>
      <c r="T82" s="66">
        <v>0</v>
      </c>
      <c r="U82" s="66">
        <v>0</v>
      </c>
      <c r="V82" s="66">
        <v>0</v>
      </c>
      <c r="W82" s="66">
        <v>0</v>
      </c>
      <c r="X82" s="66">
        <v>0</v>
      </c>
      <c r="Y82" s="66">
        <v>0</v>
      </c>
      <c r="Z82" s="66">
        <v>0</v>
      </c>
      <c r="AA82" s="66">
        <v>0</v>
      </c>
      <c r="AB82" s="66">
        <v>0</v>
      </c>
      <c r="AC82" s="66">
        <v>0</v>
      </c>
      <c r="AD82" s="67" t="s">
        <v>1230</v>
      </c>
      <c r="AE82" s="67" t="s">
        <v>1230</v>
      </c>
      <c r="AF82" s="67">
        <v>0</v>
      </c>
      <c r="AG82" s="66">
        <v>0</v>
      </c>
      <c r="AH82" s="67">
        <v>0</v>
      </c>
      <c r="AI82" s="66">
        <v>0</v>
      </c>
      <c r="AJ82" s="66">
        <v>0</v>
      </c>
      <c r="AK82" s="66">
        <v>0</v>
      </c>
      <c r="AL82" s="66">
        <v>0</v>
      </c>
      <c r="AM82" s="66">
        <v>0</v>
      </c>
      <c r="AN82" s="66">
        <v>0</v>
      </c>
      <c r="AO82" s="66">
        <v>0</v>
      </c>
      <c r="AP82" s="66">
        <v>0</v>
      </c>
      <c r="AQ82" s="66">
        <v>0</v>
      </c>
      <c r="AR82" s="66">
        <v>0</v>
      </c>
      <c r="AS82" s="66">
        <v>0</v>
      </c>
      <c r="AT82" s="67" t="s">
        <v>1230</v>
      </c>
      <c r="AU82" s="67" t="s">
        <v>1230</v>
      </c>
      <c r="AV82" s="67">
        <v>0</v>
      </c>
      <c r="AW82" s="66">
        <v>0</v>
      </c>
      <c r="AX82" s="67">
        <v>0</v>
      </c>
    </row>
    <row r="83" spans="1:50" ht="15.6" x14ac:dyDescent="0.3">
      <c r="A83" s="215">
        <v>71</v>
      </c>
      <c r="B83" s="205" t="s">
        <v>189</v>
      </c>
      <c r="C83" s="66">
        <v>0</v>
      </c>
      <c r="D83" s="66">
        <v>0</v>
      </c>
      <c r="E83" s="66">
        <v>0</v>
      </c>
      <c r="F83" s="66">
        <v>0</v>
      </c>
      <c r="G83" s="66">
        <v>0</v>
      </c>
      <c r="H83" s="66">
        <v>0</v>
      </c>
      <c r="I83" s="66">
        <v>0</v>
      </c>
      <c r="J83" s="66">
        <v>0</v>
      </c>
      <c r="K83" s="66">
        <v>0</v>
      </c>
      <c r="L83" s="66">
        <v>0</v>
      </c>
      <c r="M83" s="66">
        <v>0</v>
      </c>
      <c r="N83" s="67" t="s">
        <v>1230</v>
      </c>
      <c r="O83" s="67" t="s">
        <v>1230</v>
      </c>
      <c r="P83" s="67">
        <v>0</v>
      </c>
      <c r="Q83" s="66">
        <v>0</v>
      </c>
      <c r="R83" s="67">
        <v>0</v>
      </c>
      <c r="S83" s="66">
        <v>0</v>
      </c>
      <c r="T83" s="66">
        <v>0</v>
      </c>
      <c r="U83" s="66">
        <v>0</v>
      </c>
      <c r="V83" s="66">
        <v>0</v>
      </c>
      <c r="W83" s="66">
        <v>0</v>
      </c>
      <c r="X83" s="66">
        <v>0</v>
      </c>
      <c r="Y83" s="66">
        <v>0</v>
      </c>
      <c r="Z83" s="66">
        <v>0</v>
      </c>
      <c r="AA83" s="66">
        <v>0</v>
      </c>
      <c r="AB83" s="66">
        <v>0</v>
      </c>
      <c r="AC83" s="66">
        <v>0</v>
      </c>
      <c r="AD83" s="67" t="s">
        <v>1230</v>
      </c>
      <c r="AE83" s="67" t="s">
        <v>1230</v>
      </c>
      <c r="AF83" s="67">
        <v>0</v>
      </c>
      <c r="AG83" s="66">
        <v>0</v>
      </c>
      <c r="AH83" s="67">
        <v>0</v>
      </c>
      <c r="AI83" s="66">
        <v>0</v>
      </c>
      <c r="AJ83" s="66">
        <v>0</v>
      </c>
      <c r="AK83" s="66">
        <v>0</v>
      </c>
      <c r="AL83" s="66">
        <v>0</v>
      </c>
      <c r="AM83" s="66">
        <v>0</v>
      </c>
      <c r="AN83" s="66">
        <v>0</v>
      </c>
      <c r="AO83" s="66">
        <v>0</v>
      </c>
      <c r="AP83" s="66">
        <v>0</v>
      </c>
      <c r="AQ83" s="66">
        <v>0</v>
      </c>
      <c r="AR83" s="66">
        <v>0</v>
      </c>
      <c r="AS83" s="66">
        <v>0</v>
      </c>
      <c r="AT83" s="67" t="s">
        <v>1230</v>
      </c>
      <c r="AU83" s="67" t="s">
        <v>1230</v>
      </c>
      <c r="AV83" s="67">
        <v>0</v>
      </c>
      <c r="AW83" s="66">
        <v>0</v>
      </c>
      <c r="AX83" s="67">
        <v>0</v>
      </c>
    </row>
    <row r="84" spans="1:50" ht="15.6" x14ac:dyDescent="0.3">
      <c r="A84" s="202">
        <v>72</v>
      </c>
      <c r="B84" s="203" t="s">
        <v>192</v>
      </c>
      <c r="C84" s="61">
        <v>43.432200000000002</v>
      </c>
      <c r="D84" s="61">
        <v>0</v>
      </c>
      <c r="E84" s="61">
        <v>60.8049587</v>
      </c>
      <c r="F84" s="61">
        <v>43.432200000000002</v>
      </c>
      <c r="G84" s="61">
        <v>17.372758699999999</v>
      </c>
      <c r="H84" s="61">
        <v>43.432200000000002</v>
      </c>
      <c r="I84" s="61">
        <v>5.4149137000000005</v>
      </c>
      <c r="J84" s="61">
        <v>60.8049587</v>
      </c>
      <c r="K84" s="61">
        <v>43.432200000000002</v>
      </c>
      <c r="L84" s="61">
        <v>0</v>
      </c>
      <c r="M84" s="61">
        <v>17.372758699999999</v>
      </c>
      <c r="N84" s="61">
        <v>100</v>
      </c>
      <c r="O84" s="61">
        <v>100</v>
      </c>
      <c r="P84" s="61">
        <v>28.57128607835071</v>
      </c>
      <c r="Q84" s="61">
        <v>5.4149137000000005</v>
      </c>
      <c r="R84" s="61">
        <v>0</v>
      </c>
      <c r="S84" s="61">
        <v>43.432200000000002</v>
      </c>
      <c r="T84" s="61">
        <v>0</v>
      </c>
      <c r="U84" s="61">
        <v>60.8049587</v>
      </c>
      <c r="V84" s="61">
        <v>43.432200000000002</v>
      </c>
      <c r="W84" s="61">
        <v>17.372758699999999</v>
      </c>
      <c r="X84" s="61">
        <v>43.432200000000002</v>
      </c>
      <c r="Y84" s="61">
        <v>5.4149137000000005</v>
      </c>
      <c r="Z84" s="61">
        <v>60.8049587</v>
      </c>
      <c r="AA84" s="61">
        <v>43.432200000000002</v>
      </c>
      <c r="AB84" s="61">
        <v>0</v>
      </c>
      <c r="AC84" s="61">
        <v>17.372758699999999</v>
      </c>
      <c r="AD84" s="61">
        <v>100</v>
      </c>
      <c r="AE84" s="61">
        <v>100</v>
      </c>
      <c r="AF84" s="61">
        <v>28.57128607835071</v>
      </c>
      <c r="AG84" s="61">
        <v>5.4149137000000005</v>
      </c>
      <c r="AH84" s="61">
        <v>0</v>
      </c>
      <c r="AI84" s="61">
        <v>0</v>
      </c>
      <c r="AJ84" s="61">
        <v>0</v>
      </c>
      <c r="AK84" s="61">
        <v>0</v>
      </c>
      <c r="AL84" s="61">
        <v>0</v>
      </c>
      <c r="AM84" s="61">
        <v>0</v>
      </c>
      <c r="AN84" s="61">
        <v>0</v>
      </c>
      <c r="AO84" s="61">
        <v>0</v>
      </c>
      <c r="AP84" s="61">
        <v>0</v>
      </c>
      <c r="AQ84" s="61">
        <v>0</v>
      </c>
      <c r="AR84" s="61">
        <v>0</v>
      </c>
      <c r="AS84" s="61">
        <v>0</v>
      </c>
      <c r="AT84" s="61" t="s">
        <v>1230</v>
      </c>
      <c r="AU84" s="61" t="s">
        <v>1230</v>
      </c>
      <c r="AV84" s="61">
        <v>0</v>
      </c>
      <c r="AW84" s="61">
        <v>0</v>
      </c>
      <c r="AX84" s="61">
        <v>0</v>
      </c>
    </row>
    <row r="85" spans="1:50" ht="15.6" x14ac:dyDescent="0.3">
      <c r="A85" s="169">
        <v>73</v>
      </c>
      <c r="B85" s="205" t="s">
        <v>195</v>
      </c>
      <c r="C85" s="66">
        <v>0</v>
      </c>
      <c r="D85" s="66">
        <v>0</v>
      </c>
      <c r="E85" s="66">
        <v>0</v>
      </c>
      <c r="F85" s="66">
        <v>0</v>
      </c>
      <c r="G85" s="66">
        <v>0</v>
      </c>
      <c r="H85" s="66">
        <v>0</v>
      </c>
      <c r="I85" s="66">
        <v>0</v>
      </c>
      <c r="J85" s="66">
        <v>0</v>
      </c>
      <c r="K85" s="66">
        <v>0</v>
      </c>
      <c r="L85" s="66">
        <v>0</v>
      </c>
      <c r="M85" s="66">
        <v>0</v>
      </c>
      <c r="N85" s="67" t="s">
        <v>1230</v>
      </c>
      <c r="O85" s="67" t="s">
        <v>1230</v>
      </c>
      <c r="P85" s="67">
        <v>0</v>
      </c>
      <c r="Q85" s="66">
        <v>0</v>
      </c>
      <c r="R85" s="67">
        <v>0</v>
      </c>
      <c r="S85" s="66">
        <v>0</v>
      </c>
      <c r="T85" s="66">
        <v>0</v>
      </c>
      <c r="U85" s="66">
        <v>0</v>
      </c>
      <c r="V85" s="66">
        <v>0</v>
      </c>
      <c r="W85" s="66">
        <v>0</v>
      </c>
      <c r="X85" s="66">
        <v>0</v>
      </c>
      <c r="Y85" s="66">
        <v>0</v>
      </c>
      <c r="Z85" s="66">
        <v>0</v>
      </c>
      <c r="AA85" s="66">
        <v>0</v>
      </c>
      <c r="AB85" s="66">
        <v>0</v>
      </c>
      <c r="AC85" s="66">
        <v>0</v>
      </c>
      <c r="AD85" s="67" t="s">
        <v>1230</v>
      </c>
      <c r="AE85" s="67" t="s">
        <v>1230</v>
      </c>
      <c r="AF85" s="67">
        <v>0</v>
      </c>
      <c r="AG85" s="66">
        <v>0</v>
      </c>
      <c r="AH85" s="67">
        <v>0</v>
      </c>
      <c r="AI85" s="66">
        <v>0</v>
      </c>
      <c r="AJ85" s="66">
        <v>0</v>
      </c>
      <c r="AK85" s="66">
        <v>0</v>
      </c>
      <c r="AL85" s="66">
        <v>0</v>
      </c>
      <c r="AM85" s="66">
        <v>0</v>
      </c>
      <c r="AN85" s="66">
        <v>0</v>
      </c>
      <c r="AO85" s="66">
        <v>0</v>
      </c>
      <c r="AP85" s="66">
        <v>0</v>
      </c>
      <c r="AQ85" s="66">
        <v>0</v>
      </c>
      <c r="AR85" s="66">
        <v>0</v>
      </c>
      <c r="AS85" s="66">
        <v>0</v>
      </c>
      <c r="AT85" s="67" t="s">
        <v>1230</v>
      </c>
      <c r="AU85" s="67" t="s">
        <v>1230</v>
      </c>
      <c r="AV85" s="67">
        <v>0</v>
      </c>
      <c r="AW85" s="66">
        <v>0</v>
      </c>
      <c r="AX85" s="67">
        <v>0</v>
      </c>
    </row>
    <row r="86" spans="1:50" ht="15.6" x14ac:dyDescent="0.3">
      <c r="A86" s="169">
        <v>74</v>
      </c>
      <c r="B86" s="205" t="s">
        <v>201</v>
      </c>
      <c r="C86" s="66">
        <v>0</v>
      </c>
      <c r="D86" s="66">
        <v>0</v>
      </c>
      <c r="E86" s="66">
        <v>0</v>
      </c>
      <c r="F86" s="66">
        <v>0</v>
      </c>
      <c r="G86" s="66">
        <v>0</v>
      </c>
      <c r="H86" s="66">
        <v>0</v>
      </c>
      <c r="I86" s="66">
        <v>0</v>
      </c>
      <c r="J86" s="66">
        <v>0</v>
      </c>
      <c r="K86" s="66">
        <v>0</v>
      </c>
      <c r="L86" s="66">
        <v>0</v>
      </c>
      <c r="M86" s="66">
        <v>0</v>
      </c>
      <c r="N86" s="67" t="s">
        <v>1230</v>
      </c>
      <c r="O86" s="67" t="s">
        <v>1230</v>
      </c>
      <c r="P86" s="67">
        <v>0</v>
      </c>
      <c r="Q86" s="66">
        <v>0</v>
      </c>
      <c r="R86" s="67">
        <v>0</v>
      </c>
      <c r="S86" s="66">
        <v>0</v>
      </c>
      <c r="T86" s="66">
        <v>0</v>
      </c>
      <c r="U86" s="66">
        <v>0</v>
      </c>
      <c r="V86" s="66">
        <v>0</v>
      </c>
      <c r="W86" s="66">
        <v>0</v>
      </c>
      <c r="X86" s="66">
        <v>0</v>
      </c>
      <c r="Y86" s="66">
        <v>0</v>
      </c>
      <c r="Z86" s="66">
        <v>0</v>
      </c>
      <c r="AA86" s="66">
        <v>0</v>
      </c>
      <c r="AB86" s="66">
        <v>0</v>
      </c>
      <c r="AC86" s="66">
        <v>0</v>
      </c>
      <c r="AD86" s="67" t="s">
        <v>1230</v>
      </c>
      <c r="AE86" s="67" t="s">
        <v>1230</v>
      </c>
      <c r="AF86" s="67">
        <v>0</v>
      </c>
      <c r="AG86" s="66">
        <v>0</v>
      </c>
      <c r="AH86" s="67">
        <v>0</v>
      </c>
      <c r="AI86" s="66">
        <v>0</v>
      </c>
      <c r="AJ86" s="66">
        <v>0</v>
      </c>
      <c r="AK86" s="66">
        <v>0</v>
      </c>
      <c r="AL86" s="66">
        <v>0</v>
      </c>
      <c r="AM86" s="66">
        <v>0</v>
      </c>
      <c r="AN86" s="66">
        <v>0</v>
      </c>
      <c r="AO86" s="66">
        <v>0</v>
      </c>
      <c r="AP86" s="66">
        <v>0</v>
      </c>
      <c r="AQ86" s="66">
        <v>0</v>
      </c>
      <c r="AR86" s="66">
        <v>0</v>
      </c>
      <c r="AS86" s="66">
        <v>0</v>
      </c>
      <c r="AT86" s="67" t="s">
        <v>1230</v>
      </c>
      <c r="AU86" s="67" t="s">
        <v>1230</v>
      </c>
      <c r="AV86" s="67">
        <v>0</v>
      </c>
      <c r="AW86" s="66">
        <v>0</v>
      </c>
      <c r="AX86" s="67">
        <v>0</v>
      </c>
    </row>
    <row r="87" spans="1:50" ht="15.6" x14ac:dyDescent="0.3">
      <c r="A87" s="169">
        <v>75</v>
      </c>
      <c r="B87" s="205" t="s">
        <v>204</v>
      </c>
      <c r="C87" s="66">
        <v>0</v>
      </c>
      <c r="D87" s="66">
        <v>0</v>
      </c>
      <c r="E87" s="66">
        <v>0</v>
      </c>
      <c r="F87" s="66">
        <v>0</v>
      </c>
      <c r="G87" s="66">
        <v>0</v>
      </c>
      <c r="H87" s="66">
        <v>0</v>
      </c>
      <c r="I87" s="66">
        <v>0</v>
      </c>
      <c r="J87" s="66">
        <v>0</v>
      </c>
      <c r="K87" s="66">
        <v>0</v>
      </c>
      <c r="L87" s="66">
        <v>0</v>
      </c>
      <c r="M87" s="66">
        <v>0</v>
      </c>
      <c r="N87" s="67" t="s">
        <v>1230</v>
      </c>
      <c r="O87" s="67" t="s">
        <v>1230</v>
      </c>
      <c r="P87" s="67">
        <v>0</v>
      </c>
      <c r="Q87" s="66">
        <v>0</v>
      </c>
      <c r="R87" s="67">
        <v>0</v>
      </c>
      <c r="S87" s="66">
        <v>0</v>
      </c>
      <c r="T87" s="66">
        <v>0</v>
      </c>
      <c r="U87" s="66">
        <v>0</v>
      </c>
      <c r="V87" s="66">
        <v>0</v>
      </c>
      <c r="W87" s="66">
        <v>0</v>
      </c>
      <c r="X87" s="66">
        <v>0</v>
      </c>
      <c r="Y87" s="66">
        <v>0</v>
      </c>
      <c r="Z87" s="66">
        <v>0</v>
      </c>
      <c r="AA87" s="66">
        <v>0</v>
      </c>
      <c r="AB87" s="66">
        <v>0</v>
      </c>
      <c r="AC87" s="66">
        <v>0</v>
      </c>
      <c r="AD87" s="67" t="s">
        <v>1230</v>
      </c>
      <c r="AE87" s="67" t="s">
        <v>1230</v>
      </c>
      <c r="AF87" s="67">
        <v>0</v>
      </c>
      <c r="AG87" s="66">
        <v>0</v>
      </c>
      <c r="AH87" s="67">
        <v>0</v>
      </c>
      <c r="AI87" s="66">
        <v>0</v>
      </c>
      <c r="AJ87" s="66">
        <v>0</v>
      </c>
      <c r="AK87" s="66">
        <v>0</v>
      </c>
      <c r="AL87" s="66">
        <v>0</v>
      </c>
      <c r="AM87" s="66">
        <v>0</v>
      </c>
      <c r="AN87" s="66">
        <v>0</v>
      </c>
      <c r="AO87" s="66">
        <v>0</v>
      </c>
      <c r="AP87" s="66">
        <v>0</v>
      </c>
      <c r="AQ87" s="66">
        <v>0</v>
      </c>
      <c r="AR87" s="66">
        <v>0</v>
      </c>
      <c r="AS87" s="66">
        <v>0</v>
      </c>
      <c r="AT87" s="67" t="s">
        <v>1230</v>
      </c>
      <c r="AU87" s="67" t="s">
        <v>1230</v>
      </c>
      <c r="AV87" s="67">
        <v>0</v>
      </c>
      <c r="AW87" s="66">
        <v>0</v>
      </c>
      <c r="AX87" s="67">
        <v>0</v>
      </c>
    </row>
    <row r="88" spans="1:50" ht="15.6" x14ac:dyDescent="0.3">
      <c r="A88" s="169">
        <v>76</v>
      </c>
      <c r="B88" s="205" t="s">
        <v>207</v>
      </c>
      <c r="C88" s="66">
        <v>0</v>
      </c>
      <c r="D88" s="66">
        <v>0</v>
      </c>
      <c r="E88" s="66">
        <v>0</v>
      </c>
      <c r="F88" s="66">
        <v>0</v>
      </c>
      <c r="G88" s="66">
        <v>0</v>
      </c>
      <c r="H88" s="66">
        <v>0</v>
      </c>
      <c r="I88" s="66">
        <v>0</v>
      </c>
      <c r="J88" s="66">
        <v>0</v>
      </c>
      <c r="K88" s="66">
        <v>0</v>
      </c>
      <c r="L88" s="66">
        <v>0</v>
      </c>
      <c r="M88" s="66">
        <v>0</v>
      </c>
      <c r="N88" s="67" t="s">
        <v>1230</v>
      </c>
      <c r="O88" s="67" t="s">
        <v>1230</v>
      </c>
      <c r="P88" s="67">
        <v>0</v>
      </c>
      <c r="Q88" s="66">
        <v>0</v>
      </c>
      <c r="R88" s="67">
        <v>0</v>
      </c>
      <c r="S88" s="66">
        <v>0</v>
      </c>
      <c r="T88" s="66">
        <v>0</v>
      </c>
      <c r="U88" s="66">
        <v>0</v>
      </c>
      <c r="V88" s="66">
        <v>0</v>
      </c>
      <c r="W88" s="66">
        <v>0</v>
      </c>
      <c r="X88" s="66">
        <v>0</v>
      </c>
      <c r="Y88" s="66">
        <v>0</v>
      </c>
      <c r="Z88" s="66">
        <v>0</v>
      </c>
      <c r="AA88" s="66">
        <v>0</v>
      </c>
      <c r="AB88" s="66">
        <v>0</v>
      </c>
      <c r="AC88" s="66">
        <v>0</v>
      </c>
      <c r="AD88" s="67" t="s">
        <v>1230</v>
      </c>
      <c r="AE88" s="67" t="s">
        <v>1230</v>
      </c>
      <c r="AF88" s="67">
        <v>0</v>
      </c>
      <c r="AG88" s="66">
        <v>0</v>
      </c>
      <c r="AH88" s="67">
        <v>0</v>
      </c>
      <c r="AI88" s="66">
        <v>0</v>
      </c>
      <c r="AJ88" s="66">
        <v>0</v>
      </c>
      <c r="AK88" s="66">
        <v>0</v>
      </c>
      <c r="AL88" s="66">
        <v>0</v>
      </c>
      <c r="AM88" s="66">
        <v>0</v>
      </c>
      <c r="AN88" s="66">
        <v>0</v>
      </c>
      <c r="AO88" s="66">
        <v>0</v>
      </c>
      <c r="AP88" s="66">
        <v>0</v>
      </c>
      <c r="AQ88" s="66">
        <v>0</v>
      </c>
      <c r="AR88" s="66">
        <v>0</v>
      </c>
      <c r="AS88" s="66">
        <v>0</v>
      </c>
      <c r="AT88" s="67" t="s">
        <v>1230</v>
      </c>
      <c r="AU88" s="67" t="s">
        <v>1230</v>
      </c>
      <c r="AV88" s="67">
        <v>0</v>
      </c>
      <c r="AW88" s="66">
        <v>0</v>
      </c>
      <c r="AX88" s="67">
        <v>0</v>
      </c>
    </row>
    <row r="89" spans="1:50" ht="15.6" x14ac:dyDescent="0.3">
      <c r="A89" s="169">
        <v>77</v>
      </c>
      <c r="B89" s="205" t="s">
        <v>213</v>
      </c>
      <c r="C89" s="66">
        <v>0</v>
      </c>
      <c r="D89" s="66">
        <v>0</v>
      </c>
      <c r="E89" s="66">
        <v>0</v>
      </c>
      <c r="F89" s="66">
        <v>0</v>
      </c>
      <c r="G89" s="66">
        <v>0</v>
      </c>
      <c r="H89" s="66">
        <v>0</v>
      </c>
      <c r="I89" s="66">
        <v>0</v>
      </c>
      <c r="J89" s="66">
        <v>0</v>
      </c>
      <c r="K89" s="66">
        <v>0</v>
      </c>
      <c r="L89" s="66">
        <v>0</v>
      </c>
      <c r="M89" s="66">
        <v>0</v>
      </c>
      <c r="N89" s="67" t="s">
        <v>1230</v>
      </c>
      <c r="O89" s="67" t="s">
        <v>1230</v>
      </c>
      <c r="P89" s="67">
        <v>0</v>
      </c>
      <c r="Q89" s="66">
        <v>0</v>
      </c>
      <c r="R89" s="67">
        <v>0</v>
      </c>
      <c r="S89" s="66">
        <v>0</v>
      </c>
      <c r="T89" s="66">
        <v>0</v>
      </c>
      <c r="U89" s="66">
        <v>0</v>
      </c>
      <c r="V89" s="66">
        <v>0</v>
      </c>
      <c r="W89" s="66">
        <v>0</v>
      </c>
      <c r="X89" s="66">
        <v>0</v>
      </c>
      <c r="Y89" s="66">
        <v>0</v>
      </c>
      <c r="Z89" s="66">
        <v>0</v>
      </c>
      <c r="AA89" s="66">
        <v>0</v>
      </c>
      <c r="AB89" s="66">
        <v>0</v>
      </c>
      <c r="AC89" s="66">
        <v>0</v>
      </c>
      <c r="AD89" s="67" t="s">
        <v>1230</v>
      </c>
      <c r="AE89" s="67" t="s">
        <v>1230</v>
      </c>
      <c r="AF89" s="67">
        <v>0</v>
      </c>
      <c r="AG89" s="66">
        <v>0</v>
      </c>
      <c r="AH89" s="67">
        <v>0</v>
      </c>
      <c r="AI89" s="66">
        <v>0</v>
      </c>
      <c r="AJ89" s="66">
        <v>0</v>
      </c>
      <c r="AK89" s="66">
        <v>0</v>
      </c>
      <c r="AL89" s="66">
        <v>0</v>
      </c>
      <c r="AM89" s="66">
        <v>0</v>
      </c>
      <c r="AN89" s="66">
        <v>0</v>
      </c>
      <c r="AO89" s="66">
        <v>0</v>
      </c>
      <c r="AP89" s="66">
        <v>0</v>
      </c>
      <c r="AQ89" s="66">
        <v>0</v>
      </c>
      <c r="AR89" s="66">
        <v>0</v>
      </c>
      <c r="AS89" s="66">
        <v>0</v>
      </c>
      <c r="AT89" s="67" t="s">
        <v>1230</v>
      </c>
      <c r="AU89" s="67" t="s">
        <v>1230</v>
      </c>
      <c r="AV89" s="67">
        <v>0</v>
      </c>
      <c r="AW89" s="66">
        <v>0</v>
      </c>
      <c r="AX89" s="67">
        <v>0</v>
      </c>
    </row>
    <row r="90" spans="1:50" ht="15.6" x14ac:dyDescent="0.3">
      <c r="A90" s="169">
        <v>78</v>
      </c>
      <c r="B90" s="205" t="s">
        <v>216</v>
      </c>
      <c r="C90" s="66">
        <v>0</v>
      </c>
      <c r="D90" s="66">
        <v>0</v>
      </c>
      <c r="E90" s="66">
        <v>0</v>
      </c>
      <c r="F90" s="66">
        <v>0</v>
      </c>
      <c r="G90" s="66">
        <v>0</v>
      </c>
      <c r="H90" s="66">
        <v>0</v>
      </c>
      <c r="I90" s="66">
        <v>0</v>
      </c>
      <c r="J90" s="66">
        <v>0</v>
      </c>
      <c r="K90" s="66">
        <v>0</v>
      </c>
      <c r="L90" s="66">
        <v>0</v>
      </c>
      <c r="M90" s="66">
        <v>0</v>
      </c>
      <c r="N90" s="67" t="s">
        <v>1230</v>
      </c>
      <c r="O90" s="67" t="s">
        <v>1230</v>
      </c>
      <c r="P90" s="67">
        <v>0</v>
      </c>
      <c r="Q90" s="66">
        <v>0</v>
      </c>
      <c r="R90" s="67">
        <v>0</v>
      </c>
      <c r="S90" s="66">
        <v>0</v>
      </c>
      <c r="T90" s="66">
        <v>0</v>
      </c>
      <c r="U90" s="66">
        <v>0</v>
      </c>
      <c r="V90" s="66">
        <v>0</v>
      </c>
      <c r="W90" s="66">
        <v>0</v>
      </c>
      <c r="X90" s="66">
        <v>0</v>
      </c>
      <c r="Y90" s="66">
        <v>0</v>
      </c>
      <c r="Z90" s="66">
        <v>0</v>
      </c>
      <c r="AA90" s="66">
        <v>0</v>
      </c>
      <c r="AB90" s="66">
        <v>0</v>
      </c>
      <c r="AC90" s="66">
        <v>0</v>
      </c>
      <c r="AD90" s="67" t="s">
        <v>1230</v>
      </c>
      <c r="AE90" s="67" t="s">
        <v>1230</v>
      </c>
      <c r="AF90" s="67">
        <v>0</v>
      </c>
      <c r="AG90" s="66">
        <v>0</v>
      </c>
      <c r="AH90" s="67">
        <v>0</v>
      </c>
      <c r="AI90" s="66">
        <v>0</v>
      </c>
      <c r="AJ90" s="66">
        <v>0</v>
      </c>
      <c r="AK90" s="66">
        <v>0</v>
      </c>
      <c r="AL90" s="66">
        <v>0</v>
      </c>
      <c r="AM90" s="66">
        <v>0</v>
      </c>
      <c r="AN90" s="66">
        <v>0</v>
      </c>
      <c r="AO90" s="66">
        <v>0</v>
      </c>
      <c r="AP90" s="66">
        <v>0</v>
      </c>
      <c r="AQ90" s="66">
        <v>0</v>
      </c>
      <c r="AR90" s="66">
        <v>0</v>
      </c>
      <c r="AS90" s="66">
        <v>0</v>
      </c>
      <c r="AT90" s="67" t="s">
        <v>1230</v>
      </c>
      <c r="AU90" s="67" t="s">
        <v>1230</v>
      </c>
      <c r="AV90" s="67">
        <v>0</v>
      </c>
      <c r="AW90" s="66">
        <v>0</v>
      </c>
      <c r="AX90" s="67">
        <v>0</v>
      </c>
    </row>
    <row r="91" spans="1:50" ht="15.6" x14ac:dyDescent="0.3">
      <c r="A91" s="169">
        <v>79</v>
      </c>
      <c r="B91" s="205" t="s">
        <v>219</v>
      </c>
      <c r="C91" s="66">
        <v>0</v>
      </c>
      <c r="D91" s="66">
        <v>0</v>
      </c>
      <c r="E91" s="66">
        <v>0</v>
      </c>
      <c r="F91" s="66">
        <v>0</v>
      </c>
      <c r="G91" s="66">
        <v>0</v>
      </c>
      <c r="H91" s="66">
        <v>0</v>
      </c>
      <c r="I91" s="66">
        <v>0</v>
      </c>
      <c r="J91" s="66">
        <v>0</v>
      </c>
      <c r="K91" s="66">
        <v>0</v>
      </c>
      <c r="L91" s="66">
        <v>0</v>
      </c>
      <c r="M91" s="66">
        <v>0</v>
      </c>
      <c r="N91" s="67" t="s">
        <v>1230</v>
      </c>
      <c r="O91" s="67" t="s">
        <v>1230</v>
      </c>
      <c r="P91" s="67">
        <v>0</v>
      </c>
      <c r="Q91" s="66">
        <v>0</v>
      </c>
      <c r="R91" s="67">
        <v>0</v>
      </c>
      <c r="S91" s="66">
        <v>0</v>
      </c>
      <c r="T91" s="66">
        <v>0</v>
      </c>
      <c r="U91" s="66">
        <v>0</v>
      </c>
      <c r="V91" s="66">
        <v>0</v>
      </c>
      <c r="W91" s="66">
        <v>0</v>
      </c>
      <c r="X91" s="66">
        <v>0</v>
      </c>
      <c r="Y91" s="66">
        <v>0</v>
      </c>
      <c r="Z91" s="66">
        <v>0</v>
      </c>
      <c r="AA91" s="66">
        <v>0</v>
      </c>
      <c r="AB91" s="66">
        <v>0</v>
      </c>
      <c r="AC91" s="66">
        <v>0</v>
      </c>
      <c r="AD91" s="67" t="s">
        <v>1230</v>
      </c>
      <c r="AE91" s="67" t="s">
        <v>1230</v>
      </c>
      <c r="AF91" s="67">
        <v>0</v>
      </c>
      <c r="AG91" s="66">
        <v>0</v>
      </c>
      <c r="AH91" s="67">
        <v>0</v>
      </c>
      <c r="AI91" s="66">
        <v>0</v>
      </c>
      <c r="AJ91" s="66">
        <v>0</v>
      </c>
      <c r="AK91" s="66">
        <v>0</v>
      </c>
      <c r="AL91" s="66">
        <v>0</v>
      </c>
      <c r="AM91" s="66">
        <v>0</v>
      </c>
      <c r="AN91" s="66">
        <v>0</v>
      </c>
      <c r="AO91" s="66">
        <v>0</v>
      </c>
      <c r="AP91" s="66">
        <v>0</v>
      </c>
      <c r="AQ91" s="66">
        <v>0</v>
      </c>
      <c r="AR91" s="66">
        <v>0</v>
      </c>
      <c r="AS91" s="66">
        <v>0</v>
      </c>
      <c r="AT91" s="67" t="s">
        <v>1230</v>
      </c>
      <c r="AU91" s="67" t="s">
        <v>1230</v>
      </c>
      <c r="AV91" s="67">
        <v>0</v>
      </c>
      <c r="AW91" s="66">
        <v>0</v>
      </c>
      <c r="AX91" s="67">
        <v>0</v>
      </c>
    </row>
    <row r="92" spans="1:50" ht="15.6" x14ac:dyDescent="0.3">
      <c r="A92" s="169">
        <v>80</v>
      </c>
      <c r="B92" s="205" t="s">
        <v>222</v>
      </c>
      <c r="C92" s="66">
        <v>0</v>
      </c>
      <c r="D92" s="66">
        <v>0</v>
      </c>
      <c r="E92" s="66">
        <v>0</v>
      </c>
      <c r="F92" s="66">
        <v>0</v>
      </c>
      <c r="G92" s="66">
        <v>0</v>
      </c>
      <c r="H92" s="66">
        <v>0</v>
      </c>
      <c r="I92" s="66">
        <v>5.4149137000000005</v>
      </c>
      <c r="J92" s="66">
        <v>0</v>
      </c>
      <c r="K92" s="66">
        <v>0</v>
      </c>
      <c r="L92" s="66">
        <v>0</v>
      </c>
      <c r="M92" s="66">
        <v>0</v>
      </c>
      <c r="N92" s="67" t="s">
        <v>1230</v>
      </c>
      <c r="O92" s="67" t="s">
        <v>1230</v>
      </c>
      <c r="P92" s="67">
        <v>0</v>
      </c>
      <c r="Q92" s="66">
        <v>5.4149137000000005</v>
      </c>
      <c r="R92" s="67">
        <v>0</v>
      </c>
      <c r="S92" s="66">
        <v>0</v>
      </c>
      <c r="T92" s="66">
        <v>0</v>
      </c>
      <c r="U92" s="66">
        <v>0</v>
      </c>
      <c r="V92" s="66">
        <v>0</v>
      </c>
      <c r="W92" s="66">
        <v>0</v>
      </c>
      <c r="X92" s="66">
        <v>0</v>
      </c>
      <c r="Y92" s="66">
        <v>5.4149137000000005</v>
      </c>
      <c r="Z92" s="66">
        <v>0</v>
      </c>
      <c r="AA92" s="66">
        <v>0</v>
      </c>
      <c r="AB92" s="66">
        <v>0</v>
      </c>
      <c r="AC92" s="66">
        <v>0</v>
      </c>
      <c r="AD92" s="67" t="s">
        <v>1230</v>
      </c>
      <c r="AE92" s="67" t="s">
        <v>1230</v>
      </c>
      <c r="AF92" s="67">
        <v>0</v>
      </c>
      <c r="AG92" s="66">
        <v>5.4149137000000005</v>
      </c>
      <c r="AH92" s="67">
        <v>0</v>
      </c>
      <c r="AI92" s="66">
        <v>0</v>
      </c>
      <c r="AJ92" s="66">
        <v>0</v>
      </c>
      <c r="AK92" s="66">
        <v>0</v>
      </c>
      <c r="AL92" s="66">
        <v>0</v>
      </c>
      <c r="AM92" s="66">
        <v>0</v>
      </c>
      <c r="AN92" s="66">
        <v>0</v>
      </c>
      <c r="AO92" s="66">
        <v>0</v>
      </c>
      <c r="AP92" s="66">
        <v>0</v>
      </c>
      <c r="AQ92" s="66">
        <v>0</v>
      </c>
      <c r="AR92" s="66">
        <v>0</v>
      </c>
      <c r="AS92" s="66">
        <v>0</v>
      </c>
      <c r="AT92" s="67" t="s">
        <v>1230</v>
      </c>
      <c r="AU92" s="67" t="s">
        <v>1230</v>
      </c>
      <c r="AV92" s="67">
        <v>0</v>
      </c>
      <c r="AW92" s="66">
        <v>0</v>
      </c>
      <c r="AX92" s="67">
        <v>0</v>
      </c>
    </row>
    <row r="93" spans="1:50" ht="15.6" x14ac:dyDescent="0.3">
      <c r="A93" s="169">
        <v>81</v>
      </c>
      <c r="B93" s="205" t="s">
        <v>225</v>
      </c>
      <c r="C93" s="66">
        <v>0</v>
      </c>
      <c r="D93" s="66">
        <v>0</v>
      </c>
      <c r="E93" s="66">
        <v>0</v>
      </c>
      <c r="F93" s="66">
        <v>0</v>
      </c>
      <c r="G93" s="66">
        <v>0</v>
      </c>
      <c r="H93" s="66">
        <v>0</v>
      </c>
      <c r="I93" s="66">
        <v>0</v>
      </c>
      <c r="J93" s="66">
        <v>0</v>
      </c>
      <c r="K93" s="66">
        <v>0</v>
      </c>
      <c r="L93" s="66">
        <v>0</v>
      </c>
      <c r="M93" s="66">
        <v>0</v>
      </c>
      <c r="N93" s="67" t="s">
        <v>1230</v>
      </c>
      <c r="O93" s="67" t="s">
        <v>1230</v>
      </c>
      <c r="P93" s="67">
        <v>0</v>
      </c>
      <c r="Q93" s="66">
        <v>0</v>
      </c>
      <c r="R93" s="67">
        <v>0</v>
      </c>
      <c r="S93" s="66">
        <v>0</v>
      </c>
      <c r="T93" s="66">
        <v>0</v>
      </c>
      <c r="U93" s="66">
        <v>0</v>
      </c>
      <c r="V93" s="66">
        <v>0</v>
      </c>
      <c r="W93" s="66">
        <v>0</v>
      </c>
      <c r="X93" s="66">
        <v>0</v>
      </c>
      <c r="Y93" s="66">
        <v>0</v>
      </c>
      <c r="Z93" s="66">
        <v>0</v>
      </c>
      <c r="AA93" s="66">
        <v>0</v>
      </c>
      <c r="AB93" s="66">
        <v>0</v>
      </c>
      <c r="AC93" s="66">
        <v>0</v>
      </c>
      <c r="AD93" s="67" t="s">
        <v>1230</v>
      </c>
      <c r="AE93" s="67" t="s">
        <v>1230</v>
      </c>
      <c r="AF93" s="67">
        <v>0</v>
      </c>
      <c r="AG93" s="66">
        <v>0</v>
      </c>
      <c r="AH93" s="67">
        <v>0</v>
      </c>
      <c r="AI93" s="66">
        <v>0</v>
      </c>
      <c r="AJ93" s="66">
        <v>0</v>
      </c>
      <c r="AK93" s="66">
        <v>0</v>
      </c>
      <c r="AL93" s="66">
        <v>0</v>
      </c>
      <c r="AM93" s="66">
        <v>0</v>
      </c>
      <c r="AN93" s="66">
        <v>0</v>
      </c>
      <c r="AO93" s="66">
        <v>0</v>
      </c>
      <c r="AP93" s="66">
        <v>0</v>
      </c>
      <c r="AQ93" s="66">
        <v>0</v>
      </c>
      <c r="AR93" s="66">
        <v>0</v>
      </c>
      <c r="AS93" s="66">
        <v>0</v>
      </c>
      <c r="AT93" s="67" t="s">
        <v>1230</v>
      </c>
      <c r="AU93" s="67" t="s">
        <v>1230</v>
      </c>
      <c r="AV93" s="67">
        <v>0</v>
      </c>
      <c r="AW93" s="66">
        <v>0</v>
      </c>
      <c r="AX93" s="67">
        <v>0</v>
      </c>
    </row>
    <row r="94" spans="1:50" ht="15.6" x14ac:dyDescent="0.3">
      <c r="A94" s="169">
        <v>82</v>
      </c>
      <c r="B94" s="205" t="s">
        <v>228</v>
      </c>
      <c r="C94" s="66">
        <v>43.432200000000002</v>
      </c>
      <c r="D94" s="66">
        <v>0</v>
      </c>
      <c r="E94" s="66">
        <v>60.8049587</v>
      </c>
      <c r="F94" s="66">
        <v>43.432200000000002</v>
      </c>
      <c r="G94" s="66">
        <v>17.372758699999999</v>
      </c>
      <c r="H94" s="66">
        <v>43.432200000000002</v>
      </c>
      <c r="I94" s="66">
        <v>0</v>
      </c>
      <c r="J94" s="66">
        <v>60.8049587</v>
      </c>
      <c r="K94" s="66">
        <v>43.432200000000002</v>
      </c>
      <c r="L94" s="66">
        <v>0</v>
      </c>
      <c r="M94" s="66">
        <v>17.372758699999999</v>
      </c>
      <c r="N94" s="67">
        <v>100</v>
      </c>
      <c r="O94" s="67">
        <v>100</v>
      </c>
      <c r="P94" s="67">
        <v>28.57128607835071</v>
      </c>
      <c r="Q94" s="66">
        <v>0</v>
      </c>
      <c r="R94" s="67">
        <v>0</v>
      </c>
      <c r="S94" s="66">
        <v>43.432200000000002</v>
      </c>
      <c r="T94" s="66">
        <v>0</v>
      </c>
      <c r="U94" s="66">
        <v>60.8049587</v>
      </c>
      <c r="V94" s="66">
        <v>43.432200000000002</v>
      </c>
      <c r="W94" s="66">
        <v>17.372758699999999</v>
      </c>
      <c r="X94" s="66">
        <v>43.432200000000002</v>
      </c>
      <c r="Y94" s="66">
        <v>0</v>
      </c>
      <c r="Z94" s="66">
        <v>60.8049587</v>
      </c>
      <c r="AA94" s="66">
        <v>43.432200000000002</v>
      </c>
      <c r="AB94" s="66">
        <v>0</v>
      </c>
      <c r="AC94" s="66">
        <v>17.372758699999999</v>
      </c>
      <c r="AD94" s="67">
        <v>100</v>
      </c>
      <c r="AE94" s="67">
        <v>100</v>
      </c>
      <c r="AF94" s="67">
        <v>28.57128607835071</v>
      </c>
      <c r="AG94" s="66">
        <v>0</v>
      </c>
      <c r="AH94" s="67">
        <v>0</v>
      </c>
      <c r="AI94" s="66">
        <v>0</v>
      </c>
      <c r="AJ94" s="66">
        <v>0</v>
      </c>
      <c r="AK94" s="66">
        <v>0</v>
      </c>
      <c r="AL94" s="66">
        <v>0</v>
      </c>
      <c r="AM94" s="66">
        <v>0</v>
      </c>
      <c r="AN94" s="66">
        <v>0</v>
      </c>
      <c r="AO94" s="66">
        <v>0</v>
      </c>
      <c r="AP94" s="66">
        <v>0</v>
      </c>
      <c r="AQ94" s="66">
        <v>0</v>
      </c>
      <c r="AR94" s="66">
        <v>0</v>
      </c>
      <c r="AS94" s="66">
        <v>0</v>
      </c>
      <c r="AT94" s="67" t="s">
        <v>1230</v>
      </c>
      <c r="AU94" s="67" t="s">
        <v>1230</v>
      </c>
      <c r="AV94" s="67">
        <v>0</v>
      </c>
      <c r="AW94" s="66">
        <v>0</v>
      </c>
      <c r="AX94" s="67">
        <v>0</v>
      </c>
    </row>
    <row r="95" spans="1:50" ht="15.6" x14ac:dyDescent="0.3">
      <c r="A95" s="202">
        <v>83</v>
      </c>
      <c r="B95" s="203" t="s">
        <v>231</v>
      </c>
      <c r="C95" s="61">
        <v>133.2766</v>
      </c>
      <c r="D95" s="61">
        <v>0</v>
      </c>
      <c r="E95" s="61">
        <v>138.27943175999999</v>
      </c>
      <c r="F95" s="61">
        <v>133.2766</v>
      </c>
      <c r="G95" s="61">
        <v>5.0028317600000003</v>
      </c>
      <c r="H95" s="61">
        <v>133.27659649</v>
      </c>
      <c r="I95" s="61">
        <v>0</v>
      </c>
      <c r="J95" s="61">
        <v>138.27942808</v>
      </c>
      <c r="K95" s="61">
        <v>133.27659649</v>
      </c>
      <c r="L95" s="61">
        <v>0</v>
      </c>
      <c r="M95" s="61">
        <v>5.0028315900000004</v>
      </c>
      <c r="N95" s="61">
        <v>99.999997366379404</v>
      </c>
      <c r="O95" s="61">
        <v>99.999996601924508</v>
      </c>
      <c r="P95" s="61">
        <v>3.6179145802553285</v>
      </c>
      <c r="Q95" s="61">
        <v>0</v>
      </c>
      <c r="R95" s="61">
        <v>0</v>
      </c>
      <c r="S95" s="61">
        <v>133.2766</v>
      </c>
      <c r="T95" s="61">
        <v>0</v>
      </c>
      <c r="U95" s="61">
        <v>138.27943175999999</v>
      </c>
      <c r="V95" s="61">
        <v>133.2766</v>
      </c>
      <c r="W95" s="61">
        <v>5.0028317600000003</v>
      </c>
      <c r="X95" s="61">
        <v>133.27659649</v>
      </c>
      <c r="Y95" s="61">
        <v>0</v>
      </c>
      <c r="Z95" s="61">
        <v>138.27942808</v>
      </c>
      <c r="AA95" s="61">
        <v>133.27659649</v>
      </c>
      <c r="AB95" s="61">
        <v>0</v>
      </c>
      <c r="AC95" s="61">
        <v>5.0028315900000004</v>
      </c>
      <c r="AD95" s="61">
        <v>99.999997366379404</v>
      </c>
      <c r="AE95" s="61">
        <v>99.999996601924508</v>
      </c>
      <c r="AF95" s="61">
        <v>3.6179145802553285</v>
      </c>
      <c r="AG95" s="61">
        <v>0</v>
      </c>
      <c r="AH95" s="61">
        <v>0</v>
      </c>
      <c r="AI95" s="61">
        <v>0</v>
      </c>
      <c r="AJ95" s="61">
        <v>0</v>
      </c>
      <c r="AK95" s="61">
        <v>0</v>
      </c>
      <c r="AL95" s="61">
        <v>0</v>
      </c>
      <c r="AM95" s="61">
        <v>0</v>
      </c>
      <c r="AN95" s="61">
        <v>0</v>
      </c>
      <c r="AO95" s="61">
        <v>0</v>
      </c>
      <c r="AP95" s="61">
        <v>0</v>
      </c>
      <c r="AQ95" s="61">
        <v>0</v>
      </c>
      <c r="AR95" s="61">
        <v>0</v>
      </c>
      <c r="AS95" s="61">
        <v>0</v>
      </c>
      <c r="AT95" s="61" t="s">
        <v>1230</v>
      </c>
      <c r="AU95" s="61" t="s">
        <v>1230</v>
      </c>
      <c r="AV95" s="61">
        <v>0</v>
      </c>
      <c r="AW95" s="61">
        <v>0</v>
      </c>
      <c r="AX95" s="61">
        <v>0</v>
      </c>
    </row>
    <row r="96" spans="1:50" ht="15.6" x14ac:dyDescent="0.3">
      <c r="A96" s="169">
        <v>84</v>
      </c>
      <c r="B96" s="205" t="s">
        <v>198</v>
      </c>
      <c r="C96" s="66">
        <v>0</v>
      </c>
      <c r="D96" s="66">
        <v>0</v>
      </c>
      <c r="E96" s="66">
        <v>0</v>
      </c>
      <c r="F96" s="66">
        <v>0</v>
      </c>
      <c r="G96" s="66">
        <v>0</v>
      </c>
      <c r="H96" s="66">
        <v>0</v>
      </c>
      <c r="I96" s="66">
        <v>0</v>
      </c>
      <c r="J96" s="66">
        <v>0</v>
      </c>
      <c r="K96" s="66">
        <v>0</v>
      </c>
      <c r="L96" s="66">
        <v>0</v>
      </c>
      <c r="M96" s="66">
        <v>0</v>
      </c>
      <c r="N96" s="67" t="s">
        <v>1230</v>
      </c>
      <c r="O96" s="67" t="s">
        <v>1230</v>
      </c>
      <c r="P96" s="67">
        <v>0</v>
      </c>
      <c r="Q96" s="66">
        <v>0</v>
      </c>
      <c r="R96" s="67">
        <v>0</v>
      </c>
      <c r="S96" s="66">
        <v>0</v>
      </c>
      <c r="T96" s="66">
        <v>0</v>
      </c>
      <c r="U96" s="66">
        <v>0</v>
      </c>
      <c r="V96" s="66">
        <v>0</v>
      </c>
      <c r="W96" s="66">
        <v>0</v>
      </c>
      <c r="X96" s="66">
        <v>0</v>
      </c>
      <c r="Y96" s="66">
        <v>0</v>
      </c>
      <c r="Z96" s="66">
        <v>0</v>
      </c>
      <c r="AA96" s="66">
        <v>0</v>
      </c>
      <c r="AB96" s="66">
        <v>0</v>
      </c>
      <c r="AC96" s="66">
        <v>0</v>
      </c>
      <c r="AD96" s="67" t="s">
        <v>1230</v>
      </c>
      <c r="AE96" s="67" t="s">
        <v>1230</v>
      </c>
      <c r="AF96" s="67">
        <v>0</v>
      </c>
      <c r="AG96" s="66">
        <v>0</v>
      </c>
      <c r="AH96" s="67">
        <v>0</v>
      </c>
      <c r="AI96" s="66">
        <v>0</v>
      </c>
      <c r="AJ96" s="66">
        <v>0</v>
      </c>
      <c r="AK96" s="66">
        <v>0</v>
      </c>
      <c r="AL96" s="66">
        <v>0</v>
      </c>
      <c r="AM96" s="66">
        <v>0</v>
      </c>
      <c r="AN96" s="66">
        <v>0</v>
      </c>
      <c r="AO96" s="66">
        <v>0</v>
      </c>
      <c r="AP96" s="66">
        <v>0</v>
      </c>
      <c r="AQ96" s="66">
        <v>0</v>
      </c>
      <c r="AR96" s="66">
        <v>0</v>
      </c>
      <c r="AS96" s="66">
        <v>0</v>
      </c>
      <c r="AT96" s="67" t="s">
        <v>1230</v>
      </c>
      <c r="AU96" s="67" t="s">
        <v>1230</v>
      </c>
      <c r="AV96" s="67">
        <v>0</v>
      </c>
      <c r="AW96" s="66">
        <v>0</v>
      </c>
      <c r="AX96" s="67">
        <v>0</v>
      </c>
    </row>
    <row r="97" spans="1:50" ht="15.6" x14ac:dyDescent="0.3">
      <c r="A97" s="169">
        <v>85</v>
      </c>
      <c r="B97" s="205" t="s">
        <v>234</v>
      </c>
      <c r="C97" s="66">
        <v>28.314699999999998</v>
      </c>
      <c r="D97" s="66">
        <v>0</v>
      </c>
      <c r="E97" s="66">
        <v>28.317531760000001</v>
      </c>
      <c r="F97" s="66">
        <v>28.314699999999998</v>
      </c>
      <c r="G97" s="66">
        <v>2.83176E-3</v>
      </c>
      <c r="H97" s="66">
        <v>28.314699999999998</v>
      </c>
      <c r="I97" s="66">
        <v>0</v>
      </c>
      <c r="J97" s="66">
        <v>28.317531760000001</v>
      </c>
      <c r="K97" s="66">
        <v>28.314699999999998</v>
      </c>
      <c r="L97" s="66">
        <v>0</v>
      </c>
      <c r="M97" s="66">
        <v>2.83176E-3</v>
      </c>
      <c r="N97" s="67">
        <v>100</v>
      </c>
      <c r="O97" s="67">
        <v>100</v>
      </c>
      <c r="P97" s="67">
        <v>1.0000024098145479E-2</v>
      </c>
      <c r="Q97" s="66">
        <v>0</v>
      </c>
      <c r="R97" s="67">
        <v>0</v>
      </c>
      <c r="S97" s="66">
        <v>28.314699999999998</v>
      </c>
      <c r="T97" s="66">
        <v>0</v>
      </c>
      <c r="U97" s="66">
        <v>28.317531760000001</v>
      </c>
      <c r="V97" s="66">
        <v>28.314699999999998</v>
      </c>
      <c r="W97" s="66">
        <v>2.83176E-3</v>
      </c>
      <c r="X97" s="66">
        <v>28.314699999999998</v>
      </c>
      <c r="Y97" s="66">
        <v>0</v>
      </c>
      <c r="Z97" s="66">
        <v>28.317531760000001</v>
      </c>
      <c r="AA97" s="66">
        <v>28.314699999999998</v>
      </c>
      <c r="AB97" s="66">
        <v>0</v>
      </c>
      <c r="AC97" s="66">
        <v>2.83176E-3</v>
      </c>
      <c r="AD97" s="67">
        <v>100</v>
      </c>
      <c r="AE97" s="67">
        <v>100</v>
      </c>
      <c r="AF97" s="67">
        <v>1.0000024098145479E-2</v>
      </c>
      <c r="AG97" s="66">
        <v>0</v>
      </c>
      <c r="AH97" s="67">
        <v>0</v>
      </c>
      <c r="AI97" s="66">
        <v>0</v>
      </c>
      <c r="AJ97" s="66">
        <v>0</v>
      </c>
      <c r="AK97" s="66">
        <v>0</v>
      </c>
      <c r="AL97" s="66">
        <v>0</v>
      </c>
      <c r="AM97" s="66">
        <v>0</v>
      </c>
      <c r="AN97" s="66">
        <v>0</v>
      </c>
      <c r="AO97" s="66">
        <v>0</v>
      </c>
      <c r="AP97" s="66">
        <v>0</v>
      </c>
      <c r="AQ97" s="66">
        <v>0</v>
      </c>
      <c r="AR97" s="66">
        <v>0</v>
      </c>
      <c r="AS97" s="66">
        <v>0</v>
      </c>
      <c r="AT97" s="67" t="s">
        <v>1230</v>
      </c>
      <c r="AU97" s="67" t="s">
        <v>1230</v>
      </c>
      <c r="AV97" s="67">
        <v>0</v>
      </c>
      <c r="AW97" s="66">
        <v>0</v>
      </c>
      <c r="AX97" s="67">
        <v>0</v>
      </c>
    </row>
    <row r="98" spans="1:50" ht="15.6" x14ac:dyDescent="0.3">
      <c r="A98" s="169">
        <v>86</v>
      </c>
      <c r="B98" s="205" t="s">
        <v>210</v>
      </c>
      <c r="C98" s="66">
        <v>0</v>
      </c>
      <c r="D98" s="66">
        <v>0</v>
      </c>
      <c r="E98" s="66">
        <v>0</v>
      </c>
      <c r="F98" s="66">
        <v>0</v>
      </c>
      <c r="G98" s="66">
        <v>0</v>
      </c>
      <c r="H98" s="66">
        <v>0</v>
      </c>
      <c r="I98" s="66">
        <v>0</v>
      </c>
      <c r="J98" s="66">
        <v>0</v>
      </c>
      <c r="K98" s="66">
        <v>0</v>
      </c>
      <c r="L98" s="66">
        <v>0</v>
      </c>
      <c r="M98" s="66">
        <v>0</v>
      </c>
      <c r="N98" s="67" t="s">
        <v>1230</v>
      </c>
      <c r="O98" s="67" t="s">
        <v>1230</v>
      </c>
      <c r="P98" s="67">
        <v>0</v>
      </c>
      <c r="Q98" s="66">
        <v>0</v>
      </c>
      <c r="R98" s="67">
        <v>0</v>
      </c>
      <c r="S98" s="66">
        <v>0</v>
      </c>
      <c r="T98" s="66">
        <v>0</v>
      </c>
      <c r="U98" s="66">
        <v>0</v>
      </c>
      <c r="V98" s="66">
        <v>0</v>
      </c>
      <c r="W98" s="66">
        <v>0</v>
      </c>
      <c r="X98" s="66">
        <v>0</v>
      </c>
      <c r="Y98" s="66">
        <v>0</v>
      </c>
      <c r="Z98" s="66">
        <v>0</v>
      </c>
      <c r="AA98" s="66">
        <v>0</v>
      </c>
      <c r="AB98" s="66">
        <v>0</v>
      </c>
      <c r="AC98" s="66">
        <v>0</v>
      </c>
      <c r="AD98" s="67" t="s">
        <v>1230</v>
      </c>
      <c r="AE98" s="67" t="s">
        <v>1230</v>
      </c>
      <c r="AF98" s="67">
        <v>0</v>
      </c>
      <c r="AG98" s="66">
        <v>0</v>
      </c>
      <c r="AH98" s="67">
        <v>0</v>
      </c>
      <c r="AI98" s="66">
        <v>0</v>
      </c>
      <c r="AJ98" s="66">
        <v>0</v>
      </c>
      <c r="AK98" s="66">
        <v>0</v>
      </c>
      <c r="AL98" s="66">
        <v>0</v>
      </c>
      <c r="AM98" s="66">
        <v>0</v>
      </c>
      <c r="AN98" s="66">
        <v>0</v>
      </c>
      <c r="AO98" s="66">
        <v>0</v>
      </c>
      <c r="AP98" s="66">
        <v>0</v>
      </c>
      <c r="AQ98" s="66">
        <v>0</v>
      </c>
      <c r="AR98" s="66">
        <v>0</v>
      </c>
      <c r="AS98" s="66">
        <v>0</v>
      </c>
      <c r="AT98" s="67" t="s">
        <v>1230</v>
      </c>
      <c r="AU98" s="67" t="s">
        <v>1230</v>
      </c>
      <c r="AV98" s="67">
        <v>0</v>
      </c>
      <c r="AW98" s="66">
        <v>0</v>
      </c>
      <c r="AX98" s="67">
        <v>0</v>
      </c>
    </row>
    <row r="99" spans="1:50" ht="15.6" x14ac:dyDescent="0.3">
      <c r="A99" s="169">
        <v>87</v>
      </c>
      <c r="B99" s="205" t="s">
        <v>237</v>
      </c>
      <c r="C99" s="66">
        <v>0</v>
      </c>
      <c r="D99" s="66">
        <v>0</v>
      </c>
      <c r="E99" s="66">
        <v>0</v>
      </c>
      <c r="F99" s="66">
        <v>0</v>
      </c>
      <c r="G99" s="66">
        <v>0</v>
      </c>
      <c r="H99" s="66">
        <v>0</v>
      </c>
      <c r="I99" s="66">
        <v>0</v>
      </c>
      <c r="J99" s="66">
        <v>0</v>
      </c>
      <c r="K99" s="66">
        <v>0</v>
      </c>
      <c r="L99" s="66">
        <v>0</v>
      </c>
      <c r="M99" s="66">
        <v>0</v>
      </c>
      <c r="N99" s="67" t="s">
        <v>1230</v>
      </c>
      <c r="O99" s="67" t="s">
        <v>1230</v>
      </c>
      <c r="P99" s="67">
        <v>0</v>
      </c>
      <c r="Q99" s="66">
        <v>0</v>
      </c>
      <c r="R99" s="67">
        <v>0</v>
      </c>
      <c r="S99" s="66">
        <v>0</v>
      </c>
      <c r="T99" s="66">
        <v>0</v>
      </c>
      <c r="U99" s="66">
        <v>0</v>
      </c>
      <c r="V99" s="66">
        <v>0</v>
      </c>
      <c r="W99" s="66">
        <v>0</v>
      </c>
      <c r="X99" s="66">
        <v>0</v>
      </c>
      <c r="Y99" s="66">
        <v>0</v>
      </c>
      <c r="Z99" s="66">
        <v>0</v>
      </c>
      <c r="AA99" s="66">
        <v>0</v>
      </c>
      <c r="AB99" s="66">
        <v>0</v>
      </c>
      <c r="AC99" s="66">
        <v>0</v>
      </c>
      <c r="AD99" s="67" t="s">
        <v>1230</v>
      </c>
      <c r="AE99" s="67" t="s">
        <v>1230</v>
      </c>
      <c r="AF99" s="67">
        <v>0</v>
      </c>
      <c r="AG99" s="66">
        <v>0</v>
      </c>
      <c r="AH99" s="67">
        <v>0</v>
      </c>
      <c r="AI99" s="66">
        <v>0</v>
      </c>
      <c r="AJ99" s="66">
        <v>0</v>
      </c>
      <c r="AK99" s="66">
        <v>0</v>
      </c>
      <c r="AL99" s="66">
        <v>0</v>
      </c>
      <c r="AM99" s="66">
        <v>0</v>
      </c>
      <c r="AN99" s="66">
        <v>0</v>
      </c>
      <c r="AO99" s="66">
        <v>0</v>
      </c>
      <c r="AP99" s="66">
        <v>0</v>
      </c>
      <c r="AQ99" s="66">
        <v>0</v>
      </c>
      <c r="AR99" s="66">
        <v>0</v>
      </c>
      <c r="AS99" s="66">
        <v>0</v>
      </c>
      <c r="AT99" s="67" t="s">
        <v>1230</v>
      </c>
      <c r="AU99" s="67" t="s">
        <v>1230</v>
      </c>
      <c r="AV99" s="67">
        <v>0</v>
      </c>
      <c r="AW99" s="66">
        <v>0</v>
      </c>
      <c r="AX99" s="67">
        <v>0</v>
      </c>
    </row>
    <row r="100" spans="1:50" ht="15.6" x14ac:dyDescent="0.3">
      <c r="A100" s="169">
        <v>88</v>
      </c>
      <c r="B100" s="205" t="s">
        <v>240</v>
      </c>
      <c r="C100" s="66">
        <v>104.9619</v>
      </c>
      <c r="D100" s="66">
        <v>0</v>
      </c>
      <c r="E100" s="66">
        <v>109.9619</v>
      </c>
      <c r="F100" s="66">
        <v>104.9619</v>
      </c>
      <c r="G100" s="66">
        <v>5</v>
      </c>
      <c r="H100" s="66">
        <v>104.96189649</v>
      </c>
      <c r="I100" s="66">
        <v>0</v>
      </c>
      <c r="J100" s="66">
        <v>109.96189631999999</v>
      </c>
      <c r="K100" s="66">
        <v>104.96189649</v>
      </c>
      <c r="L100" s="66">
        <v>0</v>
      </c>
      <c r="M100" s="66">
        <v>4.9999998300000001</v>
      </c>
      <c r="N100" s="67">
        <v>99.999996655929436</v>
      </c>
      <c r="O100" s="67">
        <v>99.999996600000003</v>
      </c>
      <c r="P100" s="67">
        <v>4.5470294686893231</v>
      </c>
      <c r="Q100" s="66">
        <v>0</v>
      </c>
      <c r="R100" s="67">
        <v>0</v>
      </c>
      <c r="S100" s="66">
        <v>104.9619</v>
      </c>
      <c r="T100" s="66">
        <v>0</v>
      </c>
      <c r="U100" s="66">
        <v>109.9619</v>
      </c>
      <c r="V100" s="66">
        <v>104.9619</v>
      </c>
      <c r="W100" s="66">
        <v>5</v>
      </c>
      <c r="X100" s="66">
        <v>104.96189649</v>
      </c>
      <c r="Y100" s="66">
        <v>0</v>
      </c>
      <c r="Z100" s="66">
        <v>109.96189631999999</v>
      </c>
      <c r="AA100" s="66">
        <v>104.96189649</v>
      </c>
      <c r="AB100" s="66">
        <v>0</v>
      </c>
      <c r="AC100" s="66">
        <v>4.9999998300000001</v>
      </c>
      <c r="AD100" s="67">
        <v>99.999996655929436</v>
      </c>
      <c r="AE100" s="67">
        <v>99.999996600000003</v>
      </c>
      <c r="AF100" s="67">
        <v>4.5470294686893231</v>
      </c>
      <c r="AG100" s="66">
        <v>0</v>
      </c>
      <c r="AH100" s="67">
        <v>0</v>
      </c>
      <c r="AI100" s="66">
        <v>0</v>
      </c>
      <c r="AJ100" s="66">
        <v>0</v>
      </c>
      <c r="AK100" s="66">
        <v>0</v>
      </c>
      <c r="AL100" s="66">
        <v>0</v>
      </c>
      <c r="AM100" s="66">
        <v>0</v>
      </c>
      <c r="AN100" s="66">
        <v>0</v>
      </c>
      <c r="AO100" s="66">
        <v>0</v>
      </c>
      <c r="AP100" s="66">
        <v>0</v>
      </c>
      <c r="AQ100" s="66">
        <v>0</v>
      </c>
      <c r="AR100" s="66">
        <v>0</v>
      </c>
      <c r="AS100" s="66">
        <v>0</v>
      </c>
      <c r="AT100" s="67" t="s">
        <v>1230</v>
      </c>
      <c r="AU100" s="67" t="s">
        <v>1230</v>
      </c>
      <c r="AV100" s="67">
        <v>0</v>
      </c>
      <c r="AW100" s="66">
        <v>0</v>
      </c>
      <c r="AX100" s="67">
        <v>0</v>
      </c>
    </row>
    <row r="101" spans="1:50" ht="15.6" x14ac:dyDescent="0.3">
      <c r="A101" s="169">
        <v>89</v>
      </c>
      <c r="B101" s="205" t="s">
        <v>243</v>
      </c>
      <c r="C101" s="66">
        <v>0</v>
      </c>
      <c r="D101" s="66">
        <v>0</v>
      </c>
      <c r="E101" s="66">
        <v>0</v>
      </c>
      <c r="F101" s="66">
        <v>0</v>
      </c>
      <c r="G101" s="66">
        <v>0</v>
      </c>
      <c r="H101" s="66">
        <v>0</v>
      </c>
      <c r="I101" s="66">
        <v>0</v>
      </c>
      <c r="J101" s="66">
        <v>0</v>
      </c>
      <c r="K101" s="66">
        <v>0</v>
      </c>
      <c r="L101" s="66">
        <v>0</v>
      </c>
      <c r="M101" s="66">
        <v>0</v>
      </c>
      <c r="N101" s="67" t="s">
        <v>1230</v>
      </c>
      <c r="O101" s="67" t="s">
        <v>1230</v>
      </c>
      <c r="P101" s="67">
        <v>0</v>
      </c>
      <c r="Q101" s="66">
        <v>0</v>
      </c>
      <c r="R101" s="67">
        <v>0</v>
      </c>
      <c r="S101" s="66">
        <v>0</v>
      </c>
      <c r="T101" s="66">
        <v>0</v>
      </c>
      <c r="U101" s="66">
        <v>0</v>
      </c>
      <c r="V101" s="66">
        <v>0</v>
      </c>
      <c r="W101" s="66">
        <v>0</v>
      </c>
      <c r="X101" s="66">
        <v>0</v>
      </c>
      <c r="Y101" s="66">
        <v>0</v>
      </c>
      <c r="Z101" s="66">
        <v>0</v>
      </c>
      <c r="AA101" s="66">
        <v>0</v>
      </c>
      <c r="AB101" s="66">
        <v>0</v>
      </c>
      <c r="AC101" s="66">
        <v>0</v>
      </c>
      <c r="AD101" s="67" t="s">
        <v>1230</v>
      </c>
      <c r="AE101" s="67" t="s">
        <v>1230</v>
      </c>
      <c r="AF101" s="67">
        <v>0</v>
      </c>
      <c r="AG101" s="66">
        <v>0</v>
      </c>
      <c r="AH101" s="67">
        <v>0</v>
      </c>
      <c r="AI101" s="66">
        <v>0</v>
      </c>
      <c r="AJ101" s="66">
        <v>0</v>
      </c>
      <c r="AK101" s="66">
        <v>0</v>
      </c>
      <c r="AL101" s="66">
        <v>0</v>
      </c>
      <c r="AM101" s="66">
        <v>0</v>
      </c>
      <c r="AN101" s="66">
        <v>0</v>
      </c>
      <c r="AO101" s="66">
        <v>0</v>
      </c>
      <c r="AP101" s="66">
        <v>0</v>
      </c>
      <c r="AQ101" s="66">
        <v>0</v>
      </c>
      <c r="AR101" s="66">
        <v>0</v>
      </c>
      <c r="AS101" s="66">
        <v>0</v>
      </c>
      <c r="AT101" s="67" t="s">
        <v>1230</v>
      </c>
      <c r="AU101" s="67" t="s">
        <v>1230</v>
      </c>
      <c r="AV101" s="67">
        <v>0</v>
      </c>
      <c r="AW101" s="66">
        <v>0</v>
      </c>
      <c r="AX101" s="67">
        <v>0</v>
      </c>
    </row>
    <row r="102" spans="1:50" ht="15.6" x14ac:dyDescent="0.3">
      <c r="A102" s="169">
        <v>90</v>
      </c>
      <c r="B102" s="205" t="s">
        <v>246</v>
      </c>
      <c r="C102" s="66">
        <v>0</v>
      </c>
      <c r="D102" s="66">
        <v>0</v>
      </c>
      <c r="E102" s="66">
        <v>0</v>
      </c>
      <c r="F102" s="66">
        <v>0</v>
      </c>
      <c r="G102" s="66">
        <v>0</v>
      </c>
      <c r="H102" s="66">
        <v>0</v>
      </c>
      <c r="I102" s="66">
        <v>0</v>
      </c>
      <c r="J102" s="66">
        <v>0</v>
      </c>
      <c r="K102" s="66">
        <v>0</v>
      </c>
      <c r="L102" s="66">
        <v>0</v>
      </c>
      <c r="M102" s="66">
        <v>0</v>
      </c>
      <c r="N102" s="67" t="s">
        <v>1230</v>
      </c>
      <c r="O102" s="67" t="s">
        <v>1230</v>
      </c>
      <c r="P102" s="67">
        <v>0</v>
      </c>
      <c r="Q102" s="66">
        <v>0</v>
      </c>
      <c r="R102" s="67">
        <v>0</v>
      </c>
      <c r="S102" s="66">
        <v>0</v>
      </c>
      <c r="T102" s="66">
        <v>0</v>
      </c>
      <c r="U102" s="66">
        <v>0</v>
      </c>
      <c r="V102" s="66">
        <v>0</v>
      </c>
      <c r="W102" s="66">
        <v>0</v>
      </c>
      <c r="X102" s="66">
        <v>0</v>
      </c>
      <c r="Y102" s="66">
        <v>0</v>
      </c>
      <c r="Z102" s="66">
        <v>0</v>
      </c>
      <c r="AA102" s="66">
        <v>0</v>
      </c>
      <c r="AB102" s="66">
        <v>0</v>
      </c>
      <c r="AC102" s="66">
        <v>0</v>
      </c>
      <c r="AD102" s="67" t="s">
        <v>1230</v>
      </c>
      <c r="AE102" s="67" t="s">
        <v>1230</v>
      </c>
      <c r="AF102" s="67">
        <v>0</v>
      </c>
      <c r="AG102" s="66">
        <v>0</v>
      </c>
      <c r="AH102" s="67">
        <v>0</v>
      </c>
      <c r="AI102" s="66">
        <v>0</v>
      </c>
      <c r="AJ102" s="66">
        <v>0</v>
      </c>
      <c r="AK102" s="66">
        <v>0</v>
      </c>
      <c r="AL102" s="66">
        <v>0</v>
      </c>
      <c r="AM102" s="66">
        <v>0</v>
      </c>
      <c r="AN102" s="66">
        <v>0</v>
      </c>
      <c r="AO102" s="66">
        <v>0</v>
      </c>
      <c r="AP102" s="66">
        <v>0</v>
      </c>
      <c r="AQ102" s="66">
        <v>0</v>
      </c>
      <c r="AR102" s="66">
        <v>0</v>
      </c>
      <c r="AS102" s="66">
        <v>0</v>
      </c>
      <c r="AT102" s="67" t="s">
        <v>1230</v>
      </c>
      <c r="AU102" s="67" t="s">
        <v>1230</v>
      </c>
      <c r="AV102" s="67">
        <v>0</v>
      </c>
      <c r="AW102" s="66">
        <v>0</v>
      </c>
      <c r="AX102" s="67">
        <v>0</v>
      </c>
    </row>
    <row r="103" spans="1:50" ht="15.6" x14ac:dyDescent="0.3">
      <c r="A103" s="169">
        <v>91</v>
      </c>
      <c r="B103" s="205" t="s">
        <v>249</v>
      </c>
      <c r="C103" s="66">
        <v>0</v>
      </c>
      <c r="D103" s="66">
        <v>0</v>
      </c>
      <c r="E103" s="66">
        <v>0</v>
      </c>
      <c r="F103" s="66">
        <v>0</v>
      </c>
      <c r="G103" s="66">
        <v>0</v>
      </c>
      <c r="H103" s="66">
        <v>0</v>
      </c>
      <c r="I103" s="66">
        <v>0</v>
      </c>
      <c r="J103" s="66">
        <v>0</v>
      </c>
      <c r="K103" s="66">
        <v>0</v>
      </c>
      <c r="L103" s="66">
        <v>0</v>
      </c>
      <c r="M103" s="66">
        <v>0</v>
      </c>
      <c r="N103" s="67" t="s">
        <v>1230</v>
      </c>
      <c r="O103" s="67" t="s">
        <v>1230</v>
      </c>
      <c r="P103" s="67">
        <v>0</v>
      </c>
      <c r="Q103" s="66">
        <v>0</v>
      </c>
      <c r="R103" s="67">
        <v>0</v>
      </c>
      <c r="S103" s="66">
        <v>0</v>
      </c>
      <c r="T103" s="66">
        <v>0</v>
      </c>
      <c r="U103" s="66">
        <v>0</v>
      </c>
      <c r="V103" s="66">
        <v>0</v>
      </c>
      <c r="W103" s="66">
        <v>0</v>
      </c>
      <c r="X103" s="66">
        <v>0</v>
      </c>
      <c r="Y103" s="66">
        <v>0</v>
      </c>
      <c r="Z103" s="66">
        <v>0</v>
      </c>
      <c r="AA103" s="66">
        <v>0</v>
      </c>
      <c r="AB103" s="66">
        <v>0</v>
      </c>
      <c r="AC103" s="66">
        <v>0</v>
      </c>
      <c r="AD103" s="67" t="s">
        <v>1230</v>
      </c>
      <c r="AE103" s="67" t="s">
        <v>1230</v>
      </c>
      <c r="AF103" s="67">
        <v>0</v>
      </c>
      <c r="AG103" s="66">
        <v>0</v>
      </c>
      <c r="AH103" s="67">
        <v>0</v>
      </c>
      <c r="AI103" s="66">
        <v>0</v>
      </c>
      <c r="AJ103" s="66">
        <v>0</v>
      </c>
      <c r="AK103" s="66">
        <v>0</v>
      </c>
      <c r="AL103" s="66">
        <v>0</v>
      </c>
      <c r="AM103" s="66">
        <v>0</v>
      </c>
      <c r="AN103" s="66">
        <v>0</v>
      </c>
      <c r="AO103" s="66">
        <v>0</v>
      </c>
      <c r="AP103" s="66">
        <v>0</v>
      </c>
      <c r="AQ103" s="66">
        <v>0</v>
      </c>
      <c r="AR103" s="66">
        <v>0</v>
      </c>
      <c r="AS103" s="66">
        <v>0</v>
      </c>
      <c r="AT103" s="67" t="s">
        <v>1230</v>
      </c>
      <c r="AU103" s="67" t="s">
        <v>1230</v>
      </c>
      <c r="AV103" s="67">
        <v>0</v>
      </c>
      <c r="AW103" s="66">
        <v>0</v>
      </c>
      <c r="AX103" s="67">
        <v>0</v>
      </c>
    </row>
    <row r="104" spans="1:50" ht="15.6" x14ac:dyDescent="0.3">
      <c r="A104" s="169">
        <v>92</v>
      </c>
      <c r="B104" s="205" t="s">
        <v>252</v>
      </c>
      <c r="C104" s="66">
        <v>0</v>
      </c>
      <c r="D104" s="66">
        <v>0</v>
      </c>
      <c r="E104" s="66">
        <v>0</v>
      </c>
      <c r="F104" s="66">
        <v>0</v>
      </c>
      <c r="G104" s="66">
        <v>0</v>
      </c>
      <c r="H104" s="66">
        <v>0</v>
      </c>
      <c r="I104" s="66">
        <v>0</v>
      </c>
      <c r="J104" s="66">
        <v>0</v>
      </c>
      <c r="K104" s="66">
        <v>0</v>
      </c>
      <c r="L104" s="66">
        <v>0</v>
      </c>
      <c r="M104" s="66">
        <v>0</v>
      </c>
      <c r="N104" s="67" t="s">
        <v>1230</v>
      </c>
      <c r="O104" s="67" t="s">
        <v>1230</v>
      </c>
      <c r="P104" s="67">
        <v>0</v>
      </c>
      <c r="Q104" s="66">
        <v>0</v>
      </c>
      <c r="R104" s="67">
        <v>0</v>
      </c>
      <c r="S104" s="66">
        <v>0</v>
      </c>
      <c r="T104" s="66">
        <v>0</v>
      </c>
      <c r="U104" s="66">
        <v>0</v>
      </c>
      <c r="V104" s="66">
        <v>0</v>
      </c>
      <c r="W104" s="66">
        <v>0</v>
      </c>
      <c r="X104" s="66">
        <v>0</v>
      </c>
      <c r="Y104" s="66">
        <v>0</v>
      </c>
      <c r="Z104" s="66">
        <v>0</v>
      </c>
      <c r="AA104" s="66">
        <v>0</v>
      </c>
      <c r="AB104" s="66">
        <v>0</v>
      </c>
      <c r="AC104" s="66">
        <v>0</v>
      </c>
      <c r="AD104" s="67" t="s">
        <v>1230</v>
      </c>
      <c r="AE104" s="67" t="s">
        <v>1230</v>
      </c>
      <c r="AF104" s="67">
        <v>0</v>
      </c>
      <c r="AG104" s="66">
        <v>0</v>
      </c>
      <c r="AH104" s="67">
        <v>0</v>
      </c>
      <c r="AI104" s="66">
        <v>0</v>
      </c>
      <c r="AJ104" s="66">
        <v>0</v>
      </c>
      <c r="AK104" s="66">
        <v>0</v>
      </c>
      <c r="AL104" s="66">
        <v>0</v>
      </c>
      <c r="AM104" s="66">
        <v>0</v>
      </c>
      <c r="AN104" s="66">
        <v>0</v>
      </c>
      <c r="AO104" s="66">
        <v>0</v>
      </c>
      <c r="AP104" s="66">
        <v>0</v>
      </c>
      <c r="AQ104" s="66">
        <v>0</v>
      </c>
      <c r="AR104" s="66">
        <v>0</v>
      </c>
      <c r="AS104" s="66">
        <v>0</v>
      </c>
      <c r="AT104" s="67" t="s">
        <v>1230</v>
      </c>
      <c r="AU104" s="67" t="s">
        <v>1230</v>
      </c>
      <c r="AV104" s="67">
        <v>0</v>
      </c>
      <c r="AW104" s="66">
        <v>0</v>
      </c>
      <c r="AX104" s="67">
        <v>0</v>
      </c>
    </row>
    <row r="105" spans="1:50" ht="15.6" x14ac:dyDescent="0.3">
      <c r="A105" s="169">
        <v>93</v>
      </c>
      <c r="B105" s="205" t="s">
        <v>254</v>
      </c>
      <c r="C105" s="66">
        <v>0</v>
      </c>
      <c r="D105" s="66">
        <v>0</v>
      </c>
      <c r="E105" s="66">
        <v>0</v>
      </c>
      <c r="F105" s="66">
        <v>0</v>
      </c>
      <c r="G105" s="66">
        <v>0</v>
      </c>
      <c r="H105" s="66">
        <v>0</v>
      </c>
      <c r="I105" s="66">
        <v>0</v>
      </c>
      <c r="J105" s="66">
        <v>0</v>
      </c>
      <c r="K105" s="66">
        <v>0</v>
      </c>
      <c r="L105" s="66">
        <v>0</v>
      </c>
      <c r="M105" s="66">
        <v>0</v>
      </c>
      <c r="N105" s="67" t="s">
        <v>1230</v>
      </c>
      <c r="O105" s="67" t="s">
        <v>1230</v>
      </c>
      <c r="P105" s="67">
        <v>0</v>
      </c>
      <c r="Q105" s="66">
        <v>0</v>
      </c>
      <c r="R105" s="67">
        <v>0</v>
      </c>
      <c r="S105" s="66">
        <v>0</v>
      </c>
      <c r="T105" s="66">
        <v>0</v>
      </c>
      <c r="U105" s="66">
        <v>0</v>
      </c>
      <c r="V105" s="66">
        <v>0</v>
      </c>
      <c r="W105" s="66">
        <v>0</v>
      </c>
      <c r="X105" s="66">
        <v>0</v>
      </c>
      <c r="Y105" s="66">
        <v>0</v>
      </c>
      <c r="Z105" s="66">
        <v>0</v>
      </c>
      <c r="AA105" s="66">
        <v>0</v>
      </c>
      <c r="AB105" s="66">
        <v>0</v>
      </c>
      <c r="AC105" s="66">
        <v>0</v>
      </c>
      <c r="AD105" s="67" t="s">
        <v>1230</v>
      </c>
      <c r="AE105" s="67" t="s">
        <v>1230</v>
      </c>
      <c r="AF105" s="67">
        <v>0</v>
      </c>
      <c r="AG105" s="66">
        <v>0</v>
      </c>
      <c r="AH105" s="67">
        <v>0</v>
      </c>
      <c r="AI105" s="66">
        <v>0</v>
      </c>
      <c r="AJ105" s="66">
        <v>0</v>
      </c>
      <c r="AK105" s="66">
        <v>0</v>
      </c>
      <c r="AL105" s="66">
        <v>0</v>
      </c>
      <c r="AM105" s="66">
        <v>0</v>
      </c>
      <c r="AN105" s="66">
        <v>0</v>
      </c>
      <c r="AO105" s="66">
        <v>0</v>
      </c>
      <c r="AP105" s="66">
        <v>0</v>
      </c>
      <c r="AQ105" s="66">
        <v>0</v>
      </c>
      <c r="AR105" s="66">
        <v>0</v>
      </c>
      <c r="AS105" s="66">
        <v>0</v>
      </c>
      <c r="AT105" s="67" t="s">
        <v>1230</v>
      </c>
      <c r="AU105" s="67" t="s">
        <v>1230</v>
      </c>
      <c r="AV105" s="67">
        <v>0</v>
      </c>
      <c r="AW105" s="66">
        <v>0</v>
      </c>
      <c r="AX105" s="67">
        <v>0</v>
      </c>
    </row>
    <row r="106" spans="1:50" ht="15.6" x14ac:dyDescent="0.3">
      <c r="A106" s="169">
        <v>94</v>
      </c>
      <c r="B106" s="205" t="s">
        <v>256</v>
      </c>
      <c r="C106" s="66">
        <v>0</v>
      </c>
      <c r="D106" s="66">
        <v>0</v>
      </c>
      <c r="E106" s="66">
        <v>0</v>
      </c>
      <c r="F106" s="66">
        <v>0</v>
      </c>
      <c r="G106" s="66">
        <v>0</v>
      </c>
      <c r="H106" s="66">
        <v>0</v>
      </c>
      <c r="I106" s="66">
        <v>0</v>
      </c>
      <c r="J106" s="66">
        <v>0</v>
      </c>
      <c r="K106" s="66">
        <v>0</v>
      </c>
      <c r="L106" s="66">
        <v>0</v>
      </c>
      <c r="M106" s="66">
        <v>0</v>
      </c>
      <c r="N106" s="67" t="s">
        <v>1230</v>
      </c>
      <c r="O106" s="67" t="s">
        <v>1230</v>
      </c>
      <c r="P106" s="67">
        <v>0</v>
      </c>
      <c r="Q106" s="66">
        <v>0</v>
      </c>
      <c r="R106" s="67">
        <v>0</v>
      </c>
      <c r="S106" s="66">
        <v>0</v>
      </c>
      <c r="T106" s="66">
        <v>0</v>
      </c>
      <c r="U106" s="66">
        <v>0</v>
      </c>
      <c r="V106" s="66">
        <v>0</v>
      </c>
      <c r="W106" s="66">
        <v>0</v>
      </c>
      <c r="X106" s="66">
        <v>0</v>
      </c>
      <c r="Y106" s="66">
        <v>0</v>
      </c>
      <c r="Z106" s="66">
        <v>0</v>
      </c>
      <c r="AA106" s="66">
        <v>0</v>
      </c>
      <c r="AB106" s="66">
        <v>0</v>
      </c>
      <c r="AC106" s="66">
        <v>0</v>
      </c>
      <c r="AD106" s="67" t="s">
        <v>1230</v>
      </c>
      <c r="AE106" s="67" t="s">
        <v>1230</v>
      </c>
      <c r="AF106" s="67">
        <v>0</v>
      </c>
      <c r="AG106" s="66">
        <v>0</v>
      </c>
      <c r="AH106" s="67">
        <v>0</v>
      </c>
      <c r="AI106" s="66">
        <v>0</v>
      </c>
      <c r="AJ106" s="66">
        <v>0</v>
      </c>
      <c r="AK106" s="66">
        <v>0</v>
      </c>
      <c r="AL106" s="66">
        <v>0</v>
      </c>
      <c r="AM106" s="66">
        <v>0</v>
      </c>
      <c r="AN106" s="66">
        <v>0</v>
      </c>
      <c r="AO106" s="66">
        <v>0</v>
      </c>
      <c r="AP106" s="66">
        <v>0</v>
      </c>
      <c r="AQ106" s="66">
        <v>0</v>
      </c>
      <c r="AR106" s="66">
        <v>0</v>
      </c>
      <c r="AS106" s="66">
        <v>0</v>
      </c>
      <c r="AT106" s="67" t="s">
        <v>1230</v>
      </c>
      <c r="AU106" s="67" t="s">
        <v>1230</v>
      </c>
      <c r="AV106" s="67">
        <v>0</v>
      </c>
      <c r="AW106" s="66">
        <v>0</v>
      </c>
      <c r="AX106" s="67">
        <v>0</v>
      </c>
    </row>
  </sheetData>
  <mergeCells count="48">
    <mergeCell ref="D5:E5"/>
    <mergeCell ref="Z9:AC9"/>
    <mergeCell ref="AD9:AE10"/>
    <mergeCell ref="S7:AH8"/>
    <mergeCell ref="S9:S11"/>
    <mergeCell ref="T9:T11"/>
    <mergeCell ref="U9:W9"/>
    <mergeCell ref="X9:X11"/>
    <mergeCell ref="AH9:AH11"/>
    <mergeCell ref="U10:U11"/>
    <mergeCell ref="V10:W10"/>
    <mergeCell ref="Z10:Z11"/>
    <mergeCell ref="AF9:AF11"/>
    <mergeCell ref="A7:A11"/>
    <mergeCell ref="B7:B11"/>
    <mergeCell ref="C7:R8"/>
    <mergeCell ref="C9:C11"/>
    <mergeCell ref="D9:D11"/>
    <mergeCell ref="E9:G9"/>
    <mergeCell ref="H9:H11"/>
    <mergeCell ref="I9:I11"/>
    <mergeCell ref="J9:M9"/>
    <mergeCell ref="N9:O10"/>
    <mergeCell ref="P9:P11"/>
    <mergeCell ref="Q9:Q11"/>
    <mergeCell ref="R9:R11"/>
    <mergeCell ref="AK10:AK11"/>
    <mergeCell ref="AL10:AM10"/>
    <mergeCell ref="AP10:AP11"/>
    <mergeCell ref="AQ10:AS10"/>
    <mergeCell ref="AK9:AM9"/>
    <mergeCell ref="AN9:AN11"/>
    <mergeCell ref="AO9:AO11"/>
    <mergeCell ref="AP9:AS9"/>
    <mergeCell ref="AT9:AU10"/>
    <mergeCell ref="AV9:AV11"/>
    <mergeCell ref="AW9:AW11"/>
    <mergeCell ref="AG9:AG11"/>
    <mergeCell ref="AX9:AX11"/>
    <mergeCell ref="E10:E11"/>
    <mergeCell ref="F10:G10"/>
    <mergeCell ref="J10:J11"/>
    <mergeCell ref="K10:M10"/>
    <mergeCell ref="AI7:AX8"/>
    <mergeCell ref="AI9:AI11"/>
    <mergeCell ref="AJ9:AJ11"/>
    <mergeCell ref="AA10:AC10"/>
    <mergeCell ref="Y9:Y11"/>
  </mergeCells>
  <printOptions horizontalCentered="1"/>
  <pageMargins left="0.11811023622047245" right="0.11811023622047245" top="0.35433070866141736" bottom="0.11811023622047245" header="0.31496062992125984" footer="0.31496062992125984"/>
  <pageSetup paperSize="9" scale="42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7"/>
  <dimension ref="A1:R107"/>
  <sheetViews>
    <sheetView view="pageBreakPreview" zoomScale="60" zoomScaleNormal="60" workbookViewId="0">
      <pane xSplit="2" ySplit="12" topLeftCell="C13" activePane="bottomRight" state="frozen"/>
      <selection activeCell="D21" sqref="D21"/>
      <selection pane="topRight" activeCell="D21" sqref="D21"/>
      <selection pane="bottomLeft" activeCell="D21" sqref="D21"/>
      <selection pane="bottomRight" activeCell="H14" sqref="H14"/>
    </sheetView>
  </sheetViews>
  <sheetFormatPr defaultColWidth="9.109375" defaultRowHeight="14.4" outlineLevelCol="1" x14ac:dyDescent="0.3"/>
  <cols>
    <col min="1" max="1" width="5" style="126" customWidth="1"/>
    <col min="2" max="2" width="31.88671875" style="126" customWidth="1"/>
    <col min="3" max="4" width="18.6640625" style="126" customWidth="1"/>
    <col min="5" max="6" width="18.6640625" style="126" customWidth="1" outlineLevel="1"/>
    <col min="7" max="15" width="18.6640625" style="126" customWidth="1"/>
    <col min="16" max="18" width="18.6640625" style="126" customWidth="1" outlineLevel="1"/>
    <col min="19" max="16384" width="9.109375" style="126"/>
  </cols>
  <sheetData>
    <row r="1" spans="1:18" ht="15.6" x14ac:dyDescent="0.3">
      <c r="B1" s="127"/>
    </row>
    <row r="2" spans="1:18" ht="14.4" customHeight="1" x14ac:dyDescent="0.3">
      <c r="C2" s="254"/>
      <c r="D2" s="252"/>
      <c r="E2" s="252"/>
      <c r="F2" s="252"/>
      <c r="G2" s="252"/>
      <c r="H2" s="252"/>
      <c r="I2" s="252"/>
      <c r="J2" s="252"/>
      <c r="K2" s="252"/>
      <c r="L2" s="252"/>
    </row>
    <row r="3" spans="1:18" ht="20.399999999999999" x14ac:dyDescent="0.35">
      <c r="A3" s="128"/>
      <c r="B3" s="128"/>
      <c r="C3" s="252"/>
      <c r="D3" s="252"/>
      <c r="E3" s="252"/>
      <c r="F3" s="252"/>
      <c r="G3" s="252"/>
      <c r="H3" s="252"/>
      <c r="I3" s="252"/>
      <c r="J3" s="252"/>
      <c r="K3" s="252"/>
      <c r="L3" s="252"/>
      <c r="M3" s="38"/>
      <c r="N3" s="38"/>
      <c r="O3" s="38"/>
      <c r="P3" s="38"/>
    </row>
    <row r="4" spans="1:18" ht="20.25" customHeight="1" x14ac:dyDescent="0.35">
      <c r="A4" s="128"/>
      <c r="B4" s="128"/>
      <c r="C4" s="252"/>
      <c r="D4" s="252"/>
      <c r="E4" s="252"/>
      <c r="F4" s="252"/>
      <c r="G4" s="252"/>
      <c r="H4" s="252"/>
      <c r="I4" s="252"/>
      <c r="J4" s="252"/>
      <c r="K4" s="252"/>
      <c r="L4" s="252"/>
      <c r="M4" s="38"/>
      <c r="N4" s="38"/>
      <c r="O4" s="38"/>
      <c r="P4" s="38"/>
    </row>
    <row r="5" spans="1:18" ht="20.399999999999999" x14ac:dyDescent="0.35">
      <c r="A5" s="128"/>
      <c r="B5" s="128"/>
      <c r="D5" s="322" t="s">
        <v>1231</v>
      </c>
      <c r="E5" s="322"/>
      <c r="F5" s="257"/>
      <c r="G5" s="42"/>
      <c r="H5" s="43"/>
      <c r="I5" s="43"/>
    </row>
    <row r="6" spans="1:18" ht="15.6" x14ac:dyDescent="0.3">
      <c r="B6" s="44" t="s">
        <v>1229</v>
      </c>
      <c r="C6" s="76"/>
      <c r="Q6" s="76"/>
      <c r="R6" s="76"/>
    </row>
    <row r="7" spans="1:18" x14ac:dyDescent="0.3">
      <c r="A7" s="326" t="s">
        <v>284</v>
      </c>
      <c r="B7" s="337" t="s">
        <v>285</v>
      </c>
      <c r="C7" s="344" t="s">
        <v>1204</v>
      </c>
      <c r="D7" s="345"/>
      <c r="E7" s="345"/>
      <c r="F7" s="345"/>
      <c r="G7" s="345"/>
      <c r="H7" s="345"/>
      <c r="I7" s="345"/>
      <c r="J7" s="345"/>
      <c r="K7" s="345"/>
      <c r="L7" s="345"/>
      <c r="M7" s="345"/>
      <c r="N7" s="345"/>
      <c r="O7" s="345"/>
      <c r="P7" s="345"/>
      <c r="Q7" s="345"/>
      <c r="R7" s="345"/>
    </row>
    <row r="8" spans="1:18" ht="9.75" customHeight="1" x14ac:dyDescent="0.3">
      <c r="A8" s="326"/>
      <c r="B8" s="337"/>
      <c r="C8" s="344"/>
      <c r="D8" s="345"/>
      <c r="E8" s="345"/>
      <c r="F8" s="345"/>
      <c r="G8" s="345"/>
      <c r="H8" s="345"/>
      <c r="I8" s="345"/>
      <c r="J8" s="345"/>
      <c r="K8" s="345"/>
      <c r="L8" s="345"/>
      <c r="M8" s="345"/>
      <c r="N8" s="345"/>
      <c r="O8" s="345"/>
      <c r="P8" s="345"/>
      <c r="Q8" s="345"/>
      <c r="R8" s="345"/>
    </row>
    <row r="9" spans="1:18" ht="14.4" customHeight="1" x14ac:dyDescent="0.3">
      <c r="A9" s="326"/>
      <c r="B9" s="326"/>
      <c r="C9" s="265" t="s">
        <v>1052</v>
      </c>
      <c r="D9" s="302" t="s">
        <v>1053</v>
      </c>
      <c r="E9" s="302" t="s">
        <v>287</v>
      </c>
      <c r="F9" s="302"/>
      <c r="G9" s="302"/>
      <c r="H9" s="302" t="s">
        <v>312</v>
      </c>
      <c r="I9" s="302" t="s">
        <v>262</v>
      </c>
      <c r="J9" s="302" t="s">
        <v>288</v>
      </c>
      <c r="K9" s="302"/>
      <c r="L9" s="302"/>
      <c r="M9" s="302"/>
      <c r="N9" s="317" t="s">
        <v>289</v>
      </c>
      <c r="O9" s="317"/>
      <c r="P9" s="302" t="s">
        <v>290</v>
      </c>
      <c r="Q9" s="302" t="s">
        <v>266</v>
      </c>
      <c r="R9" s="269" t="s">
        <v>291</v>
      </c>
    </row>
    <row r="10" spans="1:18" x14ac:dyDescent="0.3">
      <c r="A10" s="326"/>
      <c r="B10" s="326"/>
      <c r="C10" s="265"/>
      <c r="D10" s="269"/>
      <c r="E10" s="269" t="s">
        <v>292</v>
      </c>
      <c r="F10" s="269" t="s">
        <v>293</v>
      </c>
      <c r="G10" s="269"/>
      <c r="H10" s="269"/>
      <c r="I10" s="269"/>
      <c r="J10" s="269" t="s">
        <v>292</v>
      </c>
      <c r="K10" s="269" t="s">
        <v>294</v>
      </c>
      <c r="L10" s="269"/>
      <c r="M10" s="269"/>
      <c r="N10" s="318"/>
      <c r="O10" s="318"/>
      <c r="P10" s="269"/>
      <c r="Q10" s="269"/>
      <c r="R10" s="269"/>
    </row>
    <row r="11" spans="1:18" ht="96.6" x14ac:dyDescent="0.3">
      <c r="A11" s="326"/>
      <c r="B11" s="326"/>
      <c r="C11" s="302"/>
      <c r="D11" s="269"/>
      <c r="E11" s="269"/>
      <c r="F11" s="160" t="s">
        <v>259</v>
      </c>
      <c r="G11" s="160" t="s">
        <v>260</v>
      </c>
      <c r="H11" s="269"/>
      <c r="I11" s="269"/>
      <c r="J11" s="269"/>
      <c r="K11" s="160" t="s">
        <v>264</v>
      </c>
      <c r="L11" s="160" t="s">
        <v>303</v>
      </c>
      <c r="M11" s="160" t="s">
        <v>260</v>
      </c>
      <c r="N11" s="160" t="s">
        <v>911</v>
      </c>
      <c r="O11" s="160" t="s">
        <v>295</v>
      </c>
      <c r="P11" s="269"/>
      <c r="Q11" s="269"/>
      <c r="R11" s="269"/>
    </row>
    <row r="12" spans="1:18" ht="36" customHeight="1" x14ac:dyDescent="0.3">
      <c r="A12" s="216" t="s">
        <v>2</v>
      </c>
      <c r="B12" s="200" t="s">
        <v>3</v>
      </c>
      <c r="C12" s="53">
        <v>5373.0000000000009</v>
      </c>
      <c r="D12" s="53">
        <v>0</v>
      </c>
      <c r="E12" s="53">
        <v>5679.1077035500002</v>
      </c>
      <c r="F12" s="53">
        <v>5373.0000000000009</v>
      </c>
      <c r="G12" s="53">
        <v>306.10770355000005</v>
      </c>
      <c r="H12" s="53">
        <v>5353.9372579000001</v>
      </c>
      <c r="I12" s="53">
        <v>0</v>
      </c>
      <c r="J12" s="53">
        <v>5659.3621722293901</v>
      </c>
      <c r="K12" s="53">
        <v>5353.9372579000001</v>
      </c>
      <c r="L12" s="53">
        <v>0</v>
      </c>
      <c r="M12" s="53">
        <v>305.42491432939005</v>
      </c>
      <c r="N12" s="53">
        <v>99.645212319002411</v>
      </c>
      <c r="O12" s="53">
        <v>99.776944777053458</v>
      </c>
      <c r="P12" s="53">
        <v>5.3968080683741464</v>
      </c>
      <c r="Q12" s="53">
        <v>0</v>
      </c>
      <c r="R12" s="225">
        <v>0</v>
      </c>
    </row>
    <row r="13" spans="1:18" ht="15.6" hidden="1" x14ac:dyDescent="0.3">
      <c r="A13" s="216"/>
      <c r="B13" s="55" t="s">
        <v>296</v>
      </c>
      <c r="C13" s="80"/>
      <c r="D13" s="53"/>
      <c r="E13" s="53"/>
      <c r="F13" s="8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225"/>
    </row>
    <row r="14" spans="1:18" ht="15.6" x14ac:dyDescent="0.3">
      <c r="A14" s="217" t="s">
        <v>6</v>
      </c>
      <c r="B14" s="203" t="s">
        <v>7</v>
      </c>
      <c r="C14" s="61">
        <v>884.5394</v>
      </c>
      <c r="D14" s="61">
        <v>0</v>
      </c>
      <c r="E14" s="61">
        <v>929.31058032999988</v>
      </c>
      <c r="F14" s="61">
        <v>884.5394</v>
      </c>
      <c r="G14" s="61">
        <v>44.77118033</v>
      </c>
      <c r="H14" s="61">
        <v>883.51011875999984</v>
      </c>
      <c r="I14" s="61">
        <v>0</v>
      </c>
      <c r="J14" s="61">
        <v>928.23390877999998</v>
      </c>
      <c r="K14" s="61">
        <v>883.51011875999984</v>
      </c>
      <c r="L14" s="61">
        <v>0</v>
      </c>
      <c r="M14" s="61">
        <v>44.723790019999996</v>
      </c>
      <c r="N14" s="61">
        <v>99.883636473400713</v>
      </c>
      <c r="O14" s="61">
        <v>99.894149965109918</v>
      </c>
      <c r="P14" s="61">
        <v>4.8181594743486089</v>
      </c>
      <c r="Q14" s="61">
        <v>0</v>
      </c>
      <c r="R14" s="226">
        <v>0</v>
      </c>
    </row>
    <row r="15" spans="1:18" ht="15.6" x14ac:dyDescent="0.3">
      <c r="A15" s="218" t="s">
        <v>9</v>
      </c>
      <c r="B15" s="205" t="s">
        <v>10</v>
      </c>
      <c r="C15" s="66">
        <v>95.104299999999995</v>
      </c>
      <c r="D15" s="66">
        <v>0</v>
      </c>
      <c r="E15" s="66">
        <v>99.066999999999993</v>
      </c>
      <c r="F15" s="66">
        <v>95.104299999999995</v>
      </c>
      <c r="G15" s="66">
        <v>3.9626999999999999</v>
      </c>
      <c r="H15" s="66">
        <v>95.104299999999995</v>
      </c>
      <c r="I15" s="66">
        <v>0</v>
      </c>
      <c r="J15" s="66">
        <v>99.066999999999993</v>
      </c>
      <c r="K15" s="66">
        <v>95.104299999999995</v>
      </c>
      <c r="L15" s="66">
        <v>0</v>
      </c>
      <c r="M15" s="66">
        <v>3.9626999999999999</v>
      </c>
      <c r="N15" s="67">
        <v>100</v>
      </c>
      <c r="O15" s="67">
        <v>100</v>
      </c>
      <c r="P15" s="67">
        <v>4.0000201883573752</v>
      </c>
      <c r="Q15" s="66">
        <v>0</v>
      </c>
      <c r="R15" s="237">
        <v>0</v>
      </c>
    </row>
    <row r="16" spans="1:18" ht="15.6" x14ac:dyDescent="0.3">
      <c r="A16" s="218" t="s">
        <v>12</v>
      </c>
      <c r="B16" s="205" t="s">
        <v>13</v>
      </c>
      <c r="C16" s="66">
        <v>33.648400000000002</v>
      </c>
      <c r="D16" s="66">
        <v>0</v>
      </c>
      <c r="E16" s="66">
        <v>33.988282829999996</v>
      </c>
      <c r="F16" s="66">
        <v>33.648400000000002</v>
      </c>
      <c r="G16" s="66">
        <v>0.33988283000000002</v>
      </c>
      <c r="H16" s="66">
        <v>33.648400000000002</v>
      </c>
      <c r="I16" s="66">
        <v>0</v>
      </c>
      <c r="J16" s="66">
        <v>33.988282829999996</v>
      </c>
      <c r="K16" s="66">
        <v>33.648400000000002</v>
      </c>
      <c r="L16" s="66">
        <v>0</v>
      </c>
      <c r="M16" s="66">
        <v>0.33988283000000002</v>
      </c>
      <c r="N16" s="67">
        <v>100</v>
      </c>
      <c r="O16" s="67">
        <v>100</v>
      </c>
      <c r="P16" s="67">
        <v>1.0000000050017239</v>
      </c>
      <c r="Q16" s="66">
        <v>0</v>
      </c>
      <c r="R16" s="237">
        <v>0</v>
      </c>
    </row>
    <row r="17" spans="1:18" ht="15.6" x14ac:dyDescent="0.3">
      <c r="A17" s="218" t="s">
        <v>15</v>
      </c>
      <c r="B17" s="205" t="s">
        <v>16</v>
      </c>
      <c r="C17" s="66">
        <v>48.114600000000003</v>
      </c>
      <c r="D17" s="66">
        <v>0</v>
      </c>
      <c r="E17" s="66">
        <v>49.096600000000002</v>
      </c>
      <c r="F17" s="66">
        <v>48.114600000000003</v>
      </c>
      <c r="G17" s="66">
        <v>0.98199999999999998</v>
      </c>
      <c r="H17" s="66">
        <v>48.114600000000003</v>
      </c>
      <c r="I17" s="66">
        <v>0</v>
      </c>
      <c r="J17" s="66">
        <v>49.096600000000002</v>
      </c>
      <c r="K17" s="66">
        <v>48.114600000000003</v>
      </c>
      <c r="L17" s="66">
        <v>0</v>
      </c>
      <c r="M17" s="66">
        <v>0.98199999999999998</v>
      </c>
      <c r="N17" s="67">
        <v>100</v>
      </c>
      <c r="O17" s="67">
        <v>100</v>
      </c>
      <c r="P17" s="67">
        <v>2.0001385024624918</v>
      </c>
      <c r="Q17" s="66">
        <v>0</v>
      </c>
      <c r="R17" s="237">
        <v>0</v>
      </c>
    </row>
    <row r="18" spans="1:18" ht="15.6" x14ac:dyDescent="0.3">
      <c r="A18" s="218" t="s">
        <v>18</v>
      </c>
      <c r="B18" s="205" t="s">
        <v>19</v>
      </c>
      <c r="C18" s="66">
        <v>48.214100000000002</v>
      </c>
      <c r="D18" s="66">
        <v>0</v>
      </c>
      <c r="E18" s="66">
        <v>49.19806122</v>
      </c>
      <c r="F18" s="66">
        <v>48.214100000000002</v>
      </c>
      <c r="G18" s="66">
        <v>0.98396121999999997</v>
      </c>
      <c r="H18" s="66">
        <v>48.214100000000002</v>
      </c>
      <c r="I18" s="66">
        <v>0</v>
      </c>
      <c r="J18" s="66">
        <v>49.19806122</v>
      </c>
      <c r="K18" s="66">
        <v>48.214100000000002</v>
      </c>
      <c r="L18" s="66">
        <v>0</v>
      </c>
      <c r="M18" s="66">
        <v>0.98396121999999997</v>
      </c>
      <c r="N18" s="67">
        <v>100</v>
      </c>
      <c r="O18" s="67">
        <v>100</v>
      </c>
      <c r="P18" s="67">
        <v>1.9999999910565582</v>
      </c>
      <c r="Q18" s="66">
        <v>0</v>
      </c>
      <c r="R18" s="237">
        <v>0</v>
      </c>
    </row>
    <row r="19" spans="1:18" ht="15.6" x14ac:dyDescent="0.3">
      <c r="A19" s="218" t="s">
        <v>21</v>
      </c>
      <c r="B19" s="205" t="s">
        <v>22</v>
      </c>
      <c r="C19" s="66">
        <v>53.421500000000002</v>
      </c>
      <c r="D19" s="66">
        <v>0</v>
      </c>
      <c r="E19" s="66">
        <v>53.961111100000004</v>
      </c>
      <c r="F19" s="66">
        <v>53.421500000000002</v>
      </c>
      <c r="G19" s="66">
        <v>0.53961110000000001</v>
      </c>
      <c r="H19" s="66">
        <v>53.421500000000002</v>
      </c>
      <c r="I19" s="66">
        <v>0</v>
      </c>
      <c r="J19" s="66">
        <v>53.961111100000004</v>
      </c>
      <c r="K19" s="66">
        <v>53.421500000000002</v>
      </c>
      <c r="L19" s="66">
        <v>0</v>
      </c>
      <c r="M19" s="66">
        <v>0.53961110000000001</v>
      </c>
      <c r="N19" s="67">
        <v>100</v>
      </c>
      <c r="O19" s="67">
        <v>100</v>
      </c>
      <c r="P19" s="67">
        <v>0.99999997961494891</v>
      </c>
      <c r="Q19" s="66">
        <v>0</v>
      </c>
      <c r="R19" s="67">
        <v>0</v>
      </c>
    </row>
    <row r="20" spans="1:18" ht="15.6" x14ac:dyDescent="0.3">
      <c r="A20" s="218" t="s">
        <v>24</v>
      </c>
      <c r="B20" s="205" t="s">
        <v>25</v>
      </c>
      <c r="C20" s="66">
        <v>79.109800000000007</v>
      </c>
      <c r="D20" s="66">
        <v>0</v>
      </c>
      <c r="E20" s="66">
        <v>82.406041670000008</v>
      </c>
      <c r="F20" s="66">
        <v>79.109800000000007</v>
      </c>
      <c r="G20" s="66">
        <v>3.2962416700000001</v>
      </c>
      <c r="H20" s="66">
        <v>79.109800000000007</v>
      </c>
      <c r="I20" s="66">
        <v>0</v>
      </c>
      <c r="J20" s="66">
        <v>82.406041670000008</v>
      </c>
      <c r="K20" s="66">
        <v>79.109800000000007</v>
      </c>
      <c r="L20" s="66">
        <v>0</v>
      </c>
      <c r="M20" s="66">
        <v>3.2962416700000001</v>
      </c>
      <c r="N20" s="67">
        <v>100</v>
      </c>
      <c r="O20" s="67">
        <v>100</v>
      </c>
      <c r="P20" s="67">
        <v>4.0000000038832102</v>
      </c>
      <c r="Q20" s="66">
        <v>0</v>
      </c>
      <c r="R20" s="67">
        <v>0</v>
      </c>
    </row>
    <row r="21" spans="1:18" ht="15.6" x14ac:dyDescent="0.3">
      <c r="A21" s="218" t="s">
        <v>27</v>
      </c>
      <c r="B21" s="205" t="s">
        <v>28</v>
      </c>
      <c r="C21" s="66">
        <v>53.1631</v>
      </c>
      <c r="D21" s="66">
        <v>0</v>
      </c>
      <c r="E21" s="66">
        <v>53.700299999999999</v>
      </c>
      <c r="F21" s="66">
        <v>53.1631</v>
      </c>
      <c r="G21" s="66">
        <v>0.53720000000000001</v>
      </c>
      <c r="H21" s="66">
        <v>53.163012159999994</v>
      </c>
      <c r="I21" s="66">
        <v>0</v>
      </c>
      <c r="J21" s="66">
        <v>53.700200029999998</v>
      </c>
      <c r="K21" s="66">
        <v>53.163012159999994</v>
      </c>
      <c r="L21" s="66">
        <v>0</v>
      </c>
      <c r="M21" s="66">
        <v>0.53718787000000001</v>
      </c>
      <c r="N21" s="67">
        <v>99.999834772614832</v>
      </c>
      <c r="O21" s="67">
        <v>99.99774199553238</v>
      </c>
      <c r="P21" s="67">
        <v>1.0003461247814649</v>
      </c>
      <c r="Q21" s="66">
        <v>0</v>
      </c>
      <c r="R21" s="67">
        <v>0</v>
      </c>
    </row>
    <row r="22" spans="1:18" ht="15.6" x14ac:dyDescent="0.3">
      <c r="A22" s="218" t="s">
        <v>30</v>
      </c>
      <c r="B22" s="205" t="s">
        <v>31</v>
      </c>
      <c r="C22" s="66">
        <v>41.134900000000002</v>
      </c>
      <c r="D22" s="66">
        <v>0</v>
      </c>
      <c r="E22" s="66">
        <v>41.974387999999998</v>
      </c>
      <c r="F22" s="66">
        <v>41.134900000000002</v>
      </c>
      <c r="G22" s="66">
        <v>0.83948800000000001</v>
      </c>
      <c r="H22" s="66">
        <v>41.134900000000002</v>
      </c>
      <c r="I22" s="66">
        <v>0</v>
      </c>
      <c r="J22" s="66">
        <v>41.974387999999998</v>
      </c>
      <c r="K22" s="66">
        <v>41.134900000000002</v>
      </c>
      <c r="L22" s="66">
        <v>0</v>
      </c>
      <c r="M22" s="66">
        <v>0.83948800000000001</v>
      </c>
      <c r="N22" s="67">
        <v>100</v>
      </c>
      <c r="O22" s="67">
        <v>100</v>
      </c>
      <c r="P22" s="67">
        <v>2.0000005717772469</v>
      </c>
      <c r="Q22" s="66">
        <v>0</v>
      </c>
      <c r="R22" s="67">
        <v>0</v>
      </c>
    </row>
    <row r="23" spans="1:18" ht="15.6" x14ac:dyDescent="0.3">
      <c r="A23" s="218" t="s">
        <v>33</v>
      </c>
      <c r="B23" s="205" t="s">
        <v>34</v>
      </c>
      <c r="C23" s="66">
        <v>114.8202</v>
      </c>
      <c r="D23" s="66">
        <v>0</v>
      </c>
      <c r="E23" s="66">
        <v>123.78849542</v>
      </c>
      <c r="F23" s="66">
        <v>114.8202</v>
      </c>
      <c r="G23" s="66">
        <v>8.9682954200000005</v>
      </c>
      <c r="H23" s="66">
        <v>114.8202</v>
      </c>
      <c r="I23" s="66">
        <v>0</v>
      </c>
      <c r="J23" s="66">
        <v>123.78849542</v>
      </c>
      <c r="K23" s="66">
        <v>114.8202</v>
      </c>
      <c r="L23" s="66">
        <v>0</v>
      </c>
      <c r="M23" s="66">
        <v>8.9682954200000005</v>
      </c>
      <c r="N23" s="67">
        <v>100</v>
      </c>
      <c r="O23" s="67">
        <v>100</v>
      </c>
      <c r="P23" s="67">
        <v>7.2448537237419481</v>
      </c>
      <c r="Q23" s="66">
        <v>0</v>
      </c>
      <c r="R23" s="67">
        <v>0</v>
      </c>
    </row>
    <row r="24" spans="1:18" ht="15.6" x14ac:dyDescent="0.3">
      <c r="A24" s="218" t="s">
        <v>36</v>
      </c>
      <c r="B24" s="205" t="s">
        <v>37</v>
      </c>
      <c r="C24" s="66">
        <v>51.157600000000002</v>
      </c>
      <c r="D24" s="66">
        <v>0</v>
      </c>
      <c r="E24" s="66">
        <v>68.2102</v>
      </c>
      <c r="F24" s="66">
        <v>51.157600000000002</v>
      </c>
      <c r="G24" s="66">
        <v>17.052600000000002</v>
      </c>
      <c r="H24" s="66">
        <v>51.118180340000002</v>
      </c>
      <c r="I24" s="66">
        <v>0</v>
      </c>
      <c r="J24" s="66">
        <v>68.157640420000007</v>
      </c>
      <c r="K24" s="66">
        <v>51.118180340000002</v>
      </c>
      <c r="L24" s="66">
        <v>0</v>
      </c>
      <c r="M24" s="66">
        <v>17.039460079999998</v>
      </c>
      <c r="N24" s="67">
        <v>99.922944665113306</v>
      </c>
      <c r="O24" s="67">
        <v>99.922944770885351</v>
      </c>
      <c r="P24" s="67">
        <v>25.000073322667404</v>
      </c>
      <c r="Q24" s="66">
        <v>0</v>
      </c>
      <c r="R24" s="67">
        <v>0</v>
      </c>
    </row>
    <row r="25" spans="1:18" ht="15.6" x14ac:dyDescent="0.3">
      <c r="A25" s="218" t="s">
        <v>39</v>
      </c>
      <c r="B25" s="205" t="s">
        <v>297</v>
      </c>
      <c r="C25" s="66">
        <v>0</v>
      </c>
      <c r="D25" s="66">
        <v>0</v>
      </c>
      <c r="E25" s="66">
        <v>0</v>
      </c>
      <c r="F25" s="66">
        <v>0</v>
      </c>
      <c r="G25" s="66">
        <v>0</v>
      </c>
      <c r="H25" s="66">
        <v>0</v>
      </c>
      <c r="I25" s="66">
        <v>0</v>
      </c>
      <c r="J25" s="66">
        <v>0</v>
      </c>
      <c r="K25" s="66">
        <v>0</v>
      </c>
      <c r="L25" s="66">
        <v>0</v>
      </c>
      <c r="M25" s="66">
        <v>0</v>
      </c>
      <c r="N25" s="67" t="s">
        <v>1230</v>
      </c>
      <c r="O25" s="67" t="s">
        <v>1230</v>
      </c>
      <c r="P25" s="67">
        <v>0</v>
      </c>
      <c r="Q25" s="66">
        <v>0</v>
      </c>
      <c r="R25" s="67">
        <v>0</v>
      </c>
    </row>
    <row r="26" spans="1:18" ht="15.6" x14ac:dyDescent="0.3">
      <c r="A26" s="218" t="s">
        <v>41</v>
      </c>
      <c r="B26" s="205" t="s">
        <v>42</v>
      </c>
      <c r="C26" s="66">
        <v>29.4864</v>
      </c>
      <c r="D26" s="66">
        <v>0</v>
      </c>
      <c r="E26" s="66">
        <v>29.784242420000002</v>
      </c>
      <c r="F26" s="66">
        <v>29.4864</v>
      </c>
      <c r="G26" s="66">
        <v>0.29784242</v>
      </c>
      <c r="H26" s="66">
        <v>29.4864</v>
      </c>
      <c r="I26" s="66">
        <v>0</v>
      </c>
      <c r="J26" s="66">
        <v>29.784242420000002</v>
      </c>
      <c r="K26" s="66">
        <v>29.4864</v>
      </c>
      <c r="L26" s="66">
        <v>0</v>
      </c>
      <c r="M26" s="66">
        <v>0.29784242</v>
      </c>
      <c r="N26" s="67">
        <v>100</v>
      </c>
      <c r="O26" s="67">
        <v>100</v>
      </c>
      <c r="P26" s="67">
        <v>0.99999998589858363</v>
      </c>
      <c r="Q26" s="66">
        <v>0</v>
      </c>
      <c r="R26" s="67">
        <v>0</v>
      </c>
    </row>
    <row r="27" spans="1:18" ht="15.6" x14ac:dyDescent="0.3">
      <c r="A27" s="218" t="s">
        <v>44</v>
      </c>
      <c r="B27" s="205" t="s">
        <v>45</v>
      </c>
      <c r="C27" s="66">
        <v>15.4061</v>
      </c>
      <c r="D27" s="66">
        <v>0</v>
      </c>
      <c r="E27" s="66">
        <v>15.882577320000001</v>
      </c>
      <c r="F27" s="66">
        <v>15.4061</v>
      </c>
      <c r="G27" s="66">
        <v>0.47647731999999998</v>
      </c>
      <c r="H27" s="66">
        <v>15.4061</v>
      </c>
      <c r="I27" s="66">
        <v>0</v>
      </c>
      <c r="J27" s="66">
        <v>15.882577320000001</v>
      </c>
      <c r="K27" s="66">
        <v>15.4061</v>
      </c>
      <c r="L27" s="66">
        <v>0</v>
      </c>
      <c r="M27" s="66">
        <v>0.47647731999999998</v>
      </c>
      <c r="N27" s="67">
        <v>100</v>
      </c>
      <c r="O27" s="67">
        <v>100</v>
      </c>
      <c r="P27" s="67">
        <v>3.0000000025184823</v>
      </c>
      <c r="Q27" s="66">
        <v>0</v>
      </c>
      <c r="R27" s="67">
        <v>0</v>
      </c>
    </row>
    <row r="28" spans="1:18" ht="15.6" x14ac:dyDescent="0.3">
      <c r="A28" s="218" t="s">
        <v>47</v>
      </c>
      <c r="B28" s="205" t="s">
        <v>48</v>
      </c>
      <c r="C28" s="66">
        <v>34.745600000000003</v>
      </c>
      <c r="D28" s="66">
        <v>0</v>
      </c>
      <c r="E28" s="66">
        <v>35.820300000000003</v>
      </c>
      <c r="F28" s="66">
        <v>34.745600000000003</v>
      </c>
      <c r="G28" s="66">
        <v>1.0747</v>
      </c>
      <c r="H28" s="66">
        <v>34.745600000000003</v>
      </c>
      <c r="I28" s="66">
        <v>0</v>
      </c>
      <c r="J28" s="66">
        <v>35.820300000000003</v>
      </c>
      <c r="K28" s="66">
        <v>34.745600000000003</v>
      </c>
      <c r="L28" s="66">
        <v>0</v>
      </c>
      <c r="M28" s="66">
        <v>1.0747</v>
      </c>
      <c r="N28" s="67">
        <v>100</v>
      </c>
      <c r="O28" s="67">
        <v>100</v>
      </c>
      <c r="P28" s="67">
        <v>3.0002540458901792</v>
      </c>
      <c r="Q28" s="66">
        <v>0</v>
      </c>
      <c r="R28" s="67">
        <v>0</v>
      </c>
    </row>
    <row r="29" spans="1:18" ht="15.6" x14ac:dyDescent="0.3">
      <c r="A29" s="218" t="s">
        <v>50</v>
      </c>
      <c r="B29" s="205" t="s">
        <v>51</v>
      </c>
      <c r="C29" s="66">
        <v>79.1922</v>
      </c>
      <c r="D29" s="66">
        <v>0</v>
      </c>
      <c r="E29" s="66">
        <v>80.808367349999997</v>
      </c>
      <c r="F29" s="66">
        <v>79.1922</v>
      </c>
      <c r="G29" s="66">
        <v>1.61616735</v>
      </c>
      <c r="H29" s="66">
        <v>79.1922</v>
      </c>
      <c r="I29" s="66">
        <v>0</v>
      </c>
      <c r="J29" s="66">
        <v>80.808367349999997</v>
      </c>
      <c r="K29" s="66">
        <v>79.1922</v>
      </c>
      <c r="L29" s="66">
        <v>0</v>
      </c>
      <c r="M29" s="66">
        <v>1.61616735</v>
      </c>
      <c r="N29" s="67">
        <v>100</v>
      </c>
      <c r="O29" s="67">
        <v>100</v>
      </c>
      <c r="P29" s="67">
        <v>2.0000000037124868</v>
      </c>
      <c r="Q29" s="66">
        <v>0</v>
      </c>
      <c r="R29" s="67">
        <v>0</v>
      </c>
    </row>
    <row r="30" spans="1:18" ht="15.6" x14ac:dyDescent="0.3">
      <c r="A30" s="218" t="s">
        <v>53</v>
      </c>
      <c r="B30" s="205" t="s">
        <v>54</v>
      </c>
      <c r="C30" s="66">
        <v>64.128</v>
      </c>
      <c r="D30" s="66">
        <v>0</v>
      </c>
      <c r="E30" s="66">
        <v>66.111400000000003</v>
      </c>
      <c r="F30" s="66">
        <v>64.128</v>
      </c>
      <c r="G30" s="66">
        <v>1.9834000000000001</v>
      </c>
      <c r="H30" s="66">
        <v>63.475879280000001</v>
      </c>
      <c r="I30" s="66">
        <v>0</v>
      </c>
      <c r="J30" s="66">
        <v>65.439109999999999</v>
      </c>
      <c r="K30" s="66">
        <v>63.475879280000001</v>
      </c>
      <c r="L30" s="66">
        <v>0</v>
      </c>
      <c r="M30" s="66">
        <v>1.9632307199999999</v>
      </c>
      <c r="N30" s="67">
        <v>98.983095184630741</v>
      </c>
      <c r="O30" s="67">
        <v>98.983095694262374</v>
      </c>
      <c r="P30" s="67">
        <v>3.0000877456921402</v>
      </c>
      <c r="Q30" s="66">
        <v>0</v>
      </c>
      <c r="R30" s="67">
        <v>0</v>
      </c>
    </row>
    <row r="31" spans="1:18" ht="15.6" x14ac:dyDescent="0.3">
      <c r="A31" s="218" t="s">
        <v>56</v>
      </c>
      <c r="B31" s="205" t="s">
        <v>57</v>
      </c>
      <c r="C31" s="66">
        <v>29.148299999999999</v>
      </c>
      <c r="D31" s="66">
        <v>0</v>
      </c>
      <c r="E31" s="66">
        <v>30.3629</v>
      </c>
      <c r="F31" s="66">
        <v>29.148299999999999</v>
      </c>
      <c r="G31" s="66">
        <v>1.2145999999999999</v>
      </c>
      <c r="H31" s="66">
        <v>29.148299999999999</v>
      </c>
      <c r="I31" s="66">
        <v>0</v>
      </c>
      <c r="J31" s="66">
        <v>30.3629</v>
      </c>
      <c r="K31" s="66">
        <v>29.148299999999999</v>
      </c>
      <c r="L31" s="66">
        <v>0</v>
      </c>
      <c r="M31" s="66">
        <v>1.2145999999999999</v>
      </c>
      <c r="N31" s="67">
        <v>100</v>
      </c>
      <c r="O31" s="67">
        <v>100</v>
      </c>
      <c r="P31" s="67">
        <v>4.0002766534158463</v>
      </c>
      <c r="Q31" s="66">
        <v>0</v>
      </c>
      <c r="R31" s="67">
        <v>0</v>
      </c>
    </row>
    <row r="32" spans="1:18" ht="15.6" x14ac:dyDescent="0.3">
      <c r="A32" s="218" t="s">
        <v>59</v>
      </c>
      <c r="B32" s="205" t="s">
        <v>60</v>
      </c>
      <c r="C32" s="66">
        <v>14.5443</v>
      </c>
      <c r="D32" s="66">
        <v>0</v>
      </c>
      <c r="E32" s="66">
        <v>15.150313000000001</v>
      </c>
      <c r="F32" s="66">
        <v>14.5443</v>
      </c>
      <c r="G32" s="66">
        <v>0.60601300000000002</v>
      </c>
      <c r="H32" s="66">
        <v>14.20664698</v>
      </c>
      <c r="I32" s="66">
        <v>0</v>
      </c>
      <c r="J32" s="66">
        <v>14.798591</v>
      </c>
      <c r="K32" s="66">
        <v>14.20664698</v>
      </c>
      <c r="L32" s="66">
        <v>0</v>
      </c>
      <c r="M32" s="66">
        <v>0.59194402000000002</v>
      </c>
      <c r="N32" s="67">
        <v>97.678451214565172</v>
      </c>
      <c r="O32" s="67">
        <v>97.678435941143178</v>
      </c>
      <c r="P32" s="67">
        <v>4.0000025678120306</v>
      </c>
      <c r="Q32" s="66">
        <v>0</v>
      </c>
      <c r="R32" s="67">
        <v>0</v>
      </c>
    </row>
    <row r="33" spans="1:18" ht="15.6" x14ac:dyDescent="0.3">
      <c r="A33" s="217" t="s">
        <v>62</v>
      </c>
      <c r="B33" s="203" t="s">
        <v>63</v>
      </c>
      <c r="C33" s="61">
        <v>289.18050000000005</v>
      </c>
      <c r="D33" s="61">
        <v>0</v>
      </c>
      <c r="E33" s="61">
        <v>305.56540603999997</v>
      </c>
      <c r="F33" s="61">
        <v>289.18050000000005</v>
      </c>
      <c r="G33" s="61">
        <v>16.384906040000001</v>
      </c>
      <c r="H33" s="61">
        <v>286.02080241000004</v>
      </c>
      <c r="I33" s="61">
        <v>0</v>
      </c>
      <c r="J33" s="61">
        <v>302.34122453000003</v>
      </c>
      <c r="K33" s="61">
        <v>286.02080241000004</v>
      </c>
      <c r="L33" s="61">
        <v>0</v>
      </c>
      <c r="M33" s="61">
        <v>16.32042212</v>
      </c>
      <c r="N33" s="61">
        <v>98.907361461094368</v>
      </c>
      <c r="O33" s="61">
        <v>99.606443150527824</v>
      </c>
      <c r="P33" s="61">
        <v>5.3980141627628404</v>
      </c>
      <c r="Q33" s="61">
        <v>0</v>
      </c>
      <c r="R33" s="61">
        <v>0</v>
      </c>
    </row>
    <row r="34" spans="1:18" ht="15.6" x14ac:dyDescent="0.3">
      <c r="A34" s="218" t="s">
        <v>65</v>
      </c>
      <c r="B34" s="205" t="s">
        <v>66</v>
      </c>
      <c r="C34" s="66">
        <v>123.5412</v>
      </c>
      <c r="D34" s="66">
        <v>0</v>
      </c>
      <c r="E34" s="66">
        <v>124.78909091</v>
      </c>
      <c r="F34" s="66">
        <v>123.5412</v>
      </c>
      <c r="G34" s="66">
        <v>1.24789091</v>
      </c>
      <c r="H34" s="66">
        <v>123.5412</v>
      </c>
      <c r="I34" s="66">
        <v>0</v>
      </c>
      <c r="J34" s="66">
        <v>124.78909091</v>
      </c>
      <c r="K34" s="66">
        <v>123.5412</v>
      </c>
      <c r="L34" s="66">
        <v>0</v>
      </c>
      <c r="M34" s="66">
        <v>1.24789091</v>
      </c>
      <c r="N34" s="67">
        <v>100</v>
      </c>
      <c r="O34" s="67">
        <v>100</v>
      </c>
      <c r="P34" s="67">
        <v>1.0000000007212169</v>
      </c>
      <c r="Q34" s="66">
        <v>0</v>
      </c>
      <c r="R34" s="67">
        <v>0</v>
      </c>
    </row>
    <row r="35" spans="1:18" ht="15.6" x14ac:dyDescent="0.3">
      <c r="A35" s="218" t="s">
        <v>68</v>
      </c>
      <c r="B35" s="205" t="s">
        <v>69</v>
      </c>
      <c r="C35" s="66">
        <v>10.2736</v>
      </c>
      <c r="D35" s="66">
        <v>0</v>
      </c>
      <c r="E35" s="66">
        <v>10.814315800000001</v>
      </c>
      <c r="F35" s="66">
        <v>10.2736</v>
      </c>
      <c r="G35" s="66">
        <v>0.54071580000000008</v>
      </c>
      <c r="H35" s="66">
        <v>10.2736</v>
      </c>
      <c r="I35" s="66">
        <v>0</v>
      </c>
      <c r="J35" s="66">
        <v>10.814315800000001</v>
      </c>
      <c r="K35" s="66">
        <v>10.2736</v>
      </c>
      <c r="L35" s="66">
        <v>0</v>
      </c>
      <c r="M35" s="66">
        <v>0.54071580000000008</v>
      </c>
      <c r="N35" s="67">
        <v>100</v>
      </c>
      <c r="O35" s="67">
        <v>100</v>
      </c>
      <c r="P35" s="67">
        <v>5.0000000924700201</v>
      </c>
      <c r="Q35" s="66">
        <v>0</v>
      </c>
      <c r="R35" s="67">
        <v>0</v>
      </c>
    </row>
    <row r="36" spans="1:18" ht="15.6" x14ac:dyDescent="0.3">
      <c r="A36" s="218" t="s">
        <v>71</v>
      </c>
      <c r="B36" s="205" t="s">
        <v>72</v>
      </c>
      <c r="C36" s="66">
        <v>8.6334999999999997</v>
      </c>
      <c r="D36" s="66">
        <v>0</v>
      </c>
      <c r="E36" s="66">
        <v>8.8096938800000011</v>
      </c>
      <c r="F36" s="66">
        <v>8.6334999999999997</v>
      </c>
      <c r="G36" s="66">
        <v>0.17619388</v>
      </c>
      <c r="H36" s="66">
        <v>5.4738030000000002</v>
      </c>
      <c r="I36" s="66">
        <v>0</v>
      </c>
      <c r="J36" s="66">
        <v>5.5855132699999999</v>
      </c>
      <c r="K36" s="66">
        <v>5.4738030000000002</v>
      </c>
      <c r="L36" s="66">
        <v>0</v>
      </c>
      <c r="M36" s="66">
        <v>0.11171027</v>
      </c>
      <c r="N36" s="67">
        <v>63.401899577228235</v>
      </c>
      <c r="O36" s="67">
        <v>63.401901360024539</v>
      </c>
      <c r="P36" s="67">
        <v>2.0000000823559052</v>
      </c>
      <c r="Q36" s="66">
        <v>0</v>
      </c>
      <c r="R36" s="67">
        <v>0</v>
      </c>
    </row>
    <row r="37" spans="1:18" ht="15.6" x14ac:dyDescent="0.3">
      <c r="A37" s="218" t="s">
        <v>74</v>
      </c>
      <c r="B37" s="205" t="s">
        <v>1078</v>
      </c>
      <c r="C37" s="66">
        <v>7.8726000000000003</v>
      </c>
      <c r="D37" s="66">
        <v>0</v>
      </c>
      <c r="E37" s="66">
        <v>8.7474000000000007</v>
      </c>
      <c r="F37" s="66">
        <v>7.8726000000000003</v>
      </c>
      <c r="G37" s="66">
        <v>0.87480000000000002</v>
      </c>
      <c r="H37" s="66">
        <v>7.8726000000000003</v>
      </c>
      <c r="I37" s="66">
        <v>0</v>
      </c>
      <c r="J37" s="66">
        <v>8.7474000000000007</v>
      </c>
      <c r="K37" s="66">
        <v>7.8726000000000003</v>
      </c>
      <c r="L37" s="66">
        <v>0</v>
      </c>
      <c r="M37" s="66">
        <v>0.87480000000000002</v>
      </c>
      <c r="N37" s="67">
        <v>100</v>
      </c>
      <c r="O37" s="67">
        <v>100</v>
      </c>
      <c r="P37" s="67">
        <v>10.000685918101377</v>
      </c>
      <c r="Q37" s="66">
        <v>0</v>
      </c>
      <c r="R37" s="67">
        <v>0</v>
      </c>
    </row>
    <row r="38" spans="1:18" ht="15.6" x14ac:dyDescent="0.3">
      <c r="A38" s="218" t="s">
        <v>76</v>
      </c>
      <c r="B38" s="205" t="s">
        <v>77</v>
      </c>
      <c r="C38" s="66">
        <v>9.4873999999999992</v>
      </c>
      <c r="D38" s="66">
        <v>0</v>
      </c>
      <c r="E38" s="66">
        <v>9.8827083299999998</v>
      </c>
      <c r="F38" s="66">
        <v>9.4873999999999992</v>
      </c>
      <c r="G38" s="66">
        <v>0.39530833000000004</v>
      </c>
      <c r="H38" s="66">
        <v>9.4873999999999992</v>
      </c>
      <c r="I38" s="66">
        <v>0</v>
      </c>
      <c r="J38" s="66">
        <v>9.8827083299999998</v>
      </c>
      <c r="K38" s="66">
        <v>9.4873999999999992</v>
      </c>
      <c r="L38" s="66">
        <v>0</v>
      </c>
      <c r="M38" s="66">
        <v>0.39530833000000004</v>
      </c>
      <c r="N38" s="67">
        <v>100</v>
      </c>
      <c r="O38" s="67">
        <v>100</v>
      </c>
      <c r="P38" s="67">
        <v>3.9999999676202123</v>
      </c>
      <c r="Q38" s="66">
        <v>0</v>
      </c>
      <c r="R38" s="67">
        <v>0</v>
      </c>
    </row>
    <row r="39" spans="1:18" ht="15.6" x14ac:dyDescent="0.3">
      <c r="A39" s="218" t="s">
        <v>79</v>
      </c>
      <c r="B39" s="205" t="s">
        <v>80</v>
      </c>
      <c r="C39" s="66">
        <v>49.124899999999997</v>
      </c>
      <c r="D39" s="66">
        <v>0</v>
      </c>
      <c r="E39" s="66">
        <v>50.644227000000001</v>
      </c>
      <c r="F39" s="66">
        <v>49.124899999999997</v>
      </c>
      <c r="G39" s="66">
        <v>1.5193270000000001</v>
      </c>
      <c r="H39" s="66">
        <v>49.124899999999997</v>
      </c>
      <c r="I39" s="66">
        <v>0</v>
      </c>
      <c r="J39" s="66">
        <v>50.644227000000001</v>
      </c>
      <c r="K39" s="66">
        <v>49.124899999999997</v>
      </c>
      <c r="L39" s="66">
        <v>0</v>
      </c>
      <c r="M39" s="66">
        <v>1.5193270000000001</v>
      </c>
      <c r="N39" s="67">
        <v>100</v>
      </c>
      <c r="O39" s="67">
        <v>100</v>
      </c>
      <c r="P39" s="67">
        <v>3.0000003751661568</v>
      </c>
      <c r="Q39" s="66">
        <v>0</v>
      </c>
      <c r="R39" s="67">
        <v>0</v>
      </c>
    </row>
    <row r="40" spans="1:18" ht="15.6" x14ac:dyDescent="0.3">
      <c r="A40" s="218" t="s">
        <v>82</v>
      </c>
      <c r="B40" s="205" t="s">
        <v>83</v>
      </c>
      <c r="C40" s="66">
        <v>19.818100000000001</v>
      </c>
      <c r="D40" s="66">
        <v>0</v>
      </c>
      <c r="E40" s="66">
        <v>29.579253739999999</v>
      </c>
      <c r="F40" s="66">
        <v>19.818100000000001</v>
      </c>
      <c r="G40" s="66">
        <v>9.761153740000001</v>
      </c>
      <c r="H40" s="66">
        <v>19.818099409999999</v>
      </c>
      <c r="I40" s="66">
        <v>0</v>
      </c>
      <c r="J40" s="66">
        <v>29.579252839999999</v>
      </c>
      <c r="K40" s="66">
        <v>19.818099409999999</v>
      </c>
      <c r="L40" s="66">
        <v>0</v>
      </c>
      <c r="M40" s="66">
        <v>9.7611534300000002</v>
      </c>
      <c r="N40" s="67">
        <v>99.99999702292348</v>
      </c>
      <c r="O40" s="67">
        <v>99.99999682414591</v>
      </c>
      <c r="P40" s="67">
        <v>32.999999975658618</v>
      </c>
      <c r="Q40" s="66">
        <v>0</v>
      </c>
      <c r="R40" s="67">
        <v>0</v>
      </c>
    </row>
    <row r="41" spans="1:18" ht="15.6" x14ac:dyDescent="0.3">
      <c r="A41" s="218" t="s">
        <v>85</v>
      </c>
      <c r="B41" s="205" t="s">
        <v>299</v>
      </c>
      <c r="C41" s="66">
        <v>0</v>
      </c>
      <c r="D41" s="66">
        <v>0</v>
      </c>
      <c r="E41" s="66">
        <v>0</v>
      </c>
      <c r="F41" s="66">
        <v>0</v>
      </c>
      <c r="G41" s="66">
        <v>0</v>
      </c>
      <c r="H41" s="66">
        <v>0</v>
      </c>
      <c r="I41" s="66">
        <v>0</v>
      </c>
      <c r="J41" s="66">
        <v>0</v>
      </c>
      <c r="K41" s="66">
        <v>0</v>
      </c>
      <c r="L41" s="66">
        <v>0</v>
      </c>
      <c r="M41" s="66">
        <v>0</v>
      </c>
      <c r="N41" s="67" t="s">
        <v>1230</v>
      </c>
      <c r="O41" s="67" t="s">
        <v>1230</v>
      </c>
      <c r="P41" s="67">
        <v>0</v>
      </c>
      <c r="Q41" s="66">
        <v>0</v>
      </c>
      <c r="R41" s="67">
        <v>0</v>
      </c>
    </row>
    <row r="42" spans="1:18" ht="15.6" x14ac:dyDescent="0.3">
      <c r="A42" s="218" t="s">
        <v>87</v>
      </c>
      <c r="B42" s="205" t="s">
        <v>88</v>
      </c>
      <c r="C42" s="66">
        <v>7.8726000000000003</v>
      </c>
      <c r="D42" s="66">
        <v>0</v>
      </c>
      <c r="E42" s="66">
        <v>8.3751063800000001</v>
      </c>
      <c r="F42" s="66">
        <v>7.8726000000000003</v>
      </c>
      <c r="G42" s="66">
        <v>0.50250638000000003</v>
      </c>
      <c r="H42" s="66">
        <v>7.8726000000000003</v>
      </c>
      <c r="I42" s="66">
        <v>0</v>
      </c>
      <c r="J42" s="66">
        <v>8.3751063800000001</v>
      </c>
      <c r="K42" s="66">
        <v>7.8726000000000003</v>
      </c>
      <c r="L42" s="66">
        <v>0</v>
      </c>
      <c r="M42" s="66">
        <v>0.50250638000000003</v>
      </c>
      <c r="N42" s="67">
        <v>100</v>
      </c>
      <c r="O42" s="67">
        <v>100</v>
      </c>
      <c r="P42" s="67">
        <v>5.9999999665675894</v>
      </c>
      <c r="Q42" s="66">
        <v>0</v>
      </c>
      <c r="R42" s="67">
        <v>0</v>
      </c>
    </row>
    <row r="43" spans="1:18" ht="15.6" x14ac:dyDescent="0.3">
      <c r="A43" s="218" t="s">
        <v>90</v>
      </c>
      <c r="B43" s="205" t="s">
        <v>91</v>
      </c>
      <c r="C43" s="66">
        <v>40.146999999999998</v>
      </c>
      <c r="D43" s="66">
        <v>0</v>
      </c>
      <c r="E43" s="66">
        <v>41.388660000000002</v>
      </c>
      <c r="F43" s="66">
        <v>40.146999999999998</v>
      </c>
      <c r="G43" s="66">
        <v>1.24166</v>
      </c>
      <c r="H43" s="66">
        <v>40.146999999999998</v>
      </c>
      <c r="I43" s="66">
        <v>0</v>
      </c>
      <c r="J43" s="66">
        <v>41.388660000000002</v>
      </c>
      <c r="K43" s="66">
        <v>40.146999999999998</v>
      </c>
      <c r="L43" s="66">
        <v>0</v>
      </c>
      <c r="M43" s="66">
        <v>1.24166</v>
      </c>
      <c r="N43" s="67">
        <v>100</v>
      </c>
      <c r="O43" s="67">
        <v>100</v>
      </c>
      <c r="P43" s="67">
        <v>3.0000004832241487</v>
      </c>
      <c r="Q43" s="66">
        <v>0</v>
      </c>
      <c r="R43" s="67">
        <v>0</v>
      </c>
    </row>
    <row r="44" spans="1:18" ht="15.6" x14ac:dyDescent="0.3">
      <c r="A44" s="219">
        <v>32</v>
      </c>
      <c r="B44" s="205" t="s">
        <v>93</v>
      </c>
      <c r="C44" s="66">
        <v>12.409599999999999</v>
      </c>
      <c r="D44" s="66">
        <v>0</v>
      </c>
      <c r="E44" s="66">
        <v>12.53495</v>
      </c>
      <c r="F44" s="66">
        <v>12.409599999999999</v>
      </c>
      <c r="G44" s="66">
        <v>0.12534999999999999</v>
      </c>
      <c r="H44" s="66">
        <v>12.409599999999999</v>
      </c>
      <c r="I44" s="66">
        <v>0</v>
      </c>
      <c r="J44" s="66">
        <v>12.53495</v>
      </c>
      <c r="K44" s="66">
        <v>12.409599999999999</v>
      </c>
      <c r="L44" s="66">
        <v>0</v>
      </c>
      <c r="M44" s="66">
        <v>0.12534999999999999</v>
      </c>
      <c r="N44" s="67">
        <v>100</v>
      </c>
      <c r="O44" s="67">
        <v>100</v>
      </c>
      <c r="P44" s="67">
        <v>1.0000039888471832</v>
      </c>
      <c r="Q44" s="66">
        <v>0</v>
      </c>
      <c r="R44" s="67">
        <v>0</v>
      </c>
    </row>
    <row r="45" spans="1:18" ht="15.6" x14ac:dyDescent="0.3">
      <c r="A45" s="220">
        <v>33</v>
      </c>
      <c r="B45" s="209" t="s">
        <v>95</v>
      </c>
      <c r="C45" s="61">
        <v>605.47569999999996</v>
      </c>
      <c r="D45" s="61">
        <v>0</v>
      </c>
      <c r="E45" s="61">
        <v>620.62707272</v>
      </c>
      <c r="F45" s="61">
        <v>605.47569999999996</v>
      </c>
      <c r="G45" s="61">
        <v>15.151372719999999</v>
      </c>
      <c r="H45" s="61">
        <v>591.95111443000008</v>
      </c>
      <c r="I45" s="61">
        <v>0</v>
      </c>
      <c r="J45" s="61">
        <v>606.55094536000013</v>
      </c>
      <c r="K45" s="61">
        <v>591.95111443000008</v>
      </c>
      <c r="L45" s="61">
        <v>0</v>
      </c>
      <c r="M45" s="61">
        <v>14.599830930000001</v>
      </c>
      <c r="N45" s="61">
        <v>97.766287636316378</v>
      </c>
      <c r="O45" s="61">
        <v>96.359789966278399</v>
      </c>
      <c r="P45" s="61">
        <v>2.4070246764407743</v>
      </c>
      <c r="Q45" s="61">
        <v>0</v>
      </c>
      <c r="R45" s="61">
        <v>0</v>
      </c>
    </row>
    <row r="46" spans="1:18" ht="15.6" x14ac:dyDescent="0.3">
      <c r="A46" s="221">
        <v>34</v>
      </c>
      <c r="B46" s="211" t="s">
        <v>97</v>
      </c>
      <c r="C46" s="66">
        <v>33.082000000000001</v>
      </c>
      <c r="D46" s="66">
        <v>0</v>
      </c>
      <c r="E46" s="66">
        <v>33.416161620000004</v>
      </c>
      <c r="F46" s="66">
        <v>33.082000000000001</v>
      </c>
      <c r="G46" s="66">
        <v>0.33416161999999999</v>
      </c>
      <c r="H46" s="66">
        <v>33.082000000000001</v>
      </c>
      <c r="I46" s="66">
        <v>0</v>
      </c>
      <c r="J46" s="66">
        <v>33.416161620000004</v>
      </c>
      <c r="K46" s="66">
        <v>33.082000000000001</v>
      </c>
      <c r="L46" s="66">
        <v>0</v>
      </c>
      <c r="M46" s="66">
        <v>0.33416161999999999</v>
      </c>
      <c r="N46" s="67">
        <v>100</v>
      </c>
      <c r="O46" s="67">
        <v>100</v>
      </c>
      <c r="P46" s="67">
        <v>1.0000000113717429</v>
      </c>
      <c r="Q46" s="66">
        <v>0</v>
      </c>
      <c r="R46" s="67">
        <v>0</v>
      </c>
    </row>
    <row r="47" spans="1:18" ht="15.6" x14ac:dyDescent="0.3">
      <c r="A47" s="221">
        <v>35</v>
      </c>
      <c r="B47" s="211" t="s">
        <v>99</v>
      </c>
      <c r="C47" s="66">
        <v>89.763300000000001</v>
      </c>
      <c r="D47" s="66">
        <v>0</v>
      </c>
      <c r="E47" s="66">
        <v>91.595226909999994</v>
      </c>
      <c r="F47" s="66">
        <v>89.763300000000001</v>
      </c>
      <c r="G47" s="66">
        <v>1.83192691</v>
      </c>
      <c r="H47" s="66">
        <v>89.763300000000001</v>
      </c>
      <c r="I47" s="66">
        <v>0</v>
      </c>
      <c r="J47" s="66">
        <v>91.595226909999994</v>
      </c>
      <c r="K47" s="66">
        <v>89.763300000000001</v>
      </c>
      <c r="L47" s="66">
        <v>0</v>
      </c>
      <c r="M47" s="66">
        <v>1.83192691</v>
      </c>
      <c r="N47" s="67">
        <v>100</v>
      </c>
      <c r="O47" s="67">
        <v>100</v>
      </c>
      <c r="P47" s="67">
        <v>2.0000244246351637</v>
      </c>
      <c r="Q47" s="66">
        <v>0</v>
      </c>
      <c r="R47" s="67">
        <v>0</v>
      </c>
    </row>
    <row r="48" spans="1:18" ht="15.6" x14ac:dyDescent="0.3">
      <c r="A48" s="218">
        <v>36</v>
      </c>
      <c r="B48" s="205" t="s">
        <v>318</v>
      </c>
      <c r="C48" s="66">
        <v>47.372399999999999</v>
      </c>
      <c r="D48" s="66">
        <v>0</v>
      </c>
      <c r="E48" s="66">
        <v>47.850909999999999</v>
      </c>
      <c r="F48" s="66">
        <v>47.372399999999999</v>
      </c>
      <c r="G48" s="66">
        <v>0.47850999999999999</v>
      </c>
      <c r="H48" s="66">
        <v>47.372399999999999</v>
      </c>
      <c r="I48" s="66">
        <v>0</v>
      </c>
      <c r="J48" s="66">
        <v>47.850909999999999</v>
      </c>
      <c r="K48" s="66">
        <v>47.372399999999999</v>
      </c>
      <c r="L48" s="66">
        <v>0</v>
      </c>
      <c r="M48" s="66">
        <v>0.47850999999999999</v>
      </c>
      <c r="N48" s="67">
        <v>100</v>
      </c>
      <c r="O48" s="67">
        <v>100</v>
      </c>
      <c r="P48" s="67">
        <v>1.0000018808419735</v>
      </c>
      <c r="Q48" s="66">
        <v>0</v>
      </c>
      <c r="R48" s="67">
        <v>0</v>
      </c>
    </row>
    <row r="49" spans="1:18" ht="15.6" x14ac:dyDescent="0.3">
      <c r="A49" s="221">
        <v>37</v>
      </c>
      <c r="B49" s="211" t="s">
        <v>101</v>
      </c>
      <c r="C49" s="66">
        <v>113.6528</v>
      </c>
      <c r="D49" s="66">
        <v>0</v>
      </c>
      <c r="E49" s="66">
        <v>118.3884</v>
      </c>
      <c r="F49" s="66">
        <v>113.6528</v>
      </c>
      <c r="G49" s="66">
        <v>4.7355999999999998</v>
      </c>
      <c r="H49" s="66">
        <v>100.56636297</v>
      </c>
      <c r="I49" s="66">
        <v>0</v>
      </c>
      <c r="J49" s="66">
        <v>104.75668704</v>
      </c>
      <c r="K49" s="66">
        <v>100.56636297</v>
      </c>
      <c r="L49" s="66">
        <v>0</v>
      </c>
      <c r="M49" s="66">
        <v>4.19032407</v>
      </c>
      <c r="N49" s="67">
        <v>88.485600856292152</v>
      </c>
      <c r="O49" s="67">
        <v>88.485599923980075</v>
      </c>
      <c r="P49" s="67">
        <v>4.000054018890439</v>
      </c>
      <c r="Q49" s="66">
        <v>0</v>
      </c>
      <c r="R49" s="67">
        <v>0</v>
      </c>
    </row>
    <row r="50" spans="1:18" ht="15.6" x14ac:dyDescent="0.3">
      <c r="A50" s="221">
        <v>38</v>
      </c>
      <c r="B50" s="211" t="s">
        <v>103</v>
      </c>
      <c r="C50" s="66">
        <v>122.9772</v>
      </c>
      <c r="D50" s="66">
        <v>0</v>
      </c>
      <c r="E50" s="66">
        <v>126.780619</v>
      </c>
      <c r="F50" s="66">
        <v>122.9772</v>
      </c>
      <c r="G50" s="66">
        <v>3.8034189999999999</v>
      </c>
      <c r="H50" s="66">
        <v>122.88884539</v>
      </c>
      <c r="I50" s="66">
        <v>0</v>
      </c>
      <c r="J50" s="66">
        <v>126.68953182999999</v>
      </c>
      <c r="K50" s="66">
        <v>122.88884539</v>
      </c>
      <c r="L50" s="66">
        <v>0</v>
      </c>
      <c r="M50" s="66">
        <v>3.8006864399999998</v>
      </c>
      <c r="N50" s="67">
        <v>99.928153665882775</v>
      </c>
      <c r="O50" s="67">
        <v>99.928155167758277</v>
      </c>
      <c r="P50" s="67">
        <v>3.0000003829045645</v>
      </c>
      <c r="Q50" s="66">
        <v>0</v>
      </c>
      <c r="R50" s="67">
        <v>0</v>
      </c>
    </row>
    <row r="51" spans="1:18" ht="15.6" x14ac:dyDescent="0.3">
      <c r="A51" s="221">
        <v>39</v>
      </c>
      <c r="B51" s="211" t="s">
        <v>105</v>
      </c>
      <c r="C51" s="66">
        <v>80.263800000000003</v>
      </c>
      <c r="D51" s="66">
        <v>0</v>
      </c>
      <c r="E51" s="66">
        <v>81.901837</v>
      </c>
      <c r="F51" s="66">
        <v>80.263800000000003</v>
      </c>
      <c r="G51" s="66">
        <v>1.638037</v>
      </c>
      <c r="H51" s="66">
        <v>80.263800000000003</v>
      </c>
      <c r="I51" s="66">
        <v>0</v>
      </c>
      <c r="J51" s="66">
        <v>81.901837</v>
      </c>
      <c r="K51" s="66">
        <v>80.263800000000003</v>
      </c>
      <c r="L51" s="66">
        <v>0</v>
      </c>
      <c r="M51" s="66">
        <v>1.638037</v>
      </c>
      <c r="N51" s="67">
        <v>100</v>
      </c>
      <c r="O51" s="67">
        <v>100</v>
      </c>
      <c r="P51" s="67">
        <v>2.0000003174531971</v>
      </c>
      <c r="Q51" s="66">
        <v>0</v>
      </c>
      <c r="R51" s="67">
        <v>0</v>
      </c>
    </row>
    <row r="52" spans="1:18" ht="15.6" x14ac:dyDescent="0.3">
      <c r="A52" s="219">
        <v>40</v>
      </c>
      <c r="B52" s="211" t="s">
        <v>107</v>
      </c>
      <c r="C52" s="66">
        <v>110.0266</v>
      </c>
      <c r="D52" s="66">
        <v>0</v>
      </c>
      <c r="E52" s="66">
        <v>112.27209999999999</v>
      </c>
      <c r="F52" s="66">
        <v>110.0266</v>
      </c>
      <c r="G52" s="66">
        <v>2.2454999999999998</v>
      </c>
      <c r="H52" s="66">
        <v>110.02659933</v>
      </c>
      <c r="I52" s="66">
        <v>0</v>
      </c>
      <c r="J52" s="66">
        <v>112.27209931</v>
      </c>
      <c r="K52" s="66">
        <v>110.02659933</v>
      </c>
      <c r="L52" s="66">
        <v>0</v>
      </c>
      <c r="M52" s="66">
        <v>2.24549998</v>
      </c>
      <c r="N52" s="67">
        <v>99.999999391056335</v>
      </c>
      <c r="O52" s="67">
        <v>99.999999109329778</v>
      </c>
      <c r="P52" s="67">
        <v>2.0000516546856755</v>
      </c>
      <c r="Q52" s="66">
        <v>0</v>
      </c>
      <c r="R52" s="67">
        <v>0</v>
      </c>
    </row>
    <row r="53" spans="1:18" ht="15.6" x14ac:dyDescent="0.3">
      <c r="A53" s="218">
        <v>41</v>
      </c>
      <c r="B53" s="205" t="s">
        <v>319</v>
      </c>
      <c r="C53" s="66">
        <v>8.3376000000000001</v>
      </c>
      <c r="D53" s="66">
        <v>0</v>
      </c>
      <c r="E53" s="66">
        <v>8.4218181899999998</v>
      </c>
      <c r="F53" s="66">
        <v>8.3376000000000001</v>
      </c>
      <c r="G53" s="66">
        <v>8.4218189999999998E-2</v>
      </c>
      <c r="H53" s="66">
        <v>7.9878067399999999</v>
      </c>
      <c r="I53" s="66">
        <v>0</v>
      </c>
      <c r="J53" s="66">
        <v>8.0684916500000003</v>
      </c>
      <c r="K53" s="66">
        <v>7.9878067399999999</v>
      </c>
      <c r="L53" s="66">
        <v>0</v>
      </c>
      <c r="M53" s="66">
        <v>8.0684909999999999E-2</v>
      </c>
      <c r="N53" s="67">
        <v>95.804628909998087</v>
      </c>
      <c r="O53" s="67">
        <v>95.804611806546774</v>
      </c>
      <c r="P53" s="67">
        <v>0.99999991943971334</v>
      </c>
      <c r="Q53" s="66">
        <v>0</v>
      </c>
      <c r="R53" s="67">
        <v>0</v>
      </c>
    </row>
    <row r="54" spans="1:18" ht="35.25" customHeight="1" x14ac:dyDescent="0.3">
      <c r="A54" s="220">
        <v>42</v>
      </c>
      <c r="B54" s="212" t="s">
        <v>109</v>
      </c>
      <c r="C54" s="61">
        <v>982.44209999999998</v>
      </c>
      <c r="D54" s="61">
        <v>0</v>
      </c>
      <c r="E54" s="61">
        <v>992.36576288000003</v>
      </c>
      <c r="F54" s="61">
        <v>982.44209999999998</v>
      </c>
      <c r="G54" s="61">
        <v>9.9236628800000002</v>
      </c>
      <c r="H54" s="61">
        <v>981.09653708000008</v>
      </c>
      <c r="I54" s="61">
        <v>0</v>
      </c>
      <c r="J54" s="61">
        <v>991.00660795938995</v>
      </c>
      <c r="K54" s="61">
        <v>981.09653708000008</v>
      </c>
      <c r="L54" s="61">
        <v>0</v>
      </c>
      <c r="M54" s="61">
        <v>9.9100708793899983</v>
      </c>
      <c r="N54" s="61">
        <v>99.863038959751421</v>
      </c>
      <c r="O54" s="61">
        <v>99.863034438247638</v>
      </c>
      <c r="P54" s="61">
        <v>1.0000004843354282</v>
      </c>
      <c r="Q54" s="61">
        <v>0</v>
      </c>
      <c r="R54" s="61">
        <v>0</v>
      </c>
    </row>
    <row r="55" spans="1:18" ht="15.6" x14ac:dyDescent="0.3">
      <c r="A55" s="221">
        <v>43</v>
      </c>
      <c r="B55" s="211" t="s">
        <v>111</v>
      </c>
      <c r="C55" s="66">
        <v>160.25839999999999</v>
      </c>
      <c r="D55" s="66">
        <v>0</v>
      </c>
      <c r="E55" s="66">
        <v>161.87717172000001</v>
      </c>
      <c r="F55" s="66">
        <v>160.25839999999999</v>
      </c>
      <c r="G55" s="66">
        <v>1.61877172</v>
      </c>
      <c r="H55" s="66">
        <v>160.25839999999999</v>
      </c>
      <c r="I55" s="66">
        <v>0</v>
      </c>
      <c r="J55" s="66">
        <v>161.87717172000001</v>
      </c>
      <c r="K55" s="66">
        <v>160.25839999999999</v>
      </c>
      <c r="L55" s="66">
        <v>0</v>
      </c>
      <c r="M55" s="66">
        <v>1.61877172</v>
      </c>
      <c r="N55" s="67">
        <v>100</v>
      </c>
      <c r="O55" s="67">
        <v>100</v>
      </c>
      <c r="P55" s="67">
        <v>1.0000000017297066</v>
      </c>
      <c r="Q55" s="66">
        <v>0</v>
      </c>
      <c r="R55" s="67">
        <v>0</v>
      </c>
    </row>
    <row r="56" spans="1:18" ht="15.6" x14ac:dyDescent="0.3">
      <c r="A56" s="221">
        <v>44</v>
      </c>
      <c r="B56" s="211" t="s">
        <v>113</v>
      </c>
      <c r="C56" s="66">
        <v>126.18089999999999</v>
      </c>
      <c r="D56" s="66">
        <v>0</v>
      </c>
      <c r="E56" s="66">
        <v>127.455455</v>
      </c>
      <c r="F56" s="66">
        <v>126.18089999999999</v>
      </c>
      <c r="G56" s="66">
        <v>1.2745550000000001</v>
      </c>
      <c r="H56" s="66">
        <v>124.83560226</v>
      </c>
      <c r="I56" s="66">
        <v>0</v>
      </c>
      <c r="J56" s="66">
        <v>126.09656793939</v>
      </c>
      <c r="K56" s="66">
        <v>124.83560226</v>
      </c>
      <c r="L56" s="66">
        <v>0</v>
      </c>
      <c r="M56" s="66">
        <v>1.2609656793899999</v>
      </c>
      <c r="N56" s="67">
        <v>98.933834090579481</v>
      </c>
      <c r="O56" s="67">
        <v>98.933798807426882</v>
      </c>
      <c r="P56" s="67">
        <v>0.99999999999690703</v>
      </c>
      <c r="Q56" s="66">
        <v>0</v>
      </c>
      <c r="R56" s="67">
        <v>0</v>
      </c>
    </row>
    <row r="57" spans="1:18" ht="31.2" x14ac:dyDescent="0.3">
      <c r="A57" s="221">
        <v>45</v>
      </c>
      <c r="B57" s="211" t="s">
        <v>115</v>
      </c>
      <c r="C57" s="66">
        <v>138.65010000000001</v>
      </c>
      <c r="D57" s="66">
        <v>0</v>
      </c>
      <c r="E57" s="66">
        <v>140.05061000000001</v>
      </c>
      <c r="F57" s="66">
        <v>138.65010000000001</v>
      </c>
      <c r="G57" s="66">
        <v>1.4005099999999999</v>
      </c>
      <c r="H57" s="66">
        <v>138.65010000000001</v>
      </c>
      <c r="I57" s="66">
        <v>0</v>
      </c>
      <c r="J57" s="66">
        <v>140.05061000000001</v>
      </c>
      <c r="K57" s="66">
        <v>138.65010000000001</v>
      </c>
      <c r="L57" s="66">
        <v>0</v>
      </c>
      <c r="M57" s="66">
        <v>1.4005099999999999</v>
      </c>
      <c r="N57" s="67">
        <v>100</v>
      </c>
      <c r="O57" s="67">
        <v>100</v>
      </c>
      <c r="P57" s="67">
        <v>1.0000027847076138</v>
      </c>
      <c r="Q57" s="66">
        <v>0</v>
      </c>
      <c r="R57" s="67">
        <v>0</v>
      </c>
    </row>
    <row r="58" spans="1:18" ht="31.2" x14ac:dyDescent="0.3">
      <c r="A58" s="221">
        <v>46</v>
      </c>
      <c r="B58" s="211" t="s">
        <v>117</v>
      </c>
      <c r="C58" s="66">
        <v>156.97929999999999</v>
      </c>
      <c r="D58" s="66">
        <v>0</v>
      </c>
      <c r="E58" s="66">
        <v>158.56494949</v>
      </c>
      <c r="F58" s="66">
        <v>156.97929999999999</v>
      </c>
      <c r="G58" s="66">
        <v>1.58564949</v>
      </c>
      <c r="H58" s="66">
        <v>156.97929999999999</v>
      </c>
      <c r="I58" s="66">
        <v>0</v>
      </c>
      <c r="J58" s="66">
        <v>158.56494949</v>
      </c>
      <c r="K58" s="66">
        <v>156.97929999999999</v>
      </c>
      <c r="L58" s="66">
        <v>0</v>
      </c>
      <c r="M58" s="66">
        <v>1.58564949</v>
      </c>
      <c r="N58" s="67">
        <v>100</v>
      </c>
      <c r="O58" s="67">
        <v>100</v>
      </c>
      <c r="P58" s="67">
        <v>0.99999999690978358</v>
      </c>
      <c r="Q58" s="66">
        <v>0</v>
      </c>
      <c r="R58" s="67">
        <v>0</v>
      </c>
    </row>
    <row r="59" spans="1:18" ht="31.2" x14ac:dyDescent="0.3">
      <c r="A59" s="221">
        <v>47</v>
      </c>
      <c r="B59" s="211" t="s">
        <v>119</v>
      </c>
      <c r="C59" s="66">
        <v>183.58690000000001</v>
      </c>
      <c r="D59" s="66">
        <v>0</v>
      </c>
      <c r="E59" s="66">
        <v>185.44131400000001</v>
      </c>
      <c r="F59" s="66">
        <v>183.58690000000001</v>
      </c>
      <c r="G59" s="66">
        <v>1.854414</v>
      </c>
      <c r="H59" s="66">
        <v>183.58689994</v>
      </c>
      <c r="I59" s="66">
        <v>0</v>
      </c>
      <c r="J59" s="66">
        <v>185.44131393999999</v>
      </c>
      <c r="K59" s="66">
        <v>183.58689994</v>
      </c>
      <c r="L59" s="66">
        <v>0</v>
      </c>
      <c r="M59" s="66">
        <v>1.854414</v>
      </c>
      <c r="N59" s="67">
        <v>99.999999967317919</v>
      </c>
      <c r="O59" s="67">
        <v>100</v>
      </c>
      <c r="P59" s="67">
        <v>1.0000004640821303</v>
      </c>
      <c r="Q59" s="66">
        <v>0</v>
      </c>
      <c r="R59" s="67">
        <v>0</v>
      </c>
    </row>
    <row r="60" spans="1:18" ht="15.6" x14ac:dyDescent="0.3">
      <c r="A60" s="218">
        <v>48</v>
      </c>
      <c r="B60" s="211" t="s">
        <v>122</v>
      </c>
      <c r="C60" s="66">
        <v>126.7968</v>
      </c>
      <c r="D60" s="66">
        <v>0</v>
      </c>
      <c r="E60" s="66">
        <v>128.07757580000001</v>
      </c>
      <c r="F60" s="66">
        <v>126.7968</v>
      </c>
      <c r="G60" s="66">
        <v>1.2807758</v>
      </c>
      <c r="H60" s="66">
        <v>126.79679920999999</v>
      </c>
      <c r="I60" s="66">
        <v>0</v>
      </c>
      <c r="J60" s="66">
        <v>128.077575</v>
      </c>
      <c r="K60" s="66">
        <v>126.79679920999999</v>
      </c>
      <c r="L60" s="66">
        <v>0</v>
      </c>
      <c r="M60" s="66">
        <v>1.2807757900000001</v>
      </c>
      <c r="N60" s="67">
        <v>99.99999937695587</v>
      </c>
      <c r="O60" s="67">
        <v>99.999999219223227</v>
      </c>
      <c r="P60" s="67">
        <v>1.0000000312310724</v>
      </c>
      <c r="Q60" s="66">
        <v>0</v>
      </c>
      <c r="R60" s="67">
        <v>0</v>
      </c>
    </row>
    <row r="61" spans="1:18" ht="15.6" x14ac:dyDescent="0.3">
      <c r="A61" s="222">
        <v>49</v>
      </c>
      <c r="B61" s="211" t="s">
        <v>125</v>
      </c>
      <c r="C61" s="66">
        <v>89.989699999999999</v>
      </c>
      <c r="D61" s="66">
        <v>0</v>
      </c>
      <c r="E61" s="66">
        <v>90.898686870000006</v>
      </c>
      <c r="F61" s="66">
        <v>89.989699999999999</v>
      </c>
      <c r="G61" s="66">
        <v>0.90898687</v>
      </c>
      <c r="H61" s="66">
        <v>89.989435670000006</v>
      </c>
      <c r="I61" s="66">
        <v>0</v>
      </c>
      <c r="J61" s="66">
        <v>90.898419869999998</v>
      </c>
      <c r="K61" s="66">
        <v>89.989435670000006</v>
      </c>
      <c r="L61" s="66">
        <v>0</v>
      </c>
      <c r="M61" s="66">
        <v>0.90898419999999991</v>
      </c>
      <c r="N61" s="67">
        <v>99.999706266383825</v>
      </c>
      <c r="O61" s="67">
        <v>99.999706266384237</v>
      </c>
      <c r="P61" s="67">
        <v>1.0000000014301678</v>
      </c>
      <c r="Q61" s="66">
        <v>0</v>
      </c>
      <c r="R61" s="67">
        <v>0</v>
      </c>
    </row>
    <row r="62" spans="1:18" ht="15.6" x14ac:dyDescent="0.3">
      <c r="A62" s="217">
        <v>50</v>
      </c>
      <c r="B62" s="203" t="s">
        <v>128</v>
      </c>
      <c r="C62" s="61">
        <v>1547.9459000000004</v>
      </c>
      <c r="D62" s="61">
        <v>0</v>
      </c>
      <c r="E62" s="61">
        <v>1665.4003957900004</v>
      </c>
      <c r="F62" s="61">
        <v>1547.9459000000004</v>
      </c>
      <c r="G62" s="61">
        <v>117.45449579000004</v>
      </c>
      <c r="H62" s="61">
        <v>1547.9458502700004</v>
      </c>
      <c r="I62" s="61">
        <v>0</v>
      </c>
      <c r="J62" s="61">
        <v>1665.4003439900005</v>
      </c>
      <c r="K62" s="61">
        <v>1547.9458502700004</v>
      </c>
      <c r="L62" s="61">
        <v>0</v>
      </c>
      <c r="M62" s="61">
        <v>117.45449372000003</v>
      </c>
      <c r="N62" s="61">
        <v>99.999996787355428</v>
      </c>
      <c r="O62" s="61">
        <v>99.999998237615344</v>
      </c>
      <c r="P62" s="61">
        <v>7.0526281649852516</v>
      </c>
      <c r="Q62" s="61">
        <v>0</v>
      </c>
      <c r="R62" s="61">
        <v>0</v>
      </c>
    </row>
    <row r="63" spans="1:18" ht="15.6" x14ac:dyDescent="0.3">
      <c r="A63" s="218">
        <v>51</v>
      </c>
      <c r="B63" s="205" t="s">
        <v>131</v>
      </c>
      <c r="C63" s="66">
        <v>311.8417</v>
      </c>
      <c r="D63" s="66">
        <v>0</v>
      </c>
      <c r="E63" s="66">
        <v>318.20581633</v>
      </c>
      <c r="F63" s="66">
        <v>311.8417</v>
      </c>
      <c r="G63" s="66">
        <v>6.3641163299999999</v>
      </c>
      <c r="H63" s="66">
        <v>311.8417</v>
      </c>
      <c r="I63" s="66">
        <v>0</v>
      </c>
      <c r="J63" s="66">
        <v>318.20581633</v>
      </c>
      <c r="K63" s="66">
        <v>311.8417</v>
      </c>
      <c r="L63" s="66">
        <v>0</v>
      </c>
      <c r="M63" s="66">
        <v>6.3641163299999999</v>
      </c>
      <c r="N63" s="67">
        <v>100</v>
      </c>
      <c r="O63" s="67">
        <v>100</v>
      </c>
      <c r="P63" s="67">
        <v>2.0000000010684906</v>
      </c>
      <c r="Q63" s="66">
        <v>0</v>
      </c>
      <c r="R63" s="67">
        <v>0</v>
      </c>
    </row>
    <row r="64" spans="1:18" ht="15.6" x14ac:dyDescent="0.3">
      <c r="A64" s="218">
        <v>52</v>
      </c>
      <c r="B64" s="205" t="s">
        <v>134</v>
      </c>
      <c r="C64" s="66">
        <v>26.950700000000001</v>
      </c>
      <c r="D64" s="66">
        <v>0</v>
      </c>
      <c r="E64" s="66">
        <v>27.500714289999998</v>
      </c>
      <c r="F64" s="66">
        <v>26.950700000000001</v>
      </c>
      <c r="G64" s="66">
        <v>0.55001429000000002</v>
      </c>
      <c r="H64" s="66">
        <v>26.950700000000001</v>
      </c>
      <c r="I64" s="66">
        <v>0</v>
      </c>
      <c r="J64" s="66">
        <v>27.500714289999998</v>
      </c>
      <c r="K64" s="66">
        <v>26.950700000000001</v>
      </c>
      <c r="L64" s="66">
        <v>0</v>
      </c>
      <c r="M64" s="66">
        <v>0.55001429000000002</v>
      </c>
      <c r="N64" s="67">
        <v>100</v>
      </c>
      <c r="O64" s="67">
        <v>100</v>
      </c>
      <c r="P64" s="67">
        <v>2.0000000152723305</v>
      </c>
      <c r="Q64" s="66">
        <v>0</v>
      </c>
      <c r="R64" s="67">
        <v>0</v>
      </c>
    </row>
    <row r="65" spans="1:18" ht="15.6" x14ac:dyDescent="0.3">
      <c r="A65" s="218">
        <v>53</v>
      </c>
      <c r="B65" s="205" t="s">
        <v>137</v>
      </c>
      <c r="C65" s="66">
        <v>77.189899999999994</v>
      </c>
      <c r="D65" s="66">
        <v>0</v>
      </c>
      <c r="E65" s="66">
        <v>78.765204080000004</v>
      </c>
      <c r="F65" s="66">
        <v>77.189899999999994</v>
      </c>
      <c r="G65" s="66">
        <v>1.57530408</v>
      </c>
      <c r="H65" s="66">
        <v>77.189899999999994</v>
      </c>
      <c r="I65" s="66">
        <v>0</v>
      </c>
      <c r="J65" s="66">
        <v>78.765204080000004</v>
      </c>
      <c r="K65" s="66">
        <v>77.189899999999994</v>
      </c>
      <c r="L65" s="66">
        <v>0</v>
      </c>
      <c r="M65" s="66">
        <v>1.57530408</v>
      </c>
      <c r="N65" s="67">
        <v>100</v>
      </c>
      <c r="O65" s="67">
        <v>100</v>
      </c>
      <c r="P65" s="67">
        <v>1.9999999979686462</v>
      </c>
      <c r="Q65" s="66">
        <v>0</v>
      </c>
      <c r="R65" s="67">
        <v>0</v>
      </c>
    </row>
    <row r="66" spans="1:18" ht="15.6" x14ac:dyDescent="0.3">
      <c r="A66" s="218">
        <v>54</v>
      </c>
      <c r="B66" s="205" t="s">
        <v>140</v>
      </c>
      <c r="C66" s="66">
        <v>339.25569999999999</v>
      </c>
      <c r="D66" s="66">
        <v>0</v>
      </c>
      <c r="E66" s="66">
        <v>418.83419752999998</v>
      </c>
      <c r="F66" s="66">
        <v>339.25569999999999</v>
      </c>
      <c r="G66" s="66">
        <v>79.578497530000007</v>
      </c>
      <c r="H66" s="66">
        <v>339.25569999999999</v>
      </c>
      <c r="I66" s="66">
        <v>0</v>
      </c>
      <c r="J66" s="66">
        <v>418.83419752999998</v>
      </c>
      <c r="K66" s="66">
        <v>339.25569999999999</v>
      </c>
      <c r="L66" s="66">
        <v>0</v>
      </c>
      <c r="M66" s="66">
        <v>79.578497530000007</v>
      </c>
      <c r="N66" s="67">
        <v>100</v>
      </c>
      <c r="O66" s="67">
        <v>100</v>
      </c>
      <c r="P66" s="67">
        <v>18.999999999832873</v>
      </c>
      <c r="Q66" s="66">
        <v>0</v>
      </c>
      <c r="R66" s="67">
        <v>0</v>
      </c>
    </row>
    <row r="67" spans="1:18" ht="15.6" x14ac:dyDescent="0.3">
      <c r="A67" s="218">
        <v>55</v>
      </c>
      <c r="B67" s="205" t="s">
        <v>143</v>
      </c>
      <c r="C67" s="66">
        <v>149.1574</v>
      </c>
      <c r="D67" s="66">
        <v>0</v>
      </c>
      <c r="E67" s="66">
        <v>153.7706</v>
      </c>
      <c r="F67" s="66">
        <v>149.1574</v>
      </c>
      <c r="G67" s="66">
        <v>4.6132</v>
      </c>
      <c r="H67" s="66">
        <v>149.1574</v>
      </c>
      <c r="I67" s="66">
        <v>0</v>
      </c>
      <c r="J67" s="66">
        <v>153.7706</v>
      </c>
      <c r="K67" s="66">
        <v>149.1574</v>
      </c>
      <c r="L67" s="66">
        <v>0</v>
      </c>
      <c r="M67" s="66">
        <v>4.6132</v>
      </c>
      <c r="N67" s="67">
        <v>100</v>
      </c>
      <c r="O67" s="67">
        <v>100</v>
      </c>
      <c r="P67" s="67">
        <v>3.0000533261884912</v>
      </c>
      <c r="Q67" s="66">
        <v>0</v>
      </c>
      <c r="R67" s="67">
        <v>0</v>
      </c>
    </row>
    <row r="68" spans="1:18" ht="15.6" x14ac:dyDescent="0.3">
      <c r="A68" s="218">
        <v>56</v>
      </c>
      <c r="B68" s="205" t="s">
        <v>146</v>
      </c>
      <c r="C68" s="66">
        <v>81.003500000000003</v>
      </c>
      <c r="D68" s="66">
        <v>0</v>
      </c>
      <c r="E68" s="66">
        <v>81.821717169999999</v>
      </c>
      <c r="F68" s="66">
        <v>81.003500000000003</v>
      </c>
      <c r="G68" s="66">
        <v>0.81821717000000005</v>
      </c>
      <c r="H68" s="66">
        <v>81.003500000000003</v>
      </c>
      <c r="I68" s="66">
        <v>0</v>
      </c>
      <c r="J68" s="66">
        <v>81.821717169999999</v>
      </c>
      <c r="K68" s="66">
        <v>81.003500000000003</v>
      </c>
      <c r="L68" s="66">
        <v>0</v>
      </c>
      <c r="M68" s="66">
        <v>0.81821717000000005</v>
      </c>
      <c r="N68" s="67">
        <v>100</v>
      </c>
      <c r="O68" s="67">
        <v>100</v>
      </c>
      <c r="P68" s="67">
        <v>0.99999999792231198</v>
      </c>
      <c r="Q68" s="66">
        <v>0</v>
      </c>
      <c r="R68" s="67">
        <v>0</v>
      </c>
    </row>
    <row r="69" spans="1:18" ht="15.6" x14ac:dyDescent="0.3">
      <c r="A69" s="218">
        <v>57</v>
      </c>
      <c r="B69" s="205" t="s">
        <v>149</v>
      </c>
      <c r="C69" s="66">
        <v>78.693700000000007</v>
      </c>
      <c r="D69" s="66">
        <v>0</v>
      </c>
      <c r="E69" s="66">
        <v>82.835473690000001</v>
      </c>
      <c r="F69" s="66">
        <v>78.693700000000007</v>
      </c>
      <c r="G69" s="66">
        <v>4.14177369</v>
      </c>
      <c r="H69" s="66">
        <v>78.693700000000007</v>
      </c>
      <c r="I69" s="66">
        <v>0</v>
      </c>
      <c r="J69" s="66">
        <v>82.835473690000001</v>
      </c>
      <c r="K69" s="66">
        <v>78.693700000000007</v>
      </c>
      <c r="L69" s="66">
        <v>0</v>
      </c>
      <c r="M69" s="66">
        <v>4.14177369</v>
      </c>
      <c r="N69" s="67">
        <v>100</v>
      </c>
      <c r="O69" s="67">
        <v>100</v>
      </c>
      <c r="P69" s="67">
        <v>5.0000000066396675</v>
      </c>
      <c r="Q69" s="66">
        <v>0</v>
      </c>
      <c r="R69" s="67">
        <v>0</v>
      </c>
    </row>
    <row r="70" spans="1:18" ht="15.6" x14ac:dyDescent="0.3">
      <c r="A70" s="218">
        <v>58</v>
      </c>
      <c r="B70" s="205" t="s">
        <v>152</v>
      </c>
      <c r="C70" s="66">
        <v>15.368600000000001</v>
      </c>
      <c r="D70" s="66">
        <v>0</v>
      </c>
      <c r="E70" s="66">
        <v>15.52384</v>
      </c>
      <c r="F70" s="66">
        <v>15.368600000000001</v>
      </c>
      <c r="G70" s="66">
        <v>0.15523999999999999</v>
      </c>
      <c r="H70" s="66">
        <v>15.368600000000001</v>
      </c>
      <c r="I70" s="66">
        <v>0</v>
      </c>
      <c r="J70" s="66">
        <v>15.52384</v>
      </c>
      <c r="K70" s="66">
        <v>15.368600000000001</v>
      </c>
      <c r="L70" s="66">
        <v>0</v>
      </c>
      <c r="M70" s="66">
        <v>0.15523999999999999</v>
      </c>
      <c r="N70" s="67">
        <v>100</v>
      </c>
      <c r="O70" s="67">
        <v>100</v>
      </c>
      <c r="P70" s="67">
        <v>1.0000103067282322</v>
      </c>
      <c r="Q70" s="66">
        <v>0</v>
      </c>
      <c r="R70" s="67">
        <v>0</v>
      </c>
    </row>
    <row r="71" spans="1:18" ht="15.6" x14ac:dyDescent="0.3">
      <c r="A71" s="218">
        <v>59</v>
      </c>
      <c r="B71" s="205" t="s">
        <v>155</v>
      </c>
      <c r="C71" s="66">
        <v>96.299599999999998</v>
      </c>
      <c r="D71" s="66">
        <v>0</v>
      </c>
      <c r="E71" s="66">
        <v>100.3121</v>
      </c>
      <c r="F71" s="66">
        <v>96.299599999999998</v>
      </c>
      <c r="G71" s="66">
        <v>4.0125000000000002</v>
      </c>
      <c r="H71" s="66">
        <v>96.299599999999998</v>
      </c>
      <c r="I71" s="66">
        <v>0</v>
      </c>
      <c r="J71" s="66">
        <v>100.3121</v>
      </c>
      <c r="K71" s="66">
        <v>96.299599999999998</v>
      </c>
      <c r="L71" s="66">
        <v>0</v>
      </c>
      <c r="M71" s="66">
        <v>4.0125000000000002</v>
      </c>
      <c r="N71" s="67">
        <v>100</v>
      </c>
      <c r="O71" s="67">
        <v>100</v>
      </c>
      <c r="P71" s="67">
        <v>4.0000159502193657</v>
      </c>
      <c r="Q71" s="66">
        <v>0</v>
      </c>
      <c r="R71" s="67">
        <v>0</v>
      </c>
    </row>
    <row r="72" spans="1:18" ht="15.6" x14ac:dyDescent="0.3">
      <c r="A72" s="218">
        <v>60</v>
      </c>
      <c r="B72" s="205" t="s">
        <v>158</v>
      </c>
      <c r="C72" s="66">
        <v>96.167299999999997</v>
      </c>
      <c r="D72" s="66">
        <v>0</v>
      </c>
      <c r="E72" s="66">
        <v>100.1743</v>
      </c>
      <c r="F72" s="66">
        <v>96.167299999999997</v>
      </c>
      <c r="G72" s="66">
        <v>4.0069999999999997</v>
      </c>
      <c r="H72" s="66">
        <v>96.167250269999997</v>
      </c>
      <c r="I72" s="66">
        <v>0</v>
      </c>
      <c r="J72" s="66">
        <v>100.17424820000001</v>
      </c>
      <c r="K72" s="66">
        <v>96.167250269999997</v>
      </c>
      <c r="L72" s="66">
        <v>0</v>
      </c>
      <c r="M72" s="66">
        <v>4.0069979299999998</v>
      </c>
      <c r="N72" s="67">
        <v>99.99994828803554</v>
      </c>
      <c r="O72" s="67">
        <v>99.999948340404302</v>
      </c>
      <c r="P72" s="67">
        <v>4.0000279532918919</v>
      </c>
      <c r="Q72" s="66">
        <v>0</v>
      </c>
      <c r="R72" s="67">
        <v>0</v>
      </c>
    </row>
    <row r="73" spans="1:18" ht="15.6" x14ac:dyDescent="0.3">
      <c r="A73" s="218">
        <v>61</v>
      </c>
      <c r="B73" s="205" t="s">
        <v>161</v>
      </c>
      <c r="C73" s="66">
        <v>86.575400000000002</v>
      </c>
      <c r="D73" s="66">
        <v>0</v>
      </c>
      <c r="E73" s="66">
        <v>87.449898989999994</v>
      </c>
      <c r="F73" s="66">
        <v>86.575400000000002</v>
      </c>
      <c r="G73" s="66">
        <v>0.87449898999999998</v>
      </c>
      <c r="H73" s="66">
        <v>86.575400000000002</v>
      </c>
      <c r="I73" s="66">
        <v>0</v>
      </c>
      <c r="J73" s="66">
        <v>87.449898989999994</v>
      </c>
      <c r="K73" s="66">
        <v>86.575400000000002</v>
      </c>
      <c r="L73" s="66">
        <v>0</v>
      </c>
      <c r="M73" s="66">
        <v>0.87449898999999998</v>
      </c>
      <c r="N73" s="67">
        <v>100</v>
      </c>
      <c r="O73" s="67">
        <v>100</v>
      </c>
      <c r="P73" s="67">
        <v>1.0000000001143512</v>
      </c>
      <c r="Q73" s="66">
        <v>0</v>
      </c>
      <c r="R73" s="67">
        <v>0</v>
      </c>
    </row>
    <row r="74" spans="1:18" ht="15.6" x14ac:dyDescent="0.3">
      <c r="A74" s="218">
        <v>62</v>
      </c>
      <c r="B74" s="205" t="s">
        <v>164</v>
      </c>
      <c r="C74" s="66">
        <v>42.636899999999997</v>
      </c>
      <c r="D74" s="66">
        <v>0</v>
      </c>
      <c r="E74" s="66">
        <v>49.577790710000002</v>
      </c>
      <c r="F74" s="66">
        <v>42.636899999999997</v>
      </c>
      <c r="G74" s="66">
        <v>6.9408907099999997</v>
      </c>
      <c r="H74" s="66">
        <v>42.636899999999997</v>
      </c>
      <c r="I74" s="66">
        <v>0</v>
      </c>
      <c r="J74" s="66">
        <v>49.577790710000002</v>
      </c>
      <c r="K74" s="66">
        <v>42.636899999999997</v>
      </c>
      <c r="L74" s="66">
        <v>0</v>
      </c>
      <c r="M74" s="66">
        <v>6.9408907099999997</v>
      </c>
      <c r="N74" s="67">
        <v>100</v>
      </c>
      <c r="O74" s="67">
        <v>100</v>
      </c>
      <c r="P74" s="67">
        <v>14.00000002138054</v>
      </c>
      <c r="Q74" s="66">
        <v>0</v>
      </c>
      <c r="R74" s="67">
        <v>0</v>
      </c>
    </row>
    <row r="75" spans="1:18" ht="15.6" x14ac:dyDescent="0.3">
      <c r="A75" s="218">
        <v>63</v>
      </c>
      <c r="B75" s="205" t="s">
        <v>167</v>
      </c>
      <c r="C75" s="66">
        <v>68.1708</v>
      </c>
      <c r="D75" s="66">
        <v>0</v>
      </c>
      <c r="E75" s="66">
        <v>69.562042000000005</v>
      </c>
      <c r="F75" s="66">
        <v>68.1708</v>
      </c>
      <c r="G75" s="66">
        <v>1.3912420000000001</v>
      </c>
      <c r="H75" s="66">
        <v>68.1708</v>
      </c>
      <c r="I75" s="66">
        <v>0</v>
      </c>
      <c r="J75" s="66">
        <v>69.562042000000005</v>
      </c>
      <c r="K75" s="66">
        <v>68.1708</v>
      </c>
      <c r="L75" s="66">
        <v>0</v>
      </c>
      <c r="M75" s="66">
        <v>1.3912420000000001</v>
      </c>
      <c r="N75" s="67">
        <v>100</v>
      </c>
      <c r="O75" s="67">
        <v>100</v>
      </c>
      <c r="P75" s="67">
        <v>2.0000016675761185</v>
      </c>
      <c r="Q75" s="66">
        <v>0</v>
      </c>
      <c r="R75" s="67">
        <v>0</v>
      </c>
    </row>
    <row r="76" spans="1:18" ht="15.6" x14ac:dyDescent="0.3">
      <c r="A76" s="222">
        <v>64</v>
      </c>
      <c r="B76" s="205" t="s">
        <v>170</v>
      </c>
      <c r="C76" s="66">
        <v>78.634699999999995</v>
      </c>
      <c r="D76" s="66">
        <v>0</v>
      </c>
      <c r="E76" s="66">
        <v>81.066700999999995</v>
      </c>
      <c r="F76" s="66">
        <v>78.634699999999995</v>
      </c>
      <c r="G76" s="66">
        <v>2.4320010000000001</v>
      </c>
      <c r="H76" s="66">
        <v>78.634699999999995</v>
      </c>
      <c r="I76" s="66">
        <v>0</v>
      </c>
      <c r="J76" s="66">
        <v>81.066700999999995</v>
      </c>
      <c r="K76" s="66">
        <v>78.634699999999995</v>
      </c>
      <c r="L76" s="66">
        <v>0</v>
      </c>
      <c r="M76" s="66">
        <v>2.4320010000000001</v>
      </c>
      <c r="N76" s="67">
        <v>100</v>
      </c>
      <c r="O76" s="67">
        <v>100</v>
      </c>
      <c r="P76" s="67">
        <v>2.9999999629934373</v>
      </c>
      <c r="Q76" s="66">
        <v>0</v>
      </c>
      <c r="R76" s="67">
        <v>0</v>
      </c>
    </row>
    <row r="77" spans="1:18" ht="15.6" x14ac:dyDescent="0.3">
      <c r="A77" s="217">
        <v>65</v>
      </c>
      <c r="B77" s="203" t="s">
        <v>173</v>
      </c>
      <c r="C77" s="61">
        <v>215.72569999999999</v>
      </c>
      <c r="D77" s="61">
        <v>0</v>
      </c>
      <c r="E77" s="61">
        <v>292.34901589999998</v>
      </c>
      <c r="F77" s="61">
        <v>215.72569999999999</v>
      </c>
      <c r="G77" s="61">
        <v>76.623315900000009</v>
      </c>
      <c r="H77" s="61">
        <v>215.72328922000003</v>
      </c>
      <c r="I77" s="61">
        <v>0</v>
      </c>
      <c r="J77" s="61">
        <v>292.34084926999998</v>
      </c>
      <c r="K77" s="61">
        <v>215.72328922000003</v>
      </c>
      <c r="L77" s="61">
        <v>0</v>
      </c>
      <c r="M77" s="61">
        <v>76.617560050000009</v>
      </c>
      <c r="N77" s="61">
        <v>99.998882478999974</v>
      </c>
      <c r="O77" s="61">
        <v>99.992488122013</v>
      </c>
      <c r="P77" s="61">
        <v>26.208297691314979</v>
      </c>
      <c r="Q77" s="61">
        <v>0</v>
      </c>
      <c r="R77" s="61">
        <v>0</v>
      </c>
    </row>
    <row r="78" spans="1:18" ht="15.6" x14ac:dyDescent="0.3">
      <c r="A78" s="218">
        <v>66</v>
      </c>
      <c r="B78" s="205" t="s">
        <v>176</v>
      </c>
      <c r="C78" s="66">
        <v>65.598500000000001</v>
      </c>
      <c r="D78" s="66">
        <v>0</v>
      </c>
      <c r="E78" s="66">
        <v>66.937244899999996</v>
      </c>
      <c r="F78" s="66">
        <v>65.598500000000001</v>
      </c>
      <c r="G78" s="66">
        <v>1.3387449</v>
      </c>
      <c r="H78" s="66">
        <v>65.598500000000001</v>
      </c>
      <c r="I78" s="66">
        <v>0</v>
      </c>
      <c r="J78" s="66">
        <v>66.937244899999996</v>
      </c>
      <c r="K78" s="66">
        <v>65.598500000000001</v>
      </c>
      <c r="L78" s="66">
        <v>0</v>
      </c>
      <c r="M78" s="66">
        <v>1.3387449</v>
      </c>
      <c r="N78" s="67">
        <v>100</v>
      </c>
      <c r="O78" s="67">
        <v>100</v>
      </c>
      <c r="P78" s="67">
        <v>2.0000000029878731</v>
      </c>
      <c r="Q78" s="66">
        <v>0</v>
      </c>
      <c r="R78" s="67">
        <v>0</v>
      </c>
    </row>
    <row r="79" spans="1:18" ht="15.6" x14ac:dyDescent="0.3">
      <c r="A79" s="218">
        <v>67</v>
      </c>
      <c r="B79" s="205" t="s">
        <v>179</v>
      </c>
      <c r="C79" s="66">
        <v>75.617400000000004</v>
      </c>
      <c r="D79" s="66">
        <v>0</v>
      </c>
      <c r="E79" s="66">
        <v>81.309100000000001</v>
      </c>
      <c r="F79" s="66">
        <v>75.617400000000004</v>
      </c>
      <c r="G79" s="66">
        <v>5.6917</v>
      </c>
      <c r="H79" s="66">
        <v>75.616193230000007</v>
      </c>
      <c r="I79" s="66">
        <v>0</v>
      </c>
      <c r="J79" s="66">
        <v>81.307802370000005</v>
      </c>
      <c r="K79" s="66">
        <v>75.616193230000007</v>
      </c>
      <c r="L79" s="66">
        <v>0</v>
      </c>
      <c r="M79" s="66">
        <v>5.6916091399999997</v>
      </c>
      <c r="N79" s="67">
        <v>99.998404110694111</v>
      </c>
      <c r="O79" s="67">
        <v>99.998403640388631</v>
      </c>
      <c r="P79" s="67">
        <v>7.000077451484561</v>
      </c>
      <c r="Q79" s="66">
        <v>0</v>
      </c>
      <c r="R79" s="67">
        <v>0</v>
      </c>
    </row>
    <row r="80" spans="1:18" ht="15.6" x14ac:dyDescent="0.3">
      <c r="A80" s="218">
        <v>68</v>
      </c>
      <c r="B80" s="205" t="s">
        <v>182</v>
      </c>
      <c r="C80" s="66">
        <v>11.158200000000001</v>
      </c>
      <c r="D80" s="66">
        <v>0</v>
      </c>
      <c r="E80" s="66">
        <v>63.658200000000001</v>
      </c>
      <c r="F80" s="66">
        <v>11.158200000000001</v>
      </c>
      <c r="G80" s="66">
        <v>52.5</v>
      </c>
      <c r="H80" s="66">
        <v>11.15699599</v>
      </c>
      <c r="I80" s="66">
        <v>0</v>
      </c>
      <c r="J80" s="66">
        <v>63.651330999999999</v>
      </c>
      <c r="K80" s="66">
        <v>11.15699599</v>
      </c>
      <c r="L80" s="66">
        <v>0</v>
      </c>
      <c r="M80" s="66">
        <v>52.49433501</v>
      </c>
      <c r="N80" s="67">
        <v>99.989209639547596</v>
      </c>
      <c r="O80" s="67">
        <v>99.989209542857139</v>
      </c>
      <c r="P80" s="67">
        <v>82.47170041110374</v>
      </c>
      <c r="Q80" s="66">
        <v>0</v>
      </c>
      <c r="R80" s="67">
        <v>0</v>
      </c>
    </row>
    <row r="81" spans="1:18" ht="31.2" x14ac:dyDescent="0.3">
      <c r="A81" s="218">
        <v>69</v>
      </c>
      <c r="B81" s="213" t="s">
        <v>300</v>
      </c>
      <c r="C81" s="66">
        <v>5.7747999999999999</v>
      </c>
      <c r="D81" s="66">
        <v>0</v>
      </c>
      <c r="E81" s="66">
        <v>14.8072</v>
      </c>
      <c r="F81" s="66">
        <v>5.7747999999999999</v>
      </c>
      <c r="G81" s="66">
        <v>9.0324000000000009</v>
      </c>
      <c r="H81" s="66">
        <v>5.7747999999999999</v>
      </c>
      <c r="I81" s="66">
        <v>0</v>
      </c>
      <c r="J81" s="66">
        <v>14.8072</v>
      </c>
      <c r="K81" s="66">
        <v>5.7747999999999999</v>
      </c>
      <c r="L81" s="66">
        <v>0</v>
      </c>
      <c r="M81" s="66">
        <v>9.0324000000000009</v>
      </c>
      <c r="N81" s="67">
        <v>100</v>
      </c>
      <c r="O81" s="67">
        <v>100</v>
      </c>
      <c r="P81" s="67">
        <v>61.000054027770275</v>
      </c>
      <c r="Q81" s="66">
        <v>0</v>
      </c>
      <c r="R81" s="67">
        <v>0</v>
      </c>
    </row>
    <row r="82" spans="1:18" ht="31.2" x14ac:dyDescent="0.3">
      <c r="A82" s="218">
        <v>70</v>
      </c>
      <c r="B82" s="213" t="s">
        <v>301</v>
      </c>
      <c r="C82" s="66">
        <v>0.92789999999999995</v>
      </c>
      <c r="D82" s="66">
        <v>0</v>
      </c>
      <c r="E82" s="66">
        <v>6.6280000000000001</v>
      </c>
      <c r="F82" s="66">
        <v>0.92789999999999995</v>
      </c>
      <c r="G82" s="66">
        <v>5.7000999999999999</v>
      </c>
      <c r="H82" s="66">
        <v>0.92789999999999995</v>
      </c>
      <c r="I82" s="66">
        <v>0</v>
      </c>
      <c r="J82" s="66">
        <v>6.6280000000000001</v>
      </c>
      <c r="K82" s="66">
        <v>0.92789999999999995</v>
      </c>
      <c r="L82" s="66">
        <v>0</v>
      </c>
      <c r="M82" s="66">
        <v>5.7000999999999999</v>
      </c>
      <c r="N82" s="67">
        <v>100</v>
      </c>
      <c r="O82" s="67">
        <v>100</v>
      </c>
      <c r="P82" s="67">
        <v>86.000301750150882</v>
      </c>
      <c r="Q82" s="66">
        <v>0</v>
      </c>
      <c r="R82" s="67">
        <v>0</v>
      </c>
    </row>
    <row r="83" spans="1:18" ht="15.6" x14ac:dyDescent="0.3">
      <c r="A83" s="222">
        <v>71</v>
      </c>
      <c r="B83" s="205" t="s">
        <v>189</v>
      </c>
      <c r="C83" s="66">
        <v>56.648899999999998</v>
      </c>
      <c r="D83" s="66">
        <v>0</v>
      </c>
      <c r="E83" s="66">
        <v>59.009270999999998</v>
      </c>
      <c r="F83" s="66">
        <v>56.648899999999998</v>
      </c>
      <c r="G83" s="66">
        <v>2.3603710000000002</v>
      </c>
      <c r="H83" s="66">
        <v>56.648899999999998</v>
      </c>
      <c r="I83" s="66">
        <v>0</v>
      </c>
      <c r="J83" s="66">
        <v>59.009270999999998</v>
      </c>
      <c r="K83" s="66">
        <v>56.648899999999998</v>
      </c>
      <c r="L83" s="66">
        <v>0</v>
      </c>
      <c r="M83" s="66">
        <v>2.3603710000000002</v>
      </c>
      <c r="N83" s="67">
        <v>100</v>
      </c>
      <c r="O83" s="67">
        <v>100</v>
      </c>
      <c r="P83" s="67">
        <v>4.0000002711438345</v>
      </c>
      <c r="Q83" s="66">
        <v>0</v>
      </c>
      <c r="R83" s="67">
        <v>0</v>
      </c>
    </row>
    <row r="84" spans="1:18" ht="15.6" x14ac:dyDescent="0.3">
      <c r="A84" s="217">
        <v>72</v>
      </c>
      <c r="B84" s="203" t="s">
        <v>192</v>
      </c>
      <c r="C84" s="61">
        <v>490.3544</v>
      </c>
      <c r="D84" s="61">
        <v>0</v>
      </c>
      <c r="E84" s="61">
        <v>502.46304520000001</v>
      </c>
      <c r="F84" s="61">
        <v>490.3544</v>
      </c>
      <c r="G84" s="61">
        <v>12.1086452</v>
      </c>
      <c r="H84" s="61">
        <v>490.35398156000002</v>
      </c>
      <c r="I84" s="61">
        <v>0</v>
      </c>
      <c r="J84" s="61">
        <v>502.46261822000002</v>
      </c>
      <c r="K84" s="61">
        <v>490.35398156000002</v>
      </c>
      <c r="L84" s="61">
        <v>0</v>
      </c>
      <c r="M84" s="61">
        <v>12.10863666</v>
      </c>
      <c r="N84" s="61">
        <v>99.999914665800901</v>
      </c>
      <c r="O84" s="61">
        <v>99.999929471878488</v>
      </c>
      <c r="P84" s="61">
        <v>2.4098582105262825</v>
      </c>
      <c r="Q84" s="61">
        <v>0</v>
      </c>
      <c r="R84" s="61">
        <v>0</v>
      </c>
    </row>
    <row r="85" spans="1:18" ht="15.6" x14ac:dyDescent="0.3">
      <c r="A85" s="222">
        <v>73</v>
      </c>
      <c r="B85" s="205" t="s">
        <v>195</v>
      </c>
      <c r="C85" s="66">
        <v>30.744</v>
      </c>
      <c r="D85" s="66">
        <v>0</v>
      </c>
      <c r="E85" s="66">
        <v>31.054545449999999</v>
      </c>
      <c r="F85" s="66">
        <v>30.744</v>
      </c>
      <c r="G85" s="66">
        <v>0.31054545</v>
      </c>
      <c r="H85" s="66">
        <v>30.744</v>
      </c>
      <c r="I85" s="66">
        <v>0</v>
      </c>
      <c r="J85" s="66">
        <v>31.054545449999999</v>
      </c>
      <c r="K85" s="66">
        <v>30.744</v>
      </c>
      <c r="L85" s="66">
        <v>0</v>
      </c>
      <c r="M85" s="66">
        <v>0.31054545</v>
      </c>
      <c r="N85" s="67">
        <v>100</v>
      </c>
      <c r="O85" s="67">
        <v>100</v>
      </c>
      <c r="P85" s="67">
        <v>0.99999998550936775</v>
      </c>
      <c r="Q85" s="66">
        <v>0</v>
      </c>
      <c r="R85" s="67">
        <v>0</v>
      </c>
    </row>
    <row r="86" spans="1:18" ht="15.6" x14ac:dyDescent="0.3">
      <c r="A86" s="218">
        <v>74</v>
      </c>
      <c r="B86" s="205" t="s">
        <v>201</v>
      </c>
      <c r="C86" s="66">
        <v>76.633300000000006</v>
      </c>
      <c r="D86" s="66">
        <v>0</v>
      </c>
      <c r="E86" s="66">
        <v>77.407373739999997</v>
      </c>
      <c r="F86" s="66">
        <v>76.633300000000006</v>
      </c>
      <c r="G86" s="66">
        <v>0.77407373999999995</v>
      </c>
      <c r="H86" s="66">
        <v>76.633300000000006</v>
      </c>
      <c r="I86" s="66">
        <v>0</v>
      </c>
      <c r="J86" s="66">
        <v>77.407373739999997</v>
      </c>
      <c r="K86" s="66">
        <v>76.633300000000006</v>
      </c>
      <c r="L86" s="66">
        <v>0</v>
      </c>
      <c r="M86" s="66">
        <v>0.77407373999999995</v>
      </c>
      <c r="N86" s="67">
        <v>100</v>
      </c>
      <c r="O86" s="67">
        <v>100</v>
      </c>
      <c r="P86" s="67">
        <v>1.0000000033588532</v>
      </c>
      <c r="Q86" s="66">
        <v>0</v>
      </c>
      <c r="R86" s="67">
        <v>0</v>
      </c>
    </row>
    <row r="87" spans="1:18" ht="15.6" x14ac:dyDescent="0.3">
      <c r="A87" s="222">
        <v>75</v>
      </c>
      <c r="B87" s="205" t="s">
        <v>204</v>
      </c>
      <c r="C87" s="66">
        <v>44.009500000000003</v>
      </c>
      <c r="D87" s="66">
        <v>0</v>
      </c>
      <c r="E87" s="66">
        <v>44.454099999999997</v>
      </c>
      <c r="F87" s="66">
        <v>44.009500000000003</v>
      </c>
      <c r="G87" s="66">
        <v>0.4446</v>
      </c>
      <c r="H87" s="66">
        <v>44.009500000000003</v>
      </c>
      <c r="I87" s="66">
        <v>0</v>
      </c>
      <c r="J87" s="66">
        <v>44.454099999999997</v>
      </c>
      <c r="K87" s="66">
        <v>44.009500000000003</v>
      </c>
      <c r="L87" s="66">
        <v>0</v>
      </c>
      <c r="M87" s="66">
        <v>0.4446</v>
      </c>
      <c r="N87" s="67">
        <v>100</v>
      </c>
      <c r="O87" s="67">
        <v>100</v>
      </c>
      <c r="P87" s="67">
        <v>1.0001327211663267</v>
      </c>
      <c r="Q87" s="66">
        <v>0</v>
      </c>
      <c r="R87" s="67">
        <v>0</v>
      </c>
    </row>
    <row r="88" spans="1:18" ht="15.6" x14ac:dyDescent="0.3">
      <c r="A88" s="218">
        <v>76</v>
      </c>
      <c r="B88" s="205" t="s">
        <v>207</v>
      </c>
      <c r="C88" s="66">
        <v>63.705399999999997</v>
      </c>
      <c r="D88" s="66">
        <v>0</v>
      </c>
      <c r="E88" s="66">
        <v>64.348888889999998</v>
      </c>
      <c r="F88" s="66">
        <v>63.705399999999997</v>
      </c>
      <c r="G88" s="66">
        <v>0.64348888999999998</v>
      </c>
      <c r="H88" s="66">
        <v>63.705399999999997</v>
      </c>
      <c r="I88" s="66">
        <v>0</v>
      </c>
      <c r="J88" s="66">
        <v>64.348888889999998</v>
      </c>
      <c r="K88" s="66">
        <v>63.705399999999997</v>
      </c>
      <c r="L88" s="66">
        <v>0</v>
      </c>
      <c r="M88" s="66">
        <v>0.64348888999999998</v>
      </c>
      <c r="N88" s="67">
        <v>100</v>
      </c>
      <c r="O88" s="67">
        <v>100</v>
      </c>
      <c r="P88" s="67">
        <v>1.0000000017094313</v>
      </c>
      <c r="Q88" s="66">
        <v>0</v>
      </c>
      <c r="R88" s="67">
        <v>0</v>
      </c>
    </row>
    <row r="89" spans="1:18" ht="15.6" x14ac:dyDescent="0.3">
      <c r="A89" s="222">
        <v>77</v>
      </c>
      <c r="B89" s="205" t="s">
        <v>213</v>
      </c>
      <c r="C89" s="66">
        <v>48.220999999999997</v>
      </c>
      <c r="D89" s="66">
        <v>0</v>
      </c>
      <c r="E89" s="66">
        <v>50.758947369999994</v>
      </c>
      <c r="F89" s="66">
        <v>48.220999999999997</v>
      </c>
      <c r="G89" s="66">
        <v>2.5379473699999999</v>
      </c>
      <c r="H89" s="66">
        <v>48.220999999999997</v>
      </c>
      <c r="I89" s="66">
        <v>0</v>
      </c>
      <c r="J89" s="66">
        <v>50.758947369999994</v>
      </c>
      <c r="K89" s="66">
        <v>48.220999999999997</v>
      </c>
      <c r="L89" s="66">
        <v>0</v>
      </c>
      <c r="M89" s="66">
        <v>2.5379473699999999</v>
      </c>
      <c r="N89" s="67">
        <v>100</v>
      </c>
      <c r="O89" s="67">
        <v>100</v>
      </c>
      <c r="P89" s="67">
        <v>5.0000000029551446</v>
      </c>
      <c r="Q89" s="66">
        <v>0</v>
      </c>
      <c r="R89" s="67">
        <v>0</v>
      </c>
    </row>
    <row r="90" spans="1:18" ht="15.6" x14ac:dyDescent="0.3">
      <c r="A90" s="218">
        <v>78</v>
      </c>
      <c r="B90" s="205" t="s">
        <v>216</v>
      </c>
      <c r="C90" s="66">
        <v>61.520499999999998</v>
      </c>
      <c r="D90" s="66">
        <v>0</v>
      </c>
      <c r="E90" s="66">
        <v>64.0839</v>
      </c>
      <c r="F90" s="66">
        <v>61.520499999999998</v>
      </c>
      <c r="G90" s="66">
        <v>2.5634000000000001</v>
      </c>
      <c r="H90" s="66">
        <v>61.520499999999998</v>
      </c>
      <c r="I90" s="66">
        <v>0</v>
      </c>
      <c r="J90" s="66">
        <v>64.0839</v>
      </c>
      <c r="K90" s="66">
        <v>61.520499999999998</v>
      </c>
      <c r="L90" s="66">
        <v>0</v>
      </c>
      <c r="M90" s="66">
        <v>2.5634000000000001</v>
      </c>
      <c r="N90" s="67">
        <v>100</v>
      </c>
      <c r="O90" s="67">
        <v>100</v>
      </c>
      <c r="P90" s="67">
        <v>4.0000686599910438</v>
      </c>
      <c r="Q90" s="66">
        <v>0</v>
      </c>
      <c r="R90" s="67">
        <v>0</v>
      </c>
    </row>
    <row r="91" spans="1:18" ht="15.6" x14ac:dyDescent="0.3">
      <c r="A91" s="222">
        <v>79</v>
      </c>
      <c r="B91" s="205" t="s">
        <v>219</v>
      </c>
      <c r="C91" s="66">
        <v>28.0214</v>
      </c>
      <c r="D91" s="66">
        <v>0</v>
      </c>
      <c r="E91" s="66">
        <v>28.88804124</v>
      </c>
      <c r="F91" s="66">
        <v>28.0214</v>
      </c>
      <c r="G91" s="66">
        <v>0.86664123999999998</v>
      </c>
      <c r="H91" s="66">
        <v>28.0214</v>
      </c>
      <c r="I91" s="66">
        <v>0</v>
      </c>
      <c r="J91" s="66">
        <v>28.88804124</v>
      </c>
      <c r="K91" s="66">
        <v>28.0214</v>
      </c>
      <c r="L91" s="66">
        <v>0</v>
      </c>
      <c r="M91" s="66">
        <v>0.86664123999999998</v>
      </c>
      <c r="N91" s="67">
        <v>100</v>
      </c>
      <c r="O91" s="67">
        <v>100</v>
      </c>
      <c r="P91" s="67">
        <v>3.0000000096925921</v>
      </c>
      <c r="Q91" s="66">
        <v>0</v>
      </c>
      <c r="R91" s="67">
        <v>0</v>
      </c>
    </row>
    <row r="92" spans="1:18" ht="15.6" x14ac:dyDescent="0.3">
      <c r="A92" s="218">
        <v>80</v>
      </c>
      <c r="B92" s="205" t="s">
        <v>222</v>
      </c>
      <c r="C92" s="66">
        <v>42.1524</v>
      </c>
      <c r="D92" s="66">
        <v>0</v>
      </c>
      <c r="E92" s="66">
        <v>43.908749999999998</v>
      </c>
      <c r="F92" s="66">
        <v>42.1524</v>
      </c>
      <c r="G92" s="66">
        <v>1.7563500000000001</v>
      </c>
      <c r="H92" s="66">
        <v>42.1524</v>
      </c>
      <c r="I92" s="66">
        <v>0</v>
      </c>
      <c r="J92" s="66">
        <v>43.908749999999998</v>
      </c>
      <c r="K92" s="66">
        <v>42.1524</v>
      </c>
      <c r="L92" s="66">
        <v>0</v>
      </c>
      <c r="M92" s="66">
        <v>1.7563500000000001</v>
      </c>
      <c r="N92" s="67">
        <v>100</v>
      </c>
      <c r="O92" s="67">
        <v>100</v>
      </c>
      <c r="P92" s="67">
        <v>4</v>
      </c>
      <c r="Q92" s="66">
        <v>0</v>
      </c>
      <c r="R92" s="67">
        <v>0</v>
      </c>
    </row>
    <row r="93" spans="1:18" ht="15.6" x14ac:dyDescent="0.3">
      <c r="A93" s="222">
        <v>81</v>
      </c>
      <c r="B93" s="205" t="s">
        <v>225</v>
      </c>
      <c r="C93" s="66">
        <v>70.085400000000007</v>
      </c>
      <c r="D93" s="66">
        <v>0</v>
      </c>
      <c r="E93" s="66">
        <v>71.515715</v>
      </c>
      <c r="F93" s="66">
        <v>70.085400000000007</v>
      </c>
      <c r="G93" s="66">
        <v>1.430315</v>
      </c>
      <c r="H93" s="66">
        <v>70.084981560000003</v>
      </c>
      <c r="I93" s="66">
        <v>0</v>
      </c>
      <c r="J93" s="66">
        <v>71.51528802</v>
      </c>
      <c r="K93" s="66">
        <v>70.084981560000003</v>
      </c>
      <c r="L93" s="66">
        <v>0</v>
      </c>
      <c r="M93" s="66">
        <v>1.4303064599999999</v>
      </c>
      <c r="N93" s="67">
        <v>99.99940295696392</v>
      </c>
      <c r="O93" s="67">
        <v>99.999402928725488</v>
      </c>
      <c r="P93" s="67">
        <v>2.0000009782523702</v>
      </c>
      <c r="Q93" s="66">
        <v>0</v>
      </c>
      <c r="R93" s="67">
        <v>0</v>
      </c>
    </row>
    <row r="94" spans="1:18" ht="15.6" x14ac:dyDescent="0.3">
      <c r="A94" s="218">
        <v>82</v>
      </c>
      <c r="B94" s="205" t="s">
        <v>228</v>
      </c>
      <c r="C94" s="66">
        <v>25.261500000000002</v>
      </c>
      <c r="D94" s="66">
        <v>0</v>
      </c>
      <c r="E94" s="66">
        <v>26.042783510000003</v>
      </c>
      <c r="F94" s="66">
        <v>25.261500000000002</v>
      </c>
      <c r="G94" s="66">
        <v>0.78128350999999996</v>
      </c>
      <c r="H94" s="66">
        <v>25.261500000000002</v>
      </c>
      <c r="I94" s="66">
        <v>0</v>
      </c>
      <c r="J94" s="66">
        <v>26.042783510000003</v>
      </c>
      <c r="K94" s="66">
        <v>25.261500000000002</v>
      </c>
      <c r="L94" s="66">
        <v>0</v>
      </c>
      <c r="M94" s="66">
        <v>0.78128350999999996</v>
      </c>
      <c r="N94" s="67">
        <v>100</v>
      </c>
      <c r="O94" s="67">
        <v>100</v>
      </c>
      <c r="P94" s="67">
        <v>3.0000000180472255</v>
      </c>
      <c r="Q94" s="66">
        <v>0</v>
      </c>
      <c r="R94" s="67">
        <v>0</v>
      </c>
    </row>
    <row r="95" spans="1:18" ht="15.6" x14ac:dyDescent="0.3">
      <c r="A95" s="217">
        <v>83</v>
      </c>
      <c r="B95" s="203" t="s">
        <v>231</v>
      </c>
      <c r="C95" s="61">
        <v>357.33629999999999</v>
      </c>
      <c r="D95" s="61">
        <v>0</v>
      </c>
      <c r="E95" s="61">
        <v>371.02642469</v>
      </c>
      <c r="F95" s="61">
        <v>357.33629999999999</v>
      </c>
      <c r="G95" s="61">
        <v>13.690124690000001</v>
      </c>
      <c r="H95" s="61">
        <v>357.33556416999994</v>
      </c>
      <c r="I95" s="61">
        <v>0</v>
      </c>
      <c r="J95" s="61">
        <v>371.02567411999996</v>
      </c>
      <c r="K95" s="61">
        <v>357.33556416999994</v>
      </c>
      <c r="L95" s="61">
        <v>0</v>
      </c>
      <c r="M95" s="61">
        <v>13.69010995</v>
      </c>
      <c r="N95" s="61">
        <v>99.999794079134958</v>
      </c>
      <c r="O95" s="61">
        <v>99.999892331148658</v>
      </c>
      <c r="P95" s="61">
        <v>3.6898012469002999</v>
      </c>
      <c r="Q95" s="61">
        <v>0</v>
      </c>
      <c r="R95" s="61">
        <v>0</v>
      </c>
    </row>
    <row r="96" spans="1:18" ht="15.6" x14ac:dyDescent="0.3">
      <c r="A96" s="218">
        <v>84</v>
      </c>
      <c r="B96" s="205" t="s">
        <v>198</v>
      </c>
      <c r="C96" s="66">
        <v>59.290799999999997</v>
      </c>
      <c r="D96" s="66">
        <v>0</v>
      </c>
      <c r="E96" s="66">
        <v>60.500816329999999</v>
      </c>
      <c r="F96" s="66">
        <v>59.290799999999997</v>
      </c>
      <c r="G96" s="66">
        <v>1.21001633</v>
      </c>
      <c r="H96" s="66">
        <v>59.29012299</v>
      </c>
      <c r="I96" s="66">
        <v>0</v>
      </c>
      <c r="J96" s="66">
        <v>60.500125500000003</v>
      </c>
      <c r="K96" s="66">
        <v>59.29012299</v>
      </c>
      <c r="L96" s="66">
        <v>0</v>
      </c>
      <c r="M96" s="66">
        <v>1.21000251</v>
      </c>
      <c r="N96" s="67">
        <v>99.998858153372865</v>
      </c>
      <c r="O96" s="67">
        <v>99.998857866653751</v>
      </c>
      <c r="P96" s="67">
        <v>2</v>
      </c>
      <c r="Q96" s="66">
        <v>0</v>
      </c>
      <c r="R96" s="67">
        <v>0</v>
      </c>
    </row>
    <row r="97" spans="1:18" ht="15.6" x14ac:dyDescent="0.3">
      <c r="A97" s="218">
        <v>85</v>
      </c>
      <c r="B97" s="205" t="s">
        <v>234</v>
      </c>
      <c r="C97" s="66">
        <v>95.855699999999999</v>
      </c>
      <c r="D97" s="66">
        <v>0</v>
      </c>
      <c r="E97" s="66">
        <v>96.8239394</v>
      </c>
      <c r="F97" s="66">
        <v>95.855699999999999</v>
      </c>
      <c r="G97" s="66">
        <v>0.96823939999999997</v>
      </c>
      <c r="H97" s="66">
        <v>95.855699999999999</v>
      </c>
      <c r="I97" s="66">
        <v>0</v>
      </c>
      <c r="J97" s="66">
        <v>96.8239394</v>
      </c>
      <c r="K97" s="66">
        <v>95.855699999999999</v>
      </c>
      <c r="L97" s="66">
        <v>0</v>
      </c>
      <c r="M97" s="66">
        <v>0.96823939999999997</v>
      </c>
      <c r="N97" s="67">
        <v>100</v>
      </c>
      <c r="O97" s="67">
        <v>100</v>
      </c>
      <c r="P97" s="67">
        <v>1.0000000061968146</v>
      </c>
      <c r="Q97" s="66">
        <v>0</v>
      </c>
      <c r="R97" s="67">
        <v>0</v>
      </c>
    </row>
    <row r="98" spans="1:18" ht="15.6" x14ac:dyDescent="0.3">
      <c r="A98" s="218">
        <v>86</v>
      </c>
      <c r="B98" s="205" t="s">
        <v>210</v>
      </c>
      <c r="C98" s="66">
        <v>51.062100000000001</v>
      </c>
      <c r="D98" s="66">
        <v>0</v>
      </c>
      <c r="E98" s="66">
        <v>52.104183670000005</v>
      </c>
      <c r="F98" s="66">
        <v>51.062100000000001</v>
      </c>
      <c r="G98" s="66">
        <v>1.04208367</v>
      </c>
      <c r="H98" s="66">
        <v>51.062100000000001</v>
      </c>
      <c r="I98" s="66">
        <v>0</v>
      </c>
      <c r="J98" s="66">
        <v>52.104183670000005</v>
      </c>
      <c r="K98" s="66">
        <v>51.062100000000001</v>
      </c>
      <c r="L98" s="66">
        <v>0</v>
      </c>
      <c r="M98" s="66">
        <v>1.04208367</v>
      </c>
      <c r="N98" s="67">
        <v>100</v>
      </c>
      <c r="O98" s="67">
        <v>100</v>
      </c>
      <c r="P98" s="67">
        <v>1.9999999934746122</v>
      </c>
      <c r="Q98" s="66">
        <v>0</v>
      </c>
      <c r="R98" s="67">
        <v>0</v>
      </c>
    </row>
    <row r="99" spans="1:18" ht="15.6" x14ac:dyDescent="0.3">
      <c r="A99" s="218">
        <v>87</v>
      </c>
      <c r="B99" s="205" t="s">
        <v>237</v>
      </c>
      <c r="C99" s="66">
        <v>16.052299999999999</v>
      </c>
      <c r="D99" s="66">
        <v>0</v>
      </c>
      <c r="E99" s="66">
        <v>16.87</v>
      </c>
      <c r="F99" s="66">
        <v>16.052299999999999</v>
      </c>
      <c r="G99" s="66">
        <v>0.81769999999999998</v>
      </c>
      <c r="H99" s="66">
        <v>16.052299999999999</v>
      </c>
      <c r="I99" s="66">
        <v>0</v>
      </c>
      <c r="J99" s="66">
        <v>16.87</v>
      </c>
      <c r="K99" s="66">
        <v>16.052299999999999</v>
      </c>
      <c r="L99" s="66">
        <v>0</v>
      </c>
      <c r="M99" s="66">
        <v>0.81769999999999998</v>
      </c>
      <c r="N99" s="67">
        <v>100</v>
      </c>
      <c r="O99" s="67">
        <v>100</v>
      </c>
      <c r="P99" s="67">
        <v>4.8470657972732658</v>
      </c>
      <c r="Q99" s="66">
        <v>0</v>
      </c>
      <c r="R99" s="67">
        <v>0</v>
      </c>
    </row>
    <row r="100" spans="1:18" ht="15.6" x14ac:dyDescent="0.3">
      <c r="A100" s="218">
        <v>88</v>
      </c>
      <c r="B100" s="205" t="s">
        <v>240</v>
      </c>
      <c r="C100" s="66">
        <v>32.293799999999997</v>
      </c>
      <c r="D100" s="66">
        <v>0</v>
      </c>
      <c r="E100" s="66">
        <v>32.952857139999999</v>
      </c>
      <c r="F100" s="66">
        <v>32.293799999999997</v>
      </c>
      <c r="G100" s="66">
        <v>0.65905714000000004</v>
      </c>
      <c r="H100" s="66">
        <v>32.293799999999997</v>
      </c>
      <c r="I100" s="66">
        <v>0</v>
      </c>
      <c r="J100" s="66">
        <v>32.952857139999999</v>
      </c>
      <c r="K100" s="66">
        <v>32.293799999999997</v>
      </c>
      <c r="L100" s="66">
        <v>0</v>
      </c>
      <c r="M100" s="66">
        <v>0.65905714000000004</v>
      </c>
      <c r="N100" s="67">
        <v>100</v>
      </c>
      <c r="O100" s="67">
        <v>100</v>
      </c>
      <c r="P100" s="67">
        <v>1.9999999915030133</v>
      </c>
      <c r="Q100" s="66">
        <v>0</v>
      </c>
      <c r="R100" s="67">
        <v>0</v>
      </c>
    </row>
    <row r="101" spans="1:18" ht="15.6" x14ac:dyDescent="0.3">
      <c r="A101" s="218">
        <v>89</v>
      </c>
      <c r="B101" s="205" t="s">
        <v>243</v>
      </c>
      <c r="C101" s="66">
        <v>31.479199999999999</v>
      </c>
      <c r="D101" s="66">
        <v>0</v>
      </c>
      <c r="E101" s="66">
        <v>32.452800000000003</v>
      </c>
      <c r="F101" s="66">
        <v>31.479199999999999</v>
      </c>
      <c r="G101" s="66">
        <v>0.97360000000000002</v>
      </c>
      <c r="H101" s="66">
        <v>31.479184190000002</v>
      </c>
      <c r="I101" s="66">
        <v>0</v>
      </c>
      <c r="J101" s="66">
        <v>32.452783699999998</v>
      </c>
      <c r="K101" s="66">
        <v>31.479184190000002</v>
      </c>
      <c r="L101" s="66">
        <v>0</v>
      </c>
      <c r="M101" s="66">
        <v>0.97359951</v>
      </c>
      <c r="N101" s="67">
        <v>99.999949776360282</v>
      </c>
      <c r="O101" s="67">
        <v>99.999949671322923</v>
      </c>
      <c r="P101" s="67">
        <v>3.0000492993148073</v>
      </c>
      <c r="Q101" s="66">
        <v>0</v>
      </c>
      <c r="R101" s="67">
        <v>0</v>
      </c>
    </row>
    <row r="102" spans="1:18" ht="15.6" x14ac:dyDescent="0.3">
      <c r="A102" s="218">
        <v>90</v>
      </c>
      <c r="B102" s="205" t="s">
        <v>246</v>
      </c>
      <c r="C102" s="66">
        <v>36.066499999999998</v>
      </c>
      <c r="D102" s="66">
        <v>0</v>
      </c>
      <c r="E102" s="66">
        <v>37.181958760000001</v>
      </c>
      <c r="F102" s="66">
        <v>36.066499999999998</v>
      </c>
      <c r="G102" s="66">
        <v>1.1154587600000001</v>
      </c>
      <c r="H102" s="66">
        <v>36.066499999999998</v>
      </c>
      <c r="I102" s="66">
        <v>0</v>
      </c>
      <c r="J102" s="66">
        <v>37.181958760000001</v>
      </c>
      <c r="K102" s="66">
        <v>36.066499999999998</v>
      </c>
      <c r="L102" s="66">
        <v>0</v>
      </c>
      <c r="M102" s="66">
        <v>1.1154587600000001</v>
      </c>
      <c r="N102" s="67">
        <v>100</v>
      </c>
      <c r="O102" s="67">
        <v>100</v>
      </c>
      <c r="P102" s="67">
        <v>2.9999999924694665</v>
      </c>
      <c r="Q102" s="66">
        <v>0</v>
      </c>
      <c r="R102" s="67">
        <v>0</v>
      </c>
    </row>
    <row r="103" spans="1:18" ht="15.6" x14ac:dyDescent="0.3">
      <c r="A103" s="218">
        <v>91</v>
      </c>
      <c r="B103" s="205" t="s">
        <v>249</v>
      </c>
      <c r="C103" s="66">
        <v>9.4808000000000003</v>
      </c>
      <c r="D103" s="66">
        <v>0</v>
      </c>
      <c r="E103" s="66">
        <v>9.6742857200000003</v>
      </c>
      <c r="F103" s="66">
        <v>9.4808000000000003</v>
      </c>
      <c r="G103" s="66">
        <v>0.19348572</v>
      </c>
      <c r="H103" s="66">
        <v>9.4808000000000003</v>
      </c>
      <c r="I103" s="66">
        <v>0</v>
      </c>
      <c r="J103" s="66">
        <v>9.6742857200000003</v>
      </c>
      <c r="K103" s="66">
        <v>9.4808000000000003</v>
      </c>
      <c r="L103" s="66">
        <v>0</v>
      </c>
      <c r="M103" s="66">
        <v>0.19348572</v>
      </c>
      <c r="N103" s="67">
        <v>100</v>
      </c>
      <c r="O103" s="67">
        <v>100</v>
      </c>
      <c r="P103" s="67">
        <v>2.0000000578854102</v>
      </c>
      <c r="Q103" s="66">
        <v>0</v>
      </c>
      <c r="R103" s="67">
        <v>0</v>
      </c>
    </row>
    <row r="104" spans="1:18" ht="15.6" x14ac:dyDescent="0.3">
      <c r="A104" s="218">
        <v>92</v>
      </c>
      <c r="B104" s="205" t="s">
        <v>252</v>
      </c>
      <c r="C104" s="66">
        <v>9.2928999999999995</v>
      </c>
      <c r="D104" s="66">
        <v>0</v>
      </c>
      <c r="E104" s="66">
        <v>15.7507</v>
      </c>
      <c r="F104" s="66">
        <v>9.2928999999999995</v>
      </c>
      <c r="G104" s="66">
        <v>6.4577999999999998</v>
      </c>
      <c r="H104" s="66">
        <v>9.2928999999999995</v>
      </c>
      <c r="I104" s="66">
        <v>0</v>
      </c>
      <c r="J104" s="66">
        <v>15.7507</v>
      </c>
      <c r="K104" s="66">
        <v>9.2928999999999995</v>
      </c>
      <c r="L104" s="66">
        <v>0</v>
      </c>
      <c r="M104" s="66">
        <v>6.4577999999999998</v>
      </c>
      <c r="N104" s="67">
        <v>100</v>
      </c>
      <c r="O104" s="67">
        <v>100</v>
      </c>
      <c r="P104" s="67">
        <v>41.000082536014268</v>
      </c>
      <c r="Q104" s="66">
        <v>0</v>
      </c>
      <c r="R104" s="67">
        <v>0</v>
      </c>
    </row>
    <row r="105" spans="1:18" ht="15.6" x14ac:dyDescent="0.3">
      <c r="A105" s="218">
        <v>93</v>
      </c>
      <c r="B105" s="205" t="s">
        <v>254</v>
      </c>
      <c r="C105" s="66">
        <v>8.0839999999999996</v>
      </c>
      <c r="D105" s="66">
        <v>0</v>
      </c>
      <c r="E105" s="66">
        <v>8.1656999999999993</v>
      </c>
      <c r="F105" s="66">
        <v>8.0839999999999996</v>
      </c>
      <c r="G105" s="66">
        <v>8.1699999999999995E-2</v>
      </c>
      <c r="H105" s="66">
        <v>8.0839569900000008</v>
      </c>
      <c r="I105" s="66">
        <v>0</v>
      </c>
      <c r="J105" s="66">
        <v>8.1656565600000004</v>
      </c>
      <c r="K105" s="66">
        <v>8.0839569900000008</v>
      </c>
      <c r="L105" s="66">
        <v>0</v>
      </c>
      <c r="M105" s="66">
        <v>8.1699570000000013E-2</v>
      </c>
      <c r="N105" s="67">
        <v>99.999467961405259</v>
      </c>
      <c r="O105" s="67">
        <v>99.999473684210543</v>
      </c>
      <c r="P105" s="67">
        <v>1.0005266496292615</v>
      </c>
      <c r="Q105" s="66">
        <v>0</v>
      </c>
      <c r="R105" s="67">
        <v>0</v>
      </c>
    </row>
    <row r="106" spans="1:18" ht="15.6" x14ac:dyDescent="0.3">
      <c r="A106" s="218">
        <v>94</v>
      </c>
      <c r="B106" s="205" t="s">
        <v>256</v>
      </c>
      <c r="C106" s="66">
        <v>8.3781999999999996</v>
      </c>
      <c r="D106" s="66">
        <v>0</v>
      </c>
      <c r="E106" s="66">
        <v>8.5491836699999997</v>
      </c>
      <c r="F106" s="66">
        <v>8.3781999999999996</v>
      </c>
      <c r="G106" s="66">
        <v>0.17098367</v>
      </c>
      <c r="H106" s="66">
        <v>8.3781999999999996</v>
      </c>
      <c r="I106" s="66">
        <v>0</v>
      </c>
      <c r="J106" s="66">
        <v>8.5491836699999997</v>
      </c>
      <c r="K106" s="66">
        <v>8.3781999999999996</v>
      </c>
      <c r="L106" s="66">
        <v>0</v>
      </c>
      <c r="M106" s="66">
        <v>0.17098367</v>
      </c>
      <c r="N106" s="67">
        <v>100</v>
      </c>
      <c r="O106" s="67">
        <v>100</v>
      </c>
      <c r="P106" s="67">
        <v>1.9999999602301211</v>
      </c>
      <c r="Q106" s="66">
        <v>0</v>
      </c>
      <c r="R106" s="67">
        <v>0</v>
      </c>
    </row>
    <row r="107" spans="1:18" ht="15.6" x14ac:dyDescent="0.3">
      <c r="A107" s="185"/>
      <c r="B107" s="185"/>
    </row>
  </sheetData>
  <mergeCells count="18">
    <mergeCell ref="P9:P11"/>
    <mergeCell ref="Q9:Q11"/>
    <mergeCell ref="K10:M10"/>
    <mergeCell ref="I9:I11"/>
    <mergeCell ref="J9:M9"/>
    <mergeCell ref="N9:O10"/>
    <mergeCell ref="D5:E5"/>
    <mergeCell ref="A7:A11"/>
    <mergeCell ref="B7:B11"/>
    <mergeCell ref="C7:R8"/>
    <mergeCell ref="C9:C11"/>
    <mergeCell ref="D9:D11"/>
    <mergeCell ref="E9:G9"/>
    <mergeCell ref="H9:H11"/>
    <mergeCell ref="R9:R11"/>
    <mergeCell ref="E10:E11"/>
    <mergeCell ref="F10:G10"/>
    <mergeCell ref="J10:J11"/>
  </mergeCells>
  <printOptions horizontalCentered="1"/>
  <pageMargins left="0.11811023622047245" right="0.11811023622047245" top="0.35433070866141736" bottom="0.11811023622047245" header="0.31496062992125984" footer="0.31496062992125984"/>
  <pageSetup paperSize="9" scale="42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6"/>
  <dimension ref="A1:IX106"/>
  <sheetViews>
    <sheetView view="pageBreakPreview" zoomScale="60" zoomScaleNormal="60" workbookViewId="0">
      <pane xSplit="2" ySplit="12" topLeftCell="C13" activePane="bottomRight" state="frozen"/>
      <selection activeCell="D21" sqref="D21"/>
      <selection pane="topRight" activeCell="D21" sqref="D21"/>
      <selection pane="bottomLeft" activeCell="D21" sqref="D21"/>
      <selection pane="bottomRight" activeCell="K26" sqref="K26"/>
    </sheetView>
  </sheetViews>
  <sheetFormatPr defaultRowHeight="14.4" outlineLevelCol="1" x14ac:dyDescent="0.3"/>
  <cols>
    <col min="1" max="1" width="5" customWidth="1"/>
    <col min="2" max="2" width="37" customWidth="1"/>
    <col min="3" max="4" width="18.6640625" customWidth="1"/>
    <col min="5" max="6" width="18.6640625" customWidth="1" outlineLevel="1"/>
    <col min="7" max="15" width="18.6640625" customWidth="1"/>
    <col min="16" max="18" width="18.6640625" customWidth="1" outlineLevel="1"/>
    <col min="19" max="20" width="18.6640625" customWidth="1"/>
    <col min="21" max="22" width="18.6640625" customWidth="1" outlineLevel="1"/>
    <col min="23" max="31" width="18.6640625" customWidth="1"/>
    <col min="32" max="34" width="18.6640625" customWidth="1" outlineLevel="1"/>
    <col min="35" max="36" width="18.6640625" style="126" customWidth="1"/>
    <col min="37" max="38" width="18.6640625" style="126" customWidth="1" outlineLevel="1"/>
    <col min="39" max="47" width="18.6640625" style="126" customWidth="1"/>
    <col min="48" max="50" width="18.6640625" style="126" customWidth="1" outlineLevel="1"/>
    <col min="51" max="52" width="18.6640625" customWidth="1"/>
    <col min="53" max="54" width="18.6640625" customWidth="1" outlineLevel="1"/>
    <col min="55" max="63" width="18.6640625" customWidth="1"/>
    <col min="64" max="66" width="18.6640625" customWidth="1" outlineLevel="1"/>
    <col min="67" max="68" width="18.6640625" style="126" customWidth="1"/>
    <col min="69" max="70" width="18.6640625" style="126" customWidth="1" outlineLevel="1"/>
    <col min="71" max="79" width="18.6640625" style="126" customWidth="1"/>
    <col min="80" max="82" width="18.6640625" style="126" customWidth="1" outlineLevel="1"/>
    <col min="83" max="84" width="18.6640625" style="126" customWidth="1"/>
    <col min="85" max="86" width="18.6640625" style="126" customWidth="1" outlineLevel="1"/>
    <col min="87" max="95" width="18.6640625" style="126" customWidth="1"/>
    <col min="96" max="98" width="18.6640625" style="126" customWidth="1" outlineLevel="1"/>
    <col min="99" max="100" width="18.6640625" style="126" customWidth="1"/>
    <col min="101" max="102" width="18.6640625" style="126" customWidth="1" outlineLevel="1"/>
    <col min="103" max="111" width="18.6640625" style="126" customWidth="1"/>
    <col min="112" max="114" width="18.6640625" style="126" customWidth="1" outlineLevel="1"/>
    <col min="115" max="116" width="18.6640625" style="126" customWidth="1"/>
    <col min="117" max="118" width="18.6640625" style="126" customWidth="1" outlineLevel="1"/>
    <col min="119" max="127" width="18.6640625" style="126" customWidth="1"/>
    <col min="128" max="130" width="18.6640625" style="126" customWidth="1" outlineLevel="1"/>
    <col min="131" max="132" width="18.6640625" style="126" customWidth="1"/>
    <col min="133" max="134" width="18.6640625" style="126" customWidth="1" outlineLevel="1"/>
    <col min="135" max="143" width="18.6640625" style="126" customWidth="1"/>
    <col min="144" max="146" width="18.6640625" style="126" customWidth="1" outlineLevel="1"/>
    <col min="147" max="148" width="18.6640625" style="126" customWidth="1"/>
    <col min="149" max="150" width="18.6640625" style="126" customWidth="1" outlineLevel="1"/>
    <col min="151" max="159" width="18.6640625" style="126" customWidth="1"/>
    <col min="160" max="162" width="18.6640625" style="126" customWidth="1" outlineLevel="1"/>
    <col min="163" max="164" width="18.6640625" style="126" customWidth="1"/>
    <col min="165" max="166" width="18.6640625" style="126" customWidth="1" outlineLevel="1"/>
    <col min="167" max="175" width="18.6640625" style="126" customWidth="1"/>
    <col min="176" max="178" width="18.6640625" style="126" customWidth="1" outlineLevel="1"/>
    <col min="179" max="180" width="18.6640625" customWidth="1"/>
    <col min="181" max="182" width="18.6640625" customWidth="1" outlineLevel="1"/>
    <col min="183" max="191" width="18.6640625" customWidth="1"/>
    <col min="192" max="194" width="18.6640625" customWidth="1" outlineLevel="1"/>
    <col min="195" max="196" width="18.6640625" style="126" customWidth="1"/>
    <col min="197" max="198" width="18.6640625" style="126" customWidth="1" outlineLevel="1"/>
    <col min="199" max="207" width="18.6640625" style="126" customWidth="1"/>
    <col min="208" max="210" width="18.6640625" style="126" customWidth="1" outlineLevel="1"/>
    <col min="211" max="212" width="18.6640625" customWidth="1"/>
    <col min="213" max="214" width="18.6640625" customWidth="1" outlineLevel="1"/>
    <col min="215" max="223" width="18.6640625" customWidth="1"/>
    <col min="224" max="226" width="18.6640625" customWidth="1" outlineLevel="1"/>
    <col min="227" max="228" width="18.6640625" style="126" customWidth="1"/>
    <col min="229" max="230" width="18.6640625" style="126" customWidth="1" outlineLevel="1"/>
    <col min="231" max="239" width="18.6640625" style="126" customWidth="1"/>
    <col min="240" max="242" width="18.6640625" style="126" customWidth="1" outlineLevel="1"/>
    <col min="243" max="258" width="18.6640625" customWidth="1"/>
  </cols>
  <sheetData>
    <row r="1" spans="1:258" s="126" customFormat="1" ht="15.6" x14ac:dyDescent="0.3">
      <c r="B1" s="127"/>
    </row>
    <row r="2" spans="1:258" s="126" customFormat="1" ht="17.399999999999999" x14ac:dyDescent="0.3">
      <c r="C2" s="254"/>
      <c r="D2" s="252"/>
      <c r="E2" s="252"/>
      <c r="F2" s="252"/>
      <c r="G2" s="252"/>
      <c r="H2" s="252"/>
      <c r="I2" s="252"/>
      <c r="J2" s="252"/>
      <c r="K2" s="252"/>
      <c r="L2" s="252"/>
      <c r="T2" s="252"/>
      <c r="U2" s="252"/>
      <c r="V2" s="252"/>
      <c r="W2" s="252"/>
      <c r="X2" s="252"/>
      <c r="Y2" s="252"/>
      <c r="Z2" s="252"/>
      <c r="AA2" s="252"/>
      <c r="AB2" s="252"/>
      <c r="AJ2" s="252"/>
      <c r="AK2" s="252"/>
      <c r="AL2" s="252"/>
      <c r="AM2" s="252"/>
      <c r="AN2" s="252"/>
      <c r="AO2" s="252"/>
      <c r="AP2" s="252"/>
      <c r="AQ2" s="252"/>
      <c r="AR2" s="252"/>
      <c r="AZ2" s="252"/>
      <c r="BA2" s="252"/>
      <c r="BB2" s="252"/>
      <c r="BC2" s="252"/>
      <c r="BD2" s="252"/>
      <c r="BE2" s="252"/>
      <c r="BF2" s="252"/>
      <c r="BG2" s="252"/>
      <c r="BH2" s="252"/>
      <c r="BP2" s="252"/>
      <c r="BQ2" s="252"/>
      <c r="BR2" s="252"/>
      <c r="BS2" s="252"/>
      <c r="BT2" s="252"/>
      <c r="BU2" s="252"/>
      <c r="BV2" s="252"/>
      <c r="BW2" s="252"/>
      <c r="BX2" s="252"/>
      <c r="CF2" s="252"/>
      <c r="CG2" s="252"/>
      <c r="CH2" s="252"/>
      <c r="CI2" s="252"/>
      <c r="CJ2" s="252"/>
      <c r="CK2" s="252"/>
      <c r="CL2" s="252"/>
      <c r="CM2" s="252"/>
      <c r="CN2" s="252"/>
      <c r="CV2" s="252"/>
      <c r="CW2" s="252"/>
      <c r="CX2" s="252"/>
      <c r="CY2" s="252"/>
      <c r="CZ2" s="252"/>
      <c r="DA2" s="252"/>
      <c r="DB2" s="252"/>
      <c r="DC2" s="252"/>
      <c r="DD2" s="252"/>
      <c r="DL2" s="252"/>
      <c r="DM2" s="252"/>
      <c r="DN2" s="252"/>
      <c r="DO2" s="252"/>
      <c r="DP2" s="252"/>
      <c r="DQ2" s="252"/>
      <c r="DR2" s="252"/>
      <c r="DS2" s="252"/>
      <c r="DT2" s="252"/>
      <c r="EB2" s="252"/>
      <c r="EC2" s="252"/>
      <c r="ED2" s="252"/>
      <c r="EE2" s="252"/>
      <c r="EF2" s="252"/>
      <c r="EG2" s="252"/>
      <c r="EH2" s="252"/>
      <c r="EI2" s="252"/>
      <c r="EJ2" s="252"/>
      <c r="ER2" s="252"/>
      <c r="ES2" s="252"/>
      <c r="ET2" s="252"/>
      <c r="EU2" s="252"/>
      <c r="EV2" s="252"/>
      <c r="EW2" s="252"/>
      <c r="EX2" s="252"/>
      <c r="EY2" s="252"/>
      <c r="EZ2" s="252"/>
      <c r="FH2" s="252"/>
      <c r="FI2" s="252"/>
      <c r="FJ2" s="252"/>
      <c r="FK2" s="252"/>
      <c r="FL2" s="252"/>
      <c r="FM2" s="252"/>
      <c r="FN2" s="252"/>
      <c r="FO2" s="252"/>
      <c r="FP2" s="252"/>
      <c r="FX2" s="252"/>
      <c r="FY2" s="252"/>
      <c r="FZ2" s="252"/>
      <c r="GA2" s="252"/>
      <c r="GB2" s="252"/>
      <c r="GC2" s="252"/>
      <c r="GD2" s="252"/>
      <c r="GE2" s="252"/>
      <c r="GF2" s="252"/>
      <c r="GN2" s="252"/>
      <c r="GO2" s="252"/>
      <c r="GP2" s="252"/>
      <c r="GQ2" s="252"/>
      <c r="GR2" s="252"/>
      <c r="GS2" s="252"/>
      <c r="GT2" s="252"/>
      <c r="GU2" s="252"/>
      <c r="GV2" s="252"/>
      <c r="HD2" s="252"/>
      <c r="HE2" s="252"/>
      <c r="HF2" s="252"/>
      <c r="HG2" s="252"/>
      <c r="HH2" s="252"/>
      <c r="HI2" s="252"/>
      <c r="HJ2" s="252"/>
      <c r="HK2" s="252"/>
      <c r="HL2" s="252"/>
      <c r="HT2" s="252"/>
      <c r="HU2" s="252"/>
      <c r="HV2" s="252"/>
      <c r="HW2" s="252"/>
      <c r="HX2" s="252"/>
      <c r="HY2" s="252"/>
      <c r="HZ2" s="252"/>
      <c r="IA2" s="252"/>
      <c r="IB2" s="252"/>
    </row>
    <row r="3" spans="1:258" s="126" customFormat="1" ht="20.399999999999999" x14ac:dyDescent="0.35">
      <c r="A3" s="128"/>
      <c r="B3" s="128"/>
      <c r="C3" s="252"/>
      <c r="D3" s="252"/>
      <c r="E3" s="252"/>
      <c r="F3" s="252"/>
      <c r="G3" s="252"/>
      <c r="H3" s="252"/>
      <c r="I3" s="252"/>
      <c r="J3" s="252"/>
      <c r="K3" s="252"/>
      <c r="L3" s="252"/>
      <c r="M3" s="38"/>
      <c r="N3" s="38"/>
      <c r="O3" s="38"/>
      <c r="P3" s="38"/>
      <c r="S3" s="253"/>
      <c r="T3" s="253"/>
      <c r="U3" s="253"/>
      <c r="V3" s="253"/>
      <c r="W3" s="253"/>
      <c r="X3" s="253"/>
      <c r="Y3" s="253"/>
      <c r="Z3" s="253"/>
      <c r="AA3" s="253"/>
      <c r="AB3" s="253"/>
      <c r="AC3" s="38"/>
      <c r="AD3" s="38"/>
      <c r="AE3" s="38"/>
      <c r="AF3" s="38"/>
      <c r="AI3" s="253"/>
      <c r="AJ3" s="253"/>
      <c r="AK3" s="253"/>
      <c r="AL3" s="253"/>
      <c r="AM3" s="253"/>
      <c r="AN3" s="253"/>
      <c r="AO3" s="253"/>
      <c r="AP3" s="253"/>
      <c r="AQ3" s="253"/>
      <c r="AR3" s="253"/>
      <c r="AS3" s="38"/>
      <c r="AT3" s="38"/>
      <c r="AU3" s="38"/>
      <c r="AV3" s="38"/>
      <c r="AY3" s="253"/>
      <c r="AZ3" s="253"/>
      <c r="BA3" s="253"/>
      <c r="BB3" s="253"/>
      <c r="BC3" s="253"/>
      <c r="BD3" s="253"/>
      <c r="BE3" s="253"/>
      <c r="BF3" s="253"/>
      <c r="BG3" s="253"/>
      <c r="BH3" s="253"/>
      <c r="BI3" s="38"/>
      <c r="BJ3" s="38"/>
      <c r="BK3" s="38"/>
      <c r="BL3" s="38"/>
      <c r="BO3" s="253"/>
      <c r="BP3" s="253"/>
      <c r="BQ3" s="253"/>
      <c r="BR3" s="253"/>
      <c r="BS3" s="253"/>
      <c r="BT3" s="253"/>
      <c r="BU3" s="253"/>
      <c r="BV3" s="253"/>
      <c r="BW3" s="253"/>
      <c r="BX3" s="253"/>
      <c r="BY3" s="38"/>
      <c r="BZ3" s="38"/>
      <c r="CA3" s="38"/>
      <c r="CB3" s="38"/>
      <c r="CE3" s="253"/>
      <c r="CF3" s="253"/>
      <c r="CG3" s="253"/>
      <c r="CH3" s="253"/>
      <c r="CI3" s="253"/>
      <c r="CJ3" s="253"/>
      <c r="CK3" s="253"/>
      <c r="CL3" s="253"/>
      <c r="CM3" s="253"/>
      <c r="CN3" s="253"/>
      <c r="CO3" s="38"/>
      <c r="CP3" s="38"/>
      <c r="CQ3" s="38"/>
      <c r="CR3" s="38"/>
      <c r="CU3" s="253"/>
      <c r="CV3" s="253"/>
      <c r="CW3" s="253"/>
      <c r="CX3" s="253"/>
      <c r="CY3" s="253"/>
      <c r="CZ3" s="253"/>
      <c r="DA3" s="253"/>
      <c r="DB3" s="253"/>
      <c r="DC3" s="253"/>
      <c r="DD3" s="253"/>
      <c r="DE3" s="38"/>
      <c r="DF3" s="38"/>
      <c r="DG3" s="38"/>
      <c r="DH3" s="38"/>
      <c r="DK3" s="253"/>
      <c r="DL3" s="253"/>
      <c r="DM3" s="253"/>
      <c r="DN3" s="253"/>
      <c r="DO3" s="253"/>
      <c r="DP3" s="253"/>
      <c r="DQ3" s="253"/>
      <c r="DR3" s="253"/>
      <c r="DS3" s="253"/>
      <c r="DT3" s="253"/>
      <c r="DU3" s="38"/>
      <c r="DV3" s="38"/>
      <c r="DW3" s="38"/>
      <c r="DX3" s="38"/>
      <c r="EA3" s="253"/>
      <c r="EB3" s="253"/>
      <c r="EC3" s="253"/>
      <c r="ED3" s="253"/>
      <c r="EE3" s="253"/>
      <c r="EF3" s="253"/>
      <c r="EG3" s="253"/>
      <c r="EH3" s="253"/>
      <c r="EI3" s="253"/>
      <c r="EJ3" s="253"/>
      <c r="EK3" s="38"/>
      <c r="EL3" s="38"/>
      <c r="EM3" s="38"/>
      <c r="EN3" s="38"/>
      <c r="EQ3" s="253"/>
      <c r="ER3" s="253"/>
      <c r="ES3" s="253"/>
      <c r="ET3" s="253"/>
      <c r="EU3" s="253"/>
      <c r="EV3" s="253"/>
      <c r="EW3" s="253"/>
      <c r="EX3" s="253"/>
      <c r="EY3" s="253"/>
      <c r="EZ3" s="253"/>
      <c r="FA3" s="38"/>
      <c r="FB3" s="38"/>
      <c r="FC3" s="38"/>
      <c r="FD3" s="38"/>
      <c r="FG3" s="253"/>
      <c r="FH3" s="253"/>
      <c r="FI3" s="253"/>
      <c r="FJ3" s="253"/>
      <c r="FK3" s="253"/>
      <c r="FL3" s="253"/>
      <c r="FM3" s="253"/>
      <c r="FN3" s="253"/>
      <c r="FO3" s="253"/>
      <c r="FP3" s="253"/>
      <c r="FQ3" s="38"/>
      <c r="FR3" s="38"/>
      <c r="FS3" s="38"/>
      <c r="FT3" s="38"/>
      <c r="FW3" s="253"/>
      <c r="FX3" s="253"/>
      <c r="FY3" s="253"/>
      <c r="FZ3" s="253"/>
      <c r="GA3" s="253"/>
      <c r="GB3" s="253"/>
      <c r="GC3" s="253"/>
      <c r="GD3" s="253"/>
      <c r="GE3" s="253"/>
      <c r="GF3" s="253"/>
      <c r="GH3" s="38"/>
      <c r="GI3" s="38"/>
      <c r="GJ3" s="38"/>
      <c r="GM3" s="253"/>
      <c r="GN3" s="253"/>
      <c r="GO3" s="253"/>
      <c r="GP3" s="253"/>
      <c r="GQ3" s="253"/>
      <c r="GR3" s="253"/>
      <c r="GS3" s="253"/>
      <c r="GT3" s="253"/>
      <c r="GU3" s="253"/>
      <c r="GV3" s="253"/>
      <c r="GX3" s="38"/>
      <c r="GY3" s="38"/>
      <c r="GZ3" s="38"/>
      <c r="HC3" s="253"/>
      <c r="HD3" s="253"/>
      <c r="HE3" s="253"/>
      <c r="HF3" s="253"/>
      <c r="HG3" s="253"/>
      <c r="HH3" s="253"/>
      <c r="HI3" s="253"/>
      <c r="HJ3" s="253"/>
      <c r="HK3" s="253"/>
      <c r="HL3" s="253"/>
      <c r="HM3" s="38"/>
      <c r="HN3" s="38"/>
      <c r="HO3" s="38"/>
      <c r="HP3" s="38"/>
      <c r="HS3" s="253"/>
      <c r="HT3" s="253"/>
      <c r="HU3" s="253"/>
      <c r="HV3" s="253"/>
      <c r="HW3" s="253"/>
      <c r="HX3" s="253"/>
      <c r="HY3" s="253"/>
      <c r="HZ3" s="253"/>
      <c r="IA3" s="253"/>
      <c r="IB3" s="253"/>
      <c r="IC3" s="38"/>
      <c r="ID3" s="38"/>
      <c r="IE3" s="38"/>
      <c r="IF3" s="38"/>
    </row>
    <row r="4" spans="1:258" s="126" customFormat="1" ht="20.25" customHeight="1" x14ac:dyDescent="0.35">
      <c r="A4" s="128"/>
      <c r="B4" s="128"/>
      <c r="C4" s="252"/>
      <c r="D4" s="252"/>
      <c r="E4" s="252"/>
      <c r="F4" s="252"/>
      <c r="G4" s="252"/>
      <c r="H4" s="252"/>
      <c r="I4" s="252"/>
      <c r="J4" s="252"/>
      <c r="K4" s="252"/>
      <c r="L4" s="252"/>
      <c r="M4" s="38"/>
      <c r="N4" s="38"/>
      <c r="O4" s="38"/>
      <c r="P4" s="38"/>
      <c r="T4" s="40"/>
      <c r="U4" s="40"/>
      <c r="V4" s="40"/>
      <c r="W4" s="40"/>
      <c r="X4" s="40"/>
      <c r="Y4" s="40"/>
      <c r="Z4" s="40"/>
      <c r="AA4" s="40"/>
      <c r="AB4" s="40"/>
      <c r="AC4" s="38"/>
      <c r="AD4" s="38"/>
      <c r="AE4" s="38"/>
      <c r="AF4" s="38"/>
      <c r="AJ4" s="40"/>
      <c r="AK4" s="40"/>
      <c r="AL4" s="40"/>
      <c r="AM4" s="40"/>
      <c r="AN4" s="40"/>
      <c r="AO4" s="40"/>
      <c r="AP4" s="40"/>
      <c r="AQ4" s="40"/>
      <c r="AR4" s="40"/>
      <c r="AS4" s="38"/>
      <c r="AT4" s="38"/>
      <c r="AU4" s="38"/>
      <c r="AV4" s="38"/>
      <c r="AZ4" s="40"/>
      <c r="BA4" s="40"/>
      <c r="BB4" s="40"/>
      <c r="BC4" s="40"/>
      <c r="BD4" s="40"/>
      <c r="BE4" s="40"/>
      <c r="BF4" s="40"/>
      <c r="BG4" s="40"/>
      <c r="BH4" s="40"/>
      <c r="BI4" s="38"/>
      <c r="BJ4" s="38"/>
      <c r="BK4" s="38"/>
      <c r="BL4" s="38"/>
      <c r="BP4" s="40"/>
      <c r="BQ4" s="40"/>
      <c r="BR4" s="40"/>
      <c r="BS4" s="40"/>
      <c r="BT4" s="40"/>
      <c r="BU4" s="40"/>
      <c r="BV4" s="40"/>
      <c r="BW4" s="40"/>
      <c r="BX4" s="40"/>
      <c r="BY4" s="38"/>
      <c r="BZ4" s="38"/>
      <c r="CA4" s="38"/>
      <c r="CB4" s="38"/>
      <c r="CF4" s="40"/>
      <c r="CG4" s="40"/>
      <c r="CH4" s="40"/>
      <c r="CI4" s="40"/>
      <c r="CJ4" s="40"/>
      <c r="CK4" s="40"/>
      <c r="CL4" s="40"/>
      <c r="CM4" s="40"/>
      <c r="CN4" s="40"/>
      <c r="CO4" s="38"/>
      <c r="CP4" s="38"/>
      <c r="CQ4" s="38"/>
      <c r="CR4" s="38"/>
      <c r="CV4" s="40"/>
      <c r="CW4" s="40"/>
      <c r="CX4" s="40"/>
      <c r="CY4" s="40"/>
      <c r="CZ4" s="40"/>
      <c r="DA4" s="40"/>
      <c r="DB4" s="40"/>
      <c r="DC4" s="40"/>
      <c r="DD4" s="40"/>
      <c r="DE4" s="38"/>
      <c r="DF4" s="38"/>
      <c r="DG4" s="38"/>
      <c r="DH4" s="38"/>
      <c r="DL4" s="40"/>
      <c r="DM4" s="40"/>
      <c r="DN4" s="40"/>
      <c r="DO4" s="40"/>
      <c r="DP4" s="40"/>
      <c r="DQ4" s="40"/>
      <c r="DR4" s="40"/>
      <c r="DS4" s="40"/>
      <c r="DT4" s="40"/>
      <c r="DU4" s="38"/>
      <c r="DV4" s="38"/>
      <c r="DW4" s="38"/>
      <c r="DX4" s="38"/>
      <c r="EB4" s="40"/>
      <c r="EC4" s="40"/>
      <c r="ED4" s="40"/>
      <c r="EE4" s="40"/>
      <c r="EF4" s="40"/>
      <c r="EG4" s="40"/>
      <c r="EH4" s="40"/>
      <c r="EI4" s="40"/>
      <c r="EJ4" s="40"/>
      <c r="EK4" s="38"/>
      <c r="EL4" s="38"/>
      <c r="EM4" s="38"/>
      <c r="EN4" s="38"/>
      <c r="ER4" s="40"/>
      <c r="ES4" s="40"/>
      <c r="ET4" s="40"/>
      <c r="EU4" s="40"/>
      <c r="EV4" s="40"/>
      <c r="EW4" s="40"/>
      <c r="EX4" s="40"/>
      <c r="EY4" s="40"/>
      <c r="EZ4" s="40"/>
      <c r="FA4" s="38"/>
      <c r="FB4" s="38"/>
      <c r="FC4" s="38"/>
      <c r="FD4" s="38"/>
      <c r="FH4" s="40"/>
      <c r="FI4" s="40"/>
      <c r="FJ4" s="40"/>
      <c r="FK4" s="40"/>
      <c r="FL4" s="40"/>
      <c r="FM4" s="40"/>
      <c r="FN4" s="40"/>
      <c r="FO4" s="40"/>
      <c r="FP4" s="40"/>
      <c r="FQ4" s="38"/>
      <c r="FR4" s="38"/>
      <c r="FS4" s="38"/>
      <c r="FT4" s="38"/>
      <c r="FX4" s="40"/>
      <c r="FY4" s="40"/>
      <c r="FZ4" s="40"/>
      <c r="GA4" s="40"/>
      <c r="GB4" s="40"/>
      <c r="GC4" s="40"/>
      <c r="GD4" s="40"/>
      <c r="GE4" s="40"/>
      <c r="GF4" s="40"/>
      <c r="GH4" s="38"/>
      <c r="GI4" s="38"/>
      <c r="GJ4" s="38"/>
      <c r="GN4" s="40"/>
      <c r="GO4" s="40"/>
      <c r="GP4" s="40"/>
      <c r="GQ4" s="40"/>
      <c r="GR4" s="40"/>
      <c r="GS4" s="40"/>
      <c r="GT4" s="40"/>
      <c r="GU4" s="40"/>
      <c r="GV4" s="40"/>
      <c r="GX4" s="38"/>
      <c r="GY4" s="38"/>
      <c r="GZ4" s="38"/>
      <c r="HD4" s="40"/>
      <c r="HE4" s="40"/>
      <c r="HF4" s="40"/>
      <c r="HG4" s="40"/>
      <c r="HH4" s="40"/>
      <c r="HI4" s="40"/>
      <c r="HJ4" s="40"/>
      <c r="HK4" s="40"/>
      <c r="HL4" s="40"/>
      <c r="HM4" s="38"/>
      <c r="HN4" s="38"/>
      <c r="HO4" s="38"/>
      <c r="HP4" s="38"/>
      <c r="HT4" s="40"/>
      <c r="HU4" s="40"/>
      <c r="HV4" s="40"/>
      <c r="HW4" s="40"/>
      <c r="HX4" s="40"/>
      <c r="HY4" s="40"/>
      <c r="HZ4" s="40"/>
      <c r="IA4" s="40"/>
      <c r="IB4" s="40"/>
      <c r="IC4" s="38"/>
      <c r="ID4" s="38"/>
      <c r="IE4" s="38"/>
      <c r="IF4" s="38"/>
    </row>
    <row r="5" spans="1:258" s="126" customFormat="1" ht="20.399999999999999" x14ac:dyDescent="0.35">
      <c r="A5" s="128"/>
      <c r="B5" s="128"/>
      <c r="D5" s="322" t="s">
        <v>1231</v>
      </c>
      <c r="E5" s="322"/>
      <c r="F5" s="257"/>
      <c r="G5" s="42"/>
      <c r="H5" s="43"/>
      <c r="I5" s="43"/>
      <c r="T5" s="322" t="s">
        <v>1231</v>
      </c>
      <c r="U5" s="322"/>
      <c r="V5" s="257"/>
      <c r="W5" s="42"/>
      <c r="X5" s="43"/>
      <c r="Y5" s="43"/>
      <c r="AJ5" s="322" t="s">
        <v>1231</v>
      </c>
      <c r="AK5" s="322"/>
      <c r="AL5" s="257"/>
      <c r="AM5" s="42"/>
      <c r="AN5" s="43"/>
      <c r="AO5" s="43"/>
      <c r="AZ5" s="322" t="s">
        <v>1231</v>
      </c>
      <c r="BA5" s="322"/>
      <c r="BB5" s="257"/>
      <c r="BC5" s="42"/>
      <c r="BD5" s="43"/>
      <c r="BE5" s="43"/>
      <c r="BP5" s="322" t="s">
        <v>1231</v>
      </c>
      <c r="BQ5" s="322"/>
      <c r="BR5" s="257"/>
      <c r="BS5" s="42"/>
      <c r="BT5" s="43"/>
      <c r="BU5" s="43"/>
      <c r="CF5" s="322" t="s">
        <v>1231</v>
      </c>
      <c r="CG5" s="322"/>
      <c r="CH5" s="257"/>
      <c r="CI5" s="42"/>
      <c r="CJ5" s="43"/>
      <c r="CK5" s="43"/>
      <c r="CV5" s="322" t="s">
        <v>1231</v>
      </c>
      <c r="CW5" s="322"/>
      <c r="CX5" s="257"/>
      <c r="CY5" s="42"/>
      <c r="CZ5" s="43"/>
      <c r="DA5" s="43"/>
      <c r="DL5" s="322" t="s">
        <v>1231</v>
      </c>
      <c r="DM5" s="322"/>
      <c r="DN5" s="257"/>
      <c r="DO5" s="42"/>
      <c r="DP5" s="43"/>
      <c r="DQ5" s="43"/>
      <c r="EB5" s="322" t="s">
        <v>1231</v>
      </c>
      <c r="EC5" s="322"/>
      <c r="ED5" s="257"/>
      <c r="EE5" s="42"/>
      <c r="EF5" s="43"/>
      <c r="EG5" s="43"/>
      <c r="ER5" s="322" t="s">
        <v>1231</v>
      </c>
      <c r="ES5" s="322"/>
      <c r="ET5" s="257"/>
      <c r="EU5" s="42"/>
      <c r="EV5" s="43"/>
      <c r="EW5" s="43"/>
      <c r="FH5" s="322" t="s">
        <v>1231</v>
      </c>
      <c r="FI5" s="322"/>
      <c r="FJ5" s="257"/>
      <c r="FK5" s="42"/>
      <c r="FL5" s="43"/>
      <c r="FM5" s="43"/>
      <c r="FX5" s="322" t="s">
        <v>1231</v>
      </c>
      <c r="FY5" s="322"/>
      <c r="FZ5" s="257"/>
      <c r="GA5" s="42"/>
      <c r="GB5" s="43"/>
      <c r="GC5" s="43"/>
      <c r="GN5" s="322" t="s">
        <v>1231</v>
      </c>
      <c r="GO5" s="322"/>
      <c r="GP5" s="257"/>
      <c r="GQ5" s="42"/>
      <c r="GR5" s="43"/>
      <c r="GS5" s="43"/>
      <c r="HD5" s="322" t="s">
        <v>1231</v>
      </c>
      <c r="HE5" s="322"/>
      <c r="HF5" s="257"/>
      <c r="HG5" s="42"/>
      <c r="HH5" s="43"/>
      <c r="HI5" s="43"/>
      <c r="HT5" s="322" t="s">
        <v>1231</v>
      </c>
      <c r="HU5" s="322"/>
      <c r="HV5" s="257"/>
      <c r="HW5" s="42"/>
      <c r="HX5" s="43"/>
      <c r="HY5" s="43"/>
      <c r="IJ5" s="322" t="s">
        <v>1231</v>
      </c>
      <c r="IK5" s="322"/>
    </row>
    <row r="6" spans="1:258" ht="15.6" x14ac:dyDescent="0.3">
      <c r="B6" s="44" t="s">
        <v>1229</v>
      </c>
      <c r="C6" s="76"/>
      <c r="Q6" s="76"/>
      <c r="R6" s="76"/>
      <c r="S6" s="76"/>
      <c r="AG6" s="76"/>
      <c r="AH6" s="76"/>
      <c r="AI6" s="76"/>
      <c r="AW6" s="76"/>
      <c r="AX6" s="76"/>
      <c r="AY6" s="76"/>
      <c r="BM6" s="76"/>
      <c r="BN6" s="76"/>
      <c r="BO6" s="76"/>
      <c r="CC6" s="76"/>
      <c r="CD6" s="76"/>
      <c r="CE6" s="76"/>
      <c r="CS6" s="76"/>
      <c r="CT6" s="76"/>
      <c r="CU6" s="76"/>
      <c r="DI6" s="76"/>
      <c r="DJ6" s="76"/>
      <c r="DK6" s="76"/>
      <c r="DY6" s="76"/>
      <c r="DZ6" s="76"/>
      <c r="EA6" s="76"/>
      <c r="EO6" s="76"/>
      <c r="EP6" s="76"/>
      <c r="EQ6" s="76"/>
      <c r="FE6" s="76"/>
      <c r="FF6" s="76"/>
      <c r="FG6" s="76"/>
      <c r="FU6" s="76"/>
      <c r="FV6" s="76"/>
      <c r="FW6" s="76"/>
      <c r="GK6" s="76"/>
      <c r="GL6" s="76"/>
      <c r="GM6" s="76"/>
      <c r="HA6" s="76"/>
      <c r="HB6" s="76"/>
      <c r="HC6" s="76"/>
      <c r="HQ6" s="76"/>
      <c r="HR6" s="76"/>
      <c r="HS6" s="76"/>
      <c r="IG6" s="76"/>
      <c r="IH6" s="76"/>
    </row>
    <row r="7" spans="1:258" ht="15" customHeight="1" x14ac:dyDescent="0.3">
      <c r="A7" s="326" t="s">
        <v>284</v>
      </c>
      <c r="B7" s="326" t="s">
        <v>285</v>
      </c>
      <c r="C7" s="350" t="s">
        <v>1054</v>
      </c>
      <c r="D7" s="351"/>
      <c r="E7" s="351"/>
      <c r="F7" s="351"/>
      <c r="G7" s="351"/>
      <c r="H7" s="351"/>
      <c r="I7" s="351"/>
      <c r="J7" s="351"/>
      <c r="K7" s="351"/>
      <c r="L7" s="351"/>
      <c r="M7" s="351"/>
      <c r="N7" s="351"/>
      <c r="O7" s="351"/>
      <c r="P7" s="351"/>
      <c r="Q7" s="351"/>
      <c r="R7" s="351"/>
      <c r="S7" s="349" t="s">
        <v>1055</v>
      </c>
      <c r="T7" s="349"/>
      <c r="U7" s="349"/>
      <c r="V7" s="349"/>
      <c r="W7" s="349"/>
      <c r="X7" s="349"/>
      <c r="Y7" s="349"/>
      <c r="Z7" s="349"/>
      <c r="AA7" s="349"/>
      <c r="AB7" s="349"/>
      <c r="AC7" s="349"/>
      <c r="AD7" s="349"/>
      <c r="AE7" s="349"/>
      <c r="AF7" s="349"/>
      <c r="AG7" s="349"/>
      <c r="AH7" s="349"/>
      <c r="AI7" s="349" t="s">
        <v>1056</v>
      </c>
      <c r="AJ7" s="349"/>
      <c r="AK7" s="349"/>
      <c r="AL7" s="349"/>
      <c r="AM7" s="349"/>
      <c r="AN7" s="349"/>
      <c r="AO7" s="349"/>
      <c r="AP7" s="349"/>
      <c r="AQ7" s="349"/>
      <c r="AR7" s="349"/>
      <c r="AS7" s="349"/>
      <c r="AT7" s="349"/>
      <c r="AU7" s="349"/>
      <c r="AV7" s="349"/>
      <c r="AW7" s="349"/>
      <c r="AX7" s="349"/>
      <c r="AY7" s="349" t="s">
        <v>1066</v>
      </c>
      <c r="AZ7" s="349"/>
      <c r="BA7" s="349"/>
      <c r="BB7" s="349"/>
      <c r="BC7" s="349"/>
      <c r="BD7" s="349"/>
      <c r="BE7" s="349"/>
      <c r="BF7" s="349"/>
      <c r="BG7" s="349"/>
      <c r="BH7" s="349"/>
      <c r="BI7" s="349"/>
      <c r="BJ7" s="349"/>
      <c r="BK7" s="349"/>
      <c r="BL7" s="349"/>
      <c r="BM7" s="349"/>
      <c r="BN7" s="349"/>
      <c r="BO7" s="349" t="s">
        <v>1067</v>
      </c>
      <c r="BP7" s="349"/>
      <c r="BQ7" s="349"/>
      <c r="BR7" s="349"/>
      <c r="BS7" s="349"/>
      <c r="BT7" s="349"/>
      <c r="BU7" s="349"/>
      <c r="BV7" s="349"/>
      <c r="BW7" s="349"/>
      <c r="BX7" s="349"/>
      <c r="BY7" s="349"/>
      <c r="BZ7" s="349"/>
      <c r="CA7" s="349"/>
      <c r="CB7" s="349"/>
      <c r="CC7" s="349"/>
      <c r="CD7" s="349"/>
      <c r="CE7" s="349" t="s">
        <v>1068</v>
      </c>
      <c r="CF7" s="349"/>
      <c r="CG7" s="349"/>
      <c r="CH7" s="349"/>
      <c r="CI7" s="349"/>
      <c r="CJ7" s="349"/>
      <c r="CK7" s="349"/>
      <c r="CL7" s="349"/>
      <c r="CM7" s="349"/>
      <c r="CN7" s="349"/>
      <c r="CO7" s="349"/>
      <c r="CP7" s="349"/>
      <c r="CQ7" s="349"/>
      <c r="CR7" s="349"/>
      <c r="CS7" s="349"/>
      <c r="CT7" s="349"/>
      <c r="CU7" s="349" t="s">
        <v>1069</v>
      </c>
      <c r="CV7" s="349"/>
      <c r="CW7" s="349"/>
      <c r="CX7" s="349"/>
      <c r="CY7" s="349"/>
      <c r="CZ7" s="349"/>
      <c r="DA7" s="349"/>
      <c r="DB7" s="349"/>
      <c r="DC7" s="349"/>
      <c r="DD7" s="349"/>
      <c r="DE7" s="349"/>
      <c r="DF7" s="349"/>
      <c r="DG7" s="349"/>
      <c r="DH7" s="349"/>
      <c r="DI7" s="349"/>
      <c r="DJ7" s="349"/>
      <c r="DK7" s="349" t="s">
        <v>1057</v>
      </c>
      <c r="DL7" s="349"/>
      <c r="DM7" s="349"/>
      <c r="DN7" s="349"/>
      <c r="DO7" s="349"/>
      <c r="DP7" s="349"/>
      <c r="DQ7" s="349"/>
      <c r="DR7" s="349"/>
      <c r="DS7" s="349"/>
      <c r="DT7" s="349"/>
      <c r="DU7" s="349"/>
      <c r="DV7" s="349"/>
      <c r="DW7" s="349"/>
      <c r="DX7" s="349"/>
      <c r="DY7" s="349"/>
      <c r="DZ7" s="349"/>
      <c r="EA7" s="349" t="s">
        <v>1058</v>
      </c>
      <c r="EB7" s="349"/>
      <c r="EC7" s="349"/>
      <c r="ED7" s="349"/>
      <c r="EE7" s="349"/>
      <c r="EF7" s="349"/>
      <c r="EG7" s="349"/>
      <c r="EH7" s="349"/>
      <c r="EI7" s="349"/>
      <c r="EJ7" s="349"/>
      <c r="EK7" s="349"/>
      <c r="EL7" s="349"/>
      <c r="EM7" s="349"/>
      <c r="EN7" s="349"/>
      <c r="EO7" s="349"/>
      <c r="EP7" s="349"/>
      <c r="EQ7" s="349" t="s">
        <v>1059</v>
      </c>
      <c r="ER7" s="349"/>
      <c r="ES7" s="349"/>
      <c r="ET7" s="349"/>
      <c r="EU7" s="349"/>
      <c r="EV7" s="349"/>
      <c r="EW7" s="349"/>
      <c r="EX7" s="349"/>
      <c r="EY7" s="349"/>
      <c r="EZ7" s="349"/>
      <c r="FA7" s="349"/>
      <c r="FB7" s="349"/>
      <c r="FC7" s="349"/>
      <c r="FD7" s="349"/>
      <c r="FE7" s="349"/>
      <c r="FF7" s="349"/>
      <c r="FG7" s="349" t="s">
        <v>1060</v>
      </c>
      <c r="FH7" s="349"/>
      <c r="FI7" s="349"/>
      <c r="FJ7" s="349"/>
      <c r="FK7" s="349"/>
      <c r="FL7" s="349"/>
      <c r="FM7" s="349"/>
      <c r="FN7" s="349"/>
      <c r="FO7" s="349"/>
      <c r="FP7" s="349"/>
      <c r="FQ7" s="349"/>
      <c r="FR7" s="349"/>
      <c r="FS7" s="349"/>
      <c r="FT7" s="349"/>
      <c r="FU7" s="349"/>
      <c r="FV7" s="349"/>
      <c r="FW7" s="349" t="s">
        <v>1070</v>
      </c>
      <c r="FX7" s="349"/>
      <c r="FY7" s="349"/>
      <c r="FZ7" s="349"/>
      <c r="GA7" s="349"/>
      <c r="GB7" s="349"/>
      <c r="GC7" s="349"/>
      <c r="GD7" s="349"/>
      <c r="GE7" s="349"/>
      <c r="GF7" s="349"/>
      <c r="GG7" s="349"/>
      <c r="GH7" s="349"/>
      <c r="GI7" s="349"/>
      <c r="GJ7" s="349"/>
      <c r="GK7" s="349"/>
      <c r="GL7" s="349"/>
      <c r="GM7" s="349" t="s">
        <v>1061</v>
      </c>
      <c r="GN7" s="349"/>
      <c r="GO7" s="349"/>
      <c r="GP7" s="349"/>
      <c r="GQ7" s="349"/>
      <c r="GR7" s="349"/>
      <c r="GS7" s="349"/>
      <c r="GT7" s="349"/>
      <c r="GU7" s="349"/>
      <c r="GV7" s="349"/>
      <c r="GW7" s="349"/>
      <c r="GX7" s="349"/>
      <c r="GY7" s="349"/>
      <c r="GZ7" s="349"/>
      <c r="HA7" s="349"/>
      <c r="HB7" s="349"/>
      <c r="HC7" s="349" t="s">
        <v>1062</v>
      </c>
      <c r="HD7" s="349"/>
      <c r="HE7" s="349"/>
      <c r="HF7" s="349"/>
      <c r="HG7" s="349"/>
      <c r="HH7" s="349"/>
      <c r="HI7" s="349"/>
      <c r="HJ7" s="349"/>
      <c r="HK7" s="349"/>
      <c r="HL7" s="349"/>
      <c r="HM7" s="349"/>
      <c r="HN7" s="349"/>
      <c r="HO7" s="349"/>
      <c r="HP7" s="349"/>
      <c r="HQ7" s="349"/>
      <c r="HR7" s="349"/>
      <c r="HS7" s="349" t="s">
        <v>1063</v>
      </c>
      <c r="HT7" s="349"/>
      <c r="HU7" s="349"/>
      <c r="HV7" s="349"/>
      <c r="HW7" s="349"/>
      <c r="HX7" s="349"/>
      <c r="HY7" s="349"/>
      <c r="HZ7" s="349"/>
      <c r="IA7" s="349"/>
      <c r="IB7" s="349"/>
      <c r="IC7" s="349"/>
      <c r="ID7" s="349"/>
      <c r="IE7" s="349"/>
      <c r="IF7" s="349"/>
      <c r="IG7" s="349"/>
      <c r="IH7" s="349"/>
      <c r="II7" s="348" t="s">
        <v>1080</v>
      </c>
      <c r="IJ7" s="348"/>
      <c r="IK7" s="348"/>
      <c r="IL7" s="348"/>
      <c r="IM7" s="348"/>
      <c r="IN7" s="348"/>
      <c r="IO7" s="348"/>
      <c r="IP7" s="348"/>
      <c r="IQ7" s="348"/>
      <c r="IR7" s="348"/>
      <c r="IS7" s="348"/>
      <c r="IT7" s="348"/>
      <c r="IU7" s="348"/>
      <c r="IV7" s="348"/>
      <c r="IW7" s="348"/>
      <c r="IX7" s="348"/>
    </row>
    <row r="8" spans="1:258" ht="10.5" customHeight="1" x14ac:dyDescent="0.3">
      <c r="A8" s="326"/>
      <c r="B8" s="326"/>
      <c r="C8" s="350"/>
      <c r="D8" s="351"/>
      <c r="E8" s="351"/>
      <c r="F8" s="351"/>
      <c r="G8" s="351"/>
      <c r="H8" s="351"/>
      <c r="I8" s="351"/>
      <c r="J8" s="351"/>
      <c r="K8" s="351"/>
      <c r="L8" s="351"/>
      <c r="M8" s="351"/>
      <c r="N8" s="351"/>
      <c r="O8" s="351"/>
      <c r="P8" s="351"/>
      <c r="Q8" s="351"/>
      <c r="R8" s="351"/>
      <c r="S8" s="349"/>
      <c r="T8" s="349"/>
      <c r="U8" s="349"/>
      <c r="V8" s="349"/>
      <c r="W8" s="349"/>
      <c r="X8" s="349"/>
      <c r="Y8" s="349"/>
      <c r="Z8" s="349"/>
      <c r="AA8" s="349"/>
      <c r="AB8" s="349"/>
      <c r="AC8" s="349"/>
      <c r="AD8" s="349"/>
      <c r="AE8" s="349"/>
      <c r="AF8" s="349"/>
      <c r="AG8" s="349"/>
      <c r="AH8" s="349"/>
      <c r="AI8" s="349"/>
      <c r="AJ8" s="349"/>
      <c r="AK8" s="349"/>
      <c r="AL8" s="349"/>
      <c r="AM8" s="349"/>
      <c r="AN8" s="349"/>
      <c r="AO8" s="349"/>
      <c r="AP8" s="349"/>
      <c r="AQ8" s="349"/>
      <c r="AR8" s="349"/>
      <c r="AS8" s="349"/>
      <c r="AT8" s="349"/>
      <c r="AU8" s="349"/>
      <c r="AV8" s="349"/>
      <c r="AW8" s="349"/>
      <c r="AX8" s="349"/>
      <c r="AY8" s="349"/>
      <c r="AZ8" s="349"/>
      <c r="BA8" s="349"/>
      <c r="BB8" s="349"/>
      <c r="BC8" s="349"/>
      <c r="BD8" s="349"/>
      <c r="BE8" s="349"/>
      <c r="BF8" s="349"/>
      <c r="BG8" s="349"/>
      <c r="BH8" s="349"/>
      <c r="BI8" s="349"/>
      <c r="BJ8" s="349"/>
      <c r="BK8" s="349"/>
      <c r="BL8" s="349"/>
      <c r="BM8" s="349"/>
      <c r="BN8" s="349"/>
      <c r="BO8" s="349"/>
      <c r="BP8" s="349"/>
      <c r="BQ8" s="349"/>
      <c r="BR8" s="349"/>
      <c r="BS8" s="349"/>
      <c r="BT8" s="349"/>
      <c r="BU8" s="349"/>
      <c r="BV8" s="349"/>
      <c r="BW8" s="349"/>
      <c r="BX8" s="349"/>
      <c r="BY8" s="349"/>
      <c r="BZ8" s="349"/>
      <c r="CA8" s="349"/>
      <c r="CB8" s="349"/>
      <c r="CC8" s="349"/>
      <c r="CD8" s="349"/>
      <c r="CE8" s="349"/>
      <c r="CF8" s="349"/>
      <c r="CG8" s="349"/>
      <c r="CH8" s="349"/>
      <c r="CI8" s="349"/>
      <c r="CJ8" s="349"/>
      <c r="CK8" s="349"/>
      <c r="CL8" s="349"/>
      <c r="CM8" s="349"/>
      <c r="CN8" s="349"/>
      <c r="CO8" s="349"/>
      <c r="CP8" s="349"/>
      <c r="CQ8" s="349"/>
      <c r="CR8" s="349"/>
      <c r="CS8" s="349"/>
      <c r="CT8" s="349"/>
      <c r="CU8" s="349"/>
      <c r="CV8" s="349"/>
      <c r="CW8" s="349"/>
      <c r="CX8" s="349"/>
      <c r="CY8" s="349"/>
      <c r="CZ8" s="349"/>
      <c r="DA8" s="349"/>
      <c r="DB8" s="349"/>
      <c r="DC8" s="349"/>
      <c r="DD8" s="349"/>
      <c r="DE8" s="349"/>
      <c r="DF8" s="349"/>
      <c r="DG8" s="349"/>
      <c r="DH8" s="349"/>
      <c r="DI8" s="349"/>
      <c r="DJ8" s="349"/>
      <c r="DK8" s="349"/>
      <c r="DL8" s="349"/>
      <c r="DM8" s="349"/>
      <c r="DN8" s="349"/>
      <c r="DO8" s="349"/>
      <c r="DP8" s="349"/>
      <c r="DQ8" s="349"/>
      <c r="DR8" s="349"/>
      <c r="DS8" s="349"/>
      <c r="DT8" s="349"/>
      <c r="DU8" s="349"/>
      <c r="DV8" s="349"/>
      <c r="DW8" s="349"/>
      <c r="DX8" s="349"/>
      <c r="DY8" s="349"/>
      <c r="DZ8" s="349"/>
      <c r="EA8" s="349"/>
      <c r="EB8" s="349"/>
      <c r="EC8" s="349"/>
      <c r="ED8" s="349"/>
      <c r="EE8" s="349"/>
      <c r="EF8" s="349"/>
      <c r="EG8" s="349"/>
      <c r="EH8" s="349"/>
      <c r="EI8" s="349"/>
      <c r="EJ8" s="349"/>
      <c r="EK8" s="349"/>
      <c r="EL8" s="349"/>
      <c r="EM8" s="349"/>
      <c r="EN8" s="349"/>
      <c r="EO8" s="349"/>
      <c r="EP8" s="349"/>
      <c r="EQ8" s="349"/>
      <c r="ER8" s="349"/>
      <c r="ES8" s="349"/>
      <c r="ET8" s="349"/>
      <c r="EU8" s="349"/>
      <c r="EV8" s="349"/>
      <c r="EW8" s="349"/>
      <c r="EX8" s="349"/>
      <c r="EY8" s="349"/>
      <c r="EZ8" s="349"/>
      <c r="FA8" s="349"/>
      <c r="FB8" s="349"/>
      <c r="FC8" s="349"/>
      <c r="FD8" s="349"/>
      <c r="FE8" s="349"/>
      <c r="FF8" s="349"/>
      <c r="FG8" s="349"/>
      <c r="FH8" s="349"/>
      <c r="FI8" s="349"/>
      <c r="FJ8" s="349"/>
      <c r="FK8" s="349"/>
      <c r="FL8" s="349"/>
      <c r="FM8" s="349"/>
      <c r="FN8" s="349"/>
      <c r="FO8" s="349"/>
      <c r="FP8" s="349"/>
      <c r="FQ8" s="349"/>
      <c r="FR8" s="349"/>
      <c r="FS8" s="349"/>
      <c r="FT8" s="349"/>
      <c r="FU8" s="349"/>
      <c r="FV8" s="349"/>
      <c r="FW8" s="349"/>
      <c r="FX8" s="349"/>
      <c r="FY8" s="349"/>
      <c r="FZ8" s="349"/>
      <c r="GA8" s="349"/>
      <c r="GB8" s="349"/>
      <c r="GC8" s="349"/>
      <c r="GD8" s="349"/>
      <c r="GE8" s="349"/>
      <c r="GF8" s="349"/>
      <c r="GG8" s="349"/>
      <c r="GH8" s="349"/>
      <c r="GI8" s="349"/>
      <c r="GJ8" s="349"/>
      <c r="GK8" s="349"/>
      <c r="GL8" s="349"/>
      <c r="GM8" s="349"/>
      <c r="GN8" s="349"/>
      <c r="GO8" s="349"/>
      <c r="GP8" s="349"/>
      <c r="GQ8" s="349"/>
      <c r="GR8" s="349"/>
      <c r="GS8" s="349"/>
      <c r="GT8" s="349"/>
      <c r="GU8" s="349"/>
      <c r="GV8" s="349"/>
      <c r="GW8" s="349"/>
      <c r="GX8" s="349"/>
      <c r="GY8" s="349"/>
      <c r="GZ8" s="349"/>
      <c r="HA8" s="349"/>
      <c r="HB8" s="349"/>
      <c r="HC8" s="349"/>
      <c r="HD8" s="349"/>
      <c r="HE8" s="349"/>
      <c r="HF8" s="349"/>
      <c r="HG8" s="349"/>
      <c r="HH8" s="349"/>
      <c r="HI8" s="349"/>
      <c r="HJ8" s="349"/>
      <c r="HK8" s="349"/>
      <c r="HL8" s="349"/>
      <c r="HM8" s="349"/>
      <c r="HN8" s="349"/>
      <c r="HO8" s="349"/>
      <c r="HP8" s="349"/>
      <c r="HQ8" s="349"/>
      <c r="HR8" s="349"/>
      <c r="HS8" s="349"/>
      <c r="HT8" s="349"/>
      <c r="HU8" s="349"/>
      <c r="HV8" s="349"/>
      <c r="HW8" s="349"/>
      <c r="HX8" s="349"/>
      <c r="HY8" s="349"/>
      <c r="HZ8" s="349"/>
      <c r="IA8" s="349"/>
      <c r="IB8" s="349"/>
      <c r="IC8" s="349"/>
      <c r="ID8" s="349"/>
      <c r="IE8" s="349"/>
      <c r="IF8" s="349"/>
      <c r="IG8" s="349"/>
      <c r="IH8" s="349"/>
      <c r="II8" s="348"/>
      <c r="IJ8" s="348"/>
      <c r="IK8" s="348"/>
      <c r="IL8" s="348"/>
      <c r="IM8" s="348"/>
      <c r="IN8" s="348"/>
      <c r="IO8" s="348"/>
      <c r="IP8" s="348"/>
      <c r="IQ8" s="348"/>
      <c r="IR8" s="348"/>
      <c r="IS8" s="348"/>
      <c r="IT8" s="348"/>
      <c r="IU8" s="348"/>
      <c r="IV8" s="348"/>
      <c r="IW8" s="348"/>
      <c r="IX8" s="348"/>
    </row>
    <row r="9" spans="1:258" ht="15" customHeight="1" x14ac:dyDescent="0.3">
      <c r="A9" s="326"/>
      <c r="B9" s="326"/>
      <c r="C9" s="269" t="s">
        <v>1052</v>
      </c>
      <c r="D9" s="269" t="s">
        <v>1053</v>
      </c>
      <c r="E9" s="269" t="s">
        <v>287</v>
      </c>
      <c r="F9" s="269"/>
      <c r="G9" s="269"/>
      <c r="H9" s="269" t="s">
        <v>312</v>
      </c>
      <c r="I9" s="269" t="s">
        <v>262</v>
      </c>
      <c r="J9" s="269" t="s">
        <v>288</v>
      </c>
      <c r="K9" s="269"/>
      <c r="L9" s="269"/>
      <c r="M9" s="269"/>
      <c r="N9" s="318" t="s">
        <v>289</v>
      </c>
      <c r="O9" s="318"/>
      <c r="P9" s="269" t="s">
        <v>290</v>
      </c>
      <c r="Q9" s="269" t="s">
        <v>266</v>
      </c>
      <c r="R9" s="269" t="s">
        <v>291</v>
      </c>
      <c r="S9" s="269" t="s">
        <v>1052</v>
      </c>
      <c r="T9" s="269" t="s">
        <v>1053</v>
      </c>
      <c r="U9" s="269" t="s">
        <v>287</v>
      </c>
      <c r="V9" s="269"/>
      <c r="W9" s="269"/>
      <c r="X9" s="269" t="s">
        <v>312</v>
      </c>
      <c r="Y9" s="269" t="s">
        <v>262</v>
      </c>
      <c r="Z9" s="269" t="s">
        <v>288</v>
      </c>
      <c r="AA9" s="269"/>
      <c r="AB9" s="269"/>
      <c r="AC9" s="269"/>
      <c r="AD9" s="318" t="s">
        <v>289</v>
      </c>
      <c r="AE9" s="318"/>
      <c r="AF9" s="269" t="s">
        <v>290</v>
      </c>
      <c r="AG9" s="269" t="s">
        <v>266</v>
      </c>
      <c r="AH9" s="269" t="s">
        <v>291</v>
      </c>
      <c r="AI9" s="269" t="s">
        <v>1052</v>
      </c>
      <c r="AJ9" s="269" t="s">
        <v>1053</v>
      </c>
      <c r="AK9" s="269" t="s">
        <v>287</v>
      </c>
      <c r="AL9" s="269"/>
      <c r="AM9" s="269"/>
      <c r="AN9" s="269" t="s">
        <v>312</v>
      </c>
      <c r="AO9" s="269" t="s">
        <v>262</v>
      </c>
      <c r="AP9" s="269" t="s">
        <v>288</v>
      </c>
      <c r="AQ9" s="269"/>
      <c r="AR9" s="269"/>
      <c r="AS9" s="269"/>
      <c r="AT9" s="318" t="s">
        <v>289</v>
      </c>
      <c r="AU9" s="318"/>
      <c r="AV9" s="269" t="s">
        <v>290</v>
      </c>
      <c r="AW9" s="269" t="s">
        <v>266</v>
      </c>
      <c r="AX9" s="269" t="s">
        <v>291</v>
      </c>
      <c r="AY9" s="269" t="s">
        <v>1052</v>
      </c>
      <c r="AZ9" s="269" t="s">
        <v>1053</v>
      </c>
      <c r="BA9" s="269" t="s">
        <v>287</v>
      </c>
      <c r="BB9" s="269"/>
      <c r="BC9" s="269"/>
      <c r="BD9" s="269" t="s">
        <v>312</v>
      </c>
      <c r="BE9" s="269" t="s">
        <v>262</v>
      </c>
      <c r="BF9" s="269" t="s">
        <v>288</v>
      </c>
      <c r="BG9" s="269"/>
      <c r="BH9" s="269"/>
      <c r="BI9" s="269"/>
      <c r="BJ9" s="318" t="s">
        <v>289</v>
      </c>
      <c r="BK9" s="318"/>
      <c r="BL9" s="269" t="s">
        <v>290</v>
      </c>
      <c r="BM9" s="269" t="s">
        <v>266</v>
      </c>
      <c r="BN9" s="269" t="s">
        <v>291</v>
      </c>
      <c r="BO9" s="269" t="s">
        <v>1052</v>
      </c>
      <c r="BP9" s="269" t="s">
        <v>1053</v>
      </c>
      <c r="BQ9" s="269" t="s">
        <v>287</v>
      </c>
      <c r="BR9" s="269"/>
      <c r="BS9" s="269"/>
      <c r="BT9" s="269" t="s">
        <v>312</v>
      </c>
      <c r="BU9" s="269" t="s">
        <v>262</v>
      </c>
      <c r="BV9" s="269" t="s">
        <v>288</v>
      </c>
      <c r="BW9" s="269"/>
      <c r="BX9" s="269"/>
      <c r="BY9" s="269"/>
      <c r="BZ9" s="318" t="s">
        <v>289</v>
      </c>
      <c r="CA9" s="318"/>
      <c r="CB9" s="269" t="s">
        <v>290</v>
      </c>
      <c r="CC9" s="269" t="s">
        <v>266</v>
      </c>
      <c r="CD9" s="269" t="s">
        <v>291</v>
      </c>
      <c r="CE9" s="269" t="s">
        <v>1052</v>
      </c>
      <c r="CF9" s="269" t="s">
        <v>1053</v>
      </c>
      <c r="CG9" s="269" t="s">
        <v>287</v>
      </c>
      <c r="CH9" s="269"/>
      <c r="CI9" s="269"/>
      <c r="CJ9" s="269" t="s">
        <v>312</v>
      </c>
      <c r="CK9" s="269" t="s">
        <v>262</v>
      </c>
      <c r="CL9" s="269" t="s">
        <v>288</v>
      </c>
      <c r="CM9" s="269"/>
      <c r="CN9" s="269"/>
      <c r="CO9" s="269"/>
      <c r="CP9" s="318" t="s">
        <v>289</v>
      </c>
      <c r="CQ9" s="318"/>
      <c r="CR9" s="269" t="s">
        <v>290</v>
      </c>
      <c r="CS9" s="269" t="s">
        <v>266</v>
      </c>
      <c r="CT9" s="269" t="s">
        <v>291</v>
      </c>
      <c r="CU9" s="269" t="s">
        <v>1052</v>
      </c>
      <c r="CV9" s="269" t="s">
        <v>1053</v>
      </c>
      <c r="CW9" s="269" t="s">
        <v>287</v>
      </c>
      <c r="CX9" s="269"/>
      <c r="CY9" s="269"/>
      <c r="CZ9" s="269" t="s">
        <v>312</v>
      </c>
      <c r="DA9" s="269" t="s">
        <v>262</v>
      </c>
      <c r="DB9" s="269" t="s">
        <v>288</v>
      </c>
      <c r="DC9" s="269"/>
      <c r="DD9" s="269"/>
      <c r="DE9" s="269"/>
      <c r="DF9" s="318" t="s">
        <v>289</v>
      </c>
      <c r="DG9" s="318"/>
      <c r="DH9" s="269" t="s">
        <v>290</v>
      </c>
      <c r="DI9" s="269" t="s">
        <v>266</v>
      </c>
      <c r="DJ9" s="269" t="s">
        <v>291</v>
      </c>
      <c r="DK9" s="269" t="s">
        <v>1052</v>
      </c>
      <c r="DL9" s="269" t="s">
        <v>1053</v>
      </c>
      <c r="DM9" s="269" t="s">
        <v>287</v>
      </c>
      <c r="DN9" s="269"/>
      <c r="DO9" s="269"/>
      <c r="DP9" s="269" t="s">
        <v>312</v>
      </c>
      <c r="DQ9" s="269" t="s">
        <v>262</v>
      </c>
      <c r="DR9" s="269" t="s">
        <v>288</v>
      </c>
      <c r="DS9" s="269"/>
      <c r="DT9" s="269"/>
      <c r="DU9" s="269"/>
      <c r="DV9" s="318" t="s">
        <v>289</v>
      </c>
      <c r="DW9" s="318"/>
      <c r="DX9" s="269" t="s">
        <v>290</v>
      </c>
      <c r="DY9" s="269" t="s">
        <v>266</v>
      </c>
      <c r="DZ9" s="269" t="s">
        <v>291</v>
      </c>
      <c r="EA9" s="269" t="s">
        <v>1052</v>
      </c>
      <c r="EB9" s="269" t="s">
        <v>1053</v>
      </c>
      <c r="EC9" s="269" t="s">
        <v>287</v>
      </c>
      <c r="ED9" s="269"/>
      <c r="EE9" s="269"/>
      <c r="EF9" s="269" t="s">
        <v>312</v>
      </c>
      <c r="EG9" s="269" t="s">
        <v>262</v>
      </c>
      <c r="EH9" s="269" t="s">
        <v>288</v>
      </c>
      <c r="EI9" s="269"/>
      <c r="EJ9" s="269"/>
      <c r="EK9" s="269"/>
      <c r="EL9" s="318" t="s">
        <v>289</v>
      </c>
      <c r="EM9" s="318"/>
      <c r="EN9" s="269" t="s">
        <v>290</v>
      </c>
      <c r="EO9" s="269" t="s">
        <v>266</v>
      </c>
      <c r="EP9" s="269" t="s">
        <v>291</v>
      </c>
      <c r="EQ9" s="269" t="s">
        <v>1052</v>
      </c>
      <c r="ER9" s="269" t="s">
        <v>1053</v>
      </c>
      <c r="ES9" s="269" t="s">
        <v>287</v>
      </c>
      <c r="ET9" s="269"/>
      <c r="EU9" s="269"/>
      <c r="EV9" s="269" t="s">
        <v>312</v>
      </c>
      <c r="EW9" s="269" t="s">
        <v>262</v>
      </c>
      <c r="EX9" s="269" t="s">
        <v>288</v>
      </c>
      <c r="EY9" s="269"/>
      <c r="EZ9" s="269"/>
      <c r="FA9" s="269"/>
      <c r="FB9" s="318" t="s">
        <v>289</v>
      </c>
      <c r="FC9" s="318"/>
      <c r="FD9" s="269" t="s">
        <v>290</v>
      </c>
      <c r="FE9" s="269" t="s">
        <v>266</v>
      </c>
      <c r="FF9" s="269" t="s">
        <v>291</v>
      </c>
      <c r="FG9" s="269" t="s">
        <v>1052</v>
      </c>
      <c r="FH9" s="269" t="s">
        <v>1053</v>
      </c>
      <c r="FI9" s="269" t="s">
        <v>287</v>
      </c>
      <c r="FJ9" s="269"/>
      <c r="FK9" s="269"/>
      <c r="FL9" s="269" t="s">
        <v>312</v>
      </c>
      <c r="FM9" s="269" t="s">
        <v>262</v>
      </c>
      <c r="FN9" s="269" t="s">
        <v>288</v>
      </c>
      <c r="FO9" s="269"/>
      <c r="FP9" s="269"/>
      <c r="FQ9" s="269"/>
      <c r="FR9" s="318" t="s">
        <v>289</v>
      </c>
      <c r="FS9" s="318"/>
      <c r="FT9" s="269" t="s">
        <v>290</v>
      </c>
      <c r="FU9" s="269" t="s">
        <v>266</v>
      </c>
      <c r="FV9" s="269" t="s">
        <v>291</v>
      </c>
      <c r="FW9" s="269" t="s">
        <v>1052</v>
      </c>
      <c r="FX9" s="269" t="s">
        <v>1053</v>
      </c>
      <c r="FY9" s="269" t="s">
        <v>287</v>
      </c>
      <c r="FZ9" s="269"/>
      <c r="GA9" s="269"/>
      <c r="GB9" s="269" t="s">
        <v>312</v>
      </c>
      <c r="GC9" s="269" t="s">
        <v>262</v>
      </c>
      <c r="GD9" s="269" t="s">
        <v>288</v>
      </c>
      <c r="GE9" s="269"/>
      <c r="GF9" s="269"/>
      <c r="GG9" s="269"/>
      <c r="GH9" s="318" t="s">
        <v>289</v>
      </c>
      <c r="GI9" s="318"/>
      <c r="GJ9" s="269" t="s">
        <v>290</v>
      </c>
      <c r="GK9" s="269" t="s">
        <v>266</v>
      </c>
      <c r="GL9" s="269" t="s">
        <v>291</v>
      </c>
      <c r="GM9" s="269" t="s">
        <v>1052</v>
      </c>
      <c r="GN9" s="269" t="s">
        <v>1053</v>
      </c>
      <c r="GO9" s="269" t="s">
        <v>287</v>
      </c>
      <c r="GP9" s="269"/>
      <c r="GQ9" s="269"/>
      <c r="GR9" s="269" t="s">
        <v>312</v>
      </c>
      <c r="GS9" s="269" t="s">
        <v>262</v>
      </c>
      <c r="GT9" s="269" t="s">
        <v>288</v>
      </c>
      <c r="GU9" s="269"/>
      <c r="GV9" s="269"/>
      <c r="GW9" s="269"/>
      <c r="GX9" s="318" t="s">
        <v>289</v>
      </c>
      <c r="GY9" s="318"/>
      <c r="GZ9" s="269" t="s">
        <v>290</v>
      </c>
      <c r="HA9" s="269" t="s">
        <v>266</v>
      </c>
      <c r="HB9" s="269" t="s">
        <v>291</v>
      </c>
      <c r="HC9" s="269" t="s">
        <v>1052</v>
      </c>
      <c r="HD9" s="269" t="s">
        <v>1053</v>
      </c>
      <c r="HE9" s="269" t="s">
        <v>287</v>
      </c>
      <c r="HF9" s="269"/>
      <c r="HG9" s="269"/>
      <c r="HH9" s="269" t="s">
        <v>312</v>
      </c>
      <c r="HI9" s="269" t="s">
        <v>262</v>
      </c>
      <c r="HJ9" s="269" t="s">
        <v>288</v>
      </c>
      <c r="HK9" s="269"/>
      <c r="HL9" s="269"/>
      <c r="HM9" s="269"/>
      <c r="HN9" s="318" t="s">
        <v>289</v>
      </c>
      <c r="HO9" s="318"/>
      <c r="HP9" s="269" t="s">
        <v>290</v>
      </c>
      <c r="HQ9" s="269" t="s">
        <v>266</v>
      </c>
      <c r="HR9" s="269" t="s">
        <v>291</v>
      </c>
      <c r="HS9" s="269" t="s">
        <v>1052</v>
      </c>
      <c r="HT9" s="269" t="s">
        <v>1053</v>
      </c>
      <c r="HU9" s="269" t="s">
        <v>287</v>
      </c>
      <c r="HV9" s="269"/>
      <c r="HW9" s="269"/>
      <c r="HX9" s="269" t="s">
        <v>312</v>
      </c>
      <c r="HY9" s="269" t="s">
        <v>262</v>
      </c>
      <c r="HZ9" s="269" t="s">
        <v>288</v>
      </c>
      <c r="IA9" s="269"/>
      <c r="IB9" s="269"/>
      <c r="IC9" s="269"/>
      <c r="ID9" s="318" t="s">
        <v>289</v>
      </c>
      <c r="IE9" s="318"/>
      <c r="IF9" s="269" t="s">
        <v>290</v>
      </c>
      <c r="IG9" s="269" t="s">
        <v>266</v>
      </c>
      <c r="IH9" s="269" t="s">
        <v>291</v>
      </c>
      <c r="II9" s="269" t="s">
        <v>1052</v>
      </c>
      <c r="IJ9" s="269" t="s">
        <v>1053</v>
      </c>
      <c r="IK9" s="269" t="s">
        <v>287</v>
      </c>
      <c r="IL9" s="269"/>
      <c r="IM9" s="269"/>
      <c r="IN9" s="269" t="s">
        <v>312</v>
      </c>
      <c r="IO9" s="269" t="s">
        <v>262</v>
      </c>
      <c r="IP9" s="269" t="s">
        <v>288</v>
      </c>
      <c r="IQ9" s="269"/>
      <c r="IR9" s="269"/>
      <c r="IS9" s="269"/>
      <c r="IT9" s="318" t="s">
        <v>289</v>
      </c>
      <c r="IU9" s="318"/>
      <c r="IV9" s="269" t="s">
        <v>290</v>
      </c>
      <c r="IW9" s="269" t="s">
        <v>266</v>
      </c>
      <c r="IX9" s="269" t="s">
        <v>291</v>
      </c>
    </row>
    <row r="10" spans="1:258" ht="15" customHeight="1" x14ac:dyDescent="0.3">
      <c r="A10" s="326"/>
      <c r="B10" s="326"/>
      <c r="C10" s="269"/>
      <c r="D10" s="269"/>
      <c r="E10" s="269" t="s">
        <v>292</v>
      </c>
      <c r="F10" s="269" t="s">
        <v>293</v>
      </c>
      <c r="G10" s="269"/>
      <c r="H10" s="269"/>
      <c r="I10" s="269"/>
      <c r="J10" s="269" t="s">
        <v>292</v>
      </c>
      <c r="K10" s="269" t="s">
        <v>294</v>
      </c>
      <c r="L10" s="269"/>
      <c r="M10" s="269"/>
      <c r="N10" s="318"/>
      <c r="O10" s="318"/>
      <c r="P10" s="269"/>
      <c r="Q10" s="269"/>
      <c r="R10" s="269"/>
      <c r="S10" s="269"/>
      <c r="T10" s="269"/>
      <c r="U10" s="269" t="s">
        <v>292</v>
      </c>
      <c r="V10" s="269" t="s">
        <v>293</v>
      </c>
      <c r="W10" s="269"/>
      <c r="X10" s="269"/>
      <c r="Y10" s="269"/>
      <c r="Z10" s="269" t="s">
        <v>292</v>
      </c>
      <c r="AA10" s="269" t="s">
        <v>294</v>
      </c>
      <c r="AB10" s="269"/>
      <c r="AC10" s="269"/>
      <c r="AD10" s="318"/>
      <c r="AE10" s="318"/>
      <c r="AF10" s="269"/>
      <c r="AG10" s="269"/>
      <c r="AH10" s="269"/>
      <c r="AI10" s="269"/>
      <c r="AJ10" s="269"/>
      <c r="AK10" s="269" t="s">
        <v>292</v>
      </c>
      <c r="AL10" s="269" t="s">
        <v>293</v>
      </c>
      <c r="AM10" s="269"/>
      <c r="AN10" s="269"/>
      <c r="AO10" s="269"/>
      <c r="AP10" s="269" t="s">
        <v>292</v>
      </c>
      <c r="AQ10" s="269" t="s">
        <v>294</v>
      </c>
      <c r="AR10" s="269"/>
      <c r="AS10" s="269"/>
      <c r="AT10" s="318"/>
      <c r="AU10" s="318"/>
      <c r="AV10" s="269"/>
      <c r="AW10" s="269"/>
      <c r="AX10" s="269"/>
      <c r="AY10" s="269"/>
      <c r="AZ10" s="269"/>
      <c r="BA10" s="269" t="s">
        <v>292</v>
      </c>
      <c r="BB10" s="269" t="s">
        <v>293</v>
      </c>
      <c r="BC10" s="269"/>
      <c r="BD10" s="269"/>
      <c r="BE10" s="269"/>
      <c r="BF10" s="269" t="s">
        <v>292</v>
      </c>
      <c r="BG10" s="269" t="s">
        <v>294</v>
      </c>
      <c r="BH10" s="269"/>
      <c r="BI10" s="269"/>
      <c r="BJ10" s="318"/>
      <c r="BK10" s="318"/>
      <c r="BL10" s="269"/>
      <c r="BM10" s="269"/>
      <c r="BN10" s="269"/>
      <c r="BO10" s="269"/>
      <c r="BP10" s="269"/>
      <c r="BQ10" s="269" t="s">
        <v>292</v>
      </c>
      <c r="BR10" s="269" t="s">
        <v>293</v>
      </c>
      <c r="BS10" s="269"/>
      <c r="BT10" s="269"/>
      <c r="BU10" s="269"/>
      <c r="BV10" s="269" t="s">
        <v>292</v>
      </c>
      <c r="BW10" s="269" t="s">
        <v>294</v>
      </c>
      <c r="BX10" s="269"/>
      <c r="BY10" s="269"/>
      <c r="BZ10" s="318"/>
      <c r="CA10" s="318"/>
      <c r="CB10" s="269"/>
      <c r="CC10" s="269"/>
      <c r="CD10" s="269"/>
      <c r="CE10" s="269"/>
      <c r="CF10" s="269"/>
      <c r="CG10" s="269" t="s">
        <v>292</v>
      </c>
      <c r="CH10" s="269" t="s">
        <v>293</v>
      </c>
      <c r="CI10" s="269"/>
      <c r="CJ10" s="269"/>
      <c r="CK10" s="269"/>
      <c r="CL10" s="269" t="s">
        <v>292</v>
      </c>
      <c r="CM10" s="269" t="s">
        <v>294</v>
      </c>
      <c r="CN10" s="269"/>
      <c r="CO10" s="269"/>
      <c r="CP10" s="318"/>
      <c r="CQ10" s="318"/>
      <c r="CR10" s="269"/>
      <c r="CS10" s="269"/>
      <c r="CT10" s="269"/>
      <c r="CU10" s="269"/>
      <c r="CV10" s="269"/>
      <c r="CW10" s="269" t="s">
        <v>292</v>
      </c>
      <c r="CX10" s="269" t="s">
        <v>293</v>
      </c>
      <c r="CY10" s="269"/>
      <c r="CZ10" s="269"/>
      <c r="DA10" s="269"/>
      <c r="DB10" s="269" t="s">
        <v>292</v>
      </c>
      <c r="DC10" s="269" t="s">
        <v>294</v>
      </c>
      <c r="DD10" s="269"/>
      <c r="DE10" s="269"/>
      <c r="DF10" s="318"/>
      <c r="DG10" s="318"/>
      <c r="DH10" s="269"/>
      <c r="DI10" s="269"/>
      <c r="DJ10" s="269"/>
      <c r="DK10" s="269"/>
      <c r="DL10" s="269"/>
      <c r="DM10" s="269" t="s">
        <v>292</v>
      </c>
      <c r="DN10" s="269" t="s">
        <v>293</v>
      </c>
      <c r="DO10" s="269"/>
      <c r="DP10" s="269"/>
      <c r="DQ10" s="269"/>
      <c r="DR10" s="269" t="s">
        <v>292</v>
      </c>
      <c r="DS10" s="269" t="s">
        <v>294</v>
      </c>
      <c r="DT10" s="269"/>
      <c r="DU10" s="269"/>
      <c r="DV10" s="318"/>
      <c r="DW10" s="318"/>
      <c r="DX10" s="269"/>
      <c r="DY10" s="269"/>
      <c r="DZ10" s="269"/>
      <c r="EA10" s="269"/>
      <c r="EB10" s="269"/>
      <c r="EC10" s="269" t="s">
        <v>292</v>
      </c>
      <c r="ED10" s="269" t="s">
        <v>293</v>
      </c>
      <c r="EE10" s="269"/>
      <c r="EF10" s="269"/>
      <c r="EG10" s="269"/>
      <c r="EH10" s="269" t="s">
        <v>292</v>
      </c>
      <c r="EI10" s="269" t="s">
        <v>294</v>
      </c>
      <c r="EJ10" s="269"/>
      <c r="EK10" s="269"/>
      <c r="EL10" s="318"/>
      <c r="EM10" s="318"/>
      <c r="EN10" s="269"/>
      <c r="EO10" s="269"/>
      <c r="EP10" s="269"/>
      <c r="EQ10" s="269"/>
      <c r="ER10" s="269"/>
      <c r="ES10" s="269" t="s">
        <v>292</v>
      </c>
      <c r="ET10" s="269" t="s">
        <v>293</v>
      </c>
      <c r="EU10" s="269"/>
      <c r="EV10" s="269"/>
      <c r="EW10" s="269"/>
      <c r="EX10" s="269" t="s">
        <v>292</v>
      </c>
      <c r="EY10" s="269" t="s">
        <v>294</v>
      </c>
      <c r="EZ10" s="269"/>
      <c r="FA10" s="269"/>
      <c r="FB10" s="318"/>
      <c r="FC10" s="318"/>
      <c r="FD10" s="269"/>
      <c r="FE10" s="269"/>
      <c r="FF10" s="269"/>
      <c r="FG10" s="269"/>
      <c r="FH10" s="269"/>
      <c r="FI10" s="269" t="s">
        <v>292</v>
      </c>
      <c r="FJ10" s="269" t="s">
        <v>293</v>
      </c>
      <c r="FK10" s="269"/>
      <c r="FL10" s="269"/>
      <c r="FM10" s="269"/>
      <c r="FN10" s="269" t="s">
        <v>292</v>
      </c>
      <c r="FO10" s="269" t="s">
        <v>294</v>
      </c>
      <c r="FP10" s="269"/>
      <c r="FQ10" s="269"/>
      <c r="FR10" s="318"/>
      <c r="FS10" s="318"/>
      <c r="FT10" s="269"/>
      <c r="FU10" s="269"/>
      <c r="FV10" s="269"/>
      <c r="FW10" s="269"/>
      <c r="FX10" s="269"/>
      <c r="FY10" s="269" t="s">
        <v>292</v>
      </c>
      <c r="FZ10" s="269" t="s">
        <v>293</v>
      </c>
      <c r="GA10" s="269"/>
      <c r="GB10" s="269"/>
      <c r="GC10" s="269"/>
      <c r="GD10" s="269" t="s">
        <v>292</v>
      </c>
      <c r="GE10" s="269" t="s">
        <v>294</v>
      </c>
      <c r="GF10" s="269"/>
      <c r="GG10" s="269"/>
      <c r="GH10" s="318"/>
      <c r="GI10" s="318"/>
      <c r="GJ10" s="269"/>
      <c r="GK10" s="269"/>
      <c r="GL10" s="269"/>
      <c r="GM10" s="269"/>
      <c r="GN10" s="269"/>
      <c r="GO10" s="269" t="s">
        <v>292</v>
      </c>
      <c r="GP10" s="269" t="s">
        <v>293</v>
      </c>
      <c r="GQ10" s="269"/>
      <c r="GR10" s="269"/>
      <c r="GS10" s="269"/>
      <c r="GT10" s="269" t="s">
        <v>292</v>
      </c>
      <c r="GU10" s="269" t="s">
        <v>294</v>
      </c>
      <c r="GV10" s="269"/>
      <c r="GW10" s="269"/>
      <c r="GX10" s="318"/>
      <c r="GY10" s="318"/>
      <c r="GZ10" s="269"/>
      <c r="HA10" s="269"/>
      <c r="HB10" s="269"/>
      <c r="HC10" s="269"/>
      <c r="HD10" s="269"/>
      <c r="HE10" s="269" t="s">
        <v>292</v>
      </c>
      <c r="HF10" s="269" t="s">
        <v>293</v>
      </c>
      <c r="HG10" s="269"/>
      <c r="HH10" s="269"/>
      <c r="HI10" s="269"/>
      <c r="HJ10" s="269" t="s">
        <v>292</v>
      </c>
      <c r="HK10" s="269" t="s">
        <v>294</v>
      </c>
      <c r="HL10" s="269"/>
      <c r="HM10" s="269"/>
      <c r="HN10" s="318"/>
      <c r="HO10" s="318"/>
      <c r="HP10" s="269"/>
      <c r="HQ10" s="269"/>
      <c r="HR10" s="269"/>
      <c r="HS10" s="269"/>
      <c r="HT10" s="269"/>
      <c r="HU10" s="269" t="s">
        <v>292</v>
      </c>
      <c r="HV10" s="269" t="s">
        <v>293</v>
      </c>
      <c r="HW10" s="269"/>
      <c r="HX10" s="269"/>
      <c r="HY10" s="269"/>
      <c r="HZ10" s="269" t="s">
        <v>292</v>
      </c>
      <c r="IA10" s="269" t="s">
        <v>294</v>
      </c>
      <c r="IB10" s="269"/>
      <c r="IC10" s="269"/>
      <c r="ID10" s="318"/>
      <c r="IE10" s="318"/>
      <c r="IF10" s="269"/>
      <c r="IG10" s="269"/>
      <c r="IH10" s="269"/>
      <c r="II10" s="269"/>
      <c r="IJ10" s="269"/>
      <c r="IK10" s="269" t="s">
        <v>292</v>
      </c>
      <c r="IL10" s="269" t="s">
        <v>293</v>
      </c>
      <c r="IM10" s="269"/>
      <c r="IN10" s="269"/>
      <c r="IO10" s="269"/>
      <c r="IP10" s="269" t="s">
        <v>292</v>
      </c>
      <c r="IQ10" s="269" t="s">
        <v>294</v>
      </c>
      <c r="IR10" s="269"/>
      <c r="IS10" s="269"/>
      <c r="IT10" s="318"/>
      <c r="IU10" s="318"/>
      <c r="IV10" s="269"/>
      <c r="IW10" s="269"/>
      <c r="IX10" s="269"/>
    </row>
    <row r="11" spans="1:258" ht="96.6" x14ac:dyDescent="0.3">
      <c r="A11" s="326"/>
      <c r="B11" s="326"/>
      <c r="C11" s="269"/>
      <c r="D11" s="269"/>
      <c r="E11" s="269"/>
      <c r="F11" s="197" t="s">
        <v>259</v>
      </c>
      <c r="G11" s="197" t="s">
        <v>260</v>
      </c>
      <c r="H11" s="269"/>
      <c r="I11" s="269"/>
      <c r="J11" s="269"/>
      <c r="K11" s="197" t="s">
        <v>264</v>
      </c>
      <c r="L11" s="197" t="s">
        <v>303</v>
      </c>
      <c r="M11" s="197" t="s">
        <v>260</v>
      </c>
      <c r="N11" s="197" t="s">
        <v>911</v>
      </c>
      <c r="O11" s="197" t="s">
        <v>295</v>
      </c>
      <c r="P11" s="269"/>
      <c r="Q11" s="269"/>
      <c r="R11" s="269"/>
      <c r="S11" s="269"/>
      <c r="T11" s="269"/>
      <c r="U11" s="269"/>
      <c r="V11" s="197" t="s">
        <v>259</v>
      </c>
      <c r="W11" s="197" t="s">
        <v>260</v>
      </c>
      <c r="X11" s="269"/>
      <c r="Y11" s="269"/>
      <c r="Z11" s="269"/>
      <c r="AA11" s="197" t="s">
        <v>264</v>
      </c>
      <c r="AB11" s="197" t="s">
        <v>303</v>
      </c>
      <c r="AC11" s="197" t="s">
        <v>260</v>
      </c>
      <c r="AD11" s="197" t="s">
        <v>911</v>
      </c>
      <c r="AE11" s="197" t="s">
        <v>295</v>
      </c>
      <c r="AF11" s="269"/>
      <c r="AG11" s="269"/>
      <c r="AH11" s="269"/>
      <c r="AI11" s="269"/>
      <c r="AJ11" s="269"/>
      <c r="AK11" s="269"/>
      <c r="AL11" s="197" t="s">
        <v>259</v>
      </c>
      <c r="AM11" s="197" t="s">
        <v>260</v>
      </c>
      <c r="AN11" s="269"/>
      <c r="AO11" s="269"/>
      <c r="AP11" s="269"/>
      <c r="AQ11" s="197" t="s">
        <v>264</v>
      </c>
      <c r="AR11" s="197" t="s">
        <v>303</v>
      </c>
      <c r="AS11" s="197" t="s">
        <v>260</v>
      </c>
      <c r="AT11" s="197" t="s">
        <v>911</v>
      </c>
      <c r="AU11" s="197" t="s">
        <v>295</v>
      </c>
      <c r="AV11" s="269"/>
      <c r="AW11" s="269"/>
      <c r="AX11" s="269"/>
      <c r="AY11" s="269"/>
      <c r="AZ11" s="269"/>
      <c r="BA11" s="269"/>
      <c r="BB11" s="197" t="s">
        <v>259</v>
      </c>
      <c r="BC11" s="197" t="s">
        <v>260</v>
      </c>
      <c r="BD11" s="269"/>
      <c r="BE11" s="269"/>
      <c r="BF11" s="269"/>
      <c r="BG11" s="197" t="s">
        <v>264</v>
      </c>
      <c r="BH11" s="197" t="s">
        <v>303</v>
      </c>
      <c r="BI11" s="197" t="s">
        <v>260</v>
      </c>
      <c r="BJ11" s="197" t="s">
        <v>911</v>
      </c>
      <c r="BK11" s="197" t="s">
        <v>295</v>
      </c>
      <c r="BL11" s="269"/>
      <c r="BM11" s="269"/>
      <c r="BN11" s="269"/>
      <c r="BO11" s="269"/>
      <c r="BP11" s="269"/>
      <c r="BQ11" s="269"/>
      <c r="BR11" s="197" t="s">
        <v>259</v>
      </c>
      <c r="BS11" s="197" t="s">
        <v>260</v>
      </c>
      <c r="BT11" s="269"/>
      <c r="BU11" s="269"/>
      <c r="BV11" s="269"/>
      <c r="BW11" s="197" t="s">
        <v>264</v>
      </c>
      <c r="BX11" s="197" t="s">
        <v>303</v>
      </c>
      <c r="BY11" s="197" t="s">
        <v>260</v>
      </c>
      <c r="BZ11" s="197" t="s">
        <v>911</v>
      </c>
      <c r="CA11" s="197" t="s">
        <v>295</v>
      </c>
      <c r="CB11" s="269"/>
      <c r="CC11" s="269"/>
      <c r="CD11" s="269"/>
      <c r="CE11" s="269"/>
      <c r="CF11" s="269"/>
      <c r="CG11" s="269"/>
      <c r="CH11" s="197" t="s">
        <v>259</v>
      </c>
      <c r="CI11" s="197" t="s">
        <v>260</v>
      </c>
      <c r="CJ11" s="269"/>
      <c r="CK11" s="269"/>
      <c r="CL11" s="269"/>
      <c r="CM11" s="197" t="s">
        <v>264</v>
      </c>
      <c r="CN11" s="197" t="s">
        <v>303</v>
      </c>
      <c r="CO11" s="197" t="s">
        <v>260</v>
      </c>
      <c r="CP11" s="197" t="s">
        <v>911</v>
      </c>
      <c r="CQ11" s="197" t="s">
        <v>295</v>
      </c>
      <c r="CR11" s="269"/>
      <c r="CS11" s="269"/>
      <c r="CT11" s="269"/>
      <c r="CU11" s="269"/>
      <c r="CV11" s="269"/>
      <c r="CW11" s="269"/>
      <c r="CX11" s="197" t="s">
        <v>259</v>
      </c>
      <c r="CY11" s="197" t="s">
        <v>260</v>
      </c>
      <c r="CZ11" s="269"/>
      <c r="DA11" s="269"/>
      <c r="DB11" s="269"/>
      <c r="DC11" s="197" t="s">
        <v>264</v>
      </c>
      <c r="DD11" s="197" t="s">
        <v>303</v>
      </c>
      <c r="DE11" s="197" t="s">
        <v>260</v>
      </c>
      <c r="DF11" s="197" t="s">
        <v>911</v>
      </c>
      <c r="DG11" s="197" t="s">
        <v>295</v>
      </c>
      <c r="DH11" s="269"/>
      <c r="DI11" s="269"/>
      <c r="DJ11" s="269"/>
      <c r="DK11" s="269"/>
      <c r="DL11" s="269"/>
      <c r="DM11" s="269"/>
      <c r="DN11" s="197" t="s">
        <v>259</v>
      </c>
      <c r="DO11" s="197" t="s">
        <v>260</v>
      </c>
      <c r="DP11" s="269"/>
      <c r="DQ11" s="269"/>
      <c r="DR11" s="269"/>
      <c r="DS11" s="197" t="s">
        <v>264</v>
      </c>
      <c r="DT11" s="197" t="s">
        <v>303</v>
      </c>
      <c r="DU11" s="197" t="s">
        <v>260</v>
      </c>
      <c r="DV11" s="197" t="s">
        <v>911</v>
      </c>
      <c r="DW11" s="197" t="s">
        <v>295</v>
      </c>
      <c r="DX11" s="269"/>
      <c r="DY11" s="269"/>
      <c r="DZ11" s="269"/>
      <c r="EA11" s="269"/>
      <c r="EB11" s="269"/>
      <c r="EC11" s="269"/>
      <c r="ED11" s="197" t="s">
        <v>259</v>
      </c>
      <c r="EE11" s="197" t="s">
        <v>260</v>
      </c>
      <c r="EF11" s="269"/>
      <c r="EG11" s="269"/>
      <c r="EH11" s="269"/>
      <c r="EI11" s="197" t="s">
        <v>264</v>
      </c>
      <c r="EJ11" s="197" t="s">
        <v>303</v>
      </c>
      <c r="EK11" s="197" t="s">
        <v>260</v>
      </c>
      <c r="EL11" s="197" t="s">
        <v>911</v>
      </c>
      <c r="EM11" s="197" t="s">
        <v>295</v>
      </c>
      <c r="EN11" s="269"/>
      <c r="EO11" s="269"/>
      <c r="EP11" s="269"/>
      <c r="EQ11" s="269"/>
      <c r="ER11" s="269"/>
      <c r="ES11" s="269"/>
      <c r="ET11" s="197" t="s">
        <v>259</v>
      </c>
      <c r="EU11" s="197" t="s">
        <v>260</v>
      </c>
      <c r="EV11" s="269"/>
      <c r="EW11" s="269"/>
      <c r="EX11" s="269"/>
      <c r="EY11" s="197" t="s">
        <v>264</v>
      </c>
      <c r="EZ11" s="197" t="s">
        <v>303</v>
      </c>
      <c r="FA11" s="197" t="s">
        <v>260</v>
      </c>
      <c r="FB11" s="197" t="s">
        <v>911</v>
      </c>
      <c r="FC11" s="197" t="s">
        <v>295</v>
      </c>
      <c r="FD11" s="269"/>
      <c r="FE11" s="269"/>
      <c r="FF11" s="269"/>
      <c r="FG11" s="269"/>
      <c r="FH11" s="269"/>
      <c r="FI11" s="269"/>
      <c r="FJ11" s="197" t="s">
        <v>259</v>
      </c>
      <c r="FK11" s="197" t="s">
        <v>260</v>
      </c>
      <c r="FL11" s="269"/>
      <c r="FM11" s="269"/>
      <c r="FN11" s="269"/>
      <c r="FO11" s="197" t="s">
        <v>264</v>
      </c>
      <c r="FP11" s="197" t="s">
        <v>303</v>
      </c>
      <c r="FQ11" s="197" t="s">
        <v>260</v>
      </c>
      <c r="FR11" s="197" t="s">
        <v>911</v>
      </c>
      <c r="FS11" s="197" t="s">
        <v>295</v>
      </c>
      <c r="FT11" s="269"/>
      <c r="FU11" s="269"/>
      <c r="FV11" s="269"/>
      <c r="FW11" s="269"/>
      <c r="FX11" s="269"/>
      <c r="FY11" s="269"/>
      <c r="FZ11" s="197" t="s">
        <v>259</v>
      </c>
      <c r="GA11" s="197" t="s">
        <v>260</v>
      </c>
      <c r="GB11" s="269"/>
      <c r="GC11" s="269"/>
      <c r="GD11" s="269"/>
      <c r="GE11" s="197" t="s">
        <v>264</v>
      </c>
      <c r="GF11" s="197" t="s">
        <v>303</v>
      </c>
      <c r="GG11" s="197" t="s">
        <v>260</v>
      </c>
      <c r="GH11" s="197" t="s">
        <v>911</v>
      </c>
      <c r="GI11" s="197" t="s">
        <v>295</v>
      </c>
      <c r="GJ11" s="269"/>
      <c r="GK11" s="269"/>
      <c r="GL11" s="269"/>
      <c r="GM11" s="269"/>
      <c r="GN11" s="269"/>
      <c r="GO11" s="269"/>
      <c r="GP11" s="197" t="s">
        <v>259</v>
      </c>
      <c r="GQ11" s="197" t="s">
        <v>260</v>
      </c>
      <c r="GR11" s="269"/>
      <c r="GS11" s="269"/>
      <c r="GT11" s="269"/>
      <c r="GU11" s="197" t="s">
        <v>264</v>
      </c>
      <c r="GV11" s="197" t="s">
        <v>303</v>
      </c>
      <c r="GW11" s="197" t="s">
        <v>260</v>
      </c>
      <c r="GX11" s="197" t="s">
        <v>911</v>
      </c>
      <c r="GY11" s="197" t="s">
        <v>295</v>
      </c>
      <c r="GZ11" s="269"/>
      <c r="HA11" s="269"/>
      <c r="HB11" s="269"/>
      <c r="HC11" s="269"/>
      <c r="HD11" s="269"/>
      <c r="HE11" s="269"/>
      <c r="HF11" s="197" t="s">
        <v>259</v>
      </c>
      <c r="HG11" s="197" t="s">
        <v>260</v>
      </c>
      <c r="HH11" s="269"/>
      <c r="HI11" s="269"/>
      <c r="HJ11" s="269"/>
      <c r="HK11" s="197" t="s">
        <v>264</v>
      </c>
      <c r="HL11" s="197" t="s">
        <v>303</v>
      </c>
      <c r="HM11" s="197" t="s">
        <v>260</v>
      </c>
      <c r="HN11" s="197" t="s">
        <v>911</v>
      </c>
      <c r="HO11" s="197" t="s">
        <v>295</v>
      </c>
      <c r="HP11" s="269"/>
      <c r="HQ11" s="269"/>
      <c r="HR11" s="269"/>
      <c r="HS11" s="269"/>
      <c r="HT11" s="269"/>
      <c r="HU11" s="269"/>
      <c r="HV11" s="197" t="s">
        <v>259</v>
      </c>
      <c r="HW11" s="197" t="s">
        <v>260</v>
      </c>
      <c r="HX11" s="269"/>
      <c r="HY11" s="269"/>
      <c r="HZ11" s="269"/>
      <c r="IA11" s="197" t="s">
        <v>264</v>
      </c>
      <c r="IB11" s="197" t="s">
        <v>303</v>
      </c>
      <c r="IC11" s="197" t="s">
        <v>260</v>
      </c>
      <c r="ID11" s="197" t="s">
        <v>911</v>
      </c>
      <c r="IE11" s="197" t="s">
        <v>295</v>
      </c>
      <c r="IF11" s="269"/>
      <c r="IG11" s="269"/>
      <c r="IH11" s="269"/>
      <c r="II11" s="269"/>
      <c r="IJ11" s="269"/>
      <c r="IK11" s="269"/>
      <c r="IL11" s="242" t="s">
        <v>259</v>
      </c>
      <c r="IM11" s="242" t="s">
        <v>260</v>
      </c>
      <c r="IN11" s="269"/>
      <c r="IO11" s="269"/>
      <c r="IP11" s="269"/>
      <c r="IQ11" s="242" t="s">
        <v>264</v>
      </c>
      <c r="IR11" s="242" t="s">
        <v>303</v>
      </c>
      <c r="IS11" s="242" t="s">
        <v>260</v>
      </c>
      <c r="IT11" s="242" t="s">
        <v>911</v>
      </c>
      <c r="IU11" s="242" t="s">
        <v>295</v>
      </c>
      <c r="IV11" s="269"/>
      <c r="IW11" s="269"/>
      <c r="IX11" s="269"/>
    </row>
    <row r="12" spans="1:258" ht="25.8" customHeight="1" x14ac:dyDescent="0.3">
      <c r="A12" s="199" t="s">
        <v>2</v>
      </c>
      <c r="B12" s="200" t="s">
        <v>3</v>
      </c>
      <c r="C12" s="53">
        <v>9967.9839999999986</v>
      </c>
      <c r="D12" s="53">
        <v>0</v>
      </c>
      <c r="E12" s="53">
        <v>13661.69995389</v>
      </c>
      <c r="F12" s="53">
        <v>9962.3045999999995</v>
      </c>
      <c r="G12" s="53">
        <v>3699.39535389</v>
      </c>
      <c r="H12" s="53">
        <v>9762.4042426100004</v>
      </c>
      <c r="I12" s="53">
        <v>113.00643853999999</v>
      </c>
      <c r="J12" s="53">
        <v>13389.775677509999</v>
      </c>
      <c r="K12" s="53">
        <v>9761.3130786699985</v>
      </c>
      <c r="L12" s="53">
        <v>0</v>
      </c>
      <c r="M12" s="53">
        <v>3628.4625988399998</v>
      </c>
      <c r="N12" s="53">
        <v>97.947780151844583</v>
      </c>
      <c r="O12" s="53">
        <v>98.082585172319767</v>
      </c>
      <c r="P12" s="53">
        <v>27.098755694126453</v>
      </c>
      <c r="Q12" s="53">
        <v>109.87544128000002</v>
      </c>
      <c r="R12" s="53">
        <v>4.2221612000002038</v>
      </c>
      <c r="S12" s="53">
        <v>6810.7599</v>
      </c>
      <c r="T12" s="53">
        <v>0</v>
      </c>
      <c r="U12" s="53">
        <v>9004.0521328400009</v>
      </c>
      <c r="V12" s="53">
        <v>6810.7599</v>
      </c>
      <c r="W12" s="53">
        <v>2193.29223284</v>
      </c>
      <c r="X12" s="53">
        <v>6806.8090777399993</v>
      </c>
      <c r="Y12" s="53">
        <v>43.612464130000006</v>
      </c>
      <c r="Z12" s="53">
        <v>8996.3247298799997</v>
      </c>
      <c r="AA12" s="53">
        <v>6805.7596423000005</v>
      </c>
      <c r="AB12" s="53">
        <v>0</v>
      </c>
      <c r="AC12" s="53">
        <v>2190.5650875799997</v>
      </c>
      <c r="AD12" s="53">
        <v>99.92658296910453</v>
      </c>
      <c r="AE12" s="53">
        <v>99.875659740222162</v>
      </c>
      <c r="AF12" s="53">
        <v>24.349555550216554</v>
      </c>
      <c r="AG12" s="53">
        <v>43.026680070000005</v>
      </c>
      <c r="AH12" s="53">
        <v>1.6352194999999625</v>
      </c>
      <c r="AI12" s="53">
        <v>0</v>
      </c>
      <c r="AJ12" s="53">
        <v>0</v>
      </c>
      <c r="AK12" s="53">
        <v>0</v>
      </c>
      <c r="AL12" s="53">
        <v>0</v>
      </c>
      <c r="AM12" s="53">
        <v>0</v>
      </c>
      <c r="AN12" s="53">
        <v>0</v>
      </c>
      <c r="AO12" s="53">
        <v>22.485911480000002</v>
      </c>
      <c r="AP12" s="53">
        <v>0</v>
      </c>
      <c r="AQ12" s="53">
        <v>0</v>
      </c>
      <c r="AR12" s="53">
        <v>0</v>
      </c>
      <c r="AS12" s="53">
        <v>0</v>
      </c>
      <c r="AT12" s="53" t="s">
        <v>1230</v>
      </c>
      <c r="AU12" s="53" t="s">
        <v>1230</v>
      </c>
      <c r="AV12" s="53">
        <v>0</v>
      </c>
      <c r="AW12" s="53">
        <v>19.97522588</v>
      </c>
      <c r="AX12" s="53">
        <v>2.5106856</v>
      </c>
      <c r="AY12" s="53">
        <v>1709.0497</v>
      </c>
      <c r="AZ12" s="53">
        <v>0</v>
      </c>
      <c r="BA12" s="53">
        <v>2608.5510774099994</v>
      </c>
      <c r="BB12" s="53">
        <v>1709.0497</v>
      </c>
      <c r="BC12" s="53">
        <v>899.50137740999992</v>
      </c>
      <c r="BD12" s="53">
        <v>1637.0959138799999</v>
      </c>
      <c r="BE12" s="53">
        <v>3.0231263200000003</v>
      </c>
      <c r="BF12" s="53">
        <v>2500.0486442899996</v>
      </c>
      <c r="BG12" s="53">
        <v>1637.07611363</v>
      </c>
      <c r="BH12" s="53">
        <v>0</v>
      </c>
      <c r="BI12" s="53">
        <v>862.97253065999996</v>
      </c>
      <c r="BJ12" s="53">
        <v>95.788677978762109</v>
      </c>
      <c r="BK12" s="53">
        <v>95.938989348167524</v>
      </c>
      <c r="BL12" s="53">
        <v>34.518229580492005</v>
      </c>
      <c r="BM12" s="53">
        <v>3.0231263200000003</v>
      </c>
      <c r="BN12" s="53">
        <v>1.9800250000015517E-2</v>
      </c>
      <c r="BO12" s="53">
        <v>0</v>
      </c>
      <c r="BP12" s="53">
        <v>0</v>
      </c>
      <c r="BQ12" s="53">
        <v>0</v>
      </c>
      <c r="BR12" s="53">
        <v>0</v>
      </c>
      <c r="BS12" s="53">
        <v>0</v>
      </c>
      <c r="BT12" s="53">
        <v>0</v>
      </c>
      <c r="BU12" s="53">
        <v>19.926260200000002</v>
      </c>
      <c r="BV12" s="53">
        <v>0</v>
      </c>
      <c r="BW12" s="53">
        <v>0</v>
      </c>
      <c r="BX12" s="53">
        <v>0</v>
      </c>
      <c r="BY12" s="53">
        <v>0</v>
      </c>
      <c r="BZ12" s="53" t="s">
        <v>1230</v>
      </c>
      <c r="CA12" s="53" t="s">
        <v>1230</v>
      </c>
      <c r="CB12" s="53">
        <v>0</v>
      </c>
      <c r="CC12" s="53">
        <v>19.926260200000002</v>
      </c>
      <c r="CD12" s="53">
        <v>0</v>
      </c>
      <c r="CE12" s="53">
        <v>371.18380000000002</v>
      </c>
      <c r="CF12" s="53">
        <v>0</v>
      </c>
      <c r="CG12" s="53">
        <v>447.66295554999999</v>
      </c>
      <c r="CH12" s="53">
        <v>371.18380000000002</v>
      </c>
      <c r="CI12" s="53">
        <v>76.479155550000002</v>
      </c>
      <c r="CJ12" s="53">
        <v>257.98736695000002</v>
      </c>
      <c r="CK12" s="53">
        <v>0</v>
      </c>
      <c r="CL12" s="53">
        <v>311.28171091000002</v>
      </c>
      <c r="CM12" s="53">
        <v>257.98736695000002</v>
      </c>
      <c r="CN12" s="53">
        <v>0</v>
      </c>
      <c r="CO12" s="53">
        <v>53.294343959999999</v>
      </c>
      <c r="CP12" s="53">
        <v>69.503940352461498</v>
      </c>
      <c r="CQ12" s="53">
        <v>69.684796565461028</v>
      </c>
      <c r="CR12" s="53">
        <v>17.120936467548791</v>
      </c>
      <c r="CS12" s="53">
        <v>0</v>
      </c>
      <c r="CT12" s="53">
        <v>0</v>
      </c>
      <c r="CU12" s="53">
        <v>0</v>
      </c>
      <c r="CV12" s="53">
        <v>0</v>
      </c>
      <c r="CW12" s="53">
        <v>0</v>
      </c>
      <c r="CX12" s="53">
        <v>0</v>
      </c>
      <c r="CY12" s="53">
        <v>0</v>
      </c>
      <c r="CZ12" s="53">
        <v>0</v>
      </c>
      <c r="DA12" s="53">
        <v>9.75</v>
      </c>
      <c r="DB12" s="53">
        <v>0</v>
      </c>
      <c r="DC12" s="53">
        <v>0</v>
      </c>
      <c r="DD12" s="53">
        <v>0</v>
      </c>
      <c r="DE12" s="53">
        <v>0</v>
      </c>
      <c r="DF12" s="53" t="s">
        <v>1230</v>
      </c>
      <c r="DG12" s="53" t="s">
        <v>1230</v>
      </c>
      <c r="DH12" s="53">
        <v>0</v>
      </c>
      <c r="DI12" s="53">
        <v>9.75</v>
      </c>
      <c r="DJ12" s="53">
        <v>0</v>
      </c>
      <c r="DK12" s="53">
        <v>148.43450000000001</v>
      </c>
      <c r="DL12" s="53">
        <v>0</v>
      </c>
      <c r="DM12" s="53">
        <v>229.12941425</v>
      </c>
      <c r="DN12" s="53">
        <v>142.7551</v>
      </c>
      <c r="DO12" s="53">
        <v>86.374314249999998</v>
      </c>
      <c r="DP12" s="53">
        <v>139.39411109</v>
      </c>
      <c r="DQ12" s="53">
        <v>0</v>
      </c>
      <c r="DR12" s="53">
        <v>223.32731292</v>
      </c>
      <c r="DS12" s="53">
        <v>139.39411109</v>
      </c>
      <c r="DT12" s="53">
        <v>0</v>
      </c>
      <c r="DU12" s="53">
        <v>83.933201830000002</v>
      </c>
      <c r="DV12" s="53">
        <v>95.289799247219804</v>
      </c>
      <c r="DW12" s="53">
        <v>97.173798204713393</v>
      </c>
      <c r="DX12" s="53">
        <v>37.583043799065649</v>
      </c>
      <c r="DY12" s="53">
        <v>0</v>
      </c>
      <c r="DZ12" s="53">
        <v>0</v>
      </c>
      <c r="EA12" s="53">
        <v>0</v>
      </c>
      <c r="EB12" s="53">
        <v>0</v>
      </c>
      <c r="EC12" s="53">
        <v>0</v>
      </c>
      <c r="ED12" s="53">
        <v>0</v>
      </c>
      <c r="EE12" s="53">
        <v>0</v>
      </c>
      <c r="EF12" s="53">
        <v>0</v>
      </c>
      <c r="EG12" s="53">
        <v>0.44383842000000001</v>
      </c>
      <c r="EH12" s="53">
        <v>0</v>
      </c>
      <c r="EI12" s="53">
        <v>0</v>
      </c>
      <c r="EJ12" s="53">
        <v>0</v>
      </c>
      <c r="EK12" s="53">
        <v>0</v>
      </c>
      <c r="EL12" s="53" t="s">
        <v>1230</v>
      </c>
      <c r="EM12" s="53" t="s">
        <v>1230</v>
      </c>
      <c r="EN12" s="53">
        <v>0</v>
      </c>
      <c r="EO12" s="53">
        <v>0.44383842000000001</v>
      </c>
      <c r="EP12" s="53">
        <v>0</v>
      </c>
      <c r="EQ12" s="53">
        <v>111.34209999999999</v>
      </c>
      <c r="ER12" s="53">
        <v>0</v>
      </c>
      <c r="ES12" s="53">
        <v>196.21636877</v>
      </c>
      <c r="ET12" s="53">
        <v>111.34209999999999</v>
      </c>
      <c r="EU12" s="53">
        <v>84.87426877</v>
      </c>
      <c r="EV12" s="53">
        <v>110.05217685999999</v>
      </c>
      <c r="EW12" s="53">
        <v>0</v>
      </c>
      <c r="EX12" s="53">
        <v>193.57607648000001</v>
      </c>
      <c r="EY12" s="53">
        <v>110.05217685999999</v>
      </c>
      <c r="EZ12" s="53">
        <v>0</v>
      </c>
      <c r="FA12" s="53">
        <v>83.523899620000023</v>
      </c>
      <c r="FB12" s="53">
        <v>98.84147762616297</v>
      </c>
      <c r="FC12" s="53">
        <v>98.408976984933645</v>
      </c>
      <c r="FD12" s="53">
        <v>43.147841995149427</v>
      </c>
      <c r="FE12" s="53">
        <v>0</v>
      </c>
      <c r="FF12" s="53">
        <v>0</v>
      </c>
      <c r="FG12" s="53">
        <v>0</v>
      </c>
      <c r="FH12" s="53">
        <v>0</v>
      </c>
      <c r="FI12" s="53">
        <v>0</v>
      </c>
      <c r="FJ12" s="53">
        <v>0</v>
      </c>
      <c r="FK12" s="53">
        <v>0</v>
      </c>
      <c r="FL12" s="53">
        <v>0</v>
      </c>
      <c r="FM12" s="53">
        <v>5.3902100000000003E-3</v>
      </c>
      <c r="FN12" s="53">
        <v>0</v>
      </c>
      <c r="FO12" s="53">
        <v>0</v>
      </c>
      <c r="FP12" s="53">
        <v>0</v>
      </c>
      <c r="FQ12" s="53">
        <v>0</v>
      </c>
      <c r="FR12" s="53" t="s">
        <v>1230</v>
      </c>
      <c r="FS12" s="53" t="s">
        <v>1230</v>
      </c>
      <c r="FT12" s="53">
        <v>0</v>
      </c>
      <c r="FU12" s="53">
        <v>5.3902100000000003E-3</v>
      </c>
      <c r="FV12" s="53">
        <v>0</v>
      </c>
      <c r="FW12" s="53">
        <v>742.30280000000005</v>
      </c>
      <c r="FX12" s="53">
        <v>0</v>
      </c>
      <c r="FY12" s="53">
        <v>1040.79125606</v>
      </c>
      <c r="FZ12" s="53">
        <v>742.30280000000005</v>
      </c>
      <c r="GA12" s="53">
        <v>298.48845606000003</v>
      </c>
      <c r="GB12" s="53">
        <v>737.92648384999995</v>
      </c>
      <c r="GC12" s="53">
        <v>4.6608605000000001</v>
      </c>
      <c r="GD12" s="53">
        <v>1033.6438751600001</v>
      </c>
      <c r="GE12" s="53">
        <v>737.92648326999995</v>
      </c>
      <c r="GF12" s="53">
        <v>0</v>
      </c>
      <c r="GG12" s="53">
        <v>295.71739189000004</v>
      </c>
      <c r="GH12" s="53">
        <v>99.410440492747682</v>
      </c>
      <c r="GI12" s="53">
        <v>99.071634391970264</v>
      </c>
      <c r="GJ12" s="53">
        <v>28.609214352885832</v>
      </c>
      <c r="GK12" s="53">
        <v>4.6608605000000001</v>
      </c>
      <c r="GL12" s="53">
        <v>5.8000000020645703E-7</v>
      </c>
      <c r="GM12" s="53">
        <v>0</v>
      </c>
      <c r="GN12" s="53">
        <v>0</v>
      </c>
      <c r="GO12" s="53">
        <v>0</v>
      </c>
      <c r="GP12" s="53">
        <v>0</v>
      </c>
      <c r="GQ12" s="53">
        <v>0</v>
      </c>
      <c r="GR12" s="53">
        <v>0</v>
      </c>
      <c r="GS12" s="53">
        <v>8.7304596799999992</v>
      </c>
      <c r="GT12" s="53">
        <v>0</v>
      </c>
      <c r="GU12" s="53">
        <v>0</v>
      </c>
      <c r="GV12" s="53">
        <v>0</v>
      </c>
      <c r="GW12" s="53">
        <v>0</v>
      </c>
      <c r="GX12" s="53" t="s">
        <v>1230</v>
      </c>
      <c r="GY12" s="53" t="s">
        <v>1230</v>
      </c>
      <c r="GZ12" s="53">
        <v>0</v>
      </c>
      <c r="HA12" s="53">
        <v>8.7304596799999992</v>
      </c>
      <c r="HB12" s="53">
        <v>0</v>
      </c>
      <c r="HC12" s="53">
        <v>72.431200000000004</v>
      </c>
      <c r="HD12" s="53">
        <v>0</v>
      </c>
      <c r="HE12" s="53">
        <v>131.99008251000001</v>
      </c>
      <c r="HF12" s="53">
        <v>72.431200000000004</v>
      </c>
      <c r="HG12" s="53">
        <v>59.558882510000004</v>
      </c>
      <c r="HH12" s="53">
        <v>70.659112240000013</v>
      </c>
      <c r="HI12" s="53">
        <v>0</v>
      </c>
      <c r="HJ12" s="53">
        <v>128.26666136999998</v>
      </c>
      <c r="HK12" s="53">
        <v>70.637184570000016</v>
      </c>
      <c r="HL12" s="53">
        <v>0</v>
      </c>
      <c r="HM12" s="53">
        <v>57.629476799999999</v>
      </c>
      <c r="HN12" s="53">
        <v>97.52314550911764</v>
      </c>
      <c r="HO12" s="53">
        <v>96.760507201128135</v>
      </c>
      <c r="HP12" s="53">
        <v>44.929427634949604</v>
      </c>
      <c r="HQ12" s="53">
        <v>0</v>
      </c>
      <c r="HR12" s="53">
        <v>2.192767000000001E-2</v>
      </c>
      <c r="HS12" s="53">
        <v>0</v>
      </c>
      <c r="HT12" s="53">
        <v>0</v>
      </c>
      <c r="HU12" s="53">
        <v>0</v>
      </c>
      <c r="HV12" s="53">
        <v>0</v>
      </c>
      <c r="HW12" s="53">
        <v>0</v>
      </c>
      <c r="HX12" s="53">
        <v>0</v>
      </c>
      <c r="HY12" s="53">
        <v>0.3681276</v>
      </c>
      <c r="HZ12" s="53">
        <v>0</v>
      </c>
      <c r="IA12" s="53">
        <v>0</v>
      </c>
      <c r="IB12" s="53">
        <v>0</v>
      </c>
      <c r="IC12" s="53">
        <v>0</v>
      </c>
      <c r="ID12" s="53" t="s">
        <v>1230</v>
      </c>
      <c r="IE12" s="53" t="s">
        <v>1230</v>
      </c>
      <c r="IF12" s="53">
        <v>0</v>
      </c>
      <c r="IG12" s="53">
        <v>0.33360000000000001</v>
      </c>
      <c r="IH12" s="53">
        <v>3.4527599999999992E-2</v>
      </c>
      <c r="II12" s="53">
        <v>2.48</v>
      </c>
      <c r="IJ12" s="53">
        <v>0</v>
      </c>
      <c r="IK12" s="53">
        <v>3.3066665</v>
      </c>
      <c r="IL12" s="53">
        <v>2.48</v>
      </c>
      <c r="IM12" s="53">
        <v>0.82666649999999997</v>
      </c>
      <c r="IN12" s="53">
        <v>2.48</v>
      </c>
      <c r="IO12" s="53">
        <v>0</v>
      </c>
      <c r="IP12" s="53">
        <v>3.3066665</v>
      </c>
      <c r="IQ12" s="53">
        <v>2.48</v>
      </c>
      <c r="IR12" s="53">
        <v>0</v>
      </c>
      <c r="IS12" s="53">
        <v>0.82666649999999997</v>
      </c>
      <c r="IT12" s="53">
        <v>100</v>
      </c>
      <c r="IU12" s="53">
        <v>100</v>
      </c>
      <c r="IV12" s="53">
        <v>24.999996219757872</v>
      </c>
      <c r="IW12" s="53">
        <v>0</v>
      </c>
      <c r="IX12" s="53">
        <v>0</v>
      </c>
    </row>
    <row r="13" spans="1:258" ht="15.6" hidden="1" x14ac:dyDescent="0.3">
      <c r="A13" s="199"/>
      <c r="B13" s="55" t="s">
        <v>296</v>
      </c>
      <c r="C13" s="53"/>
      <c r="D13" s="53"/>
      <c r="E13" s="53"/>
      <c r="F13" s="8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83"/>
      <c r="W13" s="53"/>
      <c r="X13" s="53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83"/>
      <c r="AM13" s="53"/>
      <c r="AN13" s="53"/>
      <c r="AO13" s="53"/>
      <c r="AP13" s="53"/>
      <c r="AQ13" s="53"/>
      <c r="AR13" s="53"/>
      <c r="AS13" s="53"/>
      <c r="AT13" s="53"/>
      <c r="AU13" s="53"/>
      <c r="AV13" s="53"/>
      <c r="AW13" s="53"/>
      <c r="AX13" s="53"/>
      <c r="AY13" s="53"/>
      <c r="AZ13" s="53"/>
      <c r="BA13" s="53"/>
      <c r="BB13" s="83"/>
      <c r="BC13" s="53"/>
      <c r="BD13" s="53"/>
      <c r="BE13" s="53"/>
      <c r="BF13" s="53"/>
      <c r="BG13" s="53"/>
      <c r="BH13" s="53"/>
      <c r="BI13" s="53"/>
      <c r="BJ13" s="53"/>
      <c r="BK13" s="53"/>
      <c r="BL13" s="53"/>
      <c r="BM13" s="53"/>
      <c r="BN13" s="53"/>
      <c r="BO13" s="53"/>
      <c r="BP13" s="53"/>
      <c r="BQ13" s="53"/>
      <c r="BR13" s="83"/>
      <c r="BS13" s="53"/>
      <c r="BT13" s="53"/>
      <c r="BU13" s="53"/>
      <c r="BV13" s="53"/>
      <c r="BW13" s="53"/>
      <c r="BX13" s="53"/>
      <c r="BY13" s="53"/>
      <c r="BZ13" s="53"/>
      <c r="CA13" s="53"/>
      <c r="CB13" s="53"/>
      <c r="CC13" s="53"/>
      <c r="CD13" s="53"/>
      <c r="CE13" s="53"/>
      <c r="CF13" s="53"/>
      <c r="CG13" s="53"/>
      <c r="CH13" s="83"/>
      <c r="CI13" s="53"/>
      <c r="CJ13" s="53"/>
      <c r="CK13" s="53"/>
      <c r="CL13" s="53"/>
      <c r="CM13" s="53"/>
      <c r="CN13" s="53"/>
      <c r="CO13" s="53"/>
      <c r="CP13" s="53"/>
      <c r="CQ13" s="53"/>
      <c r="CR13" s="53"/>
      <c r="CS13" s="53"/>
      <c r="CT13" s="53"/>
      <c r="CU13" s="53"/>
      <c r="CV13" s="53"/>
      <c r="CW13" s="53"/>
      <c r="CX13" s="83"/>
      <c r="CY13" s="53"/>
      <c r="CZ13" s="53"/>
      <c r="DA13" s="53"/>
      <c r="DB13" s="53"/>
      <c r="DC13" s="53"/>
      <c r="DD13" s="53"/>
      <c r="DE13" s="53"/>
      <c r="DF13" s="53"/>
      <c r="DG13" s="53"/>
      <c r="DH13" s="53"/>
      <c r="DI13" s="53"/>
      <c r="DJ13" s="53"/>
      <c r="DK13" s="53"/>
      <c r="DL13" s="53"/>
      <c r="DM13" s="53"/>
      <c r="DN13" s="83"/>
      <c r="DO13" s="53"/>
      <c r="DP13" s="53"/>
      <c r="DQ13" s="53"/>
      <c r="DR13" s="53"/>
      <c r="DS13" s="53"/>
      <c r="DT13" s="53"/>
      <c r="DU13" s="53"/>
      <c r="DV13" s="53"/>
      <c r="DW13" s="53"/>
      <c r="DX13" s="53"/>
      <c r="DY13" s="53"/>
      <c r="DZ13" s="53"/>
      <c r="EA13" s="53"/>
      <c r="EB13" s="53"/>
      <c r="EC13" s="53"/>
      <c r="ED13" s="83"/>
      <c r="EE13" s="53"/>
      <c r="EF13" s="53"/>
      <c r="EG13" s="53"/>
      <c r="EH13" s="53"/>
      <c r="EI13" s="53"/>
      <c r="EJ13" s="53"/>
      <c r="EK13" s="53"/>
      <c r="EL13" s="53"/>
      <c r="EM13" s="53"/>
      <c r="EN13" s="53"/>
      <c r="EO13" s="53"/>
      <c r="EP13" s="53"/>
      <c r="EQ13" s="53"/>
      <c r="ER13" s="53"/>
      <c r="ES13" s="53"/>
      <c r="ET13" s="83"/>
      <c r="EU13" s="53"/>
      <c r="EV13" s="53"/>
      <c r="EW13" s="53"/>
      <c r="EX13" s="53"/>
      <c r="EY13" s="53"/>
      <c r="EZ13" s="53"/>
      <c r="FA13" s="53"/>
      <c r="FB13" s="53"/>
      <c r="FC13" s="53"/>
      <c r="FD13" s="53"/>
      <c r="FE13" s="53"/>
      <c r="FF13" s="53"/>
      <c r="FG13" s="53"/>
      <c r="FH13" s="53"/>
      <c r="FI13" s="53"/>
      <c r="FJ13" s="83"/>
      <c r="FK13" s="53"/>
      <c r="FL13" s="53"/>
      <c r="FM13" s="53"/>
      <c r="FN13" s="53"/>
      <c r="FO13" s="53"/>
      <c r="FP13" s="53"/>
      <c r="FQ13" s="53"/>
      <c r="FR13" s="53"/>
      <c r="FS13" s="53"/>
      <c r="FT13" s="53"/>
      <c r="FU13" s="53"/>
      <c r="FV13" s="53"/>
      <c r="FW13" s="53"/>
      <c r="FX13" s="53"/>
      <c r="FY13" s="53"/>
      <c r="FZ13" s="83"/>
      <c r="GA13" s="53"/>
      <c r="GB13" s="53"/>
      <c r="GC13" s="53"/>
      <c r="GD13" s="53"/>
      <c r="GE13" s="53"/>
      <c r="GF13" s="53"/>
      <c r="GG13" s="53"/>
      <c r="GH13" s="53"/>
      <c r="GI13" s="53"/>
      <c r="GJ13" s="53"/>
      <c r="GK13" s="53"/>
      <c r="GL13" s="53"/>
      <c r="GM13" s="53"/>
      <c r="GN13" s="53"/>
      <c r="GO13" s="53"/>
      <c r="GP13" s="83"/>
      <c r="GQ13" s="53"/>
      <c r="GR13" s="53"/>
      <c r="GS13" s="53"/>
      <c r="GT13" s="53"/>
      <c r="GU13" s="53"/>
      <c r="GV13" s="53"/>
      <c r="GW13" s="53"/>
      <c r="GX13" s="53"/>
      <c r="GY13" s="53"/>
      <c r="GZ13" s="53"/>
      <c r="HA13" s="53"/>
      <c r="HB13" s="53"/>
      <c r="HC13" s="53"/>
      <c r="HD13" s="53"/>
      <c r="HE13" s="53"/>
      <c r="HF13" s="83"/>
      <c r="HG13" s="53"/>
      <c r="HH13" s="53"/>
      <c r="HI13" s="53"/>
      <c r="HJ13" s="53"/>
      <c r="HK13" s="53"/>
      <c r="HL13" s="53"/>
      <c r="HM13" s="53"/>
      <c r="HN13" s="53"/>
      <c r="HO13" s="53"/>
      <c r="HP13" s="53"/>
      <c r="HQ13" s="53"/>
      <c r="HR13" s="53"/>
      <c r="HS13" s="53"/>
      <c r="HT13" s="53"/>
      <c r="HU13" s="53"/>
      <c r="HV13" s="83"/>
      <c r="HW13" s="53"/>
      <c r="HX13" s="53"/>
      <c r="HY13" s="53"/>
      <c r="HZ13" s="53"/>
      <c r="IA13" s="53"/>
      <c r="IB13" s="53"/>
      <c r="IC13" s="53"/>
      <c r="ID13" s="53"/>
      <c r="IE13" s="53"/>
      <c r="IF13" s="53"/>
      <c r="IG13" s="53"/>
      <c r="IH13" s="53"/>
      <c r="II13" s="53"/>
      <c r="IJ13" s="53"/>
      <c r="IK13" s="53"/>
      <c r="IL13" s="83"/>
      <c r="IM13" s="53"/>
      <c r="IN13" s="53"/>
      <c r="IO13" s="53"/>
      <c r="IP13" s="53"/>
      <c r="IQ13" s="53"/>
      <c r="IR13" s="53"/>
      <c r="IS13" s="53"/>
      <c r="IT13" s="53"/>
      <c r="IU13" s="53"/>
      <c r="IV13" s="53"/>
      <c r="IW13" s="53"/>
      <c r="IX13" s="53"/>
    </row>
    <row r="14" spans="1:258" ht="15.6" x14ac:dyDescent="0.3">
      <c r="A14" s="202" t="s">
        <v>6</v>
      </c>
      <c r="B14" s="203" t="s">
        <v>7</v>
      </c>
      <c r="C14" s="240">
        <v>1600.7195000000002</v>
      </c>
      <c r="D14" s="240">
        <v>0</v>
      </c>
      <c r="E14" s="240">
        <v>2157.69650963</v>
      </c>
      <c r="F14" s="240">
        <v>1598.5694000000001</v>
      </c>
      <c r="G14" s="240">
        <v>559.12710962999984</v>
      </c>
      <c r="H14" s="240">
        <v>1582.1120553099997</v>
      </c>
      <c r="I14" s="240">
        <v>12.275267620000001</v>
      </c>
      <c r="J14" s="240">
        <v>2133.5007348099998</v>
      </c>
      <c r="K14" s="240">
        <v>1581.4052034099998</v>
      </c>
      <c r="L14" s="240">
        <v>0</v>
      </c>
      <c r="M14" s="240">
        <v>552.09553139999991</v>
      </c>
      <c r="N14" s="240">
        <v>98.926277671147702</v>
      </c>
      <c r="O14" s="240">
        <v>98.742400769182339</v>
      </c>
      <c r="P14" s="240">
        <v>25.877447445508711</v>
      </c>
      <c r="Q14" s="240">
        <v>12.18413542</v>
      </c>
      <c r="R14" s="240">
        <v>0.79798409999995468</v>
      </c>
      <c r="S14" s="240">
        <v>982.92300000000012</v>
      </c>
      <c r="T14" s="240">
        <v>0</v>
      </c>
      <c r="U14" s="240">
        <v>1255.33794807</v>
      </c>
      <c r="V14" s="240">
        <v>982.92300000000012</v>
      </c>
      <c r="W14" s="240">
        <v>272.41494807000004</v>
      </c>
      <c r="X14" s="240">
        <v>981.32124340000007</v>
      </c>
      <c r="Y14" s="240">
        <v>6.262337389999999</v>
      </c>
      <c r="Z14" s="240">
        <v>1251.4156656</v>
      </c>
      <c r="AA14" s="240">
        <v>980.61445558000003</v>
      </c>
      <c r="AB14" s="240">
        <v>0</v>
      </c>
      <c r="AC14" s="240">
        <v>270.80121001999998</v>
      </c>
      <c r="AD14" s="240">
        <v>99.765134764371155</v>
      </c>
      <c r="AE14" s="240">
        <v>99.407617657755921</v>
      </c>
      <c r="AF14" s="240">
        <v>21.639589263904767</v>
      </c>
      <c r="AG14" s="240">
        <v>6.1722051899999997</v>
      </c>
      <c r="AH14" s="240">
        <v>0.79692001999997986</v>
      </c>
      <c r="AI14" s="240">
        <v>0</v>
      </c>
      <c r="AJ14" s="240">
        <v>0</v>
      </c>
      <c r="AK14" s="240">
        <v>0</v>
      </c>
      <c r="AL14" s="240">
        <v>0</v>
      </c>
      <c r="AM14" s="240">
        <v>0</v>
      </c>
      <c r="AN14" s="240">
        <v>0</v>
      </c>
      <c r="AO14" s="240">
        <v>3.1463372200000004</v>
      </c>
      <c r="AP14" s="240">
        <v>0</v>
      </c>
      <c r="AQ14" s="240">
        <v>0</v>
      </c>
      <c r="AR14" s="240">
        <v>0</v>
      </c>
      <c r="AS14" s="240">
        <v>0</v>
      </c>
      <c r="AT14" s="240" t="s">
        <v>1230</v>
      </c>
      <c r="AU14" s="240" t="s">
        <v>1230</v>
      </c>
      <c r="AV14" s="240">
        <v>0</v>
      </c>
      <c r="AW14" s="240">
        <v>3.14533722</v>
      </c>
      <c r="AX14" s="240">
        <v>1.0000000000001119E-3</v>
      </c>
      <c r="AY14" s="240">
        <v>443.25230000000005</v>
      </c>
      <c r="AZ14" s="240">
        <v>0</v>
      </c>
      <c r="BA14" s="240">
        <v>630.41565972000012</v>
      </c>
      <c r="BB14" s="240">
        <v>443.25230000000005</v>
      </c>
      <c r="BC14" s="240">
        <v>187.16335971999993</v>
      </c>
      <c r="BD14" s="240">
        <v>430.30436347</v>
      </c>
      <c r="BE14" s="240">
        <v>0</v>
      </c>
      <c r="BF14" s="240">
        <v>614.34006539000006</v>
      </c>
      <c r="BG14" s="240">
        <v>430.30429938999998</v>
      </c>
      <c r="BH14" s="240">
        <v>0</v>
      </c>
      <c r="BI14" s="240">
        <v>184.035766</v>
      </c>
      <c r="BJ14" s="240">
        <v>97.078864427776224</v>
      </c>
      <c r="BK14" s="240">
        <v>98.328949787672713</v>
      </c>
      <c r="BL14" s="240">
        <v>29.956660222570541</v>
      </c>
      <c r="BM14" s="240">
        <v>0</v>
      </c>
      <c r="BN14" s="240">
        <v>6.4079999999577808E-5</v>
      </c>
      <c r="BO14" s="240">
        <v>0</v>
      </c>
      <c r="BP14" s="240">
        <v>0</v>
      </c>
      <c r="BQ14" s="240">
        <v>0</v>
      </c>
      <c r="BR14" s="240">
        <v>0</v>
      </c>
      <c r="BS14" s="240">
        <v>0</v>
      </c>
      <c r="BT14" s="240">
        <v>0</v>
      </c>
      <c r="BU14" s="240">
        <v>2.03301E-3</v>
      </c>
      <c r="BV14" s="240">
        <v>0</v>
      </c>
      <c r="BW14" s="240">
        <v>0</v>
      </c>
      <c r="BX14" s="240">
        <v>0</v>
      </c>
      <c r="BY14" s="240">
        <v>0</v>
      </c>
      <c r="BZ14" s="240" t="s">
        <v>1230</v>
      </c>
      <c r="CA14" s="240" t="s">
        <v>1230</v>
      </c>
      <c r="CB14" s="240">
        <v>0</v>
      </c>
      <c r="CC14" s="240">
        <v>2.03301E-3</v>
      </c>
      <c r="CD14" s="240">
        <v>0</v>
      </c>
      <c r="CE14" s="240">
        <v>0</v>
      </c>
      <c r="CF14" s="240">
        <v>0</v>
      </c>
      <c r="CG14" s="240">
        <v>0</v>
      </c>
      <c r="CH14" s="240">
        <v>0</v>
      </c>
      <c r="CI14" s="240">
        <v>0</v>
      </c>
      <c r="CJ14" s="240">
        <v>0</v>
      </c>
      <c r="CK14" s="240">
        <v>0</v>
      </c>
      <c r="CL14" s="240">
        <v>0</v>
      </c>
      <c r="CM14" s="240">
        <v>0</v>
      </c>
      <c r="CN14" s="240">
        <v>0</v>
      </c>
      <c r="CO14" s="240">
        <v>0</v>
      </c>
      <c r="CP14" s="240" t="s">
        <v>1230</v>
      </c>
      <c r="CQ14" s="240" t="s">
        <v>1230</v>
      </c>
      <c r="CR14" s="240">
        <v>0</v>
      </c>
      <c r="CS14" s="240">
        <v>0</v>
      </c>
      <c r="CT14" s="240">
        <v>0</v>
      </c>
      <c r="CU14" s="240">
        <v>0</v>
      </c>
      <c r="CV14" s="240">
        <v>0</v>
      </c>
      <c r="CW14" s="240">
        <v>0</v>
      </c>
      <c r="CX14" s="240">
        <v>0</v>
      </c>
      <c r="CY14" s="240">
        <v>0</v>
      </c>
      <c r="CZ14" s="240">
        <v>0</v>
      </c>
      <c r="DA14" s="240">
        <v>0</v>
      </c>
      <c r="DB14" s="240">
        <v>0</v>
      </c>
      <c r="DC14" s="240">
        <v>0</v>
      </c>
      <c r="DD14" s="240">
        <v>0</v>
      </c>
      <c r="DE14" s="240">
        <v>0</v>
      </c>
      <c r="DF14" s="240" t="s">
        <v>1230</v>
      </c>
      <c r="DG14" s="240" t="s">
        <v>1230</v>
      </c>
      <c r="DH14" s="240">
        <v>0</v>
      </c>
      <c r="DI14" s="240">
        <v>0</v>
      </c>
      <c r="DJ14" s="240">
        <v>0</v>
      </c>
      <c r="DK14" s="240">
        <v>20.7014</v>
      </c>
      <c r="DL14" s="240">
        <v>0</v>
      </c>
      <c r="DM14" s="240">
        <v>28.974700129999999</v>
      </c>
      <c r="DN14" s="240">
        <v>18.551300000000001</v>
      </c>
      <c r="DO14" s="240">
        <v>10.423400130000001</v>
      </c>
      <c r="DP14" s="240">
        <v>18.390260009999999</v>
      </c>
      <c r="DQ14" s="240">
        <v>0</v>
      </c>
      <c r="DR14" s="240">
        <v>28.452876550000003</v>
      </c>
      <c r="DS14" s="240">
        <v>18.390260009999999</v>
      </c>
      <c r="DT14" s="240">
        <v>0</v>
      </c>
      <c r="DU14" s="240">
        <v>10.06261654</v>
      </c>
      <c r="DV14" s="240">
        <v>99.131920727927408</v>
      </c>
      <c r="DW14" s="240">
        <v>96.538714953850672</v>
      </c>
      <c r="DX14" s="240">
        <v>35.365902362515257</v>
      </c>
      <c r="DY14" s="240">
        <v>0</v>
      </c>
      <c r="DZ14" s="240">
        <v>0</v>
      </c>
      <c r="EA14" s="240">
        <v>0</v>
      </c>
      <c r="EB14" s="240">
        <v>0</v>
      </c>
      <c r="EC14" s="240">
        <v>0</v>
      </c>
      <c r="ED14" s="240">
        <v>0</v>
      </c>
      <c r="EE14" s="240">
        <v>0</v>
      </c>
      <c r="EF14" s="240">
        <v>0</v>
      </c>
      <c r="EG14" s="240">
        <v>0</v>
      </c>
      <c r="EH14" s="240">
        <v>0</v>
      </c>
      <c r="EI14" s="240">
        <v>0</v>
      </c>
      <c r="EJ14" s="240">
        <v>0</v>
      </c>
      <c r="EK14" s="240">
        <v>0</v>
      </c>
      <c r="EL14" s="240" t="s">
        <v>1230</v>
      </c>
      <c r="EM14" s="240" t="s">
        <v>1230</v>
      </c>
      <c r="EN14" s="240">
        <v>0</v>
      </c>
      <c r="EO14" s="240">
        <v>0</v>
      </c>
      <c r="EP14" s="240">
        <v>0</v>
      </c>
      <c r="EQ14" s="240">
        <v>18.733900000000002</v>
      </c>
      <c r="ER14" s="240">
        <v>0</v>
      </c>
      <c r="ES14" s="240">
        <v>32.757336410000001</v>
      </c>
      <c r="ET14" s="240">
        <v>18.733900000000002</v>
      </c>
      <c r="EU14" s="240">
        <v>14.023436409999997</v>
      </c>
      <c r="EV14" s="240">
        <v>18.618493539999999</v>
      </c>
      <c r="EW14" s="240">
        <v>0</v>
      </c>
      <c r="EX14" s="240">
        <v>32.624685309999997</v>
      </c>
      <c r="EY14" s="240">
        <v>18.618493539999999</v>
      </c>
      <c r="EZ14" s="240">
        <v>0</v>
      </c>
      <c r="FA14" s="240">
        <v>14.006191769999997</v>
      </c>
      <c r="FB14" s="240">
        <v>99.383969915500757</v>
      </c>
      <c r="FC14" s="240">
        <v>99.877029855622951</v>
      </c>
      <c r="FD14" s="240">
        <v>42.931270100885456</v>
      </c>
      <c r="FE14" s="240">
        <v>0</v>
      </c>
      <c r="FF14" s="240">
        <v>0</v>
      </c>
      <c r="FG14" s="240">
        <v>0</v>
      </c>
      <c r="FH14" s="240">
        <v>0</v>
      </c>
      <c r="FI14" s="240">
        <v>0</v>
      </c>
      <c r="FJ14" s="240">
        <v>0</v>
      </c>
      <c r="FK14" s="240">
        <v>0</v>
      </c>
      <c r="FL14" s="240">
        <v>0</v>
      </c>
      <c r="FM14" s="240">
        <v>0</v>
      </c>
      <c r="FN14" s="240">
        <v>0</v>
      </c>
      <c r="FO14" s="240">
        <v>0</v>
      </c>
      <c r="FP14" s="240">
        <v>0</v>
      </c>
      <c r="FQ14" s="240">
        <v>0</v>
      </c>
      <c r="FR14" s="240" t="s">
        <v>1230</v>
      </c>
      <c r="FS14" s="240" t="s">
        <v>1230</v>
      </c>
      <c r="FT14" s="240">
        <v>0</v>
      </c>
      <c r="FU14" s="240">
        <v>0</v>
      </c>
      <c r="FV14" s="240">
        <v>0</v>
      </c>
      <c r="FW14" s="240">
        <v>115.57040000000001</v>
      </c>
      <c r="FX14" s="240">
        <v>0</v>
      </c>
      <c r="FY14" s="240">
        <v>181.81423827999998</v>
      </c>
      <c r="FZ14" s="240">
        <v>115.57040000000001</v>
      </c>
      <c r="GA14" s="240">
        <v>66.243838280000006</v>
      </c>
      <c r="GB14" s="240">
        <v>114.11330699</v>
      </c>
      <c r="GC14" s="240">
        <v>2.86456</v>
      </c>
      <c r="GD14" s="240">
        <v>178.65194165</v>
      </c>
      <c r="GE14" s="240">
        <v>114.11330699</v>
      </c>
      <c r="GF14" s="240">
        <v>0</v>
      </c>
      <c r="GG14" s="240">
        <v>64.53863466</v>
      </c>
      <c r="GH14" s="240">
        <v>98.739216088202511</v>
      </c>
      <c r="GI14" s="240">
        <v>97.42586833088923</v>
      </c>
      <c r="GJ14" s="240">
        <v>36.125347457145871</v>
      </c>
      <c r="GK14" s="240">
        <v>2.86456</v>
      </c>
      <c r="GL14" s="240">
        <v>8.8817841970012523E-16</v>
      </c>
      <c r="GM14" s="240">
        <v>0</v>
      </c>
      <c r="GN14" s="240">
        <v>0</v>
      </c>
      <c r="GO14" s="240">
        <v>0</v>
      </c>
      <c r="GP14" s="240">
        <v>0</v>
      </c>
      <c r="GQ14" s="240">
        <v>0</v>
      </c>
      <c r="GR14" s="240">
        <v>0</v>
      </c>
      <c r="GS14" s="240">
        <v>0</v>
      </c>
      <c r="GT14" s="240">
        <v>0</v>
      </c>
      <c r="GU14" s="240">
        <v>0</v>
      </c>
      <c r="GV14" s="240">
        <v>0</v>
      </c>
      <c r="GW14" s="240">
        <v>0</v>
      </c>
      <c r="GX14" s="240" t="s">
        <v>1230</v>
      </c>
      <c r="GY14" s="240" t="s">
        <v>1230</v>
      </c>
      <c r="GZ14" s="240">
        <v>0</v>
      </c>
      <c r="HA14" s="240">
        <v>0</v>
      </c>
      <c r="HB14" s="240">
        <v>0</v>
      </c>
      <c r="HC14" s="240">
        <v>19.538499999999996</v>
      </c>
      <c r="HD14" s="240">
        <v>0</v>
      </c>
      <c r="HE14" s="240">
        <v>28.39662702</v>
      </c>
      <c r="HF14" s="240">
        <v>19.538499999999996</v>
      </c>
      <c r="HG14" s="240">
        <v>8.8581270199999977</v>
      </c>
      <c r="HH14" s="240">
        <v>19.364387900000004</v>
      </c>
      <c r="HI14" s="240">
        <v>0</v>
      </c>
      <c r="HJ14" s="240">
        <v>28.01550031</v>
      </c>
      <c r="HK14" s="240">
        <v>19.364387900000004</v>
      </c>
      <c r="HL14" s="240">
        <v>0</v>
      </c>
      <c r="HM14" s="240">
        <v>8.6511124099999996</v>
      </c>
      <c r="HN14" s="240">
        <v>99.108876832919663</v>
      </c>
      <c r="HO14" s="240">
        <v>97.662997950553233</v>
      </c>
      <c r="HP14" s="240">
        <v>30.879735554506681</v>
      </c>
      <c r="HQ14" s="240">
        <v>0</v>
      </c>
      <c r="HR14" s="240">
        <v>0</v>
      </c>
      <c r="HS14" s="240">
        <v>0</v>
      </c>
      <c r="HT14" s="240">
        <v>0</v>
      </c>
      <c r="HU14" s="240">
        <v>0</v>
      </c>
      <c r="HV14" s="240">
        <v>0</v>
      </c>
      <c r="HW14" s="240">
        <v>0</v>
      </c>
      <c r="HX14" s="240">
        <v>0</v>
      </c>
      <c r="HY14" s="240">
        <v>0</v>
      </c>
      <c r="HZ14" s="240">
        <v>0</v>
      </c>
      <c r="IA14" s="240">
        <v>0</v>
      </c>
      <c r="IB14" s="240">
        <v>0</v>
      </c>
      <c r="IC14" s="240">
        <v>0</v>
      </c>
      <c r="ID14" s="240" t="s">
        <v>1230</v>
      </c>
      <c r="IE14" s="240" t="s">
        <v>1230</v>
      </c>
      <c r="IF14" s="240">
        <v>0</v>
      </c>
      <c r="IG14" s="240">
        <v>0</v>
      </c>
      <c r="IH14" s="240">
        <v>0</v>
      </c>
      <c r="II14" s="240">
        <v>0</v>
      </c>
      <c r="IJ14" s="240">
        <v>0</v>
      </c>
      <c r="IK14" s="240">
        <v>0</v>
      </c>
      <c r="IL14" s="240">
        <v>0</v>
      </c>
      <c r="IM14" s="240">
        <v>0</v>
      </c>
      <c r="IN14" s="240">
        <v>0</v>
      </c>
      <c r="IO14" s="240">
        <v>0</v>
      </c>
      <c r="IP14" s="240">
        <v>0</v>
      </c>
      <c r="IQ14" s="240">
        <v>0</v>
      </c>
      <c r="IR14" s="240">
        <v>0</v>
      </c>
      <c r="IS14" s="240">
        <v>0</v>
      </c>
      <c r="IT14" s="240" t="s">
        <v>1230</v>
      </c>
      <c r="IU14" s="240" t="s">
        <v>1230</v>
      </c>
      <c r="IV14" s="240">
        <v>0</v>
      </c>
      <c r="IW14" s="240">
        <v>0</v>
      </c>
      <c r="IX14" s="240">
        <v>0</v>
      </c>
    </row>
    <row r="15" spans="1:258" ht="15.6" x14ac:dyDescent="0.3">
      <c r="A15" s="169" t="s">
        <v>9</v>
      </c>
      <c r="B15" s="205" t="s">
        <v>10</v>
      </c>
      <c r="C15" s="66">
        <v>58.607000000000006</v>
      </c>
      <c r="D15" s="66">
        <v>0</v>
      </c>
      <c r="E15" s="66">
        <v>74.186075960000011</v>
      </c>
      <c r="F15" s="66">
        <v>58.607000000000006</v>
      </c>
      <c r="G15" s="66">
        <v>15.579075959999999</v>
      </c>
      <c r="H15" s="66">
        <v>58.607000000000006</v>
      </c>
      <c r="I15" s="66">
        <v>0</v>
      </c>
      <c r="J15" s="66">
        <v>74.186075960000011</v>
      </c>
      <c r="K15" s="66">
        <v>58.607000000000006</v>
      </c>
      <c r="L15" s="66">
        <v>0</v>
      </c>
      <c r="M15" s="66">
        <v>15.579075959999999</v>
      </c>
      <c r="N15" s="67">
        <v>100</v>
      </c>
      <c r="O15" s="67">
        <v>100</v>
      </c>
      <c r="P15" s="67">
        <v>21.000000011322875</v>
      </c>
      <c r="Q15" s="66">
        <v>0</v>
      </c>
      <c r="R15" s="67">
        <v>0</v>
      </c>
      <c r="S15" s="66">
        <v>39.497300000000003</v>
      </c>
      <c r="T15" s="66">
        <v>0</v>
      </c>
      <c r="U15" s="66">
        <v>49.996582279999998</v>
      </c>
      <c r="V15" s="66">
        <v>39.497300000000003</v>
      </c>
      <c r="W15" s="66">
        <v>10.499282279999999</v>
      </c>
      <c r="X15" s="66">
        <v>39.497300000000003</v>
      </c>
      <c r="Y15" s="66">
        <v>0</v>
      </c>
      <c r="Z15" s="66">
        <v>49.996582279999998</v>
      </c>
      <c r="AA15" s="66">
        <v>39.497300000000003</v>
      </c>
      <c r="AB15" s="66">
        <v>0</v>
      </c>
      <c r="AC15" s="66">
        <v>10.499282279999999</v>
      </c>
      <c r="AD15" s="67">
        <v>100</v>
      </c>
      <c r="AE15" s="67">
        <v>100</v>
      </c>
      <c r="AF15" s="67">
        <v>21.000000002400164</v>
      </c>
      <c r="AG15" s="187">
        <v>0</v>
      </c>
      <c r="AH15" s="67">
        <v>0</v>
      </c>
      <c r="AI15" s="66">
        <v>0</v>
      </c>
      <c r="AJ15" s="66">
        <v>0</v>
      </c>
      <c r="AK15" s="66">
        <v>0</v>
      </c>
      <c r="AL15" s="66">
        <v>0</v>
      </c>
      <c r="AM15" s="66">
        <v>0</v>
      </c>
      <c r="AN15" s="66">
        <v>0</v>
      </c>
      <c r="AO15" s="66">
        <v>0</v>
      </c>
      <c r="AP15" s="66">
        <v>0</v>
      </c>
      <c r="AQ15" s="66">
        <v>0</v>
      </c>
      <c r="AR15" s="66">
        <v>0</v>
      </c>
      <c r="AS15" s="66">
        <v>0</v>
      </c>
      <c r="AT15" s="67" t="s">
        <v>1230</v>
      </c>
      <c r="AU15" s="67" t="s">
        <v>1230</v>
      </c>
      <c r="AV15" s="67">
        <v>0</v>
      </c>
      <c r="AW15" s="187">
        <v>0</v>
      </c>
      <c r="AX15" s="67">
        <v>0</v>
      </c>
      <c r="AY15" s="66">
        <v>18.6203</v>
      </c>
      <c r="AZ15" s="66">
        <v>0</v>
      </c>
      <c r="BA15" s="66">
        <v>23.57</v>
      </c>
      <c r="BB15" s="66">
        <v>18.6203</v>
      </c>
      <c r="BC15" s="66">
        <v>4.9497</v>
      </c>
      <c r="BD15" s="66">
        <v>18.6203</v>
      </c>
      <c r="BE15" s="66">
        <v>0</v>
      </c>
      <c r="BF15" s="66">
        <v>23.57</v>
      </c>
      <c r="BG15" s="66">
        <v>18.6203</v>
      </c>
      <c r="BH15" s="66">
        <v>0</v>
      </c>
      <c r="BI15" s="66">
        <v>4.9497</v>
      </c>
      <c r="BJ15" s="67">
        <v>100</v>
      </c>
      <c r="BK15" s="67">
        <v>100</v>
      </c>
      <c r="BL15" s="67">
        <v>21</v>
      </c>
      <c r="BM15" s="187">
        <v>0</v>
      </c>
      <c r="BN15" s="67">
        <v>0</v>
      </c>
      <c r="BO15" s="66">
        <v>0</v>
      </c>
      <c r="BP15" s="66">
        <v>0</v>
      </c>
      <c r="BQ15" s="66">
        <v>0</v>
      </c>
      <c r="BR15" s="66">
        <v>0</v>
      </c>
      <c r="BS15" s="66">
        <v>0</v>
      </c>
      <c r="BT15" s="66">
        <v>0</v>
      </c>
      <c r="BU15" s="66">
        <v>0</v>
      </c>
      <c r="BV15" s="66">
        <v>0</v>
      </c>
      <c r="BW15" s="66">
        <v>0</v>
      </c>
      <c r="BX15" s="66">
        <v>0</v>
      </c>
      <c r="BY15" s="66">
        <v>0</v>
      </c>
      <c r="BZ15" s="67" t="s">
        <v>1230</v>
      </c>
      <c r="CA15" s="67" t="s">
        <v>1230</v>
      </c>
      <c r="CB15" s="67">
        <v>0</v>
      </c>
      <c r="CC15" s="187">
        <v>0</v>
      </c>
      <c r="CD15" s="67">
        <v>0</v>
      </c>
      <c r="CE15" s="66">
        <v>0</v>
      </c>
      <c r="CF15" s="66">
        <v>0</v>
      </c>
      <c r="CG15" s="66">
        <v>0</v>
      </c>
      <c r="CH15" s="66">
        <v>0</v>
      </c>
      <c r="CI15" s="66">
        <v>0</v>
      </c>
      <c r="CJ15" s="66">
        <v>0</v>
      </c>
      <c r="CK15" s="66">
        <v>0</v>
      </c>
      <c r="CL15" s="66">
        <v>0</v>
      </c>
      <c r="CM15" s="66">
        <v>0</v>
      </c>
      <c r="CN15" s="66">
        <v>0</v>
      </c>
      <c r="CO15" s="66">
        <v>0</v>
      </c>
      <c r="CP15" s="67" t="s">
        <v>1230</v>
      </c>
      <c r="CQ15" s="67" t="s">
        <v>1230</v>
      </c>
      <c r="CR15" s="67">
        <v>0</v>
      </c>
      <c r="CS15" s="187">
        <v>0</v>
      </c>
      <c r="CT15" s="67">
        <v>0</v>
      </c>
      <c r="CU15" s="66">
        <v>0</v>
      </c>
      <c r="CV15" s="66">
        <v>0</v>
      </c>
      <c r="CW15" s="66">
        <v>0</v>
      </c>
      <c r="CX15" s="66">
        <v>0</v>
      </c>
      <c r="CY15" s="66">
        <v>0</v>
      </c>
      <c r="CZ15" s="66">
        <v>0</v>
      </c>
      <c r="DA15" s="66">
        <v>0</v>
      </c>
      <c r="DB15" s="66">
        <v>0</v>
      </c>
      <c r="DC15" s="66">
        <v>0</v>
      </c>
      <c r="DD15" s="66">
        <v>0</v>
      </c>
      <c r="DE15" s="66">
        <v>0</v>
      </c>
      <c r="DF15" s="67" t="s">
        <v>1230</v>
      </c>
      <c r="DG15" s="67" t="s">
        <v>1230</v>
      </c>
      <c r="DH15" s="67">
        <v>0</v>
      </c>
      <c r="DI15" s="187">
        <v>0</v>
      </c>
      <c r="DJ15" s="67">
        <v>0</v>
      </c>
      <c r="DK15" s="66">
        <v>0</v>
      </c>
      <c r="DL15" s="66">
        <v>0</v>
      </c>
      <c r="DM15" s="66">
        <v>0</v>
      </c>
      <c r="DN15" s="66">
        <v>0</v>
      </c>
      <c r="DO15" s="66">
        <v>0</v>
      </c>
      <c r="DP15" s="66">
        <v>0</v>
      </c>
      <c r="DQ15" s="66">
        <v>0</v>
      </c>
      <c r="DR15" s="66">
        <v>0</v>
      </c>
      <c r="DS15" s="66">
        <v>0</v>
      </c>
      <c r="DT15" s="66">
        <v>0</v>
      </c>
      <c r="DU15" s="66">
        <v>0</v>
      </c>
      <c r="DV15" s="67" t="s">
        <v>1230</v>
      </c>
      <c r="DW15" s="67" t="s">
        <v>1230</v>
      </c>
      <c r="DX15" s="67">
        <v>0</v>
      </c>
      <c r="DY15" s="187">
        <v>0</v>
      </c>
      <c r="DZ15" s="67">
        <v>0</v>
      </c>
      <c r="EA15" s="66">
        <v>0</v>
      </c>
      <c r="EB15" s="66">
        <v>0</v>
      </c>
      <c r="EC15" s="66">
        <v>0</v>
      </c>
      <c r="ED15" s="66">
        <v>0</v>
      </c>
      <c r="EE15" s="66">
        <v>0</v>
      </c>
      <c r="EF15" s="66">
        <v>0</v>
      </c>
      <c r="EG15" s="66">
        <v>0</v>
      </c>
      <c r="EH15" s="66">
        <v>0</v>
      </c>
      <c r="EI15" s="66">
        <v>0</v>
      </c>
      <c r="EJ15" s="66">
        <v>0</v>
      </c>
      <c r="EK15" s="66">
        <v>0</v>
      </c>
      <c r="EL15" s="67" t="s">
        <v>1230</v>
      </c>
      <c r="EM15" s="67" t="s">
        <v>1230</v>
      </c>
      <c r="EN15" s="67">
        <v>0</v>
      </c>
      <c r="EO15" s="187">
        <v>0</v>
      </c>
      <c r="EP15" s="67">
        <v>0</v>
      </c>
      <c r="EQ15" s="66">
        <v>0</v>
      </c>
      <c r="ER15" s="66">
        <v>0</v>
      </c>
      <c r="ES15" s="66">
        <v>0</v>
      </c>
      <c r="ET15" s="66">
        <v>0</v>
      </c>
      <c r="EU15" s="66">
        <v>0</v>
      </c>
      <c r="EV15" s="66">
        <v>0</v>
      </c>
      <c r="EW15" s="66">
        <v>0</v>
      </c>
      <c r="EX15" s="66">
        <v>0</v>
      </c>
      <c r="EY15" s="66">
        <v>0</v>
      </c>
      <c r="EZ15" s="66">
        <v>0</v>
      </c>
      <c r="FA15" s="66">
        <v>0</v>
      </c>
      <c r="FB15" s="67" t="s">
        <v>1230</v>
      </c>
      <c r="FC15" s="67" t="s">
        <v>1230</v>
      </c>
      <c r="FD15" s="67">
        <v>0</v>
      </c>
      <c r="FE15" s="187">
        <v>0</v>
      </c>
      <c r="FF15" s="67">
        <v>0</v>
      </c>
      <c r="FG15" s="66">
        <v>0</v>
      </c>
      <c r="FH15" s="66">
        <v>0</v>
      </c>
      <c r="FI15" s="66">
        <v>0</v>
      </c>
      <c r="FJ15" s="66">
        <v>0</v>
      </c>
      <c r="FK15" s="66">
        <v>0</v>
      </c>
      <c r="FL15" s="66">
        <v>0</v>
      </c>
      <c r="FM15" s="66">
        <v>0</v>
      </c>
      <c r="FN15" s="66">
        <v>0</v>
      </c>
      <c r="FO15" s="66">
        <v>0</v>
      </c>
      <c r="FP15" s="66">
        <v>0</v>
      </c>
      <c r="FQ15" s="66">
        <v>0</v>
      </c>
      <c r="FR15" s="67" t="s">
        <v>1230</v>
      </c>
      <c r="FS15" s="67" t="s">
        <v>1230</v>
      </c>
      <c r="FT15" s="67">
        <v>0</v>
      </c>
      <c r="FU15" s="187">
        <v>0</v>
      </c>
      <c r="FV15" s="67">
        <v>0</v>
      </c>
      <c r="FW15" s="66">
        <v>0</v>
      </c>
      <c r="FX15" s="66">
        <v>0</v>
      </c>
      <c r="FY15" s="66">
        <v>0</v>
      </c>
      <c r="FZ15" s="66">
        <v>0</v>
      </c>
      <c r="GA15" s="66">
        <v>0</v>
      </c>
      <c r="GB15" s="66">
        <v>0</v>
      </c>
      <c r="GC15" s="66">
        <v>0</v>
      </c>
      <c r="GD15" s="66">
        <v>0</v>
      </c>
      <c r="GE15" s="66">
        <v>0</v>
      </c>
      <c r="GF15" s="66">
        <v>0</v>
      </c>
      <c r="GG15" s="66">
        <v>0</v>
      </c>
      <c r="GH15" s="67" t="s">
        <v>1230</v>
      </c>
      <c r="GI15" s="67" t="s">
        <v>1230</v>
      </c>
      <c r="GJ15" s="67">
        <v>0</v>
      </c>
      <c r="GK15" s="187">
        <v>0</v>
      </c>
      <c r="GL15" s="67">
        <v>0</v>
      </c>
      <c r="GM15" s="66">
        <v>0</v>
      </c>
      <c r="GN15" s="66">
        <v>0</v>
      </c>
      <c r="GO15" s="66">
        <v>0</v>
      </c>
      <c r="GP15" s="66">
        <v>0</v>
      </c>
      <c r="GQ15" s="66">
        <v>0</v>
      </c>
      <c r="GR15" s="66">
        <v>0</v>
      </c>
      <c r="GS15" s="66">
        <v>0</v>
      </c>
      <c r="GT15" s="66">
        <v>0</v>
      </c>
      <c r="GU15" s="66">
        <v>0</v>
      </c>
      <c r="GV15" s="66">
        <v>0</v>
      </c>
      <c r="GW15" s="66">
        <v>0</v>
      </c>
      <c r="GX15" s="67" t="s">
        <v>1230</v>
      </c>
      <c r="GY15" s="67" t="s">
        <v>1230</v>
      </c>
      <c r="GZ15" s="67">
        <v>0</v>
      </c>
      <c r="HA15" s="187">
        <v>0</v>
      </c>
      <c r="HB15" s="67">
        <v>0</v>
      </c>
      <c r="HC15" s="66">
        <v>0.4894</v>
      </c>
      <c r="HD15" s="66">
        <v>0</v>
      </c>
      <c r="HE15" s="66">
        <v>0.61949368000000005</v>
      </c>
      <c r="HF15" s="66">
        <v>0.4894</v>
      </c>
      <c r="HG15" s="66">
        <v>0.13009367999999999</v>
      </c>
      <c r="HH15" s="66">
        <v>0.4894</v>
      </c>
      <c r="HI15" s="66">
        <v>0</v>
      </c>
      <c r="HJ15" s="66">
        <v>0.61949368000000005</v>
      </c>
      <c r="HK15" s="66">
        <v>0.4894</v>
      </c>
      <c r="HL15" s="66">
        <v>0</v>
      </c>
      <c r="HM15" s="66">
        <v>0.13009367999999999</v>
      </c>
      <c r="HN15" s="67">
        <v>100</v>
      </c>
      <c r="HO15" s="67">
        <v>100</v>
      </c>
      <c r="HP15" s="67">
        <v>21.000001162239457</v>
      </c>
      <c r="HQ15" s="187">
        <v>0</v>
      </c>
      <c r="HR15" s="67">
        <v>0</v>
      </c>
      <c r="HS15" s="66">
        <v>0</v>
      </c>
      <c r="HT15" s="66">
        <v>0</v>
      </c>
      <c r="HU15" s="66">
        <v>0</v>
      </c>
      <c r="HV15" s="66">
        <v>0</v>
      </c>
      <c r="HW15" s="66">
        <v>0</v>
      </c>
      <c r="HX15" s="66">
        <v>0</v>
      </c>
      <c r="HY15" s="66">
        <v>0</v>
      </c>
      <c r="HZ15" s="66">
        <v>0</v>
      </c>
      <c r="IA15" s="66">
        <v>0</v>
      </c>
      <c r="IB15" s="66">
        <v>0</v>
      </c>
      <c r="IC15" s="66">
        <v>0</v>
      </c>
      <c r="ID15" s="67" t="s">
        <v>1230</v>
      </c>
      <c r="IE15" s="67" t="s">
        <v>1230</v>
      </c>
      <c r="IF15" s="67">
        <v>0</v>
      </c>
      <c r="IG15" s="187">
        <v>0</v>
      </c>
      <c r="IH15" s="67">
        <v>0</v>
      </c>
      <c r="II15" s="66">
        <v>0</v>
      </c>
      <c r="IJ15" s="66">
        <v>0</v>
      </c>
      <c r="IK15" s="66">
        <v>0</v>
      </c>
      <c r="IL15" s="66">
        <v>0</v>
      </c>
      <c r="IM15" s="66">
        <v>0</v>
      </c>
      <c r="IN15" s="66">
        <v>0</v>
      </c>
      <c r="IO15" s="66">
        <v>0</v>
      </c>
      <c r="IP15" s="66">
        <v>0</v>
      </c>
      <c r="IQ15" s="66">
        <v>0</v>
      </c>
      <c r="IR15" s="66">
        <v>0</v>
      </c>
      <c r="IS15" s="66">
        <v>0</v>
      </c>
      <c r="IT15" s="67" t="s">
        <v>1230</v>
      </c>
      <c r="IU15" s="67" t="s">
        <v>1230</v>
      </c>
      <c r="IV15" s="67">
        <v>0</v>
      </c>
      <c r="IW15" s="187">
        <v>0</v>
      </c>
      <c r="IX15" s="67">
        <v>0</v>
      </c>
    </row>
    <row r="16" spans="1:258" ht="15.6" x14ac:dyDescent="0.3">
      <c r="A16" s="169" t="s">
        <v>12</v>
      </c>
      <c r="B16" s="205" t="s">
        <v>13</v>
      </c>
      <c r="C16" s="66">
        <v>72.881800000000013</v>
      </c>
      <c r="D16" s="66">
        <v>0</v>
      </c>
      <c r="E16" s="66">
        <v>92.169672700000007</v>
      </c>
      <c r="F16" s="66">
        <v>72.881800000000013</v>
      </c>
      <c r="G16" s="66">
        <v>19.287872700000001</v>
      </c>
      <c r="H16" s="66">
        <v>72.671580770000006</v>
      </c>
      <c r="I16" s="66">
        <v>2.5612481400000005</v>
      </c>
      <c r="J16" s="66">
        <v>91.941173539999994</v>
      </c>
      <c r="K16" s="66">
        <v>72.671580770000006</v>
      </c>
      <c r="L16" s="66">
        <v>0</v>
      </c>
      <c r="M16" s="66">
        <v>19.269592769999999</v>
      </c>
      <c r="N16" s="67">
        <v>99.711561418625763</v>
      </c>
      <c r="O16" s="67">
        <v>99.905225784697336</v>
      </c>
      <c r="P16" s="67">
        <v>20.958610846550219</v>
      </c>
      <c r="Q16" s="66">
        <v>2.5612481400000005</v>
      </c>
      <c r="R16" s="67">
        <v>3.1086244689504383E-15</v>
      </c>
      <c r="S16" s="66">
        <v>49.634500000000003</v>
      </c>
      <c r="T16" s="66">
        <v>0</v>
      </c>
      <c r="U16" s="66">
        <v>66.900868349999996</v>
      </c>
      <c r="V16" s="66">
        <v>49.634500000000003</v>
      </c>
      <c r="W16" s="66">
        <v>17.26636835</v>
      </c>
      <c r="X16" s="66">
        <v>49.634500000000003</v>
      </c>
      <c r="Y16" s="66">
        <v>2.2925192200000004</v>
      </c>
      <c r="Z16" s="66">
        <v>66.900868349999996</v>
      </c>
      <c r="AA16" s="66">
        <v>49.634500000000003</v>
      </c>
      <c r="AB16" s="66">
        <v>0</v>
      </c>
      <c r="AC16" s="66">
        <v>17.26636835</v>
      </c>
      <c r="AD16" s="67">
        <v>100</v>
      </c>
      <c r="AE16" s="67">
        <v>100</v>
      </c>
      <c r="AF16" s="67">
        <v>25.808885259409344</v>
      </c>
      <c r="AG16" s="187">
        <v>2.2925192200000004</v>
      </c>
      <c r="AH16" s="67">
        <v>2.2204460492503131E-15</v>
      </c>
      <c r="AI16" s="66">
        <v>0</v>
      </c>
      <c r="AJ16" s="66">
        <v>0</v>
      </c>
      <c r="AK16" s="66">
        <v>0</v>
      </c>
      <c r="AL16" s="66">
        <v>0</v>
      </c>
      <c r="AM16" s="66">
        <v>0</v>
      </c>
      <c r="AN16" s="66">
        <v>0</v>
      </c>
      <c r="AO16" s="66">
        <v>0.26872891999999998</v>
      </c>
      <c r="AP16" s="66">
        <v>0</v>
      </c>
      <c r="AQ16" s="66">
        <v>0</v>
      </c>
      <c r="AR16" s="66">
        <v>0</v>
      </c>
      <c r="AS16" s="66">
        <v>0</v>
      </c>
      <c r="AT16" s="67" t="s">
        <v>1230</v>
      </c>
      <c r="AU16" s="67" t="s">
        <v>1230</v>
      </c>
      <c r="AV16" s="67">
        <v>0</v>
      </c>
      <c r="AW16" s="187">
        <v>0.26872891999999998</v>
      </c>
      <c r="AX16" s="67">
        <v>0</v>
      </c>
      <c r="AY16" s="66">
        <v>22.6706</v>
      </c>
      <c r="AZ16" s="66">
        <v>0</v>
      </c>
      <c r="BA16" s="66">
        <v>24.641956520000001</v>
      </c>
      <c r="BB16" s="66">
        <v>22.6706</v>
      </c>
      <c r="BC16" s="66">
        <v>1.9713565200000001</v>
      </c>
      <c r="BD16" s="66">
        <v>22.46038077</v>
      </c>
      <c r="BE16" s="66">
        <v>0</v>
      </c>
      <c r="BF16" s="66">
        <v>24.413457359999999</v>
      </c>
      <c r="BG16" s="66">
        <v>22.46038077</v>
      </c>
      <c r="BH16" s="66">
        <v>0</v>
      </c>
      <c r="BI16" s="66">
        <v>1.95307659</v>
      </c>
      <c r="BJ16" s="67">
        <v>99.072723130397961</v>
      </c>
      <c r="BK16" s="67">
        <v>99.072723283964891</v>
      </c>
      <c r="BL16" s="67">
        <v>8.0000000049153233</v>
      </c>
      <c r="BM16" s="187">
        <v>0</v>
      </c>
      <c r="BN16" s="67">
        <v>0</v>
      </c>
      <c r="BO16" s="66">
        <v>0</v>
      </c>
      <c r="BP16" s="66">
        <v>0</v>
      </c>
      <c r="BQ16" s="66">
        <v>0</v>
      </c>
      <c r="BR16" s="66">
        <v>0</v>
      </c>
      <c r="BS16" s="66">
        <v>0</v>
      </c>
      <c r="BT16" s="66">
        <v>0</v>
      </c>
      <c r="BU16" s="66">
        <v>0</v>
      </c>
      <c r="BV16" s="66">
        <v>0</v>
      </c>
      <c r="BW16" s="66">
        <v>0</v>
      </c>
      <c r="BX16" s="66">
        <v>0</v>
      </c>
      <c r="BY16" s="66">
        <v>0</v>
      </c>
      <c r="BZ16" s="67" t="s">
        <v>1230</v>
      </c>
      <c r="CA16" s="67" t="s">
        <v>1230</v>
      </c>
      <c r="CB16" s="67">
        <v>0</v>
      </c>
      <c r="CC16" s="187">
        <v>0</v>
      </c>
      <c r="CD16" s="67">
        <v>0</v>
      </c>
      <c r="CE16" s="66">
        <v>0</v>
      </c>
      <c r="CF16" s="66">
        <v>0</v>
      </c>
      <c r="CG16" s="66">
        <v>0</v>
      </c>
      <c r="CH16" s="66">
        <v>0</v>
      </c>
      <c r="CI16" s="66">
        <v>0</v>
      </c>
      <c r="CJ16" s="66">
        <v>0</v>
      </c>
      <c r="CK16" s="66">
        <v>0</v>
      </c>
      <c r="CL16" s="66">
        <v>0</v>
      </c>
      <c r="CM16" s="66">
        <v>0</v>
      </c>
      <c r="CN16" s="66">
        <v>0</v>
      </c>
      <c r="CO16" s="66">
        <v>0</v>
      </c>
      <c r="CP16" s="67" t="s">
        <v>1230</v>
      </c>
      <c r="CQ16" s="67" t="s">
        <v>1230</v>
      </c>
      <c r="CR16" s="67">
        <v>0</v>
      </c>
      <c r="CS16" s="187">
        <v>0</v>
      </c>
      <c r="CT16" s="67">
        <v>0</v>
      </c>
      <c r="CU16" s="66">
        <v>0</v>
      </c>
      <c r="CV16" s="66">
        <v>0</v>
      </c>
      <c r="CW16" s="66">
        <v>0</v>
      </c>
      <c r="CX16" s="66">
        <v>0</v>
      </c>
      <c r="CY16" s="66">
        <v>0</v>
      </c>
      <c r="CZ16" s="66">
        <v>0</v>
      </c>
      <c r="DA16" s="66">
        <v>0</v>
      </c>
      <c r="DB16" s="66">
        <v>0</v>
      </c>
      <c r="DC16" s="66">
        <v>0</v>
      </c>
      <c r="DD16" s="66">
        <v>0</v>
      </c>
      <c r="DE16" s="66">
        <v>0</v>
      </c>
      <c r="DF16" s="67" t="s">
        <v>1230</v>
      </c>
      <c r="DG16" s="67" t="s">
        <v>1230</v>
      </c>
      <c r="DH16" s="67">
        <v>0</v>
      </c>
      <c r="DI16" s="187">
        <v>0</v>
      </c>
      <c r="DJ16" s="67">
        <v>0</v>
      </c>
      <c r="DK16" s="66">
        <v>0</v>
      </c>
      <c r="DL16" s="66">
        <v>0</v>
      </c>
      <c r="DM16" s="66">
        <v>0</v>
      </c>
      <c r="DN16" s="66">
        <v>0</v>
      </c>
      <c r="DO16" s="66">
        <v>0</v>
      </c>
      <c r="DP16" s="66">
        <v>0</v>
      </c>
      <c r="DQ16" s="66">
        <v>0</v>
      </c>
      <c r="DR16" s="66">
        <v>0</v>
      </c>
      <c r="DS16" s="66">
        <v>0</v>
      </c>
      <c r="DT16" s="66">
        <v>0</v>
      </c>
      <c r="DU16" s="66">
        <v>0</v>
      </c>
      <c r="DV16" s="67" t="s">
        <v>1230</v>
      </c>
      <c r="DW16" s="67" t="s">
        <v>1230</v>
      </c>
      <c r="DX16" s="67">
        <v>0</v>
      </c>
      <c r="DY16" s="187">
        <v>0</v>
      </c>
      <c r="DZ16" s="67">
        <v>0</v>
      </c>
      <c r="EA16" s="66">
        <v>0</v>
      </c>
      <c r="EB16" s="66">
        <v>0</v>
      </c>
      <c r="EC16" s="66">
        <v>0</v>
      </c>
      <c r="ED16" s="66">
        <v>0</v>
      </c>
      <c r="EE16" s="66">
        <v>0</v>
      </c>
      <c r="EF16" s="66">
        <v>0</v>
      </c>
      <c r="EG16" s="66">
        <v>0</v>
      </c>
      <c r="EH16" s="66">
        <v>0</v>
      </c>
      <c r="EI16" s="66">
        <v>0</v>
      </c>
      <c r="EJ16" s="66">
        <v>0</v>
      </c>
      <c r="EK16" s="66">
        <v>0</v>
      </c>
      <c r="EL16" s="67" t="s">
        <v>1230</v>
      </c>
      <c r="EM16" s="67" t="s">
        <v>1230</v>
      </c>
      <c r="EN16" s="67">
        <v>0</v>
      </c>
      <c r="EO16" s="187">
        <v>0</v>
      </c>
      <c r="EP16" s="67">
        <v>0</v>
      </c>
      <c r="EQ16" s="66">
        <v>0</v>
      </c>
      <c r="ER16" s="66">
        <v>0</v>
      </c>
      <c r="ES16" s="66">
        <v>0</v>
      </c>
      <c r="ET16" s="66">
        <v>0</v>
      </c>
      <c r="EU16" s="66">
        <v>0</v>
      </c>
      <c r="EV16" s="66">
        <v>0</v>
      </c>
      <c r="EW16" s="66">
        <v>0</v>
      </c>
      <c r="EX16" s="66">
        <v>0</v>
      </c>
      <c r="EY16" s="66">
        <v>0</v>
      </c>
      <c r="EZ16" s="66">
        <v>0</v>
      </c>
      <c r="FA16" s="66">
        <v>0</v>
      </c>
      <c r="FB16" s="67" t="s">
        <v>1230</v>
      </c>
      <c r="FC16" s="67" t="s">
        <v>1230</v>
      </c>
      <c r="FD16" s="67">
        <v>0</v>
      </c>
      <c r="FE16" s="187">
        <v>0</v>
      </c>
      <c r="FF16" s="67">
        <v>0</v>
      </c>
      <c r="FG16" s="66">
        <v>0</v>
      </c>
      <c r="FH16" s="66">
        <v>0</v>
      </c>
      <c r="FI16" s="66">
        <v>0</v>
      </c>
      <c r="FJ16" s="66">
        <v>0</v>
      </c>
      <c r="FK16" s="66">
        <v>0</v>
      </c>
      <c r="FL16" s="66">
        <v>0</v>
      </c>
      <c r="FM16" s="66">
        <v>0</v>
      </c>
      <c r="FN16" s="66">
        <v>0</v>
      </c>
      <c r="FO16" s="66">
        <v>0</v>
      </c>
      <c r="FP16" s="66">
        <v>0</v>
      </c>
      <c r="FQ16" s="66">
        <v>0</v>
      </c>
      <c r="FR16" s="67" t="s">
        <v>1230</v>
      </c>
      <c r="FS16" s="67" t="s">
        <v>1230</v>
      </c>
      <c r="FT16" s="67">
        <v>0</v>
      </c>
      <c r="FU16" s="187">
        <v>0</v>
      </c>
      <c r="FV16" s="67">
        <v>0</v>
      </c>
      <c r="FW16" s="66">
        <v>0</v>
      </c>
      <c r="FX16" s="66">
        <v>0</v>
      </c>
      <c r="FY16" s="66">
        <v>0</v>
      </c>
      <c r="FZ16" s="66">
        <v>0</v>
      </c>
      <c r="GA16" s="66">
        <v>0</v>
      </c>
      <c r="GB16" s="66">
        <v>0</v>
      </c>
      <c r="GC16" s="66">
        <v>0</v>
      </c>
      <c r="GD16" s="66">
        <v>0</v>
      </c>
      <c r="GE16" s="66">
        <v>0</v>
      </c>
      <c r="GF16" s="66">
        <v>0</v>
      </c>
      <c r="GG16" s="66">
        <v>0</v>
      </c>
      <c r="GH16" s="67" t="s">
        <v>1230</v>
      </c>
      <c r="GI16" s="67" t="s">
        <v>1230</v>
      </c>
      <c r="GJ16" s="67">
        <v>0</v>
      </c>
      <c r="GK16" s="187">
        <v>0</v>
      </c>
      <c r="GL16" s="67">
        <v>0</v>
      </c>
      <c r="GM16" s="66">
        <v>0</v>
      </c>
      <c r="GN16" s="66">
        <v>0</v>
      </c>
      <c r="GO16" s="66">
        <v>0</v>
      </c>
      <c r="GP16" s="66">
        <v>0</v>
      </c>
      <c r="GQ16" s="66">
        <v>0</v>
      </c>
      <c r="GR16" s="66">
        <v>0</v>
      </c>
      <c r="GS16" s="66">
        <v>0</v>
      </c>
      <c r="GT16" s="66">
        <v>0</v>
      </c>
      <c r="GU16" s="66">
        <v>0</v>
      </c>
      <c r="GV16" s="66">
        <v>0</v>
      </c>
      <c r="GW16" s="66">
        <v>0</v>
      </c>
      <c r="GX16" s="67" t="s">
        <v>1230</v>
      </c>
      <c r="GY16" s="67" t="s">
        <v>1230</v>
      </c>
      <c r="GZ16" s="67">
        <v>0</v>
      </c>
      <c r="HA16" s="187">
        <v>0</v>
      </c>
      <c r="HB16" s="67">
        <v>0</v>
      </c>
      <c r="HC16" s="66">
        <v>0.57669999999999999</v>
      </c>
      <c r="HD16" s="66">
        <v>0</v>
      </c>
      <c r="HE16" s="66">
        <v>0.62684782999999999</v>
      </c>
      <c r="HF16" s="66">
        <v>0.57669999999999999</v>
      </c>
      <c r="HG16" s="66">
        <v>5.0147830000000004E-2</v>
      </c>
      <c r="HH16" s="66">
        <v>0.57669999999999999</v>
      </c>
      <c r="HI16" s="66">
        <v>0</v>
      </c>
      <c r="HJ16" s="66">
        <v>0.62684782999999999</v>
      </c>
      <c r="HK16" s="66">
        <v>0.57669999999999999</v>
      </c>
      <c r="HL16" s="66">
        <v>0</v>
      </c>
      <c r="HM16" s="66">
        <v>5.0147830000000004E-2</v>
      </c>
      <c r="HN16" s="67">
        <v>100</v>
      </c>
      <c r="HO16" s="67">
        <v>100</v>
      </c>
      <c r="HP16" s="67">
        <v>8.0000005743020601</v>
      </c>
      <c r="HQ16" s="187">
        <v>0</v>
      </c>
      <c r="HR16" s="67">
        <v>0</v>
      </c>
      <c r="HS16" s="66">
        <v>0</v>
      </c>
      <c r="HT16" s="66">
        <v>0</v>
      </c>
      <c r="HU16" s="66">
        <v>0</v>
      </c>
      <c r="HV16" s="66">
        <v>0</v>
      </c>
      <c r="HW16" s="66">
        <v>0</v>
      </c>
      <c r="HX16" s="66">
        <v>0</v>
      </c>
      <c r="HY16" s="66">
        <v>0</v>
      </c>
      <c r="HZ16" s="66">
        <v>0</v>
      </c>
      <c r="IA16" s="66">
        <v>0</v>
      </c>
      <c r="IB16" s="66">
        <v>0</v>
      </c>
      <c r="IC16" s="66">
        <v>0</v>
      </c>
      <c r="ID16" s="67" t="s">
        <v>1230</v>
      </c>
      <c r="IE16" s="67" t="s">
        <v>1230</v>
      </c>
      <c r="IF16" s="67">
        <v>0</v>
      </c>
      <c r="IG16" s="187">
        <v>0</v>
      </c>
      <c r="IH16" s="67">
        <v>0</v>
      </c>
      <c r="II16" s="66">
        <v>0</v>
      </c>
      <c r="IJ16" s="66">
        <v>0</v>
      </c>
      <c r="IK16" s="66">
        <v>0</v>
      </c>
      <c r="IL16" s="66">
        <v>0</v>
      </c>
      <c r="IM16" s="66">
        <v>0</v>
      </c>
      <c r="IN16" s="66">
        <v>0</v>
      </c>
      <c r="IO16" s="66">
        <v>0</v>
      </c>
      <c r="IP16" s="66">
        <v>0</v>
      </c>
      <c r="IQ16" s="66">
        <v>0</v>
      </c>
      <c r="IR16" s="66">
        <v>0</v>
      </c>
      <c r="IS16" s="66">
        <v>0</v>
      </c>
      <c r="IT16" s="67" t="s">
        <v>1230</v>
      </c>
      <c r="IU16" s="67" t="s">
        <v>1230</v>
      </c>
      <c r="IV16" s="67">
        <v>0</v>
      </c>
      <c r="IW16" s="187">
        <v>0</v>
      </c>
      <c r="IX16" s="67">
        <v>0</v>
      </c>
    </row>
    <row r="17" spans="1:258" ht="15.6" x14ac:dyDescent="0.3">
      <c r="A17" s="169" t="s">
        <v>15</v>
      </c>
      <c r="B17" s="205" t="s">
        <v>16</v>
      </c>
      <c r="C17" s="66">
        <v>66.013199999999998</v>
      </c>
      <c r="D17" s="66">
        <v>0</v>
      </c>
      <c r="E17" s="66">
        <v>74.17254299999999</v>
      </c>
      <c r="F17" s="66">
        <v>66.013199999999998</v>
      </c>
      <c r="G17" s="66">
        <v>8.1593429999999998</v>
      </c>
      <c r="H17" s="66">
        <v>66.013196459999989</v>
      </c>
      <c r="I17" s="66">
        <v>0</v>
      </c>
      <c r="J17" s="66">
        <v>74.172467019999999</v>
      </c>
      <c r="K17" s="66">
        <v>66.013132389999996</v>
      </c>
      <c r="L17" s="66">
        <v>0</v>
      </c>
      <c r="M17" s="66">
        <v>8.15933463</v>
      </c>
      <c r="N17" s="67">
        <v>99.99989758108984</v>
      </c>
      <c r="O17" s="67">
        <v>99.999897418211248</v>
      </c>
      <c r="P17" s="67">
        <v>11.000489747496065</v>
      </c>
      <c r="Q17" s="66">
        <v>0</v>
      </c>
      <c r="R17" s="67">
        <v>6.4069999993421334E-5</v>
      </c>
      <c r="S17" s="66">
        <v>16.520700000000001</v>
      </c>
      <c r="T17" s="66">
        <v>0</v>
      </c>
      <c r="U17" s="66">
        <v>18.562580000000001</v>
      </c>
      <c r="V17" s="66">
        <v>16.520700000000001</v>
      </c>
      <c r="W17" s="66">
        <v>2.0418799999999999</v>
      </c>
      <c r="X17" s="66">
        <v>16.520700000000001</v>
      </c>
      <c r="Y17" s="66">
        <v>0</v>
      </c>
      <c r="Z17" s="66">
        <v>18.562580000000001</v>
      </c>
      <c r="AA17" s="66">
        <v>16.520700000000001</v>
      </c>
      <c r="AB17" s="66">
        <v>0</v>
      </c>
      <c r="AC17" s="66">
        <v>2.0418799999999999</v>
      </c>
      <c r="AD17" s="67">
        <v>100</v>
      </c>
      <c r="AE17" s="67">
        <v>100</v>
      </c>
      <c r="AF17" s="67">
        <v>10.999979528707755</v>
      </c>
      <c r="AG17" s="187">
        <v>0</v>
      </c>
      <c r="AH17" s="67">
        <v>0</v>
      </c>
      <c r="AI17" s="66">
        <v>0</v>
      </c>
      <c r="AJ17" s="66">
        <v>0</v>
      </c>
      <c r="AK17" s="66">
        <v>0</v>
      </c>
      <c r="AL17" s="66">
        <v>0</v>
      </c>
      <c r="AM17" s="66">
        <v>0</v>
      </c>
      <c r="AN17" s="66">
        <v>0</v>
      </c>
      <c r="AO17" s="66">
        <v>0</v>
      </c>
      <c r="AP17" s="66">
        <v>0</v>
      </c>
      <c r="AQ17" s="66">
        <v>0</v>
      </c>
      <c r="AR17" s="66">
        <v>0</v>
      </c>
      <c r="AS17" s="66">
        <v>0</v>
      </c>
      <c r="AT17" s="67" t="s">
        <v>1230</v>
      </c>
      <c r="AU17" s="67" t="s">
        <v>1230</v>
      </c>
      <c r="AV17" s="67">
        <v>0</v>
      </c>
      <c r="AW17" s="187">
        <v>0</v>
      </c>
      <c r="AX17" s="67">
        <v>0</v>
      </c>
      <c r="AY17" s="66">
        <v>41.310400000000001</v>
      </c>
      <c r="AZ17" s="66">
        <v>0</v>
      </c>
      <c r="BA17" s="66">
        <v>46.416497999999997</v>
      </c>
      <c r="BB17" s="66">
        <v>41.310400000000001</v>
      </c>
      <c r="BC17" s="66">
        <v>5.1060980000000002</v>
      </c>
      <c r="BD17" s="66">
        <v>41.31039646</v>
      </c>
      <c r="BE17" s="66">
        <v>0</v>
      </c>
      <c r="BF17" s="66">
        <v>46.416422020000006</v>
      </c>
      <c r="BG17" s="66">
        <v>41.310332389999999</v>
      </c>
      <c r="BH17" s="66">
        <v>0</v>
      </c>
      <c r="BI17" s="66">
        <v>5.1060896299999996</v>
      </c>
      <c r="BJ17" s="67">
        <v>99.999836336612574</v>
      </c>
      <c r="BK17" s="67">
        <v>99.999836078351791</v>
      </c>
      <c r="BL17" s="67">
        <v>11.000610145693429</v>
      </c>
      <c r="BM17" s="187">
        <v>0</v>
      </c>
      <c r="BN17" s="67">
        <v>6.4070000000526761E-5</v>
      </c>
      <c r="BO17" s="66">
        <v>0</v>
      </c>
      <c r="BP17" s="66">
        <v>0</v>
      </c>
      <c r="BQ17" s="66">
        <v>0</v>
      </c>
      <c r="BR17" s="66">
        <v>0</v>
      </c>
      <c r="BS17" s="66">
        <v>0</v>
      </c>
      <c r="BT17" s="66">
        <v>0</v>
      </c>
      <c r="BU17" s="66">
        <v>0</v>
      </c>
      <c r="BV17" s="66">
        <v>0</v>
      </c>
      <c r="BW17" s="66">
        <v>0</v>
      </c>
      <c r="BX17" s="66">
        <v>0</v>
      </c>
      <c r="BY17" s="66">
        <v>0</v>
      </c>
      <c r="BZ17" s="67" t="s">
        <v>1230</v>
      </c>
      <c r="CA17" s="67" t="s">
        <v>1230</v>
      </c>
      <c r="CB17" s="67">
        <v>0</v>
      </c>
      <c r="CC17" s="187">
        <v>0</v>
      </c>
      <c r="CD17" s="67">
        <v>0</v>
      </c>
      <c r="CE17" s="66">
        <v>0</v>
      </c>
      <c r="CF17" s="66">
        <v>0</v>
      </c>
      <c r="CG17" s="66">
        <v>0</v>
      </c>
      <c r="CH17" s="66">
        <v>0</v>
      </c>
      <c r="CI17" s="66">
        <v>0</v>
      </c>
      <c r="CJ17" s="66">
        <v>0</v>
      </c>
      <c r="CK17" s="66">
        <v>0</v>
      </c>
      <c r="CL17" s="66">
        <v>0</v>
      </c>
      <c r="CM17" s="66">
        <v>0</v>
      </c>
      <c r="CN17" s="66">
        <v>0</v>
      </c>
      <c r="CO17" s="66">
        <v>0</v>
      </c>
      <c r="CP17" s="67" t="s">
        <v>1230</v>
      </c>
      <c r="CQ17" s="67" t="s">
        <v>1230</v>
      </c>
      <c r="CR17" s="67">
        <v>0</v>
      </c>
      <c r="CS17" s="187">
        <v>0</v>
      </c>
      <c r="CT17" s="67">
        <v>0</v>
      </c>
      <c r="CU17" s="66">
        <v>0</v>
      </c>
      <c r="CV17" s="66">
        <v>0</v>
      </c>
      <c r="CW17" s="66">
        <v>0</v>
      </c>
      <c r="CX17" s="66">
        <v>0</v>
      </c>
      <c r="CY17" s="66">
        <v>0</v>
      </c>
      <c r="CZ17" s="66">
        <v>0</v>
      </c>
      <c r="DA17" s="66">
        <v>0</v>
      </c>
      <c r="DB17" s="66">
        <v>0</v>
      </c>
      <c r="DC17" s="66">
        <v>0</v>
      </c>
      <c r="DD17" s="66">
        <v>0</v>
      </c>
      <c r="DE17" s="66">
        <v>0</v>
      </c>
      <c r="DF17" s="67" t="s">
        <v>1230</v>
      </c>
      <c r="DG17" s="67" t="s">
        <v>1230</v>
      </c>
      <c r="DH17" s="67">
        <v>0</v>
      </c>
      <c r="DI17" s="187">
        <v>0</v>
      </c>
      <c r="DJ17" s="67">
        <v>0</v>
      </c>
      <c r="DK17" s="66">
        <v>2.8761999999999999</v>
      </c>
      <c r="DL17" s="66">
        <v>0</v>
      </c>
      <c r="DM17" s="66">
        <v>3.2316850000000001</v>
      </c>
      <c r="DN17" s="66">
        <v>2.8761999999999999</v>
      </c>
      <c r="DO17" s="66">
        <v>0.355485</v>
      </c>
      <c r="DP17" s="66">
        <v>2.8761999999999999</v>
      </c>
      <c r="DQ17" s="66">
        <v>0</v>
      </c>
      <c r="DR17" s="66">
        <v>3.2316850000000001</v>
      </c>
      <c r="DS17" s="66">
        <v>2.8761999999999999</v>
      </c>
      <c r="DT17" s="66">
        <v>0</v>
      </c>
      <c r="DU17" s="66">
        <v>0.355485</v>
      </c>
      <c r="DV17" s="67">
        <v>100</v>
      </c>
      <c r="DW17" s="67">
        <v>100</v>
      </c>
      <c r="DX17" s="67">
        <v>10.99998916973653</v>
      </c>
      <c r="DY17" s="187">
        <v>0</v>
      </c>
      <c r="DZ17" s="67">
        <v>0</v>
      </c>
      <c r="EA17" s="66">
        <v>0</v>
      </c>
      <c r="EB17" s="66">
        <v>0</v>
      </c>
      <c r="EC17" s="66">
        <v>0</v>
      </c>
      <c r="ED17" s="66">
        <v>0</v>
      </c>
      <c r="EE17" s="66">
        <v>0</v>
      </c>
      <c r="EF17" s="66">
        <v>0</v>
      </c>
      <c r="EG17" s="66">
        <v>0</v>
      </c>
      <c r="EH17" s="66">
        <v>0</v>
      </c>
      <c r="EI17" s="66">
        <v>0</v>
      </c>
      <c r="EJ17" s="66">
        <v>0</v>
      </c>
      <c r="EK17" s="66">
        <v>0</v>
      </c>
      <c r="EL17" s="67" t="s">
        <v>1230</v>
      </c>
      <c r="EM17" s="67" t="s">
        <v>1230</v>
      </c>
      <c r="EN17" s="67">
        <v>0</v>
      </c>
      <c r="EO17" s="187">
        <v>0</v>
      </c>
      <c r="EP17" s="67">
        <v>0</v>
      </c>
      <c r="EQ17" s="66">
        <v>2.0962000000000001</v>
      </c>
      <c r="ER17" s="66">
        <v>0</v>
      </c>
      <c r="ES17" s="66">
        <v>2.35528</v>
      </c>
      <c r="ET17" s="66">
        <v>2.0962000000000001</v>
      </c>
      <c r="EU17" s="66">
        <v>0.25907999999999998</v>
      </c>
      <c r="EV17" s="66">
        <v>2.0962000000000001</v>
      </c>
      <c r="EW17" s="66">
        <v>0</v>
      </c>
      <c r="EX17" s="66">
        <v>2.35528</v>
      </c>
      <c r="EY17" s="66">
        <v>2.0962000000000001</v>
      </c>
      <c r="EZ17" s="66">
        <v>0</v>
      </c>
      <c r="FA17" s="66">
        <v>0.25907999999999998</v>
      </c>
      <c r="FB17" s="67">
        <v>100</v>
      </c>
      <c r="FC17" s="67">
        <v>100</v>
      </c>
      <c r="FD17" s="67">
        <v>10.999966033762439</v>
      </c>
      <c r="FE17" s="187">
        <v>0</v>
      </c>
      <c r="FF17" s="67">
        <v>0</v>
      </c>
      <c r="FG17" s="66">
        <v>0</v>
      </c>
      <c r="FH17" s="66">
        <v>0</v>
      </c>
      <c r="FI17" s="66">
        <v>0</v>
      </c>
      <c r="FJ17" s="66">
        <v>0</v>
      </c>
      <c r="FK17" s="66">
        <v>0</v>
      </c>
      <c r="FL17" s="66">
        <v>0</v>
      </c>
      <c r="FM17" s="66">
        <v>0</v>
      </c>
      <c r="FN17" s="66">
        <v>0</v>
      </c>
      <c r="FO17" s="66">
        <v>0</v>
      </c>
      <c r="FP17" s="66">
        <v>0</v>
      </c>
      <c r="FQ17" s="66">
        <v>0</v>
      </c>
      <c r="FR17" s="67" t="s">
        <v>1230</v>
      </c>
      <c r="FS17" s="67" t="s">
        <v>1230</v>
      </c>
      <c r="FT17" s="67">
        <v>0</v>
      </c>
      <c r="FU17" s="187">
        <v>0</v>
      </c>
      <c r="FV17" s="67">
        <v>0</v>
      </c>
      <c r="FW17" s="66">
        <v>0</v>
      </c>
      <c r="FX17" s="66">
        <v>0</v>
      </c>
      <c r="FY17" s="66">
        <v>0</v>
      </c>
      <c r="FZ17" s="66">
        <v>0</v>
      </c>
      <c r="GA17" s="66">
        <v>0</v>
      </c>
      <c r="GB17" s="66">
        <v>0</v>
      </c>
      <c r="GC17" s="66">
        <v>0</v>
      </c>
      <c r="GD17" s="66">
        <v>0</v>
      </c>
      <c r="GE17" s="66">
        <v>0</v>
      </c>
      <c r="GF17" s="66">
        <v>0</v>
      </c>
      <c r="GG17" s="66">
        <v>0</v>
      </c>
      <c r="GH17" s="67" t="s">
        <v>1230</v>
      </c>
      <c r="GI17" s="67" t="s">
        <v>1230</v>
      </c>
      <c r="GJ17" s="67">
        <v>0</v>
      </c>
      <c r="GK17" s="187">
        <v>0</v>
      </c>
      <c r="GL17" s="67">
        <v>0</v>
      </c>
      <c r="GM17" s="66">
        <v>0</v>
      </c>
      <c r="GN17" s="66">
        <v>0</v>
      </c>
      <c r="GO17" s="66">
        <v>0</v>
      </c>
      <c r="GP17" s="66">
        <v>0</v>
      </c>
      <c r="GQ17" s="66">
        <v>0</v>
      </c>
      <c r="GR17" s="66">
        <v>0</v>
      </c>
      <c r="GS17" s="66">
        <v>0</v>
      </c>
      <c r="GT17" s="66">
        <v>0</v>
      </c>
      <c r="GU17" s="66">
        <v>0</v>
      </c>
      <c r="GV17" s="66">
        <v>0</v>
      </c>
      <c r="GW17" s="66">
        <v>0</v>
      </c>
      <c r="GX17" s="67" t="s">
        <v>1230</v>
      </c>
      <c r="GY17" s="67" t="s">
        <v>1230</v>
      </c>
      <c r="GZ17" s="67">
        <v>0</v>
      </c>
      <c r="HA17" s="187">
        <v>0</v>
      </c>
      <c r="HB17" s="67">
        <v>0</v>
      </c>
      <c r="HC17" s="66">
        <v>3.2097000000000002</v>
      </c>
      <c r="HD17" s="66">
        <v>0</v>
      </c>
      <c r="HE17" s="66">
        <v>3.6065</v>
      </c>
      <c r="HF17" s="66">
        <v>3.2097000000000002</v>
      </c>
      <c r="HG17" s="66">
        <v>0.39679999999999999</v>
      </c>
      <c r="HH17" s="66">
        <v>3.2097000000000002</v>
      </c>
      <c r="HI17" s="66">
        <v>0</v>
      </c>
      <c r="HJ17" s="66">
        <v>3.6065</v>
      </c>
      <c r="HK17" s="66">
        <v>3.2097000000000002</v>
      </c>
      <c r="HL17" s="66">
        <v>0</v>
      </c>
      <c r="HM17" s="66">
        <v>0.39679999999999999</v>
      </c>
      <c r="HN17" s="67">
        <v>100</v>
      </c>
      <c r="HO17" s="67">
        <v>100</v>
      </c>
      <c r="HP17" s="67">
        <v>11.002356855677249</v>
      </c>
      <c r="HQ17" s="187">
        <v>0</v>
      </c>
      <c r="HR17" s="67">
        <v>0</v>
      </c>
      <c r="HS17" s="66">
        <v>0</v>
      </c>
      <c r="HT17" s="66">
        <v>0</v>
      </c>
      <c r="HU17" s="66">
        <v>0</v>
      </c>
      <c r="HV17" s="66">
        <v>0</v>
      </c>
      <c r="HW17" s="66">
        <v>0</v>
      </c>
      <c r="HX17" s="66">
        <v>0</v>
      </c>
      <c r="HY17" s="66">
        <v>0</v>
      </c>
      <c r="HZ17" s="66">
        <v>0</v>
      </c>
      <c r="IA17" s="66">
        <v>0</v>
      </c>
      <c r="IB17" s="66">
        <v>0</v>
      </c>
      <c r="IC17" s="66">
        <v>0</v>
      </c>
      <c r="ID17" s="67" t="s">
        <v>1230</v>
      </c>
      <c r="IE17" s="67" t="s">
        <v>1230</v>
      </c>
      <c r="IF17" s="67">
        <v>0</v>
      </c>
      <c r="IG17" s="187">
        <v>0</v>
      </c>
      <c r="IH17" s="67">
        <v>0</v>
      </c>
      <c r="II17" s="66">
        <v>0</v>
      </c>
      <c r="IJ17" s="66">
        <v>0</v>
      </c>
      <c r="IK17" s="66">
        <v>0</v>
      </c>
      <c r="IL17" s="66">
        <v>0</v>
      </c>
      <c r="IM17" s="66">
        <v>0</v>
      </c>
      <c r="IN17" s="66">
        <v>0</v>
      </c>
      <c r="IO17" s="66">
        <v>0</v>
      </c>
      <c r="IP17" s="66">
        <v>0</v>
      </c>
      <c r="IQ17" s="66">
        <v>0</v>
      </c>
      <c r="IR17" s="66">
        <v>0</v>
      </c>
      <c r="IS17" s="66">
        <v>0</v>
      </c>
      <c r="IT17" s="67" t="s">
        <v>1230</v>
      </c>
      <c r="IU17" s="67" t="s">
        <v>1230</v>
      </c>
      <c r="IV17" s="67">
        <v>0</v>
      </c>
      <c r="IW17" s="187">
        <v>0</v>
      </c>
      <c r="IX17" s="67">
        <v>0</v>
      </c>
    </row>
    <row r="18" spans="1:258" ht="15.6" x14ac:dyDescent="0.3">
      <c r="A18" s="169" t="s">
        <v>18</v>
      </c>
      <c r="B18" s="205" t="s">
        <v>19</v>
      </c>
      <c r="C18" s="66">
        <v>75.519199999999998</v>
      </c>
      <c r="D18" s="66">
        <v>0</v>
      </c>
      <c r="E18" s="66">
        <v>164.87470000000002</v>
      </c>
      <c r="F18" s="66">
        <v>75.519199999999998</v>
      </c>
      <c r="G18" s="66">
        <v>89.355499999999992</v>
      </c>
      <c r="H18" s="66">
        <v>75.503215709999992</v>
      </c>
      <c r="I18" s="66">
        <v>0</v>
      </c>
      <c r="J18" s="66">
        <v>164.85125447000001</v>
      </c>
      <c r="K18" s="66">
        <v>75.503215709999992</v>
      </c>
      <c r="L18" s="66">
        <v>0</v>
      </c>
      <c r="M18" s="66">
        <v>89.348038759999994</v>
      </c>
      <c r="N18" s="67">
        <v>99.978834137543828</v>
      </c>
      <c r="O18" s="67">
        <v>99.991649937608756</v>
      </c>
      <c r="P18" s="67">
        <v>54.199186440682958</v>
      </c>
      <c r="Q18" s="66">
        <v>0</v>
      </c>
      <c r="R18" s="67">
        <v>0</v>
      </c>
      <c r="S18" s="66">
        <v>49.984200000000001</v>
      </c>
      <c r="T18" s="66">
        <v>0</v>
      </c>
      <c r="U18" s="66">
        <v>73.313000000000002</v>
      </c>
      <c r="V18" s="66">
        <v>49.984200000000001</v>
      </c>
      <c r="W18" s="66">
        <v>23.328800000000001</v>
      </c>
      <c r="X18" s="66">
        <v>49.968216069999997</v>
      </c>
      <c r="Y18" s="66">
        <v>0</v>
      </c>
      <c r="Z18" s="66">
        <v>73.289555980000003</v>
      </c>
      <c r="AA18" s="66">
        <v>49.968216069999997</v>
      </c>
      <c r="AB18" s="66">
        <v>0</v>
      </c>
      <c r="AC18" s="66">
        <v>23.321339909999999</v>
      </c>
      <c r="AD18" s="67">
        <v>99.968022034963042</v>
      </c>
      <c r="AE18" s="67">
        <v>99.968021972840432</v>
      </c>
      <c r="AF18" s="67">
        <v>31.820823032908212</v>
      </c>
      <c r="AG18" s="187">
        <v>0</v>
      </c>
      <c r="AH18" s="67">
        <v>0</v>
      </c>
      <c r="AI18" s="66">
        <v>0</v>
      </c>
      <c r="AJ18" s="66">
        <v>0</v>
      </c>
      <c r="AK18" s="66">
        <v>0</v>
      </c>
      <c r="AL18" s="66">
        <v>0</v>
      </c>
      <c r="AM18" s="66">
        <v>0</v>
      </c>
      <c r="AN18" s="66">
        <v>0</v>
      </c>
      <c r="AO18" s="66">
        <v>0</v>
      </c>
      <c r="AP18" s="66">
        <v>0</v>
      </c>
      <c r="AQ18" s="66">
        <v>0</v>
      </c>
      <c r="AR18" s="66">
        <v>0</v>
      </c>
      <c r="AS18" s="66">
        <v>0</v>
      </c>
      <c r="AT18" s="67" t="s">
        <v>1230</v>
      </c>
      <c r="AU18" s="67" t="s">
        <v>1230</v>
      </c>
      <c r="AV18" s="67">
        <v>0</v>
      </c>
      <c r="AW18" s="187">
        <v>0</v>
      </c>
      <c r="AX18" s="67">
        <v>0</v>
      </c>
      <c r="AY18" s="66">
        <v>18.668900000000001</v>
      </c>
      <c r="AZ18" s="66">
        <v>0</v>
      </c>
      <c r="BA18" s="66">
        <v>77.965100000000007</v>
      </c>
      <c r="BB18" s="66">
        <v>18.668900000000001</v>
      </c>
      <c r="BC18" s="66">
        <v>59.296199999999999</v>
      </c>
      <c r="BD18" s="66">
        <v>18.668899639999999</v>
      </c>
      <c r="BE18" s="66">
        <v>0</v>
      </c>
      <c r="BF18" s="66">
        <v>77.965098489999988</v>
      </c>
      <c r="BG18" s="66">
        <v>18.668899639999999</v>
      </c>
      <c r="BH18" s="66">
        <v>0</v>
      </c>
      <c r="BI18" s="66">
        <v>59.296198850000003</v>
      </c>
      <c r="BJ18" s="67">
        <v>99.999998071659277</v>
      </c>
      <c r="BK18" s="67">
        <v>99.999998060583991</v>
      </c>
      <c r="BL18" s="67">
        <v>76.054798875942538</v>
      </c>
      <c r="BM18" s="187">
        <v>0</v>
      </c>
      <c r="BN18" s="67">
        <v>0</v>
      </c>
      <c r="BO18" s="66">
        <v>0</v>
      </c>
      <c r="BP18" s="66">
        <v>0</v>
      </c>
      <c r="BQ18" s="66">
        <v>0</v>
      </c>
      <c r="BR18" s="66">
        <v>0</v>
      </c>
      <c r="BS18" s="66">
        <v>0</v>
      </c>
      <c r="BT18" s="66">
        <v>0</v>
      </c>
      <c r="BU18" s="66">
        <v>0</v>
      </c>
      <c r="BV18" s="66">
        <v>0</v>
      </c>
      <c r="BW18" s="66">
        <v>0</v>
      </c>
      <c r="BX18" s="66">
        <v>0</v>
      </c>
      <c r="BY18" s="66">
        <v>0</v>
      </c>
      <c r="BZ18" s="67" t="s">
        <v>1230</v>
      </c>
      <c r="CA18" s="67" t="s">
        <v>1230</v>
      </c>
      <c r="CB18" s="67">
        <v>0</v>
      </c>
      <c r="CC18" s="187">
        <v>0</v>
      </c>
      <c r="CD18" s="67">
        <v>0</v>
      </c>
      <c r="CE18" s="66">
        <v>0</v>
      </c>
      <c r="CF18" s="66">
        <v>0</v>
      </c>
      <c r="CG18" s="66">
        <v>0</v>
      </c>
      <c r="CH18" s="66">
        <v>0</v>
      </c>
      <c r="CI18" s="66">
        <v>0</v>
      </c>
      <c r="CJ18" s="66">
        <v>0</v>
      </c>
      <c r="CK18" s="66">
        <v>0</v>
      </c>
      <c r="CL18" s="66">
        <v>0</v>
      </c>
      <c r="CM18" s="66">
        <v>0</v>
      </c>
      <c r="CN18" s="66">
        <v>0</v>
      </c>
      <c r="CO18" s="66">
        <v>0</v>
      </c>
      <c r="CP18" s="67" t="s">
        <v>1230</v>
      </c>
      <c r="CQ18" s="67" t="s">
        <v>1230</v>
      </c>
      <c r="CR18" s="67">
        <v>0</v>
      </c>
      <c r="CS18" s="187">
        <v>0</v>
      </c>
      <c r="CT18" s="67">
        <v>0</v>
      </c>
      <c r="CU18" s="66">
        <v>0</v>
      </c>
      <c r="CV18" s="66">
        <v>0</v>
      </c>
      <c r="CW18" s="66">
        <v>0</v>
      </c>
      <c r="CX18" s="66">
        <v>0</v>
      </c>
      <c r="CY18" s="66">
        <v>0</v>
      </c>
      <c r="CZ18" s="66">
        <v>0</v>
      </c>
      <c r="DA18" s="66">
        <v>0</v>
      </c>
      <c r="DB18" s="66">
        <v>0</v>
      </c>
      <c r="DC18" s="66">
        <v>0</v>
      </c>
      <c r="DD18" s="66">
        <v>0</v>
      </c>
      <c r="DE18" s="66">
        <v>0</v>
      </c>
      <c r="DF18" s="67" t="s">
        <v>1230</v>
      </c>
      <c r="DG18" s="67" t="s">
        <v>1230</v>
      </c>
      <c r="DH18" s="67">
        <v>0</v>
      </c>
      <c r="DI18" s="187">
        <v>0</v>
      </c>
      <c r="DJ18" s="67">
        <v>0</v>
      </c>
      <c r="DK18" s="66">
        <v>4.7624000000000004</v>
      </c>
      <c r="DL18" s="66">
        <v>0</v>
      </c>
      <c r="DM18" s="66">
        <v>7.8</v>
      </c>
      <c r="DN18" s="66">
        <v>4.7624000000000004</v>
      </c>
      <c r="DO18" s="66">
        <v>3.0375999999999999</v>
      </c>
      <c r="DP18" s="66">
        <v>4.7624000000000004</v>
      </c>
      <c r="DQ18" s="66">
        <v>0</v>
      </c>
      <c r="DR18" s="66">
        <v>7.8</v>
      </c>
      <c r="DS18" s="66">
        <v>4.7624000000000004</v>
      </c>
      <c r="DT18" s="66">
        <v>0</v>
      </c>
      <c r="DU18" s="66">
        <v>3.0375999999999999</v>
      </c>
      <c r="DV18" s="67">
        <v>100</v>
      </c>
      <c r="DW18" s="67">
        <v>100</v>
      </c>
      <c r="DX18" s="67">
        <v>38.94358974358974</v>
      </c>
      <c r="DY18" s="187">
        <v>0</v>
      </c>
      <c r="DZ18" s="67">
        <v>0</v>
      </c>
      <c r="EA18" s="66">
        <v>0</v>
      </c>
      <c r="EB18" s="66">
        <v>0</v>
      </c>
      <c r="EC18" s="66">
        <v>0</v>
      </c>
      <c r="ED18" s="66">
        <v>0</v>
      </c>
      <c r="EE18" s="66">
        <v>0</v>
      </c>
      <c r="EF18" s="66">
        <v>0</v>
      </c>
      <c r="EG18" s="66">
        <v>0</v>
      </c>
      <c r="EH18" s="66">
        <v>0</v>
      </c>
      <c r="EI18" s="66">
        <v>0</v>
      </c>
      <c r="EJ18" s="66">
        <v>0</v>
      </c>
      <c r="EK18" s="66">
        <v>0</v>
      </c>
      <c r="EL18" s="67" t="s">
        <v>1230</v>
      </c>
      <c r="EM18" s="67" t="s">
        <v>1230</v>
      </c>
      <c r="EN18" s="67">
        <v>0</v>
      </c>
      <c r="EO18" s="187">
        <v>0</v>
      </c>
      <c r="EP18" s="67">
        <v>0</v>
      </c>
      <c r="EQ18" s="66">
        <v>1.4628000000000001</v>
      </c>
      <c r="ER18" s="66">
        <v>0</v>
      </c>
      <c r="ES18" s="66">
        <v>4.6207000000000003</v>
      </c>
      <c r="ET18" s="66">
        <v>1.4628000000000001</v>
      </c>
      <c r="EU18" s="66">
        <v>3.1579000000000002</v>
      </c>
      <c r="EV18" s="66">
        <v>1.4628000000000001</v>
      </c>
      <c r="EW18" s="66">
        <v>0</v>
      </c>
      <c r="EX18" s="66">
        <v>4.6207000000000003</v>
      </c>
      <c r="EY18" s="66">
        <v>1.4628000000000001</v>
      </c>
      <c r="EZ18" s="66">
        <v>0</v>
      </c>
      <c r="FA18" s="66">
        <v>3.1579000000000002</v>
      </c>
      <c r="FB18" s="67">
        <v>100</v>
      </c>
      <c r="FC18" s="67">
        <v>100</v>
      </c>
      <c r="FD18" s="67">
        <v>68.342458934793427</v>
      </c>
      <c r="FE18" s="187">
        <v>0</v>
      </c>
      <c r="FF18" s="67">
        <v>0</v>
      </c>
      <c r="FG18" s="66">
        <v>0</v>
      </c>
      <c r="FH18" s="66">
        <v>0</v>
      </c>
      <c r="FI18" s="66">
        <v>0</v>
      </c>
      <c r="FJ18" s="66">
        <v>0</v>
      </c>
      <c r="FK18" s="66">
        <v>0</v>
      </c>
      <c r="FL18" s="66">
        <v>0</v>
      </c>
      <c r="FM18" s="66">
        <v>0</v>
      </c>
      <c r="FN18" s="66">
        <v>0</v>
      </c>
      <c r="FO18" s="66">
        <v>0</v>
      </c>
      <c r="FP18" s="66">
        <v>0</v>
      </c>
      <c r="FQ18" s="66">
        <v>0</v>
      </c>
      <c r="FR18" s="67" t="s">
        <v>1230</v>
      </c>
      <c r="FS18" s="67" t="s">
        <v>1230</v>
      </c>
      <c r="FT18" s="67">
        <v>0</v>
      </c>
      <c r="FU18" s="187">
        <v>0</v>
      </c>
      <c r="FV18" s="67">
        <v>0</v>
      </c>
      <c r="FW18" s="66">
        <v>0</v>
      </c>
      <c r="FX18" s="66">
        <v>0</v>
      </c>
      <c r="FY18" s="66">
        <v>0</v>
      </c>
      <c r="FZ18" s="66">
        <v>0</v>
      </c>
      <c r="GA18" s="66">
        <v>0</v>
      </c>
      <c r="GB18" s="66">
        <v>0</v>
      </c>
      <c r="GC18" s="66">
        <v>0</v>
      </c>
      <c r="GD18" s="66">
        <v>0</v>
      </c>
      <c r="GE18" s="66">
        <v>0</v>
      </c>
      <c r="GF18" s="66">
        <v>0</v>
      </c>
      <c r="GG18" s="66">
        <v>0</v>
      </c>
      <c r="GH18" s="67" t="s">
        <v>1230</v>
      </c>
      <c r="GI18" s="67" t="s">
        <v>1230</v>
      </c>
      <c r="GJ18" s="67">
        <v>0</v>
      </c>
      <c r="GK18" s="187">
        <v>0</v>
      </c>
      <c r="GL18" s="67">
        <v>0</v>
      </c>
      <c r="GM18" s="66">
        <v>0</v>
      </c>
      <c r="GN18" s="66">
        <v>0</v>
      </c>
      <c r="GO18" s="66">
        <v>0</v>
      </c>
      <c r="GP18" s="66">
        <v>0</v>
      </c>
      <c r="GQ18" s="66">
        <v>0</v>
      </c>
      <c r="GR18" s="66">
        <v>0</v>
      </c>
      <c r="GS18" s="66">
        <v>0</v>
      </c>
      <c r="GT18" s="66">
        <v>0</v>
      </c>
      <c r="GU18" s="66">
        <v>0</v>
      </c>
      <c r="GV18" s="66">
        <v>0</v>
      </c>
      <c r="GW18" s="66">
        <v>0</v>
      </c>
      <c r="GX18" s="67" t="s">
        <v>1230</v>
      </c>
      <c r="GY18" s="67" t="s">
        <v>1230</v>
      </c>
      <c r="GZ18" s="67">
        <v>0</v>
      </c>
      <c r="HA18" s="187">
        <v>0</v>
      </c>
      <c r="HB18" s="67">
        <v>0</v>
      </c>
      <c r="HC18" s="66">
        <v>0.64090000000000003</v>
      </c>
      <c r="HD18" s="66">
        <v>0</v>
      </c>
      <c r="HE18" s="66">
        <v>1.1758999999999999</v>
      </c>
      <c r="HF18" s="66">
        <v>0.64090000000000003</v>
      </c>
      <c r="HG18" s="66">
        <v>0.53500000000000003</v>
      </c>
      <c r="HH18" s="66">
        <v>0.64090000000000003</v>
      </c>
      <c r="HI18" s="66">
        <v>0</v>
      </c>
      <c r="HJ18" s="66">
        <v>1.1758999999999999</v>
      </c>
      <c r="HK18" s="66">
        <v>0.64090000000000003</v>
      </c>
      <c r="HL18" s="66">
        <v>0</v>
      </c>
      <c r="HM18" s="66">
        <v>0.53500000000000003</v>
      </c>
      <c r="HN18" s="67">
        <v>100</v>
      </c>
      <c r="HO18" s="67">
        <v>100</v>
      </c>
      <c r="HP18" s="67">
        <v>45.497066077047371</v>
      </c>
      <c r="HQ18" s="187">
        <v>0</v>
      </c>
      <c r="HR18" s="67">
        <v>0</v>
      </c>
      <c r="HS18" s="66">
        <v>0</v>
      </c>
      <c r="HT18" s="66">
        <v>0</v>
      </c>
      <c r="HU18" s="66">
        <v>0</v>
      </c>
      <c r="HV18" s="66">
        <v>0</v>
      </c>
      <c r="HW18" s="66">
        <v>0</v>
      </c>
      <c r="HX18" s="66">
        <v>0</v>
      </c>
      <c r="HY18" s="66">
        <v>0</v>
      </c>
      <c r="HZ18" s="66">
        <v>0</v>
      </c>
      <c r="IA18" s="66">
        <v>0</v>
      </c>
      <c r="IB18" s="66">
        <v>0</v>
      </c>
      <c r="IC18" s="66">
        <v>0</v>
      </c>
      <c r="ID18" s="67" t="s">
        <v>1230</v>
      </c>
      <c r="IE18" s="67" t="s">
        <v>1230</v>
      </c>
      <c r="IF18" s="67">
        <v>0</v>
      </c>
      <c r="IG18" s="187">
        <v>0</v>
      </c>
      <c r="IH18" s="67">
        <v>0</v>
      </c>
      <c r="II18" s="66">
        <v>0</v>
      </c>
      <c r="IJ18" s="66">
        <v>0</v>
      </c>
      <c r="IK18" s="66">
        <v>0</v>
      </c>
      <c r="IL18" s="66">
        <v>0</v>
      </c>
      <c r="IM18" s="66">
        <v>0</v>
      </c>
      <c r="IN18" s="66">
        <v>0</v>
      </c>
      <c r="IO18" s="66">
        <v>0</v>
      </c>
      <c r="IP18" s="66">
        <v>0</v>
      </c>
      <c r="IQ18" s="66">
        <v>0</v>
      </c>
      <c r="IR18" s="66">
        <v>0</v>
      </c>
      <c r="IS18" s="66">
        <v>0</v>
      </c>
      <c r="IT18" s="67" t="s">
        <v>1230</v>
      </c>
      <c r="IU18" s="67" t="s">
        <v>1230</v>
      </c>
      <c r="IV18" s="67">
        <v>0</v>
      </c>
      <c r="IW18" s="187">
        <v>0</v>
      </c>
      <c r="IX18" s="67">
        <v>0</v>
      </c>
    </row>
    <row r="19" spans="1:258" ht="15.6" x14ac:dyDescent="0.3">
      <c r="A19" s="169" t="s">
        <v>21</v>
      </c>
      <c r="B19" s="205" t="s">
        <v>22</v>
      </c>
      <c r="C19" s="66">
        <v>59.083300000000001</v>
      </c>
      <c r="D19" s="66">
        <v>0</v>
      </c>
      <c r="E19" s="66">
        <v>67.630859999999998</v>
      </c>
      <c r="F19" s="66">
        <v>59.083300000000001</v>
      </c>
      <c r="G19" s="66">
        <v>8.5475600000000007</v>
      </c>
      <c r="H19" s="66">
        <v>56.893705449999992</v>
      </c>
      <c r="I19" s="66">
        <v>0</v>
      </c>
      <c r="J19" s="66">
        <v>65.269110249999997</v>
      </c>
      <c r="K19" s="66">
        <v>56.88687273</v>
      </c>
      <c r="L19" s="66">
        <v>0</v>
      </c>
      <c r="M19" s="66">
        <v>8.3822375200000003</v>
      </c>
      <c r="N19" s="67">
        <v>96.282490534550362</v>
      </c>
      <c r="O19" s="67">
        <v>98.065851775243459</v>
      </c>
      <c r="P19" s="67">
        <v>12.842579725529507</v>
      </c>
      <c r="Q19" s="66">
        <v>0</v>
      </c>
      <c r="R19" s="67">
        <v>6.8327199999913546E-3</v>
      </c>
      <c r="S19" s="66">
        <v>21.444600000000001</v>
      </c>
      <c r="T19" s="66">
        <v>0</v>
      </c>
      <c r="U19" s="66">
        <v>23.058710000000001</v>
      </c>
      <c r="V19" s="66">
        <v>21.444600000000001</v>
      </c>
      <c r="W19" s="66">
        <v>1.6141099999999999</v>
      </c>
      <c r="X19" s="66">
        <v>21.294472899999999</v>
      </c>
      <c r="Y19" s="66">
        <v>0</v>
      </c>
      <c r="Z19" s="66">
        <v>22.889935999999999</v>
      </c>
      <c r="AA19" s="66">
        <v>21.28764018</v>
      </c>
      <c r="AB19" s="66">
        <v>0</v>
      </c>
      <c r="AC19" s="66">
        <v>1.6022958200000001</v>
      </c>
      <c r="AD19" s="67">
        <v>99.26806832489298</v>
      </c>
      <c r="AE19" s="67">
        <v>99.268068471169883</v>
      </c>
      <c r="AF19" s="67">
        <v>7.0000013106196555</v>
      </c>
      <c r="AG19" s="187">
        <v>0</v>
      </c>
      <c r="AH19" s="67">
        <v>6.83271999999846E-3</v>
      </c>
      <c r="AI19" s="66">
        <v>0</v>
      </c>
      <c r="AJ19" s="66">
        <v>0</v>
      </c>
      <c r="AK19" s="66">
        <v>0</v>
      </c>
      <c r="AL19" s="66">
        <v>0</v>
      </c>
      <c r="AM19" s="66">
        <v>0</v>
      </c>
      <c r="AN19" s="66">
        <v>0</v>
      </c>
      <c r="AO19" s="66">
        <v>0</v>
      </c>
      <c r="AP19" s="66">
        <v>0</v>
      </c>
      <c r="AQ19" s="66">
        <v>0</v>
      </c>
      <c r="AR19" s="66">
        <v>0</v>
      </c>
      <c r="AS19" s="66">
        <v>0</v>
      </c>
      <c r="AT19" s="67" t="s">
        <v>1230</v>
      </c>
      <c r="AU19" s="67" t="s">
        <v>1230</v>
      </c>
      <c r="AV19" s="67">
        <v>0</v>
      </c>
      <c r="AW19" s="187">
        <v>0</v>
      </c>
      <c r="AX19" s="67">
        <v>0</v>
      </c>
      <c r="AY19" s="66">
        <v>35.070900000000002</v>
      </c>
      <c r="AZ19" s="66">
        <v>0</v>
      </c>
      <c r="BA19" s="66">
        <v>37.710645</v>
      </c>
      <c r="BB19" s="66">
        <v>35.070900000000002</v>
      </c>
      <c r="BC19" s="66">
        <v>2.639745</v>
      </c>
      <c r="BD19" s="66">
        <v>33.031432549999998</v>
      </c>
      <c r="BE19" s="66">
        <v>0</v>
      </c>
      <c r="BF19" s="66">
        <v>35.517669249999997</v>
      </c>
      <c r="BG19" s="66">
        <v>33.031432549999998</v>
      </c>
      <c r="BH19" s="66">
        <v>0</v>
      </c>
      <c r="BI19" s="66">
        <v>2.4862367000000001</v>
      </c>
      <c r="BJ19" s="67">
        <v>94.184730217929953</v>
      </c>
      <c r="BK19" s="67">
        <v>94.184729964447328</v>
      </c>
      <c r="BL19" s="67">
        <v>6.9999995847137413</v>
      </c>
      <c r="BM19" s="187">
        <v>0</v>
      </c>
      <c r="BN19" s="67">
        <v>0</v>
      </c>
      <c r="BO19" s="66">
        <v>0</v>
      </c>
      <c r="BP19" s="66">
        <v>0</v>
      </c>
      <c r="BQ19" s="66">
        <v>0</v>
      </c>
      <c r="BR19" s="66">
        <v>0</v>
      </c>
      <c r="BS19" s="66">
        <v>0</v>
      </c>
      <c r="BT19" s="66">
        <v>0</v>
      </c>
      <c r="BU19" s="66">
        <v>0</v>
      </c>
      <c r="BV19" s="66">
        <v>0</v>
      </c>
      <c r="BW19" s="66">
        <v>0</v>
      </c>
      <c r="BX19" s="66">
        <v>0</v>
      </c>
      <c r="BY19" s="66">
        <v>0</v>
      </c>
      <c r="BZ19" s="67" t="s">
        <v>1230</v>
      </c>
      <c r="CA19" s="67" t="s">
        <v>1230</v>
      </c>
      <c r="CB19" s="67">
        <v>0</v>
      </c>
      <c r="CC19" s="187">
        <v>0</v>
      </c>
      <c r="CD19" s="67">
        <v>0</v>
      </c>
      <c r="CE19" s="66">
        <v>0</v>
      </c>
      <c r="CF19" s="66">
        <v>0</v>
      </c>
      <c r="CG19" s="66">
        <v>0</v>
      </c>
      <c r="CH19" s="66">
        <v>0</v>
      </c>
      <c r="CI19" s="66">
        <v>0</v>
      </c>
      <c r="CJ19" s="66">
        <v>0</v>
      </c>
      <c r="CK19" s="66">
        <v>0</v>
      </c>
      <c r="CL19" s="66">
        <v>0</v>
      </c>
      <c r="CM19" s="66">
        <v>0</v>
      </c>
      <c r="CN19" s="66">
        <v>0</v>
      </c>
      <c r="CO19" s="66">
        <v>0</v>
      </c>
      <c r="CP19" s="67" t="s">
        <v>1230</v>
      </c>
      <c r="CQ19" s="67" t="s">
        <v>1230</v>
      </c>
      <c r="CR19" s="67">
        <v>0</v>
      </c>
      <c r="CS19" s="187">
        <v>0</v>
      </c>
      <c r="CT19" s="67">
        <v>0</v>
      </c>
      <c r="CU19" s="66">
        <v>0</v>
      </c>
      <c r="CV19" s="66">
        <v>0</v>
      </c>
      <c r="CW19" s="66">
        <v>0</v>
      </c>
      <c r="CX19" s="66">
        <v>0</v>
      </c>
      <c r="CY19" s="66">
        <v>0</v>
      </c>
      <c r="CZ19" s="66">
        <v>0</v>
      </c>
      <c r="DA19" s="66">
        <v>0</v>
      </c>
      <c r="DB19" s="66">
        <v>0</v>
      </c>
      <c r="DC19" s="66">
        <v>0</v>
      </c>
      <c r="DD19" s="66">
        <v>0</v>
      </c>
      <c r="DE19" s="66">
        <v>0</v>
      </c>
      <c r="DF19" s="67" t="s">
        <v>1230</v>
      </c>
      <c r="DG19" s="67" t="s">
        <v>1230</v>
      </c>
      <c r="DH19" s="67">
        <v>0</v>
      </c>
      <c r="DI19" s="187">
        <v>0</v>
      </c>
      <c r="DJ19" s="67">
        <v>0</v>
      </c>
      <c r="DK19" s="66">
        <v>0</v>
      </c>
      <c r="DL19" s="66">
        <v>0</v>
      </c>
      <c r="DM19" s="66">
        <v>0</v>
      </c>
      <c r="DN19" s="66">
        <v>0</v>
      </c>
      <c r="DO19" s="66">
        <v>0</v>
      </c>
      <c r="DP19" s="66">
        <v>0</v>
      </c>
      <c r="DQ19" s="66">
        <v>0</v>
      </c>
      <c r="DR19" s="66">
        <v>0</v>
      </c>
      <c r="DS19" s="66">
        <v>0</v>
      </c>
      <c r="DT19" s="66">
        <v>0</v>
      </c>
      <c r="DU19" s="66">
        <v>0</v>
      </c>
      <c r="DV19" s="67" t="s">
        <v>1230</v>
      </c>
      <c r="DW19" s="67" t="s">
        <v>1230</v>
      </c>
      <c r="DX19" s="67">
        <v>0</v>
      </c>
      <c r="DY19" s="187">
        <v>0</v>
      </c>
      <c r="DZ19" s="67">
        <v>0</v>
      </c>
      <c r="EA19" s="66">
        <v>0</v>
      </c>
      <c r="EB19" s="66">
        <v>0</v>
      </c>
      <c r="EC19" s="66">
        <v>0</v>
      </c>
      <c r="ED19" s="66">
        <v>0</v>
      </c>
      <c r="EE19" s="66">
        <v>0</v>
      </c>
      <c r="EF19" s="66">
        <v>0</v>
      </c>
      <c r="EG19" s="66">
        <v>0</v>
      </c>
      <c r="EH19" s="66">
        <v>0</v>
      </c>
      <c r="EI19" s="66">
        <v>0</v>
      </c>
      <c r="EJ19" s="66">
        <v>0</v>
      </c>
      <c r="EK19" s="66">
        <v>0</v>
      </c>
      <c r="EL19" s="67" t="s">
        <v>1230</v>
      </c>
      <c r="EM19" s="67" t="s">
        <v>1230</v>
      </c>
      <c r="EN19" s="67">
        <v>0</v>
      </c>
      <c r="EO19" s="187">
        <v>0</v>
      </c>
      <c r="EP19" s="67">
        <v>0</v>
      </c>
      <c r="EQ19" s="66">
        <v>1.9525999999999999</v>
      </c>
      <c r="ER19" s="66">
        <v>0</v>
      </c>
      <c r="ES19" s="66">
        <v>6.2</v>
      </c>
      <c r="ET19" s="66">
        <v>1.9525999999999999</v>
      </c>
      <c r="EU19" s="66">
        <v>4.2473999999999998</v>
      </c>
      <c r="EV19" s="66">
        <v>1.9525999999999999</v>
      </c>
      <c r="EW19" s="66">
        <v>0</v>
      </c>
      <c r="EX19" s="66">
        <v>6.2</v>
      </c>
      <c r="EY19" s="66">
        <v>1.9525999999999999</v>
      </c>
      <c r="EZ19" s="66">
        <v>0</v>
      </c>
      <c r="FA19" s="66">
        <v>4.2473999999999998</v>
      </c>
      <c r="FB19" s="67">
        <v>100</v>
      </c>
      <c r="FC19" s="67">
        <v>100</v>
      </c>
      <c r="FD19" s="67">
        <v>68.50645161290322</v>
      </c>
      <c r="FE19" s="187">
        <v>0</v>
      </c>
      <c r="FF19" s="67">
        <v>0</v>
      </c>
      <c r="FG19" s="66">
        <v>0</v>
      </c>
      <c r="FH19" s="66">
        <v>0</v>
      </c>
      <c r="FI19" s="66">
        <v>0</v>
      </c>
      <c r="FJ19" s="66">
        <v>0</v>
      </c>
      <c r="FK19" s="66">
        <v>0</v>
      </c>
      <c r="FL19" s="66">
        <v>0</v>
      </c>
      <c r="FM19" s="66">
        <v>0</v>
      </c>
      <c r="FN19" s="66">
        <v>0</v>
      </c>
      <c r="FO19" s="66">
        <v>0</v>
      </c>
      <c r="FP19" s="66">
        <v>0</v>
      </c>
      <c r="FQ19" s="66">
        <v>0</v>
      </c>
      <c r="FR19" s="67" t="s">
        <v>1230</v>
      </c>
      <c r="FS19" s="67" t="s">
        <v>1230</v>
      </c>
      <c r="FT19" s="67">
        <v>0</v>
      </c>
      <c r="FU19" s="187">
        <v>0</v>
      </c>
      <c r="FV19" s="67">
        <v>0</v>
      </c>
      <c r="FW19" s="66">
        <v>0</v>
      </c>
      <c r="FX19" s="66">
        <v>0</v>
      </c>
      <c r="FY19" s="66">
        <v>0</v>
      </c>
      <c r="FZ19" s="66">
        <v>0</v>
      </c>
      <c r="GA19" s="66">
        <v>0</v>
      </c>
      <c r="GB19" s="66">
        <v>0</v>
      </c>
      <c r="GC19" s="66">
        <v>0</v>
      </c>
      <c r="GD19" s="66">
        <v>0</v>
      </c>
      <c r="GE19" s="66">
        <v>0</v>
      </c>
      <c r="GF19" s="66">
        <v>0</v>
      </c>
      <c r="GG19" s="66">
        <v>0</v>
      </c>
      <c r="GH19" s="67" t="s">
        <v>1230</v>
      </c>
      <c r="GI19" s="67" t="s">
        <v>1230</v>
      </c>
      <c r="GJ19" s="67">
        <v>0</v>
      </c>
      <c r="GK19" s="187">
        <v>0</v>
      </c>
      <c r="GL19" s="67">
        <v>0</v>
      </c>
      <c r="GM19" s="66">
        <v>0</v>
      </c>
      <c r="GN19" s="66">
        <v>0</v>
      </c>
      <c r="GO19" s="66">
        <v>0</v>
      </c>
      <c r="GP19" s="66">
        <v>0</v>
      </c>
      <c r="GQ19" s="66">
        <v>0</v>
      </c>
      <c r="GR19" s="66">
        <v>0</v>
      </c>
      <c r="GS19" s="66">
        <v>0</v>
      </c>
      <c r="GT19" s="66">
        <v>0</v>
      </c>
      <c r="GU19" s="66">
        <v>0</v>
      </c>
      <c r="GV19" s="66">
        <v>0</v>
      </c>
      <c r="GW19" s="66">
        <v>0</v>
      </c>
      <c r="GX19" s="67" t="s">
        <v>1230</v>
      </c>
      <c r="GY19" s="67" t="s">
        <v>1230</v>
      </c>
      <c r="GZ19" s="67">
        <v>0</v>
      </c>
      <c r="HA19" s="187">
        <v>0</v>
      </c>
      <c r="HB19" s="67">
        <v>0</v>
      </c>
      <c r="HC19" s="66">
        <v>0.61519999999999997</v>
      </c>
      <c r="HD19" s="66">
        <v>0</v>
      </c>
      <c r="HE19" s="66">
        <v>0.66150500000000001</v>
      </c>
      <c r="HF19" s="66">
        <v>0.61519999999999997</v>
      </c>
      <c r="HG19" s="66">
        <v>4.6304999999999999E-2</v>
      </c>
      <c r="HH19" s="66">
        <v>0.61519999999999997</v>
      </c>
      <c r="HI19" s="66">
        <v>0</v>
      </c>
      <c r="HJ19" s="66">
        <v>0.66150500000000001</v>
      </c>
      <c r="HK19" s="66">
        <v>0.61519999999999997</v>
      </c>
      <c r="HL19" s="66">
        <v>0</v>
      </c>
      <c r="HM19" s="66">
        <v>4.6304999999999999E-2</v>
      </c>
      <c r="HN19" s="67">
        <v>100</v>
      </c>
      <c r="HO19" s="67">
        <v>100</v>
      </c>
      <c r="HP19" s="67">
        <v>6.9999470903470113</v>
      </c>
      <c r="HQ19" s="187">
        <v>0</v>
      </c>
      <c r="HR19" s="67">
        <v>0</v>
      </c>
      <c r="HS19" s="66">
        <v>0</v>
      </c>
      <c r="HT19" s="66">
        <v>0</v>
      </c>
      <c r="HU19" s="66">
        <v>0</v>
      </c>
      <c r="HV19" s="66">
        <v>0</v>
      </c>
      <c r="HW19" s="66">
        <v>0</v>
      </c>
      <c r="HX19" s="66">
        <v>0</v>
      </c>
      <c r="HY19" s="66">
        <v>0</v>
      </c>
      <c r="HZ19" s="66">
        <v>0</v>
      </c>
      <c r="IA19" s="66">
        <v>0</v>
      </c>
      <c r="IB19" s="66">
        <v>0</v>
      </c>
      <c r="IC19" s="66">
        <v>0</v>
      </c>
      <c r="ID19" s="67" t="s">
        <v>1230</v>
      </c>
      <c r="IE19" s="67" t="s">
        <v>1230</v>
      </c>
      <c r="IF19" s="67">
        <v>0</v>
      </c>
      <c r="IG19" s="187">
        <v>0</v>
      </c>
      <c r="IH19" s="67">
        <v>0</v>
      </c>
      <c r="II19" s="66">
        <v>0</v>
      </c>
      <c r="IJ19" s="66">
        <v>0</v>
      </c>
      <c r="IK19" s="66">
        <v>0</v>
      </c>
      <c r="IL19" s="66">
        <v>0</v>
      </c>
      <c r="IM19" s="66">
        <v>0</v>
      </c>
      <c r="IN19" s="66">
        <v>0</v>
      </c>
      <c r="IO19" s="66">
        <v>0</v>
      </c>
      <c r="IP19" s="66">
        <v>0</v>
      </c>
      <c r="IQ19" s="66">
        <v>0</v>
      </c>
      <c r="IR19" s="66">
        <v>0</v>
      </c>
      <c r="IS19" s="66">
        <v>0</v>
      </c>
      <c r="IT19" s="67" t="s">
        <v>1230</v>
      </c>
      <c r="IU19" s="67" t="s">
        <v>1230</v>
      </c>
      <c r="IV19" s="67">
        <v>0</v>
      </c>
      <c r="IW19" s="187">
        <v>0</v>
      </c>
      <c r="IX19" s="67">
        <v>0</v>
      </c>
    </row>
    <row r="20" spans="1:258" ht="15.6" x14ac:dyDescent="0.3">
      <c r="A20" s="169" t="s">
        <v>24</v>
      </c>
      <c r="B20" s="205" t="s">
        <v>25</v>
      </c>
      <c r="C20" s="66">
        <v>63.9223</v>
      </c>
      <c r="D20" s="66">
        <v>0</v>
      </c>
      <c r="E20" s="66">
        <v>92.641145000000009</v>
      </c>
      <c r="F20" s="66">
        <v>63.9223</v>
      </c>
      <c r="G20" s="66">
        <v>28.718844999999998</v>
      </c>
      <c r="H20" s="66">
        <v>63.922299979999998</v>
      </c>
      <c r="I20" s="66">
        <v>1.5265241599999999</v>
      </c>
      <c r="J20" s="66">
        <v>92.641144439999991</v>
      </c>
      <c r="K20" s="66">
        <v>63.922299609999996</v>
      </c>
      <c r="L20" s="66">
        <v>0</v>
      </c>
      <c r="M20" s="66">
        <v>28.718844829999998</v>
      </c>
      <c r="N20" s="67">
        <v>99.99999938988428</v>
      </c>
      <c r="O20" s="67">
        <v>99.99999940805418</v>
      </c>
      <c r="P20" s="67">
        <v>31.000097206916589</v>
      </c>
      <c r="Q20" s="66">
        <v>1.5265241599999999</v>
      </c>
      <c r="R20" s="67">
        <v>3.7000000330245086E-7</v>
      </c>
      <c r="S20" s="66">
        <v>51.3812</v>
      </c>
      <c r="T20" s="66">
        <v>0</v>
      </c>
      <c r="U20" s="66">
        <v>74.465545000000006</v>
      </c>
      <c r="V20" s="66">
        <v>51.3812</v>
      </c>
      <c r="W20" s="66">
        <v>23.084344999999999</v>
      </c>
      <c r="X20" s="66">
        <v>51.381199989999999</v>
      </c>
      <c r="Y20" s="66">
        <v>1.5265241599999999</v>
      </c>
      <c r="Z20" s="66">
        <v>74.465544449999996</v>
      </c>
      <c r="AA20" s="66">
        <v>51.381199619999997</v>
      </c>
      <c r="AB20" s="66">
        <v>0</v>
      </c>
      <c r="AC20" s="66">
        <v>23.084344829999999</v>
      </c>
      <c r="AD20" s="67">
        <v>99.999999260429888</v>
      </c>
      <c r="AE20" s="67">
        <v>99.999999263570189</v>
      </c>
      <c r="AF20" s="67">
        <v>31.000034983293538</v>
      </c>
      <c r="AG20" s="187">
        <v>1.5265241599999999</v>
      </c>
      <c r="AH20" s="67">
        <v>3.7000000330245086E-7</v>
      </c>
      <c r="AI20" s="66">
        <v>0</v>
      </c>
      <c r="AJ20" s="66">
        <v>0</v>
      </c>
      <c r="AK20" s="66">
        <v>0</v>
      </c>
      <c r="AL20" s="66">
        <v>0</v>
      </c>
      <c r="AM20" s="66">
        <v>0</v>
      </c>
      <c r="AN20" s="66">
        <v>0</v>
      </c>
      <c r="AO20" s="66">
        <v>0</v>
      </c>
      <c r="AP20" s="66">
        <v>0</v>
      </c>
      <c r="AQ20" s="66">
        <v>0</v>
      </c>
      <c r="AR20" s="66">
        <v>0</v>
      </c>
      <c r="AS20" s="66">
        <v>0</v>
      </c>
      <c r="AT20" s="67" t="s">
        <v>1230</v>
      </c>
      <c r="AU20" s="67" t="s">
        <v>1230</v>
      </c>
      <c r="AV20" s="67">
        <v>0</v>
      </c>
      <c r="AW20" s="187">
        <v>0</v>
      </c>
      <c r="AX20" s="67">
        <v>0</v>
      </c>
      <c r="AY20" s="66">
        <v>6.5</v>
      </c>
      <c r="AZ20" s="66">
        <v>0</v>
      </c>
      <c r="BA20" s="66">
        <v>9.4202999999999992</v>
      </c>
      <c r="BB20" s="66">
        <v>6.5</v>
      </c>
      <c r="BC20" s="66">
        <v>2.9203000000000001</v>
      </c>
      <c r="BD20" s="66">
        <v>6.5</v>
      </c>
      <c r="BE20" s="66">
        <v>0</v>
      </c>
      <c r="BF20" s="66">
        <v>9.4202999999999992</v>
      </c>
      <c r="BG20" s="66">
        <v>6.5</v>
      </c>
      <c r="BH20" s="66">
        <v>0</v>
      </c>
      <c r="BI20" s="66">
        <v>2.9203000000000001</v>
      </c>
      <c r="BJ20" s="67">
        <v>100</v>
      </c>
      <c r="BK20" s="67">
        <v>100</v>
      </c>
      <c r="BL20" s="67">
        <v>31.000074307612284</v>
      </c>
      <c r="BM20" s="187">
        <v>0</v>
      </c>
      <c r="BN20" s="67">
        <v>0</v>
      </c>
      <c r="BO20" s="66">
        <v>0</v>
      </c>
      <c r="BP20" s="66">
        <v>0</v>
      </c>
      <c r="BQ20" s="66">
        <v>0</v>
      </c>
      <c r="BR20" s="66">
        <v>0</v>
      </c>
      <c r="BS20" s="66">
        <v>0</v>
      </c>
      <c r="BT20" s="66">
        <v>0</v>
      </c>
      <c r="BU20" s="66">
        <v>0</v>
      </c>
      <c r="BV20" s="66">
        <v>0</v>
      </c>
      <c r="BW20" s="66">
        <v>0</v>
      </c>
      <c r="BX20" s="66">
        <v>0</v>
      </c>
      <c r="BY20" s="66">
        <v>0</v>
      </c>
      <c r="BZ20" s="67" t="s">
        <v>1230</v>
      </c>
      <c r="CA20" s="67" t="s">
        <v>1230</v>
      </c>
      <c r="CB20" s="67">
        <v>0</v>
      </c>
      <c r="CC20" s="187">
        <v>0</v>
      </c>
      <c r="CD20" s="67">
        <v>0</v>
      </c>
      <c r="CE20" s="66">
        <v>0</v>
      </c>
      <c r="CF20" s="66">
        <v>0</v>
      </c>
      <c r="CG20" s="66">
        <v>0</v>
      </c>
      <c r="CH20" s="66">
        <v>0</v>
      </c>
      <c r="CI20" s="66">
        <v>0</v>
      </c>
      <c r="CJ20" s="66">
        <v>0</v>
      </c>
      <c r="CK20" s="66">
        <v>0</v>
      </c>
      <c r="CL20" s="66">
        <v>0</v>
      </c>
      <c r="CM20" s="66">
        <v>0</v>
      </c>
      <c r="CN20" s="66">
        <v>0</v>
      </c>
      <c r="CO20" s="66">
        <v>0</v>
      </c>
      <c r="CP20" s="67" t="s">
        <v>1230</v>
      </c>
      <c r="CQ20" s="67" t="s">
        <v>1230</v>
      </c>
      <c r="CR20" s="67">
        <v>0</v>
      </c>
      <c r="CS20" s="187">
        <v>0</v>
      </c>
      <c r="CT20" s="67">
        <v>0</v>
      </c>
      <c r="CU20" s="66">
        <v>0</v>
      </c>
      <c r="CV20" s="66">
        <v>0</v>
      </c>
      <c r="CW20" s="66">
        <v>0</v>
      </c>
      <c r="CX20" s="66">
        <v>0</v>
      </c>
      <c r="CY20" s="66">
        <v>0</v>
      </c>
      <c r="CZ20" s="66">
        <v>0</v>
      </c>
      <c r="DA20" s="66">
        <v>0</v>
      </c>
      <c r="DB20" s="66">
        <v>0</v>
      </c>
      <c r="DC20" s="66">
        <v>0</v>
      </c>
      <c r="DD20" s="66">
        <v>0</v>
      </c>
      <c r="DE20" s="66">
        <v>0</v>
      </c>
      <c r="DF20" s="67" t="s">
        <v>1230</v>
      </c>
      <c r="DG20" s="67" t="s">
        <v>1230</v>
      </c>
      <c r="DH20" s="67">
        <v>0</v>
      </c>
      <c r="DI20" s="187">
        <v>0</v>
      </c>
      <c r="DJ20" s="67">
        <v>0</v>
      </c>
      <c r="DK20" s="66">
        <v>0</v>
      </c>
      <c r="DL20" s="66">
        <v>0</v>
      </c>
      <c r="DM20" s="66">
        <v>0</v>
      </c>
      <c r="DN20" s="66">
        <v>0</v>
      </c>
      <c r="DO20" s="66">
        <v>0</v>
      </c>
      <c r="DP20" s="66">
        <v>0</v>
      </c>
      <c r="DQ20" s="66">
        <v>0</v>
      </c>
      <c r="DR20" s="66">
        <v>0</v>
      </c>
      <c r="DS20" s="66">
        <v>0</v>
      </c>
      <c r="DT20" s="66">
        <v>0</v>
      </c>
      <c r="DU20" s="66">
        <v>0</v>
      </c>
      <c r="DV20" s="67" t="s">
        <v>1230</v>
      </c>
      <c r="DW20" s="67" t="s">
        <v>1230</v>
      </c>
      <c r="DX20" s="67">
        <v>0</v>
      </c>
      <c r="DY20" s="187">
        <v>0</v>
      </c>
      <c r="DZ20" s="67">
        <v>0</v>
      </c>
      <c r="EA20" s="66">
        <v>0</v>
      </c>
      <c r="EB20" s="66">
        <v>0</v>
      </c>
      <c r="EC20" s="66">
        <v>0</v>
      </c>
      <c r="ED20" s="66">
        <v>0</v>
      </c>
      <c r="EE20" s="66">
        <v>0</v>
      </c>
      <c r="EF20" s="66">
        <v>0</v>
      </c>
      <c r="EG20" s="66">
        <v>0</v>
      </c>
      <c r="EH20" s="66">
        <v>0</v>
      </c>
      <c r="EI20" s="66">
        <v>0</v>
      </c>
      <c r="EJ20" s="66">
        <v>0</v>
      </c>
      <c r="EK20" s="66">
        <v>0</v>
      </c>
      <c r="EL20" s="67" t="s">
        <v>1230</v>
      </c>
      <c r="EM20" s="67" t="s">
        <v>1230</v>
      </c>
      <c r="EN20" s="67">
        <v>0</v>
      </c>
      <c r="EO20" s="187">
        <v>0</v>
      </c>
      <c r="EP20" s="67">
        <v>0</v>
      </c>
      <c r="EQ20" s="66">
        <v>1.8943000000000001</v>
      </c>
      <c r="ER20" s="66">
        <v>0</v>
      </c>
      <c r="ES20" s="66">
        <v>2.7454000000000001</v>
      </c>
      <c r="ET20" s="66">
        <v>1.8943000000000001</v>
      </c>
      <c r="EU20" s="66">
        <v>0.85109999999999997</v>
      </c>
      <c r="EV20" s="66">
        <v>1.8943000000000001</v>
      </c>
      <c r="EW20" s="66">
        <v>0</v>
      </c>
      <c r="EX20" s="66">
        <v>2.7454000000000001</v>
      </c>
      <c r="EY20" s="66">
        <v>1.8943000000000001</v>
      </c>
      <c r="EZ20" s="66">
        <v>0</v>
      </c>
      <c r="FA20" s="66">
        <v>0.85109999999999997</v>
      </c>
      <c r="FB20" s="67">
        <v>100</v>
      </c>
      <c r="FC20" s="67">
        <v>100</v>
      </c>
      <c r="FD20" s="67">
        <v>31.000947038682884</v>
      </c>
      <c r="FE20" s="187">
        <v>0</v>
      </c>
      <c r="FF20" s="67">
        <v>0</v>
      </c>
      <c r="FG20" s="66">
        <v>0</v>
      </c>
      <c r="FH20" s="66">
        <v>0</v>
      </c>
      <c r="FI20" s="66">
        <v>0</v>
      </c>
      <c r="FJ20" s="66">
        <v>0</v>
      </c>
      <c r="FK20" s="66">
        <v>0</v>
      </c>
      <c r="FL20" s="66">
        <v>0</v>
      </c>
      <c r="FM20" s="66">
        <v>0</v>
      </c>
      <c r="FN20" s="66">
        <v>0</v>
      </c>
      <c r="FO20" s="66">
        <v>0</v>
      </c>
      <c r="FP20" s="66">
        <v>0</v>
      </c>
      <c r="FQ20" s="66">
        <v>0</v>
      </c>
      <c r="FR20" s="67" t="s">
        <v>1230</v>
      </c>
      <c r="FS20" s="67" t="s">
        <v>1230</v>
      </c>
      <c r="FT20" s="67">
        <v>0</v>
      </c>
      <c r="FU20" s="187">
        <v>0</v>
      </c>
      <c r="FV20" s="67">
        <v>0</v>
      </c>
      <c r="FW20" s="66">
        <v>0</v>
      </c>
      <c r="FX20" s="66">
        <v>0</v>
      </c>
      <c r="FY20" s="66">
        <v>0</v>
      </c>
      <c r="FZ20" s="66">
        <v>0</v>
      </c>
      <c r="GA20" s="66">
        <v>0</v>
      </c>
      <c r="GB20" s="66">
        <v>0</v>
      </c>
      <c r="GC20" s="66">
        <v>0</v>
      </c>
      <c r="GD20" s="66">
        <v>0</v>
      </c>
      <c r="GE20" s="66">
        <v>0</v>
      </c>
      <c r="GF20" s="66">
        <v>0</v>
      </c>
      <c r="GG20" s="66">
        <v>0</v>
      </c>
      <c r="GH20" s="67" t="s">
        <v>1230</v>
      </c>
      <c r="GI20" s="67" t="s">
        <v>1230</v>
      </c>
      <c r="GJ20" s="67">
        <v>0</v>
      </c>
      <c r="GK20" s="187">
        <v>0</v>
      </c>
      <c r="GL20" s="67">
        <v>0</v>
      </c>
      <c r="GM20" s="66">
        <v>0</v>
      </c>
      <c r="GN20" s="66">
        <v>0</v>
      </c>
      <c r="GO20" s="66">
        <v>0</v>
      </c>
      <c r="GP20" s="66">
        <v>0</v>
      </c>
      <c r="GQ20" s="66">
        <v>0</v>
      </c>
      <c r="GR20" s="66">
        <v>0</v>
      </c>
      <c r="GS20" s="66">
        <v>0</v>
      </c>
      <c r="GT20" s="66">
        <v>0</v>
      </c>
      <c r="GU20" s="66">
        <v>0</v>
      </c>
      <c r="GV20" s="66">
        <v>0</v>
      </c>
      <c r="GW20" s="66">
        <v>0</v>
      </c>
      <c r="GX20" s="67" t="s">
        <v>1230</v>
      </c>
      <c r="GY20" s="67" t="s">
        <v>1230</v>
      </c>
      <c r="GZ20" s="67">
        <v>0</v>
      </c>
      <c r="HA20" s="187">
        <v>0</v>
      </c>
      <c r="HB20" s="67">
        <v>0</v>
      </c>
      <c r="HC20" s="66">
        <v>4.1467999999999998</v>
      </c>
      <c r="HD20" s="66">
        <v>0</v>
      </c>
      <c r="HE20" s="66">
        <v>6.0099</v>
      </c>
      <c r="HF20" s="66">
        <v>4.1467999999999998</v>
      </c>
      <c r="HG20" s="66">
        <v>1.8631</v>
      </c>
      <c r="HH20" s="66">
        <v>4.1467999899999999</v>
      </c>
      <c r="HI20" s="66">
        <v>0</v>
      </c>
      <c r="HJ20" s="66">
        <v>6.0098999900000001</v>
      </c>
      <c r="HK20" s="66">
        <v>4.1467999899999999</v>
      </c>
      <c r="HL20" s="66">
        <v>0</v>
      </c>
      <c r="HM20" s="66">
        <v>1.8631</v>
      </c>
      <c r="HN20" s="67">
        <v>99.999999758850194</v>
      </c>
      <c r="HO20" s="67">
        <v>100</v>
      </c>
      <c r="HP20" s="67">
        <v>31.000515867153389</v>
      </c>
      <c r="HQ20" s="187">
        <v>0</v>
      </c>
      <c r="HR20" s="67">
        <v>0</v>
      </c>
      <c r="HS20" s="66">
        <v>0</v>
      </c>
      <c r="HT20" s="66">
        <v>0</v>
      </c>
      <c r="HU20" s="66">
        <v>0</v>
      </c>
      <c r="HV20" s="66">
        <v>0</v>
      </c>
      <c r="HW20" s="66">
        <v>0</v>
      </c>
      <c r="HX20" s="66">
        <v>0</v>
      </c>
      <c r="HY20" s="66">
        <v>0</v>
      </c>
      <c r="HZ20" s="66">
        <v>0</v>
      </c>
      <c r="IA20" s="66">
        <v>0</v>
      </c>
      <c r="IB20" s="66">
        <v>0</v>
      </c>
      <c r="IC20" s="66">
        <v>0</v>
      </c>
      <c r="ID20" s="67" t="s">
        <v>1230</v>
      </c>
      <c r="IE20" s="67" t="s">
        <v>1230</v>
      </c>
      <c r="IF20" s="67">
        <v>0</v>
      </c>
      <c r="IG20" s="187">
        <v>0</v>
      </c>
      <c r="IH20" s="67">
        <v>0</v>
      </c>
      <c r="II20" s="66">
        <v>0</v>
      </c>
      <c r="IJ20" s="66">
        <v>0</v>
      </c>
      <c r="IK20" s="66">
        <v>0</v>
      </c>
      <c r="IL20" s="66">
        <v>0</v>
      </c>
      <c r="IM20" s="66">
        <v>0</v>
      </c>
      <c r="IN20" s="66">
        <v>0</v>
      </c>
      <c r="IO20" s="66">
        <v>0</v>
      </c>
      <c r="IP20" s="66">
        <v>0</v>
      </c>
      <c r="IQ20" s="66">
        <v>0</v>
      </c>
      <c r="IR20" s="66">
        <v>0</v>
      </c>
      <c r="IS20" s="66">
        <v>0</v>
      </c>
      <c r="IT20" s="67" t="s">
        <v>1230</v>
      </c>
      <c r="IU20" s="67" t="s">
        <v>1230</v>
      </c>
      <c r="IV20" s="67">
        <v>0</v>
      </c>
      <c r="IW20" s="187">
        <v>0</v>
      </c>
      <c r="IX20" s="67">
        <v>0</v>
      </c>
    </row>
    <row r="21" spans="1:258" ht="15.6" x14ac:dyDescent="0.3">
      <c r="A21" s="169" t="s">
        <v>27</v>
      </c>
      <c r="B21" s="205" t="s">
        <v>28</v>
      </c>
      <c r="C21" s="66">
        <v>50.040500000000002</v>
      </c>
      <c r="D21" s="66">
        <v>0</v>
      </c>
      <c r="E21" s="66">
        <v>54.793500000000002</v>
      </c>
      <c r="F21" s="66">
        <v>50.040500000000002</v>
      </c>
      <c r="G21" s="66">
        <v>4.7530000000000001</v>
      </c>
      <c r="H21" s="66">
        <v>45.339442869999999</v>
      </c>
      <c r="I21" s="66">
        <v>3.2542929999999998E-2</v>
      </c>
      <c r="J21" s="66">
        <v>49.832620120000001</v>
      </c>
      <c r="K21" s="66">
        <v>45.339442869999999</v>
      </c>
      <c r="L21" s="66">
        <v>0</v>
      </c>
      <c r="M21" s="66">
        <v>4.4931772499999996</v>
      </c>
      <c r="N21" s="67">
        <v>90.605495288816059</v>
      </c>
      <c r="O21" s="67">
        <v>94.533499894803271</v>
      </c>
      <c r="P21" s="67">
        <v>9.0165382417784858</v>
      </c>
      <c r="Q21" s="66">
        <v>3.2542929999999998E-2</v>
      </c>
      <c r="R21" s="67">
        <v>-1.8041124150158794E-15</v>
      </c>
      <c r="S21" s="66">
        <v>25.228400000000001</v>
      </c>
      <c r="T21" s="66">
        <v>0</v>
      </c>
      <c r="U21" s="66">
        <v>28.207999999999998</v>
      </c>
      <c r="V21" s="66">
        <v>25.228400000000001</v>
      </c>
      <c r="W21" s="66">
        <v>2.9796</v>
      </c>
      <c r="X21" s="66">
        <v>25.228400000000001</v>
      </c>
      <c r="Y21" s="66">
        <v>3.2542929999999998E-2</v>
      </c>
      <c r="Z21" s="66">
        <v>28.207999999999998</v>
      </c>
      <c r="AA21" s="66">
        <v>25.228400000000001</v>
      </c>
      <c r="AB21" s="66">
        <v>0</v>
      </c>
      <c r="AC21" s="66">
        <v>2.9796</v>
      </c>
      <c r="AD21" s="67">
        <v>100</v>
      </c>
      <c r="AE21" s="67">
        <v>100</v>
      </c>
      <c r="AF21" s="67">
        <v>10.562960862166761</v>
      </c>
      <c r="AG21" s="187">
        <v>3.2542929999999998E-2</v>
      </c>
      <c r="AH21" s="67">
        <v>1.7486012637846216E-15</v>
      </c>
      <c r="AI21" s="66">
        <v>0</v>
      </c>
      <c r="AJ21" s="66">
        <v>0</v>
      </c>
      <c r="AK21" s="66">
        <v>0</v>
      </c>
      <c r="AL21" s="66">
        <v>0</v>
      </c>
      <c r="AM21" s="66">
        <v>0</v>
      </c>
      <c r="AN21" s="66">
        <v>0</v>
      </c>
      <c r="AO21" s="66">
        <v>0</v>
      </c>
      <c r="AP21" s="66">
        <v>0</v>
      </c>
      <c r="AQ21" s="66">
        <v>0</v>
      </c>
      <c r="AR21" s="66">
        <v>0</v>
      </c>
      <c r="AS21" s="66">
        <v>0</v>
      </c>
      <c r="AT21" s="67" t="s">
        <v>1230</v>
      </c>
      <c r="AU21" s="67" t="s">
        <v>1230</v>
      </c>
      <c r="AV21" s="67">
        <v>0</v>
      </c>
      <c r="AW21" s="187">
        <v>0</v>
      </c>
      <c r="AX21" s="67">
        <v>0</v>
      </c>
      <c r="AY21" s="66">
        <v>24.4255</v>
      </c>
      <c r="AZ21" s="66">
        <v>0</v>
      </c>
      <c r="BA21" s="66">
        <v>25.775500000000001</v>
      </c>
      <c r="BB21" s="66">
        <v>24.4255</v>
      </c>
      <c r="BC21" s="66">
        <v>1.35</v>
      </c>
      <c r="BD21" s="66">
        <v>19.724442870000001</v>
      </c>
      <c r="BE21" s="66">
        <v>0</v>
      </c>
      <c r="BF21" s="66">
        <v>20.814620120000001</v>
      </c>
      <c r="BG21" s="66">
        <v>19.724442870000001</v>
      </c>
      <c r="BH21" s="66">
        <v>0</v>
      </c>
      <c r="BI21" s="66">
        <v>1.09017725</v>
      </c>
      <c r="BJ21" s="67">
        <v>80.753486602116638</v>
      </c>
      <c r="BK21" s="67">
        <v>80.753870370370365</v>
      </c>
      <c r="BL21" s="67">
        <v>5.2375553515506583</v>
      </c>
      <c r="BM21" s="187">
        <v>0</v>
      </c>
      <c r="BN21" s="67">
        <v>0</v>
      </c>
      <c r="BO21" s="66">
        <v>0</v>
      </c>
      <c r="BP21" s="66">
        <v>0</v>
      </c>
      <c r="BQ21" s="66">
        <v>0</v>
      </c>
      <c r="BR21" s="66">
        <v>0</v>
      </c>
      <c r="BS21" s="66">
        <v>0</v>
      </c>
      <c r="BT21" s="66">
        <v>0</v>
      </c>
      <c r="BU21" s="66">
        <v>0</v>
      </c>
      <c r="BV21" s="66">
        <v>0</v>
      </c>
      <c r="BW21" s="66">
        <v>0</v>
      </c>
      <c r="BX21" s="66">
        <v>0</v>
      </c>
      <c r="BY21" s="66">
        <v>0</v>
      </c>
      <c r="BZ21" s="67" t="s">
        <v>1230</v>
      </c>
      <c r="CA21" s="67" t="s">
        <v>1230</v>
      </c>
      <c r="CB21" s="67">
        <v>0</v>
      </c>
      <c r="CC21" s="187">
        <v>0</v>
      </c>
      <c r="CD21" s="67">
        <v>0</v>
      </c>
      <c r="CE21" s="66">
        <v>0</v>
      </c>
      <c r="CF21" s="66">
        <v>0</v>
      </c>
      <c r="CG21" s="66">
        <v>0</v>
      </c>
      <c r="CH21" s="66">
        <v>0</v>
      </c>
      <c r="CI21" s="66">
        <v>0</v>
      </c>
      <c r="CJ21" s="66">
        <v>0</v>
      </c>
      <c r="CK21" s="66">
        <v>0</v>
      </c>
      <c r="CL21" s="66">
        <v>0</v>
      </c>
      <c r="CM21" s="66">
        <v>0</v>
      </c>
      <c r="CN21" s="66">
        <v>0</v>
      </c>
      <c r="CO21" s="66">
        <v>0</v>
      </c>
      <c r="CP21" s="67" t="s">
        <v>1230</v>
      </c>
      <c r="CQ21" s="67" t="s">
        <v>1230</v>
      </c>
      <c r="CR21" s="67">
        <v>0</v>
      </c>
      <c r="CS21" s="187">
        <v>0</v>
      </c>
      <c r="CT21" s="67">
        <v>0</v>
      </c>
      <c r="CU21" s="66">
        <v>0</v>
      </c>
      <c r="CV21" s="66">
        <v>0</v>
      </c>
      <c r="CW21" s="66">
        <v>0</v>
      </c>
      <c r="CX21" s="66">
        <v>0</v>
      </c>
      <c r="CY21" s="66">
        <v>0</v>
      </c>
      <c r="CZ21" s="66">
        <v>0</v>
      </c>
      <c r="DA21" s="66">
        <v>0</v>
      </c>
      <c r="DB21" s="66">
        <v>0</v>
      </c>
      <c r="DC21" s="66">
        <v>0</v>
      </c>
      <c r="DD21" s="66">
        <v>0</v>
      </c>
      <c r="DE21" s="66">
        <v>0</v>
      </c>
      <c r="DF21" s="67" t="s">
        <v>1230</v>
      </c>
      <c r="DG21" s="67" t="s">
        <v>1230</v>
      </c>
      <c r="DH21" s="67">
        <v>0</v>
      </c>
      <c r="DI21" s="187">
        <v>0</v>
      </c>
      <c r="DJ21" s="67">
        <v>0</v>
      </c>
      <c r="DK21" s="66">
        <v>0</v>
      </c>
      <c r="DL21" s="66">
        <v>0</v>
      </c>
      <c r="DM21" s="66">
        <v>0</v>
      </c>
      <c r="DN21" s="66">
        <v>0</v>
      </c>
      <c r="DO21" s="66">
        <v>0</v>
      </c>
      <c r="DP21" s="66">
        <v>0</v>
      </c>
      <c r="DQ21" s="66">
        <v>0</v>
      </c>
      <c r="DR21" s="66">
        <v>0</v>
      </c>
      <c r="DS21" s="66">
        <v>0</v>
      </c>
      <c r="DT21" s="66">
        <v>0</v>
      </c>
      <c r="DU21" s="66">
        <v>0</v>
      </c>
      <c r="DV21" s="67" t="s">
        <v>1230</v>
      </c>
      <c r="DW21" s="67" t="s">
        <v>1230</v>
      </c>
      <c r="DX21" s="67">
        <v>0</v>
      </c>
      <c r="DY21" s="187">
        <v>0</v>
      </c>
      <c r="DZ21" s="67">
        <v>0</v>
      </c>
      <c r="EA21" s="66">
        <v>0</v>
      </c>
      <c r="EB21" s="66">
        <v>0</v>
      </c>
      <c r="EC21" s="66">
        <v>0</v>
      </c>
      <c r="ED21" s="66">
        <v>0</v>
      </c>
      <c r="EE21" s="66">
        <v>0</v>
      </c>
      <c r="EF21" s="66">
        <v>0</v>
      </c>
      <c r="EG21" s="66">
        <v>0</v>
      </c>
      <c r="EH21" s="66">
        <v>0</v>
      </c>
      <c r="EI21" s="66">
        <v>0</v>
      </c>
      <c r="EJ21" s="66">
        <v>0</v>
      </c>
      <c r="EK21" s="66">
        <v>0</v>
      </c>
      <c r="EL21" s="67" t="s">
        <v>1230</v>
      </c>
      <c r="EM21" s="67" t="s">
        <v>1230</v>
      </c>
      <c r="EN21" s="67">
        <v>0</v>
      </c>
      <c r="EO21" s="187">
        <v>0</v>
      </c>
      <c r="EP21" s="67">
        <v>0</v>
      </c>
      <c r="EQ21" s="66">
        <v>0</v>
      </c>
      <c r="ER21" s="66">
        <v>0</v>
      </c>
      <c r="ES21" s="66">
        <v>0</v>
      </c>
      <c r="ET21" s="66">
        <v>0</v>
      </c>
      <c r="EU21" s="66">
        <v>0</v>
      </c>
      <c r="EV21" s="66">
        <v>0</v>
      </c>
      <c r="EW21" s="66">
        <v>0</v>
      </c>
      <c r="EX21" s="66">
        <v>0</v>
      </c>
      <c r="EY21" s="66">
        <v>0</v>
      </c>
      <c r="EZ21" s="66">
        <v>0</v>
      </c>
      <c r="FA21" s="66">
        <v>0</v>
      </c>
      <c r="FB21" s="67" t="s">
        <v>1230</v>
      </c>
      <c r="FC21" s="67" t="s">
        <v>1230</v>
      </c>
      <c r="FD21" s="67">
        <v>0</v>
      </c>
      <c r="FE21" s="187">
        <v>0</v>
      </c>
      <c r="FF21" s="67">
        <v>0</v>
      </c>
      <c r="FG21" s="66">
        <v>0</v>
      </c>
      <c r="FH21" s="66">
        <v>0</v>
      </c>
      <c r="FI21" s="66">
        <v>0</v>
      </c>
      <c r="FJ21" s="66">
        <v>0</v>
      </c>
      <c r="FK21" s="66">
        <v>0</v>
      </c>
      <c r="FL21" s="66">
        <v>0</v>
      </c>
      <c r="FM21" s="66">
        <v>0</v>
      </c>
      <c r="FN21" s="66">
        <v>0</v>
      </c>
      <c r="FO21" s="66">
        <v>0</v>
      </c>
      <c r="FP21" s="66">
        <v>0</v>
      </c>
      <c r="FQ21" s="66">
        <v>0</v>
      </c>
      <c r="FR21" s="67" t="s">
        <v>1230</v>
      </c>
      <c r="FS21" s="67" t="s">
        <v>1230</v>
      </c>
      <c r="FT21" s="67">
        <v>0</v>
      </c>
      <c r="FU21" s="187">
        <v>0</v>
      </c>
      <c r="FV21" s="67">
        <v>0</v>
      </c>
      <c r="FW21" s="66">
        <v>0</v>
      </c>
      <c r="FX21" s="66">
        <v>0</v>
      </c>
      <c r="FY21" s="66">
        <v>0</v>
      </c>
      <c r="FZ21" s="66">
        <v>0</v>
      </c>
      <c r="GA21" s="66">
        <v>0</v>
      </c>
      <c r="GB21" s="66">
        <v>0</v>
      </c>
      <c r="GC21" s="66">
        <v>0</v>
      </c>
      <c r="GD21" s="66">
        <v>0</v>
      </c>
      <c r="GE21" s="66">
        <v>0</v>
      </c>
      <c r="GF21" s="66">
        <v>0</v>
      </c>
      <c r="GG21" s="66">
        <v>0</v>
      </c>
      <c r="GH21" s="67" t="s">
        <v>1230</v>
      </c>
      <c r="GI21" s="67" t="s">
        <v>1230</v>
      </c>
      <c r="GJ21" s="67">
        <v>0</v>
      </c>
      <c r="GK21" s="187">
        <v>0</v>
      </c>
      <c r="GL21" s="67">
        <v>0</v>
      </c>
      <c r="GM21" s="66">
        <v>0</v>
      </c>
      <c r="GN21" s="66">
        <v>0</v>
      </c>
      <c r="GO21" s="66">
        <v>0</v>
      </c>
      <c r="GP21" s="66">
        <v>0</v>
      </c>
      <c r="GQ21" s="66">
        <v>0</v>
      </c>
      <c r="GR21" s="66">
        <v>0</v>
      </c>
      <c r="GS21" s="66">
        <v>0</v>
      </c>
      <c r="GT21" s="66">
        <v>0</v>
      </c>
      <c r="GU21" s="66">
        <v>0</v>
      </c>
      <c r="GV21" s="66">
        <v>0</v>
      </c>
      <c r="GW21" s="66">
        <v>0</v>
      </c>
      <c r="GX21" s="67" t="s">
        <v>1230</v>
      </c>
      <c r="GY21" s="67" t="s">
        <v>1230</v>
      </c>
      <c r="GZ21" s="67">
        <v>0</v>
      </c>
      <c r="HA21" s="187">
        <v>0</v>
      </c>
      <c r="HB21" s="67">
        <v>0</v>
      </c>
      <c r="HC21" s="66">
        <v>0.3866</v>
      </c>
      <c r="HD21" s="66">
        <v>0</v>
      </c>
      <c r="HE21" s="66">
        <v>0.81</v>
      </c>
      <c r="HF21" s="66">
        <v>0.3866</v>
      </c>
      <c r="HG21" s="66">
        <v>0.4234</v>
      </c>
      <c r="HH21" s="66">
        <v>0.3866</v>
      </c>
      <c r="HI21" s="66">
        <v>0</v>
      </c>
      <c r="HJ21" s="66">
        <v>0.81</v>
      </c>
      <c r="HK21" s="66">
        <v>0.3866</v>
      </c>
      <c r="HL21" s="66">
        <v>0</v>
      </c>
      <c r="HM21" s="66">
        <v>0.4234</v>
      </c>
      <c r="HN21" s="67">
        <v>100</v>
      </c>
      <c r="HO21" s="67">
        <v>100</v>
      </c>
      <c r="HP21" s="67">
        <v>52.271604938271601</v>
      </c>
      <c r="HQ21" s="187">
        <v>0</v>
      </c>
      <c r="HR21" s="67">
        <v>0</v>
      </c>
      <c r="HS21" s="66">
        <v>0</v>
      </c>
      <c r="HT21" s="66">
        <v>0</v>
      </c>
      <c r="HU21" s="66">
        <v>0</v>
      </c>
      <c r="HV21" s="66">
        <v>0</v>
      </c>
      <c r="HW21" s="66">
        <v>0</v>
      </c>
      <c r="HX21" s="66">
        <v>0</v>
      </c>
      <c r="HY21" s="66">
        <v>0</v>
      </c>
      <c r="HZ21" s="66">
        <v>0</v>
      </c>
      <c r="IA21" s="66">
        <v>0</v>
      </c>
      <c r="IB21" s="66">
        <v>0</v>
      </c>
      <c r="IC21" s="66">
        <v>0</v>
      </c>
      <c r="ID21" s="67" t="s">
        <v>1230</v>
      </c>
      <c r="IE21" s="67" t="s">
        <v>1230</v>
      </c>
      <c r="IF21" s="67">
        <v>0</v>
      </c>
      <c r="IG21" s="187">
        <v>0</v>
      </c>
      <c r="IH21" s="67">
        <v>0</v>
      </c>
      <c r="II21" s="66">
        <v>0</v>
      </c>
      <c r="IJ21" s="66">
        <v>0</v>
      </c>
      <c r="IK21" s="66">
        <v>0</v>
      </c>
      <c r="IL21" s="66">
        <v>0</v>
      </c>
      <c r="IM21" s="66">
        <v>0</v>
      </c>
      <c r="IN21" s="66">
        <v>0</v>
      </c>
      <c r="IO21" s="66">
        <v>0</v>
      </c>
      <c r="IP21" s="66">
        <v>0</v>
      </c>
      <c r="IQ21" s="66">
        <v>0</v>
      </c>
      <c r="IR21" s="66">
        <v>0</v>
      </c>
      <c r="IS21" s="66">
        <v>0</v>
      </c>
      <c r="IT21" s="67" t="s">
        <v>1230</v>
      </c>
      <c r="IU21" s="67" t="s">
        <v>1230</v>
      </c>
      <c r="IV21" s="67">
        <v>0</v>
      </c>
      <c r="IW21" s="187">
        <v>0</v>
      </c>
      <c r="IX21" s="67">
        <v>0</v>
      </c>
    </row>
    <row r="22" spans="1:258" ht="15.6" x14ac:dyDescent="0.3">
      <c r="A22" s="169" t="s">
        <v>30</v>
      </c>
      <c r="B22" s="205" t="s">
        <v>31</v>
      </c>
      <c r="C22" s="66">
        <v>79.434799999999996</v>
      </c>
      <c r="D22" s="66">
        <v>0</v>
      </c>
      <c r="E22" s="66">
        <v>116.17217700000002</v>
      </c>
      <c r="F22" s="66">
        <v>79.434799999999996</v>
      </c>
      <c r="G22" s="66">
        <v>36.737377000000009</v>
      </c>
      <c r="H22" s="66">
        <v>79.226254359999984</v>
      </c>
      <c r="I22" s="66">
        <v>1.00009949</v>
      </c>
      <c r="J22" s="66">
        <v>115.46147605000002</v>
      </c>
      <c r="K22" s="66">
        <v>79.002852919999981</v>
      </c>
      <c r="L22" s="66">
        <v>0</v>
      </c>
      <c r="M22" s="66">
        <v>36.458623130000007</v>
      </c>
      <c r="N22" s="67">
        <v>99.456224375210837</v>
      </c>
      <c r="O22" s="67">
        <v>99.241225441870824</v>
      </c>
      <c r="P22" s="67">
        <v>31.576439499363218</v>
      </c>
      <c r="Q22" s="66">
        <v>1.00009949</v>
      </c>
      <c r="R22" s="67">
        <v>0.22340144000000017</v>
      </c>
      <c r="S22" s="66">
        <v>43.131900000000002</v>
      </c>
      <c r="T22" s="66">
        <v>0</v>
      </c>
      <c r="U22" s="66">
        <v>70.966772000000006</v>
      </c>
      <c r="V22" s="66">
        <v>43.131900000000002</v>
      </c>
      <c r="W22" s="66">
        <v>27.834872000000001</v>
      </c>
      <c r="X22" s="66">
        <v>42.923354359999998</v>
      </c>
      <c r="Y22" s="66">
        <v>0.28401973999999997</v>
      </c>
      <c r="Z22" s="66">
        <v>70.256071050000003</v>
      </c>
      <c r="AA22" s="66">
        <v>42.699952920000001</v>
      </c>
      <c r="AB22" s="66">
        <v>0</v>
      </c>
      <c r="AC22" s="66">
        <v>27.556118129999998</v>
      </c>
      <c r="AD22" s="67">
        <v>98.998543815598197</v>
      </c>
      <c r="AE22" s="67">
        <v>98.998544451722282</v>
      </c>
      <c r="AF22" s="67">
        <v>39.222401307338686</v>
      </c>
      <c r="AG22" s="187">
        <v>0.28401973999999997</v>
      </c>
      <c r="AH22" s="67">
        <v>0.2234014399999944</v>
      </c>
      <c r="AI22" s="66">
        <v>0</v>
      </c>
      <c r="AJ22" s="66">
        <v>0</v>
      </c>
      <c r="AK22" s="66">
        <v>0</v>
      </c>
      <c r="AL22" s="66">
        <v>0</v>
      </c>
      <c r="AM22" s="66">
        <v>0</v>
      </c>
      <c r="AN22" s="66">
        <v>0</v>
      </c>
      <c r="AO22" s="66">
        <v>0.71607975000000001</v>
      </c>
      <c r="AP22" s="66">
        <v>0</v>
      </c>
      <c r="AQ22" s="66">
        <v>0</v>
      </c>
      <c r="AR22" s="66">
        <v>0</v>
      </c>
      <c r="AS22" s="66">
        <v>0</v>
      </c>
      <c r="AT22" s="67" t="s">
        <v>1230</v>
      </c>
      <c r="AU22" s="67" t="s">
        <v>1230</v>
      </c>
      <c r="AV22" s="67">
        <v>0</v>
      </c>
      <c r="AW22" s="187">
        <v>0.71607975000000001</v>
      </c>
      <c r="AX22" s="67">
        <v>0</v>
      </c>
      <c r="AY22" s="66">
        <v>31.126899999999999</v>
      </c>
      <c r="AZ22" s="66">
        <v>0</v>
      </c>
      <c r="BA22" s="66">
        <v>35.778046000000003</v>
      </c>
      <c r="BB22" s="66">
        <v>31.126899999999999</v>
      </c>
      <c r="BC22" s="66">
        <v>4.6511459999999998</v>
      </c>
      <c r="BD22" s="66">
        <v>31.126899999999999</v>
      </c>
      <c r="BE22" s="66">
        <v>0</v>
      </c>
      <c r="BF22" s="66">
        <v>35.778046000000003</v>
      </c>
      <c r="BG22" s="66">
        <v>31.126899999999999</v>
      </c>
      <c r="BH22" s="66">
        <v>0</v>
      </c>
      <c r="BI22" s="66">
        <v>4.6511459999999998</v>
      </c>
      <c r="BJ22" s="67">
        <v>100</v>
      </c>
      <c r="BK22" s="67">
        <v>100</v>
      </c>
      <c r="BL22" s="67">
        <v>13.000000055900202</v>
      </c>
      <c r="BM22" s="187">
        <v>0</v>
      </c>
      <c r="BN22" s="67">
        <v>0</v>
      </c>
      <c r="BO22" s="66">
        <v>0</v>
      </c>
      <c r="BP22" s="66">
        <v>0</v>
      </c>
      <c r="BQ22" s="66">
        <v>0</v>
      </c>
      <c r="BR22" s="66">
        <v>0</v>
      </c>
      <c r="BS22" s="66">
        <v>0</v>
      </c>
      <c r="BT22" s="66">
        <v>0</v>
      </c>
      <c r="BU22" s="66">
        <v>0</v>
      </c>
      <c r="BV22" s="66">
        <v>0</v>
      </c>
      <c r="BW22" s="66">
        <v>0</v>
      </c>
      <c r="BX22" s="66">
        <v>0</v>
      </c>
      <c r="BY22" s="66">
        <v>0</v>
      </c>
      <c r="BZ22" s="67" t="s">
        <v>1230</v>
      </c>
      <c r="CA22" s="67" t="s">
        <v>1230</v>
      </c>
      <c r="CB22" s="67">
        <v>0</v>
      </c>
      <c r="CC22" s="187">
        <v>0</v>
      </c>
      <c r="CD22" s="67">
        <v>0</v>
      </c>
      <c r="CE22" s="66">
        <v>0</v>
      </c>
      <c r="CF22" s="66">
        <v>0</v>
      </c>
      <c r="CG22" s="66">
        <v>0</v>
      </c>
      <c r="CH22" s="66">
        <v>0</v>
      </c>
      <c r="CI22" s="66">
        <v>0</v>
      </c>
      <c r="CJ22" s="66">
        <v>0</v>
      </c>
      <c r="CK22" s="66">
        <v>0</v>
      </c>
      <c r="CL22" s="66">
        <v>0</v>
      </c>
      <c r="CM22" s="66">
        <v>0</v>
      </c>
      <c r="CN22" s="66">
        <v>0</v>
      </c>
      <c r="CO22" s="66">
        <v>0</v>
      </c>
      <c r="CP22" s="67" t="s">
        <v>1230</v>
      </c>
      <c r="CQ22" s="67" t="s">
        <v>1230</v>
      </c>
      <c r="CR22" s="67">
        <v>0</v>
      </c>
      <c r="CS22" s="187">
        <v>0</v>
      </c>
      <c r="CT22" s="67">
        <v>0</v>
      </c>
      <c r="CU22" s="66">
        <v>0</v>
      </c>
      <c r="CV22" s="66">
        <v>0</v>
      </c>
      <c r="CW22" s="66">
        <v>0</v>
      </c>
      <c r="CX22" s="66">
        <v>0</v>
      </c>
      <c r="CY22" s="66">
        <v>0</v>
      </c>
      <c r="CZ22" s="66">
        <v>0</v>
      </c>
      <c r="DA22" s="66">
        <v>0</v>
      </c>
      <c r="DB22" s="66">
        <v>0</v>
      </c>
      <c r="DC22" s="66">
        <v>0</v>
      </c>
      <c r="DD22" s="66">
        <v>0</v>
      </c>
      <c r="DE22" s="66">
        <v>0</v>
      </c>
      <c r="DF22" s="67" t="s">
        <v>1230</v>
      </c>
      <c r="DG22" s="67" t="s">
        <v>1230</v>
      </c>
      <c r="DH22" s="67">
        <v>0</v>
      </c>
      <c r="DI22" s="187">
        <v>0</v>
      </c>
      <c r="DJ22" s="67">
        <v>0</v>
      </c>
      <c r="DK22" s="66">
        <v>2.3513999999999999</v>
      </c>
      <c r="DL22" s="66">
        <v>0</v>
      </c>
      <c r="DM22" s="66">
        <v>2.7027589999999999</v>
      </c>
      <c r="DN22" s="66">
        <v>2.3513999999999999</v>
      </c>
      <c r="DO22" s="66">
        <v>0.35135899999999998</v>
      </c>
      <c r="DP22" s="66">
        <v>2.3513999999999999</v>
      </c>
      <c r="DQ22" s="66">
        <v>0</v>
      </c>
      <c r="DR22" s="66">
        <v>2.7027589999999999</v>
      </c>
      <c r="DS22" s="66">
        <v>2.3513999999999999</v>
      </c>
      <c r="DT22" s="66">
        <v>0</v>
      </c>
      <c r="DU22" s="66">
        <v>0.35135899999999998</v>
      </c>
      <c r="DV22" s="67">
        <v>100</v>
      </c>
      <c r="DW22" s="67">
        <v>100</v>
      </c>
      <c r="DX22" s="67">
        <v>13.00001220974567</v>
      </c>
      <c r="DY22" s="187">
        <v>0</v>
      </c>
      <c r="DZ22" s="67">
        <v>0</v>
      </c>
      <c r="EA22" s="66">
        <v>0</v>
      </c>
      <c r="EB22" s="66">
        <v>0</v>
      </c>
      <c r="EC22" s="66">
        <v>0</v>
      </c>
      <c r="ED22" s="66">
        <v>0</v>
      </c>
      <c r="EE22" s="66">
        <v>0</v>
      </c>
      <c r="EF22" s="66">
        <v>0</v>
      </c>
      <c r="EG22" s="66">
        <v>0</v>
      </c>
      <c r="EH22" s="66">
        <v>0</v>
      </c>
      <c r="EI22" s="66">
        <v>0</v>
      </c>
      <c r="EJ22" s="66">
        <v>0</v>
      </c>
      <c r="EK22" s="66">
        <v>0</v>
      </c>
      <c r="EL22" s="67" t="s">
        <v>1230</v>
      </c>
      <c r="EM22" s="67" t="s">
        <v>1230</v>
      </c>
      <c r="EN22" s="67">
        <v>0</v>
      </c>
      <c r="EO22" s="187">
        <v>0</v>
      </c>
      <c r="EP22" s="67">
        <v>0</v>
      </c>
      <c r="EQ22" s="66">
        <v>2.3820999999999999</v>
      </c>
      <c r="ER22" s="66">
        <v>0</v>
      </c>
      <c r="ES22" s="66">
        <v>5.2695970000000001</v>
      </c>
      <c r="ET22" s="66">
        <v>2.3820999999999999</v>
      </c>
      <c r="EU22" s="66">
        <v>2.8874970000000002</v>
      </c>
      <c r="EV22" s="66">
        <v>2.3820999999999999</v>
      </c>
      <c r="EW22" s="66">
        <v>0</v>
      </c>
      <c r="EX22" s="66">
        <v>5.2695970000000001</v>
      </c>
      <c r="EY22" s="66">
        <v>2.3820999999999999</v>
      </c>
      <c r="EZ22" s="66">
        <v>0</v>
      </c>
      <c r="FA22" s="66">
        <v>2.8874970000000002</v>
      </c>
      <c r="FB22" s="67">
        <v>100</v>
      </c>
      <c r="FC22" s="67">
        <v>100</v>
      </c>
      <c r="FD22" s="67">
        <v>54.795404658079171</v>
      </c>
      <c r="FE22" s="187">
        <v>0</v>
      </c>
      <c r="FF22" s="67">
        <v>0</v>
      </c>
      <c r="FG22" s="66">
        <v>0</v>
      </c>
      <c r="FH22" s="66">
        <v>0</v>
      </c>
      <c r="FI22" s="66">
        <v>0</v>
      </c>
      <c r="FJ22" s="66">
        <v>0</v>
      </c>
      <c r="FK22" s="66">
        <v>0</v>
      </c>
      <c r="FL22" s="66">
        <v>0</v>
      </c>
      <c r="FM22" s="66">
        <v>0</v>
      </c>
      <c r="FN22" s="66">
        <v>0</v>
      </c>
      <c r="FO22" s="66">
        <v>0</v>
      </c>
      <c r="FP22" s="66">
        <v>0</v>
      </c>
      <c r="FQ22" s="66">
        <v>0</v>
      </c>
      <c r="FR22" s="67" t="s">
        <v>1230</v>
      </c>
      <c r="FS22" s="67" t="s">
        <v>1230</v>
      </c>
      <c r="FT22" s="67">
        <v>0</v>
      </c>
      <c r="FU22" s="187">
        <v>0</v>
      </c>
      <c r="FV22" s="67">
        <v>0</v>
      </c>
      <c r="FW22" s="66">
        <v>0</v>
      </c>
      <c r="FX22" s="66">
        <v>0</v>
      </c>
      <c r="FY22" s="66">
        <v>0</v>
      </c>
      <c r="FZ22" s="66">
        <v>0</v>
      </c>
      <c r="GA22" s="66">
        <v>0</v>
      </c>
      <c r="GB22" s="66">
        <v>0</v>
      </c>
      <c r="GC22" s="66">
        <v>0</v>
      </c>
      <c r="GD22" s="66">
        <v>0</v>
      </c>
      <c r="GE22" s="66">
        <v>0</v>
      </c>
      <c r="GF22" s="66">
        <v>0</v>
      </c>
      <c r="GG22" s="66">
        <v>0</v>
      </c>
      <c r="GH22" s="67" t="s">
        <v>1230</v>
      </c>
      <c r="GI22" s="67" t="s">
        <v>1230</v>
      </c>
      <c r="GJ22" s="67">
        <v>0</v>
      </c>
      <c r="GK22" s="187">
        <v>0</v>
      </c>
      <c r="GL22" s="67">
        <v>0</v>
      </c>
      <c r="GM22" s="66">
        <v>0</v>
      </c>
      <c r="GN22" s="66">
        <v>0</v>
      </c>
      <c r="GO22" s="66">
        <v>0</v>
      </c>
      <c r="GP22" s="66">
        <v>0</v>
      </c>
      <c r="GQ22" s="66">
        <v>0</v>
      </c>
      <c r="GR22" s="66">
        <v>0</v>
      </c>
      <c r="GS22" s="66">
        <v>0</v>
      </c>
      <c r="GT22" s="66">
        <v>0</v>
      </c>
      <c r="GU22" s="66">
        <v>0</v>
      </c>
      <c r="GV22" s="66">
        <v>0</v>
      </c>
      <c r="GW22" s="66">
        <v>0</v>
      </c>
      <c r="GX22" s="67" t="s">
        <v>1230</v>
      </c>
      <c r="GY22" s="67" t="s">
        <v>1230</v>
      </c>
      <c r="GZ22" s="67">
        <v>0</v>
      </c>
      <c r="HA22" s="187">
        <v>0</v>
      </c>
      <c r="HB22" s="67">
        <v>0</v>
      </c>
      <c r="HC22" s="66">
        <v>0.4425</v>
      </c>
      <c r="HD22" s="66">
        <v>0</v>
      </c>
      <c r="HE22" s="66">
        <v>1.455003</v>
      </c>
      <c r="HF22" s="66">
        <v>0.4425</v>
      </c>
      <c r="HG22" s="66">
        <v>1.0125029999999999</v>
      </c>
      <c r="HH22" s="66">
        <v>0.4425</v>
      </c>
      <c r="HI22" s="66">
        <v>0</v>
      </c>
      <c r="HJ22" s="66">
        <v>1.455003</v>
      </c>
      <c r="HK22" s="66">
        <v>0.4425</v>
      </c>
      <c r="HL22" s="66">
        <v>0</v>
      </c>
      <c r="HM22" s="66">
        <v>1.0125029999999999</v>
      </c>
      <c r="HN22" s="67">
        <v>100</v>
      </c>
      <c r="HO22" s="67">
        <v>100</v>
      </c>
      <c r="HP22" s="67">
        <v>69.587691571769952</v>
      </c>
      <c r="HQ22" s="187">
        <v>0</v>
      </c>
      <c r="HR22" s="67">
        <v>0</v>
      </c>
      <c r="HS22" s="66">
        <v>0</v>
      </c>
      <c r="HT22" s="66">
        <v>0</v>
      </c>
      <c r="HU22" s="66">
        <v>0</v>
      </c>
      <c r="HV22" s="66">
        <v>0</v>
      </c>
      <c r="HW22" s="66">
        <v>0</v>
      </c>
      <c r="HX22" s="66">
        <v>0</v>
      </c>
      <c r="HY22" s="66">
        <v>0</v>
      </c>
      <c r="HZ22" s="66">
        <v>0</v>
      </c>
      <c r="IA22" s="66">
        <v>0</v>
      </c>
      <c r="IB22" s="66">
        <v>0</v>
      </c>
      <c r="IC22" s="66">
        <v>0</v>
      </c>
      <c r="ID22" s="67" t="s">
        <v>1230</v>
      </c>
      <c r="IE22" s="67" t="s">
        <v>1230</v>
      </c>
      <c r="IF22" s="67">
        <v>0</v>
      </c>
      <c r="IG22" s="187">
        <v>0</v>
      </c>
      <c r="IH22" s="67">
        <v>0</v>
      </c>
      <c r="II22" s="66">
        <v>0</v>
      </c>
      <c r="IJ22" s="66">
        <v>0</v>
      </c>
      <c r="IK22" s="66">
        <v>0</v>
      </c>
      <c r="IL22" s="66">
        <v>0</v>
      </c>
      <c r="IM22" s="66">
        <v>0</v>
      </c>
      <c r="IN22" s="66">
        <v>0</v>
      </c>
      <c r="IO22" s="66">
        <v>0</v>
      </c>
      <c r="IP22" s="66">
        <v>0</v>
      </c>
      <c r="IQ22" s="66">
        <v>0</v>
      </c>
      <c r="IR22" s="66">
        <v>0</v>
      </c>
      <c r="IS22" s="66">
        <v>0</v>
      </c>
      <c r="IT22" s="67" t="s">
        <v>1230</v>
      </c>
      <c r="IU22" s="67" t="s">
        <v>1230</v>
      </c>
      <c r="IV22" s="67">
        <v>0</v>
      </c>
      <c r="IW22" s="187">
        <v>0</v>
      </c>
      <c r="IX22" s="67">
        <v>0</v>
      </c>
    </row>
    <row r="23" spans="1:258" ht="15.6" x14ac:dyDescent="0.3">
      <c r="A23" s="169" t="s">
        <v>33</v>
      </c>
      <c r="B23" s="205" t="s">
        <v>34</v>
      </c>
      <c r="C23" s="66">
        <v>142.6652</v>
      </c>
      <c r="D23" s="66">
        <v>0</v>
      </c>
      <c r="E23" s="66">
        <v>198.14611111000002</v>
      </c>
      <c r="F23" s="66">
        <v>142.6652</v>
      </c>
      <c r="G23" s="66">
        <v>55.480911109999994</v>
      </c>
      <c r="H23" s="66">
        <v>142.66518256999998</v>
      </c>
      <c r="I23" s="66">
        <v>2.86456</v>
      </c>
      <c r="J23" s="66">
        <v>198.14608691000001</v>
      </c>
      <c r="K23" s="66">
        <v>142.66518256999998</v>
      </c>
      <c r="L23" s="66">
        <v>0</v>
      </c>
      <c r="M23" s="66">
        <v>55.480904339999995</v>
      </c>
      <c r="N23" s="67">
        <v>99.999987782584682</v>
      </c>
      <c r="O23" s="67">
        <v>99.999987797604859</v>
      </c>
      <c r="P23" s="67">
        <v>28.000000002624319</v>
      </c>
      <c r="Q23" s="66">
        <v>2.86456</v>
      </c>
      <c r="R23" s="67">
        <v>1.1546319456101628E-14</v>
      </c>
      <c r="S23" s="66">
        <v>84.470100000000002</v>
      </c>
      <c r="T23" s="66">
        <v>0</v>
      </c>
      <c r="U23" s="66">
        <v>117.31958333</v>
      </c>
      <c r="V23" s="66">
        <v>84.470100000000002</v>
      </c>
      <c r="W23" s="66">
        <v>32.849483329999998</v>
      </c>
      <c r="X23" s="66">
        <v>84.470099939999997</v>
      </c>
      <c r="Y23" s="66">
        <v>0</v>
      </c>
      <c r="Z23" s="66">
        <v>117.31958324999999</v>
      </c>
      <c r="AA23" s="66">
        <v>84.470099939999997</v>
      </c>
      <c r="AB23" s="66">
        <v>0</v>
      </c>
      <c r="AC23" s="66">
        <v>32.849483309999997</v>
      </c>
      <c r="AD23" s="67">
        <v>99.999999928968947</v>
      </c>
      <c r="AE23" s="67">
        <v>99.999999939116236</v>
      </c>
      <c r="AF23" s="67">
        <v>27.999999999999996</v>
      </c>
      <c r="AG23" s="187">
        <v>0</v>
      </c>
      <c r="AH23" s="67">
        <v>0</v>
      </c>
      <c r="AI23" s="66">
        <v>0</v>
      </c>
      <c r="AJ23" s="66">
        <v>0</v>
      </c>
      <c r="AK23" s="66">
        <v>0</v>
      </c>
      <c r="AL23" s="66">
        <v>0</v>
      </c>
      <c r="AM23" s="66">
        <v>0</v>
      </c>
      <c r="AN23" s="66">
        <v>0</v>
      </c>
      <c r="AO23" s="66">
        <v>0</v>
      </c>
      <c r="AP23" s="66">
        <v>0</v>
      </c>
      <c r="AQ23" s="66">
        <v>0</v>
      </c>
      <c r="AR23" s="66">
        <v>0</v>
      </c>
      <c r="AS23" s="66">
        <v>0</v>
      </c>
      <c r="AT23" s="67" t="s">
        <v>1230</v>
      </c>
      <c r="AU23" s="67" t="s">
        <v>1230</v>
      </c>
      <c r="AV23" s="67">
        <v>0</v>
      </c>
      <c r="AW23" s="187">
        <v>0</v>
      </c>
      <c r="AX23" s="67">
        <v>0</v>
      </c>
      <c r="AY23" s="66">
        <v>22.59</v>
      </c>
      <c r="AZ23" s="66">
        <v>0</v>
      </c>
      <c r="BA23" s="66">
        <v>31.375</v>
      </c>
      <c r="BB23" s="66">
        <v>22.59</v>
      </c>
      <c r="BC23" s="66">
        <v>8.7850000000000001</v>
      </c>
      <c r="BD23" s="66">
        <v>22.589982640000002</v>
      </c>
      <c r="BE23" s="66">
        <v>0</v>
      </c>
      <c r="BF23" s="66">
        <v>31.374975890000002</v>
      </c>
      <c r="BG23" s="66">
        <v>22.589982640000002</v>
      </c>
      <c r="BH23" s="66">
        <v>0</v>
      </c>
      <c r="BI23" s="66">
        <v>8.7849932499999994</v>
      </c>
      <c r="BJ23" s="67">
        <v>99.999923151837109</v>
      </c>
      <c r="BK23" s="67">
        <v>99.999923164484912</v>
      </c>
      <c r="BL23" s="67">
        <v>28.0000000025498</v>
      </c>
      <c r="BM23" s="187">
        <v>0</v>
      </c>
      <c r="BN23" s="67">
        <v>0</v>
      </c>
      <c r="BO23" s="66">
        <v>0</v>
      </c>
      <c r="BP23" s="66">
        <v>0</v>
      </c>
      <c r="BQ23" s="66">
        <v>0</v>
      </c>
      <c r="BR23" s="66">
        <v>0</v>
      </c>
      <c r="BS23" s="66">
        <v>0</v>
      </c>
      <c r="BT23" s="66">
        <v>0</v>
      </c>
      <c r="BU23" s="66">
        <v>0</v>
      </c>
      <c r="BV23" s="66">
        <v>0</v>
      </c>
      <c r="BW23" s="66">
        <v>0</v>
      </c>
      <c r="BX23" s="66">
        <v>0</v>
      </c>
      <c r="BY23" s="66">
        <v>0</v>
      </c>
      <c r="BZ23" s="67" t="s">
        <v>1230</v>
      </c>
      <c r="CA23" s="67" t="s">
        <v>1230</v>
      </c>
      <c r="CB23" s="67">
        <v>0</v>
      </c>
      <c r="CC23" s="187">
        <v>0</v>
      </c>
      <c r="CD23" s="67">
        <v>0</v>
      </c>
      <c r="CE23" s="66">
        <v>0</v>
      </c>
      <c r="CF23" s="66">
        <v>0</v>
      </c>
      <c r="CG23" s="66">
        <v>0</v>
      </c>
      <c r="CH23" s="66">
        <v>0</v>
      </c>
      <c r="CI23" s="66">
        <v>0</v>
      </c>
      <c r="CJ23" s="66">
        <v>0</v>
      </c>
      <c r="CK23" s="66">
        <v>0</v>
      </c>
      <c r="CL23" s="66">
        <v>0</v>
      </c>
      <c r="CM23" s="66">
        <v>0</v>
      </c>
      <c r="CN23" s="66">
        <v>0</v>
      </c>
      <c r="CO23" s="66">
        <v>0</v>
      </c>
      <c r="CP23" s="67" t="s">
        <v>1230</v>
      </c>
      <c r="CQ23" s="67" t="s">
        <v>1230</v>
      </c>
      <c r="CR23" s="67">
        <v>0</v>
      </c>
      <c r="CS23" s="187">
        <v>0</v>
      </c>
      <c r="CT23" s="67">
        <v>0</v>
      </c>
      <c r="CU23" s="66">
        <v>0</v>
      </c>
      <c r="CV23" s="66">
        <v>0</v>
      </c>
      <c r="CW23" s="66">
        <v>0</v>
      </c>
      <c r="CX23" s="66">
        <v>0</v>
      </c>
      <c r="CY23" s="66">
        <v>0</v>
      </c>
      <c r="CZ23" s="66">
        <v>0</v>
      </c>
      <c r="DA23" s="66">
        <v>0</v>
      </c>
      <c r="DB23" s="66">
        <v>0</v>
      </c>
      <c r="DC23" s="66">
        <v>0</v>
      </c>
      <c r="DD23" s="66">
        <v>0</v>
      </c>
      <c r="DE23" s="66">
        <v>0</v>
      </c>
      <c r="DF23" s="67" t="s">
        <v>1230</v>
      </c>
      <c r="DG23" s="67" t="s">
        <v>1230</v>
      </c>
      <c r="DH23" s="67">
        <v>0</v>
      </c>
      <c r="DI23" s="187">
        <v>0</v>
      </c>
      <c r="DJ23" s="67">
        <v>0</v>
      </c>
      <c r="DK23" s="66">
        <v>3.1718000000000002</v>
      </c>
      <c r="DL23" s="66">
        <v>0</v>
      </c>
      <c r="DM23" s="66">
        <v>4.4052777800000005</v>
      </c>
      <c r="DN23" s="66">
        <v>3.1718000000000002</v>
      </c>
      <c r="DO23" s="66">
        <v>1.2334777800000001</v>
      </c>
      <c r="DP23" s="66">
        <v>3.1718000000000002</v>
      </c>
      <c r="DQ23" s="66">
        <v>0</v>
      </c>
      <c r="DR23" s="66">
        <v>4.4052777800000005</v>
      </c>
      <c r="DS23" s="66">
        <v>3.1718000000000002</v>
      </c>
      <c r="DT23" s="66">
        <v>0</v>
      </c>
      <c r="DU23" s="66">
        <v>1.2334777800000001</v>
      </c>
      <c r="DV23" s="67">
        <v>100</v>
      </c>
      <c r="DW23" s="67">
        <v>100</v>
      </c>
      <c r="DX23" s="67">
        <v>28.000000036320071</v>
      </c>
      <c r="DY23" s="187">
        <v>0</v>
      </c>
      <c r="DZ23" s="67">
        <v>0</v>
      </c>
      <c r="EA23" s="66">
        <v>0</v>
      </c>
      <c r="EB23" s="66">
        <v>0</v>
      </c>
      <c r="EC23" s="66">
        <v>0</v>
      </c>
      <c r="ED23" s="66">
        <v>0</v>
      </c>
      <c r="EE23" s="66">
        <v>0</v>
      </c>
      <c r="EF23" s="66">
        <v>0</v>
      </c>
      <c r="EG23" s="66">
        <v>0</v>
      </c>
      <c r="EH23" s="66">
        <v>0</v>
      </c>
      <c r="EI23" s="66">
        <v>0</v>
      </c>
      <c r="EJ23" s="66">
        <v>0</v>
      </c>
      <c r="EK23" s="66">
        <v>0</v>
      </c>
      <c r="EL23" s="67" t="s">
        <v>1230</v>
      </c>
      <c r="EM23" s="67" t="s">
        <v>1230</v>
      </c>
      <c r="EN23" s="67">
        <v>0</v>
      </c>
      <c r="EO23" s="187">
        <v>0</v>
      </c>
      <c r="EP23" s="67">
        <v>0</v>
      </c>
      <c r="EQ23" s="66">
        <v>1.466</v>
      </c>
      <c r="ER23" s="66">
        <v>0</v>
      </c>
      <c r="ES23" s="66">
        <v>2.0361111100000002</v>
      </c>
      <c r="ET23" s="66">
        <v>1.466</v>
      </c>
      <c r="EU23" s="66">
        <v>0.57011111000000003</v>
      </c>
      <c r="EV23" s="66">
        <v>1.466</v>
      </c>
      <c r="EW23" s="66">
        <v>0</v>
      </c>
      <c r="EX23" s="66">
        <v>2.0361111100000002</v>
      </c>
      <c r="EY23" s="66">
        <v>1.466</v>
      </c>
      <c r="EZ23" s="66">
        <v>0</v>
      </c>
      <c r="FA23" s="66">
        <v>0.57011111000000003</v>
      </c>
      <c r="FB23" s="67">
        <v>100</v>
      </c>
      <c r="FC23" s="67">
        <v>100</v>
      </c>
      <c r="FD23" s="67">
        <v>27.99999996070941</v>
      </c>
      <c r="FE23" s="187">
        <v>0</v>
      </c>
      <c r="FF23" s="67">
        <v>0</v>
      </c>
      <c r="FG23" s="66">
        <v>0</v>
      </c>
      <c r="FH23" s="66">
        <v>0</v>
      </c>
      <c r="FI23" s="66">
        <v>0</v>
      </c>
      <c r="FJ23" s="66">
        <v>0</v>
      </c>
      <c r="FK23" s="66">
        <v>0</v>
      </c>
      <c r="FL23" s="66">
        <v>0</v>
      </c>
      <c r="FM23" s="66">
        <v>0</v>
      </c>
      <c r="FN23" s="66">
        <v>0</v>
      </c>
      <c r="FO23" s="66">
        <v>0</v>
      </c>
      <c r="FP23" s="66">
        <v>0</v>
      </c>
      <c r="FQ23" s="66">
        <v>0</v>
      </c>
      <c r="FR23" s="67" t="s">
        <v>1230</v>
      </c>
      <c r="FS23" s="67" t="s">
        <v>1230</v>
      </c>
      <c r="FT23" s="67">
        <v>0</v>
      </c>
      <c r="FU23" s="187">
        <v>0</v>
      </c>
      <c r="FV23" s="67">
        <v>0</v>
      </c>
      <c r="FW23" s="66">
        <v>29.278500000000001</v>
      </c>
      <c r="FX23" s="66">
        <v>0</v>
      </c>
      <c r="FY23" s="66">
        <v>40.664583329999999</v>
      </c>
      <c r="FZ23" s="66">
        <v>29.278500000000001</v>
      </c>
      <c r="GA23" s="66">
        <v>11.38608333</v>
      </c>
      <c r="GB23" s="66">
        <v>29.278499989999997</v>
      </c>
      <c r="GC23" s="66">
        <v>2.86456</v>
      </c>
      <c r="GD23" s="66">
        <v>40.664583319999998</v>
      </c>
      <c r="GE23" s="66">
        <v>29.278499989999997</v>
      </c>
      <c r="GF23" s="66">
        <v>0</v>
      </c>
      <c r="GG23" s="66">
        <v>11.38608333</v>
      </c>
      <c r="GH23" s="67">
        <v>99.999999965845234</v>
      </c>
      <c r="GI23" s="67">
        <v>100</v>
      </c>
      <c r="GJ23" s="67">
        <v>28.000000000983661</v>
      </c>
      <c r="GK23" s="187">
        <v>2.86456</v>
      </c>
      <c r="GL23" s="67">
        <v>8.8817841970012523E-16</v>
      </c>
      <c r="GM23" s="66">
        <v>0</v>
      </c>
      <c r="GN23" s="66">
        <v>0</v>
      </c>
      <c r="GO23" s="66">
        <v>0</v>
      </c>
      <c r="GP23" s="66">
        <v>0</v>
      </c>
      <c r="GQ23" s="66">
        <v>0</v>
      </c>
      <c r="GR23" s="66">
        <v>0</v>
      </c>
      <c r="GS23" s="66">
        <v>0</v>
      </c>
      <c r="GT23" s="66">
        <v>0</v>
      </c>
      <c r="GU23" s="66">
        <v>0</v>
      </c>
      <c r="GV23" s="66">
        <v>0</v>
      </c>
      <c r="GW23" s="66">
        <v>0</v>
      </c>
      <c r="GX23" s="67" t="s">
        <v>1230</v>
      </c>
      <c r="GY23" s="67" t="s">
        <v>1230</v>
      </c>
      <c r="GZ23" s="67">
        <v>0</v>
      </c>
      <c r="HA23" s="187">
        <v>0</v>
      </c>
      <c r="HB23" s="67">
        <v>0</v>
      </c>
      <c r="HC23" s="66">
        <v>1.6888000000000001</v>
      </c>
      <c r="HD23" s="66">
        <v>0</v>
      </c>
      <c r="HE23" s="66">
        <v>2.3455555600000002</v>
      </c>
      <c r="HF23" s="66">
        <v>1.6888000000000001</v>
      </c>
      <c r="HG23" s="66">
        <v>0.65675556000000002</v>
      </c>
      <c r="HH23" s="66">
        <v>1.6888000000000001</v>
      </c>
      <c r="HI23" s="66">
        <v>0</v>
      </c>
      <c r="HJ23" s="66">
        <v>2.3455555600000002</v>
      </c>
      <c r="HK23" s="66">
        <v>1.6888000000000001</v>
      </c>
      <c r="HL23" s="66">
        <v>0</v>
      </c>
      <c r="HM23" s="66">
        <v>0.65675556000000002</v>
      </c>
      <c r="HN23" s="67">
        <v>100</v>
      </c>
      <c r="HO23" s="67">
        <v>100</v>
      </c>
      <c r="HP23" s="67">
        <v>28.000000136428234</v>
      </c>
      <c r="HQ23" s="187">
        <v>0</v>
      </c>
      <c r="HR23" s="67">
        <v>0</v>
      </c>
      <c r="HS23" s="66">
        <v>0</v>
      </c>
      <c r="HT23" s="66">
        <v>0</v>
      </c>
      <c r="HU23" s="66">
        <v>0</v>
      </c>
      <c r="HV23" s="66">
        <v>0</v>
      </c>
      <c r="HW23" s="66">
        <v>0</v>
      </c>
      <c r="HX23" s="66">
        <v>0</v>
      </c>
      <c r="HY23" s="66">
        <v>0</v>
      </c>
      <c r="HZ23" s="66">
        <v>0</v>
      </c>
      <c r="IA23" s="66">
        <v>0</v>
      </c>
      <c r="IB23" s="66">
        <v>0</v>
      </c>
      <c r="IC23" s="66">
        <v>0</v>
      </c>
      <c r="ID23" s="67" t="s">
        <v>1230</v>
      </c>
      <c r="IE23" s="67" t="s">
        <v>1230</v>
      </c>
      <c r="IF23" s="67">
        <v>0</v>
      </c>
      <c r="IG23" s="187">
        <v>0</v>
      </c>
      <c r="IH23" s="67">
        <v>0</v>
      </c>
      <c r="II23" s="66">
        <v>0</v>
      </c>
      <c r="IJ23" s="66">
        <v>0</v>
      </c>
      <c r="IK23" s="66">
        <v>0</v>
      </c>
      <c r="IL23" s="66">
        <v>0</v>
      </c>
      <c r="IM23" s="66">
        <v>0</v>
      </c>
      <c r="IN23" s="66">
        <v>0</v>
      </c>
      <c r="IO23" s="66">
        <v>0</v>
      </c>
      <c r="IP23" s="66">
        <v>0</v>
      </c>
      <c r="IQ23" s="66">
        <v>0</v>
      </c>
      <c r="IR23" s="66">
        <v>0</v>
      </c>
      <c r="IS23" s="66">
        <v>0</v>
      </c>
      <c r="IT23" s="67" t="s">
        <v>1230</v>
      </c>
      <c r="IU23" s="67" t="s">
        <v>1230</v>
      </c>
      <c r="IV23" s="67">
        <v>0</v>
      </c>
      <c r="IW23" s="187">
        <v>0</v>
      </c>
      <c r="IX23" s="67">
        <v>0</v>
      </c>
    </row>
    <row r="24" spans="1:258" ht="15.6" x14ac:dyDescent="0.3">
      <c r="A24" s="169" t="s">
        <v>36</v>
      </c>
      <c r="B24" s="205" t="s">
        <v>37</v>
      </c>
      <c r="C24" s="66">
        <v>40.823099999999997</v>
      </c>
      <c r="D24" s="66">
        <v>0</v>
      </c>
      <c r="E24" s="66">
        <v>75.598439999999997</v>
      </c>
      <c r="F24" s="66">
        <v>40.823099999999997</v>
      </c>
      <c r="G24" s="66">
        <v>34.77534</v>
      </c>
      <c r="H24" s="66">
        <v>38.793227020000003</v>
      </c>
      <c r="I24" s="66">
        <v>0.46551711000000001</v>
      </c>
      <c r="J24" s="66">
        <v>70.956908749999997</v>
      </c>
      <c r="K24" s="66">
        <v>38.316673730000005</v>
      </c>
      <c r="L24" s="66">
        <v>0</v>
      </c>
      <c r="M24" s="66">
        <v>32.640235019999999</v>
      </c>
      <c r="N24" s="67">
        <v>93.860274525942444</v>
      </c>
      <c r="O24" s="67">
        <v>93.860290136631292</v>
      </c>
      <c r="P24" s="67">
        <v>46.000080323397682</v>
      </c>
      <c r="Q24" s="66">
        <v>0.37538490999999996</v>
      </c>
      <c r="R24" s="67">
        <v>0.56668548999999868</v>
      </c>
      <c r="S24" s="66">
        <v>25.430399999999999</v>
      </c>
      <c r="T24" s="66">
        <v>0</v>
      </c>
      <c r="U24" s="66">
        <v>47.093339999999998</v>
      </c>
      <c r="V24" s="66">
        <v>25.430399999999999</v>
      </c>
      <c r="W24" s="66">
        <v>21.662939999999999</v>
      </c>
      <c r="X24" s="66">
        <v>24.440193969999999</v>
      </c>
      <c r="Y24" s="66">
        <v>0.35541839000000003</v>
      </c>
      <c r="Z24" s="66">
        <v>44.377118609999997</v>
      </c>
      <c r="AA24" s="66">
        <v>23.963640680000001</v>
      </c>
      <c r="AB24" s="66">
        <v>0</v>
      </c>
      <c r="AC24" s="66">
        <v>20.413477929999999</v>
      </c>
      <c r="AD24" s="67">
        <v>94.232260129608676</v>
      </c>
      <c r="AE24" s="67">
        <v>94.232259933323917</v>
      </c>
      <c r="AF24" s="67">
        <v>46.000007592651585</v>
      </c>
      <c r="AG24" s="187">
        <v>0.26528618999999998</v>
      </c>
      <c r="AH24" s="67">
        <v>0.56668548999999879</v>
      </c>
      <c r="AI24" s="66">
        <v>0</v>
      </c>
      <c r="AJ24" s="66">
        <v>0</v>
      </c>
      <c r="AK24" s="66">
        <v>0</v>
      </c>
      <c r="AL24" s="66">
        <v>0</v>
      </c>
      <c r="AM24" s="66">
        <v>0</v>
      </c>
      <c r="AN24" s="66">
        <v>0</v>
      </c>
      <c r="AO24" s="66">
        <v>0.11009872</v>
      </c>
      <c r="AP24" s="66">
        <v>0</v>
      </c>
      <c r="AQ24" s="66">
        <v>0</v>
      </c>
      <c r="AR24" s="66">
        <v>0</v>
      </c>
      <c r="AS24" s="66">
        <v>0</v>
      </c>
      <c r="AT24" s="67" t="s">
        <v>1230</v>
      </c>
      <c r="AU24" s="67" t="s">
        <v>1230</v>
      </c>
      <c r="AV24" s="67">
        <v>0</v>
      </c>
      <c r="AW24" s="187">
        <v>0.11009872</v>
      </c>
      <c r="AX24" s="67">
        <v>0</v>
      </c>
      <c r="AY24" s="66">
        <v>15.3927</v>
      </c>
      <c r="AZ24" s="66">
        <v>0</v>
      </c>
      <c r="BA24" s="66">
        <v>28.505099999999999</v>
      </c>
      <c r="BB24" s="66">
        <v>15.3927</v>
      </c>
      <c r="BC24" s="66">
        <v>13.112399999999999</v>
      </c>
      <c r="BD24" s="66">
        <v>14.353033050000001</v>
      </c>
      <c r="BE24" s="66">
        <v>0</v>
      </c>
      <c r="BF24" s="66">
        <v>26.57979014</v>
      </c>
      <c r="BG24" s="66">
        <v>14.353033050000001</v>
      </c>
      <c r="BH24" s="66">
        <v>0</v>
      </c>
      <c r="BI24" s="66">
        <v>12.22675709</v>
      </c>
      <c r="BJ24" s="67">
        <v>93.245714202186761</v>
      </c>
      <c r="BK24" s="67">
        <v>93.245760425246331</v>
      </c>
      <c r="BL24" s="67">
        <v>46.000201753285921</v>
      </c>
      <c r="BM24" s="187">
        <v>0</v>
      </c>
      <c r="BN24" s="67">
        <v>0</v>
      </c>
      <c r="BO24" s="66">
        <v>0</v>
      </c>
      <c r="BP24" s="66">
        <v>0</v>
      </c>
      <c r="BQ24" s="66">
        <v>0</v>
      </c>
      <c r="BR24" s="66">
        <v>0</v>
      </c>
      <c r="BS24" s="66">
        <v>0</v>
      </c>
      <c r="BT24" s="66">
        <v>0</v>
      </c>
      <c r="BU24" s="66">
        <v>0</v>
      </c>
      <c r="BV24" s="66">
        <v>0</v>
      </c>
      <c r="BW24" s="66">
        <v>0</v>
      </c>
      <c r="BX24" s="66">
        <v>0</v>
      </c>
      <c r="BY24" s="66">
        <v>0</v>
      </c>
      <c r="BZ24" s="67" t="s">
        <v>1230</v>
      </c>
      <c r="CA24" s="67" t="s">
        <v>1230</v>
      </c>
      <c r="CB24" s="67">
        <v>0</v>
      </c>
      <c r="CC24" s="187">
        <v>0</v>
      </c>
      <c r="CD24" s="67">
        <v>0</v>
      </c>
      <c r="CE24" s="66">
        <v>0</v>
      </c>
      <c r="CF24" s="66">
        <v>0</v>
      </c>
      <c r="CG24" s="66">
        <v>0</v>
      </c>
      <c r="CH24" s="66">
        <v>0</v>
      </c>
      <c r="CI24" s="66">
        <v>0</v>
      </c>
      <c r="CJ24" s="66">
        <v>0</v>
      </c>
      <c r="CK24" s="66">
        <v>0</v>
      </c>
      <c r="CL24" s="66">
        <v>0</v>
      </c>
      <c r="CM24" s="66">
        <v>0</v>
      </c>
      <c r="CN24" s="66">
        <v>0</v>
      </c>
      <c r="CO24" s="66">
        <v>0</v>
      </c>
      <c r="CP24" s="67" t="s">
        <v>1230</v>
      </c>
      <c r="CQ24" s="67" t="s">
        <v>1230</v>
      </c>
      <c r="CR24" s="67">
        <v>0</v>
      </c>
      <c r="CS24" s="187">
        <v>0</v>
      </c>
      <c r="CT24" s="67">
        <v>0</v>
      </c>
      <c r="CU24" s="66">
        <v>0</v>
      </c>
      <c r="CV24" s="66">
        <v>0</v>
      </c>
      <c r="CW24" s="66">
        <v>0</v>
      </c>
      <c r="CX24" s="66">
        <v>0</v>
      </c>
      <c r="CY24" s="66">
        <v>0</v>
      </c>
      <c r="CZ24" s="66">
        <v>0</v>
      </c>
      <c r="DA24" s="66">
        <v>0</v>
      </c>
      <c r="DB24" s="66">
        <v>0</v>
      </c>
      <c r="DC24" s="66">
        <v>0</v>
      </c>
      <c r="DD24" s="66">
        <v>0</v>
      </c>
      <c r="DE24" s="66">
        <v>0</v>
      </c>
      <c r="DF24" s="67" t="s">
        <v>1230</v>
      </c>
      <c r="DG24" s="67" t="s">
        <v>1230</v>
      </c>
      <c r="DH24" s="67">
        <v>0</v>
      </c>
      <c r="DI24" s="187">
        <v>0</v>
      </c>
      <c r="DJ24" s="67">
        <v>0</v>
      </c>
      <c r="DK24" s="66">
        <v>0</v>
      </c>
      <c r="DL24" s="66">
        <v>0</v>
      </c>
      <c r="DM24" s="66">
        <v>0</v>
      </c>
      <c r="DN24" s="66">
        <v>0</v>
      </c>
      <c r="DO24" s="66">
        <v>0</v>
      </c>
      <c r="DP24" s="66">
        <v>0</v>
      </c>
      <c r="DQ24" s="66">
        <v>0</v>
      </c>
      <c r="DR24" s="66">
        <v>0</v>
      </c>
      <c r="DS24" s="66">
        <v>0</v>
      </c>
      <c r="DT24" s="66">
        <v>0</v>
      </c>
      <c r="DU24" s="66">
        <v>0</v>
      </c>
      <c r="DV24" s="67" t="s">
        <v>1230</v>
      </c>
      <c r="DW24" s="67" t="s">
        <v>1230</v>
      </c>
      <c r="DX24" s="67">
        <v>0</v>
      </c>
      <c r="DY24" s="187">
        <v>0</v>
      </c>
      <c r="DZ24" s="67">
        <v>0</v>
      </c>
      <c r="EA24" s="66">
        <v>0</v>
      </c>
      <c r="EB24" s="66">
        <v>0</v>
      </c>
      <c r="EC24" s="66">
        <v>0</v>
      </c>
      <c r="ED24" s="66">
        <v>0</v>
      </c>
      <c r="EE24" s="66">
        <v>0</v>
      </c>
      <c r="EF24" s="66">
        <v>0</v>
      </c>
      <c r="EG24" s="66">
        <v>0</v>
      </c>
      <c r="EH24" s="66">
        <v>0</v>
      </c>
      <c r="EI24" s="66">
        <v>0</v>
      </c>
      <c r="EJ24" s="66">
        <v>0</v>
      </c>
      <c r="EK24" s="66">
        <v>0</v>
      </c>
      <c r="EL24" s="67" t="s">
        <v>1230</v>
      </c>
      <c r="EM24" s="67" t="s">
        <v>1230</v>
      </c>
      <c r="EN24" s="67">
        <v>0</v>
      </c>
      <c r="EO24" s="187">
        <v>0</v>
      </c>
      <c r="EP24" s="67">
        <v>0</v>
      </c>
      <c r="EQ24" s="66">
        <v>0</v>
      </c>
      <c r="ER24" s="66">
        <v>0</v>
      </c>
      <c r="ES24" s="66">
        <v>0</v>
      </c>
      <c r="ET24" s="66">
        <v>0</v>
      </c>
      <c r="EU24" s="66">
        <v>0</v>
      </c>
      <c r="EV24" s="66">
        <v>0</v>
      </c>
      <c r="EW24" s="66">
        <v>0</v>
      </c>
      <c r="EX24" s="66">
        <v>0</v>
      </c>
      <c r="EY24" s="66">
        <v>0</v>
      </c>
      <c r="EZ24" s="66">
        <v>0</v>
      </c>
      <c r="FA24" s="66">
        <v>0</v>
      </c>
      <c r="FB24" s="67" t="s">
        <v>1230</v>
      </c>
      <c r="FC24" s="67" t="s">
        <v>1230</v>
      </c>
      <c r="FD24" s="67">
        <v>0</v>
      </c>
      <c r="FE24" s="187">
        <v>0</v>
      </c>
      <c r="FF24" s="67">
        <v>0</v>
      </c>
      <c r="FG24" s="66">
        <v>0</v>
      </c>
      <c r="FH24" s="66">
        <v>0</v>
      </c>
      <c r="FI24" s="66">
        <v>0</v>
      </c>
      <c r="FJ24" s="66">
        <v>0</v>
      </c>
      <c r="FK24" s="66">
        <v>0</v>
      </c>
      <c r="FL24" s="66">
        <v>0</v>
      </c>
      <c r="FM24" s="66">
        <v>0</v>
      </c>
      <c r="FN24" s="66">
        <v>0</v>
      </c>
      <c r="FO24" s="66">
        <v>0</v>
      </c>
      <c r="FP24" s="66">
        <v>0</v>
      </c>
      <c r="FQ24" s="66">
        <v>0</v>
      </c>
      <c r="FR24" s="67" t="s">
        <v>1230</v>
      </c>
      <c r="FS24" s="67" t="s">
        <v>1230</v>
      </c>
      <c r="FT24" s="67">
        <v>0</v>
      </c>
      <c r="FU24" s="187">
        <v>0</v>
      </c>
      <c r="FV24" s="67">
        <v>0</v>
      </c>
      <c r="FW24" s="66">
        <v>0</v>
      </c>
      <c r="FX24" s="66">
        <v>0</v>
      </c>
      <c r="FY24" s="66">
        <v>0</v>
      </c>
      <c r="FZ24" s="66">
        <v>0</v>
      </c>
      <c r="GA24" s="66">
        <v>0</v>
      </c>
      <c r="GB24" s="66">
        <v>0</v>
      </c>
      <c r="GC24" s="66">
        <v>0</v>
      </c>
      <c r="GD24" s="66">
        <v>0</v>
      </c>
      <c r="GE24" s="66">
        <v>0</v>
      </c>
      <c r="GF24" s="66">
        <v>0</v>
      </c>
      <c r="GG24" s="66">
        <v>0</v>
      </c>
      <c r="GH24" s="67" t="s">
        <v>1230</v>
      </c>
      <c r="GI24" s="67" t="s">
        <v>1230</v>
      </c>
      <c r="GJ24" s="67">
        <v>0</v>
      </c>
      <c r="GK24" s="187">
        <v>0</v>
      </c>
      <c r="GL24" s="67">
        <v>0</v>
      </c>
      <c r="GM24" s="66">
        <v>0</v>
      </c>
      <c r="GN24" s="66">
        <v>0</v>
      </c>
      <c r="GO24" s="66">
        <v>0</v>
      </c>
      <c r="GP24" s="66">
        <v>0</v>
      </c>
      <c r="GQ24" s="66">
        <v>0</v>
      </c>
      <c r="GR24" s="66">
        <v>0</v>
      </c>
      <c r="GS24" s="66">
        <v>0</v>
      </c>
      <c r="GT24" s="66">
        <v>0</v>
      </c>
      <c r="GU24" s="66">
        <v>0</v>
      </c>
      <c r="GV24" s="66">
        <v>0</v>
      </c>
      <c r="GW24" s="66">
        <v>0</v>
      </c>
      <c r="GX24" s="67" t="s">
        <v>1230</v>
      </c>
      <c r="GY24" s="67" t="s">
        <v>1230</v>
      </c>
      <c r="GZ24" s="67">
        <v>0</v>
      </c>
      <c r="HA24" s="187">
        <v>0</v>
      </c>
      <c r="HB24" s="67">
        <v>0</v>
      </c>
      <c r="HC24" s="66">
        <v>0</v>
      </c>
      <c r="HD24" s="66">
        <v>0</v>
      </c>
      <c r="HE24" s="66">
        <v>0</v>
      </c>
      <c r="HF24" s="66">
        <v>0</v>
      </c>
      <c r="HG24" s="66">
        <v>0</v>
      </c>
      <c r="HH24" s="66">
        <v>0</v>
      </c>
      <c r="HI24" s="66">
        <v>0</v>
      </c>
      <c r="HJ24" s="66">
        <v>0</v>
      </c>
      <c r="HK24" s="66">
        <v>0</v>
      </c>
      <c r="HL24" s="66">
        <v>0</v>
      </c>
      <c r="HM24" s="66">
        <v>0</v>
      </c>
      <c r="HN24" s="67" t="s">
        <v>1230</v>
      </c>
      <c r="HO24" s="67" t="s">
        <v>1230</v>
      </c>
      <c r="HP24" s="67">
        <v>0</v>
      </c>
      <c r="HQ24" s="187">
        <v>0</v>
      </c>
      <c r="HR24" s="67">
        <v>0</v>
      </c>
      <c r="HS24" s="66">
        <v>0</v>
      </c>
      <c r="HT24" s="66">
        <v>0</v>
      </c>
      <c r="HU24" s="66">
        <v>0</v>
      </c>
      <c r="HV24" s="66">
        <v>0</v>
      </c>
      <c r="HW24" s="66">
        <v>0</v>
      </c>
      <c r="HX24" s="66">
        <v>0</v>
      </c>
      <c r="HY24" s="66">
        <v>0</v>
      </c>
      <c r="HZ24" s="66">
        <v>0</v>
      </c>
      <c r="IA24" s="66">
        <v>0</v>
      </c>
      <c r="IB24" s="66">
        <v>0</v>
      </c>
      <c r="IC24" s="66">
        <v>0</v>
      </c>
      <c r="ID24" s="67" t="s">
        <v>1230</v>
      </c>
      <c r="IE24" s="67" t="s">
        <v>1230</v>
      </c>
      <c r="IF24" s="67">
        <v>0</v>
      </c>
      <c r="IG24" s="187">
        <v>0</v>
      </c>
      <c r="IH24" s="67">
        <v>0</v>
      </c>
      <c r="II24" s="66">
        <v>0</v>
      </c>
      <c r="IJ24" s="66">
        <v>0</v>
      </c>
      <c r="IK24" s="66">
        <v>0</v>
      </c>
      <c r="IL24" s="66">
        <v>0</v>
      </c>
      <c r="IM24" s="66">
        <v>0</v>
      </c>
      <c r="IN24" s="66">
        <v>0</v>
      </c>
      <c r="IO24" s="66">
        <v>0</v>
      </c>
      <c r="IP24" s="66">
        <v>0</v>
      </c>
      <c r="IQ24" s="66">
        <v>0</v>
      </c>
      <c r="IR24" s="66">
        <v>0</v>
      </c>
      <c r="IS24" s="66">
        <v>0</v>
      </c>
      <c r="IT24" s="67" t="s">
        <v>1230</v>
      </c>
      <c r="IU24" s="67" t="s">
        <v>1230</v>
      </c>
      <c r="IV24" s="67">
        <v>0</v>
      </c>
      <c r="IW24" s="187">
        <v>0</v>
      </c>
      <c r="IX24" s="67">
        <v>0</v>
      </c>
    </row>
    <row r="25" spans="1:258" ht="15.6" x14ac:dyDescent="0.3">
      <c r="A25" s="169" t="s">
        <v>39</v>
      </c>
      <c r="B25" s="205" t="s">
        <v>297</v>
      </c>
      <c r="C25" s="66">
        <v>0</v>
      </c>
      <c r="D25" s="66">
        <v>0</v>
      </c>
      <c r="E25" s="66">
        <v>0</v>
      </c>
      <c r="F25" s="66">
        <v>0</v>
      </c>
      <c r="G25" s="66">
        <v>0</v>
      </c>
      <c r="H25" s="66">
        <v>0</v>
      </c>
      <c r="I25" s="66">
        <v>0</v>
      </c>
      <c r="J25" s="66">
        <v>0</v>
      </c>
      <c r="K25" s="66">
        <v>0</v>
      </c>
      <c r="L25" s="66">
        <v>0</v>
      </c>
      <c r="M25" s="66">
        <v>0</v>
      </c>
      <c r="N25" s="67" t="s">
        <v>1230</v>
      </c>
      <c r="O25" s="67" t="s">
        <v>1230</v>
      </c>
      <c r="P25" s="67">
        <v>0</v>
      </c>
      <c r="Q25" s="66">
        <v>0</v>
      </c>
      <c r="R25" s="67">
        <v>0</v>
      </c>
      <c r="S25" s="66">
        <v>0</v>
      </c>
      <c r="T25" s="66">
        <v>0</v>
      </c>
      <c r="U25" s="66">
        <v>0</v>
      </c>
      <c r="V25" s="66">
        <v>0</v>
      </c>
      <c r="W25" s="66">
        <v>0</v>
      </c>
      <c r="X25" s="66">
        <v>0</v>
      </c>
      <c r="Y25" s="66">
        <v>0</v>
      </c>
      <c r="Z25" s="66">
        <v>0</v>
      </c>
      <c r="AA25" s="66">
        <v>0</v>
      </c>
      <c r="AB25" s="66">
        <v>0</v>
      </c>
      <c r="AC25" s="66">
        <v>0</v>
      </c>
      <c r="AD25" s="67" t="s">
        <v>1230</v>
      </c>
      <c r="AE25" s="67" t="s">
        <v>1230</v>
      </c>
      <c r="AF25" s="67">
        <v>0</v>
      </c>
      <c r="AG25" s="187">
        <v>0</v>
      </c>
      <c r="AH25" s="67">
        <v>0</v>
      </c>
      <c r="AI25" s="66">
        <v>0</v>
      </c>
      <c r="AJ25" s="66">
        <v>0</v>
      </c>
      <c r="AK25" s="66">
        <v>0</v>
      </c>
      <c r="AL25" s="66">
        <v>0</v>
      </c>
      <c r="AM25" s="66">
        <v>0</v>
      </c>
      <c r="AN25" s="66">
        <v>0</v>
      </c>
      <c r="AO25" s="66">
        <v>0</v>
      </c>
      <c r="AP25" s="66">
        <v>0</v>
      </c>
      <c r="AQ25" s="66">
        <v>0</v>
      </c>
      <c r="AR25" s="66">
        <v>0</v>
      </c>
      <c r="AS25" s="66">
        <v>0</v>
      </c>
      <c r="AT25" s="67" t="s">
        <v>1230</v>
      </c>
      <c r="AU25" s="67" t="s">
        <v>1230</v>
      </c>
      <c r="AV25" s="67">
        <v>0</v>
      </c>
      <c r="AW25" s="187">
        <v>0</v>
      </c>
      <c r="AX25" s="67">
        <v>0</v>
      </c>
      <c r="AY25" s="66">
        <v>0</v>
      </c>
      <c r="AZ25" s="66">
        <v>0</v>
      </c>
      <c r="BA25" s="66">
        <v>0</v>
      </c>
      <c r="BB25" s="66">
        <v>0</v>
      </c>
      <c r="BC25" s="66">
        <v>0</v>
      </c>
      <c r="BD25" s="66">
        <v>0</v>
      </c>
      <c r="BE25" s="66">
        <v>0</v>
      </c>
      <c r="BF25" s="66">
        <v>0</v>
      </c>
      <c r="BG25" s="66">
        <v>0</v>
      </c>
      <c r="BH25" s="66">
        <v>0</v>
      </c>
      <c r="BI25" s="66">
        <v>0</v>
      </c>
      <c r="BJ25" s="67" t="s">
        <v>1230</v>
      </c>
      <c r="BK25" s="67" t="s">
        <v>1230</v>
      </c>
      <c r="BL25" s="67">
        <v>0</v>
      </c>
      <c r="BM25" s="187">
        <v>0</v>
      </c>
      <c r="BN25" s="67">
        <v>0</v>
      </c>
      <c r="BO25" s="66">
        <v>0</v>
      </c>
      <c r="BP25" s="66">
        <v>0</v>
      </c>
      <c r="BQ25" s="66">
        <v>0</v>
      </c>
      <c r="BR25" s="66">
        <v>0</v>
      </c>
      <c r="BS25" s="66">
        <v>0</v>
      </c>
      <c r="BT25" s="66">
        <v>0</v>
      </c>
      <c r="BU25" s="66">
        <v>0</v>
      </c>
      <c r="BV25" s="66">
        <v>0</v>
      </c>
      <c r="BW25" s="66">
        <v>0</v>
      </c>
      <c r="BX25" s="66">
        <v>0</v>
      </c>
      <c r="BY25" s="66">
        <v>0</v>
      </c>
      <c r="BZ25" s="67" t="s">
        <v>1230</v>
      </c>
      <c r="CA25" s="67" t="s">
        <v>1230</v>
      </c>
      <c r="CB25" s="67">
        <v>0</v>
      </c>
      <c r="CC25" s="187">
        <v>0</v>
      </c>
      <c r="CD25" s="67">
        <v>0</v>
      </c>
      <c r="CE25" s="66">
        <v>0</v>
      </c>
      <c r="CF25" s="66">
        <v>0</v>
      </c>
      <c r="CG25" s="66">
        <v>0</v>
      </c>
      <c r="CH25" s="66">
        <v>0</v>
      </c>
      <c r="CI25" s="66">
        <v>0</v>
      </c>
      <c r="CJ25" s="66">
        <v>0</v>
      </c>
      <c r="CK25" s="66">
        <v>0</v>
      </c>
      <c r="CL25" s="66">
        <v>0</v>
      </c>
      <c r="CM25" s="66">
        <v>0</v>
      </c>
      <c r="CN25" s="66">
        <v>0</v>
      </c>
      <c r="CO25" s="66">
        <v>0</v>
      </c>
      <c r="CP25" s="67" t="s">
        <v>1230</v>
      </c>
      <c r="CQ25" s="67" t="s">
        <v>1230</v>
      </c>
      <c r="CR25" s="67">
        <v>0</v>
      </c>
      <c r="CS25" s="187">
        <v>0</v>
      </c>
      <c r="CT25" s="67">
        <v>0</v>
      </c>
      <c r="CU25" s="66">
        <v>0</v>
      </c>
      <c r="CV25" s="66">
        <v>0</v>
      </c>
      <c r="CW25" s="66">
        <v>0</v>
      </c>
      <c r="CX25" s="66">
        <v>0</v>
      </c>
      <c r="CY25" s="66">
        <v>0</v>
      </c>
      <c r="CZ25" s="66">
        <v>0</v>
      </c>
      <c r="DA25" s="66">
        <v>0</v>
      </c>
      <c r="DB25" s="66">
        <v>0</v>
      </c>
      <c r="DC25" s="66">
        <v>0</v>
      </c>
      <c r="DD25" s="66">
        <v>0</v>
      </c>
      <c r="DE25" s="66">
        <v>0</v>
      </c>
      <c r="DF25" s="67" t="s">
        <v>1230</v>
      </c>
      <c r="DG25" s="67" t="s">
        <v>1230</v>
      </c>
      <c r="DH25" s="67">
        <v>0</v>
      </c>
      <c r="DI25" s="187">
        <v>0</v>
      </c>
      <c r="DJ25" s="67">
        <v>0</v>
      </c>
      <c r="DK25" s="66">
        <v>0</v>
      </c>
      <c r="DL25" s="66">
        <v>0</v>
      </c>
      <c r="DM25" s="66">
        <v>0</v>
      </c>
      <c r="DN25" s="66">
        <v>0</v>
      </c>
      <c r="DO25" s="66">
        <v>0</v>
      </c>
      <c r="DP25" s="66">
        <v>0</v>
      </c>
      <c r="DQ25" s="66">
        <v>0</v>
      </c>
      <c r="DR25" s="66">
        <v>0</v>
      </c>
      <c r="DS25" s="66">
        <v>0</v>
      </c>
      <c r="DT25" s="66">
        <v>0</v>
      </c>
      <c r="DU25" s="66">
        <v>0</v>
      </c>
      <c r="DV25" s="67" t="s">
        <v>1230</v>
      </c>
      <c r="DW25" s="67" t="s">
        <v>1230</v>
      </c>
      <c r="DX25" s="67">
        <v>0</v>
      </c>
      <c r="DY25" s="187">
        <v>0</v>
      </c>
      <c r="DZ25" s="67">
        <v>0</v>
      </c>
      <c r="EA25" s="66">
        <v>0</v>
      </c>
      <c r="EB25" s="66">
        <v>0</v>
      </c>
      <c r="EC25" s="66">
        <v>0</v>
      </c>
      <c r="ED25" s="66">
        <v>0</v>
      </c>
      <c r="EE25" s="66">
        <v>0</v>
      </c>
      <c r="EF25" s="66">
        <v>0</v>
      </c>
      <c r="EG25" s="66">
        <v>0</v>
      </c>
      <c r="EH25" s="66">
        <v>0</v>
      </c>
      <c r="EI25" s="66">
        <v>0</v>
      </c>
      <c r="EJ25" s="66">
        <v>0</v>
      </c>
      <c r="EK25" s="66">
        <v>0</v>
      </c>
      <c r="EL25" s="67" t="s">
        <v>1230</v>
      </c>
      <c r="EM25" s="67" t="s">
        <v>1230</v>
      </c>
      <c r="EN25" s="67">
        <v>0</v>
      </c>
      <c r="EO25" s="187">
        <v>0</v>
      </c>
      <c r="EP25" s="67">
        <v>0</v>
      </c>
      <c r="EQ25" s="66">
        <v>0</v>
      </c>
      <c r="ER25" s="66">
        <v>0</v>
      </c>
      <c r="ES25" s="66">
        <v>0</v>
      </c>
      <c r="ET25" s="66">
        <v>0</v>
      </c>
      <c r="EU25" s="66">
        <v>0</v>
      </c>
      <c r="EV25" s="66">
        <v>0</v>
      </c>
      <c r="EW25" s="66">
        <v>0</v>
      </c>
      <c r="EX25" s="66">
        <v>0</v>
      </c>
      <c r="EY25" s="66">
        <v>0</v>
      </c>
      <c r="EZ25" s="66">
        <v>0</v>
      </c>
      <c r="FA25" s="66">
        <v>0</v>
      </c>
      <c r="FB25" s="67" t="s">
        <v>1230</v>
      </c>
      <c r="FC25" s="67" t="s">
        <v>1230</v>
      </c>
      <c r="FD25" s="67">
        <v>0</v>
      </c>
      <c r="FE25" s="187">
        <v>0</v>
      </c>
      <c r="FF25" s="67">
        <v>0</v>
      </c>
      <c r="FG25" s="66">
        <v>0</v>
      </c>
      <c r="FH25" s="66">
        <v>0</v>
      </c>
      <c r="FI25" s="66">
        <v>0</v>
      </c>
      <c r="FJ25" s="66">
        <v>0</v>
      </c>
      <c r="FK25" s="66">
        <v>0</v>
      </c>
      <c r="FL25" s="66">
        <v>0</v>
      </c>
      <c r="FM25" s="66">
        <v>0</v>
      </c>
      <c r="FN25" s="66">
        <v>0</v>
      </c>
      <c r="FO25" s="66">
        <v>0</v>
      </c>
      <c r="FP25" s="66">
        <v>0</v>
      </c>
      <c r="FQ25" s="66">
        <v>0</v>
      </c>
      <c r="FR25" s="67" t="s">
        <v>1230</v>
      </c>
      <c r="FS25" s="67" t="s">
        <v>1230</v>
      </c>
      <c r="FT25" s="67">
        <v>0</v>
      </c>
      <c r="FU25" s="187">
        <v>0</v>
      </c>
      <c r="FV25" s="67">
        <v>0</v>
      </c>
      <c r="FW25" s="66">
        <v>0</v>
      </c>
      <c r="FX25" s="66">
        <v>0</v>
      </c>
      <c r="FY25" s="66">
        <v>0</v>
      </c>
      <c r="FZ25" s="66">
        <v>0</v>
      </c>
      <c r="GA25" s="66">
        <v>0</v>
      </c>
      <c r="GB25" s="66">
        <v>0</v>
      </c>
      <c r="GC25" s="66">
        <v>0</v>
      </c>
      <c r="GD25" s="66">
        <v>0</v>
      </c>
      <c r="GE25" s="66">
        <v>0</v>
      </c>
      <c r="GF25" s="66">
        <v>0</v>
      </c>
      <c r="GG25" s="66">
        <v>0</v>
      </c>
      <c r="GH25" s="67" t="s">
        <v>1230</v>
      </c>
      <c r="GI25" s="67" t="s">
        <v>1230</v>
      </c>
      <c r="GJ25" s="67">
        <v>0</v>
      </c>
      <c r="GK25" s="187">
        <v>0</v>
      </c>
      <c r="GL25" s="67">
        <v>0</v>
      </c>
      <c r="GM25" s="66">
        <v>0</v>
      </c>
      <c r="GN25" s="66">
        <v>0</v>
      </c>
      <c r="GO25" s="66">
        <v>0</v>
      </c>
      <c r="GP25" s="66">
        <v>0</v>
      </c>
      <c r="GQ25" s="66">
        <v>0</v>
      </c>
      <c r="GR25" s="66">
        <v>0</v>
      </c>
      <c r="GS25" s="66">
        <v>0</v>
      </c>
      <c r="GT25" s="66">
        <v>0</v>
      </c>
      <c r="GU25" s="66">
        <v>0</v>
      </c>
      <c r="GV25" s="66">
        <v>0</v>
      </c>
      <c r="GW25" s="66">
        <v>0</v>
      </c>
      <c r="GX25" s="67" t="s">
        <v>1230</v>
      </c>
      <c r="GY25" s="67" t="s">
        <v>1230</v>
      </c>
      <c r="GZ25" s="67">
        <v>0</v>
      </c>
      <c r="HA25" s="187">
        <v>0</v>
      </c>
      <c r="HB25" s="67">
        <v>0</v>
      </c>
      <c r="HC25" s="66">
        <v>0</v>
      </c>
      <c r="HD25" s="66">
        <v>0</v>
      </c>
      <c r="HE25" s="66">
        <v>0</v>
      </c>
      <c r="HF25" s="66">
        <v>0</v>
      </c>
      <c r="HG25" s="66">
        <v>0</v>
      </c>
      <c r="HH25" s="66">
        <v>0</v>
      </c>
      <c r="HI25" s="66">
        <v>0</v>
      </c>
      <c r="HJ25" s="66">
        <v>0</v>
      </c>
      <c r="HK25" s="66">
        <v>0</v>
      </c>
      <c r="HL25" s="66">
        <v>0</v>
      </c>
      <c r="HM25" s="66">
        <v>0</v>
      </c>
      <c r="HN25" s="67" t="s">
        <v>1230</v>
      </c>
      <c r="HO25" s="67" t="s">
        <v>1230</v>
      </c>
      <c r="HP25" s="67">
        <v>0</v>
      </c>
      <c r="HQ25" s="187">
        <v>0</v>
      </c>
      <c r="HR25" s="67">
        <v>0</v>
      </c>
      <c r="HS25" s="66">
        <v>0</v>
      </c>
      <c r="HT25" s="66">
        <v>0</v>
      </c>
      <c r="HU25" s="66">
        <v>0</v>
      </c>
      <c r="HV25" s="66">
        <v>0</v>
      </c>
      <c r="HW25" s="66">
        <v>0</v>
      </c>
      <c r="HX25" s="66">
        <v>0</v>
      </c>
      <c r="HY25" s="66">
        <v>0</v>
      </c>
      <c r="HZ25" s="66">
        <v>0</v>
      </c>
      <c r="IA25" s="66">
        <v>0</v>
      </c>
      <c r="IB25" s="66">
        <v>0</v>
      </c>
      <c r="IC25" s="66">
        <v>0</v>
      </c>
      <c r="ID25" s="67" t="s">
        <v>1230</v>
      </c>
      <c r="IE25" s="67" t="s">
        <v>1230</v>
      </c>
      <c r="IF25" s="67">
        <v>0</v>
      </c>
      <c r="IG25" s="187">
        <v>0</v>
      </c>
      <c r="IH25" s="67">
        <v>0</v>
      </c>
      <c r="II25" s="66">
        <v>0</v>
      </c>
      <c r="IJ25" s="66">
        <v>0</v>
      </c>
      <c r="IK25" s="66">
        <v>0</v>
      </c>
      <c r="IL25" s="66">
        <v>0</v>
      </c>
      <c r="IM25" s="66">
        <v>0</v>
      </c>
      <c r="IN25" s="66">
        <v>0</v>
      </c>
      <c r="IO25" s="66">
        <v>0</v>
      </c>
      <c r="IP25" s="66">
        <v>0</v>
      </c>
      <c r="IQ25" s="66">
        <v>0</v>
      </c>
      <c r="IR25" s="66">
        <v>0</v>
      </c>
      <c r="IS25" s="66">
        <v>0</v>
      </c>
      <c r="IT25" s="67" t="s">
        <v>1230</v>
      </c>
      <c r="IU25" s="67" t="s">
        <v>1230</v>
      </c>
      <c r="IV25" s="67">
        <v>0</v>
      </c>
      <c r="IW25" s="187">
        <v>0</v>
      </c>
      <c r="IX25" s="67">
        <v>0</v>
      </c>
    </row>
    <row r="26" spans="1:258" ht="15.6" x14ac:dyDescent="0.3">
      <c r="A26" s="169" t="s">
        <v>41</v>
      </c>
      <c r="B26" s="205" t="s">
        <v>42</v>
      </c>
      <c r="C26" s="66">
        <v>36.421900000000001</v>
      </c>
      <c r="D26" s="66">
        <v>0</v>
      </c>
      <c r="E26" s="66">
        <v>36.075578950000001</v>
      </c>
      <c r="F26" s="66">
        <v>34.271799999999999</v>
      </c>
      <c r="G26" s="66">
        <v>1.8037789499999999</v>
      </c>
      <c r="H26" s="66">
        <v>33.30551578</v>
      </c>
      <c r="I26" s="66">
        <v>0</v>
      </c>
      <c r="J26" s="66">
        <v>35.058437660000003</v>
      </c>
      <c r="K26" s="66">
        <v>33.30551578</v>
      </c>
      <c r="L26" s="66">
        <v>0</v>
      </c>
      <c r="M26" s="66">
        <v>1.7529218799999999</v>
      </c>
      <c r="N26" s="67">
        <v>97.180526788788455</v>
      </c>
      <c r="O26" s="67">
        <v>97.180526471938265</v>
      </c>
      <c r="P26" s="67">
        <v>4.9999999914428583</v>
      </c>
      <c r="Q26" s="66">
        <v>0</v>
      </c>
      <c r="R26" s="67">
        <v>0</v>
      </c>
      <c r="S26" s="66">
        <v>15.5282</v>
      </c>
      <c r="T26" s="66">
        <v>0</v>
      </c>
      <c r="U26" s="66">
        <v>16.345473680000001</v>
      </c>
      <c r="V26" s="66">
        <v>15.5282</v>
      </c>
      <c r="W26" s="66">
        <v>0.81727368</v>
      </c>
      <c r="X26" s="66">
        <v>15.47881868</v>
      </c>
      <c r="Y26" s="66">
        <v>0</v>
      </c>
      <c r="Z26" s="66">
        <v>16.293493340000001</v>
      </c>
      <c r="AA26" s="66">
        <v>15.47881868</v>
      </c>
      <c r="AB26" s="66">
        <v>0</v>
      </c>
      <c r="AC26" s="66">
        <v>0.81467465999999999</v>
      </c>
      <c r="AD26" s="67">
        <v>99.681989412810239</v>
      </c>
      <c r="AE26" s="67">
        <v>99.68198902477809</v>
      </c>
      <c r="AF26" s="67">
        <v>4.9999999570380647</v>
      </c>
      <c r="AG26" s="187">
        <v>0</v>
      </c>
      <c r="AH26" s="67">
        <v>0</v>
      </c>
      <c r="AI26" s="66">
        <v>0</v>
      </c>
      <c r="AJ26" s="66">
        <v>0</v>
      </c>
      <c r="AK26" s="66">
        <v>0</v>
      </c>
      <c r="AL26" s="66">
        <v>0</v>
      </c>
      <c r="AM26" s="66">
        <v>0</v>
      </c>
      <c r="AN26" s="66">
        <v>0</v>
      </c>
      <c r="AO26" s="66">
        <v>0</v>
      </c>
      <c r="AP26" s="66">
        <v>0</v>
      </c>
      <c r="AQ26" s="66">
        <v>0</v>
      </c>
      <c r="AR26" s="66">
        <v>0</v>
      </c>
      <c r="AS26" s="66">
        <v>0</v>
      </c>
      <c r="AT26" s="67" t="s">
        <v>1230</v>
      </c>
      <c r="AU26" s="67" t="s">
        <v>1230</v>
      </c>
      <c r="AV26" s="67">
        <v>0</v>
      </c>
      <c r="AW26" s="187">
        <v>0</v>
      </c>
      <c r="AX26" s="67">
        <v>0</v>
      </c>
      <c r="AY26" s="66">
        <v>16.2271</v>
      </c>
      <c r="AZ26" s="66">
        <v>0</v>
      </c>
      <c r="BA26" s="66">
        <v>17.081157899999997</v>
      </c>
      <c r="BB26" s="66">
        <v>16.2271</v>
      </c>
      <c r="BC26" s="66">
        <v>0.85405790000000004</v>
      </c>
      <c r="BD26" s="66">
        <v>15.3101971</v>
      </c>
      <c r="BE26" s="66">
        <v>0</v>
      </c>
      <c r="BF26" s="66">
        <v>16.11599695</v>
      </c>
      <c r="BG26" s="66">
        <v>15.3101971</v>
      </c>
      <c r="BH26" s="66">
        <v>0</v>
      </c>
      <c r="BI26" s="66">
        <v>0.80579984999999998</v>
      </c>
      <c r="BJ26" s="67">
        <v>94.349557838430769</v>
      </c>
      <c r="BK26" s="67">
        <v>94.349557565125266</v>
      </c>
      <c r="BL26" s="67">
        <v>5.000000015512537</v>
      </c>
      <c r="BM26" s="187">
        <v>0</v>
      </c>
      <c r="BN26" s="67">
        <v>0</v>
      </c>
      <c r="BO26" s="66">
        <v>0</v>
      </c>
      <c r="BP26" s="66">
        <v>0</v>
      </c>
      <c r="BQ26" s="66">
        <v>0</v>
      </c>
      <c r="BR26" s="66">
        <v>0</v>
      </c>
      <c r="BS26" s="66">
        <v>0</v>
      </c>
      <c r="BT26" s="66">
        <v>0</v>
      </c>
      <c r="BU26" s="66">
        <v>0</v>
      </c>
      <c r="BV26" s="66">
        <v>0</v>
      </c>
      <c r="BW26" s="66">
        <v>0</v>
      </c>
      <c r="BX26" s="66">
        <v>0</v>
      </c>
      <c r="BY26" s="66">
        <v>0</v>
      </c>
      <c r="BZ26" s="67" t="s">
        <v>1230</v>
      </c>
      <c r="CA26" s="67" t="s">
        <v>1230</v>
      </c>
      <c r="CB26" s="67">
        <v>0</v>
      </c>
      <c r="CC26" s="187">
        <v>0</v>
      </c>
      <c r="CD26" s="67">
        <v>0</v>
      </c>
      <c r="CE26" s="66">
        <v>0</v>
      </c>
      <c r="CF26" s="66">
        <v>0</v>
      </c>
      <c r="CG26" s="66">
        <v>0</v>
      </c>
      <c r="CH26" s="66">
        <v>0</v>
      </c>
      <c r="CI26" s="66">
        <v>0</v>
      </c>
      <c r="CJ26" s="66">
        <v>0</v>
      </c>
      <c r="CK26" s="66">
        <v>0</v>
      </c>
      <c r="CL26" s="66">
        <v>0</v>
      </c>
      <c r="CM26" s="66">
        <v>0</v>
      </c>
      <c r="CN26" s="66">
        <v>0</v>
      </c>
      <c r="CO26" s="66">
        <v>0</v>
      </c>
      <c r="CP26" s="67" t="s">
        <v>1230</v>
      </c>
      <c r="CQ26" s="67" t="s">
        <v>1230</v>
      </c>
      <c r="CR26" s="67">
        <v>0</v>
      </c>
      <c r="CS26" s="187">
        <v>0</v>
      </c>
      <c r="CT26" s="67">
        <v>0</v>
      </c>
      <c r="CU26" s="66">
        <v>0</v>
      </c>
      <c r="CV26" s="66">
        <v>0</v>
      </c>
      <c r="CW26" s="66">
        <v>0</v>
      </c>
      <c r="CX26" s="66">
        <v>0</v>
      </c>
      <c r="CY26" s="66">
        <v>0</v>
      </c>
      <c r="CZ26" s="66">
        <v>0</v>
      </c>
      <c r="DA26" s="66">
        <v>0</v>
      </c>
      <c r="DB26" s="66">
        <v>0</v>
      </c>
      <c r="DC26" s="66">
        <v>0</v>
      </c>
      <c r="DD26" s="66">
        <v>0</v>
      </c>
      <c r="DE26" s="66">
        <v>0</v>
      </c>
      <c r="DF26" s="67" t="s">
        <v>1230</v>
      </c>
      <c r="DG26" s="67" t="s">
        <v>1230</v>
      </c>
      <c r="DH26" s="67">
        <v>0</v>
      </c>
      <c r="DI26" s="187">
        <v>0</v>
      </c>
      <c r="DJ26" s="67">
        <v>0</v>
      </c>
      <c r="DK26" s="66">
        <v>2.1501000000000001</v>
      </c>
      <c r="DL26" s="66">
        <v>0</v>
      </c>
      <c r="DM26" s="66">
        <v>0</v>
      </c>
      <c r="DN26" s="66">
        <v>0</v>
      </c>
      <c r="DO26" s="66">
        <v>0</v>
      </c>
      <c r="DP26" s="66">
        <v>0</v>
      </c>
      <c r="DQ26" s="66">
        <v>0</v>
      </c>
      <c r="DR26" s="66">
        <v>0</v>
      </c>
      <c r="DS26" s="66">
        <v>0</v>
      </c>
      <c r="DT26" s="66">
        <v>0</v>
      </c>
      <c r="DU26" s="66">
        <v>0</v>
      </c>
      <c r="DV26" s="67" t="s">
        <v>1230</v>
      </c>
      <c r="DW26" s="67" t="s">
        <v>1230</v>
      </c>
      <c r="DX26" s="67">
        <v>0</v>
      </c>
      <c r="DY26" s="187">
        <v>0</v>
      </c>
      <c r="DZ26" s="67">
        <v>0</v>
      </c>
      <c r="EA26" s="66">
        <v>0</v>
      </c>
      <c r="EB26" s="66">
        <v>0</v>
      </c>
      <c r="EC26" s="66">
        <v>0</v>
      </c>
      <c r="ED26" s="66">
        <v>0</v>
      </c>
      <c r="EE26" s="66">
        <v>0</v>
      </c>
      <c r="EF26" s="66">
        <v>0</v>
      </c>
      <c r="EG26" s="66">
        <v>0</v>
      </c>
      <c r="EH26" s="66">
        <v>0</v>
      </c>
      <c r="EI26" s="66">
        <v>0</v>
      </c>
      <c r="EJ26" s="66">
        <v>0</v>
      </c>
      <c r="EK26" s="66">
        <v>0</v>
      </c>
      <c r="EL26" s="67" t="s">
        <v>1230</v>
      </c>
      <c r="EM26" s="67" t="s">
        <v>1230</v>
      </c>
      <c r="EN26" s="67">
        <v>0</v>
      </c>
      <c r="EO26" s="187">
        <v>0</v>
      </c>
      <c r="EP26" s="67">
        <v>0</v>
      </c>
      <c r="EQ26" s="66">
        <v>1.8994</v>
      </c>
      <c r="ER26" s="66">
        <v>0</v>
      </c>
      <c r="ES26" s="66">
        <v>1.9993684199999999</v>
      </c>
      <c r="ET26" s="66">
        <v>1.8994</v>
      </c>
      <c r="EU26" s="66">
        <v>9.9968420000000002E-2</v>
      </c>
      <c r="EV26" s="66">
        <v>1.8994</v>
      </c>
      <c r="EW26" s="66">
        <v>0</v>
      </c>
      <c r="EX26" s="66">
        <v>1.9993684199999999</v>
      </c>
      <c r="EY26" s="66">
        <v>1.8994</v>
      </c>
      <c r="EZ26" s="66">
        <v>0</v>
      </c>
      <c r="FA26" s="66">
        <v>9.9968420000000002E-2</v>
      </c>
      <c r="FB26" s="67">
        <v>100</v>
      </c>
      <c r="FC26" s="67">
        <v>100</v>
      </c>
      <c r="FD26" s="67">
        <v>4.9999999499842058</v>
      </c>
      <c r="FE26" s="187">
        <v>0</v>
      </c>
      <c r="FF26" s="67">
        <v>0</v>
      </c>
      <c r="FG26" s="66">
        <v>0</v>
      </c>
      <c r="FH26" s="66">
        <v>0</v>
      </c>
      <c r="FI26" s="66">
        <v>0</v>
      </c>
      <c r="FJ26" s="66">
        <v>0</v>
      </c>
      <c r="FK26" s="66">
        <v>0</v>
      </c>
      <c r="FL26" s="66">
        <v>0</v>
      </c>
      <c r="FM26" s="66">
        <v>0</v>
      </c>
      <c r="FN26" s="66">
        <v>0</v>
      </c>
      <c r="FO26" s="66">
        <v>0</v>
      </c>
      <c r="FP26" s="66">
        <v>0</v>
      </c>
      <c r="FQ26" s="66">
        <v>0</v>
      </c>
      <c r="FR26" s="67" t="s">
        <v>1230</v>
      </c>
      <c r="FS26" s="67" t="s">
        <v>1230</v>
      </c>
      <c r="FT26" s="67">
        <v>0</v>
      </c>
      <c r="FU26" s="187">
        <v>0</v>
      </c>
      <c r="FV26" s="67">
        <v>0</v>
      </c>
      <c r="FW26" s="66">
        <v>0</v>
      </c>
      <c r="FX26" s="66">
        <v>0</v>
      </c>
      <c r="FY26" s="66">
        <v>0</v>
      </c>
      <c r="FZ26" s="66">
        <v>0</v>
      </c>
      <c r="GA26" s="66">
        <v>0</v>
      </c>
      <c r="GB26" s="66">
        <v>0</v>
      </c>
      <c r="GC26" s="66">
        <v>0</v>
      </c>
      <c r="GD26" s="66">
        <v>0</v>
      </c>
      <c r="GE26" s="66">
        <v>0</v>
      </c>
      <c r="GF26" s="66">
        <v>0</v>
      </c>
      <c r="GG26" s="66">
        <v>0</v>
      </c>
      <c r="GH26" s="67" t="s">
        <v>1230</v>
      </c>
      <c r="GI26" s="67" t="s">
        <v>1230</v>
      </c>
      <c r="GJ26" s="67">
        <v>0</v>
      </c>
      <c r="GK26" s="187">
        <v>0</v>
      </c>
      <c r="GL26" s="67">
        <v>0</v>
      </c>
      <c r="GM26" s="66">
        <v>0</v>
      </c>
      <c r="GN26" s="66">
        <v>0</v>
      </c>
      <c r="GO26" s="66">
        <v>0</v>
      </c>
      <c r="GP26" s="66">
        <v>0</v>
      </c>
      <c r="GQ26" s="66">
        <v>0</v>
      </c>
      <c r="GR26" s="66">
        <v>0</v>
      </c>
      <c r="GS26" s="66">
        <v>0</v>
      </c>
      <c r="GT26" s="66">
        <v>0</v>
      </c>
      <c r="GU26" s="66">
        <v>0</v>
      </c>
      <c r="GV26" s="66">
        <v>0</v>
      </c>
      <c r="GW26" s="66">
        <v>0</v>
      </c>
      <c r="GX26" s="67" t="s">
        <v>1230</v>
      </c>
      <c r="GY26" s="67" t="s">
        <v>1230</v>
      </c>
      <c r="GZ26" s="67">
        <v>0</v>
      </c>
      <c r="HA26" s="187">
        <v>0</v>
      </c>
      <c r="HB26" s="67">
        <v>0</v>
      </c>
      <c r="HC26" s="66">
        <v>0.61709999999999998</v>
      </c>
      <c r="HD26" s="66">
        <v>0</v>
      </c>
      <c r="HE26" s="66">
        <v>0.64957894999999999</v>
      </c>
      <c r="HF26" s="66">
        <v>0.61709999999999998</v>
      </c>
      <c r="HG26" s="66">
        <v>3.2478949999999999E-2</v>
      </c>
      <c r="HH26" s="66">
        <v>0.61709999999999998</v>
      </c>
      <c r="HI26" s="66">
        <v>0</v>
      </c>
      <c r="HJ26" s="66">
        <v>0.64957894999999999</v>
      </c>
      <c r="HK26" s="66">
        <v>0.61709999999999998</v>
      </c>
      <c r="HL26" s="66">
        <v>0</v>
      </c>
      <c r="HM26" s="66">
        <v>3.2478949999999999E-2</v>
      </c>
      <c r="HN26" s="67">
        <v>100</v>
      </c>
      <c r="HO26" s="67">
        <v>100</v>
      </c>
      <c r="HP26" s="67">
        <v>5.0000003848646886</v>
      </c>
      <c r="HQ26" s="187">
        <v>0</v>
      </c>
      <c r="HR26" s="67">
        <v>0</v>
      </c>
      <c r="HS26" s="66">
        <v>0</v>
      </c>
      <c r="HT26" s="66">
        <v>0</v>
      </c>
      <c r="HU26" s="66">
        <v>0</v>
      </c>
      <c r="HV26" s="66">
        <v>0</v>
      </c>
      <c r="HW26" s="66">
        <v>0</v>
      </c>
      <c r="HX26" s="66">
        <v>0</v>
      </c>
      <c r="HY26" s="66">
        <v>0</v>
      </c>
      <c r="HZ26" s="66">
        <v>0</v>
      </c>
      <c r="IA26" s="66">
        <v>0</v>
      </c>
      <c r="IB26" s="66">
        <v>0</v>
      </c>
      <c r="IC26" s="66">
        <v>0</v>
      </c>
      <c r="ID26" s="67" t="s">
        <v>1230</v>
      </c>
      <c r="IE26" s="67" t="s">
        <v>1230</v>
      </c>
      <c r="IF26" s="67">
        <v>0</v>
      </c>
      <c r="IG26" s="187">
        <v>0</v>
      </c>
      <c r="IH26" s="67">
        <v>0</v>
      </c>
      <c r="II26" s="66">
        <v>0</v>
      </c>
      <c r="IJ26" s="66">
        <v>0</v>
      </c>
      <c r="IK26" s="66">
        <v>0</v>
      </c>
      <c r="IL26" s="66">
        <v>0</v>
      </c>
      <c r="IM26" s="66">
        <v>0</v>
      </c>
      <c r="IN26" s="66">
        <v>0</v>
      </c>
      <c r="IO26" s="66">
        <v>0</v>
      </c>
      <c r="IP26" s="66">
        <v>0</v>
      </c>
      <c r="IQ26" s="66">
        <v>0</v>
      </c>
      <c r="IR26" s="66">
        <v>0</v>
      </c>
      <c r="IS26" s="66">
        <v>0</v>
      </c>
      <c r="IT26" s="67" t="s">
        <v>1230</v>
      </c>
      <c r="IU26" s="67" t="s">
        <v>1230</v>
      </c>
      <c r="IV26" s="67">
        <v>0</v>
      </c>
      <c r="IW26" s="187">
        <v>0</v>
      </c>
      <c r="IX26" s="67">
        <v>0</v>
      </c>
    </row>
    <row r="27" spans="1:258" ht="15.6" x14ac:dyDescent="0.3">
      <c r="A27" s="169" t="s">
        <v>44</v>
      </c>
      <c r="B27" s="205" t="s">
        <v>45</v>
      </c>
      <c r="C27" s="66">
        <v>99.716999999999999</v>
      </c>
      <c r="D27" s="66">
        <v>0</v>
      </c>
      <c r="E27" s="66">
        <v>247.8895406</v>
      </c>
      <c r="F27" s="66">
        <v>99.716999999999999</v>
      </c>
      <c r="G27" s="66">
        <v>148.17254060000002</v>
      </c>
      <c r="H27" s="66">
        <v>97.697930069999998</v>
      </c>
      <c r="I27" s="66">
        <v>7.074024000000001E-2</v>
      </c>
      <c r="J27" s="66">
        <v>243.05757380999998</v>
      </c>
      <c r="K27" s="66">
        <v>97.697930069999998</v>
      </c>
      <c r="L27" s="66">
        <v>0</v>
      </c>
      <c r="M27" s="66">
        <v>145.35964373999997</v>
      </c>
      <c r="N27" s="67">
        <v>97.97519988567646</v>
      </c>
      <c r="O27" s="67">
        <v>98.101607188072975</v>
      </c>
      <c r="P27" s="67">
        <v>59.804613969210749</v>
      </c>
      <c r="Q27" s="66">
        <v>7.074024000000001E-2</v>
      </c>
      <c r="R27" s="67">
        <v>6.3282712403633923E-15</v>
      </c>
      <c r="S27" s="66">
        <v>24.685199999999998</v>
      </c>
      <c r="T27" s="66">
        <v>0</v>
      </c>
      <c r="U27" s="66">
        <v>69.500410599999995</v>
      </c>
      <c r="V27" s="66">
        <v>24.685199999999998</v>
      </c>
      <c r="W27" s="66">
        <v>44.8152106</v>
      </c>
      <c r="X27" s="66">
        <v>24.685199999999998</v>
      </c>
      <c r="Y27" s="66">
        <v>7.074024000000001E-2</v>
      </c>
      <c r="Z27" s="66">
        <v>69.500410599999995</v>
      </c>
      <c r="AA27" s="66">
        <v>24.685199999999998</v>
      </c>
      <c r="AB27" s="66">
        <v>0</v>
      </c>
      <c r="AC27" s="66">
        <v>44.8152106</v>
      </c>
      <c r="AD27" s="67">
        <v>100</v>
      </c>
      <c r="AE27" s="67">
        <v>100</v>
      </c>
      <c r="AF27" s="67">
        <v>64.481936456358142</v>
      </c>
      <c r="AG27" s="187">
        <v>7.074024000000001E-2</v>
      </c>
      <c r="AH27" s="67">
        <v>-7.7715611723760958E-16</v>
      </c>
      <c r="AI27" s="66">
        <v>0</v>
      </c>
      <c r="AJ27" s="66">
        <v>0</v>
      </c>
      <c r="AK27" s="66">
        <v>0</v>
      </c>
      <c r="AL27" s="66">
        <v>0</v>
      </c>
      <c r="AM27" s="66">
        <v>0</v>
      </c>
      <c r="AN27" s="66">
        <v>0</v>
      </c>
      <c r="AO27" s="66">
        <v>0</v>
      </c>
      <c r="AP27" s="66">
        <v>0</v>
      </c>
      <c r="AQ27" s="66">
        <v>0</v>
      </c>
      <c r="AR27" s="66">
        <v>0</v>
      </c>
      <c r="AS27" s="66">
        <v>0</v>
      </c>
      <c r="AT27" s="67" t="s">
        <v>1230</v>
      </c>
      <c r="AU27" s="67" t="s">
        <v>1230</v>
      </c>
      <c r="AV27" s="67">
        <v>0</v>
      </c>
      <c r="AW27" s="187">
        <v>0</v>
      </c>
      <c r="AX27" s="67">
        <v>0</v>
      </c>
      <c r="AY27" s="66">
        <v>27.3141</v>
      </c>
      <c r="AZ27" s="66">
        <v>0</v>
      </c>
      <c r="BA27" s="66">
        <v>71.722099999999998</v>
      </c>
      <c r="BB27" s="66">
        <v>27.3141</v>
      </c>
      <c r="BC27" s="66">
        <v>44.408000000000001</v>
      </c>
      <c r="BD27" s="66">
        <v>26.958817270000001</v>
      </c>
      <c r="BE27" s="66">
        <v>0</v>
      </c>
      <c r="BF27" s="66">
        <v>70.787760540000008</v>
      </c>
      <c r="BG27" s="66">
        <v>26.958817270000001</v>
      </c>
      <c r="BH27" s="66">
        <v>0</v>
      </c>
      <c r="BI27" s="66">
        <v>43.828943270000003</v>
      </c>
      <c r="BJ27" s="67">
        <v>98.699269864282556</v>
      </c>
      <c r="BK27" s="67">
        <v>98.696053121059265</v>
      </c>
      <c r="BL27" s="67">
        <v>61.915990752714379</v>
      </c>
      <c r="BM27" s="187">
        <v>0</v>
      </c>
      <c r="BN27" s="67">
        <v>0</v>
      </c>
      <c r="BO27" s="66">
        <v>0</v>
      </c>
      <c r="BP27" s="66">
        <v>0</v>
      </c>
      <c r="BQ27" s="66">
        <v>0</v>
      </c>
      <c r="BR27" s="66">
        <v>0</v>
      </c>
      <c r="BS27" s="66">
        <v>0</v>
      </c>
      <c r="BT27" s="66">
        <v>0</v>
      </c>
      <c r="BU27" s="66">
        <v>0</v>
      </c>
      <c r="BV27" s="66">
        <v>0</v>
      </c>
      <c r="BW27" s="66">
        <v>0</v>
      </c>
      <c r="BX27" s="66">
        <v>0</v>
      </c>
      <c r="BY27" s="66">
        <v>0</v>
      </c>
      <c r="BZ27" s="67" t="s">
        <v>1230</v>
      </c>
      <c r="CA27" s="67" t="s">
        <v>1230</v>
      </c>
      <c r="CB27" s="67">
        <v>0</v>
      </c>
      <c r="CC27" s="187">
        <v>0</v>
      </c>
      <c r="CD27" s="67">
        <v>0</v>
      </c>
      <c r="CE27" s="66">
        <v>0</v>
      </c>
      <c r="CF27" s="66">
        <v>0</v>
      </c>
      <c r="CG27" s="66">
        <v>0</v>
      </c>
      <c r="CH27" s="66">
        <v>0</v>
      </c>
      <c r="CI27" s="66">
        <v>0</v>
      </c>
      <c r="CJ27" s="66">
        <v>0</v>
      </c>
      <c r="CK27" s="66">
        <v>0</v>
      </c>
      <c r="CL27" s="66">
        <v>0</v>
      </c>
      <c r="CM27" s="66">
        <v>0</v>
      </c>
      <c r="CN27" s="66">
        <v>0</v>
      </c>
      <c r="CO27" s="66">
        <v>0</v>
      </c>
      <c r="CP27" s="67" t="s">
        <v>1230</v>
      </c>
      <c r="CQ27" s="67" t="s">
        <v>1230</v>
      </c>
      <c r="CR27" s="67">
        <v>0</v>
      </c>
      <c r="CS27" s="187">
        <v>0</v>
      </c>
      <c r="CT27" s="67">
        <v>0</v>
      </c>
      <c r="CU27" s="66">
        <v>0</v>
      </c>
      <c r="CV27" s="66">
        <v>0</v>
      </c>
      <c r="CW27" s="66">
        <v>0</v>
      </c>
      <c r="CX27" s="66">
        <v>0</v>
      </c>
      <c r="CY27" s="66">
        <v>0</v>
      </c>
      <c r="CZ27" s="66">
        <v>0</v>
      </c>
      <c r="DA27" s="66">
        <v>0</v>
      </c>
      <c r="DB27" s="66">
        <v>0</v>
      </c>
      <c r="DC27" s="66">
        <v>0</v>
      </c>
      <c r="DD27" s="66">
        <v>0</v>
      </c>
      <c r="DE27" s="66">
        <v>0</v>
      </c>
      <c r="DF27" s="67" t="s">
        <v>1230</v>
      </c>
      <c r="DG27" s="67" t="s">
        <v>1230</v>
      </c>
      <c r="DH27" s="67">
        <v>0</v>
      </c>
      <c r="DI27" s="187">
        <v>0</v>
      </c>
      <c r="DJ27" s="67">
        <v>0</v>
      </c>
      <c r="DK27" s="66">
        <v>2.294</v>
      </c>
      <c r="DL27" s="66">
        <v>0</v>
      </c>
      <c r="DM27" s="66">
        <v>7.4333299999999998</v>
      </c>
      <c r="DN27" s="66">
        <v>2.294</v>
      </c>
      <c r="DO27" s="66">
        <v>5.1393300000000002</v>
      </c>
      <c r="DP27" s="66">
        <v>2.1329600099999997</v>
      </c>
      <c r="DQ27" s="66">
        <v>0</v>
      </c>
      <c r="DR27" s="66">
        <v>6.9115064200000003</v>
      </c>
      <c r="DS27" s="66">
        <v>2.1329600099999997</v>
      </c>
      <c r="DT27" s="66">
        <v>0</v>
      </c>
      <c r="DU27" s="66">
        <v>4.7785464100000006</v>
      </c>
      <c r="DV27" s="67">
        <v>92.979948125544894</v>
      </c>
      <c r="DW27" s="67">
        <v>92.979948942761027</v>
      </c>
      <c r="DX27" s="67">
        <v>69.138999801435475</v>
      </c>
      <c r="DY27" s="187">
        <v>0</v>
      </c>
      <c r="DZ27" s="67">
        <v>0</v>
      </c>
      <c r="EA27" s="66">
        <v>0</v>
      </c>
      <c r="EB27" s="66">
        <v>0</v>
      </c>
      <c r="EC27" s="66">
        <v>0</v>
      </c>
      <c r="ED27" s="66">
        <v>0</v>
      </c>
      <c r="EE27" s="66">
        <v>0</v>
      </c>
      <c r="EF27" s="66">
        <v>0</v>
      </c>
      <c r="EG27" s="66">
        <v>0</v>
      </c>
      <c r="EH27" s="66">
        <v>0</v>
      </c>
      <c r="EI27" s="66">
        <v>0</v>
      </c>
      <c r="EJ27" s="66">
        <v>0</v>
      </c>
      <c r="EK27" s="66">
        <v>0</v>
      </c>
      <c r="EL27" s="67" t="s">
        <v>1230</v>
      </c>
      <c r="EM27" s="67" t="s">
        <v>1230</v>
      </c>
      <c r="EN27" s="67">
        <v>0</v>
      </c>
      <c r="EO27" s="187">
        <v>0</v>
      </c>
      <c r="EP27" s="67">
        <v>0</v>
      </c>
      <c r="EQ27" s="66">
        <v>2.1480000000000001</v>
      </c>
      <c r="ER27" s="66">
        <v>0</v>
      </c>
      <c r="ES27" s="66">
        <v>3.6579999999999999</v>
      </c>
      <c r="ET27" s="66">
        <v>2.1480000000000001</v>
      </c>
      <c r="EU27" s="66">
        <v>1.51</v>
      </c>
      <c r="EV27" s="66">
        <v>2.1480000000000001</v>
      </c>
      <c r="EW27" s="66">
        <v>0</v>
      </c>
      <c r="EX27" s="66">
        <v>3.6579999999999999</v>
      </c>
      <c r="EY27" s="66">
        <v>2.1480000000000001</v>
      </c>
      <c r="EZ27" s="66">
        <v>0</v>
      </c>
      <c r="FA27" s="66">
        <v>1.51</v>
      </c>
      <c r="FB27" s="67">
        <v>100</v>
      </c>
      <c r="FC27" s="67">
        <v>100</v>
      </c>
      <c r="FD27" s="67">
        <v>41.279387643521048</v>
      </c>
      <c r="FE27" s="187">
        <v>0</v>
      </c>
      <c r="FF27" s="67">
        <v>0</v>
      </c>
      <c r="FG27" s="66">
        <v>0</v>
      </c>
      <c r="FH27" s="66">
        <v>0</v>
      </c>
      <c r="FI27" s="66">
        <v>0</v>
      </c>
      <c r="FJ27" s="66">
        <v>0</v>
      </c>
      <c r="FK27" s="66">
        <v>0</v>
      </c>
      <c r="FL27" s="66">
        <v>0</v>
      </c>
      <c r="FM27" s="66">
        <v>0</v>
      </c>
      <c r="FN27" s="66">
        <v>0</v>
      </c>
      <c r="FO27" s="66">
        <v>0</v>
      </c>
      <c r="FP27" s="66">
        <v>0</v>
      </c>
      <c r="FQ27" s="66">
        <v>0</v>
      </c>
      <c r="FR27" s="67" t="s">
        <v>1230</v>
      </c>
      <c r="FS27" s="67" t="s">
        <v>1230</v>
      </c>
      <c r="FT27" s="67">
        <v>0</v>
      </c>
      <c r="FU27" s="187">
        <v>0</v>
      </c>
      <c r="FV27" s="67">
        <v>0</v>
      </c>
      <c r="FW27" s="66">
        <v>42.572000000000003</v>
      </c>
      <c r="FX27" s="66">
        <v>0</v>
      </c>
      <c r="FY27" s="66">
        <v>92.572000000000003</v>
      </c>
      <c r="FZ27" s="66">
        <v>42.572000000000003</v>
      </c>
      <c r="GA27" s="66">
        <v>50</v>
      </c>
      <c r="GB27" s="66">
        <v>41.12088164</v>
      </c>
      <c r="GC27" s="66">
        <v>0</v>
      </c>
      <c r="GD27" s="66">
        <v>89.416570829999998</v>
      </c>
      <c r="GE27" s="66">
        <v>41.12088164</v>
      </c>
      <c r="GF27" s="66">
        <v>0</v>
      </c>
      <c r="GG27" s="66">
        <v>48.295689189999997</v>
      </c>
      <c r="GH27" s="67">
        <v>96.591378464718588</v>
      </c>
      <c r="GI27" s="67">
        <v>96.591378379999995</v>
      </c>
      <c r="GJ27" s="67">
        <v>54.0120122497433</v>
      </c>
      <c r="GK27" s="187">
        <v>0</v>
      </c>
      <c r="GL27" s="67">
        <v>0</v>
      </c>
      <c r="GM27" s="66">
        <v>0</v>
      </c>
      <c r="GN27" s="66">
        <v>0</v>
      </c>
      <c r="GO27" s="66">
        <v>0</v>
      </c>
      <c r="GP27" s="66">
        <v>0</v>
      </c>
      <c r="GQ27" s="66">
        <v>0</v>
      </c>
      <c r="GR27" s="66">
        <v>0</v>
      </c>
      <c r="GS27" s="66">
        <v>0</v>
      </c>
      <c r="GT27" s="66">
        <v>0</v>
      </c>
      <c r="GU27" s="66">
        <v>0</v>
      </c>
      <c r="GV27" s="66">
        <v>0</v>
      </c>
      <c r="GW27" s="66">
        <v>0</v>
      </c>
      <c r="GX27" s="67" t="s">
        <v>1230</v>
      </c>
      <c r="GY27" s="67" t="s">
        <v>1230</v>
      </c>
      <c r="GZ27" s="67">
        <v>0</v>
      </c>
      <c r="HA27" s="187">
        <v>0</v>
      </c>
      <c r="HB27" s="67">
        <v>0</v>
      </c>
      <c r="HC27" s="66">
        <v>0.70369999999999999</v>
      </c>
      <c r="HD27" s="66">
        <v>0</v>
      </c>
      <c r="HE27" s="66">
        <v>3.0036999999999998</v>
      </c>
      <c r="HF27" s="66">
        <v>0.70369999999999999</v>
      </c>
      <c r="HG27" s="66">
        <v>2.2999999999999998</v>
      </c>
      <c r="HH27" s="66">
        <v>0.65207115000000004</v>
      </c>
      <c r="HI27" s="66">
        <v>0</v>
      </c>
      <c r="HJ27" s="66">
        <v>2.7833254199999997</v>
      </c>
      <c r="HK27" s="66">
        <v>0.65207115000000004</v>
      </c>
      <c r="HL27" s="66">
        <v>0</v>
      </c>
      <c r="HM27" s="66">
        <v>2.1312542699999999</v>
      </c>
      <c r="HN27" s="67">
        <v>92.66323006963195</v>
      </c>
      <c r="HO27" s="67">
        <v>92.663229130434786</v>
      </c>
      <c r="HP27" s="67">
        <v>76.572227404153125</v>
      </c>
      <c r="HQ27" s="187">
        <v>0</v>
      </c>
      <c r="HR27" s="67">
        <v>0</v>
      </c>
      <c r="HS27" s="66">
        <v>0</v>
      </c>
      <c r="HT27" s="66">
        <v>0</v>
      </c>
      <c r="HU27" s="66">
        <v>0</v>
      </c>
      <c r="HV27" s="66">
        <v>0</v>
      </c>
      <c r="HW27" s="66">
        <v>0</v>
      </c>
      <c r="HX27" s="66">
        <v>0</v>
      </c>
      <c r="HY27" s="66">
        <v>0</v>
      </c>
      <c r="HZ27" s="66">
        <v>0</v>
      </c>
      <c r="IA27" s="66">
        <v>0</v>
      </c>
      <c r="IB27" s="66">
        <v>0</v>
      </c>
      <c r="IC27" s="66">
        <v>0</v>
      </c>
      <c r="ID27" s="67" t="s">
        <v>1230</v>
      </c>
      <c r="IE27" s="67" t="s">
        <v>1230</v>
      </c>
      <c r="IF27" s="67">
        <v>0</v>
      </c>
      <c r="IG27" s="187">
        <v>0</v>
      </c>
      <c r="IH27" s="67">
        <v>0</v>
      </c>
      <c r="II27" s="66">
        <v>0</v>
      </c>
      <c r="IJ27" s="66">
        <v>0</v>
      </c>
      <c r="IK27" s="66">
        <v>0</v>
      </c>
      <c r="IL27" s="66">
        <v>0</v>
      </c>
      <c r="IM27" s="66">
        <v>0</v>
      </c>
      <c r="IN27" s="66">
        <v>0</v>
      </c>
      <c r="IO27" s="66">
        <v>0</v>
      </c>
      <c r="IP27" s="66">
        <v>0</v>
      </c>
      <c r="IQ27" s="66">
        <v>0</v>
      </c>
      <c r="IR27" s="66">
        <v>0</v>
      </c>
      <c r="IS27" s="66">
        <v>0</v>
      </c>
      <c r="IT27" s="67" t="s">
        <v>1230</v>
      </c>
      <c r="IU27" s="67" t="s">
        <v>1230</v>
      </c>
      <c r="IV27" s="67">
        <v>0</v>
      </c>
      <c r="IW27" s="187">
        <v>0</v>
      </c>
      <c r="IX27" s="67">
        <v>0</v>
      </c>
    </row>
    <row r="28" spans="1:258" ht="15.6" x14ac:dyDescent="0.3">
      <c r="A28" s="169" t="s">
        <v>47</v>
      </c>
      <c r="B28" s="205" t="s">
        <v>48</v>
      </c>
      <c r="C28" s="66">
        <v>98.184599999999989</v>
      </c>
      <c r="D28" s="66">
        <v>0</v>
      </c>
      <c r="E28" s="66">
        <v>112.85597943999998</v>
      </c>
      <c r="F28" s="66">
        <v>98.184599999999989</v>
      </c>
      <c r="G28" s="66">
        <v>14.671379439999999</v>
      </c>
      <c r="H28" s="66">
        <v>97.915543849999992</v>
      </c>
      <c r="I28" s="66">
        <v>0.1606216</v>
      </c>
      <c r="J28" s="66">
        <v>112.54671943000001</v>
      </c>
      <c r="K28" s="66">
        <v>97.915543849999992</v>
      </c>
      <c r="L28" s="66">
        <v>0</v>
      </c>
      <c r="M28" s="66">
        <v>14.631175579999999</v>
      </c>
      <c r="N28" s="67">
        <v>99.725969092912734</v>
      </c>
      <c r="O28" s="67">
        <v>99.725970825276406</v>
      </c>
      <c r="P28" s="67">
        <v>13.000090677098822</v>
      </c>
      <c r="Q28" s="66">
        <v>0.1606216</v>
      </c>
      <c r="R28" s="67">
        <v>-1.0824674490095276E-15</v>
      </c>
      <c r="S28" s="66">
        <v>32.226199999999999</v>
      </c>
      <c r="T28" s="66">
        <v>0</v>
      </c>
      <c r="U28" s="66">
        <v>37.041609200000003</v>
      </c>
      <c r="V28" s="66">
        <v>32.226199999999999</v>
      </c>
      <c r="W28" s="66">
        <v>4.8154092000000004</v>
      </c>
      <c r="X28" s="66">
        <v>32.200318129999999</v>
      </c>
      <c r="Y28" s="66">
        <v>0.15858859</v>
      </c>
      <c r="Z28" s="66">
        <v>37.011859899999997</v>
      </c>
      <c r="AA28" s="66">
        <v>32.200318129999999</v>
      </c>
      <c r="AB28" s="66">
        <v>0</v>
      </c>
      <c r="AC28" s="66">
        <v>4.8115417699999998</v>
      </c>
      <c r="AD28" s="67">
        <v>99.919686869689883</v>
      </c>
      <c r="AE28" s="67">
        <v>99.91968636850217</v>
      </c>
      <c r="AF28" s="67">
        <v>12.999999954068779</v>
      </c>
      <c r="AG28" s="187">
        <v>0.15858859</v>
      </c>
      <c r="AH28" s="67">
        <v>8.0491169285323849E-16</v>
      </c>
      <c r="AI28" s="66">
        <v>0</v>
      </c>
      <c r="AJ28" s="66">
        <v>0</v>
      </c>
      <c r="AK28" s="66">
        <v>0</v>
      </c>
      <c r="AL28" s="66">
        <v>0</v>
      </c>
      <c r="AM28" s="66">
        <v>0</v>
      </c>
      <c r="AN28" s="66">
        <v>0</v>
      </c>
      <c r="AO28" s="66">
        <v>0</v>
      </c>
      <c r="AP28" s="66">
        <v>0</v>
      </c>
      <c r="AQ28" s="66">
        <v>0</v>
      </c>
      <c r="AR28" s="66">
        <v>0</v>
      </c>
      <c r="AS28" s="66">
        <v>0</v>
      </c>
      <c r="AT28" s="67" t="s">
        <v>1230</v>
      </c>
      <c r="AU28" s="67" t="s">
        <v>1230</v>
      </c>
      <c r="AV28" s="67">
        <v>0</v>
      </c>
      <c r="AW28" s="187">
        <v>0</v>
      </c>
      <c r="AX28" s="67">
        <v>0</v>
      </c>
      <c r="AY28" s="66">
        <v>51.9253</v>
      </c>
      <c r="AZ28" s="66">
        <v>0</v>
      </c>
      <c r="BA28" s="66">
        <v>59.684252999999998</v>
      </c>
      <c r="BB28" s="66">
        <v>51.9253</v>
      </c>
      <c r="BC28" s="66">
        <v>7.758953</v>
      </c>
      <c r="BD28" s="66">
        <v>51.803506820000003</v>
      </c>
      <c r="BE28" s="66">
        <v>0</v>
      </c>
      <c r="BF28" s="66">
        <v>59.544260840000007</v>
      </c>
      <c r="BG28" s="66">
        <v>51.803506820000003</v>
      </c>
      <c r="BH28" s="66">
        <v>0</v>
      </c>
      <c r="BI28" s="66">
        <v>7.7407540199999998</v>
      </c>
      <c r="BJ28" s="67">
        <v>99.765445399448822</v>
      </c>
      <c r="BK28" s="67">
        <v>99.765445415122372</v>
      </c>
      <c r="BL28" s="67">
        <v>13.000000186080065</v>
      </c>
      <c r="BM28" s="187">
        <v>0</v>
      </c>
      <c r="BN28" s="67">
        <v>0</v>
      </c>
      <c r="BO28" s="66">
        <v>0</v>
      </c>
      <c r="BP28" s="66">
        <v>0</v>
      </c>
      <c r="BQ28" s="66">
        <v>0</v>
      </c>
      <c r="BR28" s="66">
        <v>0</v>
      </c>
      <c r="BS28" s="66">
        <v>0</v>
      </c>
      <c r="BT28" s="66">
        <v>0</v>
      </c>
      <c r="BU28" s="66">
        <v>2.03301E-3</v>
      </c>
      <c r="BV28" s="66">
        <v>0</v>
      </c>
      <c r="BW28" s="66">
        <v>0</v>
      </c>
      <c r="BX28" s="66">
        <v>0</v>
      </c>
      <c r="BY28" s="66">
        <v>0</v>
      </c>
      <c r="BZ28" s="67" t="s">
        <v>1230</v>
      </c>
      <c r="CA28" s="67" t="s">
        <v>1230</v>
      </c>
      <c r="CB28" s="67">
        <v>0</v>
      </c>
      <c r="CC28" s="187">
        <v>2.03301E-3</v>
      </c>
      <c r="CD28" s="67">
        <v>0</v>
      </c>
      <c r="CE28" s="66">
        <v>0</v>
      </c>
      <c r="CF28" s="66">
        <v>0</v>
      </c>
      <c r="CG28" s="66">
        <v>0</v>
      </c>
      <c r="CH28" s="66">
        <v>0</v>
      </c>
      <c r="CI28" s="66">
        <v>0</v>
      </c>
      <c r="CJ28" s="66">
        <v>0</v>
      </c>
      <c r="CK28" s="66">
        <v>0</v>
      </c>
      <c r="CL28" s="66">
        <v>0</v>
      </c>
      <c r="CM28" s="66">
        <v>0</v>
      </c>
      <c r="CN28" s="66">
        <v>0</v>
      </c>
      <c r="CO28" s="66">
        <v>0</v>
      </c>
      <c r="CP28" s="67" t="s">
        <v>1230</v>
      </c>
      <c r="CQ28" s="67" t="s">
        <v>1230</v>
      </c>
      <c r="CR28" s="67">
        <v>0</v>
      </c>
      <c r="CS28" s="187">
        <v>0</v>
      </c>
      <c r="CT28" s="67">
        <v>0</v>
      </c>
      <c r="CU28" s="66">
        <v>0</v>
      </c>
      <c r="CV28" s="66">
        <v>0</v>
      </c>
      <c r="CW28" s="66">
        <v>0</v>
      </c>
      <c r="CX28" s="66">
        <v>0</v>
      </c>
      <c r="CY28" s="66">
        <v>0</v>
      </c>
      <c r="CZ28" s="66">
        <v>0</v>
      </c>
      <c r="DA28" s="66">
        <v>0</v>
      </c>
      <c r="DB28" s="66">
        <v>0</v>
      </c>
      <c r="DC28" s="66">
        <v>0</v>
      </c>
      <c r="DD28" s="66">
        <v>0</v>
      </c>
      <c r="DE28" s="66">
        <v>0</v>
      </c>
      <c r="DF28" s="67" t="s">
        <v>1230</v>
      </c>
      <c r="DG28" s="67" t="s">
        <v>1230</v>
      </c>
      <c r="DH28" s="67">
        <v>0</v>
      </c>
      <c r="DI28" s="187">
        <v>0</v>
      </c>
      <c r="DJ28" s="67">
        <v>0</v>
      </c>
      <c r="DK28" s="66">
        <v>0</v>
      </c>
      <c r="DL28" s="66">
        <v>0</v>
      </c>
      <c r="DM28" s="66">
        <v>0</v>
      </c>
      <c r="DN28" s="66">
        <v>0</v>
      </c>
      <c r="DO28" s="66">
        <v>0</v>
      </c>
      <c r="DP28" s="66">
        <v>0</v>
      </c>
      <c r="DQ28" s="66">
        <v>0</v>
      </c>
      <c r="DR28" s="66">
        <v>0</v>
      </c>
      <c r="DS28" s="66">
        <v>0</v>
      </c>
      <c r="DT28" s="66">
        <v>0</v>
      </c>
      <c r="DU28" s="66">
        <v>0</v>
      </c>
      <c r="DV28" s="67" t="s">
        <v>1230</v>
      </c>
      <c r="DW28" s="67" t="s">
        <v>1230</v>
      </c>
      <c r="DX28" s="67">
        <v>0</v>
      </c>
      <c r="DY28" s="187">
        <v>0</v>
      </c>
      <c r="DZ28" s="67">
        <v>0</v>
      </c>
      <c r="EA28" s="66">
        <v>0</v>
      </c>
      <c r="EB28" s="66">
        <v>0</v>
      </c>
      <c r="EC28" s="66">
        <v>0</v>
      </c>
      <c r="ED28" s="66">
        <v>0</v>
      </c>
      <c r="EE28" s="66">
        <v>0</v>
      </c>
      <c r="EF28" s="66">
        <v>0</v>
      </c>
      <c r="EG28" s="66">
        <v>0</v>
      </c>
      <c r="EH28" s="66">
        <v>0</v>
      </c>
      <c r="EI28" s="66">
        <v>0</v>
      </c>
      <c r="EJ28" s="66">
        <v>0</v>
      </c>
      <c r="EK28" s="66">
        <v>0</v>
      </c>
      <c r="EL28" s="67" t="s">
        <v>1230</v>
      </c>
      <c r="EM28" s="67" t="s">
        <v>1230</v>
      </c>
      <c r="EN28" s="67">
        <v>0</v>
      </c>
      <c r="EO28" s="187">
        <v>0</v>
      </c>
      <c r="EP28" s="67">
        <v>0</v>
      </c>
      <c r="EQ28" s="66">
        <v>1.9971000000000001</v>
      </c>
      <c r="ER28" s="66">
        <v>0</v>
      </c>
      <c r="ES28" s="66">
        <v>2.2955172400000001</v>
      </c>
      <c r="ET28" s="66">
        <v>1.9971000000000001</v>
      </c>
      <c r="EU28" s="66">
        <v>0.29841723999999997</v>
      </c>
      <c r="EV28" s="66">
        <v>1.8816935400000001</v>
      </c>
      <c r="EW28" s="66">
        <v>0</v>
      </c>
      <c r="EX28" s="66">
        <v>2.1628661400000002</v>
      </c>
      <c r="EY28" s="66">
        <v>1.8816935400000001</v>
      </c>
      <c r="EZ28" s="66">
        <v>0</v>
      </c>
      <c r="FA28" s="66">
        <v>0.28117259999999999</v>
      </c>
      <c r="FB28" s="67">
        <v>94.221297881928805</v>
      </c>
      <c r="FC28" s="67">
        <v>94.221299010740807</v>
      </c>
      <c r="FD28" s="67">
        <v>13.000000083222901</v>
      </c>
      <c r="FE28" s="187">
        <v>0</v>
      </c>
      <c r="FF28" s="67">
        <v>0</v>
      </c>
      <c r="FG28" s="66">
        <v>0</v>
      </c>
      <c r="FH28" s="66">
        <v>0</v>
      </c>
      <c r="FI28" s="66">
        <v>0</v>
      </c>
      <c r="FJ28" s="66">
        <v>0</v>
      </c>
      <c r="FK28" s="66">
        <v>0</v>
      </c>
      <c r="FL28" s="66">
        <v>0</v>
      </c>
      <c r="FM28" s="66">
        <v>0</v>
      </c>
      <c r="FN28" s="66">
        <v>0</v>
      </c>
      <c r="FO28" s="66">
        <v>0</v>
      </c>
      <c r="FP28" s="66">
        <v>0</v>
      </c>
      <c r="FQ28" s="66">
        <v>0</v>
      </c>
      <c r="FR28" s="67" t="s">
        <v>1230</v>
      </c>
      <c r="FS28" s="67" t="s">
        <v>1230</v>
      </c>
      <c r="FT28" s="67">
        <v>0</v>
      </c>
      <c r="FU28" s="187">
        <v>0</v>
      </c>
      <c r="FV28" s="67">
        <v>0</v>
      </c>
      <c r="FW28" s="66">
        <v>10.564</v>
      </c>
      <c r="FX28" s="66">
        <v>0</v>
      </c>
      <c r="FY28" s="66">
        <v>12.1426</v>
      </c>
      <c r="FZ28" s="66">
        <v>10.564</v>
      </c>
      <c r="GA28" s="66">
        <v>1.5786</v>
      </c>
      <c r="GB28" s="66">
        <v>10.55802536</v>
      </c>
      <c r="GC28" s="66">
        <v>0</v>
      </c>
      <c r="GD28" s="66">
        <v>12.13573255</v>
      </c>
      <c r="GE28" s="66">
        <v>10.55802536</v>
      </c>
      <c r="GF28" s="66">
        <v>0</v>
      </c>
      <c r="GG28" s="66">
        <v>1.5777071899999999</v>
      </c>
      <c r="GH28" s="67">
        <v>99.943443392654302</v>
      </c>
      <c r="GI28" s="67">
        <v>99.943442924109974</v>
      </c>
      <c r="GJ28" s="67">
        <v>13.000510546023857</v>
      </c>
      <c r="GK28" s="187">
        <v>0</v>
      </c>
      <c r="GL28" s="67">
        <v>0</v>
      </c>
      <c r="GM28" s="66">
        <v>0</v>
      </c>
      <c r="GN28" s="66">
        <v>0</v>
      </c>
      <c r="GO28" s="66">
        <v>0</v>
      </c>
      <c r="GP28" s="66">
        <v>0</v>
      </c>
      <c r="GQ28" s="66">
        <v>0</v>
      </c>
      <c r="GR28" s="66">
        <v>0</v>
      </c>
      <c r="GS28" s="66">
        <v>0</v>
      </c>
      <c r="GT28" s="66">
        <v>0</v>
      </c>
      <c r="GU28" s="66">
        <v>0</v>
      </c>
      <c r="GV28" s="66">
        <v>0</v>
      </c>
      <c r="GW28" s="66">
        <v>0</v>
      </c>
      <c r="GX28" s="67" t="s">
        <v>1230</v>
      </c>
      <c r="GY28" s="67" t="s">
        <v>1230</v>
      </c>
      <c r="GZ28" s="67">
        <v>0</v>
      </c>
      <c r="HA28" s="187">
        <v>0</v>
      </c>
      <c r="HB28" s="67">
        <v>0</v>
      </c>
      <c r="HC28" s="66">
        <v>1.472</v>
      </c>
      <c r="HD28" s="66">
        <v>0</v>
      </c>
      <c r="HE28" s="66">
        <v>1.6919999999999999</v>
      </c>
      <c r="HF28" s="66">
        <v>1.472</v>
      </c>
      <c r="HG28" s="66">
        <v>0.22</v>
      </c>
      <c r="HH28" s="66">
        <v>1.472</v>
      </c>
      <c r="HI28" s="66">
        <v>0</v>
      </c>
      <c r="HJ28" s="66">
        <v>1.6919999999999999</v>
      </c>
      <c r="HK28" s="66">
        <v>1.472</v>
      </c>
      <c r="HL28" s="66">
        <v>0</v>
      </c>
      <c r="HM28" s="66">
        <v>0.22</v>
      </c>
      <c r="HN28" s="67">
        <v>100</v>
      </c>
      <c r="HO28" s="67">
        <v>100</v>
      </c>
      <c r="HP28" s="67">
        <v>13.002364066193852</v>
      </c>
      <c r="HQ28" s="187">
        <v>0</v>
      </c>
      <c r="HR28" s="67">
        <v>0</v>
      </c>
      <c r="HS28" s="66">
        <v>0</v>
      </c>
      <c r="HT28" s="66">
        <v>0</v>
      </c>
      <c r="HU28" s="66">
        <v>0</v>
      </c>
      <c r="HV28" s="66">
        <v>0</v>
      </c>
      <c r="HW28" s="66">
        <v>0</v>
      </c>
      <c r="HX28" s="66">
        <v>0</v>
      </c>
      <c r="HY28" s="66">
        <v>0</v>
      </c>
      <c r="HZ28" s="66">
        <v>0</v>
      </c>
      <c r="IA28" s="66">
        <v>0</v>
      </c>
      <c r="IB28" s="66">
        <v>0</v>
      </c>
      <c r="IC28" s="66">
        <v>0</v>
      </c>
      <c r="ID28" s="67" t="s">
        <v>1230</v>
      </c>
      <c r="IE28" s="67" t="s">
        <v>1230</v>
      </c>
      <c r="IF28" s="67">
        <v>0</v>
      </c>
      <c r="IG28" s="187">
        <v>0</v>
      </c>
      <c r="IH28" s="67">
        <v>0</v>
      </c>
      <c r="II28" s="66">
        <v>0</v>
      </c>
      <c r="IJ28" s="66">
        <v>0</v>
      </c>
      <c r="IK28" s="66">
        <v>0</v>
      </c>
      <c r="IL28" s="66">
        <v>0</v>
      </c>
      <c r="IM28" s="66">
        <v>0</v>
      </c>
      <c r="IN28" s="66">
        <v>0</v>
      </c>
      <c r="IO28" s="66">
        <v>0</v>
      </c>
      <c r="IP28" s="66">
        <v>0</v>
      </c>
      <c r="IQ28" s="66">
        <v>0</v>
      </c>
      <c r="IR28" s="66">
        <v>0</v>
      </c>
      <c r="IS28" s="66">
        <v>0</v>
      </c>
      <c r="IT28" s="67" t="s">
        <v>1230</v>
      </c>
      <c r="IU28" s="67" t="s">
        <v>1230</v>
      </c>
      <c r="IV28" s="67">
        <v>0</v>
      </c>
      <c r="IW28" s="187">
        <v>0</v>
      </c>
      <c r="IX28" s="67">
        <v>0</v>
      </c>
    </row>
    <row r="29" spans="1:258" ht="15.6" x14ac:dyDescent="0.3">
      <c r="A29" s="169" t="s">
        <v>50</v>
      </c>
      <c r="B29" s="205" t="s">
        <v>51</v>
      </c>
      <c r="C29" s="66">
        <v>529.29420000000005</v>
      </c>
      <c r="D29" s="66">
        <v>0</v>
      </c>
      <c r="E29" s="66">
        <v>581.64197803000002</v>
      </c>
      <c r="F29" s="66">
        <v>529.29420000000005</v>
      </c>
      <c r="G29" s="66">
        <v>52.347778029999994</v>
      </c>
      <c r="H29" s="66">
        <v>529.29420000000005</v>
      </c>
      <c r="I29" s="66">
        <v>3.14893402</v>
      </c>
      <c r="J29" s="66">
        <v>581.64197803000002</v>
      </c>
      <c r="K29" s="66">
        <v>529.29420000000005</v>
      </c>
      <c r="L29" s="66">
        <v>0</v>
      </c>
      <c r="M29" s="66">
        <v>52.347778029999994</v>
      </c>
      <c r="N29" s="67">
        <v>100</v>
      </c>
      <c r="O29" s="67">
        <v>100</v>
      </c>
      <c r="P29" s="67">
        <v>9.0000000012550672</v>
      </c>
      <c r="Q29" s="66">
        <v>3.1479340200000001</v>
      </c>
      <c r="R29" s="67">
        <v>9.9999999995592503E-4</v>
      </c>
      <c r="S29" s="66">
        <v>457.1669</v>
      </c>
      <c r="T29" s="66">
        <v>0</v>
      </c>
      <c r="U29" s="66">
        <v>502.38120879000002</v>
      </c>
      <c r="V29" s="66">
        <v>457.1669</v>
      </c>
      <c r="W29" s="66">
        <v>45.214308789999997</v>
      </c>
      <c r="X29" s="66">
        <v>457.1669</v>
      </c>
      <c r="Y29" s="66">
        <v>1.54196877</v>
      </c>
      <c r="Z29" s="66">
        <v>502.38120879000002</v>
      </c>
      <c r="AA29" s="66">
        <v>457.1669</v>
      </c>
      <c r="AB29" s="66">
        <v>0</v>
      </c>
      <c r="AC29" s="66">
        <v>45.214308789999997</v>
      </c>
      <c r="AD29" s="67">
        <v>100</v>
      </c>
      <c r="AE29" s="67">
        <v>100</v>
      </c>
      <c r="AF29" s="67">
        <v>8.9999999997810409</v>
      </c>
      <c r="AG29" s="187">
        <v>1.54196877</v>
      </c>
      <c r="AH29" s="67">
        <v>-1.7319479184152442E-14</v>
      </c>
      <c r="AI29" s="66">
        <v>0</v>
      </c>
      <c r="AJ29" s="66">
        <v>0</v>
      </c>
      <c r="AK29" s="66">
        <v>0</v>
      </c>
      <c r="AL29" s="66">
        <v>0</v>
      </c>
      <c r="AM29" s="66">
        <v>0</v>
      </c>
      <c r="AN29" s="66">
        <v>0</v>
      </c>
      <c r="AO29" s="66">
        <v>1.60696525</v>
      </c>
      <c r="AP29" s="66">
        <v>0</v>
      </c>
      <c r="AQ29" s="66">
        <v>0</v>
      </c>
      <c r="AR29" s="66">
        <v>0</v>
      </c>
      <c r="AS29" s="66">
        <v>0</v>
      </c>
      <c r="AT29" s="67" t="s">
        <v>1230</v>
      </c>
      <c r="AU29" s="67" t="s">
        <v>1230</v>
      </c>
      <c r="AV29" s="67">
        <v>0</v>
      </c>
      <c r="AW29" s="187">
        <v>1.6059652499999999</v>
      </c>
      <c r="AX29" s="67">
        <v>1.0000000000001119E-3</v>
      </c>
      <c r="AY29" s="66">
        <v>31.4375</v>
      </c>
      <c r="AZ29" s="66">
        <v>0</v>
      </c>
      <c r="BA29" s="66">
        <v>34.546703299999997</v>
      </c>
      <c r="BB29" s="66">
        <v>31.4375</v>
      </c>
      <c r="BC29" s="66">
        <v>3.1092032999999999</v>
      </c>
      <c r="BD29" s="66">
        <v>31.4375</v>
      </c>
      <c r="BE29" s="66">
        <v>0</v>
      </c>
      <c r="BF29" s="66">
        <v>34.546703299999997</v>
      </c>
      <c r="BG29" s="66">
        <v>31.4375</v>
      </c>
      <c r="BH29" s="66">
        <v>0</v>
      </c>
      <c r="BI29" s="66">
        <v>3.1092032999999999</v>
      </c>
      <c r="BJ29" s="67">
        <v>100</v>
      </c>
      <c r="BK29" s="67">
        <v>100</v>
      </c>
      <c r="BL29" s="67">
        <v>9.000000008683898</v>
      </c>
      <c r="BM29" s="187">
        <v>0</v>
      </c>
      <c r="BN29" s="67">
        <v>0</v>
      </c>
      <c r="BO29" s="66">
        <v>0</v>
      </c>
      <c r="BP29" s="66">
        <v>0</v>
      </c>
      <c r="BQ29" s="66">
        <v>0</v>
      </c>
      <c r="BR29" s="66">
        <v>0</v>
      </c>
      <c r="BS29" s="66">
        <v>0</v>
      </c>
      <c r="BT29" s="66">
        <v>0</v>
      </c>
      <c r="BU29" s="66">
        <v>0</v>
      </c>
      <c r="BV29" s="66">
        <v>0</v>
      </c>
      <c r="BW29" s="66">
        <v>0</v>
      </c>
      <c r="BX29" s="66">
        <v>0</v>
      </c>
      <c r="BY29" s="66">
        <v>0</v>
      </c>
      <c r="BZ29" s="67" t="s">
        <v>1230</v>
      </c>
      <c r="CA29" s="67" t="s">
        <v>1230</v>
      </c>
      <c r="CB29" s="67">
        <v>0</v>
      </c>
      <c r="CC29" s="187">
        <v>0</v>
      </c>
      <c r="CD29" s="67">
        <v>0</v>
      </c>
      <c r="CE29" s="66">
        <v>0</v>
      </c>
      <c r="CF29" s="66">
        <v>0</v>
      </c>
      <c r="CG29" s="66">
        <v>0</v>
      </c>
      <c r="CH29" s="66">
        <v>0</v>
      </c>
      <c r="CI29" s="66">
        <v>0</v>
      </c>
      <c r="CJ29" s="66">
        <v>0</v>
      </c>
      <c r="CK29" s="66">
        <v>0</v>
      </c>
      <c r="CL29" s="66">
        <v>0</v>
      </c>
      <c r="CM29" s="66">
        <v>0</v>
      </c>
      <c r="CN29" s="66">
        <v>0</v>
      </c>
      <c r="CO29" s="66">
        <v>0</v>
      </c>
      <c r="CP29" s="67" t="s">
        <v>1230</v>
      </c>
      <c r="CQ29" s="67" t="s">
        <v>1230</v>
      </c>
      <c r="CR29" s="67">
        <v>0</v>
      </c>
      <c r="CS29" s="187">
        <v>0</v>
      </c>
      <c r="CT29" s="67">
        <v>0</v>
      </c>
      <c r="CU29" s="66">
        <v>0</v>
      </c>
      <c r="CV29" s="66">
        <v>0</v>
      </c>
      <c r="CW29" s="66">
        <v>0</v>
      </c>
      <c r="CX29" s="66">
        <v>0</v>
      </c>
      <c r="CY29" s="66">
        <v>0</v>
      </c>
      <c r="CZ29" s="66">
        <v>0</v>
      </c>
      <c r="DA29" s="66">
        <v>0</v>
      </c>
      <c r="DB29" s="66">
        <v>0</v>
      </c>
      <c r="DC29" s="66">
        <v>0</v>
      </c>
      <c r="DD29" s="66">
        <v>0</v>
      </c>
      <c r="DE29" s="66">
        <v>0</v>
      </c>
      <c r="DF29" s="67" t="s">
        <v>1230</v>
      </c>
      <c r="DG29" s="67" t="s">
        <v>1230</v>
      </c>
      <c r="DH29" s="67">
        <v>0</v>
      </c>
      <c r="DI29" s="187">
        <v>0</v>
      </c>
      <c r="DJ29" s="67">
        <v>0</v>
      </c>
      <c r="DK29" s="66">
        <v>3.0954999999999999</v>
      </c>
      <c r="DL29" s="66">
        <v>0</v>
      </c>
      <c r="DM29" s="66">
        <v>3.4016483499999999</v>
      </c>
      <c r="DN29" s="66">
        <v>3.0954999999999999</v>
      </c>
      <c r="DO29" s="66">
        <v>0.30614834999999996</v>
      </c>
      <c r="DP29" s="66">
        <v>3.0954999999999999</v>
      </c>
      <c r="DQ29" s="66">
        <v>0</v>
      </c>
      <c r="DR29" s="66">
        <v>3.4016483499999999</v>
      </c>
      <c r="DS29" s="66">
        <v>3.0954999999999999</v>
      </c>
      <c r="DT29" s="66">
        <v>0</v>
      </c>
      <c r="DU29" s="66">
        <v>0.30614834999999996</v>
      </c>
      <c r="DV29" s="67">
        <v>100</v>
      </c>
      <c r="DW29" s="67">
        <v>100</v>
      </c>
      <c r="DX29" s="67">
        <v>8.9999999559037303</v>
      </c>
      <c r="DY29" s="187">
        <v>0</v>
      </c>
      <c r="DZ29" s="67">
        <v>0</v>
      </c>
      <c r="EA29" s="66">
        <v>0</v>
      </c>
      <c r="EB29" s="66">
        <v>0</v>
      </c>
      <c r="EC29" s="66">
        <v>0</v>
      </c>
      <c r="ED29" s="66">
        <v>0</v>
      </c>
      <c r="EE29" s="66">
        <v>0</v>
      </c>
      <c r="EF29" s="66">
        <v>0</v>
      </c>
      <c r="EG29" s="66">
        <v>0</v>
      </c>
      <c r="EH29" s="66">
        <v>0</v>
      </c>
      <c r="EI29" s="66">
        <v>0</v>
      </c>
      <c r="EJ29" s="66">
        <v>0</v>
      </c>
      <c r="EK29" s="66">
        <v>0</v>
      </c>
      <c r="EL29" s="67" t="s">
        <v>1230</v>
      </c>
      <c r="EM29" s="67" t="s">
        <v>1230</v>
      </c>
      <c r="EN29" s="67">
        <v>0</v>
      </c>
      <c r="EO29" s="187">
        <v>0</v>
      </c>
      <c r="EP29" s="67">
        <v>0</v>
      </c>
      <c r="EQ29" s="66">
        <v>1.4354</v>
      </c>
      <c r="ER29" s="66">
        <v>0</v>
      </c>
      <c r="ES29" s="66">
        <v>1.5773626399999998</v>
      </c>
      <c r="ET29" s="66">
        <v>1.4354</v>
      </c>
      <c r="EU29" s="66">
        <v>0.14196264</v>
      </c>
      <c r="EV29" s="66">
        <v>1.4354</v>
      </c>
      <c r="EW29" s="66">
        <v>0</v>
      </c>
      <c r="EX29" s="66">
        <v>1.5773626399999998</v>
      </c>
      <c r="EY29" s="66">
        <v>1.4354</v>
      </c>
      <c r="EZ29" s="66">
        <v>0</v>
      </c>
      <c r="FA29" s="66">
        <v>0.14196264</v>
      </c>
      <c r="FB29" s="67">
        <v>100</v>
      </c>
      <c r="FC29" s="67">
        <v>100</v>
      </c>
      <c r="FD29" s="67">
        <v>9.0000001521527118</v>
      </c>
      <c r="FE29" s="187">
        <v>0</v>
      </c>
      <c r="FF29" s="67">
        <v>0</v>
      </c>
      <c r="FG29" s="66">
        <v>0</v>
      </c>
      <c r="FH29" s="66">
        <v>0</v>
      </c>
      <c r="FI29" s="66">
        <v>0</v>
      </c>
      <c r="FJ29" s="66">
        <v>0</v>
      </c>
      <c r="FK29" s="66">
        <v>0</v>
      </c>
      <c r="FL29" s="66">
        <v>0</v>
      </c>
      <c r="FM29" s="66">
        <v>0</v>
      </c>
      <c r="FN29" s="66">
        <v>0</v>
      </c>
      <c r="FO29" s="66">
        <v>0</v>
      </c>
      <c r="FP29" s="66">
        <v>0</v>
      </c>
      <c r="FQ29" s="66">
        <v>0</v>
      </c>
      <c r="FR29" s="67" t="s">
        <v>1230</v>
      </c>
      <c r="FS29" s="67" t="s">
        <v>1230</v>
      </c>
      <c r="FT29" s="67">
        <v>0</v>
      </c>
      <c r="FU29" s="187">
        <v>0</v>
      </c>
      <c r="FV29" s="67">
        <v>0</v>
      </c>
      <c r="FW29" s="66">
        <v>33.155900000000003</v>
      </c>
      <c r="FX29" s="66">
        <v>0</v>
      </c>
      <c r="FY29" s="66">
        <v>36.435054950000001</v>
      </c>
      <c r="FZ29" s="66">
        <v>33.155900000000003</v>
      </c>
      <c r="GA29" s="66">
        <v>3.2791549500000001</v>
      </c>
      <c r="GB29" s="66">
        <v>33.155900000000003</v>
      </c>
      <c r="GC29" s="66">
        <v>0</v>
      </c>
      <c r="GD29" s="66">
        <v>36.435054950000001</v>
      </c>
      <c r="GE29" s="66">
        <v>33.155900000000003</v>
      </c>
      <c r="GF29" s="66">
        <v>0</v>
      </c>
      <c r="GG29" s="66">
        <v>3.2791549500000001</v>
      </c>
      <c r="GH29" s="67">
        <v>100</v>
      </c>
      <c r="GI29" s="67">
        <v>100</v>
      </c>
      <c r="GJ29" s="67">
        <v>9.0000000123507427</v>
      </c>
      <c r="GK29" s="187">
        <v>0</v>
      </c>
      <c r="GL29" s="67">
        <v>0</v>
      </c>
      <c r="GM29" s="66">
        <v>0</v>
      </c>
      <c r="GN29" s="66">
        <v>0</v>
      </c>
      <c r="GO29" s="66">
        <v>0</v>
      </c>
      <c r="GP29" s="66">
        <v>0</v>
      </c>
      <c r="GQ29" s="66">
        <v>0</v>
      </c>
      <c r="GR29" s="66">
        <v>0</v>
      </c>
      <c r="GS29" s="66">
        <v>0</v>
      </c>
      <c r="GT29" s="66">
        <v>0</v>
      </c>
      <c r="GU29" s="66">
        <v>0</v>
      </c>
      <c r="GV29" s="66">
        <v>0</v>
      </c>
      <c r="GW29" s="66">
        <v>0</v>
      </c>
      <c r="GX29" s="67" t="s">
        <v>1230</v>
      </c>
      <c r="GY29" s="67" t="s">
        <v>1230</v>
      </c>
      <c r="GZ29" s="67">
        <v>0</v>
      </c>
      <c r="HA29" s="187">
        <v>0</v>
      </c>
      <c r="HB29" s="67">
        <v>0</v>
      </c>
      <c r="HC29" s="66">
        <v>3.0030000000000001</v>
      </c>
      <c r="HD29" s="66">
        <v>0</v>
      </c>
      <c r="HE29" s="66">
        <v>3.3</v>
      </c>
      <c r="HF29" s="66">
        <v>3.0030000000000001</v>
      </c>
      <c r="HG29" s="66">
        <v>0.29699999999999999</v>
      </c>
      <c r="HH29" s="66">
        <v>3.0030000000000001</v>
      </c>
      <c r="HI29" s="66">
        <v>0</v>
      </c>
      <c r="HJ29" s="66">
        <v>3.3</v>
      </c>
      <c r="HK29" s="66">
        <v>3.0030000000000001</v>
      </c>
      <c r="HL29" s="66">
        <v>0</v>
      </c>
      <c r="HM29" s="66">
        <v>0.29699999999999999</v>
      </c>
      <c r="HN29" s="67">
        <v>100</v>
      </c>
      <c r="HO29" s="67">
        <v>100</v>
      </c>
      <c r="HP29" s="67">
        <v>9</v>
      </c>
      <c r="HQ29" s="187">
        <v>0</v>
      </c>
      <c r="HR29" s="67">
        <v>0</v>
      </c>
      <c r="HS29" s="66">
        <v>0</v>
      </c>
      <c r="HT29" s="66">
        <v>0</v>
      </c>
      <c r="HU29" s="66">
        <v>0</v>
      </c>
      <c r="HV29" s="66">
        <v>0</v>
      </c>
      <c r="HW29" s="66">
        <v>0</v>
      </c>
      <c r="HX29" s="66">
        <v>0</v>
      </c>
      <c r="HY29" s="66">
        <v>0</v>
      </c>
      <c r="HZ29" s="66">
        <v>0</v>
      </c>
      <c r="IA29" s="66">
        <v>0</v>
      </c>
      <c r="IB29" s="66">
        <v>0</v>
      </c>
      <c r="IC29" s="66">
        <v>0</v>
      </c>
      <c r="ID29" s="67" t="s">
        <v>1230</v>
      </c>
      <c r="IE29" s="67" t="s">
        <v>1230</v>
      </c>
      <c r="IF29" s="67">
        <v>0</v>
      </c>
      <c r="IG29" s="187">
        <v>0</v>
      </c>
      <c r="IH29" s="67">
        <v>0</v>
      </c>
      <c r="II29" s="66">
        <v>0</v>
      </c>
      <c r="IJ29" s="66">
        <v>0</v>
      </c>
      <c r="IK29" s="66">
        <v>0</v>
      </c>
      <c r="IL29" s="66">
        <v>0</v>
      </c>
      <c r="IM29" s="66">
        <v>0</v>
      </c>
      <c r="IN29" s="66">
        <v>0</v>
      </c>
      <c r="IO29" s="66">
        <v>0</v>
      </c>
      <c r="IP29" s="66">
        <v>0</v>
      </c>
      <c r="IQ29" s="66">
        <v>0</v>
      </c>
      <c r="IR29" s="66">
        <v>0</v>
      </c>
      <c r="IS29" s="66">
        <v>0</v>
      </c>
      <c r="IT29" s="67" t="s">
        <v>1230</v>
      </c>
      <c r="IU29" s="67" t="s">
        <v>1230</v>
      </c>
      <c r="IV29" s="67">
        <v>0</v>
      </c>
      <c r="IW29" s="187">
        <v>0</v>
      </c>
      <c r="IX29" s="67">
        <v>0</v>
      </c>
    </row>
    <row r="30" spans="1:258" ht="15.6" x14ac:dyDescent="0.3">
      <c r="A30" s="169" t="s">
        <v>53</v>
      </c>
      <c r="B30" s="205" t="s">
        <v>54</v>
      </c>
      <c r="C30" s="66">
        <v>78.843900000000005</v>
      </c>
      <c r="D30" s="66">
        <v>0</v>
      </c>
      <c r="E30" s="66">
        <v>99.464500000000001</v>
      </c>
      <c r="F30" s="66">
        <v>78.843900000000005</v>
      </c>
      <c r="G30" s="66">
        <v>20.620600000000003</v>
      </c>
      <c r="H30" s="66">
        <v>77.244056779999994</v>
      </c>
      <c r="I30" s="66">
        <v>7.3338039999999993E-2</v>
      </c>
      <c r="J30" s="66">
        <v>97.515562130000006</v>
      </c>
      <c r="K30" s="66">
        <v>77.244056779999994</v>
      </c>
      <c r="L30" s="66">
        <v>0</v>
      </c>
      <c r="M30" s="66">
        <v>20.271505350000002</v>
      </c>
      <c r="N30" s="67">
        <v>97.970872546893276</v>
      </c>
      <c r="O30" s="67">
        <v>98.30705871798105</v>
      </c>
      <c r="P30" s="67">
        <v>20.787969537596101</v>
      </c>
      <c r="Q30" s="66">
        <v>7.3338039999999993E-2</v>
      </c>
      <c r="R30" s="67">
        <v>-4.1078251911130792E-15</v>
      </c>
      <c r="S30" s="66">
        <v>35.914499999999997</v>
      </c>
      <c r="T30" s="66">
        <v>0</v>
      </c>
      <c r="U30" s="66">
        <v>45.299100000000003</v>
      </c>
      <c r="V30" s="66">
        <v>35.914499999999997</v>
      </c>
      <c r="W30" s="66">
        <v>9.3846000000000007</v>
      </c>
      <c r="X30" s="66">
        <v>35.914499999999997</v>
      </c>
      <c r="Y30" s="66">
        <v>1.535E-5</v>
      </c>
      <c r="Z30" s="66">
        <v>45.299100000000003</v>
      </c>
      <c r="AA30" s="66">
        <v>35.914499999999997</v>
      </c>
      <c r="AB30" s="66">
        <v>0</v>
      </c>
      <c r="AC30" s="66">
        <v>9.3846000000000007</v>
      </c>
      <c r="AD30" s="67">
        <v>100</v>
      </c>
      <c r="AE30" s="67">
        <v>100</v>
      </c>
      <c r="AF30" s="67">
        <v>20.716967886779209</v>
      </c>
      <c r="AG30" s="187">
        <v>1.535E-5</v>
      </c>
      <c r="AH30" s="67">
        <v>-1.806802591656359E-15</v>
      </c>
      <c r="AI30" s="66">
        <v>0</v>
      </c>
      <c r="AJ30" s="66">
        <v>0</v>
      </c>
      <c r="AK30" s="66">
        <v>0</v>
      </c>
      <c r="AL30" s="66">
        <v>0</v>
      </c>
      <c r="AM30" s="66">
        <v>0</v>
      </c>
      <c r="AN30" s="66">
        <v>0</v>
      </c>
      <c r="AO30" s="66">
        <v>7.3322689999999996E-2</v>
      </c>
      <c r="AP30" s="66">
        <v>0</v>
      </c>
      <c r="AQ30" s="66">
        <v>0</v>
      </c>
      <c r="AR30" s="66">
        <v>0</v>
      </c>
      <c r="AS30" s="66">
        <v>0</v>
      </c>
      <c r="AT30" s="67" t="s">
        <v>1230</v>
      </c>
      <c r="AU30" s="67" t="s">
        <v>1230</v>
      </c>
      <c r="AV30" s="67">
        <v>0</v>
      </c>
      <c r="AW30" s="187">
        <v>7.3322689999999996E-2</v>
      </c>
      <c r="AX30" s="67">
        <v>0</v>
      </c>
      <c r="AY30" s="66">
        <v>42.344900000000003</v>
      </c>
      <c r="AZ30" s="66">
        <v>0</v>
      </c>
      <c r="BA30" s="66">
        <v>53.4696</v>
      </c>
      <c r="BB30" s="66">
        <v>42.344900000000003</v>
      </c>
      <c r="BC30" s="66">
        <v>11.124700000000001</v>
      </c>
      <c r="BD30" s="66">
        <v>40.855658409999997</v>
      </c>
      <c r="BE30" s="66">
        <v>0</v>
      </c>
      <c r="BF30" s="66">
        <v>51.65232443</v>
      </c>
      <c r="BG30" s="66">
        <v>40.855658409999997</v>
      </c>
      <c r="BH30" s="66">
        <v>0</v>
      </c>
      <c r="BI30" s="66">
        <v>10.79666602</v>
      </c>
      <c r="BJ30" s="67">
        <v>96.483067405992202</v>
      </c>
      <c r="BK30" s="67">
        <v>97.051300439562411</v>
      </c>
      <c r="BL30" s="67">
        <v>20.902575322881749</v>
      </c>
      <c r="BM30" s="187">
        <v>0</v>
      </c>
      <c r="BN30" s="67">
        <v>0</v>
      </c>
      <c r="BO30" s="66">
        <v>0</v>
      </c>
      <c r="BP30" s="66">
        <v>0</v>
      </c>
      <c r="BQ30" s="66">
        <v>0</v>
      </c>
      <c r="BR30" s="66">
        <v>0</v>
      </c>
      <c r="BS30" s="66">
        <v>0</v>
      </c>
      <c r="BT30" s="66">
        <v>0</v>
      </c>
      <c r="BU30" s="66">
        <v>0</v>
      </c>
      <c r="BV30" s="66">
        <v>0</v>
      </c>
      <c r="BW30" s="66">
        <v>0</v>
      </c>
      <c r="BX30" s="66">
        <v>0</v>
      </c>
      <c r="BY30" s="66">
        <v>0</v>
      </c>
      <c r="BZ30" s="67" t="s">
        <v>1230</v>
      </c>
      <c r="CA30" s="67" t="s">
        <v>1230</v>
      </c>
      <c r="CB30" s="67">
        <v>0</v>
      </c>
      <c r="CC30" s="187">
        <v>0</v>
      </c>
      <c r="CD30" s="67">
        <v>0</v>
      </c>
      <c r="CE30" s="66">
        <v>0</v>
      </c>
      <c r="CF30" s="66">
        <v>0</v>
      </c>
      <c r="CG30" s="66">
        <v>0</v>
      </c>
      <c r="CH30" s="66">
        <v>0</v>
      </c>
      <c r="CI30" s="66">
        <v>0</v>
      </c>
      <c r="CJ30" s="66">
        <v>0</v>
      </c>
      <c r="CK30" s="66">
        <v>0</v>
      </c>
      <c r="CL30" s="66">
        <v>0</v>
      </c>
      <c r="CM30" s="66">
        <v>0</v>
      </c>
      <c r="CN30" s="66">
        <v>0</v>
      </c>
      <c r="CO30" s="66">
        <v>0</v>
      </c>
      <c r="CP30" s="67" t="s">
        <v>1230</v>
      </c>
      <c r="CQ30" s="67" t="s">
        <v>1230</v>
      </c>
      <c r="CR30" s="67">
        <v>0</v>
      </c>
      <c r="CS30" s="187">
        <v>0</v>
      </c>
      <c r="CT30" s="67">
        <v>0</v>
      </c>
      <c r="CU30" s="66">
        <v>0</v>
      </c>
      <c r="CV30" s="66">
        <v>0</v>
      </c>
      <c r="CW30" s="66">
        <v>0</v>
      </c>
      <c r="CX30" s="66">
        <v>0</v>
      </c>
      <c r="CY30" s="66">
        <v>0</v>
      </c>
      <c r="CZ30" s="66">
        <v>0</v>
      </c>
      <c r="DA30" s="66">
        <v>0</v>
      </c>
      <c r="DB30" s="66">
        <v>0</v>
      </c>
      <c r="DC30" s="66">
        <v>0</v>
      </c>
      <c r="DD30" s="66">
        <v>0</v>
      </c>
      <c r="DE30" s="66">
        <v>0</v>
      </c>
      <c r="DF30" s="67" t="s">
        <v>1230</v>
      </c>
      <c r="DG30" s="67" t="s">
        <v>1230</v>
      </c>
      <c r="DH30" s="67">
        <v>0</v>
      </c>
      <c r="DI30" s="187">
        <v>0</v>
      </c>
      <c r="DJ30" s="67">
        <v>0</v>
      </c>
      <c r="DK30" s="66">
        <v>0</v>
      </c>
      <c r="DL30" s="66">
        <v>0</v>
      </c>
      <c r="DM30" s="66">
        <v>0</v>
      </c>
      <c r="DN30" s="66">
        <v>0</v>
      </c>
      <c r="DO30" s="66">
        <v>0</v>
      </c>
      <c r="DP30" s="66">
        <v>0</v>
      </c>
      <c r="DQ30" s="66">
        <v>0</v>
      </c>
      <c r="DR30" s="66">
        <v>0</v>
      </c>
      <c r="DS30" s="66">
        <v>0</v>
      </c>
      <c r="DT30" s="66">
        <v>0</v>
      </c>
      <c r="DU30" s="66">
        <v>0</v>
      </c>
      <c r="DV30" s="67" t="s">
        <v>1230</v>
      </c>
      <c r="DW30" s="67" t="s">
        <v>1230</v>
      </c>
      <c r="DX30" s="67">
        <v>0</v>
      </c>
      <c r="DY30" s="187">
        <v>0</v>
      </c>
      <c r="DZ30" s="67">
        <v>0</v>
      </c>
      <c r="EA30" s="66">
        <v>0</v>
      </c>
      <c r="EB30" s="66">
        <v>0</v>
      </c>
      <c r="EC30" s="66">
        <v>0</v>
      </c>
      <c r="ED30" s="66">
        <v>0</v>
      </c>
      <c r="EE30" s="66">
        <v>0</v>
      </c>
      <c r="EF30" s="66">
        <v>0</v>
      </c>
      <c r="EG30" s="66">
        <v>0</v>
      </c>
      <c r="EH30" s="66">
        <v>0</v>
      </c>
      <c r="EI30" s="66">
        <v>0</v>
      </c>
      <c r="EJ30" s="66">
        <v>0</v>
      </c>
      <c r="EK30" s="66">
        <v>0</v>
      </c>
      <c r="EL30" s="67" t="s">
        <v>1230</v>
      </c>
      <c r="EM30" s="67" t="s">
        <v>1230</v>
      </c>
      <c r="EN30" s="67">
        <v>0</v>
      </c>
      <c r="EO30" s="187">
        <v>0</v>
      </c>
      <c r="EP30" s="67">
        <v>0</v>
      </c>
      <c r="EQ30" s="66">
        <v>0</v>
      </c>
      <c r="ER30" s="66">
        <v>0</v>
      </c>
      <c r="ES30" s="66">
        <v>0</v>
      </c>
      <c r="ET30" s="66">
        <v>0</v>
      </c>
      <c r="EU30" s="66">
        <v>0</v>
      </c>
      <c r="EV30" s="66">
        <v>0</v>
      </c>
      <c r="EW30" s="66">
        <v>0</v>
      </c>
      <c r="EX30" s="66">
        <v>0</v>
      </c>
      <c r="EY30" s="66">
        <v>0</v>
      </c>
      <c r="EZ30" s="66">
        <v>0</v>
      </c>
      <c r="FA30" s="66">
        <v>0</v>
      </c>
      <c r="FB30" s="67" t="s">
        <v>1230</v>
      </c>
      <c r="FC30" s="67" t="s">
        <v>1230</v>
      </c>
      <c r="FD30" s="67">
        <v>0</v>
      </c>
      <c r="FE30" s="187">
        <v>0</v>
      </c>
      <c r="FF30" s="67">
        <v>0</v>
      </c>
      <c r="FG30" s="66">
        <v>0</v>
      </c>
      <c r="FH30" s="66">
        <v>0</v>
      </c>
      <c r="FI30" s="66">
        <v>0</v>
      </c>
      <c r="FJ30" s="66">
        <v>0</v>
      </c>
      <c r="FK30" s="66">
        <v>0</v>
      </c>
      <c r="FL30" s="66">
        <v>0</v>
      </c>
      <c r="FM30" s="66">
        <v>0</v>
      </c>
      <c r="FN30" s="66">
        <v>0</v>
      </c>
      <c r="FO30" s="66">
        <v>0</v>
      </c>
      <c r="FP30" s="66">
        <v>0</v>
      </c>
      <c r="FQ30" s="66">
        <v>0</v>
      </c>
      <c r="FR30" s="67" t="s">
        <v>1230</v>
      </c>
      <c r="FS30" s="67" t="s">
        <v>1230</v>
      </c>
      <c r="FT30" s="67">
        <v>0</v>
      </c>
      <c r="FU30" s="187">
        <v>0</v>
      </c>
      <c r="FV30" s="67">
        <v>0</v>
      </c>
      <c r="FW30" s="66">
        <v>0</v>
      </c>
      <c r="FX30" s="66">
        <v>0</v>
      </c>
      <c r="FY30" s="66">
        <v>0</v>
      </c>
      <c r="FZ30" s="66">
        <v>0</v>
      </c>
      <c r="GA30" s="66">
        <v>0</v>
      </c>
      <c r="GB30" s="66">
        <v>0</v>
      </c>
      <c r="GC30" s="66">
        <v>0</v>
      </c>
      <c r="GD30" s="66">
        <v>0</v>
      </c>
      <c r="GE30" s="66">
        <v>0</v>
      </c>
      <c r="GF30" s="66">
        <v>0</v>
      </c>
      <c r="GG30" s="66">
        <v>0</v>
      </c>
      <c r="GH30" s="67" t="s">
        <v>1230</v>
      </c>
      <c r="GI30" s="67" t="s">
        <v>1230</v>
      </c>
      <c r="GJ30" s="67">
        <v>0</v>
      </c>
      <c r="GK30" s="187">
        <v>0</v>
      </c>
      <c r="GL30" s="67">
        <v>0</v>
      </c>
      <c r="GM30" s="66">
        <v>0</v>
      </c>
      <c r="GN30" s="66">
        <v>0</v>
      </c>
      <c r="GO30" s="66">
        <v>0</v>
      </c>
      <c r="GP30" s="66">
        <v>0</v>
      </c>
      <c r="GQ30" s="66">
        <v>0</v>
      </c>
      <c r="GR30" s="66">
        <v>0</v>
      </c>
      <c r="GS30" s="66">
        <v>0</v>
      </c>
      <c r="GT30" s="66">
        <v>0</v>
      </c>
      <c r="GU30" s="66">
        <v>0</v>
      </c>
      <c r="GV30" s="66">
        <v>0</v>
      </c>
      <c r="GW30" s="66">
        <v>0</v>
      </c>
      <c r="GX30" s="67" t="s">
        <v>1230</v>
      </c>
      <c r="GY30" s="67" t="s">
        <v>1230</v>
      </c>
      <c r="GZ30" s="67">
        <v>0</v>
      </c>
      <c r="HA30" s="187">
        <v>0</v>
      </c>
      <c r="HB30" s="67">
        <v>0</v>
      </c>
      <c r="HC30" s="66">
        <v>0.58450000000000002</v>
      </c>
      <c r="HD30" s="66">
        <v>0</v>
      </c>
      <c r="HE30" s="66">
        <v>0.69579999999999997</v>
      </c>
      <c r="HF30" s="66">
        <v>0.58450000000000002</v>
      </c>
      <c r="HG30" s="66">
        <v>0.1113</v>
      </c>
      <c r="HH30" s="66">
        <v>0.47389837000000001</v>
      </c>
      <c r="HI30" s="66">
        <v>0</v>
      </c>
      <c r="HJ30" s="66">
        <v>0.56413769999999996</v>
      </c>
      <c r="HK30" s="66">
        <v>0.47389837000000001</v>
      </c>
      <c r="HL30" s="66">
        <v>0</v>
      </c>
      <c r="HM30" s="66">
        <v>9.0239330000000006E-2</v>
      </c>
      <c r="HN30" s="67">
        <v>81.077565440547474</v>
      </c>
      <c r="HO30" s="67">
        <v>81.077565139263257</v>
      </c>
      <c r="HP30" s="67">
        <v>15.995975805197919</v>
      </c>
      <c r="HQ30" s="187">
        <v>0</v>
      </c>
      <c r="HR30" s="67">
        <v>0</v>
      </c>
      <c r="HS30" s="66">
        <v>0</v>
      </c>
      <c r="HT30" s="66">
        <v>0</v>
      </c>
      <c r="HU30" s="66">
        <v>0</v>
      </c>
      <c r="HV30" s="66">
        <v>0</v>
      </c>
      <c r="HW30" s="66">
        <v>0</v>
      </c>
      <c r="HX30" s="66">
        <v>0</v>
      </c>
      <c r="HY30" s="66">
        <v>0</v>
      </c>
      <c r="HZ30" s="66">
        <v>0</v>
      </c>
      <c r="IA30" s="66">
        <v>0</v>
      </c>
      <c r="IB30" s="66">
        <v>0</v>
      </c>
      <c r="IC30" s="66">
        <v>0</v>
      </c>
      <c r="ID30" s="67" t="s">
        <v>1230</v>
      </c>
      <c r="IE30" s="67" t="s">
        <v>1230</v>
      </c>
      <c r="IF30" s="67">
        <v>0</v>
      </c>
      <c r="IG30" s="187">
        <v>0</v>
      </c>
      <c r="IH30" s="67">
        <v>0</v>
      </c>
      <c r="II30" s="66">
        <v>0</v>
      </c>
      <c r="IJ30" s="66">
        <v>0</v>
      </c>
      <c r="IK30" s="66">
        <v>0</v>
      </c>
      <c r="IL30" s="66">
        <v>0</v>
      </c>
      <c r="IM30" s="66">
        <v>0</v>
      </c>
      <c r="IN30" s="66">
        <v>0</v>
      </c>
      <c r="IO30" s="66">
        <v>0</v>
      </c>
      <c r="IP30" s="66">
        <v>0</v>
      </c>
      <c r="IQ30" s="66">
        <v>0</v>
      </c>
      <c r="IR30" s="66">
        <v>0</v>
      </c>
      <c r="IS30" s="66">
        <v>0</v>
      </c>
      <c r="IT30" s="67" t="s">
        <v>1230</v>
      </c>
      <c r="IU30" s="67" t="s">
        <v>1230</v>
      </c>
      <c r="IV30" s="67">
        <v>0</v>
      </c>
      <c r="IW30" s="187">
        <v>0</v>
      </c>
      <c r="IX30" s="67">
        <v>0</v>
      </c>
    </row>
    <row r="31" spans="1:258" ht="15.6" x14ac:dyDescent="0.3">
      <c r="A31" s="169" t="s">
        <v>56</v>
      </c>
      <c r="B31" s="205" t="s">
        <v>57</v>
      </c>
      <c r="C31" s="66">
        <v>27.172000000000001</v>
      </c>
      <c r="D31" s="66">
        <v>0</v>
      </c>
      <c r="E31" s="66">
        <v>38.263285840000002</v>
      </c>
      <c r="F31" s="66">
        <v>27.172000000000001</v>
      </c>
      <c r="G31" s="66">
        <v>11.091285839999998</v>
      </c>
      <c r="H31" s="66">
        <v>26.014960179999999</v>
      </c>
      <c r="I31" s="66">
        <v>0.29673959999999999</v>
      </c>
      <c r="J31" s="66">
        <v>36.638001029999998</v>
      </c>
      <c r="K31" s="66">
        <v>26.014960179999999</v>
      </c>
      <c r="L31" s="66">
        <v>0</v>
      </c>
      <c r="M31" s="66">
        <v>10.623040849999999</v>
      </c>
      <c r="N31" s="67">
        <v>95.741793684675386</v>
      </c>
      <c r="O31" s="67">
        <v>95.778262351590442</v>
      </c>
      <c r="P31" s="67">
        <v>28.994597279752298</v>
      </c>
      <c r="Q31" s="66">
        <v>0.29673959999999999</v>
      </c>
      <c r="R31" s="67">
        <v>-1.3322676295501878E-15</v>
      </c>
      <c r="S31" s="66">
        <v>4.0235000000000003</v>
      </c>
      <c r="T31" s="66">
        <v>0</v>
      </c>
      <c r="U31" s="66">
        <v>5.5116438399999996</v>
      </c>
      <c r="V31" s="66">
        <v>4.0235000000000003</v>
      </c>
      <c r="W31" s="66">
        <v>1.48814384</v>
      </c>
      <c r="X31" s="66">
        <v>3.86186936</v>
      </c>
      <c r="Y31" s="66">
        <v>0</v>
      </c>
      <c r="Z31" s="66">
        <v>5.2902319999999996</v>
      </c>
      <c r="AA31" s="66">
        <v>3.86186936</v>
      </c>
      <c r="AB31" s="66">
        <v>0</v>
      </c>
      <c r="AC31" s="66">
        <v>1.4283626399999998</v>
      </c>
      <c r="AD31" s="67">
        <v>95.982834845283946</v>
      </c>
      <c r="AE31" s="67">
        <v>95.982834562551417</v>
      </c>
      <c r="AF31" s="67">
        <v>26.999999999999996</v>
      </c>
      <c r="AG31" s="187">
        <v>0</v>
      </c>
      <c r="AH31" s="67">
        <v>0</v>
      </c>
      <c r="AI31" s="66">
        <v>0</v>
      </c>
      <c r="AJ31" s="66">
        <v>0</v>
      </c>
      <c r="AK31" s="66">
        <v>0</v>
      </c>
      <c r="AL31" s="66">
        <v>0</v>
      </c>
      <c r="AM31" s="66">
        <v>0</v>
      </c>
      <c r="AN31" s="66">
        <v>0</v>
      </c>
      <c r="AO31" s="66">
        <v>0.29673959999999999</v>
      </c>
      <c r="AP31" s="66">
        <v>0</v>
      </c>
      <c r="AQ31" s="66">
        <v>0</v>
      </c>
      <c r="AR31" s="66">
        <v>0</v>
      </c>
      <c r="AS31" s="66">
        <v>0</v>
      </c>
      <c r="AT31" s="67" t="s">
        <v>1230</v>
      </c>
      <c r="AU31" s="67" t="s">
        <v>1230</v>
      </c>
      <c r="AV31" s="67">
        <v>0</v>
      </c>
      <c r="AW31" s="187">
        <v>0.29673959999999999</v>
      </c>
      <c r="AX31" s="67">
        <v>0</v>
      </c>
      <c r="AY31" s="66">
        <v>22.773</v>
      </c>
      <c r="AZ31" s="66">
        <v>0</v>
      </c>
      <c r="BA31" s="66">
        <v>31.832291999999999</v>
      </c>
      <c r="BB31" s="66">
        <v>22.773</v>
      </c>
      <c r="BC31" s="66">
        <v>9.0592919999999992</v>
      </c>
      <c r="BD31" s="66">
        <v>21.789472109999998</v>
      </c>
      <c r="BE31" s="66">
        <v>0</v>
      </c>
      <c r="BF31" s="66">
        <v>30.457508399999998</v>
      </c>
      <c r="BG31" s="66">
        <v>21.789472109999998</v>
      </c>
      <c r="BH31" s="66">
        <v>0</v>
      </c>
      <c r="BI31" s="66">
        <v>8.6680362899999999</v>
      </c>
      <c r="BJ31" s="67">
        <v>95.681166776445778</v>
      </c>
      <c r="BK31" s="67">
        <v>95.681166806412705</v>
      </c>
      <c r="BL31" s="67">
        <v>28.459439873289178</v>
      </c>
      <c r="BM31" s="187">
        <v>0</v>
      </c>
      <c r="BN31" s="67">
        <v>0</v>
      </c>
      <c r="BO31" s="66">
        <v>0</v>
      </c>
      <c r="BP31" s="66">
        <v>0</v>
      </c>
      <c r="BQ31" s="66">
        <v>0</v>
      </c>
      <c r="BR31" s="66">
        <v>0</v>
      </c>
      <c r="BS31" s="66">
        <v>0</v>
      </c>
      <c r="BT31" s="66">
        <v>0</v>
      </c>
      <c r="BU31" s="66">
        <v>0</v>
      </c>
      <c r="BV31" s="66">
        <v>0</v>
      </c>
      <c r="BW31" s="66">
        <v>0</v>
      </c>
      <c r="BX31" s="66">
        <v>0</v>
      </c>
      <c r="BY31" s="66">
        <v>0</v>
      </c>
      <c r="BZ31" s="67" t="s">
        <v>1230</v>
      </c>
      <c r="CA31" s="67" t="s">
        <v>1230</v>
      </c>
      <c r="CB31" s="67">
        <v>0</v>
      </c>
      <c r="CC31" s="187">
        <v>0</v>
      </c>
      <c r="CD31" s="67">
        <v>0</v>
      </c>
      <c r="CE31" s="66">
        <v>0</v>
      </c>
      <c r="CF31" s="66">
        <v>0</v>
      </c>
      <c r="CG31" s="66">
        <v>0</v>
      </c>
      <c r="CH31" s="66">
        <v>0</v>
      </c>
      <c r="CI31" s="66">
        <v>0</v>
      </c>
      <c r="CJ31" s="66">
        <v>0</v>
      </c>
      <c r="CK31" s="66">
        <v>0</v>
      </c>
      <c r="CL31" s="66">
        <v>0</v>
      </c>
      <c r="CM31" s="66">
        <v>0</v>
      </c>
      <c r="CN31" s="66">
        <v>0</v>
      </c>
      <c r="CO31" s="66">
        <v>0</v>
      </c>
      <c r="CP31" s="67" t="s">
        <v>1230</v>
      </c>
      <c r="CQ31" s="67" t="s">
        <v>1230</v>
      </c>
      <c r="CR31" s="67">
        <v>0</v>
      </c>
      <c r="CS31" s="187">
        <v>0</v>
      </c>
      <c r="CT31" s="67">
        <v>0</v>
      </c>
      <c r="CU31" s="66">
        <v>0</v>
      </c>
      <c r="CV31" s="66">
        <v>0</v>
      </c>
      <c r="CW31" s="66">
        <v>0</v>
      </c>
      <c r="CX31" s="66">
        <v>0</v>
      </c>
      <c r="CY31" s="66">
        <v>0</v>
      </c>
      <c r="CZ31" s="66">
        <v>0</v>
      </c>
      <c r="DA31" s="66">
        <v>0</v>
      </c>
      <c r="DB31" s="66">
        <v>0</v>
      </c>
      <c r="DC31" s="66">
        <v>0</v>
      </c>
      <c r="DD31" s="66">
        <v>0</v>
      </c>
      <c r="DE31" s="66">
        <v>0</v>
      </c>
      <c r="DF31" s="67" t="s">
        <v>1230</v>
      </c>
      <c r="DG31" s="67" t="s">
        <v>1230</v>
      </c>
      <c r="DH31" s="67">
        <v>0</v>
      </c>
      <c r="DI31" s="187">
        <v>0</v>
      </c>
      <c r="DJ31" s="67">
        <v>0</v>
      </c>
      <c r="DK31" s="66">
        <v>0</v>
      </c>
      <c r="DL31" s="66">
        <v>0</v>
      </c>
      <c r="DM31" s="66">
        <v>0</v>
      </c>
      <c r="DN31" s="66">
        <v>0</v>
      </c>
      <c r="DO31" s="66">
        <v>0</v>
      </c>
      <c r="DP31" s="66">
        <v>0</v>
      </c>
      <c r="DQ31" s="66">
        <v>0</v>
      </c>
      <c r="DR31" s="66">
        <v>0</v>
      </c>
      <c r="DS31" s="66">
        <v>0</v>
      </c>
      <c r="DT31" s="66">
        <v>0</v>
      </c>
      <c r="DU31" s="66">
        <v>0</v>
      </c>
      <c r="DV31" s="67" t="s">
        <v>1230</v>
      </c>
      <c r="DW31" s="67" t="s">
        <v>1230</v>
      </c>
      <c r="DX31" s="67">
        <v>0</v>
      </c>
      <c r="DY31" s="187">
        <v>0</v>
      </c>
      <c r="DZ31" s="67">
        <v>0</v>
      </c>
      <c r="EA31" s="66">
        <v>0</v>
      </c>
      <c r="EB31" s="66">
        <v>0</v>
      </c>
      <c r="EC31" s="66">
        <v>0</v>
      </c>
      <c r="ED31" s="66">
        <v>0</v>
      </c>
      <c r="EE31" s="66">
        <v>0</v>
      </c>
      <c r="EF31" s="66">
        <v>0</v>
      </c>
      <c r="EG31" s="66">
        <v>0</v>
      </c>
      <c r="EH31" s="66">
        <v>0</v>
      </c>
      <c r="EI31" s="66">
        <v>0</v>
      </c>
      <c r="EJ31" s="66">
        <v>0</v>
      </c>
      <c r="EK31" s="66">
        <v>0</v>
      </c>
      <c r="EL31" s="67" t="s">
        <v>1230</v>
      </c>
      <c r="EM31" s="67" t="s">
        <v>1230</v>
      </c>
      <c r="EN31" s="67">
        <v>0</v>
      </c>
      <c r="EO31" s="187">
        <v>0</v>
      </c>
      <c r="EP31" s="67">
        <v>0</v>
      </c>
      <c r="EQ31" s="66">
        <v>0</v>
      </c>
      <c r="ER31" s="66">
        <v>0</v>
      </c>
      <c r="ES31" s="66">
        <v>0</v>
      </c>
      <c r="ET31" s="66">
        <v>0</v>
      </c>
      <c r="EU31" s="66">
        <v>0</v>
      </c>
      <c r="EV31" s="66">
        <v>0</v>
      </c>
      <c r="EW31" s="66">
        <v>0</v>
      </c>
      <c r="EX31" s="66">
        <v>0</v>
      </c>
      <c r="EY31" s="66">
        <v>0</v>
      </c>
      <c r="EZ31" s="66">
        <v>0</v>
      </c>
      <c r="FA31" s="66">
        <v>0</v>
      </c>
      <c r="FB31" s="67" t="s">
        <v>1230</v>
      </c>
      <c r="FC31" s="67" t="s">
        <v>1230</v>
      </c>
      <c r="FD31" s="67">
        <v>0</v>
      </c>
      <c r="FE31" s="187">
        <v>0</v>
      </c>
      <c r="FF31" s="67">
        <v>0</v>
      </c>
      <c r="FG31" s="66">
        <v>0</v>
      </c>
      <c r="FH31" s="66">
        <v>0</v>
      </c>
      <c r="FI31" s="66">
        <v>0</v>
      </c>
      <c r="FJ31" s="66">
        <v>0</v>
      </c>
      <c r="FK31" s="66">
        <v>0</v>
      </c>
      <c r="FL31" s="66">
        <v>0</v>
      </c>
      <c r="FM31" s="66">
        <v>0</v>
      </c>
      <c r="FN31" s="66">
        <v>0</v>
      </c>
      <c r="FO31" s="66">
        <v>0</v>
      </c>
      <c r="FP31" s="66">
        <v>0</v>
      </c>
      <c r="FQ31" s="66">
        <v>0</v>
      </c>
      <c r="FR31" s="67" t="s">
        <v>1230</v>
      </c>
      <c r="FS31" s="67" t="s">
        <v>1230</v>
      </c>
      <c r="FT31" s="67">
        <v>0</v>
      </c>
      <c r="FU31" s="187">
        <v>0</v>
      </c>
      <c r="FV31" s="67">
        <v>0</v>
      </c>
      <c r="FW31" s="66">
        <v>0</v>
      </c>
      <c r="FX31" s="66">
        <v>0</v>
      </c>
      <c r="FY31" s="66">
        <v>0</v>
      </c>
      <c r="FZ31" s="66">
        <v>0</v>
      </c>
      <c r="GA31" s="66">
        <v>0</v>
      </c>
      <c r="GB31" s="66">
        <v>0</v>
      </c>
      <c r="GC31" s="66">
        <v>0</v>
      </c>
      <c r="GD31" s="66">
        <v>0</v>
      </c>
      <c r="GE31" s="66">
        <v>0</v>
      </c>
      <c r="GF31" s="66">
        <v>0</v>
      </c>
      <c r="GG31" s="66">
        <v>0</v>
      </c>
      <c r="GH31" s="67" t="s">
        <v>1230</v>
      </c>
      <c r="GI31" s="67" t="s">
        <v>1230</v>
      </c>
      <c r="GJ31" s="67">
        <v>0</v>
      </c>
      <c r="GK31" s="187">
        <v>0</v>
      </c>
      <c r="GL31" s="67">
        <v>0</v>
      </c>
      <c r="GM31" s="66">
        <v>0</v>
      </c>
      <c r="GN31" s="66">
        <v>0</v>
      </c>
      <c r="GO31" s="66">
        <v>0</v>
      </c>
      <c r="GP31" s="66">
        <v>0</v>
      </c>
      <c r="GQ31" s="66">
        <v>0</v>
      </c>
      <c r="GR31" s="66">
        <v>0</v>
      </c>
      <c r="GS31" s="66">
        <v>0</v>
      </c>
      <c r="GT31" s="66">
        <v>0</v>
      </c>
      <c r="GU31" s="66">
        <v>0</v>
      </c>
      <c r="GV31" s="66">
        <v>0</v>
      </c>
      <c r="GW31" s="66">
        <v>0</v>
      </c>
      <c r="GX31" s="67" t="s">
        <v>1230</v>
      </c>
      <c r="GY31" s="67" t="s">
        <v>1230</v>
      </c>
      <c r="GZ31" s="67">
        <v>0</v>
      </c>
      <c r="HA31" s="187">
        <v>0</v>
      </c>
      <c r="HB31" s="67">
        <v>0</v>
      </c>
      <c r="HC31" s="66">
        <v>0.3755</v>
      </c>
      <c r="HD31" s="66">
        <v>0</v>
      </c>
      <c r="HE31" s="66">
        <v>0.91935</v>
      </c>
      <c r="HF31" s="66">
        <v>0.3755</v>
      </c>
      <c r="HG31" s="66">
        <v>0.54384999999999994</v>
      </c>
      <c r="HH31" s="66">
        <v>0.36361871000000001</v>
      </c>
      <c r="HI31" s="66">
        <v>0</v>
      </c>
      <c r="HJ31" s="66">
        <v>0.89026063</v>
      </c>
      <c r="HK31" s="66">
        <v>0.36361871000000001</v>
      </c>
      <c r="HL31" s="66">
        <v>0</v>
      </c>
      <c r="HM31" s="66">
        <v>0.5266419200000001</v>
      </c>
      <c r="HN31" s="67">
        <v>96.835874833555252</v>
      </c>
      <c r="HO31" s="67">
        <v>96.835877539762834</v>
      </c>
      <c r="HP31" s="67">
        <v>59.155926057294039</v>
      </c>
      <c r="HQ31" s="187">
        <v>0</v>
      </c>
      <c r="HR31" s="67">
        <v>0</v>
      </c>
      <c r="HS31" s="66">
        <v>0</v>
      </c>
      <c r="HT31" s="66">
        <v>0</v>
      </c>
      <c r="HU31" s="66">
        <v>0</v>
      </c>
      <c r="HV31" s="66">
        <v>0</v>
      </c>
      <c r="HW31" s="66">
        <v>0</v>
      </c>
      <c r="HX31" s="66">
        <v>0</v>
      </c>
      <c r="HY31" s="66">
        <v>0</v>
      </c>
      <c r="HZ31" s="66">
        <v>0</v>
      </c>
      <c r="IA31" s="66">
        <v>0</v>
      </c>
      <c r="IB31" s="66">
        <v>0</v>
      </c>
      <c r="IC31" s="66">
        <v>0</v>
      </c>
      <c r="ID31" s="67" t="s">
        <v>1230</v>
      </c>
      <c r="IE31" s="67" t="s">
        <v>1230</v>
      </c>
      <c r="IF31" s="67">
        <v>0</v>
      </c>
      <c r="IG31" s="187">
        <v>0</v>
      </c>
      <c r="IH31" s="67">
        <v>0</v>
      </c>
      <c r="II31" s="66">
        <v>0</v>
      </c>
      <c r="IJ31" s="66">
        <v>0</v>
      </c>
      <c r="IK31" s="66">
        <v>0</v>
      </c>
      <c r="IL31" s="66">
        <v>0</v>
      </c>
      <c r="IM31" s="66">
        <v>0</v>
      </c>
      <c r="IN31" s="66">
        <v>0</v>
      </c>
      <c r="IO31" s="66">
        <v>0</v>
      </c>
      <c r="IP31" s="66">
        <v>0</v>
      </c>
      <c r="IQ31" s="66">
        <v>0</v>
      </c>
      <c r="IR31" s="66">
        <v>0</v>
      </c>
      <c r="IS31" s="66">
        <v>0</v>
      </c>
      <c r="IT31" s="67" t="s">
        <v>1230</v>
      </c>
      <c r="IU31" s="67" t="s">
        <v>1230</v>
      </c>
      <c r="IV31" s="67">
        <v>0</v>
      </c>
      <c r="IW31" s="187">
        <v>0</v>
      </c>
      <c r="IX31" s="67">
        <v>0</v>
      </c>
    </row>
    <row r="32" spans="1:258" ht="15.6" x14ac:dyDescent="0.3">
      <c r="A32" s="169" t="s">
        <v>59</v>
      </c>
      <c r="B32" s="205" t="s">
        <v>60</v>
      </c>
      <c r="C32" s="66">
        <v>22.095499999999998</v>
      </c>
      <c r="D32" s="66">
        <v>0</v>
      </c>
      <c r="E32" s="66">
        <v>31.120422000000001</v>
      </c>
      <c r="F32" s="66">
        <v>22.095499999999998</v>
      </c>
      <c r="G32" s="66">
        <v>9.0249220000000001</v>
      </c>
      <c r="H32" s="66">
        <v>21.00474346</v>
      </c>
      <c r="I32" s="66">
        <v>7.4402289999999996E-2</v>
      </c>
      <c r="J32" s="66">
        <v>29.584145209999999</v>
      </c>
      <c r="K32" s="66">
        <v>21.004743449999999</v>
      </c>
      <c r="L32" s="66">
        <v>0</v>
      </c>
      <c r="M32" s="66">
        <v>8.5794017599999997</v>
      </c>
      <c r="N32" s="67">
        <v>95.063444819080814</v>
      </c>
      <c r="O32" s="67">
        <v>95.063444980466301</v>
      </c>
      <c r="P32" s="67">
        <v>28.999998813891708</v>
      </c>
      <c r="Q32" s="66">
        <v>7.4402289999999996E-2</v>
      </c>
      <c r="R32" s="67">
        <v>9.9999991481913852E-9</v>
      </c>
      <c r="S32" s="66">
        <v>6.6551999999999998</v>
      </c>
      <c r="T32" s="66">
        <v>0</v>
      </c>
      <c r="U32" s="66">
        <v>9.3735210000000002</v>
      </c>
      <c r="V32" s="66">
        <v>6.6551999999999998</v>
      </c>
      <c r="W32" s="66">
        <v>2.718321</v>
      </c>
      <c r="X32" s="66">
        <v>6.6551999999999998</v>
      </c>
      <c r="Y32" s="66">
        <v>0</v>
      </c>
      <c r="Z32" s="66">
        <v>9.3735210000000002</v>
      </c>
      <c r="AA32" s="66">
        <v>6.6551999999999998</v>
      </c>
      <c r="AB32" s="66">
        <v>0</v>
      </c>
      <c r="AC32" s="66">
        <v>2.718321</v>
      </c>
      <c r="AD32" s="67">
        <v>100</v>
      </c>
      <c r="AE32" s="67">
        <v>100</v>
      </c>
      <c r="AF32" s="67">
        <v>28.999999039848522</v>
      </c>
      <c r="AG32" s="187">
        <v>0</v>
      </c>
      <c r="AH32" s="67">
        <v>0</v>
      </c>
      <c r="AI32" s="66">
        <v>0</v>
      </c>
      <c r="AJ32" s="66">
        <v>0</v>
      </c>
      <c r="AK32" s="66">
        <v>0</v>
      </c>
      <c r="AL32" s="66">
        <v>0</v>
      </c>
      <c r="AM32" s="66">
        <v>0</v>
      </c>
      <c r="AN32" s="66">
        <v>0</v>
      </c>
      <c r="AO32" s="66">
        <v>7.4402289999999996E-2</v>
      </c>
      <c r="AP32" s="66">
        <v>0</v>
      </c>
      <c r="AQ32" s="66">
        <v>0</v>
      </c>
      <c r="AR32" s="66">
        <v>0</v>
      </c>
      <c r="AS32" s="66">
        <v>0</v>
      </c>
      <c r="AT32" s="67" t="s">
        <v>1230</v>
      </c>
      <c r="AU32" s="67" t="s">
        <v>1230</v>
      </c>
      <c r="AV32" s="67">
        <v>0</v>
      </c>
      <c r="AW32" s="187">
        <v>7.4402289999999996E-2</v>
      </c>
      <c r="AX32" s="67">
        <v>0</v>
      </c>
      <c r="AY32" s="66">
        <v>14.854200000000001</v>
      </c>
      <c r="AZ32" s="66">
        <v>0</v>
      </c>
      <c r="BA32" s="66">
        <v>20.921408</v>
      </c>
      <c r="BB32" s="66">
        <v>14.854200000000001</v>
      </c>
      <c r="BC32" s="66">
        <v>6.0672079999999999</v>
      </c>
      <c r="BD32" s="66">
        <v>13.763443779999999</v>
      </c>
      <c r="BE32" s="66">
        <v>0</v>
      </c>
      <c r="BF32" s="66">
        <v>19.385131659999999</v>
      </c>
      <c r="BG32" s="66">
        <v>13.76344377</v>
      </c>
      <c r="BH32" s="66">
        <v>0</v>
      </c>
      <c r="BI32" s="66">
        <v>5.6216878899999996</v>
      </c>
      <c r="BJ32" s="67">
        <v>92.656917033566259</v>
      </c>
      <c r="BK32" s="67">
        <v>92.656917152007964</v>
      </c>
      <c r="BL32" s="67">
        <v>28.999998496786066</v>
      </c>
      <c r="BM32" s="187">
        <v>0</v>
      </c>
      <c r="BN32" s="67">
        <v>9.9999990510468706E-9</v>
      </c>
      <c r="BO32" s="66">
        <v>0</v>
      </c>
      <c r="BP32" s="66">
        <v>0</v>
      </c>
      <c r="BQ32" s="66">
        <v>0</v>
      </c>
      <c r="BR32" s="66">
        <v>0</v>
      </c>
      <c r="BS32" s="66">
        <v>0</v>
      </c>
      <c r="BT32" s="66">
        <v>0</v>
      </c>
      <c r="BU32" s="66">
        <v>0</v>
      </c>
      <c r="BV32" s="66">
        <v>0</v>
      </c>
      <c r="BW32" s="66">
        <v>0</v>
      </c>
      <c r="BX32" s="66">
        <v>0</v>
      </c>
      <c r="BY32" s="66">
        <v>0</v>
      </c>
      <c r="BZ32" s="67" t="s">
        <v>1230</v>
      </c>
      <c r="CA32" s="67" t="s">
        <v>1230</v>
      </c>
      <c r="CB32" s="67">
        <v>0</v>
      </c>
      <c r="CC32" s="187">
        <v>0</v>
      </c>
      <c r="CD32" s="67">
        <v>0</v>
      </c>
      <c r="CE32" s="66">
        <v>0</v>
      </c>
      <c r="CF32" s="66">
        <v>0</v>
      </c>
      <c r="CG32" s="66">
        <v>0</v>
      </c>
      <c r="CH32" s="66">
        <v>0</v>
      </c>
      <c r="CI32" s="66">
        <v>0</v>
      </c>
      <c r="CJ32" s="66">
        <v>0</v>
      </c>
      <c r="CK32" s="66">
        <v>0</v>
      </c>
      <c r="CL32" s="66">
        <v>0</v>
      </c>
      <c r="CM32" s="66">
        <v>0</v>
      </c>
      <c r="CN32" s="66">
        <v>0</v>
      </c>
      <c r="CO32" s="66">
        <v>0</v>
      </c>
      <c r="CP32" s="67" t="s">
        <v>1230</v>
      </c>
      <c r="CQ32" s="67" t="s">
        <v>1230</v>
      </c>
      <c r="CR32" s="67">
        <v>0</v>
      </c>
      <c r="CS32" s="187">
        <v>0</v>
      </c>
      <c r="CT32" s="67">
        <v>0</v>
      </c>
      <c r="CU32" s="66">
        <v>0</v>
      </c>
      <c r="CV32" s="66">
        <v>0</v>
      </c>
      <c r="CW32" s="66">
        <v>0</v>
      </c>
      <c r="CX32" s="66">
        <v>0</v>
      </c>
      <c r="CY32" s="66">
        <v>0</v>
      </c>
      <c r="CZ32" s="66">
        <v>0</v>
      </c>
      <c r="DA32" s="66">
        <v>0</v>
      </c>
      <c r="DB32" s="66">
        <v>0</v>
      </c>
      <c r="DC32" s="66">
        <v>0</v>
      </c>
      <c r="DD32" s="66">
        <v>0</v>
      </c>
      <c r="DE32" s="66">
        <v>0</v>
      </c>
      <c r="DF32" s="67" t="s">
        <v>1230</v>
      </c>
      <c r="DG32" s="67" t="s">
        <v>1230</v>
      </c>
      <c r="DH32" s="67">
        <v>0</v>
      </c>
      <c r="DI32" s="187">
        <v>0</v>
      </c>
      <c r="DJ32" s="67">
        <v>0</v>
      </c>
      <c r="DK32" s="66">
        <v>0</v>
      </c>
      <c r="DL32" s="66">
        <v>0</v>
      </c>
      <c r="DM32" s="66">
        <v>0</v>
      </c>
      <c r="DN32" s="66">
        <v>0</v>
      </c>
      <c r="DO32" s="66">
        <v>0</v>
      </c>
      <c r="DP32" s="66">
        <v>0</v>
      </c>
      <c r="DQ32" s="66">
        <v>0</v>
      </c>
      <c r="DR32" s="66">
        <v>0</v>
      </c>
      <c r="DS32" s="66">
        <v>0</v>
      </c>
      <c r="DT32" s="66">
        <v>0</v>
      </c>
      <c r="DU32" s="66">
        <v>0</v>
      </c>
      <c r="DV32" s="67" t="s">
        <v>1230</v>
      </c>
      <c r="DW32" s="67" t="s">
        <v>1230</v>
      </c>
      <c r="DX32" s="67">
        <v>0</v>
      </c>
      <c r="DY32" s="187">
        <v>0</v>
      </c>
      <c r="DZ32" s="67">
        <v>0</v>
      </c>
      <c r="EA32" s="66">
        <v>0</v>
      </c>
      <c r="EB32" s="66">
        <v>0</v>
      </c>
      <c r="EC32" s="66">
        <v>0</v>
      </c>
      <c r="ED32" s="66">
        <v>0</v>
      </c>
      <c r="EE32" s="66">
        <v>0</v>
      </c>
      <c r="EF32" s="66">
        <v>0</v>
      </c>
      <c r="EG32" s="66">
        <v>0</v>
      </c>
      <c r="EH32" s="66">
        <v>0</v>
      </c>
      <c r="EI32" s="66">
        <v>0</v>
      </c>
      <c r="EJ32" s="66">
        <v>0</v>
      </c>
      <c r="EK32" s="66">
        <v>0</v>
      </c>
      <c r="EL32" s="67" t="s">
        <v>1230</v>
      </c>
      <c r="EM32" s="67" t="s">
        <v>1230</v>
      </c>
      <c r="EN32" s="67">
        <v>0</v>
      </c>
      <c r="EO32" s="187">
        <v>0</v>
      </c>
      <c r="EP32" s="67">
        <v>0</v>
      </c>
      <c r="EQ32" s="66">
        <v>0</v>
      </c>
      <c r="ER32" s="66">
        <v>0</v>
      </c>
      <c r="ES32" s="66">
        <v>0</v>
      </c>
      <c r="ET32" s="66">
        <v>0</v>
      </c>
      <c r="EU32" s="66">
        <v>0</v>
      </c>
      <c r="EV32" s="66">
        <v>0</v>
      </c>
      <c r="EW32" s="66">
        <v>0</v>
      </c>
      <c r="EX32" s="66">
        <v>0</v>
      </c>
      <c r="EY32" s="66">
        <v>0</v>
      </c>
      <c r="EZ32" s="66">
        <v>0</v>
      </c>
      <c r="FA32" s="66">
        <v>0</v>
      </c>
      <c r="FB32" s="67" t="s">
        <v>1230</v>
      </c>
      <c r="FC32" s="67" t="s">
        <v>1230</v>
      </c>
      <c r="FD32" s="67">
        <v>0</v>
      </c>
      <c r="FE32" s="187">
        <v>0</v>
      </c>
      <c r="FF32" s="67">
        <v>0</v>
      </c>
      <c r="FG32" s="66">
        <v>0</v>
      </c>
      <c r="FH32" s="66">
        <v>0</v>
      </c>
      <c r="FI32" s="66">
        <v>0</v>
      </c>
      <c r="FJ32" s="66">
        <v>0</v>
      </c>
      <c r="FK32" s="66">
        <v>0</v>
      </c>
      <c r="FL32" s="66">
        <v>0</v>
      </c>
      <c r="FM32" s="66">
        <v>0</v>
      </c>
      <c r="FN32" s="66">
        <v>0</v>
      </c>
      <c r="FO32" s="66">
        <v>0</v>
      </c>
      <c r="FP32" s="66">
        <v>0</v>
      </c>
      <c r="FQ32" s="66">
        <v>0</v>
      </c>
      <c r="FR32" s="67" t="s">
        <v>1230</v>
      </c>
      <c r="FS32" s="67" t="s">
        <v>1230</v>
      </c>
      <c r="FT32" s="67">
        <v>0</v>
      </c>
      <c r="FU32" s="187">
        <v>0</v>
      </c>
      <c r="FV32" s="67">
        <v>0</v>
      </c>
      <c r="FW32" s="66">
        <v>0</v>
      </c>
      <c r="FX32" s="66">
        <v>0</v>
      </c>
      <c r="FY32" s="66">
        <v>0</v>
      </c>
      <c r="FZ32" s="66">
        <v>0</v>
      </c>
      <c r="GA32" s="66">
        <v>0</v>
      </c>
      <c r="GB32" s="66">
        <v>0</v>
      </c>
      <c r="GC32" s="66">
        <v>0</v>
      </c>
      <c r="GD32" s="66">
        <v>0</v>
      </c>
      <c r="GE32" s="66">
        <v>0</v>
      </c>
      <c r="GF32" s="66">
        <v>0</v>
      </c>
      <c r="GG32" s="66">
        <v>0</v>
      </c>
      <c r="GH32" s="67" t="s">
        <v>1230</v>
      </c>
      <c r="GI32" s="67" t="s">
        <v>1230</v>
      </c>
      <c r="GJ32" s="67">
        <v>0</v>
      </c>
      <c r="GK32" s="187">
        <v>0</v>
      </c>
      <c r="GL32" s="67">
        <v>0</v>
      </c>
      <c r="GM32" s="66">
        <v>0</v>
      </c>
      <c r="GN32" s="66">
        <v>0</v>
      </c>
      <c r="GO32" s="66">
        <v>0</v>
      </c>
      <c r="GP32" s="66">
        <v>0</v>
      </c>
      <c r="GQ32" s="66">
        <v>0</v>
      </c>
      <c r="GR32" s="66">
        <v>0</v>
      </c>
      <c r="GS32" s="66">
        <v>0</v>
      </c>
      <c r="GT32" s="66">
        <v>0</v>
      </c>
      <c r="GU32" s="66">
        <v>0</v>
      </c>
      <c r="GV32" s="66">
        <v>0</v>
      </c>
      <c r="GW32" s="66">
        <v>0</v>
      </c>
      <c r="GX32" s="67" t="s">
        <v>1230</v>
      </c>
      <c r="GY32" s="67" t="s">
        <v>1230</v>
      </c>
      <c r="GZ32" s="67">
        <v>0</v>
      </c>
      <c r="HA32" s="187">
        <v>0</v>
      </c>
      <c r="HB32" s="67">
        <v>0</v>
      </c>
      <c r="HC32" s="66">
        <v>0.58609999999999995</v>
      </c>
      <c r="HD32" s="66">
        <v>0</v>
      </c>
      <c r="HE32" s="66">
        <v>0.82549300000000003</v>
      </c>
      <c r="HF32" s="66">
        <v>0.58609999999999995</v>
      </c>
      <c r="HG32" s="66">
        <v>0.23939299999999999</v>
      </c>
      <c r="HH32" s="66">
        <v>0.58609968000000001</v>
      </c>
      <c r="HI32" s="66">
        <v>0</v>
      </c>
      <c r="HJ32" s="66">
        <v>0.82549254999999999</v>
      </c>
      <c r="HK32" s="66">
        <v>0.58609968000000001</v>
      </c>
      <c r="HL32" s="66">
        <v>0</v>
      </c>
      <c r="HM32" s="66">
        <v>0.23939287000000001</v>
      </c>
      <c r="HN32" s="67">
        <v>99.999945401808574</v>
      </c>
      <c r="HO32" s="67">
        <v>99.999945695989439</v>
      </c>
      <c r="HP32" s="67">
        <v>29.000003694763809</v>
      </c>
      <c r="HQ32" s="187">
        <v>0</v>
      </c>
      <c r="HR32" s="67">
        <v>0</v>
      </c>
      <c r="HS32" s="66">
        <v>0</v>
      </c>
      <c r="HT32" s="66">
        <v>0</v>
      </c>
      <c r="HU32" s="66">
        <v>0</v>
      </c>
      <c r="HV32" s="66">
        <v>0</v>
      </c>
      <c r="HW32" s="66">
        <v>0</v>
      </c>
      <c r="HX32" s="66">
        <v>0</v>
      </c>
      <c r="HY32" s="66">
        <v>0</v>
      </c>
      <c r="HZ32" s="66">
        <v>0</v>
      </c>
      <c r="IA32" s="66">
        <v>0</v>
      </c>
      <c r="IB32" s="66">
        <v>0</v>
      </c>
      <c r="IC32" s="66">
        <v>0</v>
      </c>
      <c r="ID32" s="67" t="s">
        <v>1230</v>
      </c>
      <c r="IE32" s="67" t="s">
        <v>1230</v>
      </c>
      <c r="IF32" s="67">
        <v>0</v>
      </c>
      <c r="IG32" s="187">
        <v>0</v>
      </c>
      <c r="IH32" s="67">
        <v>0</v>
      </c>
      <c r="II32" s="66">
        <v>0</v>
      </c>
      <c r="IJ32" s="66">
        <v>0</v>
      </c>
      <c r="IK32" s="66">
        <v>0</v>
      </c>
      <c r="IL32" s="66">
        <v>0</v>
      </c>
      <c r="IM32" s="66">
        <v>0</v>
      </c>
      <c r="IN32" s="66">
        <v>0</v>
      </c>
      <c r="IO32" s="66">
        <v>0</v>
      </c>
      <c r="IP32" s="66">
        <v>0</v>
      </c>
      <c r="IQ32" s="66">
        <v>0</v>
      </c>
      <c r="IR32" s="66">
        <v>0</v>
      </c>
      <c r="IS32" s="66">
        <v>0</v>
      </c>
      <c r="IT32" s="67" t="s">
        <v>1230</v>
      </c>
      <c r="IU32" s="67" t="s">
        <v>1230</v>
      </c>
      <c r="IV32" s="67">
        <v>0</v>
      </c>
      <c r="IW32" s="187">
        <v>0</v>
      </c>
      <c r="IX32" s="67">
        <v>0</v>
      </c>
    </row>
    <row r="33" spans="1:258" ht="15.6" x14ac:dyDescent="0.3">
      <c r="A33" s="202" t="s">
        <v>62</v>
      </c>
      <c r="B33" s="203" t="s">
        <v>63</v>
      </c>
      <c r="C33" s="61">
        <v>407.14699999999999</v>
      </c>
      <c r="D33" s="61">
        <v>0</v>
      </c>
      <c r="E33" s="61">
        <v>732.62580696999999</v>
      </c>
      <c r="F33" s="61">
        <v>407.14699999999999</v>
      </c>
      <c r="G33" s="61">
        <v>325.47880697000005</v>
      </c>
      <c r="H33" s="61">
        <v>401.74834984</v>
      </c>
      <c r="I33" s="61">
        <v>9.1203917600000004</v>
      </c>
      <c r="J33" s="61">
        <v>723.54495138999994</v>
      </c>
      <c r="K33" s="61">
        <v>401.59067329999993</v>
      </c>
      <c r="L33" s="61">
        <v>0</v>
      </c>
      <c r="M33" s="61">
        <v>321.95427809</v>
      </c>
      <c r="N33" s="61">
        <v>98.635302065347403</v>
      </c>
      <c r="O33" s="61">
        <v>98.91712492349005</v>
      </c>
      <c r="P33" s="61">
        <v>44.496790071092981</v>
      </c>
      <c r="Q33" s="61">
        <v>9.0590549700000018</v>
      </c>
      <c r="R33" s="61">
        <v>0.21901333000002193</v>
      </c>
      <c r="S33" s="61">
        <v>249.67790000000002</v>
      </c>
      <c r="T33" s="61">
        <v>0</v>
      </c>
      <c r="U33" s="61">
        <v>465.24650995999997</v>
      </c>
      <c r="V33" s="61">
        <v>249.67790000000002</v>
      </c>
      <c r="W33" s="61">
        <v>215.56860996000003</v>
      </c>
      <c r="X33" s="61">
        <v>249.32229841000003</v>
      </c>
      <c r="Y33" s="61">
        <v>3.7488569900000002</v>
      </c>
      <c r="Z33" s="61">
        <v>464.26133340999996</v>
      </c>
      <c r="AA33" s="61">
        <v>249.16833711999999</v>
      </c>
      <c r="AB33" s="61">
        <v>0</v>
      </c>
      <c r="AC33" s="61">
        <v>215.09299629</v>
      </c>
      <c r="AD33" s="61">
        <v>99.795911900893103</v>
      </c>
      <c r="AE33" s="61">
        <v>99.779367844841474</v>
      </c>
      <c r="AF33" s="61">
        <v>46.330155197319947</v>
      </c>
      <c r="AG33" s="61">
        <v>3.6875202000000002</v>
      </c>
      <c r="AH33" s="61">
        <v>0.21529808000000858</v>
      </c>
      <c r="AI33" s="61">
        <v>0</v>
      </c>
      <c r="AJ33" s="61">
        <v>0</v>
      </c>
      <c r="AK33" s="61">
        <v>0</v>
      </c>
      <c r="AL33" s="61">
        <v>0</v>
      </c>
      <c r="AM33" s="61">
        <v>0</v>
      </c>
      <c r="AN33" s="61">
        <v>0</v>
      </c>
      <c r="AO33" s="61">
        <v>1.4947281699999999</v>
      </c>
      <c r="AP33" s="61">
        <v>0</v>
      </c>
      <c r="AQ33" s="61">
        <v>0</v>
      </c>
      <c r="AR33" s="61">
        <v>0</v>
      </c>
      <c r="AS33" s="61">
        <v>0</v>
      </c>
      <c r="AT33" s="61" t="s">
        <v>1230</v>
      </c>
      <c r="AU33" s="61" t="s">
        <v>1230</v>
      </c>
      <c r="AV33" s="61">
        <v>0</v>
      </c>
      <c r="AW33" s="61">
        <v>1.4947281699999999</v>
      </c>
      <c r="AX33" s="61">
        <v>0</v>
      </c>
      <c r="AY33" s="61">
        <v>118.7033</v>
      </c>
      <c r="AZ33" s="61">
        <v>0</v>
      </c>
      <c r="BA33" s="61">
        <v>196.08451595</v>
      </c>
      <c r="BB33" s="61">
        <v>118.7033</v>
      </c>
      <c r="BC33" s="61">
        <v>77.381215949999998</v>
      </c>
      <c r="BD33" s="61">
        <v>113.66093585</v>
      </c>
      <c r="BE33" s="61">
        <v>1.7106666000000001</v>
      </c>
      <c r="BF33" s="61">
        <v>187.99023398999998</v>
      </c>
      <c r="BG33" s="61">
        <v>113.6572206</v>
      </c>
      <c r="BH33" s="61">
        <v>0</v>
      </c>
      <c r="BI33" s="61">
        <v>74.333013389999991</v>
      </c>
      <c r="BJ33" s="61">
        <v>95.748998216561802</v>
      </c>
      <c r="BK33" s="61">
        <v>96.060797801407503</v>
      </c>
      <c r="BL33" s="61">
        <v>39.54089093476744</v>
      </c>
      <c r="BM33" s="61">
        <v>1.7106666000000001</v>
      </c>
      <c r="BN33" s="61">
        <v>3.7152500000092736E-3</v>
      </c>
      <c r="BO33" s="61">
        <v>0</v>
      </c>
      <c r="BP33" s="61">
        <v>0</v>
      </c>
      <c r="BQ33" s="61">
        <v>0</v>
      </c>
      <c r="BR33" s="61">
        <v>0</v>
      </c>
      <c r="BS33" s="61">
        <v>0</v>
      </c>
      <c r="BT33" s="61">
        <v>0</v>
      </c>
      <c r="BU33" s="61">
        <v>0</v>
      </c>
      <c r="BV33" s="61">
        <v>0</v>
      </c>
      <c r="BW33" s="61">
        <v>0</v>
      </c>
      <c r="BX33" s="61">
        <v>0</v>
      </c>
      <c r="BY33" s="61">
        <v>0</v>
      </c>
      <c r="BZ33" s="61" t="s">
        <v>1230</v>
      </c>
      <c r="CA33" s="61" t="s">
        <v>1230</v>
      </c>
      <c r="CB33" s="61">
        <v>0</v>
      </c>
      <c r="CC33" s="61">
        <v>0</v>
      </c>
      <c r="CD33" s="61">
        <v>0</v>
      </c>
      <c r="CE33" s="61">
        <v>0</v>
      </c>
      <c r="CF33" s="61">
        <v>0</v>
      </c>
      <c r="CG33" s="61">
        <v>0</v>
      </c>
      <c r="CH33" s="61">
        <v>0</v>
      </c>
      <c r="CI33" s="61">
        <v>0</v>
      </c>
      <c r="CJ33" s="61">
        <v>0</v>
      </c>
      <c r="CK33" s="61">
        <v>0</v>
      </c>
      <c r="CL33" s="61">
        <v>0</v>
      </c>
      <c r="CM33" s="61">
        <v>0</v>
      </c>
      <c r="CN33" s="61">
        <v>0</v>
      </c>
      <c r="CO33" s="61">
        <v>0</v>
      </c>
      <c r="CP33" s="61" t="s">
        <v>1230</v>
      </c>
      <c r="CQ33" s="61" t="s">
        <v>1230</v>
      </c>
      <c r="CR33" s="61">
        <v>0</v>
      </c>
      <c r="CS33" s="61">
        <v>0</v>
      </c>
      <c r="CT33" s="61">
        <v>0</v>
      </c>
      <c r="CU33" s="61">
        <v>0</v>
      </c>
      <c r="CV33" s="61">
        <v>0</v>
      </c>
      <c r="CW33" s="61">
        <v>0</v>
      </c>
      <c r="CX33" s="61">
        <v>0</v>
      </c>
      <c r="CY33" s="61">
        <v>0</v>
      </c>
      <c r="CZ33" s="61">
        <v>0</v>
      </c>
      <c r="DA33" s="61">
        <v>0</v>
      </c>
      <c r="DB33" s="61">
        <v>0</v>
      </c>
      <c r="DC33" s="61">
        <v>0</v>
      </c>
      <c r="DD33" s="61">
        <v>0</v>
      </c>
      <c r="DE33" s="61">
        <v>0</v>
      </c>
      <c r="DF33" s="61" t="s">
        <v>1230</v>
      </c>
      <c r="DG33" s="61" t="s">
        <v>1230</v>
      </c>
      <c r="DH33" s="61">
        <v>0</v>
      </c>
      <c r="DI33" s="61">
        <v>0</v>
      </c>
      <c r="DJ33" s="61">
        <v>0</v>
      </c>
      <c r="DK33" s="61">
        <v>6.2721999999999998</v>
      </c>
      <c r="DL33" s="61">
        <v>0</v>
      </c>
      <c r="DM33" s="61">
        <v>10.973633299999999</v>
      </c>
      <c r="DN33" s="61">
        <v>6.2721999999999998</v>
      </c>
      <c r="DO33" s="61">
        <v>4.7014333000000006</v>
      </c>
      <c r="DP33" s="61">
        <v>6.2721999999999998</v>
      </c>
      <c r="DQ33" s="61">
        <v>0</v>
      </c>
      <c r="DR33" s="61">
        <v>10.973633</v>
      </c>
      <c r="DS33" s="61">
        <v>6.2721999999999998</v>
      </c>
      <c r="DT33" s="61">
        <v>0</v>
      </c>
      <c r="DU33" s="61">
        <v>4.7014330000000006</v>
      </c>
      <c r="DV33" s="61">
        <v>100</v>
      </c>
      <c r="DW33" s="61">
        <v>99.999993618967224</v>
      </c>
      <c r="DX33" s="61">
        <v>42.842994658195707</v>
      </c>
      <c r="DY33" s="61">
        <v>0</v>
      </c>
      <c r="DZ33" s="61">
        <v>0</v>
      </c>
      <c r="EA33" s="61">
        <v>0</v>
      </c>
      <c r="EB33" s="61">
        <v>0</v>
      </c>
      <c r="EC33" s="61">
        <v>0</v>
      </c>
      <c r="ED33" s="61">
        <v>0</v>
      </c>
      <c r="EE33" s="61">
        <v>0</v>
      </c>
      <c r="EF33" s="61">
        <v>0</v>
      </c>
      <c r="EG33" s="61">
        <v>0.38216</v>
      </c>
      <c r="EH33" s="61">
        <v>0</v>
      </c>
      <c r="EI33" s="61">
        <v>0</v>
      </c>
      <c r="EJ33" s="61">
        <v>0</v>
      </c>
      <c r="EK33" s="61">
        <v>0</v>
      </c>
      <c r="EL33" s="61" t="s">
        <v>1230</v>
      </c>
      <c r="EM33" s="61" t="s">
        <v>1230</v>
      </c>
      <c r="EN33" s="61">
        <v>0</v>
      </c>
      <c r="EO33" s="61">
        <v>0.38216</v>
      </c>
      <c r="EP33" s="61">
        <v>0</v>
      </c>
      <c r="EQ33" s="61">
        <v>9.4993999999999996</v>
      </c>
      <c r="ER33" s="61">
        <v>0</v>
      </c>
      <c r="ES33" s="61">
        <v>22.303343270000003</v>
      </c>
      <c r="ET33" s="61">
        <v>9.4993999999999996</v>
      </c>
      <c r="EU33" s="61">
        <v>12.803943269999998</v>
      </c>
      <c r="EV33" s="61">
        <v>9.4993999999999996</v>
      </c>
      <c r="EW33" s="61">
        <v>0</v>
      </c>
      <c r="EX33" s="61">
        <v>22.303343270000003</v>
      </c>
      <c r="EY33" s="61">
        <v>9.4993999999999996</v>
      </c>
      <c r="EZ33" s="61">
        <v>0</v>
      </c>
      <c r="FA33" s="61">
        <v>12.803943269999998</v>
      </c>
      <c r="FB33" s="61">
        <v>100</v>
      </c>
      <c r="FC33" s="61">
        <v>100</v>
      </c>
      <c r="FD33" s="61">
        <v>57.408179190885924</v>
      </c>
      <c r="FE33" s="61">
        <v>0</v>
      </c>
      <c r="FF33" s="61">
        <v>0</v>
      </c>
      <c r="FG33" s="61">
        <v>0</v>
      </c>
      <c r="FH33" s="61">
        <v>0</v>
      </c>
      <c r="FI33" s="61">
        <v>0</v>
      </c>
      <c r="FJ33" s="61">
        <v>0</v>
      </c>
      <c r="FK33" s="61">
        <v>0</v>
      </c>
      <c r="FL33" s="61">
        <v>0</v>
      </c>
      <c r="FM33" s="61">
        <v>0</v>
      </c>
      <c r="FN33" s="61">
        <v>0</v>
      </c>
      <c r="FO33" s="61">
        <v>0</v>
      </c>
      <c r="FP33" s="61">
        <v>0</v>
      </c>
      <c r="FQ33" s="61">
        <v>0</v>
      </c>
      <c r="FR33" s="61" t="s">
        <v>1230</v>
      </c>
      <c r="FS33" s="61" t="s">
        <v>1230</v>
      </c>
      <c r="FT33" s="61">
        <v>0</v>
      </c>
      <c r="FU33" s="61">
        <v>0</v>
      </c>
      <c r="FV33" s="61">
        <v>0</v>
      </c>
      <c r="FW33" s="61">
        <v>16.604900000000001</v>
      </c>
      <c r="FX33" s="61">
        <v>0</v>
      </c>
      <c r="FY33" s="61">
        <v>25.928879999999999</v>
      </c>
      <c r="FZ33" s="61">
        <v>16.604900000000001</v>
      </c>
      <c r="GA33" s="61">
        <v>9.3239800000000006</v>
      </c>
      <c r="GB33" s="61">
        <v>16.604215580000002</v>
      </c>
      <c r="GC33" s="61">
        <v>1.7839799999999999</v>
      </c>
      <c r="GD33" s="61">
        <v>25.92748323</v>
      </c>
      <c r="GE33" s="61">
        <v>16.604215580000002</v>
      </c>
      <c r="GF33" s="61">
        <v>0</v>
      </c>
      <c r="GG33" s="61">
        <v>9.32326765</v>
      </c>
      <c r="GH33" s="61">
        <v>99.995878204626351</v>
      </c>
      <c r="GI33" s="61">
        <v>99.992360022222257</v>
      </c>
      <c r="GJ33" s="61">
        <v>35.959015255334521</v>
      </c>
      <c r="GK33" s="61">
        <v>1.7839799999999999</v>
      </c>
      <c r="GL33" s="61">
        <v>-2.2204460492503131E-16</v>
      </c>
      <c r="GM33" s="61">
        <v>0</v>
      </c>
      <c r="GN33" s="61">
        <v>0</v>
      </c>
      <c r="GO33" s="61">
        <v>0</v>
      </c>
      <c r="GP33" s="61">
        <v>0</v>
      </c>
      <c r="GQ33" s="61">
        <v>0</v>
      </c>
      <c r="GR33" s="61">
        <v>0</v>
      </c>
      <c r="GS33" s="61">
        <v>0</v>
      </c>
      <c r="GT33" s="61">
        <v>0</v>
      </c>
      <c r="GU33" s="61">
        <v>0</v>
      </c>
      <c r="GV33" s="61">
        <v>0</v>
      </c>
      <c r="GW33" s="61">
        <v>0</v>
      </c>
      <c r="GX33" s="61" t="s">
        <v>1230</v>
      </c>
      <c r="GY33" s="61" t="s">
        <v>1230</v>
      </c>
      <c r="GZ33" s="61">
        <v>0</v>
      </c>
      <c r="HA33" s="61">
        <v>0</v>
      </c>
      <c r="HB33" s="61">
        <v>0</v>
      </c>
      <c r="HC33" s="61">
        <v>6.3893000000000004</v>
      </c>
      <c r="HD33" s="61">
        <v>0</v>
      </c>
      <c r="HE33" s="61">
        <v>12.08892449</v>
      </c>
      <c r="HF33" s="61">
        <v>6.3893000000000004</v>
      </c>
      <c r="HG33" s="61">
        <v>5.6996244899999997</v>
      </c>
      <c r="HH33" s="61">
        <v>6.3893000000000004</v>
      </c>
      <c r="HI33" s="61">
        <v>0</v>
      </c>
      <c r="HJ33" s="61">
        <v>12.08892449</v>
      </c>
      <c r="HK33" s="61">
        <v>6.3893000000000004</v>
      </c>
      <c r="HL33" s="61">
        <v>0</v>
      </c>
      <c r="HM33" s="61">
        <v>5.6996244899999997</v>
      </c>
      <c r="HN33" s="61">
        <v>100</v>
      </c>
      <c r="HO33" s="61">
        <v>100</v>
      </c>
      <c r="HP33" s="61">
        <v>47.147490206550209</v>
      </c>
      <c r="HQ33" s="61">
        <v>0</v>
      </c>
      <c r="HR33" s="61">
        <v>0</v>
      </c>
      <c r="HS33" s="61">
        <v>0</v>
      </c>
      <c r="HT33" s="61">
        <v>0</v>
      </c>
      <c r="HU33" s="61">
        <v>0</v>
      </c>
      <c r="HV33" s="61">
        <v>0</v>
      </c>
      <c r="HW33" s="61">
        <v>0</v>
      </c>
      <c r="HX33" s="61">
        <v>0</v>
      </c>
      <c r="HY33" s="61">
        <v>0</v>
      </c>
      <c r="HZ33" s="61">
        <v>0</v>
      </c>
      <c r="IA33" s="61">
        <v>0</v>
      </c>
      <c r="IB33" s="61">
        <v>0</v>
      </c>
      <c r="IC33" s="61">
        <v>0</v>
      </c>
      <c r="ID33" s="61" t="s">
        <v>1230</v>
      </c>
      <c r="IE33" s="61" t="s">
        <v>1230</v>
      </c>
      <c r="IF33" s="61">
        <v>0</v>
      </c>
      <c r="IG33" s="61">
        <v>0</v>
      </c>
      <c r="IH33" s="61">
        <v>0</v>
      </c>
      <c r="II33" s="61">
        <v>0</v>
      </c>
      <c r="IJ33" s="61">
        <v>0</v>
      </c>
      <c r="IK33" s="61">
        <v>0</v>
      </c>
      <c r="IL33" s="61">
        <v>0</v>
      </c>
      <c r="IM33" s="61">
        <v>0</v>
      </c>
      <c r="IN33" s="61">
        <v>0</v>
      </c>
      <c r="IO33" s="61">
        <v>0</v>
      </c>
      <c r="IP33" s="61">
        <v>0</v>
      </c>
      <c r="IQ33" s="61">
        <v>0</v>
      </c>
      <c r="IR33" s="61">
        <v>0</v>
      </c>
      <c r="IS33" s="61">
        <v>0</v>
      </c>
      <c r="IT33" s="61" t="s">
        <v>1230</v>
      </c>
      <c r="IU33" s="61" t="s">
        <v>1230</v>
      </c>
      <c r="IV33" s="61">
        <v>0</v>
      </c>
      <c r="IW33" s="61">
        <v>0</v>
      </c>
      <c r="IX33" s="61">
        <v>0</v>
      </c>
    </row>
    <row r="34" spans="1:258" ht="15.6" x14ac:dyDescent="0.3">
      <c r="A34" s="169" t="s">
        <v>65</v>
      </c>
      <c r="B34" s="205" t="s">
        <v>66</v>
      </c>
      <c r="C34" s="66">
        <v>14.292400000000001</v>
      </c>
      <c r="D34" s="66">
        <v>0</v>
      </c>
      <c r="E34" s="66">
        <v>24.337974469999999</v>
      </c>
      <c r="F34" s="66">
        <v>14.292400000000001</v>
      </c>
      <c r="G34" s="66">
        <v>10.04557447</v>
      </c>
      <c r="H34" s="66">
        <v>14.292400000000001</v>
      </c>
      <c r="I34" s="66">
        <v>0.30689887999999999</v>
      </c>
      <c r="J34" s="66">
        <v>24.281810730000004</v>
      </c>
      <c r="K34" s="66">
        <v>14.260056260000001</v>
      </c>
      <c r="L34" s="66">
        <v>0</v>
      </c>
      <c r="M34" s="66">
        <v>10.021754469999999</v>
      </c>
      <c r="N34" s="67">
        <v>99.773699728527049</v>
      </c>
      <c r="O34" s="67">
        <v>99.762880658830056</v>
      </c>
      <c r="P34" s="67">
        <v>41.272681767584132</v>
      </c>
      <c r="Q34" s="66">
        <v>0.24556208999999998</v>
      </c>
      <c r="R34" s="67">
        <v>9.3680530000000289E-2</v>
      </c>
      <c r="S34" s="66">
        <v>13.5784</v>
      </c>
      <c r="T34" s="66">
        <v>0</v>
      </c>
      <c r="U34" s="66">
        <v>23.578399999999998</v>
      </c>
      <c r="V34" s="66">
        <v>13.5784</v>
      </c>
      <c r="W34" s="66">
        <v>10</v>
      </c>
      <c r="X34" s="66">
        <v>13.5784</v>
      </c>
      <c r="Y34" s="66">
        <v>0.19958463000000001</v>
      </c>
      <c r="Z34" s="66">
        <v>23.522236260000003</v>
      </c>
      <c r="AA34" s="66">
        <v>13.54605626</v>
      </c>
      <c r="AB34" s="66">
        <v>0</v>
      </c>
      <c r="AC34" s="66">
        <v>9.9761799999999994</v>
      </c>
      <c r="AD34" s="67">
        <v>99.76180006480881</v>
      </c>
      <c r="AE34" s="67">
        <v>99.761799999999994</v>
      </c>
      <c r="AF34" s="67">
        <v>42.411698827142033</v>
      </c>
      <c r="AG34" s="187">
        <v>0.13824783999999998</v>
      </c>
      <c r="AH34" s="67">
        <v>9.3680530000000345E-2</v>
      </c>
      <c r="AI34" s="66">
        <v>0</v>
      </c>
      <c r="AJ34" s="66">
        <v>0</v>
      </c>
      <c r="AK34" s="66">
        <v>0</v>
      </c>
      <c r="AL34" s="66">
        <v>0</v>
      </c>
      <c r="AM34" s="66">
        <v>0</v>
      </c>
      <c r="AN34" s="66">
        <v>0</v>
      </c>
      <c r="AO34" s="66">
        <v>0.10731425</v>
      </c>
      <c r="AP34" s="66">
        <v>0</v>
      </c>
      <c r="AQ34" s="66">
        <v>0</v>
      </c>
      <c r="AR34" s="66">
        <v>0</v>
      </c>
      <c r="AS34" s="66">
        <v>0</v>
      </c>
      <c r="AT34" s="67" t="s">
        <v>1230</v>
      </c>
      <c r="AU34" s="67" t="s">
        <v>1230</v>
      </c>
      <c r="AV34" s="67">
        <v>0</v>
      </c>
      <c r="AW34" s="187">
        <v>0.10731425</v>
      </c>
      <c r="AX34" s="67">
        <v>0</v>
      </c>
      <c r="AY34" s="66">
        <v>0</v>
      </c>
      <c r="AZ34" s="66">
        <v>0</v>
      </c>
      <c r="BA34" s="66">
        <v>0</v>
      </c>
      <c r="BB34" s="66">
        <v>0</v>
      </c>
      <c r="BC34" s="66">
        <v>0</v>
      </c>
      <c r="BD34" s="66">
        <v>0</v>
      </c>
      <c r="BE34" s="66">
        <v>0</v>
      </c>
      <c r="BF34" s="66">
        <v>0</v>
      </c>
      <c r="BG34" s="66">
        <v>0</v>
      </c>
      <c r="BH34" s="66">
        <v>0</v>
      </c>
      <c r="BI34" s="66">
        <v>0</v>
      </c>
      <c r="BJ34" s="67" t="s">
        <v>1230</v>
      </c>
      <c r="BK34" s="67" t="s">
        <v>1230</v>
      </c>
      <c r="BL34" s="67">
        <v>0</v>
      </c>
      <c r="BM34" s="187">
        <v>0</v>
      </c>
      <c r="BN34" s="67">
        <v>0</v>
      </c>
      <c r="BO34" s="66">
        <v>0</v>
      </c>
      <c r="BP34" s="66">
        <v>0</v>
      </c>
      <c r="BQ34" s="66">
        <v>0</v>
      </c>
      <c r="BR34" s="66">
        <v>0</v>
      </c>
      <c r="BS34" s="66">
        <v>0</v>
      </c>
      <c r="BT34" s="66">
        <v>0</v>
      </c>
      <c r="BU34" s="66">
        <v>0</v>
      </c>
      <c r="BV34" s="66">
        <v>0</v>
      </c>
      <c r="BW34" s="66">
        <v>0</v>
      </c>
      <c r="BX34" s="66">
        <v>0</v>
      </c>
      <c r="BY34" s="66">
        <v>0</v>
      </c>
      <c r="BZ34" s="67" t="s">
        <v>1230</v>
      </c>
      <c r="CA34" s="67" t="s">
        <v>1230</v>
      </c>
      <c r="CB34" s="67">
        <v>0</v>
      </c>
      <c r="CC34" s="187">
        <v>0</v>
      </c>
      <c r="CD34" s="67">
        <v>0</v>
      </c>
      <c r="CE34" s="66">
        <v>0</v>
      </c>
      <c r="CF34" s="66">
        <v>0</v>
      </c>
      <c r="CG34" s="66">
        <v>0</v>
      </c>
      <c r="CH34" s="66">
        <v>0</v>
      </c>
      <c r="CI34" s="66">
        <v>0</v>
      </c>
      <c r="CJ34" s="66">
        <v>0</v>
      </c>
      <c r="CK34" s="66">
        <v>0</v>
      </c>
      <c r="CL34" s="66">
        <v>0</v>
      </c>
      <c r="CM34" s="66">
        <v>0</v>
      </c>
      <c r="CN34" s="66">
        <v>0</v>
      </c>
      <c r="CO34" s="66">
        <v>0</v>
      </c>
      <c r="CP34" s="67" t="s">
        <v>1230</v>
      </c>
      <c r="CQ34" s="67" t="s">
        <v>1230</v>
      </c>
      <c r="CR34" s="67">
        <v>0</v>
      </c>
      <c r="CS34" s="187">
        <v>0</v>
      </c>
      <c r="CT34" s="67">
        <v>0</v>
      </c>
      <c r="CU34" s="66">
        <v>0</v>
      </c>
      <c r="CV34" s="66">
        <v>0</v>
      </c>
      <c r="CW34" s="66">
        <v>0</v>
      </c>
      <c r="CX34" s="66">
        <v>0</v>
      </c>
      <c r="CY34" s="66">
        <v>0</v>
      </c>
      <c r="CZ34" s="66">
        <v>0</v>
      </c>
      <c r="DA34" s="66">
        <v>0</v>
      </c>
      <c r="DB34" s="66">
        <v>0</v>
      </c>
      <c r="DC34" s="66">
        <v>0</v>
      </c>
      <c r="DD34" s="66">
        <v>0</v>
      </c>
      <c r="DE34" s="66">
        <v>0</v>
      </c>
      <c r="DF34" s="67" t="s">
        <v>1230</v>
      </c>
      <c r="DG34" s="67" t="s">
        <v>1230</v>
      </c>
      <c r="DH34" s="67">
        <v>0</v>
      </c>
      <c r="DI34" s="187">
        <v>0</v>
      </c>
      <c r="DJ34" s="67">
        <v>0</v>
      </c>
      <c r="DK34" s="66">
        <v>0</v>
      </c>
      <c r="DL34" s="66">
        <v>0</v>
      </c>
      <c r="DM34" s="66">
        <v>0</v>
      </c>
      <c r="DN34" s="66">
        <v>0</v>
      </c>
      <c r="DO34" s="66">
        <v>0</v>
      </c>
      <c r="DP34" s="66">
        <v>0</v>
      </c>
      <c r="DQ34" s="66">
        <v>0</v>
      </c>
      <c r="DR34" s="66">
        <v>0</v>
      </c>
      <c r="DS34" s="66">
        <v>0</v>
      </c>
      <c r="DT34" s="66">
        <v>0</v>
      </c>
      <c r="DU34" s="66">
        <v>0</v>
      </c>
      <c r="DV34" s="67" t="s">
        <v>1230</v>
      </c>
      <c r="DW34" s="67" t="s">
        <v>1230</v>
      </c>
      <c r="DX34" s="67">
        <v>0</v>
      </c>
      <c r="DY34" s="187">
        <v>0</v>
      </c>
      <c r="DZ34" s="67">
        <v>0</v>
      </c>
      <c r="EA34" s="66">
        <v>0</v>
      </c>
      <c r="EB34" s="66">
        <v>0</v>
      </c>
      <c r="EC34" s="66">
        <v>0</v>
      </c>
      <c r="ED34" s="66">
        <v>0</v>
      </c>
      <c r="EE34" s="66">
        <v>0</v>
      </c>
      <c r="EF34" s="66">
        <v>0</v>
      </c>
      <c r="EG34" s="66">
        <v>0</v>
      </c>
      <c r="EH34" s="66">
        <v>0</v>
      </c>
      <c r="EI34" s="66">
        <v>0</v>
      </c>
      <c r="EJ34" s="66">
        <v>0</v>
      </c>
      <c r="EK34" s="66">
        <v>0</v>
      </c>
      <c r="EL34" s="67" t="s">
        <v>1230</v>
      </c>
      <c r="EM34" s="67" t="s">
        <v>1230</v>
      </c>
      <c r="EN34" s="67">
        <v>0</v>
      </c>
      <c r="EO34" s="187">
        <v>0</v>
      </c>
      <c r="EP34" s="67">
        <v>0</v>
      </c>
      <c r="EQ34" s="66">
        <v>0</v>
      </c>
      <c r="ER34" s="66">
        <v>0</v>
      </c>
      <c r="ES34" s="66">
        <v>0</v>
      </c>
      <c r="ET34" s="66">
        <v>0</v>
      </c>
      <c r="EU34" s="66">
        <v>0</v>
      </c>
      <c r="EV34" s="66">
        <v>0</v>
      </c>
      <c r="EW34" s="66">
        <v>0</v>
      </c>
      <c r="EX34" s="66">
        <v>0</v>
      </c>
      <c r="EY34" s="66">
        <v>0</v>
      </c>
      <c r="EZ34" s="66">
        <v>0</v>
      </c>
      <c r="FA34" s="66">
        <v>0</v>
      </c>
      <c r="FB34" s="67" t="s">
        <v>1230</v>
      </c>
      <c r="FC34" s="67" t="s">
        <v>1230</v>
      </c>
      <c r="FD34" s="67">
        <v>0</v>
      </c>
      <c r="FE34" s="187">
        <v>0</v>
      </c>
      <c r="FF34" s="67">
        <v>0</v>
      </c>
      <c r="FG34" s="66">
        <v>0</v>
      </c>
      <c r="FH34" s="66">
        <v>0</v>
      </c>
      <c r="FI34" s="66">
        <v>0</v>
      </c>
      <c r="FJ34" s="66">
        <v>0</v>
      </c>
      <c r="FK34" s="66">
        <v>0</v>
      </c>
      <c r="FL34" s="66">
        <v>0</v>
      </c>
      <c r="FM34" s="66">
        <v>0</v>
      </c>
      <c r="FN34" s="66">
        <v>0</v>
      </c>
      <c r="FO34" s="66">
        <v>0</v>
      </c>
      <c r="FP34" s="66">
        <v>0</v>
      </c>
      <c r="FQ34" s="66">
        <v>0</v>
      </c>
      <c r="FR34" s="67" t="s">
        <v>1230</v>
      </c>
      <c r="FS34" s="67" t="s">
        <v>1230</v>
      </c>
      <c r="FT34" s="67">
        <v>0</v>
      </c>
      <c r="FU34" s="187">
        <v>0</v>
      </c>
      <c r="FV34" s="67">
        <v>0</v>
      </c>
      <c r="FW34" s="66">
        <v>0</v>
      </c>
      <c r="FX34" s="66">
        <v>0</v>
      </c>
      <c r="FY34" s="66">
        <v>0</v>
      </c>
      <c r="FZ34" s="66">
        <v>0</v>
      </c>
      <c r="GA34" s="66">
        <v>0</v>
      </c>
      <c r="GB34" s="66">
        <v>0</v>
      </c>
      <c r="GC34" s="66">
        <v>0</v>
      </c>
      <c r="GD34" s="66">
        <v>0</v>
      </c>
      <c r="GE34" s="66">
        <v>0</v>
      </c>
      <c r="GF34" s="66">
        <v>0</v>
      </c>
      <c r="GG34" s="66">
        <v>0</v>
      </c>
      <c r="GH34" s="67" t="s">
        <v>1230</v>
      </c>
      <c r="GI34" s="67" t="s">
        <v>1230</v>
      </c>
      <c r="GJ34" s="67">
        <v>0</v>
      </c>
      <c r="GK34" s="187">
        <v>0</v>
      </c>
      <c r="GL34" s="67">
        <v>0</v>
      </c>
      <c r="GM34" s="66">
        <v>0</v>
      </c>
      <c r="GN34" s="66">
        <v>0</v>
      </c>
      <c r="GO34" s="66">
        <v>0</v>
      </c>
      <c r="GP34" s="66">
        <v>0</v>
      </c>
      <c r="GQ34" s="66">
        <v>0</v>
      </c>
      <c r="GR34" s="66">
        <v>0</v>
      </c>
      <c r="GS34" s="66">
        <v>0</v>
      </c>
      <c r="GT34" s="66">
        <v>0</v>
      </c>
      <c r="GU34" s="66">
        <v>0</v>
      </c>
      <c r="GV34" s="66">
        <v>0</v>
      </c>
      <c r="GW34" s="66">
        <v>0</v>
      </c>
      <c r="GX34" s="67" t="s">
        <v>1230</v>
      </c>
      <c r="GY34" s="67" t="s">
        <v>1230</v>
      </c>
      <c r="GZ34" s="67">
        <v>0</v>
      </c>
      <c r="HA34" s="187">
        <v>0</v>
      </c>
      <c r="HB34" s="67">
        <v>0</v>
      </c>
      <c r="HC34" s="66">
        <v>0.71399999999999997</v>
      </c>
      <c r="HD34" s="66">
        <v>0</v>
      </c>
      <c r="HE34" s="66">
        <v>0.75957447</v>
      </c>
      <c r="HF34" s="66">
        <v>0.71399999999999997</v>
      </c>
      <c r="HG34" s="66">
        <v>4.5574469999999999E-2</v>
      </c>
      <c r="HH34" s="66">
        <v>0.71399999999999997</v>
      </c>
      <c r="HI34" s="66">
        <v>0</v>
      </c>
      <c r="HJ34" s="66">
        <v>0.75957447</v>
      </c>
      <c r="HK34" s="66">
        <v>0.71399999999999997</v>
      </c>
      <c r="HL34" s="66">
        <v>0</v>
      </c>
      <c r="HM34" s="66">
        <v>4.5574469999999999E-2</v>
      </c>
      <c r="HN34" s="67">
        <v>100</v>
      </c>
      <c r="HO34" s="67">
        <v>100</v>
      </c>
      <c r="HP34" s="67">
        <v>6.0000002369747891</v>
      </c>
      <c r="HQ34" s="187">
        <v>0</v>
      </c>
      <c r="HR34" s="67">
        <v>0</v>
      </c>
      <c r="HS34" s="66">
        <v>0</v>
      </c>
      <c r="HT34" s="66">
        <v>0</v>
      </c>
      <c r="HU34" s="66">
        <v>0</v>
      </c>
      <c r="HV34" s="66">
        <v>0</v>
      </c>
      <c r="HW34" s="66">
        <v>0</v>
      </c>
      <c r="HX34" s="66">
        <v>0</v>
      </c>
      <c r="HY34" s="66">
        <v>0</v>
      </c>
      <c r="HZ34" s="66">
        <v>0</v>
      </c>
      <c r="IA34" s="66">
        <v>0</v>
      </c>
      <c r="IB34" s="66">
        <v>0</v>
      </c>
      <c r="IC34" s="66">
        <v>0</v>
      </c>
      <c r="ID34" s="67" t="s">
        <v>1230</v>
      </c>
      <c r="IE34" s="67" t="s">
        <v>1230</v>
      </c>
      <c r="IF34" s="67">
        <v>0</v>
      </c>
      <c r="IG34" s="187">
        <v>0</v>
      </c>
      <c r="IH34" s="67">
        <v>0</v>
      </c>
      <c r="II34" s="66">
        <v>0</v>
      </c>
      <c r="IJ34" s="66">
        <v>0</v>
      </c>
      <c r="IK34" s="66">
        <v>0</v>
      </c>
      <c r="IL34" s="66">
        <v>0</v>
      </c>
      <c r="IM34" s="66">
        <v>0</v>
      </c>
      <c r="IN34" s="66">
        <v>0</v>
      </c>
      <c r="IO34" s="66">
        <v>0</v>
      </c>
      <c r="IP34" s="66">
        <v>0</v>
      </c>
      <c r="IQ34" s="66">
        <v>0</v>
      </c>
      <c r="IR34" s="66">
        <v>0</v>
      </c>
      <c r="IS34" s="66">
        <v>0</v>
      </c>
      <c r="IT34" s="67" t="s">
        <v>1230</v>
      </c>
      <c r="IU34" s="67" t="s">
        <v>1230</v>
      </c>
      <c r="IV34" s="67">
        <v>0</v>
      </c>
      <c r="IW34" s="187">
        <v>0</v>
      </c>
      <c r="IX34" s="67">
        <v>0</v>
      </c>
    </row>
    <row r="35" spans="1:258" ht="15.6" x14ac:dyDescent="0.3">
      <c r="A35" s="169" t="s">
        <v>68</v>
      </c>
      <c r="B35" s="205" t="s">
        <v>69</v>
      </c>
      <c r="C35" s="66">
        <v>74.375399999999999</v>
      </c>
      <c r="D35" s="66">
        <v>0</v>
      </c>
      <c r="E35" s="66">
        <v>106.2508</v>
      </c>
      <c r="F35" s="66">
        <v>74.375399999999999</v>
      </c>
      <c r="G35" s="66">
        <v>31.875400000000003</v>
      </c>
      <c r="H35" s="66">
        <v>74.375399999999999</v>
      </c>
      <c r="I35" s="66">
        <v>2.6501810400000001</v>
      </c>
      <c r="J35" s="66">
        <v>106.2508</v>
      </c>
      <c r="K35" s="66">
        <v>74.375399999999999</v>
      </c>
      <c r="L35" s="66">
        <v>0</v>
      </c>
      <c r="M35" s="66">
        <v>31.875400000000003</v>
      </c>
      <c r="N35" s="67">
        <v>100</v>
      </c>
      <c r="O35" s="67">
        <v>100</v>
      </c>
      <c r="P35" s="67">
        <v>30.000150587101466</v>
      </c>
      <c r="Q35" s="66">
        <v>2.6501810400000001</v>
      </c>
      <c r="R35" s="67">
        <v>6.6613381477509392E-15</v>
      </c>
      <c r="S35" s="66">
        <v>58.845300000000002</v>
      </c>
      <c r="T35" s="66">
        <v>0</v>
      </c>
      <c r="U35" s="66">
        <v>84.064800000000005</v>
      </c>
      <c r="V35" s="66">
        <v>58.845300000000002</v>
      </c>
      <c r="W35" s="66">
        <v>25.2195</v>
      </c>
      <c r="X35" s="66">
        <v>58.845300000000002</v>
      </c>
      <c r="Y35" s="66">
        <v>0</v>
      </c>
      <c r="Z35" s="66">
        <v>84.064800000000005</v>
      </c>
      <c r="AA35" s="66">
        <v>58.845300000000002</v>
      </c>
      <c r="AB35" s="66">
        <v>0</v>
      </c>
      <c r="AC35" s="66">
        <v>25.2195</v>
      </c>
      <c r="AD35" s="67">
        <v>100</v>
      </c>
      <c r="AE35" s="67">
        <v>100</v>
      </c>
      <c r="AF35" s="67">
        <v>30.000071373511862</v>
      </c>
      <c r="AG35" s="187">
        <v>0</v>
      </c>
      <c r="AH35" s="67">
        <v>0</v>
      </c>
      <c r="AI35" s="66">
        <v>0</v>
      </c>
      <c r="AJ35" s="66">
        <v>0</v>
      </c>
      <c r="AK35" s="66">
        <v>0</v>
      </c>
      <c r="AL35" s="66">
        <v>0</v>
      </c>
      <c r="AM35" s="66">
        <v>0</v>
      </c>
      <c r="AN35" s="66">
        <v>0</v>
      </c>
      <c r="AO35" s="66">
        <v>0.86620104000000009</v>
      </c>
      <c r="AP35" s="66">
        <v>0</v>
      </c>
      <c r="AQ35" s="66">
        <v>0</v>
      </c>
      <c r="AR35" s="66">
        <v>0</v>
      </c>
      <c r="AS35" s="66">
        <v>0</v>
      </c>
      <c r="AT35" s="67" t="s">
        <v>1230</v>
      </c>
      <c r="AU35" s="67" t="s">
        <v>1230</v>
      </c>
      <c r="AV35" s="67">
        <v>0</v>
      </c>
      <c r="AW35" s="187">
        <v>0.86620104000000009</v>
      </c>
      <c r="AX35" s="67">
        <v>0</v>
      </c>
      <c r="AY35" s="66">
        <v>0</v>
      </c>
      <c r="AZ35" s="66">
        <v>0</v>
      </c>
      <c r="BA35" s="66">
        <v>0</v>
      </c>
      <c r="BB35" s="66">
        <v>0</v>
      </c>
      <c r="BC35" s="66">
        <v>0</v>
      </c>
      <c r="BD35" s="66">
        <v>0</v>
      </c>
      <c r="BE35" s="66">
        <v>0</v>
      </c>
      <c r="BF35" s="66">
        <v>0</v>
      </c>
      <c r="BG35" s="66">
        <v>0</v>
      </c>
      <c r="BH35" s="66">
        <v>0</v>
      </c>
      <c r="BI35" s="66">
        <v>0</v>
      </c>
      <c r="BJ35" s="67" t="s">
        <v>1230</v>
      </c>
      <c r="BK35" s="67" t="s">
        <v>1230</v>
      </c>
      <c r="BL35" s="67">
        <v>0</v>
      </c>
      <c r="BM35" s="187">
        <v>0</v>
      </c>
      <c r="BN35" s="67">
        <v>0</v>
      </c>
      <c r="BO35" s="66">
        <v>0</v>
      </c>
      <c r="BP35" s="66">
        <v>0</v>
      </c>
      <c r="BQ35" s="66">
        <v>0</v>
      </c>
      <c r="BR35" s="66">
        <v>0</v>
      </c>
      <c r="BS35" s="66">
        <v>0</v>
      </c>
      <c r="BT35" s="66">
        <v>0</v>
      </c>
      <c r="BU35" s="66">
        <v>0</v>
      </c>
      <c r="BV35" s="66">
        <v>0</v>
      </c>
      <c r="BW35" s="66">
        <v>0</v>
      </c>
      <c r="BX35" s="66">
        <v>0</v>
      </c>
      <c r="BY35" s="66">
        <v>0</v>
      </c>
      <c r="BZ35" s="67" t="s">
        <v>1230</v>
      </c>
      <c r="CA35" s="67" t="s">
        <v>1230</v>
      </c>
      <c r="CB35" s="67">
        <v>0</v>
      </c>
      <c r="CC35" s="187">
        <v>0</v>
      </c>
      <c r="CD35" s="67">
        <v>0</v>
      </c>
      <c r="CE35" s="66">
        <v>0</v>
      </c>
      <c r="CF35" s="66">
        <v>0</v>
      </c>
      <c r="CG35" s="66">
        <v>0</v>
      </c>
      <c r="CH35" s="66">
        <v>0</v>
      </c>
      <c r="CI35" s="66">
        <v>0</v>
      </c>
      <c r="CJ35" s="66">
        <v>0</v>
      </c>
      <c r="CK35" s="66">
        <v>0</v>
      </c>
      <c r="CL35" s="66">
        <v>0</v>
      </c>
      <c r="CM35" s="66">
        <v>0</v>
      </c>
      <c r="CN35" s="66">
        <v>0</v>
      </c>
      <c r="CO35" s="66">
        <v>0</v>
      </c>
      <c r="CP35" s="67" t="s">
        <v>1230</v>
      </c>
      <c r="CQ35" s="67" t="s">
        <v>1230</v>
      </c>
      <c r="CR35" s="67">
        <v>0</v>
      </c>
      <c r="CS35" s="187">
        <v>0</v>
      </c>
      <c r="CT35" s="67">
        <v>0</v>
      </c>
      <c r="CU35" s="66">
        <v>0</v>
      </c>
      <c r="CV35" s="66">
        <v>0</v>
      </c>
      <c r="CW35" s="66">
        <v>0</v>
      </c>
      <c r="CX35" s="66">
        <v>0</v>
      </c>
      <c r="CY35" s="66">
        <v>0</v>
      </c>
      <c r="CZ35" s="66">
        <v>0</v>
      </c>
      <c r="DA35" s="66">
        <v>0</v>
      </c>
      <c r="DB35" s="66">
        <v>0</v>
      </c>
      <c r="DC35" s="66">
        <v>0</v>
      </c>
      <c r="DD35" s="66">
        <v>0</v>
      </c>
      <c r="DE35" s="66">
        <v>0</v>
      </c>
      <c r="DF35" s="67" t="s">
        <v>1230</v>
      </c>
      <c r="DG35" s="67" t="s">
        <v>1230</v>
      </c>
      <c r="DH35" s="67">
        <v>0</v>
      </c>
      <c r="DI35" s="187">
        <v>0</v>
      </c>
      <c r="DJ35" s="67">
        <v>0</v>
      </c>
      <c r="DK35" s="66">
        <v>0</v>
      </c>
      <c r="DL35" s="66">
        <v>0</v>
      </c>
      <c r="DM35" s="66">
        <v>0</v>
      </c>
      <c r="DN35" s="66">
        <v>0</v>
      </c>
      <c r="DO35" s="66">
        <v>0</v>
      </c>
      <c r="DP35" s="66">
        <v>0</v>
      </c>
      <c r="DQ35" s="66">
        <v>0</v>
      </c>
      <c r="DR35" s="66">
        <v>0</v>
      </c>
      <c r="DS35" s="66">
        <v>0</v>
      </c>
      <c r="DT35" s="66">
        <v>0</v>
      </c>
      <c r="DU35" s="66">
        <v>0</v>
      </c>
      <c r="DV35" s="67" t="s">
        <v>1230</v>
      </c>
      <c r="DW35" s="67" t="s">
        <v>1230</v>
      </c>
      <c r="DX35" s="67">
        <v>0</v>
      </c>
      <c r="DY35" s="187">
        <v>0</v>
      </c>
      <c r="DZ35" s="67">
        <v>0</v>
      </c>
      <c r="EA35" s="66">
        <v>0</v>
      </c>
      <c r="EB35" s="66">
        <v>0</v>
      </c>
      <c r="EC35" s="66">
        <v>0</v>
      </c>
      <c r="ED35" s="66">
        <v>0</v>
      </c>
      <c r="EE35" s="66">
        <v>0</v>
      </c>
      <c r="EF35" s="66">
        <v>0</v>
      </c>
      <c r="EG35" s="66">
        <v>0</v>
      </c>
      <c r="EH35" s="66">
        <v>0</v>
      </c>
      <c r="EI35" s="66">
        <v>0</v>
      </c>
      <c r="EJ35" s="66">
        <v>0</v>
      </c>
      <c r="EK35" s="66">
        <v>0</v>
      </c>
      <c r="EL35" s="67" t="s">
        <v>1230</v>
      </c>
      <c r="EM35" s="67" t="s">
        <v>1230</v>
      </c>
      <c r="EN35" s="67">
        <v>0</v>
      </c>
      <c r="EO35" s="187">
        <v>0</v>
      </c>
      <c r="EP35" s="67">
        <v>0</v>
      </c>
      <c r="EQ35" s="66">
        <v>1.796</v>
      </c>
      <c r="ER35" s="66">
        <v>0</v>
      </c>
      <c r="ES35" s="66">
        <v>2.5657999999999999</v>
      </c>
      <c r="ET35" s="66">
        <v>1.796</v>
      </c>
      <c r="EU35" s="66">
        <v>0.76980000000000004</v>
      </c>
      <c r="EV35" s="66">
        <v>1.796</v>
      </c>
      <c r="EW35" s="66">
        <v>0</v>
      </c>
      <c r="EX35" s="66">
        <v>2.5657999999999999</v>
      </c>
      <c r="EY35" s="66">
        <v>1.796</v>
      </c>
      <c r="EZ35" s="66">
        <v>0</v>
      </c>
      <c r="FA35" s="66">
        <v>0.76980000000000004</v>
      </c>
      <c r="FB35" s="67">
        <v>100</v>
      </c>
      <c r="FC35" s="67">
        <v>100</v>
      </c>
      <c r="FD35" s="67">
        <v>30.002338451944816</v>
      </c>
      <c r="FE35" s="187">
        <v>0</v>
      </c>
      <c r="FF35" s="67">
        <v>0</v>
      </c>
      <c r="FG35" s="66">
        <v>0</v>
      </c>
      <c r="FH35" s="66">
        <v>0</v>
      </c>
      <c r="FI35" s="66">
        <v>0</v>
      </c>
      <c r="FJ35" s="66">
        <v>0</v>
      </c>
      <c r="FK35" s="66">
        <v>0</v>
      </c>
      <c r="FL35" s="66">
        <v>0</v>
      </c>
      <c r="FM35" s="66">
        <v>0</v>
      </c>
      <c r="FN35" s="66">
        <v>0</v>
      </c>
      <c r="FO35" s="66">
        <v>0</v>
      </c>
      <c r="FP35" s="66">
        <v>0</v>
      </c>
      <c r="FQ35" s="66">
        <v>0</v>
      </c>
      <c r="FR35" s="67" t="s">
        <v>1230</v>
      </c>
      <c r="FS35" s="67" t="s">
        <v>1230</v>
      </c>
      <c r="FT35" s="67">
        <v>0</v>
      </c>
      <c r="FU35" s="187">
        <v>0</v>
      </c>
      <c r="FV35" s="67">
        <v>0</v>
      </c>
      <c r="FW35" s="66">
        <v>12.9992</v>
      </c>
      <c r="FX35" s="66">
        <v>0</v>
      </c>
      <c r="FY35" s="66">
        <v>18.5703</v>
      </c>
      <c r="FZ35" s="66">
        <v>12.9992</v>
      </c>
      <c r="GA35" s="66">
        <v>5.5711000000000004</v>
      </c>
      <c r="GB35" s="66">
        <v>12.9992</v>
      </c>
      <c r="GC35" s="66">
        <v>1.7839799999999999</v>
      </c>
      <c r="GD35" s="66">
        <v>18.5703</v>
      </c>
      <c r="GE35" s="66">
        <v>12.9992</v>
      </c>
      <c r="GF35" s="66">
        <v>0</v>
      </c>
      <c r="GG35" s="66">
        <v>5.5711000000000004</v>
      </c>
      <c r="GH35" s="67">
        <v>100</v>
      </c>
      <c r="GI35" s="67">
        <v>100</v>
      </c>
      <c r="GJ35" s="67">
        <v>30.000053849426241</v>
      </c>
      <c r="GK35" s="187">
        <v>1.7839799999999999</v>
      </c>
      <c r="GL35" s="67">
        <v>-2.2204460492503131E-16</v>
      </c>
      <c r="GM35" s="66">
        <v>0</v>
      </c>
      <c r="GN35" s="66">
        <v>0</v>
      </c>
      <c r="GO35" s="66">
        <v>0</v>
      </c>
      <c r="GP35" s="66">
        <v>0</v>
      </c>
      <c r="GQ35" s="66">
        <v>0</v>
      </c>
      <c r="GR35" s="66">
        <v>0</v>
      </c>
      <c r="GS35" s="66">
        <v>0</v>
      </c>
      <c r="GT35" s="66">
        <v>0</v>
      </c>
      <c r="GU35" s="66">
        <v>0</v>
      </c>
      <c r="GV35" s="66">
        <v>0</v>
      </c>
      <c r="GW35" s="66">
        <v>0</v>
      </c>
      <c r="GX35" s="67" t="s">
        <v>1230</v>
      </c>
      <c r="GY35" s="67" t="s">
        <v>1230</v>
      </c>
      <c r="GZ35" s="67">
        <v>0</v>
      </c>
      <c r="HA35" s="187">
        <v>0</v>
      </c>
      <c r="HB35" s="67">
        <v>0</v>
      </c>
      <c r="HC35" s="66">
        <v>0.7349</v>
      </c>
      <c r="HD35" s="66">
        <v>0</v>
      </c>
      <c r="HE35" s="66">
        <v>1.0499000000000001</v>
      </c>
      <c r="HF35" s="66">
        <v>0.7349</v>
      </c>
      <c r="HG35" s="66">
        <v>0.315</v>
      </c>
      <c r="HH35" s="66">
        <v>0.7349</v>
      </c>
      <c r="HI35" s="66">
        <v>0</v>
      </c>
      <c r="HJ35" s="66">
        <v>1.0499000000000001</v>
      </c>
      <c r="HK35" s="66">
        <v>0.7349</v>
      </c>
      <c r="HL35" s="66">
        <v>0</v>
      </c>
      <c r="HM35" s="66">
        <v>0.315</v>
      </c>
      <c r="HN35" s="67">
        <v>100</v>
      </c>
      <c r="HO35" s="67">
        <v>100</v>
      </c>
      <c r="HP35" s="67">
        <v>30.002857414991901</v>
      </c>
      <c r="HQ35" s="187">
        <v>0</v>
      </c>
      <c r="HR35" s="67">
        <v>0</v>
      </c>
      <c r="HS35" s="66">
        <v>0</v>
      </c>
      <c r="HT35" s="66">
        <v>0</v>
      </c>
      <c r="HU35" s="66">
        <v>0</v>
      </c>
      <c r="HV35" s="66">
        <v>0</v>
      </c>
      <c r="HW35" s="66">
        <v>0</v>
      </c>
      <c r="HX35" s="66">
        <v>0</v>
      </c>
      <c r="HY35" s="66">
        <v>0</v>
      </c>
      <c r="HZ35" s="66">
        <v>0</v>
      </c>
      <c r="IA35" s="66">
        <v>0</v>
      </c>
      <c r="IB35" s="66">
        <v>0</v>
      </c>
      <c r="IC35" s="66">
        <v>0</v>
      </c>
      <c r="ID35" s="67" t="s">
        <v>1230</v>
      </c>
      <c r="IE35" s="67" t="s">
        <v>1230</v>
      </c>
      <c r="IF35" s="67">
        <v>0</v>
      </c>
      <c r="IG35" s="187">
        <v>0</v>
      </c>
      <c r="IH35" s="67">
        <v>0</v>
      </c>
      <c r="II35" s="66">
        <v>0</v>
      </c>
      <c r="IJ35" s="66">
        <v>0</v>
      </c>
      <c r="IK35" s="66">
        <v>0</v>
      </c>
      <c r="IL35" s="66">
        <v>0</v>
      </c>
      <c r="IM35" s="66">
        <v>0</v>
      </c>
      <c r="IN35" s="66">
        <v>0</v>
      </c>
      <c r="IO35" s="66">
        <v>0</v>
      </c>
      <c r="IP35" s="66">
        <v>0</v>
      </c>
      <c r="IQ35" s="66">
        <v>0</v>
      </c>
      <c r="IR35" s="66">
        <v>0</v>
      </c>
      <c r="IS35" s="66">
        <v>0</v>
      </c>
      <c r="IT35" s="67" t="s">
        <v>1230</v>
      </c>
      <c r="IU35" s="67" t="s">
        <v>1230</v>
      </c>
      <c r="IV35" s="67">
        <v>0</v>
      </c>
      <c r="IW35" s="187">
        <v>0</v>
      </c>
      <c r="IX35" s="67">
        <v>0</v>
      </c>
    </row>
    <row r="36" spans="1:258" ht="15.6" x14ac:dyDescent="0.3">
      <c r="A36" s="169" t="s">
        <v>71</v>
      </c>
      <c r="B36" s="205" t="s">
        <v>72</v>
      </c>
      <c r="C36" s="66">
        <v>102.86920000000001</v>
      </c>
      <c r="D36" s="66">
        <v>0</v>
      </c>
      <c r="E36" s="66">
        <v>114.2990989</v>
      </c>
      <c r="F36" s="66">
        <v>102.86920000000001</v>
      </c>
      <c r="G36" s="66">
        <v>11.4298989</v>
      </c>
      <c r="H36" s="66">
        <v>100.75793204</v>
      </c>
      <c r="I36" s="66">
        <v>0</v>
      </c>
      <c r="J36" s="66">
        <v>111.95324676999999</v>
      </c>
      <c r="K36" s="66">
        <v>100.75793204</v>
      </c>
      <c r="L36" s="66">
        <v>0</v>
      </c>
      <c r="M36" s="66">
        <v>11.19531473</v>
      </c>
      <c r="N36" s="67">
        <v>97.947618956888931</v>
      </c>
      <c r="O36" s="67">
        <v>97.947626903331582</v>
      </c>
      <c r="P36" s="67">
        <v>9.9999911150410661</v>
      </c>
      <c r="Q36" s="66">
        <v>0</v>
      </c>
      <c r="R36" s="67">
        <v>0</v>
      </c>
      <c r="S36" s="66">
        <v>70.104600000000005</v>
      </c>
      <c r="T36" s="66">
        <v>0</v>
      </c>
      <c r="U36" s="66">
        <v>77.894000000000005</v>
      </c>
      <c r="V36" s="66">
        <v>70.104600000000005</v>
      </c>
      <c r="W36" s="66">
        <v>7.7893999999999997</v>
      </c>
      <c r="X36" s="66">
        <v>69.812621879999995</v>
      </c>
      <c r="Y36" s="66">
        <v>0</v>
      </c>
      <c r="Z36" s="66">
        <v>77.569579829999995</v>
      </c>
      <c r="AA36" s="66">
        <v>69.812621879999995</v>
      </c>
      <c r="AB36" s="66">
        <v>0</v>
      </c>
      <c r="AC36" s="66">
        <v>7.7569579500000003</v>
      </c>
      <c r="AD36" s="67">
        <v>99.58351075393054</v>
      </c>
      <c r="AE36" s="67">
        <v>99.583510283205385</v>
      </c>
      <c r="AF36" s="67">
        <v>9.9999999574575504</v>
      </c>
      <c r="AG36" s="187">
        <v>0</v>
      </c>
      <c r="AH36" s="67">
        <v>0</v>
      </c>
      <c r="AI36" s="66">
        <v>0</v>
      </c>
      <c r="AJ36" s="66">
        <v>0</v>
      </c>
      <c r="AK36" s="66">
        <v>0</v>
      </c>
      <c r="AL36" s="66">
        <v>0</v>
      </c>
      <c r="AM36" s="66">
        <v>0</v>
      </c>
      <c r="AN36" s="66">
        <v>0</v>
      </c>
      <c r="AO36" s="66">
        <v>0</v>
      </c>
      <c r="AP36" s="66">
        <v>0</v>
      </c>
      <c r="AQ36" s="66">
        <v>0</v>
      </c>
      <c r="AR36" s="66">
        <v>0</v>
      </c>
      <c r="AS36" s="66">
        <v>0</v>
      </c>
      <c r="AT36" s="67" t="s">
        <v>1230</v>
      </c>
      <c r="AU36" s="67" t="s">
        <v>1230</v>
      </c>
      <c r="AV36" s="67">
        <v>0</v>
      </c>
      <c r="AW36" s="187">
        <v>0</v>
      </c>
      <c r="AX36" s="67">
        <v>0</v>
      </c>
      <c r="AY36" s="66">
        <v>27.162199999999999</v>
      </c>
      <c r="AZ36" s="66">
        <v>0</v>
      </c>
      <c r="BA36" s="66">
        <v>30.180199999999999</v>
      </c>
      <c r="BB36" s="66">
        <v>27.162199999999999</v>
      </c>
      <c r="BC36" s="66">
        <v>3.0179999999999998</v>
      </c>
      <c r="BD36" s="66">
        <v>25.342910159999999</v>
      </c>
      <c r="BE36" s="66">
        <v>0</v>
      </c>
      <c r="BF36" s="66">
        <v>28.158768339999998</v>
      </c>
      <c r="BG36" s="66">
        <v>25.342910159999999</v>
      </c>
      <c r="BH36" s="66">
        <v>0</v>
      </c>
      <c r="BI36" s="66">
        <v>2.8158581800000002</v>
      </c>
      <c r="BJ36" s="67">
        <v>93.302126337336446</v>
      </c>
      <c r="BK36" s="67">
        <v>93.302126573890007</v>
      </c>
      <c r="BL36" s="67">
        <v>9.9999337542048199</v>
      </c>
      <c r="BM36" s="187">
        <v>0</v>
      </c>
      <c r="BN36" s="67">
        <v>0</v>
      </c>
      <c r="BO36" s="66">
        <v>0</v>
      </c>
      <c r="BP36" s="66">
        <v>0</v>
      </c>
      <c r="BQ36" s="66">
        <v>0</v>
      </c>
      <c r="BR36" s="66">
        <v>0</v>
      </c>
      <c r="BS36" s="66">
        <v>0</v>
      </c>
      <c r="BT36" s="66">
        <v>0</v>
      </c>
      <c r="BU36" s="66">
        <v>0</v>
      </c>
      <c r="BV36" s="66">
        <v>0</v>
      </c>
      <c r="BW36" s="66">
        <v>0</v>
      </c>
      <c r="BX36" s="66">
        <v>0</v>
      </c>
      <c r="BY36" s="66">
        <v>0</v>
      </c>
      <c r="BZ36" s="67" t="s">
        <v>1230</v>
      </c>
      <c r="CA36" s="67" t="s">
        <v>1230</v>
      </c>
      <c r="CB36" s="67">
        <v>0</v>
      </c>
      <c r="CC36" s="187">
        <v>0</v>
      </c>
      <c r="CD36" s="67">
        <v>0</v>
      </c>
      <c r="CE36" s="66">
        <v>0</v>
      </c>
      <c r="CF36" s="66">
        <v>0</v>
      </c>
      <c r="CG36" s="66">
        <v>0</v>
      </c>
      <c r="CH36" s="66">
        <v>0</v>
      </c>
      <c r="CI36" s="66">
        <v>0</v>
      </c>
      <c r="CJ36" s="66">
        <v>0</v>
      </c>
      <c r="CK36" s="66">
        <v>0</v>
      </c>
      <c r="CL36" s="66">
        <v>0</v>
      </c>
      <c r="CM36" s="66">
        <v>0</v>
      </c>
      <c r="CN36" s="66">
        <v>0</v>
      </c>
      <c r="CO36" s="66">
        <v>0</v>
      </c>
      <c r="CP36" s="67" t="s">
        <v>1230</v>
      </c>
      <c r="CQ36" s="67" t="s">
        <v>1230</v>
      </c>
      <c r="CR36" s="67">
        <v>0</v>
      </c>
      <c r="CS36" s="187">
        <v>0</v>
      </c>
      <c r="CT36" s="67">
        <v>0</v>
      </c>
      <c r="CU36" s="66">
        <v>0</v>
      </c>
      <c r="CV36" s="66">
        <v>0</v>
      </c>
      <c r="CW36" s="66">
        <v>0</v>
      </c>
      <c r="CX36" s="66">
        <v>0</v>
      </c>
      <c r="CY36" s="66">
        <v>0</v>
      </c>
      <c r="CZ36" s="66">
        <v>0</v>
      </c>
      <c r="DA36" s="66">
        <v>0</v>
      </c>
      <c r="DB36" s="66">
        <v>0</v>
      </c>
      <c r="DC36" s="66">
        <v>0</v>
      </c>
      <c r="DD36" s="66">
        <v>0</v>
      </c>
      <c r="DE36" s="66">
        <v>0</v>
      </c>
      <c r="DF36" s="67" t="s">
        <v>1230</v>
      </c>
      <c r="DG36" s="67" t="s">
        <v>1230</v>
      </c>
      <c r="DH36" s="67">
        <v>0</v>
      </c>
      <c r="DI36" s="187">
        <v>0</v>
      </c>
      <c r="DJ36" s="67">
        <v>0</v>
      </c>
      <c r="DK36" s="66">
        <v>1.9650000000000001</v>
      </c>
      <c r="DL36" s="66">
        <v>0</v>
      </c>
      <c r="DM36" s="66">
        <v>2.1833332999999997</v>
      </c>
      <c r="DN36" s="66">
        <v>1.9650000000000001</v>
      </c>
      <c r="DO36" s="66">
        <v>0.21833329999999998</v>
      </c>
      <c r="DP36" s="66">
        <v>1.9650000000000001</v>
      </c>
      <c r="DQ36" s="66">
        <v>0</v>
      </c>
      <c r="DR36" s="66">
        <v>2.1833330000000002</v>
      </c>
      <c r="DS36" s="66">
        <v>1.9650000000000001</v>
      </c>
      <c r="DT36" s="66">
        <v>0</v>
      </c>
      <c r="DU36" s="66">
        <v>0.218333</v>
      </c>
      <c r="DV36" s="67">
        <v>100</v>
      </c>
      <c r="DW36" s="67">
        <v>99.999862595398881</v>
      </c>
      <c r="DX36" s="67">
        <v>9.9999862595398863</v>
      </c>
      <c r="DY36" s="187">
        <v>0</v>
      </c>
      <c r="DZ36" s="67">
        <v>0</v>
      </c>
      <c r="EA36" s="66">
        <v>0</v>
      </c>
      <c r="EB36" s="66">
        <v>0</v>
      </c>
      <c r="EC36" s="66">
        <v>0</v>
      </c>
      <c r="ED36" s="66">
        <v>0</v>
      </c>
      <c r="EE36" s="66">
        <v>0</v>
      </c>
      <c r="EF36" s="66">
        <v>0</v>
      </c>
      <c r="EG36" s="66">
        <v>0</v>
      </c>
      <c r="EH36" s="66">
        <v>0</v>
      </c>
      <c r="EI36" s="66">
        <v>0</v>
      </c>
      <c r="EJ36" s="66">
        <v>0</v>
      </c>
      <c r="EK36" s="66">
        <v>0</v>
      </c>
      <c r="EL36" s="67" t="s">
        <v>1230</v>
      </c>
      <c r="EM36" s="67" t="s">
        <v>1230</v>
      </c>
      <c r="EN36" s="67">
        <v>0</v>
      </c>
      <c r="EO36" s="187">
        <v>0</v>
      </c>
      <c r="EP36" s="67">
        <v>0</v>
      </c>
      <c r="EQ36" s="66">
        <v>2.31</v>
      </c>
      <c r="ER36" s="66">
        <v>0</v>
      </c>
      <c r="ES36" s="66">
        <v>2.5666666</v>
      </c>
      <c r="ET36" s="66">
        <v>2.31</v>
      </c>
      <c r="EU36" s="66">
        <v>0.25666660000000002</v>
      </c>
      <c r="EV36" s="66">
        <v>2.31</v>
      </c>
      <c r="EW36" s="66">
        <v>0</v>
      </c>
      <c r="EX36" s="66">
        <v>2.5666666</v>
      </c>
      <c r="EY36" s="66">
        <v>2.31</v>
      </c>
      <c r="EZ36" s="66">
        <v>0</v>
      </c>
      <c r="FA36" s="66">
        <v>0.25666660000000002</v>
      </c>
      <c r="FB36" s="67">
        <v>100</v>
      </c>
      <c r="FC36" s="67">
        <v>100</v>
      </c>
      <c r="FD36" s="67">
        <v>9.9999976623376021</v>
      </c>
      <c r="FE36" s="187">
        <v>0</v>
      </c>
      <c r="FF36" s="67">
        <v>0</v>
      </c>
      <c r="FG36" s="66">
        <v>0</v>
      </c>
      <c r="FH36" s="66">
        <v>0</v>
      </c>
      <c r="FI36" s="66">
        <v>0</v>
      </c>
      <c r="FJ36" s="66">
        <v>0</v>
      </c>
      <c r="FK36" s="66">
        <v>0</v>
      </c>
      <c r="FL36" s="66">
        <v>0</v>
      </c>
      <c r="FM36" s="66">
        <v>0</v>
      </c>
      <c r="FN36" s="66">
        <v>0</v>
      </c>
      <c r="FO36" s="66">
        <v>0</v>
      </c>
      <c r="FP36" s="66">
        <v>0</v>
      </c>
      <c r="FQ36" s="66">
        <v>0</v>
      </c>
      <c r="FR36" s="67" t="s">
        <v>1230</v>
      </c>
      <c r="FS36" s="67" t="s">
        <v>1230</v>
      </c>
      <c r="FT36" s="67">
        <v>0</v>
      </c>
      <c r="FU36" s="187">
        <v>0</v>
      </c>
      <c r="FV36" s="67">
        <v>0</v>
      </c>
      <c r="FW36" s="66">
        <v>0</v>
      </c>
      <c r="FX36" s="66">
        <v>0</v>
      </c>
      <c r="FY36" s="66">
        <v>0</v>
      </c>
      <c r="FZ36" s="66">
        <v>0</v>
      </c>
      <c r="GA36" s="66">
        <v>0</v>
      </c>
      <c r="GB36" s="66">
        <v>0</v>
      </c>
      <c r="GC36" s="66">
        <v>0</v>
      </c>
      <c r="GD36" s="66">
        <v>0</v>
      </c>
      <c r="GE36" s="66">
        <v>0</v>
      </c>
      <c r="GF36" s="66">
        <v>0</v>
      </c>
      <c r="GG36" s="66">
        <v>0</v>
      </c>
      <c r="GH36" s="67" t="s">
        <v>1230</v>
      </c>
      <c r="GI36" s="67" t="s">
        <v>1230</v>
      </c>
      <c r="GJ36" s="67">
        <v>0</v>
      </c>
      <c r="GK36" s="187">
        <v>0</v>
      </c>
      <c r="GL36" s="67">
        <v>0</v>
      </c>
      <c r="GM36" s="66">
        <v>0</v>
      </c>
      <c r="GN36" s="66">
        <v>0</v>
      </c>
      <c r="GO36" s="66">
        <v>0</v>
      </c>
      <c r="GP36" s="66">
        <v>0</v>
      </c>
      <c r="GQ36" s="66">
        <v>0</v>
      </c>
      <c r="GR36" s="66">
        <v>0</v>
      </c>
      <c r="GS36" s="66">
        <v>0</v>
      </c>
      <c r="GT36" s="66">
        <v>0</v>
      </c>
      <c r="GU36" s="66">
        <v>0</v>
      </c>
      <c r="GV36" s="66">
        <v>0</v>
      </c>
      <c r="GW36" s="66">
        <v>0</v>
      </c>
      <c r="GX36" s="67" t="s">
        <v>1230</v>
      </c>
      <c r="GY36" s="67" t="s">
        <v>1230</v>
      </c>
      <c r="GZ36" s="67">
        <v>0</v>
      </c>
      <c r="HA36" s="187">
        <v>0</v>
      </c>
      <c r="HB36" s="67">
        <v>0</v>
      </c>
      <c r="HC36" s="66">
        <v>1.3273999999999999</v>
      </c>
      <c r="HD36" s="66">
        <v>0</v>
      </c>
      <c r="HE36" s="66">
        <v>1.474899</v>
      </c>
      <c r="HF36" s="66">
        <v>1.3273999999999999</v>
      </c>
      <c r="HG36" s="66">
        <v>0.14749899999999999</v>
      </c>
      <c r="HH36" s="66">
        <v>1.3273999999999999</v>
      </c>
      <c r="HI36" s="66">
        <v>0</v>
      </c>
      <c r="HJ36" s="66">
        <v>1.474899</v>
      </c>
      <c r="HK36" s="66">
        <v>1.3273999999999999</v>
      </c>
      <c r="HL36" s="66">
        <v>0</v>
      </c>
      <c r="HM36" s="66">
        <v>0.14749899999999999</v>
      </c>
      <c r="HN36" s="67">
        <v>100</v>
      </c>
      <c r="HO36" s="67">
        <v>100</v>
      </c>
      <c r="HP36" s="67">
        <v>10.000616991400767</v>
      </c>
      <c r="HQ36" s="187">
        <v>0</v>
      </c>
      <c r="HR36" s="67">
        <v>0</v>
      </c>
      <c r="HS36" s="66">
        <v>0</v>
      </c>
      <c r="HT36" s="66">
        <v>0</v>
      </c>
      <c r="HU36" s="66">
        <v>0</v>
      </c>
      <c r="HV36" s="66">
        <v>0</v>
      </c>
      <c r="HW36" s="66">
        <v>0</v>
      </c>
      <c r="HX36" s="66">
        <v>0</v>
      </c>
      <c r="HY36" s="66">
        <v>0</v>
      </c>
      <c r="HZ36" s="66">
        <v>0</v>
      </c>
      <c r="IA36" s="66">
        <v>0</v>
      </c>
      <c r="IB36" s="66">
        <v>0</v>
      </c>
      <c r="IC36" s="66">
        <v>0</v>
      </c>
      <c r="ID36" s="67" t="s">
        <v>1230</v>
      </c>
      <c r="IE36" s="67" t="s">
        <v>1230</v>
      </c>
      <c r="IF36" s="67">
        <v>0</v>
      </c>
      <c r="IG36" s="187">
        <v>0</v>
      </c>
      <c r="IH36" s="67">
        <v>0</v>
      </c>
      <c r="II36" s="66">
        <v>0</v>
      </c>
      <c r="IJ36" s="66">
        <v>0</v>
      </c>
      <c r="IK36" s="66">
        <v>0</v>
      </c>
      <c r="IL36" s="66">
        <v>0</v>
      </c>
      <c r="IM36" s="66">
        <v>0</v>
      </c>
      <c r="IN36" s="66">
        <v>0</v>
      </c>
      <c r="IO36" s="66">
        <v>0</v>
      </c>
      <c r="IP36" s="66">
        <v>0</v>
      </c>
      <c r="IQ36" s="66">
        <v>0</v>
      </c>
      <c r="IR36" s="66">
        <v>0</v>
      </c>
      <c r="IS36" s="66">
        <v>0</v>
      </c>
      <c r="IT36" s="67" t="s">
        <v>1230</v>
      </c>
      <c r="IU36" s="67" t="s">
        <v>1230</v>
      </c>
      <c r="IV36" s="67">
        <v>0</v>
      </c>
      <c r="IW36" s="187">
        <v>0</v>
      </c>
      <c r="IX36" s="67">
        <v>0</v>
      </c>
    </row>
    <row r="37" spans="1:258" ht="15.6" x14ac:dyDescent="0.3">
      <c r="A37" s="169" t="s">
        <v>74</v>
      </c>
      <c r="B37" s="205" t="s">
        <v>1078</v>
      </c>
      <c r="C37" s="66">
        <v>0</v>
      </c>
      <c r="D37" s="66">
        <v>0</v>
      </c>
      <c r="E37" s="66">
        <v>0</v>
      </c>
      <c r="F37" s="66">
        <v>0</v>
      </c>
      <c r="G37" s="66">
        <v>0</v>
      </c>
      <c r="H37" s="66">
        <v>0</v>
      </c>
      <c r="I37" s="66">
        <v>0</v>
      </c>
      <c r="J37" s="66">
        <v>0</v>
      </c>
      <c r="K37" s="66">
        <v>0</v>
      </c>
      <c r="L37" s="66">
        <v>0</v>
      </c>
      <c r="M37" s="66">
        <v>0</v>
      </c>
      <c r="N37" s="67" t="s">
        <v>1230</v>
      </c>
      <c r="O37" s="67" t="s">
        <v>1230</v>
      </c>
      <c r="P37" s="67">
        <v>0</v>
      </c>
      <c r="Q37" s="66">
        <v>0</v>
      </c>
      <c r="R37" s="67">
        <v>0</v>
      </c>
      <c r="S37" s="66">
        <v>0</v>
      </c>
      <c r="T37" s="66">
        <v>0</v>
      </c>
      <c r="U37" s="66">
        <v>0</v>
      </c>
      <c r="V37" s="66">
        <v>0</v>
      </c>
      <c r="W37" s="66">
        <v>0</v>
      </c>
      <c r="X37" s="66">
        <v>0</v>
      </c>
      <c r="Y37" s="66">
        <v>0</v>
      </c>
      <c r="Z37" s="66">
        <v>0</v>
      </c>
      <c r="AA37" s="66">
        <v>0</v>
      </c>
      <c r="AB37" s="66">
        <v>0</v>
      </c>
      <c r="AC37" s="66">
        <v>0</v>
      </c>
      <c r="AD37" s="67" t="s">
        <v>1230</v>
      </c>
      <c r="AE37" s="67" t="s">
        <v>1230</v>
      </c>
      <c r="AF37" s="67">
        <v>0</v>
      </c>
      <c r="AG37" s="187">
        <v>0</v>
      </c>
      <c r="AH37" s="67">
        <v>0</v>
      </c>
      <c r="AI37" s="66">
        <v>0</v>
      </c>
      <c r="AJ37" s="66">
        <v>0</v>
      </c>
      <c r="AK37" s="66">
        <v>0</v>
      </c>
      <c r="AL37" s="66">
        <v>0</v>
      </c>
      <c r="AM37" s="66">
        <v>0</v>
      </c>
      <c r="AN37" s="66">
        <v>0</v>
      </c>
      <c r="AO37" s="66">
        <v>0</v>
      </c>
      <c r="AP37" s="66">
        <v>0</v>
      </c>
      <c r="AQ37" s="66">
        <v>0</v>
      </c>
      <c r="AR37" s="66">
        <v>0</v>
      </c>
      <c r="AS37" s="66">
        <v>0</v>
      </c>
      <c r="AT37" s="67" t="s">
        <v>1230</v>
      </c>
      <c r="AU37" s="67" t="s">
        <v>1230</v>
      </c>
      <c r="AV37" s="67">
        <v>0</v>
      </c>
      <c r="AW37" s="187">
        <v>0</v>
      </c>
      <c r="AX37" s="67">
        <v>0</v>
      </c>
      <c r="AY37" s="66">
        <v>0</v>
      </c>
      <c r="AZ37" s="66">
        <v>0</v>
      </c>
      <c r="BA37" s="66">
        <v>0</v>
      </c>
      <c r="BB37" s="66">
        <v>0</v>
      </c>
      <c r="BC37" s="66">
        <v>0</v>
      </c>
      <c r="BD37" s="66">
        <v>0</v>
      </c>
      <c r="BE37" s="66">
        <v>0</v>
      </c>
      <c r="BF37" s="66">
        <v>0</v>
      </c>
      <c r="BG37" s="66">
        <v>0</v>
      </c>
      <c r="BH37" s="66">
        <v>0</v>
      </c>
      <c r="BI37" s="66">
        <v>0</v>
      </c>
      <c r="BJ37" s="67" t="s">
        <v>1230</v>
      </c>
      <c r="BK37" s="67" t="s">
        <v>1230</v>
      </c>
      <c r="BL37" s="67">
        <v>0</v>
      </c>
      <c r="BM37" s="187">
        <v>0</v>
      </c>
      <c r="BN37" s="67">
        <v>0</v>
      </c>
      <c r="BO37" s="66">
        <v>0</v>
      </c>
      <c r="BP37" s="66">
        <v>0</v>
      </c>
      <c r="BQ37" s="66">
        <v>0</v>
      </c>
      <c r="BR37" s="66">
        <v>0</v>
      </c>
      <c r="BS37" s="66">
        <v>0</v>
      </c>
      <c r="BT37" s="66">
        <v>0</v>
      </c>
      <c r="BU37" s="66">
        <v>0</v>
      </c>
      <c r="BV37" s="66">
        <v>0</v>
      </c>
      <c r="BW37" s="66">
        <v>0</v>
      </c>
      <c r="BX37" s="66">
        <v>0</v>
      </c>
      <c r="BY37" s="66">
        <v>0</v>
      </c>
      <c r="BZ37" s="67" t="s">
        <v>1230</v>
      </c>
      <c r="CA37" s="67" t="s">
        <v>1230</v>
      </c>
      <c r="CB37" s="67">
        <v>0</v>
      </c>
      <c r="CC37" s="187">
        <v>0</v>
      </c>
      <c r="CD37" s="67">
        <v>0</v>
      </c>
      <c r="CE37" s="66">
        <v>0</v>
      </c>
      <c r="CF37" s="66">
        <v>0</v>
      </c>
      <c r="CG37" s="66">
        <v>0</v>
      </c>
      <c r="CH37" s="66">
        <v>0</v>
      </c>
      <c r="CI37" s="66">
        <v>0</v>
      </c>
      <c r="CJ37" s="66">
        <v>0</v>
      </c>
      <c r="CK37" s="66">
        <v>0</v>
      </c>
      <c r="CL37" s="66">
        <v>0</v>
      </c>
      <c r="CM37" s="66">
        <v>0</v>
      </c>
      <c r="CN37" s="66">
        <v>0</v>
      </c>
      <c r="CO37" s="66">
        <v>0</v>
      </c>
      <c r="CP37" s="67" t="s">
        <v>1230</v>
      </c>
      <c r="CQ37" s="67" t="s">
        <v>1230</v>
      </c>
      <c r="CR37" s="67">
        <v>0</v>
      </c>
      <c r="CS37" s="187">
        <v>0</v>
      </c>
      <c r="CT37" s="67">
        <v>0</v>
      </c>
      <c r="CU37" s="66">
        <v>0</v>
      </c>
      <c r="CV37" s="66">
        <v>0</v>
      </c>
      <c r="CW37" s="66">
        <v>0</v>
      </c>
      <c r="CX37" s="66">
        <v>0</v>
      </c>
      <c r="CY37" s="66">
        <v>0</v>
      </c>
      <c r="CZ37" s="66">
        <v>0</v>
      </c>
      <c r="DA37" s="66">
        <v>0</v>
      </c>
      <c r="DB37" s="66">
        <v>0</v>
      </c>
      <c r="DC37" s="66">
        <v>0</v>
      </c>
      <c r="DD37" s="66">
        <v>0</v>
      </c>
      <c r="DE37" s="66">
        <v>0</v>
      </c>
      <c r="DF37" s="67" t="s">
        <v>1230</v>
      </c>
      <c r="DG37" s="67" t="s">
        <v>1230</v>
      </c>
      <c r="DH37" s="67">
        <v>0</v>
      </c>
      <c r="DI37" s="187">
        <v>0</v>
      </c>
      <c r="DJ37" s="67">
        <v>0</v>
      </c>
      <c r="DK37" s="66">
        <v>0</v>
      </c>
      <c r="DL37" s="66">
        <v>0</v>
      </c>
      <c r="DM37" s="66">
        <v>0</v>
      </c>
      <c r="DN37" s="66">
        <v>0</v>
      </c>
      <c r="DO37" s="66">
        <v>0</v>
      </c>
      <c r="DP37" s="66">
        <v>0</v>
      </c>
      <c r="DQ37" s="66">
        <v>0</v>
      </c>
      <c r="DR37" s="66">
        <v>0</v>
      </c>
      <c r="DS37" s="66">
        <v>0</v>
      </c>
      <c r="DT37" s="66">
        <v>0</v>
      </c>
      <c r="DU37" s="66">
        <v>0</v>
      </c>
      <c r="DV37" s="67" t="s">
        <v>1230</v>
      </c>
      <c r="DW37" s="67" t="s">
        <v>1230</v>
      </c>
      <c r="DX37" s="67">
        <v>0</v>
      </c>
      <c r="DY37" s="187">
        <v>0</v>
      </c>
      <c r="DZ37" s="67">
        <v>0</v>
      </c>
      <c r="EA37" s="66">
        <v>0</v>
      </c>
      <c r="EB37" s="66">
        <v>0</v>
      </c>
      <c r="EC37" s="66">
        <v>0</v>
      </c>
      <c r="ED37" s="66">
        <v>0</v>
      </c>
      <c r="EE37" s="66">
        <v>0</v>
      </c>
      <c r="EF37" s="66">
        <v>0</v>
      </c>
      <c r="EG37" s="66">
        <v>0</v>
      </c>
      <c r="EH37" s="66">
        <v>0</v>
      </c>
      <c r="EI37" s="66">
        <v>0</v>
      </c>
      <c r="EJ37" s="66">
        <v>0</v>
      </c>
      <c r="EK37" s="66">
        <v>0</v>
      </c>
      <c r="EL37" s="67" t="s">
        <v>1230</v>
      </c>
      <c r="EM37" s="67" t="s">
        <v>1230</v>
      </c>
      <c r="EN37" s="67">
        <v>0</v>
      </c>
      <c r="EO37" s="187">
        <v>0</v>
      </c>
      <c r="EP37" s="67">
        <v>0</v>
      </c>
      <c r="EQ37" s="66">
        <v>0</v>
      </c>
      <c r="ER37" s="66">
        <v>0</v>
      </c>
      <c r="ES37" s="66">
        <v>0</v>
      </c>
      <c r="ET37" s="66">
        <v>0</v>
      </c>
      <c r="EU37" s="66">
        <v>0</v>
      </c>
      <c r="EV37" s="66">
        <v>0</v>
      </c>
      <c r="EW37" s="66">
        <v>0</v>
      </c>
      <c r="EX37" s="66">
        <v>0</v>
      </c>
      <c r="EY37" s="66">
        <v>0</v>
      </c>
      <c r="EZ37" s="66">
        <v>0</v>
      </c>
      <c r="FA37" s="66">
        <v>0</v>
      </c>
      <c r="FB37" s="67" t="s">
        <v>1230</v>
      </c>
      <c r="FC37" s="67" t="s">
        <v>1230</v>
      </c>
      <c r="FD37" s="67">
        <v>0</v>
      </c>
      <c r="FE37" s="187">
        <v>0</v>
      </c>
      <c r="FF37" s="67">
        <v>0</v>
      </c>
      <c r="FG37" s="66">
        <v>0</v>
      </c>
      <c r="FH37" s="66">
        <v>0</v>
      </c>
      <c r="FI37" s="66">
        <v>0</v>
      </c>
      <c r="FJ37" s="66">
        <v>0</v>
      </c>
      <c r="FK37" s="66">
        <v>0</v>
      </c>
      <c r="FL37" s="66">
        <v>0</v>
      </c>
      <c r="FM37" s="66">
        <v>0</v>
      </c>
      <c r="FN37" s="66">
        <v>0</v>
      </c>
      <c r="FO37" s="66">
        <v>0</v>
      </c>
      <c r="FP37" s="66">
        <v>0</v>
      </c>
      <c r="FQ37" s="66">
        <v>0</v>
      </c>
      <c r="FR37" s="67" t="s">
        <v>1230</v>
      </c>
      <c r="FS37" s="67" t="s">
        <v>1230</v>
      </c>
      <c r="FT37" s="67">
        <v>0</v>
      </c>
      <c r="FU37" s="187">
        <v>0</v>
      </c>
      <c r="FV37" s="67">
        <v>0</v>
      </c>
      <c r="FW37" s="66">
        <v>0</v>
      </c>
      <c r="FX37" s="66">
        <v>0</v>
      </c>
      <c r="FY37" s="66">
        <v>0</v>
      </c>
      <c r="FZ37" s="66">
        <v>0</v>
      </c>
      <c r="GA37" s="66">
        <v>0</v>
      </c>
      <c r="GB37" s="66">
        <v>0</v>
      </c>
      <c r="GC37" s="66">
        <v>0</v>
      </c>
      <c r="GD37" s="66">
        <v>0</v>
      </c>
      <c r="GE37" s="66">
        <v>0</v>
      </c>
      <c r="GF37" s="66">
        <v>0</v>
      </c>
      <c r="GG37" s="66">
        <v>0</v>
      </c>
      <c r="GH37" s="67" t="s">
        <v>1230</v>
      </c>
      <c r="GI37" s="67" t="s">
        <v>1230</v>
      </c>
      <c r="GJ37" s="67">
        <v>0</v>
      </c>
      <c r="GK37" s="187">
        <v>0</v>
      </c>
      <c r="GL37" s="67">
        <v>0</v>
      </c>
      <c r="GM37" s="66">
        <v>0</v>
      </c>
      <c r="GN37" s="66">
        <v>0</v>
      </c>
      <c r="GO37" s="66">
        <v>0</v>
      </c>
      <c r="GP37" s="66">
        <v>0</v>
      </c>
      <c r="GQ37" s="66">
        <v>0</v>
      </c>
      <c r="GR37" s="66">
        <v>0</v>
      </c>
      <c r="GS37" s="66">
        <v>0</v>
      </c>
      <c r="GT37" s="66">
        <v>0</v>
      </c>
      <c r="GU37" s="66">
        <v>0</v>
      </c>
      <c r="GV37" s="66">
        <v>0</v>
      </c>
      <c r="GW37" s="66">
        <v>0</v>
      </c>
      <c r="GX37" s="67" t="s">
        <v>1230</v>
      </c>
      <c r="GY37" s="67" t="s">
        <v>1230</v>
      </c>
      <c r="GZ37" s="67">
        <v>0</v>
      </c>
      <c r="HA37" s="187">
        <v>0</v>
      </c>
      <c r="HB37" s="67">
        <v>0</v>
      </c>
      <c r="HC37" s="66">
        <v>0</v>
      </c>
      <c r="HD37" s="66">
        <v>0</v>
      </c>
      <c r="HE37" s="66">
        <v>0</v>
      </c>
      <c r="HF37" s="66">
        <v>0</v>
      </c>
      <c r="HG37" s="66">
        <v>0</v>
      </c>
      <c r="HH37" s="66">
        <v>0</v>
      </c>
      <c r="HI37" s="66">
        <v>0</v>
      </c>
      <c r="HJ37" s="66">
        <v>0</v>
      </c>
      <c r="HK37" s="66">
        <v>0</v>
      </c>
      <c r="HL37" s="66">
        <v>0</v>
      </c>
      <c r="HM37" s="66">
        <v>0</v>
      </c>
      <c r="HN37" s="67" t="s">
        <v>1230</v>
      </c>
      <c r="HO37" s="67" t="s">
        <v>1230</v>
      </c>
      <c r="HP37" s="67">
        <v>0</v>
      </c>
      <c r="HQ37" s="187">
        <v>0</v>
      </c>
      <c r="HR37" s="67">
        <v>0</v>
      </c>
      <c r="HS37" s="66">
        <v>0</v>
      </c>
      <c r="HT37" s="66">
        <v>0</v>
      </c>
      <c r="HU37" s="66">
        <v>0</v>
      </c>
      <c r="HV37" s="66">
        <v>0</v>
      </c>
      <c r="HW37" s="66">
        <v>0</v>
      </c>
      <c r="HX37" s="66">
        <v>0</v>
      </c>
      <c r="HY37" s="66">
        <v>0</v>
      </c>
      <c r="HZ37" s="66">
        <v>0</v>
      </c>
      <c r="IA37" s="66">
        <v>0</v>
      </c>
      <c r="IB37" s="66">
        <v>0</v>
      </c>
      <c r="IC37" s="66">
        <v>0</v>
      </c>
      <c r="ID37" s="67" t="s">
        <v>1230</v>
      </c>
      <c r="IE37" s="67" t="s">
        <v>1230</v>
      </c>
      <c r="IF37" s="67">
        <v>0</v>
      </c>
      <c r="IG37" s="187">
        <v>0</v>
      </c>
      <c r="IH37" s="67">
        <v>0</v>
      </c>
      <c r="II37" s="66">
        <v>0</v>
      </c>
      <c r="IJ37" s="66">
        <v>0</v>
      </c>
      <c r="IK37" s="66">
        <v>0</v>
      </c>
      <c r="IL37" s="66">
        <v>0</v>
      </c>
      <c r="IM37" s="66">
        <v>0</v>
      </c>
      <c r="IN37" s="66">
        <v>0</v>
      </c>
      <c r="IO37" s="66">
        <v>0</v>
      </c>
      <c r="IP37" s="66">
        <v>0</v>
      </c>
      <c r="IQ37" s="66">
        <v>0</v>
      </c>
      <c r="IR37" s="66">
        <v>0</v>
      </c>
      <c r="IS37" s="66">
        <v>0</v>
      </c>
      <c r="IT37" s="67" t="s">
        <v>1230</v>
      </c>
      <c r="IU37" s="67" t="s">
        <v>1230</v>
      </c>
      <c r="IV37" s="67">
        <v>0</v>
      </c>
      <c r="IW37" s="187">
        <v>0</v>
      </c>
      <c r="IX37" s="67">
        <v>0</v>
      </c>
    </row>
    <row r="38" spans="1:258" ht="15.6" x14ac:dyDescent="0.3">
      <c r="A38" s="169" t="s">
        <v>76</v>
      </c>
      <c r="B38" s="205" t="s">
        <v>77</v>
      </c>
      <c r="C38" s="66">
        <v>93.099199999999996</v>
      </c>
      <c r="D38" s="66">
        <v>0</v>
      </c>
      <c r="E38" s="66">
        <v>229.63629930999997</v>
      </c>
      <c r="F38" s="66">
        <v>93.099199999999996</v>
      </c>
      <c r="G38" s="66">
        <v>136.53709931</v>
      </c>
      <c r="H38" s="66">
        <v>91.234077600000006</v>
      </c>
      <c r="I38" s="66">
        <v>2.7923878400000004</v>
      </c>
      <c r="J38" s="66">
        <v>225.86003066000001</v>
      </c>
      <c r="K38" s="66">
        <v>91.108744810000005</v>
      </c>
      <c r="L38" s="66">
        <v>0</v>
      </c>
      <c r="M38" s="66">
        <v>134.75128585000002</v>
      </c>
      <c r="N38" s="67">
        <v>97.862006128946334</v>
      </c>
      <c r="O38" s="67">
        <v>98.692067233722753</v>
      </c>
      <c r="P38" s="67">
        <v>59.661413069074101</v>
      </c>
      <c r="Q38" s="66">
        <v>2.7923878400000004</v>
      </c>
      <c r="R38" s="67">
        <v>0.12533279000000475</v>
      </c>
      <c r="S38" s="66">
        <v>38.289099999999998</v>
      </c>
      <c r="T38" s="66">
        <v>0</v>
      </c>
      <c r="U38" s="66">
        <v>124.96859547</v>
      </c>
      <c r="V38" s="66">
        <v>38.289099999999998</v>
      </c>
      <c r="W38" s="66">
        <v>86.679495469999992</v>
      </c>
      <c r="X38" s="66">
        <v>38.225476530000002</v>
      </c>
      <c r="Y38" s="66">
        <v>0.98054421999999997</v>
      </c>
      <c r="Z38" s="66">
        <v>124.36400286</v>
      </c>
      <c r="AA38" s="66">
        <v>38.103858989999999</v>
      </c>
      <c r="AB38" s="66">
        <v>0</v>
      </c>
      <c r="AC38" s="66">
        <v>86.260143870000007</v>
      </c>
      <c r="AD38" s="67">
        <v>99.516204324468333</v>
      </c>
      <c r="AE38" s="67">
        <v>99.516204382909535</v>
      </c>
      <c r="AF38" s="67">
        <v>69.361022390944939</v>
      </c>
      <c r="AG38" s="187">
        <v>0.98054421999999997</v>
      </c>
      <c r="AH38" s="67">
        <v>0.12161754000000136</v>
      </c>
      <c r="AI38" s="66">
        <v>0</v>
      </c>
      <c r="AJ38" s="66">
        <v>0</v>
      </c>
      <c r="AK38" s="66">
        <v>0</v>
      </c>
      <c r="AL38" s="66">
        <v>0</v>
      </c>
      <c r="AM38" s="66">
        <v>0</v>
      </c>
      <c r="AN38" s="66">
        <v>0</v>
      </c>
      <c r="AO38" s="66">
        <v>0.10117702000000001</v>
      </c>
      <c r="AP38" s="66">
        <v>0</v>
      </c>
      <c r="AQ38" s="66">
        <v>0</v>
      </c>
      <c r="AR38" s="66">
        <v>0</v>
      </c>
      <c r="AS38" s="66">
        <v>0</v>
      </c>
      <c r="AT38" s="67" t="s">
        <v>1230</v>
      </c>
      <c r="AU38" s="67" t="s">
        <v>1230</v>
      </c>
      <c r="AV38" s="67">
        <v>0</v>
      </c>
      <c r="AW38" s="187">
        <v>0.10117702000000001</v>
      </c>
      <c r="AX38" s="67">
        <v>0</v>
      </c>
      <c r="AY38" s="66">
        <v>51.253999999999998</v>
      </c>
      <c r="AZ38" s="66">
        <v>0</v>
      </c>
      <c r="BA38" s="66">
        <v>91.42437717</v>
      </c>
      <c r="BB38" s="66">
        <v>51.253999999999998</v>
      </c>
      <c r="BC38" s="66">
        <v>40.170377170000002</v>
      </c>
      <c r="BD38" s="66">
        <v>49.452501070000004</v>
      </c>
      <c r="BE38" s="66">
        <v>1.7106666000000001</v>
      </c>
      <c r="BF38" s="66">
        <v>88.252701129999991</v>
      </c>
      <c r="BG38" s="66">
        <v>49.448785819999998</v>
      </c>
      <c r="BH38" s="66">
        <v>0</v>
      </c>
      <c r="BI38" s="66">
        <v>38.803915310000001</v>
      </c>
      <c r="BJ38" s="67">
        <v>96.477905763452611</v>
      </c>
      <c r="BK38" s="67">
        <v>96.598334503514451</v>
      </c>
      <c r="BL38" s="67">
        <v>43.969096484469276</v>
      </c>
      <c r="BM38" s="187">
        <v>1.7106666000000001</v>
      </c>
      <c r="BN38" s="67">
        <v>3.7152500000092736E-3</v>
      </c>
      <c r="BO38" s="66">
        <v>0</v>
      </c>
      <c r="BP38" s="66">
        <v>0</v>
      </c>
      <c r="BQ38" s="66">
        <v>0</v>
      </c>
      <c r="BR38" s="66">
        <v>0</v>
      </c>
      <c r="BS38" s="66">
        <v>0</v>
      </c>
      <c r="BT38" s="66">
        <v>0</v>
      </c>
      <c r="BU38" s="66">
        <v>0</v>
      </c>
      <c r="BV38" s="66">
        <v>0</v>
      </c>
      <c r="BW38" s="66">
        <v>0</v>
      </c>
      <c r="BX38" s="66">
        <v>0</v>
      </c>
      <c r="BY38" s="66">
        <v>0</v>
      </c>
      <c r="BZ38" s="67" t="s">
        <v>1230</v>
      </c>
      <c r="CA38" s="67" t="s">
        <v>1230</v>
      </c>
      <c r="CB38" s="67">
        <v>0</v>
      </c>
      <c r="CC38" s="187">
        <v>0</v>
      </c>
      <c r="CD38" s="67">
        <v>0</v>
      </c>
      <c r="CE38" s="66">
        <v>0</v>
      </c>
      <c r="CF38" s="66">
        <v>0</v>
      </c>
      <c r="CG38" s="66">
        <v>0</v>
      </c>
      <c r="CH38" s="66">
        <v>0</v>
      </c>
      <c r="CI38" s="66">
        <v>0</v>
      </c>
      <c r="CJ38" s="66">
        <v>0</v>
      </c>
      <c r="CK38" s="66">
        <v>0</v>
      </c>
      <c r="CL38" s="66">
        <v>0</v>
      </c>
      <c r="CM38" s="66">
        <v>0</v>
      </c>
      <c r="CN38" s="66">
        <v>0</v>
      </c>
      <c r="CO38" s="66">
        <v>0</v>
      </c>
      <c r="CP38" s="67" t="s">
        <v>1230</v>
      </c>
      <c r="CQ38" s="67" t="s">
        <v>1230</v>
      </c>
      <c r="CR38" s="67">
        <v>0</v>
      </c>
      <c r="CS38" s="187">
        <v>0</v>
      </c>
      <c r="CT38" s="67">
        <v>0</v>
      </c>
      <c r="CU38" s="66">
        <v>0</v>
      </c>
      <c r="CV38" s="66">
        <v>0</v>
      </c>
      <c r="CW38" s="66">
        <v>0</v>
      </c>
      <c r="CX38" s="66">
        <v>0</v>
      </c>
      <c r="CY38" s="66">
        <v>0</v>
      </c>
      <c r="CZ38" s="66">
        <v>0</v>
      </c>
      <c r="DA38" s="66">
        <v>0</v>
      </c>
      <c r="DB38" s="66">
        <v>0</v>
      </c>
      <c r="DC38" s="66">
        <v>0</v>
      </c>
      <c r="DD38" s="66">
        <v>0</v>
      </c>
      <c r="DE38" s="66">
        <v>0</v>
      </c>
      <c r="DF38" s="67" t="s">
        <v>1230</v>
      </c>
      <c r="DG38" s="67" t="s">
        <v>1230</v>
      </c>
      <c r="DH38" s="67">
        <v>0</v>
      </c>
      <c r="DI38" s="187">
        <v>0</v>
      </c>
      <c r="DJ38" s="67">
        <v>0</v>
      </c>
      <c r="DK38" s="66">
        <v>0</v>
      </c>
      <c r="DL38" s="66">
        <v>0</v>
      </c>
      <c r="DM38" s="66">
        <v>0</v>
      </c>
      <c r="DN38" s="66">
        <v>0</v>
      </c>
      <c r="DO38" s="66">
        <v>0</v>
      </c>
      <c r="DP38" s="66">
        <v>0</v>
      </c>
      <c r="DQ38" s="66">
        <v>0</v>
      </c>
      <c r="DR38" s="66">
        <v>0</v>
      </c>
      <c r="DS38" s="66">
        <v>0</v>
      </c>
      <c r="DT38" s="66">
        <v>0</v>
      </c>
      <c r="DU38" s="66">
        <v>0</v>
      </c>
      <c r="DV38" s="67" t="s">
        <v>1230</v>
      </c>
      <c r="DW38" s="67" t="s">
        <v>1230</v>
      </c>
      <c r="DX38" s="67">
        <v>0</v>
      </c>
      <c r="DY38" s="187">
        <v>0</v>
      </c>
      <c r="DZ38" s="67">
        <v>0</v>
      </c>
      <c r="EA38" s="66">
        <v>0</v>
      </c>
      <c r="EB38" s="66">
        <v>0</v>
      </c>
      <c r="EC38" s="66">
        <v>0</v>
      </c>
      <c r="ED38" s="66">
        <v>0</v>
      </c>
      <c r="EE38" s="66">
        <v>0</v>
      </c>
      <c r="EF38" s="66">
        <v>0</v>
      </c>
      <c r="EG38" s="66">
        <v>0</v>
      </c>
      <c r="EH38" s="66">
        <v>0</v>
      </c>
      <c r="EI38" s="66">
        <v>0</v>
      </c>
      <c r="EJ38" s="66">
        <v>0</v>
      </c>
      <c r="EK38" s="66">
        <v>0</v>
      </c>
      <c r="EL38" s="67" t="s">
        <v>1230</v>
      </c>
      <c r="EM38" s="67" t="s">
        <v>1230</v>
      </c>
      <c r="EN38" s="67">
        <v>0</v>
      </c>
      <c r="EO38" s="187">
        <v>0</v>
      </c>
      <c r="EP38" s="67">
        <v>0</v>
      </c>
      <c r="EQ38" s="66">
        <v>2.3517000000000001</v>
      </c>
      <c r="ER38" s="66">
        <v>0</v>
      </c>
      <c r="ES38" s="66">
        <v>10.963326670000001</v>
      </c>
      <c r="ET38" s="66">
        <v>2.3517000000000001</v>
      </c>
      <c r="EU38" s="66">
        <v>8.6116266699999997</v>
      </c>
      <c r="EV38" s="66">
        <v>2.3517000000000001</v>
      </c>
      <c r="EW38" s="66">
        <v>0</v>
      </c>
      <c r="EX38" s="66">
        <v>10.963326670000001</v>
      </c>
      <c r="EY38" s="66">
        <v>2.3517000000000001</v>
      </c>
      <c r="EZ38" s="66">
        <v>0</v>
      </c>
      <c r="FA38" s="66">
        <v>8.6116266699999997</v>
      </c>
      <c r="FB38" s="67">
        <v>100</v>
      </c>
      <c r="FC38" s="67">
        <v>100</v>
      </c>
      <c r="FD38" s="67">
        <v>78.549394077299709</v>
      </c>
      <c r="FE38" s="187">
        <v>0</v>
      </c>
      <c r="FF38" s="67">
        <v>0</v>
      </c>
      <c r="FG38" s="66">
        <v>0</v>
      </c>
      <c r="FH38" s="66">
        <v>0</v>
      </c>
      <c r="FI38" s="66">
        <v>0</v>
      </c>
      <c r="FJ38" s="66">
        <v>0</v>
      </c>
      <c r="FK38" s="66">
        <v>0</v>
      </c>
      <c r="FL38" s="66">
        <v>0</v>
      </c>
      <c r="FM38" s="66">
        <v>0</v>
      </c>
      <c r="FN38" s="66">
        <v>0</v>
      </c>
      <c r="FO38" s="66">
        <v>0</v>
      </c>
      <c r="FP38" s="66">
        <v>0</v>
      </c>
      <c r="FQ38" s="66">
        <v>0</v>
      </c>
      <c r="FR38" s="67" t="s">
        <v>1230</v>
      </c>
      <c r="FS38" s="67" t="s">
        <v>1230</v>
      </c>
      <c r="FT38" s="67">
        <v>0</v>
      </c>
      <c r="FU38" s="187">
        <v>0</v>
      </c>
      <c r="FV38" s="67">
        <v>0</v>
      </c>
      <c r="FW38" s="66">
        <v>0</v>
      </c>
      <c r="FX38" s="66">
        <v>0</v>
      </c>
      <c r="FY38" s="66">
        <v>0</v>
      </c>
      <c r="FZ38" s="66">
        <v>0</v>
      </c>
      <c r="GA38" s="66">
        <v>0</v>
      </c>
      <c r="GB38" s="66">
        <v>0</v>
      </c>
      <c r="GC38" s="66">
        <v>0</v>
      </c>
      <c r="GD38" s="66">
        <v>0</v>
      </c>
      <c r="GE38" s="66">
        <v>0</v>
      </c>
      <c r="GF38" s="66">
        <v>0</v>
      </c>
      <c r="GG38" s="66">
        <v>0</v>
      </c>
      <c r="GH38" s="67" t="s">
        <v>1230</v>
      </c>
      <c r="GI38" s="67" t="s">
        <v>1230</v>
      </c>
      <c r="GJ38" s="67">
        <v>0</v>
      </c>
      <c r="GK38" s="187">
        <v>0</v>
      </c>
      <c r="GL38" s="67">
        <v>0</v>
      </c>
      <c r="GM38" s="66">
        <v>0</v>
      </c>
      <c r="GN38" s="66">
        <v>0</v>
      </c>
      <c r="GO38" s="66">
        <v>0</v>
      </c>
      <c r="GP38" s="66">
        <v>0</v>
      </c>
      <c r="GQ38" s="66">
        <v>0</v>
      </c>
      <c r="GR38" s="66">
        <v>0</v>
      </c>
      <c r="GS38" s="66">
        <v>0</v>
      </c>
      <c r="GT38" s="66">
        <v>0</v>
      </c>
      <c r="GU38" s="66">
        <v>0</v>
      </c>
      <c r="GV38" s="66">
        <v>0</v>
      </c>
      <c r="GW38" s="66">
        <v>0</v>
      </c>
      <c r="GX38" s="67" t="s">
        <v>1230</v>
      </c>
      <c r="GY38" s="67" t="s">
        <v>1230</v>
      </c>
      <c r="GZ38" s="67">
        <v>0</v>
      </c>
      <c r="HA38" s="187">
        <v>0</v>
      </c>
      <c r="HB38" s="67">
        <v>0</v>
      </c>
      <c r="HC38" s="66">
        <v>1.2043999999999999</v>
      </c>
      <c r="HD38" s="66">
        <v>0</v>
      </c>
      <c r="HE38" s="66">
        <v>2.2799999999999998</v>
      </c>
      <c r="HF38" s="66">
        <v>1.2043999999999999</v>
      </c>
      <c r="HG38" s="66">
        <v>1.0755999999999999</v>
      </c>
      <c r="HH38" s="66">
        <v>1.2043999999999999</v>
      </c>
      <c r="HI38" s="66">
        <v>0</v>
      </c>
      <c r="HJ38" s="66">
        <v>2.2799999999999998</v>
      </c>
      <c r="HK38" s="66">
        <v>1.2043999999999999</v>
      </c>
      <c r="HL38" s="66">
        <v>0</v>
      </c>
      <c r="HM38" s="66">
        <v>1.0755999999999999</v>
      </c>
      <c r="HN38" s="67">
        <v>100</v>
      </c>
      <c r="HO38" s="67">
        <v>100</v>
      </c>
      <c r="HP38" s="67">
        <v>47.175438596491226</v>
      </c>
      <c r="HQ38" s="187">
        <v>0</v>
      </c>
      <c r="HR38" s="67">
        <v>0</v>
      </c>
      <c r="HS38" s="66">
        <v>0</v>
      </c>
      <c r="HT38" s="66">
        <v>0</v>
      </c>
      <c r="HU38" s="66">
        <v>0</v>
      </c>
      <c r="HV38" s="66">
        <v>0</v>
      </c>
      <c r="HW38" s="66">
        <v>0</v>
      </c>
      <c r="HX38" s="66">
        <v>0</v>
      </c>
      <c r="HY38" s="66">
        <v>0</v>
      </c>
      <c r="HZ38" s="66">
        <v>0</v>
      </c>
      <c r="IA38" s="66">
        <v>0</v>
      </c>
      <c r="IB38" s="66">
        <v>0</v>
      </c>
      <c r="IC38" s="66">
        <v>0</v>
      </c>
      <c r="ID38" s="67" t="s">
        <v>1230</v>
      </c>
      <c r="IE38" s="67" t="s">
        <v>1230</v>
      </c>
      <c r="IF38" s="67">
        <v>0</v>
      </c>
      <c r="IG38" s="187">
        <v>0</v>
      </c>
      <c r="IH38" s="67">
        <v>0</v>
      </c>
      <c r="II38" s="66">
        <v>0</v>
      </c>
      <c r="IJ38" s="66">
        <v>0</v>
      </c>
      <c r="IK38" s="66">
        <v>0</v>
      </c>
      <c r="IL38" s="66">
        <v>0</v>
      </c>
      <c r="IM38" s="66">
        <v>0</v>
      </c>
      <c r="IN38" s="66">
        <v>0</v>
      </c>
      <c r="IO38" s="66">
        <v>0</v>
      </c>
      <c r="IP38" s="66">
        <v>0</v>
      </c>
      <c r="IQ38" s="66">
        <v>0</v>
      </c>
      <c r="IR38" s="66">
        <v>0</v>
      </c>
      <c r="IS38" s="66">
        <v>0</v>
      </c>
      <c r="IT38" s="67" t="s">
        <v>1230</v>
      </c>
      <c r="IU38" s="67" t="s">
        <v>1230</v>
      </c>
      <c r="IV38" s="67">
        <v>0</v>
      </c>
      <c r="IW38" s="187">
        <v>0</v>
      </c>
      <c r="IX38" s="67">
        <v>0</v>
      </c>
    </row>
    <row r="39" spans="1:258" ht="15.6" x14ac:dyDescent="0.3">
      <c r="A39" s="169" t="s">
        <v>79</v>
      </c>
      <c r="B39" s="205" t="s">
        <v>80</v>
      </c>
      <c r="C39" s="66">
        <v>11.373699999999999</v>
      </c>
      <c r="D39" s="66">
        <v>0</v>
      </c>
      <c r="E39" s="66">
        <v>38.032400000000003</v>
      </c>
      <c r="F39" s="66">
        <v>11.373699999999999</v>
      </c>
      <c r="G39" s="66">
        <v>26.6587</v>
      </c>
      <c r="H39" s="66">
        <v>11.373699999999999</v>
      </c>
      <c r="I39" s="66">
        <v>5.7734949999999993E-2</v>
      </c>
      <c r="J39" s="66">
        <v>38.032399979999994</v>
      </c>
      <c r="K39" s="66">
        <v>11.373699999999999</v>
      </c>
      <c r="L39" s="66">
        <v>0</v>
      </c>
      <c r="M39" s="66">
        <v>26.658699980000002</v>
      </c>
      <c r="N39" s="67">
        <v>100</v>
      </c>
      <c r="O39" s="67">
        <v>99.999999924977587</v>
      </c>
      <c r="P39" s="67">
        <v>70.094708706310797</v>
      </c>
      <c r="Q39" s="66">
        <v>5.7734949999999993E-2</v>
      </c>
      <c r="R39" s="67">
        <v>4.0245584642661925E-16</v>
      </c>
      <c r="S39" s="66">
        <v>11.373699999999999</v>
      </c>
      <c r="T39" s="66">
        <v>0</v>
      </c>
      <c r="U39" s="66">
        <v>38.032400000000003</v>
      </c>
      <c r="V39" s="66">
        <v>11.373699999999999</v>
      </c>
      <c r="W39" s="66">
        <v>26.6587</v>
      </c>
      <c r="X39" s="66">
        <v>11.373699999999999</v>
      </c>
      <c r="Y39" s="66">
        <v>3.7966019999999996E-2</v>
      </c>
      <c r="Z39" s="66">
        <v>38.032399979999994</v>
      </c>
      <c r="AA39" s="66">
        <v>11.373699999999999</v>
      </c>
      <c r="AB39" s="66">
        <v>0</v>
      </c>
      <c r="AC39" s="66">
        <v>26.658699980000002</v>
      </c>
      <c r="AD39" s="67">
        <v>100</v>
      </c>
      <c r="AE39" s="67">
        <v>99.999999924977587</v>
      </c>
      <c r="AF39" s="67">
        <v>70.094708706310797</v>
      </c>
      <c r="AG39" s="187">
        <v>3.7966019999999996E-2</v>
      </c>
      <c r="AH39" s="67">
        <v>7.1470607210244452E-16</v>
      </c>
      <c r="AI39" s="66">
        <v>0</v>
      </c>
      <c r="AJ39" s="66">
        <v>0</v>
      </c>
      <c r="AK39" s="66">
        <v>0</v>
      </c>
      <c r="AL39" s="66">
        <v>0</v>
      </c>
      <c r="AM39" s="66">
        <v>0</v>
      </c>
      <c r="AN39" s="66">
        <v>0</v>
      </c>
      <c r="AO39" s="66">
        <v>1.9768930000000001E-2</v>
      </c>
      <c r="AP39" s="66">
        <v>0</v>
      </c>
      <c r="AQ39" s="66">
        <v>0</v>
      </c>
      <c r="AR39" s="66">
        <v>0</v>
      </c>
      <c r="AS39" s="66">
        <v>0</v>
      </c>
      <c r="AT39" s="67" t="s">
        <v>1230</v>
      </c>
      <c r="AU39" s="67" t="s">
        <v>1230</v>
      </c>
      <c r="AV39" s="67">
        <v>0</v>
      </c>
      <c r="AW39" s="187">
        <v>1.9768930000000001E-2</v>
      </c>
      <c r="AX39" s="67">
        <v>0</v>
      </c>
      <c r="AY39" s="66">
        <v>0</v>
      </c>
      <c r="AZ39" s="66">
        <v>0</v>
      </c>
      <c r="BA39" s="66">
        <v>0</v>
      </c>
      <c r="BB39" s="66">
        <v>0</v>
      </c>
      <c r="BC39" s="66">
        <v>0</v>
      </c>
      <c r="BD39" s="66">
        <v>0</v>
      </c>
      <c r="BE39" s="66">
        <v>0</v>
      </c>
      <c r="BF39" s="66">
        <v>0</v>
      </c>
      <c r="BG39" s="66">
        <v>0</v>
      </c>
      <c r="BH39" s="66">
        <v>0</v>
      </c>
      <c r="BI39" s="66">
        <v>0</v>
      </c>
      <c r="BJ39" s="67" t="s">
        <v>1230</v>
      </c>
      <c r="BK39" s="67" t="s">
        <v>1230</v>
      </c>
      <c r="BL39" s="67">
        <v>0</v>
      </c>
      <c r="BM39" s="187">
        <v>0</v>
      </c>
      <c r="BN39" s="67">
        <v>0</v>
      </c>
      <c r="BO39" s="66">
        <v>0</v>
      </c>
      <c r="BP39" s="66">
        <v>0</v>
      </c>
      <c r="BQ39" s="66">
        <v>0</v>
      </c>
      <c r="BR39" s="66">
        <v>0</v>
      </c>
      <c r="BS39" s="66">
        <v>0</v>
      </c>
      <c r="BT39" s="66">
        <v>0</v>
      </c>
      <c r="BU39" s="66">
        <v>0</v>
      </c>
      <c r="BV39" s="66">
        <v>0</v>
      </c>
      <c r="BW39" s="66">
        <v>0</v>
      </c>
      <c r="BX39" s="66">
        <v>0</v>
      </c>
      <c r="BY39" s="66">
        <v>0</v>
      </c>
      <c r="BZ39" s="67" t="s">
        <v>1230</v>
      </c>
      <c r="CA39" s="67" t="s">
        <v>1230</v>
      </c>
      <c r="CB39" s="67">
        <v>0</v>
      </c>
      <c r="CC39" s="187">
        <v>0</v>
      </c>
      <c r="CD39" s="67">
        <v>0</v>
      </c>
      <c r="CE39" s="66">
        <v>0</v>
      </c>
      <c r="CF39" s="66">
        <v>0</v>
      </c>
      <c r="CG39" s="66">
        <v>0</v>
      </c>
      <c r="CH39" s="66">
        <v>0</v>
      </c>
      <c r="CI39" s="66">
        <v>0</v>
      </c>
      <c r="CJ39" s="66">
        <v>0</v>
      </c>
      <c r="CK39" s="66">
        <v>0</v>
      </c>
      <c r="CL39" s="66">
        <v>0</v>
      </c>
      <c r="CM39" s="66">
        <v>0</v>
      </c>
      <c r="CN39" s="66">
        <v>0</v>
      </c>
      <c r="CO39" s="66">
        <v>0</v>
      </c>
      <c r="CP39" s="67" t="s">
        <v>1230</v>
      </c>
      <c r="CQ39" s="67" t="s">
        <v>1230</v>
      </c>
      <c r="CR39" s="67">
        <v>0</v>
      </c>
      <c r="CS39" s="187">
        <v>0</v>
      </c>
      <c r="CT39" s="67">
        <v>0</v>
      </c>
      <c r="CU39" s="66">
        <v>0</v>
      </c>
      <c r="CV39" s="66">
        <v>0</v>
      </c>
      <c r="CW39" s="66">
        <v>0</v>
      </c>
      <c r="CX39" s="66">
        <v>0</v>
      </c>
      <c r="CY39" s="66">
        <v>0</v>
      </c>
      <c r="CZ39" s="66">
        <v>0</v>
      </c>
      <c r="DA39" s="66">
        <v>0</v>
      </c>
      <c r="DB39" s="66">
        <v>0</v>
      </c>
      <c r="DC39" s="66">
        <v>0</v>
      </c>
      <c r="DD39" s="66">
        <v>0</v>
      </c>
      <c r="DE39" s="66">
        <v>0</v>
      </c>
      <c r="DF39" s="67" t="s">
        <v>1230</v>
      </c>
      <c r="DG39" s="67" t="s">
        <v>1230</v>
      </c>
      <c r="DH39" s="67">
        <v>0</v>
      </c>
      <c r="DI39" s="187">
        <v>0</v>
      </c>
      <c r="DJ39" s="67">
        <v>0</v>
      </c>
      <c r="DK39" s="66">
        <v>0</v>
      </c>
      <c r="DL39" s="66">
        <v>0</v>
      </c>
      <c r="DM39" s="66">
        <v>0</v>
      </c>
      <c r="DN39" s="66">
        <v>0</v>
      </c>
      <c r="DO39" s="66">
        <v>0</v>
      </c>
      <c r="DP39" s="66">
        <v>0</v>
      </c>
      <c r="DQ39" s="66">
        <v>0</v>
      </c>
      <c r="DR39" s="66">
        <v>0</v>
      </c>
      <c r="DS39" s="66">
        <v>0</v>
      </c>
      <c r="DT39" s="66">
        <v>0</v>
      </c>
      <c r="DU39" s="66">
        <v>0</v>
      </c>
      <c r="DV39" s="67" t="s">
        <v>1230</v>
      </c>
      <c r="DW39" s="67" t="s">
        <v>1230</v>
      </c>
      <c r="DX39" s="67">
        <v>0</v>
      </c>
      <c r="DY39" s="187">
        <v>0</v>
      </c>
      <c r="DZ39" s="67">
        <v>0</v>
      </c>
      <c r="EA39" s="66">
        <v>0</v>
      </c>
      <c r="EB39" s="66">
        <v>0</v>
      </c>
      <c r="EC39" s="66">
        <v>0</v>
      </c>
      <c r="ED39" s="66">
        <v>0</v>
      </c>
      <c r="EE39" s="66">
        <v>0</v>
      </c>
      <c r="EF39" s="66">
        <v>0</v>
      </c>
      <c r="EG39" s="66">
        <v>0</v>
      </c>
      <c r="EH39" s="66">
        <v>0</v>
      </c>
      <c r="EI39" s="66">
        <v>0</v>
      </c>
      <c r="EJ39" s="66">
        <v>0</v>
      </c>
      <c r="EK39" s="66">
        <v>0</v>
      </c>
      <c r="EL39" s="67" t="s">
        <v>1230</v>
      </c>
      <c r="EM39" s="67" t="s">
        <v>1230</v>
      </c>
      <c r="EN39" s="67">
        <v>0</v>
      </c>
      <c r="EO39" s="187">
        <v>0</v>
      </c>
      <c r="EP39" s="67">
        <v>0</v>
      </c>
      <c r="EQ39" s="66">
        <v>0</v>
      </c>
      <c r="ER39" s="66">
        <v>0</v>
      </c>
      <c r="ES39" s="66">
        <v>0</v>
      </c>
      <c r="ET39" s="66">
        <v>0</v>
      </c>
      <c r="EU39" s="66">
        <v>0</v>
      </c>
      <c r="EV39" s="66">
        <v>0</v>
      </c>
      <c r="EW39" s="66">
        <v>0</v>
      </c>
      <c r="EX39" s="66">
        <v>0</v>
      </c>
      <c r="EY39" s="66">
        <v>0</v>
      </c>
      <c r="EZ39" s="66">
        <v>0</v>
      </c>
      <c r="FA39" s="66">
        <v>0</v>
      </c>
      <c r="FB39" s="67" t="s">
        <v>1230</v>
      </c>
      <c r="FC39" s="67" t="s">
        <v>1230</v>
      </c>
      <c r="FD39" s="67">
        <v>0</v>
      </c>
      <c r="FE39" s="187">
        <v>0</v>
      </c>
      <c r="FF39" s="67">
        <v>0</v>
      </c>
      <c r="FG39" s="66">
        <v>0</v>
      </c>
      <c r="FH39" s="66">
        <v>0</v>
      </c>
      <c r="FI39" s="66">
        <v>0</v>
      </c>
      <c r="FJ39" s="66">
        <v>0</v>
      </c>
      <c r="FK39" s="66">
        <v>0</v>
      </c>
      <c r="FL39" s="66">
        <v>0</v>
      </c>
      <c r="FM39" s="66">
        <v>0</v>
      </c>
      <c r="FN39" s="66">
        <v>0</v>
      </c>
      <c r="FO39" s="66">
        <v>0</v>
      </c>
      <c r="FP39" s="66">
        <v>0</v>
      </c>
      <c r="FQ39" s="66">
        <v>0</v>
      </c>
      <c r="FR39" s="67" t="s">
        <v>1230</v>
      </c>
      <c r="FS39" s="67" t="s">
        <v>1230</v>
      </c>
      <c r="FT39" s="67">
        <v>0</v>
      </c>
      <c r="FU39" s="187">
        <v>0</v>
      </c>
      <c r="FV39" s="67">
        <v>0</v>
      </c>
      <c r="FW39" s="66">
        <v>0</v>
      </c>
      <c r="FX39" s="66">
        <v>0</v>
      </c>
      <c r="FY39" s="66">
        <v>0</v>
      </c>
      <c r="FZ39" s="66">
        <v>0</v>
      </c>
      <c r="GA39" s="66">
        <v>0</v>
      </c>
      <c r="GB39" s="66">
        <v>0</v>
      </c>
      <c r="GC39" s="66">
        <v>0</v>
      </c>
      <c r="GD39" s="66">
        <v>0</v>
      </c>
      <c r="GE39" s="66">
        <v>0</v>
      </c>
      <c r="GF39" s="66">
        <v>0</v>
      </c>
      <c r="GG39" s="66">
        <v>0</v>
      </c>
      <c r="GH39" s="67" t="s">
        <v>1230</v>
      </c>
      <c r="GI39" s="67" t="s">
        <v>1230</v>
      </c>
      <c r="GJ39" s="67">
        <v>0</v>
      </c>
      <c r="GK39" s="187">
        <v>0</v>
      </c>
      <c r="GL39" s="67">
        <v>0</v>
      </c>
      <c r="GM39" s="66">
        <v>0</v>
      </c>
      <c r="GN39" s="66">
        <v>0</v>
      </c>
      <c r="GO39" s="66">
        <v>0</v>
      </c>
      <c r="GP39" s="66">
        <v>0</v>
      </c>
      <c r="GQ39" s="66">
        <v>0</v>
      </c>
      <c r="GR39" s="66">
        <v>0</v>
      </c>
      <c r="GS39" s="66">
        <v>0</v>
      </c>
      <c r="GT39" s="66">
        <v>0</v>
      </c>
      <c r="GU39" s="66">
        <v>0</v>
      </c>
      <c r="GV39" s="66">
        <v>0</v>
      </c>
      <c r="GW39" s="66">
        <v>0</v>
      </c>
      <c r="GX39" s="67" t="s">
        <v>1230</v>
      </c>
      <c r="GY39" s="67" t="s">
        <v>1230</v>
      </c>
      <c r="GZ39" s="67">
        <v>0</v>
      </c>
      <c r="HA39" s="187">
        <v>0</v>
      </c>
      <c r="HB39" s="67">
        <v>0</v>
      </c>
      <c r="HC39" s="66">
        <v>0</v>
      </c>
      <c r="HD39" s="66">
        <v>0</v>
      </c>
      <c r="HE39" s="66">
        <v>0</v>
      </c>
      <c r="HF39" s="66">
        <v>0</v>
      </c>
      <c r="HG39" s="66">
        <v>0</v>
      </c>
      <c r="HH39" s="66">
        <v>0</v>
      </c>
      <c r="HI39" s="66">
        <v>0</v>
      </c>
      <c r="HJ39" s="66">
        <v>0</v>
      </c>
      <c r="HK39" s="66">
        <v>0</v>
      </c>
      <c r="HL39" s="66">
        <v>0</v>
      </c>
      <c r="HM39" s="66">
        <v>0</v>
      </c>
      <c r="HN39" s="67" t="s">
        <v>1230</v>
      </c>
      <c r="HO39" s="67" t="s">
        <v>1230</v>
      </c>
      <c r="HP39" s="67">
        <v>0</v>
      </c>
      <c r="HQ39" s="187">
        <v>0</v>
      </c>
      <c r="HR39" s="67">
        <v>0</v>
      </c>
      <c r="HS39" s="66">
        <v>0</v>
      </c>
      <c r="HT39" s="66">
        <v>0</v>
      </c>
      <c r="HU39" s="66">
        <v>0</v>
      </c>
      <c r="HV39" s="66">
        <v>0</v>
      </c>
      <c r="HW39" s="66">
        <v>0</v>
      </c>
      <c r="HX39" s="66">
        <v>0</v>
      </c>
      <c r="HY39" s="66">
        <v>0</v>
      </c>
      <c r="HZ39" s="66">
        <v>0</v>
      </c>
      <c r="IA39" s="66">
        <v>0</v>
      </c>
      <c r="IB39" s="66">
        <v>0</v>
      </c>
      <c r="IC39" s="66">
        <v>0</v>
      </c>
      <c r="ID39" s="67" t="s">
        <v>1230</v>
      </c>
      <c r="IE39" s="67" t="s">
        <v>1230</v>
      </c>
      <c r="IF39" s="67">
        <v>0</v>
      </c>
      <c r="IG39" s="187">
        <v>0</v>
      </c>
      <c r="IH39" s="67">
        <v>0</v>
      </c>
      <c r="II39" s="66">
        <v>0</v>
      </c>
      <c r="IJ39" s="66">
        <v>0</v>
      </c>
      <c r="IK39" s="66">
        <v>0</v>
      </c>
      <c r="IL39" s="66">
        <v>0</v>
      </c>
      <c r="IM39" s="66">
        <v>0</v>
      </c>
      <c r="IN39" s="66">
        <v>0</v>
      </c>
      <c r="IO39" s="66">
        <v>0</v>
      </c>
      <c r="IP39" s="66">
        <v>0</v>
      </c>
      <c r="IQ39" s="66">
        <v>0</v>
      </c>
      <c r="IR39" s="66">
        <v>0</v>
      </c>
      <c r="IS39" s="66">
        <v>0</v>
      </c>
      <c r="IT39" s="67" t="s">
        <v>1230</v>
      </c>
      <c r="IU39" s="67" t="s">
        <v>1230</v>
      </c>
      <c r="IV39" s="67">
        <v>0</v>
      </c>
      <c r="IW39" s="187">
        <v>0</v>
      </c>
      <c r="IX39" s="67">
        <v>0</v>
      </c>
    </row>
    <row r="40" spans="1:258" ht="15.6" x14ac:dyDescent="0.3">
      <c r="A40" s="169" t="s">
        <v>82</v>
      </c>
      <c r="B40" s="205" t="s">
        <v>83</v>
      </c>
      <c r="C40" s="66">
        <v>64.707400000000007</v>
      </c>
      <c r="D40" s="66">
        <v>0</v>
      </c>
      <c r="E40" s="66">
        <v>132.05602184</v>
      </c>
      <c r="F40" s="66">
        <v>64.707400000000007</v>
      </c>
      <c r="G40" s="66">
        <v>67.348621840000007</v>
      </c>
      <c r="H40" s="66">
        <v>63.285140200000001</v>
      </c>
      <c r="I40" s="66">
        <v>3.24267577</v>
      </c>
      <c r="J40" s="66">
        <v>129.1534508</v>
      </c>
      <c r="K40" s="66">
        <v>63.285140189999993</v>
      </c>
      <c r="L40" s="66">
        <v>0</v>
      </c>
      <c r="M40" s="66">
        <v>65.868310609999995</v>
      </c>
      <c r="N40" s="67">
        <v>97.802013664588571</v>
      </c>
      <c r="O40" s="67">
        <v>97.802017042729119</v>
      </c>
      <c r="P40" s="67">
        <v>51.000039257177946</v>
      </c>
      <c r="Q40" s="66">
        <v>3.24267577</v>
      </c>
      <c r="R40" s="67">
        <v>1.0000013261901586E-8</v>
      </c>
      <c r="S40" s="66">
        <v>22.856100000000001</v>
      </c>
      <c r="T40" s="66">
        <v>0</v>
      </c>
      <c r="U40" s="66">
        <v>46.645102039999998</v>
      </c>
      <c r="V40" s="66">
        <v>22.856100000000001</v>
      </c>
      <c r="W40" s="66">
        <v>23.78900204</v>
      </c>
      <c r="X40" s="66">
        <v>22.856100000000001</v>
      </c>
      <c r="Y40" s="66">
        <v>2.4882832400000003</v>
      </c>
      <c r="Z40" s="66">
        <v>46.645102030000004</v>
      </c>
      <c r="AA40" s="66">
        <v>22.856099989999997</v>
      </c>
      <c r="AB40" s="66">
        <v>0</v>
      </c>
      <c r="AC40" s="66">
        <v>23.78900204</v>
      </c>
      <c r="AD40" s="67">
        <v>99.99999995624799</v>
      </c>
      <c r="AE40" s="67">
        <v>100</v>
      </c>
      <c r="AF40" s="67">
        <v>51.000000010076086</v>
      </c>
      <c r="AG40" s="187">
        <v>2.4882832400000003</v>
      </c>
      <c r="AH40" s="67">
        <v>1.0000005268295808E-8</v>
      </c>
      <c r="AI40" s="66">
        <v>0</v>
      </c>
      <c r="AJ40" s="66">
        <v>0</v>
      </c>
      <c r="AK40" s="66">
        <v>0</v>
      </c>
      <c r="AL40" s="66">
        <v>0</v>
      </c>
      <c r="AM40" s="66">
        <v>0</v>
      </c>
      <c r="AN40" s="66">
        <v>0</v>
      </c>
      <c r="AO40" s="66">
        <v>0.37223253000000001</v>
      </c>
      <c r="AP40" s="66">
        <v>0</v>
      </c>
      <c r="AQ40" s="66">
        <v>0</v>
      </c>
      <c r="AR40" s="66">
        <v>0</v>
      </c>
      <c r="AS40" s="66">
        <v>0</v>
      </c>
      <c r="AT40" s="67" t="s">
        <v>1230</v>
      </c>
      <c r="AU40" s="67" t="s">
        <v>1230</v>
      </c>
      <c r="AV40" s="67">
        <v>0</v>
      </c>
      <c r="AW40" s="187">
        <v>0.37223253000000001</v>
      </c>
      <c r="AX40" s="67">
        <v>0</v>
      </c>
      <c r="AY40" s="66">
        <v>29.859100000000002</v>
      </c>
      <c r="AZ40" s="66">
        <v>0</v>
      </c>
      <c r="BA40" s="66">
        <v>60.936938779999998</v>
      </c>
      <c r="BB40" s="66">
        <v>29.859100000000002</v>
      </c>
      <c r="BC40" s="66">
        <v>31.07783878</v>
      </c>
      <c r="BD40" s="66">
        <v>28.437524620000001</v>
      </c>
      <c r="BE40" s="66">
        <v>0</v>
      </c>
      <c r="BF40" s="66">
        <v>58.035764520000001</v>
      </c>
      <c r="BG40" s="66">
        <v>28.437524620000001</v>
      </c>
      <c r="BH40" s="66">
        <v>0</v>
      </c>
      <c r="BI40" s="66">
        <v>29.598239899999999</v>
      </c>
      <c r="BJ40" s="67">
        <v>95.239054827506521</v>
      </c>
      <c r="BK40" s="67">
        <v>95.239054779600082</v>
      </c>
      <c r="BL40" s="67">
        <v>50.999999991039999</v>
      </c>
      <c r="BM40" s="187">
        <v>0</v>
      </c>
      <c r="BN40" s="67">
        <v>0</v>
      </c>
      <c r="BO40" s="66">
        <v>0</v>
      </c>
      <c r="BP40" s="66">
        <v>0</v>
      </c>
      <c r="BQ40" s="66">
        <v>0</v>
      </c>
      <c r="BR40" s="66">
        <v>0</v>
      </c>
      <c r="BS40" s="66">
        <v>0</v>
      </c>
      <c r="BT40" s="66">
        <v>0</v>
      </c>
      <c r="BU40" s="66">
        <v>0</v>
      </c>
      <c r="BV40" s="66">
        <v>0</v>
      </c>
      <c r="BW40" s="66">
        <v>0</v>
      </c>
      <c r="BX40" s="66">
        <v>0</v>
      </c>
      <c r="BY40" s="66">
        <v>0</v>
      </c>
      <c r="BZ40" s="67" t="s">
        <v>1230</v>
      </c>
      <c r="CA40" s="67" t="s">
        <v>1230</v>
      </c>
      <c r="CB40" s="67">
        <v>0</v>
      </c>
      <c r="CC40" s="187">
        <v>0</v>
      </c>
      <c r="CD40" s="67">
        <v>0</v>
      </c>
      <c r="CE40" s="66">
        <v>0</v>
      </c>
      <c r="CF40" s="66">
        <v>0</v>
      </c>
      <c r="CG40" s="66">
        <v>0</v>
      </c>
      <c r="CH40" s="66">
        <v>0</v>
      </c>
      <c r="CI40" s="66">
        <v>0</v>
      </c>
      <c r="CJ40" s="66">
        <v>0</v>
      </c>
      <c r="CK40" s="66">
        <v>0</v>
      </c>
      <c r="CL40" s="66">
        <v>0</v>
      </c>
      <c r="CM40" s="66">
        <v>0</v>
      </c>
      <c r="CN40" s="66">
        <v>0</v>
      </c>
      <c r="CO40" s="66">
        <v>0</v>
      </c>
      <c r="CP40" s="67" t="s">
        <v>1230</v>
      </c>
      <c r="CQ40" s="67" t="s">
        <v>1230</v>
      </c>
      <c r="CR40" s="67">
        <v>0</v>
      </c>
      <c r="CS40" s="187">
        <v>0</v>
      </c>
      <c r="CT40" s="67">
        <v>0</v>
      </c>
      <c r="CU40" s="66">
        <v>0</v>
      </c>
      <c r="CV40" s="66">
        <v>0</v>
      </c>
      <c r="CW40" s="66">
        <v>0</v>
      </c>
      <c r="CX40" s="66">
        <v>0</v>
      </c>
      <c r="CY40" s="66">
        <v>0</v>
      </c>
      <c r="CZ40" s="66">
        <v>0</v>
      </c>
      <c r="DA40" s="66">
        <v>0</v>
      </c>
      <c r="DB40" s="66">
        <v>0</v>
      </c>
      <c r="DC40" s="66">
        <v>0</v>
      </c>
      <c r="DD40" s="66">
        <v>0</v>
      </c>
      <c r="DE40" s="66">
        <v>0</v>
      </c>
      <c r="DF40" s="67" t="s">
        <v>1230</v>
      </c>
      <c r="DG40" s="67" t="s">
        <v>1230</v>
      </c>
      <c r="DH40" s="67">
        <v>0</v>
      </c>
      <c r="DI40" s="187">
        <v>0</v>
      </c>
      <c r="DJ40" s="67">
        <v>0</v>
      </c>
      <c r="DK40" s="66">
        <v>4.3071999999999999</v>
      </c>
      <c r="DL40" s="66">
        <v>0</v>
      </c>
      <c r="DM40" s="66">
        <v>8.7903000000000002</v>
      </c>
      <c r="DN40" s="66">
        <v>4.3071999999999999</v>
      </c>
      <c r="DO40" s="66">
        <v>4.4831000000000003</v>
      </c>
      <c r="DP40" s="66">
        <v>4.3071999999999999</v>
      </c>
      <c r="DQ40" s="66">
        <v>0</v>
      </c>
      <c r="DR40" s="66">
        <v>8.7903000000000002</v>
      </c>
      <c r="DS40" s="66">
        <v>4.3071999999999999</v>
      </c>
      <c r="DT40" s="66">
        <v>0</v>
      </c>
      <c r="DU40" s="66">
        <v>4.4831000000000003</v>
      </c>
      <c r="DV40" s="67">
        <v>100</v>
      </c>
      <c r="DW40" s="67">
        <v>100</v>
      </c>
      <c r="DX40" s="67">
        <v>51.00053468027258</v>
      </c>
      <c r="DY40" s="187">
        <v>0</v>
      </c>
      <c r="DZ40" s="67">
        <v>0</v>
      </c>
      <c r="EA40" s="66">
        <v>0</v>
      </c>
      <c r="EB40" s="66">
        <v>0</v>
      </c>
      <c r="EC40" s="66">
        <v>0</v>
      </c>
      <c r="ED40" s="66">
        <v>0</v>
      </c>
      <c r="EE40" s="66">
        <v>0</v>
      </c>
      <c r="EF40" s="66">
        <v>0</v>
      </c>
      <c r="EG40" s="66">
        <v>0.38216</v>
      </c>
      <c r="EH40" s="66">
        <v>0</v>
      </c>
      <c r="EI40" s="66">
        <v>0</v>
      </c>
      <c r="EJ40" s="66">
        <v>0</v>
      </c>
      <c r="EK40" s="66">
        <v>0</v>
      </c>
      <c r="EL40" s="67" t="s">
        <v>1230</v>
      </c>
      <c r="EM40" s="67" t="s">
        <v>1230</v>
      </c>
      <c r="EN40" s="67">
        <v>0</v>
      </c>
      <c r="EO40" s="187">
        <v>0.38216</v>
      </c>
      <c r="EP40" s="67">
        <v>0</v>
      </c>
      <c r="EQ40" s="66">
        <v>3.0417000000000001</v>
      </c>
      <c r="ER40" s="66">
        <v>0</v>
      </c>
      <c r="ES40" s="66">
        <v>6.2075500000000003</v>
      </c>
      <c r="ET40" s="66">
        <v>3.0417000000000001</v>
      </c>
      <c r="EU40" s="66">
        <v>3.1658499999999998</v>
      </c>
      <c r="EV40" s="66">
        <v>3.0417000000000001</v>
      </c>
      <c r="EW40" s="66">
        <v>0</v>
      </c>
      <c r="EX40" s="66">
        <v>6.2075500000000003</v>
      </c>
      <c r="EY40" s="66">
        <v>3.0417000000000001</v>
      </c>
      <c r="EZ40" s="66">
        <v>0</v>
      </c>
      <c r="FA40" s="66">
        <v>3.1658499999999998</v>
      </c>
      <c r="FB40" s="67">
        <v>100</v>
      </c>
      <c r="FC40" s="67">
        <v>100</v>
      </c>
      <c r="FD40" s="67">
        <v>50.999991945292422</v>
      </c>
      <c r="FE40" s="187">
        <v>0</v>
      </c>
      <c r="FF40" s="67">
        <v>0</v>
      </c>
      <c r="FG40" s="66">
        <v>0</v>
      </c>
      <c r="FH40" s="66">
        <v>0</v>
      </c>
      <c r="FI40" s="66">
        <v>0</v>
      </c>
      <c r="FJ40" s="66">
        <v>0</v>
      </c>
      <c r="FK40" s="66">
        <v>0</v>
      </c>
      <c r="FL40" s="66">
        <v>0</v>
      </c>
      <c r="FM40" s="66">
        <v>0</v>
      </c>
      <c r="FN40" s="66">
        <v>0</v>
      </c>
      <c r="FO40" s="66">
        <v>0</v>
      </c>
      <c r="FP40" s="66">
        <v>0</v>
      </c>
      <c r="FQ40" s="66">
        <v>0</v>
      </c>
      <c r="FR40" s="67" t="s">
        <v>1230</v>
      </c>
      <c r="FS40" s="67" t="s">
        <v>1230</v>
      </c>
      <c r="FT40" s="67">
        <v>0</v>
      </c>
      <c r="FU40" s="187">
        <v>0</v>
      </c>
      <c r="FV40" s="67">
        <v>0</v>
      </c>
      <c r="FW40" s="66">
        <v>3.6057000000000001</v>
      </c>
      <c r="FX40" s="66">
        <v>0</v>
      </c>
      <c r="FY40" s="66">
        <v>7.3585799999999999</v>
      </c>
      <c r="FZ40" s="66">
        <v>3.6057000000000001</v>
      </c>
      <c r="GA40" s="66">
        <v>3.7528800000000002</v>
      </c>
      <c r="GB40" s="66">
        <v>3.6050155799999999</v>
      </c>
      <c r="GC40" s="66">
        <v>0</v>
      </c>
      <c r="GD40" s="66">
        <v>7.3571832300000004</v>
      </c>
      <c r="GE40" s="66">
        <v>3.6050155799999999</v>
      </c>
      <c r="GF40" s="66">
        <v>0</v>
      </c>
      <c r="GG40" s="66">
        <v>3.7521676500000001</v>
      </c>
      <c r="GH40" s="67">
        <v>99.981018387553036</v>
      </c>
      <c r="GI40" s="67">
        <v>99.9810185777323</v>
      </c>
      <c r="GJ40" s="67">
        <v>51.000057123764201</v>
      </c>
      <c r="GK40" s="187">
        <v>0</v>
      </c>
      <c r="GL40" s="67">
        <v>0</v>
      </c>
      <c r="GM40" s="66">
        <v>0</v>
      </c>
      <c r="GN40" s="66">
        <v>0</v>
      </c>
      <c r="GO40" s="66">
        <v>0</v>
      </c>
      <c r="GP40" s="66">
        <v>0</v>
      </c>
      <c r="GQ40" s="66">
        <v>0</v>
      </c>
      <c r="GR40" s="66">
        <v>0</v>
      </c>
      <c r="GS40" s="66">
        <v>0</v>
      </c>
      <c r="GT40" s="66">
        <v>0</v>
      </c>
      <c r="GU40" s="66">
        <v>0</v>
      </c>
      <c r="GV40" s="66">
        <v>0</v>
      </c>
      <c r="GW40" s="66">
        <v>0</v>
      </c>
      <c r="GX40" s="67" t="s">
        <v>1230</v>
      </c>
      <c r="GY40" s="67" t="s">
        <v>1230</v>
      </c>
      <c r="GZ40" s="67">
        <v>0</v>
      </c>
      <c r="HA40" s="187">
        <v>0</v>
      </c>
      <c r="HB40" s="67">
        <v>0</v>
      </c>
      <c r="HC40" s="66">
        <v>1.0376000000000001</v>
      </c>
      <c r="HD40" s="66">
        <v>0</v>
      </c>
      <c r="HE40" s="66">
        <v>2.1175510200000001</v>
      </c>
      <c r="HF40" s="66">
        <v>1.0376000000000001</v>
      </c>
      <c r="HG40" s="66">
        <v>1.07995102</v>
      </c>
      <c r="HH40" s="66">
        <v>1.0376000000000001</v>
      </c>
      <c r="HI40" s="66">
        <v>0</v>
      </c>
      <c r="HJ40" s="66">
        <v>2.1175510200000001</v>
      </c>
      <c r="HK40" s="66">
        <v>1.0376000000000001</v>
      </c>
      <c r="HL40" s="66">
        <v>0</v>
      </c>
      <c r="HM40" s="66">
        <v>1.07995102</v>
      </c>
      <c r="HN40" s="67">
        <v>100</v>
      </c>
      <c r="HO40" s="67">
        <v>100</v>
      </c>
      <c r="HP40" s="67">
        <v>50.999999990555125</v>
      </c>
      <c r="HQ40" s="187">
        <v>0</v>
      </c>
      <c r="HR40" s="67">
        <v>0</v>
      </c>
      <c r="HS40" s="66">
        <v>0</v>
      </c>
      <c r="HT40" s="66">
        <v>0</v>
      </c>
      <c r="HU40" s="66">
        <v>0</v>
      </c>
      <c r="HV40" s="66">
        <v>0</v>
      </c>
      <c r="HW40" s="66">
        <v>0</v>
      </c>
      <c r="HX40" s="66">
        <v>0</v>
      </c>
      <c r="HY40" s="66">
        <v>0</v>
      </c>
      <c r="HZ40" s="66">
        <v>0</v>
      </c>
      <c r="IA40" s="66">
        <v>0</v>
      </c>
      <c r="IB40" s="66">
        <v>0</v>
      </c>
      <c r="IC40" s="66">
        <v>0</v>
      </c>
      <c r="ID40" s="67" t="s">
        <v>1230</v>
      </c>
      <c r="IE40" s="67" t="s">
        <v>1230</v>
      </c>
      <c r="IF40" s="67">
        <v>0</v>
      </c>
      <c r="IG40" s="187">
        <v>0</v>
      </c>
      <c r="IH40" s="67">
        <v>0</v>
      </c>
      <c r="II40" s="66">
        <v>0</v>
      </c>
      <c r="IJ40" s="66">
        <v>0</v>
      </c>
      <c r="IK40" s="66">
        <v>0</v>
      </c>
      <c r="IL40" s="66">
        <v>0</v>
      </c>
      <c r="IM40" s="66">
        <v>0</v>
      </c>
      <c r="IN40" s="66">
        <v>0</v>
      </c>
      <c r="IO40" s="66">
        <v>0</v>
      </c>
      <c r="IP40" s="66">
        <v>0</v>
      </c>
      <c r="IQ40" s="66">
        <v>0</v>
      </c>
      <c r="IR40" s="66">
        <v>0</v>
      </c>
      <c r="IS40" s="66">
        <v>0</v>
      </c>
      <c r="IT40" s="67" t="s">
        <v>1230</v>
      </c>
      <c r="IU40" s="67" t="s">
        <v>1230</v>
      </c>
      <c r="IV40" s="67">
        <v>0</v>
      </c>
      <c r="IW40" s="187">
        <v>0</v>
      </c>
      <c r="IX40" s="67">
        <v>0</v>
      </c>
    </row>
    <row r="41" spans="1:258" ht="15.6" x14ac:dyDescent="0.3">
      <c r="A41" s="169" t="s">
        <v>85</v>
      </c>
      <c r="B41" s="205" t="s">
        <v>299</v>
      </c>
      <c r="C41" s="66">
        <v>0</v>
      </c>
      <c r="D41" s="66">
        <v>0</v>
      </c>
      <c r="E41" s="66">
        <v>0</v>
      </c>
      <c r="F41" s="66">
        <v>0</v>
      </c>
      <c r="G41" s="66">
        <v>0</v>
      </c>
      <c r="H41" s="66">
        <v>0</v>
      </c>
      <c r="I41" s="66">
        <v>0</v>
      </c>
      <c r="J41" s="66">
        <v>0</v>
      </c>
      <c r="K41" s="66">
        <v>0</v>
      </c>
      <c r="L41" s="66">
        <v>0</v>
      </c>
      <c r="M41" s="66">
        <v>0</v>
      </c>
      <c r="N41" s="67" t="s">
        <v>1230</v>
      </c>
      <c r="O41" s="67" t="s">
        <v>1230</v>
      </c>
      <c r="P41" s="67">
        <v>0</v>
      </c>
      <c r="Q41" s="66">
        <v>0</v>
      </c>
      <c r="R41" s="67">
        <v>0</v>
      </c>
      <c r="S41" s="66">
        <v>0</v>
      </c>
      <c r="T41" s="66">
        <v>0</v>
      </c>
      <c r="U41" s="66">
        <v>0</v>
      </c>
      <c r="V41" s="66">
        <v>0</v>
      </c>
      <c r="W41" s="66">
        <v>0</v>
      </c>
      <c r="X41" s="66">
        <v>0</v>
      </c>
      <c r="Y41" s="66">
        <v>0</v>
      </c>
      <c r="Z41" s="66">
        <v>0</v>
      </c>
      <c r="AA41" s="66">
        <v>0</v>
      </c>
      <c r="AB41" s="66">
        <v>0</v>
      </c>
      <c r="AC41" s="66">
        <v>0</v>
      </c>
      <c r="AD41" s="67" t="s">
        <v>1230</v>
      </c>
      <c r="AE41" s="67" t="s">
        <v>1230</v>
      </c>
      <c r="AF41" s="67">
        <v>0</v>
      </c>
      <c r="AG41" s="187">
        <v>0</v>
      </c>
      <c r="AH41" s="67">
        <v>0</v>
      </c>
      <c r="AI41" s="66">
        <v>0</v>
      </c>
      <c r="AJ41" s="66">
        <v>0</v>
      </c>
      <c r="AK41" s="66">
        <v>0</v>
      </c>
      <c r="AL41" s="66">
        <v>0</v>
      </c>
      <c r="AM41" s="66">
        <v>0</v>
      </c>
      <c r="AN41" s="66">
        <v>0</v>
      </c>
      <c r="AO41" s="66">
        <v>0</v>
      </c>
      <c r="AP41" s="66">
        <v>0</v>
      </c>
      <c r="AQ41" s="66">
        <v>0</v>
      </c>
      <c r="AR41" s="66">
        <v>0</v>
      </c>
      <c r="AS41" s="66">
        <v>0</v>
      </c>
      <c r="AT41" s="67" t="s">
        <v>1230</v>
      </c>
      <c r="AU41" s="67" t="s">
        <v>1230</v>
      </c>
      <c r="AV41" s="67">
        <v>0</v>
      </c>
      <c r="AW41" s="187">
        <v>0</v>
      </c>
      <c r="AX41" s="67">
        <v>0</v>
      </c>
      <c r="AY41" s="66">
        <v>0</v>
      </c>
      <c r="AZ41" s="66">
        <v>0</v>
      </c>
      <c r="BA41" s="66">
        <v>0</v>
      </c>
      <c r="BB41" s="66">
        <v>0</v>
      </c>
      <c r="BC41" s="66">
        <v>0</v>
      </c>
      <c r="BD41" s="66">
        <v>0</v>
      </c>
      <c r="BE41" s="66">
        <v>0</v>
      </c>
      <c r="BF41" s="66">
        <v>0</v>
      </c>
      <c r="BG41" s="66">
        <v>0</v>
      </c>
      <c r="BH41" s="66">
        <v>0</v>
      </c>
      <c r="BI41" s="66">
        <v>0</v>
      </c>
      <c r="BJ41" s="67" t="s">
        <v>1230</v>
      </c>
      <c r="BK41" s="67" t="s">
        <v>1230</v>
      </c>
      <c r="BL41" s="67">
        <v>0</v>
      </c>
      <c r="BM41" s="187">
        <v>0</v>
      </c>
      <c r="BN41" s="67">
        <v>0</v>
      </c>
      <c r="BO41" s="66">
        <v>0</v>
      </c>
      <c r="BP41" s="66">
        <v>0</v>
      </c>
      <c r="BQ41" s="66">
        <v>0</v>
      </c>
      <c r="BR41" s="66">
        <v>0</v>
      </c>
      <c r="BS41" s="66">
        <v>0</v>
      </c>
      <c r="BT41" s="66">
        <v>0</v>
      </c>
      <c r="BU41" s="66">
        <v>0</v>
      </c>
      <c r="BV41" s="66">
        <v>0</v>
      </c>
      <c r="BW41" s="66">
        <v>0</v>
      </c>
      <c r="BX41" s="66">
        <v>0</v>
      </c>
      <c r="BY41" s="66">
        <v>0</v>
      </c>
      <c r="BZ41" s="67" t="s">
        <v>1230</v>
      </c>
      <c r="CA41" s="67" t="s">
        <v>1230</v>
      </c>
      <c r="CB41" s="67">
        <v>0</v>
      </c>
      <c r="CC41" s="187">
        <v>0</v>
      </c>
      <c r="CD41" s="67">
        <v>0</v>
      </c>
      <c r="CE41" s="66">
        <v>0</v>
      </c>
      <c r="CF41" s="66">
        <v>0</v>
      </c>
      <c r="CG41" s="66">
        <v>0</v>
      </c>
      <c r="CH41" s="66">
        <v>0</v>
      </c>
      <c r="CI41" s="66">
        <v>0</v>
      </c>
      <c r="CJ41" s="66">
        <v>0</v>
      </c>
      <c r="CK41" s="66">
        <v>0</v>
      </c>
      <c r="CL41" s="66">
        <v>0</v>
      </c>
      <c r="CM41" s="66">
        <v>0</v>
      </c>
      <c r="CN41" s="66">
        <v>0</v>
      </c>
      <c r="CO41" s="66">
        <v>0</v>
      </c>
      <c r="CP41" s="67" t="s">
        <v>1230</v>
      </c>
      <c r="CQ41" s="67" t="s">
        <v>1230</v>
      </c>
      <c r="CR41" s="67">
        <v>0</v>
      </c>
      <c r="CS41" s="187">
        <v>0</v>
      </c>
      <c r="CT41" s="67">
        <v>0</v>
      </c>
      <c r="CU41" s="66">
        <v>0</v>
      </c>
      <c r="CV41" s="66">
        <v>0</v>
      </c>
      <c r="CW41" s="66">
        <v>0</v>
      </c>
      <c r="CX41" s="66">
        <v>0</v>
      </c>
      <c r="CY41" s="66">
        <v>0</v>
      </c>
      <c r="CZ41" s="66">
        <v>0</v>
      </c>
      <c r="DA41" s="66">
        <v>0</v>
      </c>
      <c r="DB41" s="66">
        <v>0</v>
      </c>
      <c r="DC41" s="66">
        <v>0</v>
      </c>
      <c r="DD41" s="66">
        <v>0</v>
      </c>
      <c r="DE41" s="66">
        <v>0</v>
      </c>
      <c r="DF41" s="67" t="s">
        <v>1230</v>
      </c>
      <c r="DG41" s="67" t="s">
        <v>1230</v>
      </c>
      <c r="DH41" s="67">
        <v>0</v>
      </c>
      <c r="DI41" s="187">
        <v>0</v>
      </c>
      <c r="DJ41" s="67">
        <v>0</v>
      </c>
      <c r="DK41" s="66">
        <v>0</v>
      </c>
      <c r="DL41" s="66">
        <v>0</v>
      </c>
      <c r="DM41" s="66">
        <v>0</v>
      </c>
      <c r="DN41" s="66">
        <v>0</v>
      </c>
      <c r="DO41" s="66">
        <v>0</v>
      </c>
      <c r="DP41" s="66">
        <v>0</v>
      </c>
      <c r="DQ41" s="66">
        <v>0</v>
      </c>
      <c r="DR41" s="66">
        <v>0</v>
      </c>
      <c r="DS41" s="66">
        <v>0</v>
      </c>
      <c r="DT41" s="66">
        <v>0</v>
      </c>
      <c r="DU41" s="66">
        <v>0</v>
      </c>
      <c r="DV41" s="67" t="s">
        <v>1230</v>
      </c>
      <c r="DW41" s="67" t="s">
        <v>1230</v>
      </c>
      <c r="DX41" s="67">
        <v>0</v>
      </c>
      <c r="DY41" s="187">
        <v>0</v>
      </c>
      <c r="DZ41" s="67">
        <v>0</v>
      </c>
      <c r="EA41" s="66">
        <v>0</v>
      </c>
      <c r="EB41" s="66">
        <v>0</v>
      </c>
      <c r="EC41" s="66">
        <v>0</v>
      </c>
      <c r="ED41" s="66">
        <v>0</v>
      </c>
      <c r="EE41" s="66">
        <v>0</v>
      </c>
      <c r="EF41" s="66">
        <v>0</v>
      </c>
      <c r="EG41" s="66">
        <v>0</v>
      </c>
      <c r="EH41" s="66">
        <v>0</v>
      </c>
      <c r="EI41" s="66">
        <v>0</v>
      </c>
      <c r="EJ41" s="66">
        <v>0</v>
      </c>
      <c r="EK41" s="66">
        <v>0</v>
      </c>
      <c r="EL41" s="67" t="s">
        <v>1230</v>
      </c>
      <c r="EM41" s="67" t="s">
        <v>1230</v>
      </c>
      <c r="EN41" s="67">
        <v>0</v>
      </c>
      <c r="EO41" s="187">
        <v>0</v>
      </c>
      <c r="EP41" s="67">
        <v>0</v>
      </c>
      <c r="EQ41" s="66">
        <v>0</v>
      </c>
      <c r="ER41" s="66">
        <v>0</v>
      </c>
      <c r="ES41" s="66">
        <v>0</v>
      </c>
      <c r="ET41" s="66">
        <v>0</v>
      </c>
      <c r="EU41" s="66">
        <v>0</v>
      </c>
      <c r="EV41" s="66">
        <v>0</v>
      </c>
      <c r="EW41" s="66">
        <v>0</v>
      </c>
      <c r="EX41" s="66">
        <v>0</v>
      </c>
      <c r="EY41" s="66">
        <v>0</v>
      </c>
      <c r="EZ41" s="66">
        <v>0</v>
      </c>
      <c r="FA41" s="66">
        <v>0</v>
      </c>
      <c r="FB41" s="67" t="s">
        <v>1230</v>
      </c>
      <c r="FC41" s="67" t="s">
        <v>1230</v>
      </c>
      <c r="FD41" s="67">
        <v>0</v>
      </c>
      <c r="FE41" s="187">
        <v>0</v>
      </c>
      <c r="FF41" s="67">
        <v>0</v>
      </c>
      <c r="FG41" s="66">
        <v>0</v>
      </c>
      <c r="FH41" s="66">
        <v>0</v>
      </c>
      <c r="FI41" s="66">
        <v>0</v>
      </c>
      <c r="FJ41" s="66">
        <v>0</v>
      </c>
      <c r="FK41" s="66">
        <v>0</v>
      </c>
      <c r="FL41" s="66">
        <v>0</v>
      </c>
      <c r="FM41" s="66">
        <v>0</v>
      </c>
      <c r="FN41" s="66">
        <v>0</v>
      </c>
      <c r="FO41" s="66">
        <v>0</v>
      </c>
      <c r="FP41" s="66">
        <v>0</v>
      </c>
      <c r="FQ41" s="66">
        <v>0</v>
      </c>
      <c r="FR41" s="67" t="s">
        <v>1230</v>
      </c>
      <c r="FS41" s="67" t="s">
        <v>1230</v>
      </c>
      <c r="FT41" s="67">
        <v>0</v>
      </c>
      <c r="FU41" s="187">
        <v>0</v>
      </c>
      <c r="FV41" s="67">
        <v>0</v>
      </c>
      <c r="FW41" s="66">
        <v>0</v>
      </c>
      <c r="FX41" s="66">
        <v>0</v>
      </c>
      <c r="FY41" s="66">
        <v>0</v>
      </c>
      <c r="FZ41" s="66">
        <v>0</v>
      </c>
      <c r="GA41" s="66">
        <v>0</v>
      </c>
      <c r="GB41" s="66">
        <v>0</v>
      </c>
      <c r="GC41" s="66">
        <v>0</v>
      </c>
      <c r="GD41" s="66">
        <v>0</v>
      </c>
      <c r="GE41" s="66">
        <v>0</v>
      </c>
      <c r="GF41" s="66">
        <v>0</v>
      </c>
      <c r="GG41" s="66">
        <v>0</v>
      </c>
      <c r="GH41" s="67" t="s">
        <v>1230</v>
      </c>
      <c r="GI41" s="67" t="s">
        <v>1230</v>
      </c>
      <c r="GJ41" s="67">
        <v>0</v>
      </c>
      <c r="GK41" s="187">
        <v>0</v>
      </c>
      <c r="GL41" s="67">
        <v>0</v>
      </c>
      <c r="GM41" s="66">
        <v>0</v>
      </c>
      <c r="GN41" s="66">
        <v>0</v>
      </c>
      <c r="GO41" s="66">
        <v>0</v>
      </c>
      <c r="GP41" s="66">
        <v>0</v>
      </c>
      <c r="GQ41" s="66">
        <v>0</v>
      </c>
      <c r="GR41" s="66">
        <v>0</v>
      </c>
      <c r="GS41" s="66">
        <v>0</v>
      </c>
      <c r="GT41" s="66">
        <v>0</v>
      </c>
      <c r="GU41" s="66">
        <v>0</v>
      </c>
      <c r="GV41" s="66">
        <v>0</v>
      </c>
      <c r="GW41" s="66">
        <v>0</v>
      </c>
      <c r="GX41" s="67" t="s">
        <v>1230</v>
      </c>
      <c r="GY41" s="67" t="s">
        <v>1230</v>
      </c>
      <c r="GZ41" s="67">
        <v>0</v>
      </c>
      <c r="HA41" s="187">
        <v>0</v>
      </c>
      <c r="HB41" s="67">
        <v>0</v>
      </c>
      <c r="HC41" s="66">
        <v>0</v>
      </c>
      <c r="HD41" s="66">
        <v>0</v>
      </c>
      <c r="HE41" s="66">
        <v>0</v>
      </c>
      <c r="HF41" s="66">
        <v>0</v>
      </c>
      <c r="HG41" s="66">
        <v>0</v>
      </c>
      <c r="HH41" s="66">
        <v>0</v>
      </c>
      <c r="HI41" s="66">
        <v>0</v>
      </c>
      <c r="HJ41" s="66">
        <v>0</v>
      </c>
      <c r="HK41" s="66">
        <v>0</v>
      </c>
      <c r="HL41" s="66">
        <v>0</v>
      </c>
      <c r="HM41" s="66">
        <v>0</v>
      </c>
      <c r="HN41" s="67" t="s">
        <v>1230</v>
      </c>
      <c r="HO41" s="67" t="s">
        <v>1230</v>
      </c>
      <c r="HP41" s="67">
        <v>0</v>
      </c>
      <c r="HQ41" s="187">
        <v>0</v>
      </c>
      <c r="HR41" s="67">
        <v>0</v>
      </c>
      <c r="HS41" s="66">
        <v>0</v>
      </c>
      <c r="HT41" s="66">
        <v>0</v>
      </c>
      <c r="HU41" s="66">
        <v>0</v>
      </c>
      <c r="HV41" s="66">
        <v>0</v>
      </c>
      <c r="HW41" s="66">
        <v>0</v>
      </c>
      <c r="HX41" s="66">
        <v>0</v>
      </c>
      <c r="HY41" s="66">
        <v>0</v>
      </c>
      <c r="HZ41" s="66">
        <v>0</v>
      </c>
      <c r="IA41" s="66">
        <v>0</v>
      </c>
      <c r="IB41" s="66">
        <v>0</v>
      </c>
      <c r="IC41" s="66">
        <v>0</v>
      </c>
      <c r="ID41" s="67" t="s">
        <v>1230</v>
      </c>
      <c r="IE41" s="67" t="s">
        <v>1230</v>
      </c>
      <c r="IF41" s="67">
        <v>0</v>
      </c>
      <c r="IG41" s="187">
        <v>0</v>
      </c>
      <c r="IH41" s="67">
        <v>0</v>
      </c>
      <c r="II41" s="66">
        <v>0</v>
      </c>
      <c r="IJ41" s="66">
        <v>0</v>
      </c>
      <c r="IK41" s="66">
        <v>0</v>
      </c>
      <c r="IL41" s="66">
        <v>0</v>
      </c>
      <c r="IM41" s="66">
        <v>0</v>
      </c>
      <c r="IN41" s="66">
        <v>0</v>
      </c>
      <c r="IO41" s="66">
        <v>0</v>
      </c>
      <c r="IP41" s="66">
        <v>0</v>
      </c>
      <c r="IQ41" s="66">
        <v>0</v>
      </c>
      <c r="IR41" s="66">
        <v>0</v>
      </c>
      <c r="IS41" s="66">
        <v>0</v>
      </c>
      <c r="IT41" s="67" t="s">
        <v>1230</v>
      </c>
      <c r="IU41" s="67" t="s">
        <v>1230</v>
      </c>
      <c r="IV41" s="67">
        <v>0</v>
      </c>
      <c r="IW41" s="187">
        <v>0</v>
      </c>
      <c r="IX41" s="67">
        <v>0</v>
      </c>
    </row>
    <row r="42" spans="1:258" ht="15.6" x14ac:dyDescent="0.3">
      <c r="A42" s="169" t="s">
        <v>87</v>
      </c>
      <c r="B42" s="205" t="s">
        <v>88</v>
      </c>
      <c r="C42" s="66">
        <v>2.1309999999999998</v>
      </c>
      <c r="D42" s="66">
        <v>0</v>
      </c>
      <c r="E42" s="66">
        <v>3.00140845</v>
      </c>
      <c r="F42" s="66">
        <v>2.1309999999999998</v>
      </c>
      <c r="G42" s="66">
        <v>0.87040845</v>
      </c>
      <c r="H42" s="66">
        <v>2.1309999999999998</v>
      </c>
      <c r="I42" s="66">
        <v>0</v>
      </c>
      <c r="J42" s="66">
        <v>3.00140845</v>
      </c>
      <c r="K42" s="66">
        <v>2.1309999999999998</v>
      </c>
      <c r="L42" s="66">
        <v>0</v>
      </c>
      <c r="M42" s="66">
        <v>0.87040845</v>
      </c>
      <c r="N42" s="67">
        <v>100</v>
      </c>
      <c r="O42" s="67">
        <v>100</v>
      </c>
      <c r="P42" s="67">
        <v>28.999999983341159</v>
      </c>
      <c r="Q42" s="66">
        <v>0</v>
      </c>
      <c r="R42" s="67">
        <v>0</v>
      </c>
      <c r="S42" s="66">
        <v>2.1309999999999998</v>
      </c>
      <c r="T42" s="66">
        <v>0</v>
      </c>
      <c r="U42" s="66">
        <v>3.00140845</v>
      </c>
      <c r="V42" s="66">
        <v>2.1309999999999998</v>
      </c>
      <c r="W42" s="66">
        <v>0.87040845</v>
      </c>
      <c r="X42" s="66">
        <v>2.1309999999999998</v>
      </c>
      <c r="Y42" s="66">
        <v>0</v>
      </c>
      <c r="Z42" s="66">
        <v>3.00140845</v>
      </c>
      <c r="AA42" s="66">
        <v>2.1309999999999998</v>
      </c>
      <c r="AB42" s="66">
        <v>0</v>
      </c>
      <c r="AC42" s="66">
        <v>0.87040845</v>
      </c>
      <c r="AD42" s="67">
        <v>100</v>
      </c>
      <c r="AE42" s="67">
        <v>100</v>
      </c>
      <c r="AF42" s="67">
        <v>28.999999983341159</v>
      </c>
      <c r="AG42" s="187">
        <v>0</v>
      </c>
      <c r="AH42" s="67">
        <v>0</v>
      </c>
      <c r="AI42" s="66">
        <v>0</v>
      </c>
      <c r="AJ42" s="66">
        <v>0</v>
      </c>
      <c r="AK42" s="66">
        <v>0</v>
      </c>
      <c r="AL42" s="66">
        <v>0</v>
      </c>
      <c r="AM42" s="66">
        <v>0</v>
      </c>
      <c r="AN42" s="66">
        <v>0</v>
      </c>
      <c r="AO42" s="66">
        <v>0</v>
      </c>
      <c r="AP42" s="66">
        <v>0</v>
      </c>
      <c r="AQ42" s="66">
        <v>0</v>
      </c>
      <c r="AR42" s="66">
        <v>0</v>
      </c>
      <c r="AS42" s="66">
        <v>0</v>
      </c>
      <c r="AT42" s="67" t="s">
        <v>1230</v>
      </c>
      <c r="AU42" s="67" t="s">
        <v>1230</v>
      </c>
      <c r="AV42" s="67">
        <v>0</v>
      </c>
      <c r="AW42" s="187">
        <v>0</v>
      </c>
      <c r="AX42" s="67">
        <v>0</v>
      </c>
      <c r="AY42" s="66">
        <v>0</v>
      </c>
      <c r="AZ42" s="66">
        <v>0</v>
      </c>
      <c r="BA42" s="66">
        <v>0</v>
      </c>
      <c r="BB42" s="66">
        <v>0</v>
      </c>
      <c r="BC42" s="66">
        <v>0</v>
      </c>
      <c r="BD42" s="66">
        <v>0</v>
      </c>
      <c r="BE42" s="66">
        <v>0</v>
      </c>
      <c r="BF42" s="66">
        <v>0</v>
      </c>
      <c r="BG42" s="66">
        <v>0</v>
      </c>
      <c r="BH42" s="66">
        <v>0</v>
      </c>
      <c r="BI42" s="66">
        <v>0</v>
      </c>
      <c r="BJ42" s="67" t="s">
        <v>1230</v>
      </c>
      <c r="BK42" s="67" t="s">
        <v>1230</v>
      </c>
      <c r="BL42" s="67">
        <v>0</v>
      </c>
      <c r="BM42" s="187">
        <v>0</v>
      </c>
      <c r="BN42" s="67">
        <v>0</v>
      </c>
      <c r="BO42" s="66">
        <v>0</v>
      </c>
      <c r="BP42" s="66">
        <v>0</v>
      </c>
      <c r="BQ42" s="66">
        <v>0</v>
      </c>
      <c r="BR42" s="66">
        <v>0</v>
      </c>
      <c r="BS42" s="66">
        <v>0</v>
      </c>
      <c r="BT42" s="66">
        <v>0</v>
      </c>
      <c r="BU42" s="66">
        <v>0</v>
      </c>
      <c r="BV42" s="66">
        <v>0</v>
      </c>
      <c r="BW42" s="66">
        <v>0</v>
      </c>
      <c r="BX42" s="66">
        <v>0</v>
      </c>
      <c r="BY42" s="66">
        <v>0</v>
      </c>
      <c r="BZ42" s="67" t="s">
        <v>1230</v>
      </c>
      <c r="CA42" s="67" t="s">
        <v>1230</v>
      </c>
      <c r="CB42" s="67">
        <v>0</v>
      </c>
      <c r="CC42" s="187">
        <v>0</v>
      </c>
      <c r="CD42" s="67">
        <v>0</v>
      </c>
      <c r="CE42" s="66">
        <v>0</v>
      </c>
      <c r="CF42" s="66">
        <v>0</v>
      </c>
      <c r="CG42" s="66">
        <v>0</v>
      </c>
      <c r="CH42" s="66">
        <v>0</v>
      </c>
      <c r="CI42" s="66">
        <v>0</v>
      </c>
      <c r="CJ42" s="66">
        <v>0</v>
      </c>
      <c r="CK42" s="66">
        <v>0</v>
      </c>
      <c r="CL42" s="66">
        <v>0</v>
      </c>
      <c r="CM42" s="66">
        <v>0</v>
      </c>
      <c r="CN42" s="66">
        <v>0</v>
      </c>
      <c r="CO42" s="66">
        <v>0</v>
      </c>
      <c r="CP42" s="67" t="s">
        <v>1230</v>
      </c>
      <c r="CQ42" s="67" t="s">
        <v>1230</v>
      </c>
      <c r="CR42" s="67">
        <v>0</v>
      </c>
      <c r="CS42" s="187">
        <v>0</v>
      </c>
      <c r="CT42" s="67">
        <v>0</v>
      </c>
      <c r="CU42" s="66">
        <v>0</v>
      </c>
      <c r="CV42" s="66">
        <v>0</v>
      </c>
      <c r="CW42" s="66">
        <v>0</v>
      </c>
      <c r="CX42" s="66">
        <v>0</v>
      </c>
      <c r="CY42" s="66">
        <v>0</v>
      </c>
      <c r="CZ42" s="66">
        <v>0</v>
      </c>
      <c r="DA42" s="66">
        <v>0</v>
      </c>
      <c r="DB42" s="66">
        <v>0</v>
      </c>
      <c r="DC42" s="66">
        <v>0</v>
      </c>
      <c r="DD42" s="66">
        <v>0</v>
      </c>
      <c r="DE42" s="66">
        <v>0</v>
      </c>
      <c r="DF42" s="67" t="s">
        <v>1230</v>
      </c>
      <c r="DG42" s="67" t="s">
        <v>1230</v>
      </c>
      <c r="DH42" s="67">
        <v>0</v>
      </c>
      <c r="DI42" s="187">
        <v>0</v>
      </c>
      <c r="DJ42" s="67">
        <v>0</v>
      </c>
      <c r="DK42" s="66">
        <v>0</v>
      </c>
      <c r="DL42" s="66">
        <v>0</v>
      </c>
      <c r="DM42" s="66">
        <v>0</v>
      </c>
      <c r="DN42" s="66">
        <v>0</v>
      </c>
      <c r="DO42" s="66">
        <v>0</v>
      </c>
      <c r="DP42" s="66">
        <v>0</v>
      </c>
      <c r="DQ42" s="66">
        <v>0</v>
      </c>
      <c r="DR42" s="66">
        <v>0</v>
      </c>
      <c r="DS42" s="66">
        <v>0</v>
      </c>
      <c r="DT42" s="66">
        <v>0</v>
      </c>
      <c r="DU42" s="66">
        <v>0</v>
      </c>
      <c r="DV42" s="67" t="s">
        <v>1230</v>
      </c>
      <c r="DW42" s="67" t="s">
        <v>1230</v>
      </c>
      <c r="DX42" s="67">
        <v>0</v>
      </c>
      <c r="DY42" s="187">
        <v>0</v>
      </c>
      <c r="DZ42" s="67">
        <v>0</v>
      </c>
      <c r="EA42" s="66">
        <v>0</v>
      </c>
      <c r="EB42" s="66">
        <v>0</v>
      </c>
      <c r="EC42" s="66">
        <v>0</v>
      </c>
      <c r="ED42" s="66">
        <v>0</v>
      </c>
      <c r="EE42" s="66">
        <v>0</v>
      </c>
      <c r="EF42" s="66">
        <v>0</v>
      </c>
      <c r="EG42" s="66">
        <v>0</v>
      </c>
      <c r="EH42" s="66">
        <v>0</v>
      </c>
      <c r="EI42" s="66">
        <v>0</v>
      </c>
      <c r="EJ42" s="66">
        <v>0</v>
      </c>
      <c r="EK42" s="66">
        <v>0</v>
      </c>
      <c r="EL42" s="67" t="s">
        <v>1230</v>
      </c>
      <c r="EM42" s="67" t="s">
        <v>1230</v>
      </c>
      <c r="EN42" s="67">
        <v>0</v>
      </c>
      <c r="EO42" s="187">
        <v>0</v>
      </c>
      <c r="EP42" s="67">
        <v>0</v>
      </c>
      <c r="EQ42" s="66">
        <v>0</v>
      </c>
      <c r="ER42" s="66">
        <v>0</v>
      </c>
      <c r="ES42" s="66">
        <v>0</v>
      </c>
      <c r="ET42" s="66">
        <v>0</v>
      </c>
      <c r="EU42" s="66">
        <v>0</v>
      </c>
      <c r="EV42" s="66">
        <v>0</v>
      </c>
      <c r="EW42" s="66">
        <v>0</v>
      </c>
      <c r="EX42" s="66">
        <v>0</v>
      </c>
      <c r="EY42" s="66">
        <v>0</v>
      </c>
      <c r="EZ42" s="66">
        <v>0</v>
      </c>
      <c r="FA42" s="66">
        <v>0</v>
      </c>
      <c r="FB42" s="67" t="s">
        <v>1230</v>
      </c>
      <c r="FC42" s="67" t="s">
        <v>1230</v>
      </c>
      <c r="FD42" s="67">
        <v>0</v>
      </c>
      <c r="FE42" s="187">
        <v>0</v>
      </c>
      <c r="FF42" s="67">
        <v>0</v>
      </c>
      <c r="FG42" s="66">
        <v>0</v>
      </c>
      <c r="FH42" s="66">
        <v>0</v>
      </c>
      <c r="FI42" s="66">
        <v>0</v>
      </c>
      <c r="FJ42" s="66">
        <v>0</v>
      </c>
      <c r="FK42" s="66">
        <v>0</v>
      </c>
      <c r="FL42" s="66">
        <v>0</v>
      </c>
      <c r="FM42" s="66">
        <v>0</v>
      </c>
      <c r="FN42" s="66">
        <v>0</v>
      </c>
      <c r="FO42" s="66">
        <v>0</v>
      </c>
      <c r="FP42" s="66">
        <v>0</v>
      </c>
      <c r="FQ42" s="66">
        <v>0</v>
      </c>
      <c r="FR42" s="67" t="s">
        <v>1230</v>
      </c>
      <c r="FS42" s="67" t="s">
        <v>1230</v>
      </c>
      <c r="FT42" s="67">
        <v>0</v>
      </c>
      <c r="FU42" s="187">
        <v>0</v>
      </c>
      <c r="FV42" s="67">
        <v>0</v>
      </c>
      <c r="FW42" s="66">
        <v>0</v>
      </c>
      <c r="FX42" s="66">
        <v>0</v>
      </c>
      <c r="FY42" s="66">
        <v>0</v>
      </c>
      <c r="FZ42" s="66">
        <v>0</v>
      </c>
      <c r="GA42" s="66">
        <v>0</v>
      </c>
      <c r="GB42" s="66">
        <v>0</v>
      </c>
      <c r="GC42" s="66">
        <v>0</v>
      </c>
      <c r="GD42" s="66">
        <v>0</v>
      </c>
      <c r="GE42" s="66">
        <v>0</v>
      </c>
      <c r="GF42" s="66">
        <v>0</v>
      </c>
      <c r="GG42" s="66">
        <v>0</v>
      </c>
      <c r="GH42" s="67" t="s">
        <v>1230</v>
      </c>
      <c r="GI42" s="67" t="s">
        <v>1230</v>
      </c>
      <c r="GJ42" s="67">
        <v>0</v>
      </c>
      <c r="GK42" s="187">
        <v>0</v>
      </c>
      <c r="GL42" s="67">
        <v>0</v>
      </c>
      <c r="GM42" s="66">
        <v>0</v>
      </c>
      <c r="GN42" s="66">
        <v>0</v>
      </c>
      <c r="GO42" s="66">
        <v>0</v>
      </c>
      <c r="GP42" s="66">
        <v>0</v>
      </c>
      <c r="GQ42" s="66">
        <v>0</v>
      </c>
      <c r="GR42" s="66">
        <v>0</v>
      </c>
      <c r="GS42" s="66">
        <v>0</v>
      </c>
      <c r="GT42" s="66">
        <v>0</v>
      </c>
      <c r="GU42" s="66">
        <v>0</v>
      </c>
      <c r="GV42" s="66">
        <v>0</v>
      </c>
      <c r="GW42" s="66">
        <v>0</v>
      </c>
      <c r="GX42" s="67" t="s">
        <v>1230</v>
      </c>
      <c r="GY42" s="67" t="s">
        <v>1230</v>
      </c>
      <c r="GZ42" s="67">
        <v>0</v>
      </c>
      <c r="HA42" s="187">
        <v>0</v>
      </c>
      <c r="HB42" s="67">
        <v>0</v>
      </c>
      <c r="HC42" s="66">
        <v>0</v>
      </c>
      <c r="HD42" s="66">
        <v>0</v>
      </c>
      <c r="HE42" s="66">
        <v>0</v>
      </c>
      <c r="HF42" s="66">
        <v>0</v>
      </c>
      <c r="HG42" s="66">
        <v>0</v>
      </c>
      <c r="HH42" s="66">
        <v>0</v>
      </c>
      <c r="HI42" s="66">
        <v>0</v>
      </c>
      <c r="HJ42" s="66">
        <v>0</v>
      </c>
      <c r="HK42" s="66">
        <v>0</v>
      </c>
      <c r="HL42" s="66">
        <v>0</v>
      </c>
      <c r="HM42" s="66">
        <v>0</v>
      </c>
      <c r="HN42" s="67" t="s">
        <v>1230</v>
      </c>
      <c r="HO42" s="67" t="s">
        <v>1230</v>
      </c>
      <c r="HP42" s="67">
        <v>0</v>
      </c>
      <c r="HQ42" s="187">
        <v>0</v>
      </c>
      <c r="HR42" s="67">
        <v>0</v>
      </c>
      <c r="HS42" s="66">
        <v>0</v>
      </c>
      <c r="HT42" s="66">
        <v>0</v>
      </c>
      <c r="HU42" s="66">
        <v>0</v>
      </c>
      <c r="HV42" s="66">
        <v>0</v>
      </c>
      <c r="HW42" s="66">
        <v>0</v>
      </c>
      <c r="HX42" s="66">
        <v>0</v>
      </c>
      <c r="HY42" s="66">
        <v>0</v>
      </c>
      <c r="HZ42" s="66">
        <v>0</v>
      </c>
      <c r="IA42" s="66">
        <v>0</v>
      </c>
      <c r="IB42" s="66">
        <v>0</v>
      </c>
      <c r="IC42" s="66">
        <v>0</v>
      </c>
      <c r="ID42" s="67" t="s">
        <v>1230</v>
      </c>
      <c r="IE42" s="67" t="s">
        <v>1230</v>
      </c>
      <c r="IF42" s="67">
        <v>0</v>
      </c>
      <c r="IG42" s="187">
        <v>0</v>
      </c>
      <c r="IH42" s="67">
        <v>0</v>
      </c>
      <c r="II42" s="66">
        <v>0</v>
      </c>
      <c r="IJ42" s="66">
        <v>0</v>
      </c>
      <c r="IK42" s="66">
        <v>0</v>
      </c>
      <c r="IL42" s="66">
        <v>0</v>
      </c>
      <c r="IM42" s="66">
        <v>0</v>
      </c>
      <c r="IN42" s="66">
        <v>0</v>
      </c>
      <c r="IO42" s="66">
        <v>0</v>
      </c>
      <c r="IP42" s="66">
        <v>0</v>
      </c>
      <c r="IQ42" s="66">
        <v>0</v>
      </c>
      <c r="IR42" s="66">
        <v>0</v>
      </c>
      <c r="IS42" s="66">
        <v>0</v>
      </c>
      <c r="IT42" s="67" t="s">
        <v>1230</v>
      </c>
      <c r="IU42" s="67" t="s">
        <v>1230</v>
      </c>
      <c r="IV42" s="67">
        <v>0</v>
      </c>
      <c r="IW42" s="187">
        <v>0</v>
      </c>
      <c r="IX42" s="67">
        <v>0</v>
      </c>
    </row>
    <row r="43" spans="1:258" ht="15.6" x14ac:dyDescent="0.3">
      <c r="A43" s="169" t="s">
        <v>90</v>
      </c>
      <c r="B43" s="205" t="s">
        <v>91</v>
      </c>
      <c r="C43" s="66">
        <v>38.557900000000004</v>
      </c>
      <c r="D43" s="66">
        <v>0</v>
      </c>
      <c r="E43" s="66">
        <v>78.838899999999995</v>
      </c>
      <c r="F43" s="66">
        <v>38.557900000000004</v>
      </c>
      <c r="G43" s="66">
        <v>40.281000000000006</v>
      </c>
      <c r="H43" s="66">
        <v>38.557900000000004</v>
      </c>
      <c r="I43" s="66">
        <v>3.8401640000000001E-2</v>
      </c>
      <c r="J43" s="66">
        <v>78.838899999999995</v>
      </c>
      <c r="K43" s="66">
        <v>38.557900000000004</v>
      </c>
      <c r="L43" s="66">
        <v>0</v>
      </c>
      <c r="M43" s="66">
        <v>40.281000000000006</v>
      </c>
      <c r="N43" s="67">
        <v>100</v>
      </c>
      <c r="O43" s="67">
        <v>100</v>
      </c>
      <c r="P43" s="67">
        <v>51.092798098400671</v>
      </c>
      <c r="Q43" s="66">
        <v>3.8401640000000001E-2</v>
      </c>
      <c r="R43" s="67">
        <v>-3.5388358909926865E-15</v>
      </c>
      <c r="S43" s="66">
        <v>26.758900000000001</v>
      </c>
      <c r="T43" s="66">
        <v>0</v>
      </c>
      <c r="U43" s="66">
        <v>60.8889</v>
      </c>
      <c r="V43" s="66">
        <v>26.758900000000001</v>
      </c>
      <c r="W43" s="66">
        <v>34.130000000000003</v>
      </c>
      <c r="X43" s="66">
        <v>26.758900000000001</v>
      </c>
      <c r="Y43" s="66">
        <v>1.036724E-2</v>
      </c>
      <c r="Z43" s="66">
        <v>60.8889</v>
      </c>
      <c r="AA43" s="66">
        <v>26.758900000000001</v>
      </c>
      <c r="AB43" s="66">
        <v>0</v>
      </c>
      <c r="AC43" s="66">
        <v>34.130000000000003</v>
      </c>
      <c r="AD43" s="67">
        <v>100</v>
      </c>
      <c r="AE43" s="67">
        <v>100</v>
      </c>
      <c r="AF43" s="67">
        <v>56.052909479396085</v>
      </c>
      <c r="AG43" s="187">
        <v>1.036724E-2</v>
      </c>
      <c r="AH43" s="67">
        <v>7.7715611723760958E-16</v>
      </c>
      <c r="AI43" s="66">
        <v>0</v>
      </c>
      <c r="AJ43" s="66">
        <v>0</v>
      </c>
      <c r="AK43" s="66">
        <v>0</v>
      </c>
      <c r="AL43" s="66">
        <v>0</v>
      </c>
      <c r="AM43" s="66">
        <v>0</v>
      </c>
      <c r="AN43" s="66">
        <v>0</v>
      </c>
      <c r="AO43" s="66">
        <v>2.8034400000000001E-2</v>
      </c>
      <c r="AP43" s="66">
        <v>0</v>
      </c>
      <c r="AQ43" s="66">
        <v>0</v>
      </c>
      <c r="AR43" s="66">
        <v>0</v>
      </c>
      <c r="AS43" s="66">
        <v>0</v>
      </c>
      <c r="AT43" s="67" t="s">
        <v>1230</v>
      </c>
      <c r="AU43" s="67" t="s">
        <v>1230</v>
      </c>
      <c r="AV43" s="67">
        <v>0</v>
      </c>
      <c r="AW43" s="187">
        <v>2.8034400000000001E-2</v>
      </c>
      <c r="AX43" s="67">
        <v>0</v>
      </c>
      <c r="AY43" s="66">
        <v>10.428000000000001</v>
      </c>
      <c r="AZ43" s="66">
        <v>0</v>
      </c>
      <c r="BA43" s="66">
        <v>13.542999999999999</v>
      </c>
      <c r="BB43" s="66">
        <v>10.428000000000001</v>
      </c>
      <c r="BC43" s="66">
        <v>3.1150000000000002</v>
      </c>
      <c r="BD43" s="66">
        <v>10.428000000000001</v>
      </c>
      <c r="BE43" s="66">
        <v>0</v>
      </c>
      <c r="BF43" s="66">
        <v>13.542999999999999</v>
      </c>
      <c r="BG43" s="66">
        <v>10.428000000000001</v>
      </c>
      <c r="BH43" s="66">
        <v>0</v>
      </c>
      <c r="BI43" s="66">
        <v>3.1150000000000002</v>
      </c>
      <c r="BJ43" s="67">
        <v>100</v>
      </c>
      <c r="BK43" s="67">
        <v>100</v>
      </c>
      <c r="BL43" s="67">
        <v>23.00081222771912</v>
      </c>
      <c r="BM43" s="187">
        <v>0</v>
      </c>
      <c r="BN43" s="67">
        <v>0</v>
      </c>
      <c r="BO43" s="66">
        <v>0</v>
      </c>
      <c r="BP43" s="66">
        <v>0</v>
      </c>
      <c r="BQ43" s="66">
        <v>0</v>
      </c>
      <c r="BR43" s="66">
        <v>0</v>
      </c>
      <c r="BS43" s="66">
        <v>0</v>
      </c>
      <c r="BT43" s="66">
        <v>0</v>
      </c>
      <c r="BU43" s="66">
        <v>0</v>
      </c>
      <c r="BV43" s="66">
        <v>0</v>
      </c>
      <c r="BW43" s="66">
        <v>0</v>
      </c>
      <c r="BX43" s="66">
        <v>0</v>
      </c>
      <c r="BY43" s="66">
        <v>0</v>
      </c>
      <c r="BZ43" s="67" t="s">
        <v>1230</v>
      </c>
      <c r="CA43" s="67" t="s">
        <v>1230</v>
      </c>
      <c r="CB43" s="67">
        <v>0</v>
      </c>
      <c r="CC43" s="187">
        <v>0</v>
      </c>
      <c r="CD43" s="67">
        <v>0</v>
      </c>
      <c r="CE43" s="66">
        <v>0</v>
      </c>
      <c r="CF43" s="66">
        <v>0</v>
      </c>
      <c r="CG43" s="66">
        <v>0</v>
      </c>
      <c r="CH43" s="66">
        <v>0</v>
      </c>
      <c r="CI43" s="66">
        <v>0</v>
      </c>
      <c r="CJ43" s="66">
        <v>0</v>
      </c>
      <c r="CK43" s="66">
        <v>0</v>
      </c>
      <c r="CL43" s="66">
        <v>0</v>
      </c>
      <c r="CM43" s="66">
        <v>0</v>
      </c>
      <c r="CN43" s="66">
        <v>0</v>
      </c>
      <c r="CO43" s="66">
        <v>0</v>
      </c>
      <c r="CP43" s="67" t="s">
        <v>1230</v>
      </c>
      <c r="CQ43" s="67" t="s">
        <v>1230</v>
      </c>
      <c r="CR43" s="67">
        <v>0</v>
      </c>
      <c r="CS43" s="187">
        <v>0</v>
      </c>
      <c r="CT43" s="67">
        <v>0</v>
      </c>
      <c r="CU43" s="66">
        <v>0</v>
      </c>
      <c r="CV43" s="66">
        <v>0</v>
      </c>
      <c r="CW43" s="66">
        <v>0</v>
      </c>
      <c r="CX43" s="66">
        <v>0</v>
      </c>
      <c r="CY43" s="66">
        <v>0</v>
      </c>
      <c r="CZ43" s="66">
        <v>0</v>
      </c>
      <c r="DA43" s="66">
        <v>0</v>
      </c>
      <c r="DB43" s="66">
        <v>0</v>
      </c>
      <c r="DC43" s="66">
        <v>0</v>
      </c>
      <c r="DD43" s="66">
        <v>0</v>
      </c>
      <c r="DE43" s="66">
        <v>0</v>
      </c>
      <c r="DF43" s="67" t="s">
        <v>1230</v>
      </c>
      <c r="DG43" s="67" t="s">
        <v>1230</v>
      </c>
      <c r="DH43" s="67">
        <v>0</v>
      </c>
      <c r="DI43" s="187">
        <v>0</v>
      </c>
      <c r="DJ43" s="67">
        <v>0</v>
      </c>
      <c r="DK43" s="66">
        <v>0</v>
      </c>
      <c r="DL43" s="66">
        <v>0</v>
      </c>
      <c r="DM43" s="66">
        <v>0</v>
      </c>
      <c r="DN43" s="66">
        <v>0</v>
      </c>
      <c r="DO43" s="66">
        <v>0</v>
      </c>
      <c r="DP43" s="66">
        <v>0</v>
      </c>
      <c r="DQ43" s="66">
        <v>0</v>
      </c>
      <c r="DR43" s="66">
        <v>0</v>
      </c>
      <c r="DS43" s="66">
        <v>0</v>
      </c>
      <c r="DT43" s="66">
        <v>0</v>
      </c>
      <c r="DU43" s="66">
        <v>0</v>
      </c>
      <c r="DV43" s="67" t="s">
        <v>1230</v>
      </c>
      <c r="DW43" s="67" t="s">
        <v>1230</v>
      </c>
      <c r="DX43" s="67">
        <v>0</v>
      </c>
      <c r="DY43" s="187">
        <v>0</v>
      </c>
      <c r="DZ43" s="67">
        <v>0</v>
      </c>
      <c r="EA43" s="66">
        <v>0</v>
      </c>
      <c r="EB43" s="66">
        <v>0</v>
      </c>
      <c r="EC43" s="66">
        <v>0</v>
      </c>
      <c r="ED43" s="66">
        <v>0</v>
      </c>
      <c r="EE43" s="66">
        <v>0</v>
      </c>
      <c r="EF43" s="66">
        <v>0</v>
      </c>
      <c r="EG43" s="66">
        <v>0</v>
      </c>
      <c r="EH43" s="66">
        <v>0</v>
      </c>
      <c r="EI43" s="66">
        <v>0</v>
      </c>
      <c r="EJ43" s="66">
        <v>0</v>
      </c>
      <c r="EK43" s="66">
        <v>0</v>
      </c>
      <c r="EL43" s="67" t="s">
        <v>1230</v>
      </c>
      <c r="EM43" s="67" t="s">
        <v>1230</v>
      </c>
      <c r="EN43" s="67">
        <v>0</v>
      </c>
      <c r="EO43" s="187">
        <v>0</v>
      </c>
      <c r="EP43" s="67">
        <v>0</v>
      </c>
      <c r="EQ43" s="66">
        <v>0</v>
      </c>
      <c r="ER43" s="66">
        <v>0</v>
      </c>
      <c r="ES43" s="66">
        <v>0</v>
      </c>
      <c r="ET43" s="66">
        <v>0</v>
      </c>
      <c r="EU43" s="66">
        <v>0</v>
      </c>
      <c r="EV43" s="66">
        <v>0</v>
      </c>
      <c r="EW43" s="66">
        <v>0</v>
      </c>
      <c r="EX43" s="66">
        <v>0</v>
      </c>
      <c r="EY43" s="66">
        <v>0</v>
      </c>
      <c r="EZ43" s="66">
        <v>0</v>
      </c>
      <c r="FA43" s="66">
        <v>0</v>
      </c>
      <c r="FB43" s="67" t="s">
        <v>1230</v>
      </c>
      <c r="FC43" s="67" t="s">
        <v>1230</v>
      </c>
      <c r="FD43" s="67">
        <v>0</v>
      </c>
      <c r="FE43" s="187">
        <v>0</v>
      </c>
      <c r="FF43" s="67">
        <v>0</v>
      </c>
      <c r="FG43" s="66">
        <v>0</v>
      </c>
      <c r="FH43" s="66">
        <v>0</v>
      </c>
      <c r="FI43" s="66">
        <v>0</v>
      </c>
      <c r="FJ43" s="66">
        <v>0</v>
      </c>
      <c r="FK43" s="66">
        <v>0</v>
      </c>
      <c r="FL43" s="66">
        <v>0</v>
      </c>
      <c r="FM43" s="66">
        <v>0</v>
      </c>
      <c r="FN43" s="66">
        <v>0</v>
      </c>
      <c r="FO43" s="66">
        <v>0</v>
      </c>
      <c r="FP43" s="66">
        <v>0</v>
      </c>
      <c r="FQ43" s="66">
        <v>0</v>
      </c>
      <c r="FR43" s="67" t="s">
        <v>1230</v>
      </c>
      <c r="FS43" s="67" t="s">
        <v>1230</v>
      </c>
      <c r="FT43" s="67">
        <v>0</v>
      </c>
      <c r="FU43" s="187">
        <v>0</v>
      </c>
      <c r="FV43" s="67">
        <v>0</v>
      </c>
      <c r="FW43" s="66">
        <v>0</v>
      </c>
      <c r="FX43" s="66">
        <v>0</v>
      </c>
      <c r="FY43" s="66">
        <v>0</v>
      </c>
      <c r="FZ43" s="66">
        <v>0</v>
      </c>
      <c r="GA43" s="66">
        <v>0</v>
      </c>
      <c r="GB43" s="66">
        <v>0</v>
      </c>
      <c r="GC43" s="66">
        <v>0</v>
      </c>
      <c r="GD43" s="66">
        <v>0</v>
      </c>
      <c r="GE43" s="66">
        <v>0</v>
      </c>
      <c r="GF43" s="66">
        <v>0</v>
      </c>
      <c r="GG43" s="66">
        <v>0</v>
      </c>
      <c r="GH43" s="67" t="s">
        <v>1230</v>
      </c>
      <c r="GI43" s="67" t="s">
        <v>1230</v>
      </c>
      <c r="GJ43" s="67">
        <v>0</v>
      </c>
      <c r="GK43" s="187">
        <v>0</v>
      </c>
      <c r="GL43" s="67">
        <v>0</v>
      </c>
      <c r="GM43" s="66">
        <v>0</v>
      </c>
      <c r="GN43" s="66">
        <v>0</v>
      </c>
      <c r="GO43" s="66">
        <v>0</v>
      </c>
      <c r="GP43" s="66">
        <v>0</v>
      </c>
      <c r="GQ43" s="66">
        <v>0</v>
      </c>
      <c r="GR43" s="66">
        <v>0</v>
      </c>
      <c r="GS43" s="66">
        <v>0</v>
      </c>
      <c r="GT43" s="66">
        <v>0</v>
      </c>
      <c r="GU43" s="66">
        <v>0</v>
      </c>
      <c r="GV43" s="66">
        <v>0</v>
      </c>
      <c r="GW43" s="66">
        <v>0</v>
      </c>
      <c r="GX43" s="67" t="s">
        <v>1230</v>
      </c>
      <c r="GY43" s="67" t="s">
        <v>1230</v>
      </c>
      <c r="GZ43" s="67">
        <v>0</v>
      </c>
      <c r="HA43" s="187">
        <v>0</v>
      </c>
      <c r="HB43" s="67">
        <v>0</v>
      </c>
      <c r="HC43" s="66">
        <v>1.371</v>
      </c>
      <c r="HD43" s="66">
        <v>0</v>
      </c>
      <c r="HE43" s="66">
        <v>4.407</v>
      </c>
      <c r="HF43" s="66">
        <v>1.371</v>
      </c>
      <c r="HG43" s="66">
        <v>3.036</v>
      </c>
      <c r="HH43" s="66">
        <v>1.371</v>
      </c>
      <c r="HI43" s="66">
        <v>0</v>
      </c>
      <c r="HJ43" s="66">
        <v>4.407</v>
      </c>
      <c r="HK43" s="66">
        <v>1.371</v>
      </c>
      <c r="HL43" s="66">
        <v>0</v>
      </c>
      <c r="HM43" s="66">
        <v>3.036</v>
      </c>
      <c r="HN43" s="67">
        <v>100</v>
      </c>
      <c r="HO43" s="67">
        <v>100</v>
      </c>
      <c r="HP43" s="67">
        <v>68.890401633764469</v>
      </c>
      <c r="HQ43" s="187">
        <v>0</v>
      </c>
      <c r="HR43" s="67">
        <v>0</v>
      </c>
      <c r="HS43" s="66">
        <v>0</v>
      </c>
      <c r="HT43" s="66">
        <v>0</v>
      </c>
      <c r="HU43" s="66">
        <v>0</v>
      </c>
      <c r="HV43" s="66">
        <v>0</v>
      </c>
      <c r="HW43" s="66">
        <v>0</v>
      </c>
      <c r="HX43" s="66">
        <v>0</v>
      </c>
      <c r="HY43" s="66">
        <v>0</v>
      </c>
      <c r="HZ43" s="66">
        <v>0</v>
      </c>
      <c r="IA43" s="66">
        <v>0</v>
      </c>
      <c r="IB43" s="66">
        <v>0</v>
      </c>
      <c r="IC43" s="66">
        <v>0</v>
      </c>
      <c r="ID43" s="67" t="s">
        <v>1230</v>
      </c>
      <c r="IE43" s="67" t="s">
        <v>1230</v>
      </c>
      <c r="IF43" s="67">
        <v>0</v>
      </c>
      <c r="IG43" s="187">
        <v>0</v>
      </c>
      <c r="IH43" s="67">
        <v>0</v>
      </c>
      <c r="II43" s="66">
        <v>0</v>
      </c>
      <c r="IJ43" s="66">
        <v>0</v>
      </c>
      <c r="IK43" s="66">
        <v>0</v>
      </c>
      <c r="IL43" s="66">
        <v>0</v>
      </c>
      <c r="IM43" s="66">
        <v>0</v>
      </c>
      <c r="IN43" s="66">
        <v>0</v>
      </c>
      <c r="IO43" s="66">
        <v>0</v>
      </c>
      <c r="IP43" s="66">
        <v>0</v>
      </c>
      <c r="IQ43" s="66">
        <v>0</v>
      </c>
      <c r="IR43" s="66">
        <v>0</v>
      </c>
      <c r="IS43" s="66">
        <v>0</v>
      </c>
      <c r="IT43" s="67" t="s">
        <v>1230</v>
      </c>
      <c r="IU43" s="67" t="s">
        <v>1230</v>
      </c>
      <c r="IV43" s="67">
        <v>0</v>
      </c>
      <c r="IW43" s="187">
        <v>0</v>
      </c>
      <c r="IX43" s="67">
        <v>0</v>
      </c>
    </row>
    <row r="44" spans="1:258" ht="15.6" x14ac:dyDescent="0.3">
      <c r="A44" s="206">
        <v>32</v>
      </c>
      <c r="B44" s="205" t="s">
        <v>93</v>
      </c>
      <c r="C44" s="66">
        <v>5.7408000000000001</v>
      </c>
      <c r="D44" s="66">
        <v>0</v>
      </c>
      <c r="E44" s="66">
        <v>6.1729039999999999</v>
      </c>
      <c r="F44" s="66">
        <v>5.7408000000000001</v>
      </c>
      <c r="G44" s="66">
        <v>0.43210399999999999</v>
      </c>
      <c r="H44" s="66">
        <v>5.7408000000000001</v>
      </c>
      <c r="I44" s="66">
        <v>3.2111639999999997E-2</v>
      </c>
      <c r="J44" s="66">
        <v>6.1729039999999999</v>
      </c>
      <c r="K44" s="66">
        <v>5.7408000000000001</v>
      </c>
      <c r="L44" s="66">
        <v>0</v>
      </c>
      <c r="M44" s="66">
        <v>0.43210399999999999</v>
      </c>
      <c r="N44" s="67">
        <v>100</v>
      </c>
      <c r="O44" s="67">
        <v>100</v>
      </c>
      <c r="P44" s="67">
        <v>7.0000116638781362</v>
      </c>
      <c r="Q44" s="66">
        <v>3.2111639999999997E-2</v>
      </c>
      <c r="R44" s="67">
        <v>1.1102230246251565E-16</v>
      </c>
      <c r="S44" s="66">
        <v>5.7408000000000001</v>
      </c>
      <c r="T44" s="66">
        <v>0</v>
      </c>
      <c r="U44" s="66">
        <v>6.1729039999999999</v>
      </c>
      <c r="V44" s="66">
        <v>5.7408000000000001</v>
      </c>
      <c r="W44" s="66">
        <v>0.43210399999999999</v>
      </c>
      <c r="X44" s="66">
        <v>5.7408000000000001</v>
      </c>
      <c r="Y44" s="66">
        <v>3.2111639999999997E-2</v>
      </c>
      <c r="Z44" s="66">
        <v>6.1729039999999999</v>
      </c>
      <c r="AA44" s="66">
        <v>5.7408000000000001</v>
      </c>
      <c r="AB44" s="66">
        <v>0</v>
      </c>
      <c r="AC44" s="66">
        <v>0.43210399999999999</v>
      </c>
      <c r="AD44" s="67">
        <v>100</v>
      </c>
      <c r="AE44" s="67">
        <v>100</v>
      </c>
      <c r="AF44" s="67">
        <v>7.0000116638781362</v>
      </c>
      <c r="AG44" s="187">
        <v>3.2111639999999997E-2</v>
      </c>
      <c r="AH44" s="67">
        <v>1.1102230246251565E-16</v>
      </c>
      <c r="AI44" s="66">
        <v>0</v>
      </c>
      <c r="AJ44" s="66">
        <v>0</v>
      </c>
      <c r="AK44" s="66">
        <v>0</v>
      </c>
      <c r="AL44" s="66">
        <v>0</v>
      </c>
      <c r="AM44" s="66">
        <v>0</v>
      </c>
      <c r="AN44" s="66">
        <v>0</v>
      </c>
      <c r="AO44" s="66">
        <v>0</v>
      </c>
      <c r="AP44" s="66">
        <v>0</v>
      </c>
      <c r="AQ44" s="66">
        <v>0</v>
      </c>
      <c r="AR44" s="66">
        <v>0</v>
      </c>
      <c r="AS44" s="66">
        <v>0</v>
      </c>
      <c r="AT44" s="67" t="s">
        <v>1230</v>
      </c>
      <c r="AU44" s="67" t="s">
        <v>1230</v>
      </c>
      <c r="AV44" s="67">
        <v>0</v>
      </c>
      <c r="AW44" s="187">
        <v>0</v>
      </c>
      <c r="AX44" s="67">
        <v>0</v>
      </c>
      <c r="AY44" s="66">
        <v>0</v>
      </c>
      <c r="AZ44" s="66">
        <v>0</v>
      </c>
      <c r="BA44" s="66">
        <v>0</v>
      </c>
      <c r="BB44" s="66">
        <v>0</v>
      </c>
      <c r="BC44" s="66">
        <v>0</v>
      </c>
      <c r="BD44" s="66">
        <v>0</v>
      </c>
      <c r="BE44" s="66">
        <v>0</v>
      </c>
      <c r="BF44" s="66">
        <v>0</v>
      </c>
      <c r="BG44" s="66">
        <v>0</v>
      </c>
      <c r="BH44" s="66">
        <v>0</v>
      </c>
      <c r="BI44" s="66">
        <v>0</v>
      </c>
      <c r="BJ44" s="67" t="s">
        <v>1230</v>
      </c>
      <c r="BK44" s="67" t="s">
        <v>1230</v>
      </c>
      <c r="BL44" s="67">
        <v>0</v>
      </c>
      <c r="BM44" s="187">
        <v>0</v>
      </c>
      <c r="BN44" s="67">
        <v>0</v>
      </c>
      <c r="BO44" s="66">
        <v>0</v>
      </c>
      <c r="BP44" s="66">
        <v>0</v>
      </c>
      <c r="BQ44" s="66">
        <v>0</v>
      </c>
      <c r="BR44" s="66">
        <v>0</v>
      </c>
      <c r="BS44" s="66">
        <v>0</v>
      </c>
      <c r="BT44" s="66">
        <v>0</v>
      </c>
      <c r="BU44" s="66">
        <v>0</v>
      </c>
      <c r="BV44" s="66">
        <v>0</v>
      </c>
      <c r="BW44" s="66">
        <v>0</v>
      </c>
      <c r="BX44" s="66">
        <v>0</v>
      </c>
      <c r="BY44" s="66">
        <v>0</v>
      </c>
      <c r="BZ44" s="67" t="s">
        <v>1230</v>
      </c>
      <c r="CA44" s="67" t="s">
        <v>1230</v>
      </c>
      <c r="CB44" s="67">
        <v>0</v>
      </c>
      <c r="CC44" s="187">
        <v>0</v>
      </c>
      <c r="CD44" s="67">
        <v>0</v>
      </c>
      <c r="CE44" s="66">
        <v>0</v>
      </c>
      <c r="CF44" s="66">
        <v>0</v>
      </c>
      <c r="CG44" s="66">
        <v>0</v>
      </c>
      <c r="CH44" s="66">
        <v>0</v>
      </c>
      <c r="CI44" s="66">
        <v>0</v>
      </c>
      <c r="CJ44" s="66">
        <v>0</v>
      </c>
      <c r="CK44" s="66">
        <v>0</v>
      </c>
      <c r="CL44" s="66">
        <v>0</v>
      </c>
      <c r="CM44" s="66">
        <v>0</v>
      </c>
      <c r="CN44" s="66">
        <v>0</v>
      </c>
      <c r="CO44" s="66">
        <v>0</v>
      </c>
      <c r="CP44" s="67" t="s">
        <v>1230</v>
      </c>
      <c r="CQ44" s="67" t="s">
        <v>1230</v>
      </c>
      <c r="CR44" s="67">
        <v>0</v>
      </c>
      <c r="CS44" s="187">
        <v>0</v>
      </c>
      <c r="CT44" s="67">
        <v>0</v>
      </c>
      <c r="CU44" s="66">
        <v>0</v>
      </c>
      <c r="CV44" s="66">
        <v>0</v>
      </c>
      <c r="CW44" s="66">
        <v>0</v>
      </c>
      <c r="CX44" s="66">
        <v>0</v>
      </c>
      <c r="CY44" s="66">
        <v>0</v>
      </c>
      <c r="CZ44" s="66">
        <v>0</v>
      </c>
      <c r="DA44" s="66">
        <v>0</v>
      </c>
      <c r="DB44" s="66">
        <v>0</v>
      </c>
      <c r="DC44" s="66">
        <v>0</v>
      </c>
      <c r="DD44" s="66">
        <v>0</v>
      </c>
      <c r="DE44" s="66">
        <v>0</v>
      </c>
      <c r="DF44" s="67" t="s">
        <v>1230</v>
      </c>
      <c r="DG44" s="67" t="s">
        <v>1230</v>
      </c>
      <c r="DH44" s="67">
        <v>0</v>
      </c>
      <c r="DI44" s="187">
        <v>0</v>
      </c>
      <c r="DJ44" s="67">
        <v>0</v>
      </c>
      <c r="DK44" s="66">
        <v>0</v>
      </c>
      <c r="DL44" s="66">
        <v>0</v>
      </c>
      <c r="DM44" s="66">
        <v>0</v>
      </c>
      <c r="DN44" s="66">
        <v>0</v>
      </c>
      <c r="DO44" s="66">
        <v>0</v>
      </c>
      <c r="DP44" s="66">
        <v>0</v>
      </c>
      <c r="DQ44" s="66">
        <v>0</v>
      </c>
      <c r="DR44" s="66">
        <v>0</v>
      </c>
      <c r="DS44" s="66">
        <v>0</v>
      </c>
      <c r="DT44" s="66">
        <v>0</v>
      </c>
      <c r="DU44" s="66">
        <v>0</v>
      </c>
      <c r="DV44" s="67" t="s">
        <v>1230</v>
      </c>
      <c r="DW44" s="67" t="s">
        <v>1230</v>
      </c>
      <c r="DX44" s="67">
        <v>0</v>
      </c>
      <c r="DY44" s="187">
        <v>0</v>
      </c>
      <c r="DZ44" s="67">
        <v>0</v>
      </c>
      <c r="EA44" s="66">
        <v>0</v>
      </c>
      <c r="EB44" s="66">
        <v>0</v>
      </c>
      <c r="EC44" s="66">
        <v>0</v>
      </c>
      <c r="ED44" s="66">
        <v>0</v>
      </c>
      <c r="EE44" s="66">
        <v>0</v>
      </c>
      <c r="EF44" s="66">
        <v>0</v>
      </c>
      <c r="EG44" s="66">
        <v>0</v>
      </c>
      <c r="EH44" s="66">
        <v>0</v>
      </c>
      <c r="EI44" s="66">
        <v>0</v>
      </c>
      <c r="EJ44" s="66">
        <v>0</v>
      </c>
      <c r="EK44" s="66">
        <v>0</v>
      </c>
      <c r="EL44" s="67" t="s">
        <v>1230</v>
      </c>
      <c r="EM44" s="67" t="s">
        <v>1230</v>
      </c>
      <c r="EN44" s="67">
        <v>0</v>
      </c>
      <c r="EO44" s="187">
        <v>0</v>
      </c>
      <c r="EP44" s="67">
        <v>0</v>
      </c>
      <c r="EQ44" s="66">
        <v>0</v>
      </c>
      <c r="ER44" s="66">
        <v>0</v>
      </c>
      <c r="ES44" s="66">
        <v>0</v>
      </c>
      <c r="ET44" s="66">
        <v>0</v>
      </c>
      <c r="EU44" s="66">
        <v>0</v>
      </c>
      <c r="EV44" s="66">
        <v>0</v>
      </c>
      <c r="EW44" s="66">
        <v>0</v>
      </c>
      <c r="EX44" s="66">
        <v>0</v>
      </c>
      <c r="EY44" s="66">
        <v>0</v>
      </c>
      <c r="EZ44" s="66">
        <v>0</v>
      </c>
      <c r="FA44" s="66">
        <v>0</v>
      </c>
      <c r="FB44" s="67" t="s">
        <v>1230</v>
      </c>
      <c r="FC44" s="67" t="s">
        <v>1230</v>
      </c>
      <c r="FD44" s="67">
        <v>0</v>
      </c>
      <c r="FE44" s="187">
        <v>0</v>
      </c>
      <c r="FF44" s="67">
        <v>0</v>
      </c>
      <c r="FG44" s="66">
        <v>0</v>
      </c>
      <c r="FH44" s="66">
        <v>0</v>
      </c>
      <c r="FI44" s="66">
        <v>0</v>
      </c>
      <c r="FJ44" s="66">
        <v>0</v>
      </c>
      <c r="FK44" s="66">
        <v>0</v>
      </c>
      <c r="FL44" s="66">
        <v>0</v>
      </c>
      <c r="FM44" s="66">
        <v>0</v>
      </c>
      <c r="FN44" s="66">
        <v>0</v>
      </c>
      <c r="FO44" s="66">
        <v>0</v>
      </c>
      <c r="FP44" s="66">
        <v>0</v>
      </c>
      <c r="FQ44" s="66">
        <v>0</v>
      </c>
      <c r="FR44" s="67" t="s">
        <v>1230</v>
      </c>
      <c r="FS44" s="67" t="s">
        <v>1230</v>
      </c>
      <c r="FT44" s="67">
        <v>0</v>
      </c>
      <c r="FU44" s="187">
        <v>0</v>
      </c>
      <c r="FV44" s="67">
        <v>0</v>
      </c>
      <c r="FW44" s="66">
        <v>0</v>
      </c>
      <c r="FX44" s="66">
        <v>0</v>
      </c>
      <c r="FY44" s="66">
        <v>0</v>
      </c>
      <c r="FZ44" s="66">
        <v>0</v>
      </c>
      <c r="GA44" s="66">
        <v>0</v>
      </c>
      <c r="GB44" s="66">
        <v>0</v>
      </c>
      <c r="GC44" s="66">
        <v>0</v>
      </c>
      <c r="GD44" s="66">
        <v>0</v>
      </c>
      <c r="GE44" s="66">
        <v>0</v>
      </c>
      <c r="GF44" s="66">
        <v>0</v>
      </c>
      <c r="GG44" s="66">
        <v>0</v>
      </c>
      <c r="GH44" s="67" t="s">
        <v>1230</v>
      </c>
      <c r="GI44" s="67" t="s">
        <v>1230</v>
      </c>
      <c r="GJ44" s="67">
        <v>0</v>
      </c>
      <c r="GK44" s="187">
        <v>0</v>
      </c>
      <c r="GL44" s="67">
        <v>0</v>
      </c>
      <c r="GM44" s="66">
        <v>0</v>
      </c>
      <c r="GN44" s="66">
        <v>0</v>
      </c>
      <c r="GO44" s="66">
        <v>0</v>
      </c>
      <c r="GP44" s="66">
        <v>0</v>
      </c>
      <c r="GQ44" s="66">
        <v>0</v>
      </c>
      <c r="GR44" s="66">
        <v>0</v>
      </c>
      <c r="GS44" s="66">
        <v>0</v>
      </c>
      <c r="GT44" s="66">
        <v>0</v>
      </c>
      <c r="GU44" s="66">
        <v>0</v>
      </c>
      <c r="GV44" s="66">
        <v>0</v>
      </c>
      <c r="GW44" s="66">
        <v>0</v>
      </c>
      <c r="GX44" s="67" t="s">
        <v>1230</v>
      </c>
      <c r="GY44" s="67" t="s">
        <v>1230</v>
      </c>
      <c r="GZ44" s="67">
        <v>0</v>
      </c>
      <c r="HA44" s="187">
        <v>0</v>
      </c>
      <c r="HB44" s="67">
        <v>0</v>
      </c>
      <c r="HC44" s="66">
        <v>0</v>
      </c>
      <c r="HD44" s="66">
        <v>0</v>
      </c>
      <c r="HE44" s="66">
        <v>0</v>
      </c>
      <c r="HF44" s="66">
        <v>0</v>
      </c>
      <c r="HG44" s="66">
        <v>0</v>
      </c>
      <c r="HH44" s="66">
        <v>0</v>
      </c>
      <c r="HI44" s="66">
        <v>0</v>
      </c>
      <c r="HJ44" s="66">
        <v>0</v>
      </c>
      <c r="HK44" s="66">
        <v>0</v>
      </c>
      <c r="HL44" s="66">
        <v>0</v>
      </c>
      <c r="HM44" s="66">
        <v>0</v>
      </c>
      <c r="HN44" s="67" t="s">
        <v>1230</v>
      </c>
      <c r="HO44" s="67" t="s">
        <v>1230</v>
      </c>
      <c r="HP44" s="67">
        <v>0</v>
      </c>
      <c r="HQ44" s="187">
        <v>0</v>
      </c>
      <c r="HR44" s="67">
        <v>0</v>
      </c>
      <c r="HS44" s="66">
        <v>0</v>
      </c>
      <c r="HT44" s="66">
        <v>0</v>
      </c>
      <c r="HU44" s="66">
        <v>0</v>
      </c>
      <c r="HV44" s="66">
        <v>0</v>
      </c>
      <c r="HW44" s="66">
        <v>0</v>
      </c>
      <c r="HX44" s="66">
        <v>0</v>
      </c>
      <c r="HY44" s="66">
        <v>0</v>
      </c>
      <c r="HZ44" s="66">
        <v>0</v>
      </c>
      <c r="IA44" s="66">
        <v>0</v>
      </c>
      <c r="IB44" s="66">
        <v>0</v>
      </c>
      <c r="IC44" s="66">
        <v>0</v>
      </c>
      <c r="ID44" s="67" t="s">
        <v>1230</v>
      </c>
      <c r="IE44" s="67" t="s">
        <v>1230</v>
      </c>
      <c r="IF44" s="67">
        <v>0</v>
      </c>
      <c r="IG44" s="187">
        <v>0</v>
      </c>
      <c r="IH44" s="67">
        <v>0</v>
      </c>
      <c r="II44" s="66">
        <v>0</v>
      </c>
      <c r="IJ44" s="66">
        <v>0</v>
      </c>
      <c r="IK44" s="66">
        <v>0</v>
      </c>
      <c r="IL44" s="66">
        <v>0</v>
      </c>
      <c r="IM44" s="66">
        <v>0</v>
      </c>
      <c r="IN44" s="66">
        <v>0</v>
      </c>
      <c r="IO44" s="66">
        <v>0</v>
      </c>
      <c r="IP44" s="66">
        <v>0</v>
      </c>
      <c r="IQ44" s="66">
        <v>0</v>
      </c>
      <c r="IR44" s="66">
        <v>0</v>
      </c>
      <c r="IS44" s="66">
        <v>0</v>
      </c>
      <c r="IT44" s="67" t="s">
        <v>1230</v>
      </c>
      <c r="IU44" s="67" t="s">
        <v>1230</v>
      </c>
      <c r="IV44" s="67">
        <v>0</v>
      </c>
      <c r="IW44" s="187">
        <v>0</v>
      </c>
      <c r="IX44" s="67">
        <v>0</v>
      </c>
    </row>
    <row r="45" spans="1:258" ht="15.6" x14ac:dyDescent="0.3">
      <c r="A45" s="208">
        <v>33</v>
      </c>
      <c r="B45" s="209" t="s">
        <v>95</v>
      </c>
      <c r="C45" s="61">
        <v>872.51840000000004</v>
      </c>
      <c r="D45" s="61">
        <v>0</v>
      </c>
      <c r="E45" s="61">
        <v>1160.8720609700001</v>
      </c>
      <c r="F45" s="61">
        <v>872.51840000000004</v>
      </c>
      <c r="G45" s="61">
        <v>288.35366097000002</v>
      </c>
      <c r="H45" s="61">
        <v>863.59480796000003</v>
      </c>
      <c r="I45" s="61">
        <v>56.214693569999994</v>
      </c>
      <c r="J45" s="61">
        <v>1144.0349905200001</v>
      </c>
      <c r="K45" s="61">
        <v>863.57287839000003</v>
      </c>
      <c r="L45" s="61">
        <v>0</v>
      </c>
      <c r="M45" s="61">
        <v>280.46211212999998</v>
      </c>
      <c r="N45" s="61">
        <v>98.974746938288064</v>
      </c>
      <c r="O45" s="61">
        <v>97.263239587992928</v>
      </c>
      <c r="P45" s="61">
        <v>24.515169068606991</v>
      </c>
      <c r="Q45" s="61">
        <v>56.126477570000006</v>
      </c>
      <c r="R45" s="61">
        <v>0.11014557000000907</v>
      </c>
      <c r="S45" s="61">
        <v>601.22299999999996</v>
      </c>
      <c r="T45" s="61">
        <v>0</v>
      </c>
      <c r="U45" s="61">
        <v>725.98263534000012</v>
      </c>
      <c r="V45" s="61">
        <v>601.22299999999996</v>
      </c>
      <c r="W45" s="61">
        <v>124.75963533999999</v>
      </c>
      <c r="X45" s="61">
        <v>600.28610860999993</v>
      </c>
      <c r="Y45" s="61">
        <v>14.383935960000001</v>
      </c>
      <c r="Z45" s="61">
        <v>724.91629521000004</v>
      </c>
      <c r="AA45" s="61">
        <v>600.28610860999993</v>
      </c>
      <c r="AB45" s="61">
        <v>0</v>
      </c>
      <c r="AC45" s="61">
        <v>124.6301866</v>
      </c>
      <c r="AD45" s="61">
        <v>99.844169070378214</v>
      </c>
      <c r="AE45" s="61">
        <v>99.896241488966197</v>
      </c>
      <c r="AF45" s="61">
        <v>17.192355506906633</v>
      </c>
      <c r="AG45" s="61">
        <v>14.383935960000001</v>
      </c>
      <c r="AH45" s="61">
        <v>-1.5154544286133387E-14</v>
      </c>
      <c r="AI45" s="61">
        <v>0</v>
      </c>
      <c r="AJ45" s="61">
        <v>0</v>
      </c>
      <c r="AK45" s="61">
        <v>0</v>
      </c>
      <c r="AL45" s="61">
        <v>0</v>
      </c>
      <c r="AM45" s="61">
        <v>0</v>
      </c>
      <c r="AN45" s="61">
        <v>0</v>
      </c>
      <c r="AO45" s="61">
        <v>3.3984501299999996</v>
      </c>
      <c r="AP45" s="61">
        <v>0</v>
      </c>
      <c r="AQ45" s="61">
        <v>0</v>
      </c>
      <c r="AR45" s="61">
        <v>0</v>
      </c>
      <c r="AS45" s="61">
        <v>0</v>
      </c>
      <c r="AT45" s="61" t="s">
        <v>1230</v>
      </c>
      <c r="AU45" s="61" t="s">
        <v>1230</v>
      </c>
      <c r="AV45" s="61">
        <v>0</v>
      </c>
      <c r="AW45" s="61">
        <v>3.3102341299999996</v>
      </c>
      <c r="AX45" s="61">
        <v>8.8216000000000017E-2</v>
      </c>
      <c r="AY45" s="61">
        <v>172.9452</v>
      </c>
      <c r="AZ45" s="61">
        <v>0</v>
      </c>
      <c r="BA45" s="61">
        <v>301.97592513999996</v>
      </c>
      <c r="BB45" s="61">
        <v>172.9452</v>
      </c>
      <c r="BC45" s="61">
        <v>129.03072514000002</v>
      </c>
      <c r="BD45" s="61">
        <v>167.78586178</v>
      </c>
      <c r="BE45" s="61">
        <v>0.63028233</v>
      </c>
      <c r="BF45" s="61">
        <v>291.27312110999998</v>
      </c>
      <c r="BG45" s="61">
        <v>167.78585988</v>
      </c>
      <c r="BH45" s="61">
        <v>0</v>
      </c>
      <c r="BI45" s="61">
        <v>123.48726123</v>
      </c>
      <c r="BJ45" s="61">
        <v>97.016777499462265</v>
      </c>
      <c r="BK45" s="61">
        <v>95.703764429762543</v>
      </c>
      <c r="BL45" s="61">
        <v>42.395694034316591</v>
      </c>
      <c r="BM45" s="61">
        <v>0.63028233</v>
      </c>
      <c r="BN45" s="61">
        <v>1.900000000887303E-6</v>
      </c>
      <c r="BO45" s="61">
        <v>0</v>
      </c>
      <c r="BP45" s="61">
        <v>0</v>
      </c>
      <c r="BQ45" s="61">
        <v>0</v>
      </c>
      <c r="BR45" s="61">
        <v>0</v>
      </c>
      <c r="BS45" s="61">
        <v>0</v>
      </c>
      <c r="BT45" s="61">
        <v>0</v>
      </c>
      <c r="BU45" s="61">
        <v>19.25988705</v>
      </c>
      <c r="BV45" s="61">
        <v>0</v>
      </c>
      <c r="BW45" s="61">
        <v>0</v>
      </c>
      <c r="BX45" s="61">
        <v>0</v>
      </c>
      <c r="BY45" s="61">
        <v>0</v>
      </c>
      <c r="BZ45" s="61" t="s">
        <v>1230</v>
      </c>
      <c r="CA45" s="61" t="s">
        <v>1230</v>
      </c>
      <c r="CB45" s="61">
        <v>0</v>
      </c>
      <c r="CC45" s="61">
        <v>19.25988705</v>
      </c>
      <c r="CD45" s="61">
        <v>0</v>
      </c>
      <c r="CE45" s="61">
        <v>0</v>
      </c>
      <c r="CF45" s="61">
        <v>0</v>
      </c>
      <c r="CG45" s="61">
        <v>0</v>
      </c>
      <c r="CH45" s="61">
        <v>0</v>
      </c>
      <c r="CI45" s="61">
        <v>0</v>
      </c>
      <c r="CJ45" s="61">
        <v>0</v>
      </c>
      <c r="CK45" s="61">
        <v>0</v>
      </c>
      <c r="CL45" s="61">
        <v>0</v>
      </c>
      <c r="CM45" s="61">
        <v>0</v>
      </c>
      <c r="CN45" s="61">
        <v>0</v>
      </c>
      <c r="CO45" s="61">
        <v>0</v>
      </c>
      <c r="CP45" s="61" t="s">
        <v>1230</v>
      </c>
      <c r="CQ45" s="61" t="s">
        <v>1230</v>
      </c>
      <c r="CR45" s="61">
        <v>0</v>
      </c>
      <c r="CS45" s="61">
        <v>0</v>
      </c>
      <c r="CT45" s="61">
        <v>0</v>
      </c>
      <c r="CU45" s="61">
        <v>0</v>
      </c>
      <c r="CV45" s="61">
        <v>0</v>
      </c>
      <c r="CW45" s="61">
        <v>0</v>
      </c>
      <c r="CX45" s="61">
        <v>0</v>
      </c>
      <c r="CY45" s="61">
        <v>0</v>
      </c>
      <c r="CZ45" s="61">
        <v>0</v>
      </c>
      <c r="DA45" s="61">
        <v>9.75</v>
      </c>
      <c r="DB45" s="61">
        <v>0</v>
      </c>
      <c r="DC45" s="61">
        <v>0</v>
      </c>
      <c r="DD45" s="61">
        <v>0</v>
      </c>
      <c r="DE45" s="61">
        <v>0</v>
      </c>
      <c r="DF45" s="61" t="s">
        <v>1230</v>
      </c>
      <c r="DG45" s="61" t="s">
        <v>1230</v>
      </c>
      <c r="DH45" s="61">
        <v>0</v>
      </c>
      <c r="DI45" s="61">
        <v>9.75</v>
      </c>
      <c r="DJ45" s="61">
        <v>0</v>
      </c>
      <c r="DK45" s="61">
        <v>27.794599999999999</v>
      </c>
      <c r="DL45" s="61">
        <v>0</v>
      </c>
      <c r="DM45" s="61">
        <v>37.399321</v>
      </c>
      <c r="DN45" s="61">
        <v>27.794599999999999</v>
      </c>
      <c r="DO45" s="61">
        <v>9.6047209999999996</v>
      </c>
      <c r="DP45" s="61">
        <v>26.332024539999999</v>
      </c>
      <c r="DQ45" s="61">
        <v>0</v>
      </c>
      <c r="DR45" s="61">
        <v>35.1284268</v>
      </c>
      <c r="DS45" s="61">
        <v>26.332024539999999</v>
      </c>
      <c r="DT45" s="61">
        <v>0</v>
      </c>
      <c r="DU45" s="61">
        <v>8.7964022600000007</v>
      </c>
      <c r="DV45" s="61">
        <v>94.737915062638066</v>
      </c>
      <c r="DW45" s="61">
        <v>91.584151793685635</v>
      </c>
      <c r="DX45" s="61">
        <v>25.040695132979884</v>
      </c>
      <c r="DY45" s="61">
        <v>0</v>
      </c>
      <c r="DZ45" s="61">
        <v>0</v>
      </c>
      <c r="EA45" s="61">
        <v>0</v>
      </c>
      <c r="EB45" s="61">
        <v>0</v>
      </c>
      <c r="EC45" s="61">
        <v>0</v>
      </c>
      <c r="ED45" s="61">
        <v>0</v>
      </c>
      <c r="EE45" s="61">
        <v>0</v>
      </c>
      <c r="EF45" s="61">
        <v>0</v>
      </c>
      <c r="EG45" s="61">
        <v>6.1678419999999998E-2</v>
      </c>
      <c r="EH45" s="61">
        <v>0</v>
      </c>
      <c r="EI45" s="61">
        <v>0</v>
      </c>
      <c r="EJ45" s="61">
        <v>0</v>
      </c>
      <c r="EK45" s="61">
        <v>0</v>
      </c>
      <c r="EL45" s="61" t="s">
        <v>1230</v>
      </c>
      <c r="EM45" s="61" t="s">
        <v>1230</v>
      </c>
      <c r="EN45" s="61">
        <v>0</v>
      </c>
      <c r="EO45" s="61">
        <v>6.1678419999999998E-2</v>
      </c>
      <c r="EP45" s="61">
        <v>0</v>
      </c>
      <c r="EQ45" s="61">
        <v>17.296799999999998</v>
      </c>
      <c r="ER45" s="61">
        <v>0</v>
      </c>
      <c r="ES45" s="61">
        <v>23.079958510000001</v>
      </c>
      <c r="ET45" s="61">
        <v>17.296799999999998</v>
      </c>
      <c r="EU45" s="61">
        <v>5.7831585099999998</v>
      </c>
      <c r="EV45" s="61">
        <v>17.296799999999998</v>
      </c>
      <c r="EW45" s="61">
        <v>0</v>
      </c>
      <c r="EX45" s="61">
        <v>23.079958510000001</v>
      </c>
      <c r="EY45" s="61">
        <v>17.296799999999998</v>
      </c>
      <c r="EZ45" s="61">
        <v>0</v>
      </c>
      <c r="FA45" s="61">
        <v>5.7831585099999998</v>
      </c>
      <c r="FB45" s="61">
        <v>100</v>
      </c>
      <c r="FC45" s="61">
        <v>100</v>
      </c>
      <c r="FD45" s="61">
        <v>25.057057652396963</v>
      </c>
      <c r="FE45" s="61">
        <v>0</v>
      </c>
      <c r="FF45" s="61">
        <v>0</v>
      </c>
      <c r="FG45" s="61">
        <v>0</v>
      </c>
      <c r="FH45" s="61">
        <v>0</v>
      </c>
      <c r="FI45" s="61">
        <v>0</v>
      </c>
      <c r="FJ45" s="61">
        <v>0</v>
      </c>
      <c r="FK45" s="61">
        <v>0</v>
      </c>
      <c r="FL45" s="61">
        <v>0</v>
      </c>
      <c r="FM45" s="61">
        <v>0</v>
      </c>
      <c r="FN45" s="61">
        <v>0</v>
      </c>
      <c r="FO45" s="61">
        <v>0</v>
      </c>
      <c r="FP45" s="61">
        <v>0</v>
      </c>
      <c r="FQ45" s="61">
        <v>0</v>
      </c>
      <c r="FR45" s="61" t="s">
        <v>1230</v>
      </c>
      <c r="FS45" s="61" t="s">
        <v>1230</v>
      </c>
      <c r="FT45" s="61">
        <v>0</v>
      </c>
      <c r="FU45" s="61">
        <v>0</v>
      </c>
      <c r="FV45" s="61">
        <v>0</v>
      </c>
      <c r="FW45" s="61">
        <v>42.175699999999999</v>
      </c>
      <c r="FX45" s="61">
        <v>0</v>
      </c>
      <c r="FY45" s="61">
        <v>57.666899999999998</v>
      </c>
      <c r="FZ45" s="61">
        <v>42.175699999999999</v>
      </c>
      <c r="GA45" s="61">
        <v>15.491199999999999</v>
      </c>
      <c r="GB45" s="61">
        <v>41.654504230000001</v>
      </c>
      <c r="GC45" s="61">
        <v>0</v>
      </c>
      <c r="GD45" s="61">
        <v>56.885355390000001</v>
      </c>
      <c r="GE45" s="61">
        <v>41.654504230000001</v>
      </c>
      <c r="GF45" s="61">
        <v>0</v>
      </c>
      <c r="GG45" s="61">
        <v>15.23085116</v>
      </c>
      <c r="GH45" s="61">
        <v>98.764227339439543</v>
      </c>
      <c r="GI45" s="61">
        <v>98.319375903738901</v>
      </c>
      <c r="GJ45" s="61">
        <v>26.774643588985057</v>
      </c>
      <c r="GK45" s="61">
        <v>0</v>
      </c>
      <c r="GL45" s="61">
        <v>0</v>
      </c>
      <c r="GM45" s="61">
        <v>0</v>
      </c>
      <c r="GN45" s="61">
        <v>0</v>
      </c>
      <c r="GO45" s="61">
        <v>0</v>
      </c>
      <c r="GP45" s="61">
        <v>0</v>
      </c>
      <c r="GQ45" s="61">
        <v>0</v>
      </c>
      <c r="GR45" s="61">
        <v>0</v>
      </c>
      <c r="GS45" s="61">
        <v>8.7304596799999992</v>
      </c>
      <c r="GT45" s="61">
        <v>0</v>
      </c>
      <c r="GU45" s="61">
        <v>0</v>
      </c>
      <c r="GV45" s="61">
        <v>0</v>
      </c>
      <c r="GW45" s="61">
        <v>0</v>
      </c>
      <c r="GX45" s="61" t="s">
        <v>1230</v>
      </c>
      <c r="GY45" s="61" t="s">
        <v>1230</v>
      </c>
      <c r="GZ45" s="61">
        <v>0</v>
      </c>
      <c r="HA45" s="61">
        <v>8.7304596799999992</v>
      </c>
      <c r="HB45" s="61">
        <v>0</v>
      </c>
      <c r="HC45" s="61">
        <v>11.0831</v>
      </c>
      <c r="HD45" s="61">
        <v>0</v>
      </c>
      <c r="HE45" s="61">
        <v>14.767320979999999</v>
      </c>
      <c r="HF45" s="61">
        <v>11.0831</v>
      </c>
      <c r="HG45" s="61">
        <v>3.6842209800000001</v>
      </c>
      <c r="HH45" s="61">
        <v>10.239508800000001</v>
      </c>
      <c r="HI45" s="61">
        <v>0</v>
      </c>
      <c r="HJ45" s="61">
        <v>12.7518335</v>
      </c>
      <c r="HK45" s="61">
        <v>10.217581130000001</v>
      </c>
      <c r="HL45" s="61">
        <v>0</v>
      </c>
      <c r="HM45" s="61">
        <v>2.5342523699999999</v>
      </c>
      <c r="HN45" s="61">
        <v>92.190642780449522</v>
      </c>
      <c r="HO45" s="61">
        <v>68.786654865637288</v>
      </c>
      <c r="HP45" s="61">
        <v>19.873631270358104</v>
      </c>
      <c r="HQ45" s="61">
        <v>0</v>
      </c>
      <c r="HR45" s="61">
        <v>2.192767000000001E-2</v>
      </c>
      <c r="HS45" s="61">
        <v>0</v>
      </c>
      <c r="HT45" s="61">
        <v>0</v>
      </c>
      <c r="HU45" s="61">
        <v>0</v>
      </c>
      <c r="HV45" s="61">
        <v>0</v>
      </c>
      <c r="HW45" s="61">
        <v>0</v>
      </c>
      <c r="HX45" s="61">
        <v>0</v>
      </c>
      <c r="HY45" s="61">
        <v>0</v>
      </c>
      <c r="HZ45" s="61">
        <v>0</v>
      </c>
      <c r="IA45" s="61">
        <v>0</v>
      </c>
      <c r="IB45" s="61">
        <v>0</v>
      </c>
      <c r="IC45" s="61">
        <v>0</v>
      </c>
      <c r="ID45" s="61" t="s">
        <v>1230</v>
      </c>
      <c r="IE45" s="61" t="s">
        <v>1230</v>
      </c>
      <c r="IF45" s="61">
        <v>0</v>
      </c>
      <c r="IG45" s="61">
        <v>0</v>
      </c>
      <c r="IH45" s="61">
        <v>0</v>
      </c>
      <c r="II45" s="61">
        <v>0</v>
      </c>
      <c r="IJ45" s="61">
        <v>0</v>
      </c>
      <c r="IK45" s="61">
        <v>0</v>
      </c>
      <c r="IL45" s="61">
        <v>0</v>
      </c>
      <c r="IM45" s="61">
        <v>0</v>
      </c>
      <c r="IN45" s="61">
        <v>0</v>
      </c>
      <c r="IO45" s="61">
        <v>0</v>
      </c>
      <c r="IP45" s="61">
        <v>0</v>
      </c>
      <c r="IQ45" s="61">
        <v>0</v>
      </c>
      <c r="IR45" s="61">
        <v>0</v>
      </c>
      <c r="IS45" s="61">
        <v>0</v>
      </c>
      <c r="IT45" s="61" t="s">
        <v>1230</v>
      </c>
      <c r="IU45" s="61" t="s">
        <v>1230</v>
      </c>
      <c r="IV45" s="61">
        <v>0</v>
      </c>
      <c r="IW45" s="61">
        <v>0</v>
      </c>
      <c r="IX45" s="61">
        <v>0</v>
      </c>
    </row>
    <row r="46" spans="1:258" ht="15.6" x14ac:dyDescent="0.3">
      <c r="A46" s="171">
        <v>34</v>
      </c>
      <c r="B46" s="211" t="s">
        <v>97</v>
      </c>
      <c r="C46" s="66">
        <v>60.312900000000006</v>
      </c>
      <c r="D46" s="66">
        <v>0</v>
      </c>
      <c r="E46" s="66">
        <v>68.204966659999997</v>
      </c>
      <c r="F46" s="66">
        <v>60.312900000000006</v>
      </c>
      <c r="G46" s="66">
        <v>7.8920666599999993</v>
      </c>
      <c r="H46" s="66">
        <v>59.846714280000008</v>
      </c>
      <c r="I46" s="66">
        <v>0.23223931000000003</v>
      </c>
      <c r="J46" s="66">
        <v>67.686982529999995</v>
      </c>
      <c r="K46" s="66">
        <v>59.846714280000008</v>
      </c>
      <c r="L46" s="66">
        <v>0</v>
      </c>
      <c r="M46" s="66">
        <v>7.8402682499999994</v>
      </c>
      <c r="N46" s="67">
        <v>99.227054709688971</v>
      </c>
      <c r="O46" s="67">
        <v>99.343664818968975</v>
      </c>
      <c r="P46" s="67">
        <v>11.583125671948904</v>
      </c>
      <c r="Q46" s="66">
        <v>0.23223931000000003</v>
      </c>
      <c r="R46" s="67">
        <v>-2.9420910152566648E-15</v>
      </c>
      <c r="S46" s="66">
        <v>22.218900000000001</v>
      </c>
      <c r="T46" s="66">
        <v>0</v>
      </c>
      <c r="U46" s="66">
        <v>24.687666660000001</v>
      </c>
      <c r="V46" s="66">
        <v>22.218900000000001</v>
      </c>
      <c r="W46" s="66">
        <v>2.46876666</v>
      </c>
      <c r="X46" s="66">
        <v>21.752714280000003</v>
      </c>
      <c r="Y46" s="66">
        <v>0.17056089000000002</v>
      </c>
      <c r="Z46" s="66">
        <v>24.169682530000003</v>
      </c>
      <c r="AA46" s="66">
        <v>21.752714280000003</v>
      </c>
      <c r="AB46" s="66">
        <v>0</v>
      </c>
      <c r="AC46" s="66">
        <v>2.41696825</v>
      </c>
      <c r="AD46" s="67">
        <v>97.901850586662704</v>
      </c>
      <c r="AE46" s="67">
        <v>97.901850716017051</v>
      </c>
      <c r="AF46" s="67">
        <v>9.9999999875877545</v>
      </c>
      <c r="AG46" s="187">
        <v>0.17056089000000002</v>
      </c>
      <c r="AH46" s="67">
        <v>8.3266726846886741E-16</v>
      </c>
      <c r="AI46" s="66">
        <v>0</v>
      </c>
      <c r="AJ46" s="66">
        <v>0</v>
      </c>
      <c r="AK46" s="66">
        <v>0</v>
      </c>
      <c r="AL46" s="66">
        <v>0</v>
      </c>
      <c r="AM46" s="66">
        <v>0</v>
      </c>
      <c r="AN46" s="66">
        <v>0</v>
      </c>
      <c r="AO46" s="66">
        <v>0</v>
      </c>
      <c r="AP46" s="66">
        <v>0</v>
      </c>
      <c r="AQ46" s="66">
        <v>0</v>
      </c>
      <c r="AR46" s="66">
        <v>0</v>
      </c>
      <c r="AS46" s="66">
        <v>0</v>
      </c>
      <c r="AT46" s="67" t="s">
        <v>1230</v>
      </c>
      <c r="AU46" s="67" t="s">
        <v>1230</v>
      </c>
      <c r="AV46" s="67">
        <v>0</v>
      </c>
      <c r="AW46" s="187">
        <v>0</v>
      </c>
      <c r="AX46" s="67">
        <v>0</v>
      </c>
      <c r="AY46" s="66">
        <v>32.049700000000001</v>
      </c>
      <c r="AZ46" s="66">
        <v>0</v>
      </c>
      <c r="BA46" s="66">
        <v>35.610777779999999</v>
      </c>
      <c r="BB46" s="66">
        <v>32.049700000000001</v>
      </c>
      <c r="BC46" s="66">
        <v>3.5610777799999997</v>
      </c>
      <c r="BD46" s="66">
        <v>32.049700000000001</v>
      </c>
      <c r="BE46" s="66">
        <v>0</v>
      </c>
      <c r="BF46" s="66">
        <v>35.610777779999999</v>
      </c>
      <c r="BG46" s="66">
        <v>32.049700000000001</v>
      </c>
      <c r="BH46" s="66">
        <v>0</v>
      </c>
      <c r="BI46" s="66">
        <v>3.5610777799999997</v>
      </c>
      <c r="BJ46" s="67">
        <v>100</v>
      </c>
      <c r="BK46" s="67">
        <v>100</v>
      </c>
      <c r="BL46" s="67">
        <v>10.000000005616275</v>
      </c>
      <c r="BM46" s="187">
        <v>0</v>
      </c>
      <c r="BN46" s="67">
        <v>0</v>
      </c>
      <c r="BO46" s="66">
        <v>0</v>
      </c>
      <c r="BP46" s="66">
        <v>0</v>
      </c>
      <c r="BQ46" s="66">
        <v>0</v>
      </c>
      <c r="BR46" s="66">
        <v>0</v>
      </c>
      <c r="BS46" s="66">
        <v>0</v>
      </c>
      <c r="BT46" s="66">
        <v>0</v>
      </c>
      <c r="BU46" s="66">
        <v>0</v>
      </c>
      <c r="BV46" s="66">
        <v>0</v>
      </c>
      <c r="BW46" s="66">
        <v>0</v>
      </c>
      <c r="BX46" s="66">
        <v>0</v>
      </c>
      <c r="BY46" s="66">
        <v>0</v>
      </c>
      <c r="BZ46" s="67" t="s">
        <v>1230</v>
      </c>
      <c r="CA46" s="67" t="s">
        <v>1230</v>
      </c>
      <c r="CB46" s="67">
        <v>0</v>
      </c>
      <c r="CC46" s="187">
        <v>0</v>
      </c>
      <c r="CD46" s="67">
        <v>0</v>
      </c>
      <c r="CE46" s="66">
        <v>0</v>
      </c>
      <c r="CF46" s="66">
        <v>0</v>
      </c>
      <c r="CG46" s="66">
        <v>0</v>
      </c>
      <c r="CH46" s="66">
        <v>0</v>
      </c>
      <c r="CI46" s="66">
        <v>0</v>
      </c>
      <c r="CJ46" s="66">
        <v>0</v>
      </c>
      <c r="CK46" s="66">
        <v>0</v>
      </c>
      <c r="CL46" s="66">
        <v>0</v>
      </c>
      <c r="CM46" s="66">
        <v>0</v>
      </c>
      <c r="CN46" s="66">
        <v>0</v>
      </c>
      <c r="CO46" s="66">
        <v>0</v>
      </c>
      <c r="CP46" s="67" t="s">
        <v>1230</v>
      </c>
      <c r="CQ46" s="67" t="s">
        <v>1230</v>
      </c>
      <c r="CR46" s="67">
        <v>0</v>
      </c>
      <c r="CS46" s="187">
        <v>0</v>
      </c>
      <c r="CT46" s="67">
        <v>0</v>
      </c>
      <c r="CU46" s="66">
        <v>0</v>
      </c>
      <c r="CV46" s="66">
        <v>0</v>
      </c>
      <c r="CW46" s="66">
        <v>0</v>
      </c>
      <c r="CX46" s="66">
        <v>0</v>
      </c>
      <c r="CY46" s="66">
        <v>0</v>
      </c>
      <c r="CZ46" s="66">
        <v>0</v>
      </c>
      <c r="DA46" s="66">
        <v>0</v>
      </c>
      <c r="DB46" s="66">
        <v>0</v>
      </c>
      <c r="DC46" s="66">
        <v>0</v>
      </c>
      <c r="DD46" s="66">
        <v>0</v>
      </c>
      <c r="DE46" s="66">
        <v>0</v>
      </c>
      <c r="DF46" s="67" t="s">
        <v>1230</v>
      </c>
      <c r="DG46" s="67" t="s">
        <v>1230</v>
      </c>
      <c r="DH46" s="67">
        <v>0</v>
      </c>
      <c r="DI46" s="187">
        <v>0</v>
      </c>
      <c r="DJ46" s="67">
        <v>0</v>
      </c>
      <c r="DK46" s="66">
        <v>3.3431999999999999</v>
      </c>
      <c r="DL46" s="66">
        <v>0</v>
      </c>
      <c r="DM46" s="66">
        <v>4.9053000000000004</v>
      </c>
      <c r="DN46" s="66">
        <v>3.3431999999999999</v>
      </c>
      <c r="DO46" s="66">
        <v>1.5621</v>
      </c>
      <c r="DP46" s="66">
        <v>3.3431999999999999</v>
      </c>
      <c r="DQ46" s="66">
        <v>0</v>
      </c>
      <c r="DR46" s="66">
        <v>4.9053000000000004</v>
      </c>
      <c r="DS46" s="66">
        <v>3.3431999999999999</v>
      </c>
      <c r="DT46" s="66">
        <v>0</v>
      </c>
      <c r="DU46" s="66">
        <v>1.5621</v>
      </c>
      <c r="DV46" s="67">
        <v>100</v>
      </c>
      <c r="DW46" s="67">
        <v>100</v>
      </c>
      <c r="DX46" s="67">
        <v>31.845147085805149</v>
      </c>
      <c r="DY46" s="187">
        <v>0</v>
      </c>
      <c r="DZ46" s="67">
        <v>0</v>
      </c>
      <c r="EA46" s="66">
        <v>0</v>
      </c>
      <c r="EB46" s="66">
        <v>0</v>
      </c>
      <c r="EC46" s="66">
        <v>0</v>
      </c>
      <c r="ED46" s="66">
        <v>0</v>
      </c>
      <c r="EE46" s="66">
        <v>0</v>
      </c>
      <c r="EF46" s="66">
        <v>0</v>
      </c>
      <c r="EG46" s="66">
        <v>6.1678419999999998E-2</v>
      </c>
      <c r="EH46" s="66">
        <v>0</v>
      </c>
      <c r="EI46" s="66">
        <v>0</v>
      </c>
      <c r="EJ46" s="66">
        <v>0</v>
      </c>
      <c r="EK46" s="66">
        <v>0</v>
      </c>
      <c r="EL46" s="67" t="s">
        <v>1230</v>
      </c>
      <c r="EM46" s="67" t="s">
        <v>1230</v>
      </c>
      <c r="EN46" s="67">
        <v>0</v>
      </c>
      <c r="EO46" s="187">
        <v>6.1678419999999998E-2</v>
      </c>
      <c r="EP46" s="67">
        <v>0</v>
      </c>
      <c r="EQ46" s="66">
        <v>2.1888999999999998</v>
      </c>
      <c r="ER46" s="66">
        <v>0</v>
      </c>
      <c r="ES46" s="66">
        <v>2.4321111099999997</v>
      </c>
      <c r="ET46" s="66">
        <v>2.1888999999999998</v>
      </c>
      <c r="EU46" s="66">
        <v>0.24321110999999998</v>
      </c>
      <c r="EV46" s="66">
        <v>2.1888999999999998</v>
      </c>
      <c r="EW46" s="66">
        <v>0</v>
      </c>
      <c r="EX46" s="66">
        <v>2.4321111099999997</v>
      </c>
      <c r="EY46" s="66">
        <v>2.1888999999999998</v>
      </c>
      <c r="EZ46" s="66">
        <v>0</v>
      </c>
      <c r="FA46" s="66">
        <v>0.24321110999999998</v>
      </c>
      <c r="FB46" s="67">
        <v>100</v>
      </c>
      <c r="FC46" s="67">
        <v>100</v>
      </c>
      <c r="FD46" s="67">
        <v>9.9999999588834587</v>
      </c>
      <c r="FE46" s="187">
        <v>0</v>
      </c>
      <c r="FF46" s="67">
        <v>0</v>
      </c>
      <c r="FG46" s="66">
        <v>0</v>
      </c>
      <c r="FH46" s="66">
        <v>0</v>
      </c>
      <c r="FI46" s="66">
        <v>0</v>
      </c>
      <c r="FJ46" s="66">
        <v>0</v>
      </c>
      <c r="FK46" s="66">
        <v>0</v>
      </c>
      <c r="FL46" s="66">
        <v>0</v>
      </c>
      <c r="FM46" s="66">
        <v>0</v>
      </c>
      <c r="FN46" s="66">
        <v>0</v>
      </c>
      <c r="FO46" s="66">
        <v>0</v>
      </c>
      <c r="FP46" s="66">
        <v>0</v>
      </c>
      <c r="FQ46" s="66">
        <v>0</v>
      </c>
      <c r="FR46" s="67" t="s">
        <v>1230</v>
      </c>
      <c r="FS46" s="67" t="s">
        <v>1230</v>
      </c>
      <c r="FT46" s="67">
        <v>0</v>
      </c>
      <c r="FU46" s="187">
        <v>0</v>
      </c>
      <c r="FV46" s="67">
        <v>0</v>
      </c>
      <c r="FW46" s="66">
        <v>0</v>
      </c>
      <c r="FX46" s="66">
        <v>0</v>
      </c>
      <c r="FY46" s="66">
        <v>0</v>
      </c>
      <c r="FZ46" s="66">
        <v>0</v>
      </c>
      <c r="GA46" s="66">
        <v>0</v>
      </c>
      <c r="GB46" s="66">
        <v>0</v>
      </c>
      <c r="GC46" s="66">
        <v>0</v>
      </c>
      <c r="GD46" s="66">
        <v>0</v>
      </c>
      <c r="GE46" s="66">
        <v>0</v>
      </c>
      <c r="GF46" s="66">
        <v>0</v>
      </c>
      <c r="GG46" s="66">
        <v>0</v>
      </c>
      <c r="GH46" s="67" t="s">
        <v>1230</v>
      </c>
      <c r="GI46" s="67" t="s">
        <v>1230</v>
      </c>
      <c r="GJ46" s="67">
        <v>0</v>
      </c>
      <c r="GK46" s="187">
        <v>0</v>
      </c>
      <c r="GL46" s="67">
        <v>0</v>
      </c>
      <c r="GM46" s="66">
        <v>0</v>
      </c>
      <c r="GN46" s="66">
        <v>0</v>
      </c>
      <c r="GO46" s="66">
        <v>0</v>
      </c>
      <c r="GP46" s="66">
        <v>0</v>
      </c>
      <c r="GQ46" s="66">
        <v>0</v>
      </c>
      <c r="GR46" s="66">
        <v>0</v>
      </c>
      <c r="GS46" s="66">
        <v>0</v>
      </c>
      <c r="GT46" s="66">
        <v>0</v>
      </c>
      <c r="GU46" s="66">
        <v>0</v>
      </c>
      <c r="GV46" s="66">
        <v>0</v>
      </c>
      <c r="GW46" s="66">
        <v>0</v>
      </c>
      <c r="GX46" s="67" t="s">
        <v>1230</v>
      </c>
      <c r="GY46" s="67" t="s">
        <v>1230</v>
      </c>
      <c r="GZ46" s="67">
        <v>0</v>
      </c>
      <c r="HA46" s="187">
        <v>0</v>
      </c>
      <c r="HB46" s="67">
        <v>0</v>
      </c>
      <c r="HC46" s="66">
        <v>0.51219999999999999</v>
      </c>
      <c r="HD46" s="66">
        <v>0</v>
      </c>
      <c r="HE46" s="66">
        <v>0.56911111000000003</v>
      </c>
      <c r="HF46" s="66">
        <v>0.51219999999999999</v>
      </c>
      <c r="HG46" s="66">
        <v>5.6911110000000001E-2</v>
      </c>
      <c r="HH46" s="66">
        <v>0.51219999999999999</v>
      </c>
      <c r="HI46" s="66">
        <v>0</v>
      </c>
      <c r="HJ46" s="66">
        <v>0.56911111000000003</v>
      </c>
      <c r="HK46" s="66">
        <v>0.51219999999999999</v>
      </c>
      <c r="HL46" s="66">
        <v>0</v>
      </c>
      <c r="HM46" s="66">
        <v>5.6911110000000001E-2</v>
      </c>
      <c r="HN46" s="67">
        <v>100</v>
      </c>
      <c r="HO46" s="67">
        <v>100</v>
      </c>
      <c r="HP46" s="67">
        <v>9.9999998242873858</v>
      </c>
      <c r="HQ46" s="187">
        <v>0</v>
      </c>
      <c r="HR46" s="67">
        <v>0</v>
      </c>
      <c r="HS46" s="66">
        <v>0</v>
      </c>
      <c r="HT46" s="66">
        <v>0</v>
      </c>
      <c r="HU46" s="66">
        <v>0</v>
      </c>
      <c r="HV46" s="66">
        <v>0</v>
      </c>
      <c r="HW46" s="66">
        <v>0</v>
      </c>
      <c r="HX46" s="66">
        <v>0</v>
      </c>
      <c r="HY46" s="66">
        <v>0</v>
      </c>
      <c r="HZ46" s="66">
        <v>0</v>
      </c>
      <c r="IA46" s="66">
        <v>0</v>
      </c>
      <c r="IB46" s="66">
        <v>0</v>
      </c>
      <c r="IC46" s="66">
        <v>0</v>
      </c>
      <c r="ID46" s="67" t="s">
        <v>1230</v>
      </c>
      <c r="IE46" s="67" t="s">
        <v>1230</v>
      </c>
      <c r="IF46" s="67">
        <v>0</v>
      </c>
      <c r="IG46" s="187">
        <v>0</v>
      </c>
      <c r="IH46" s="67">
        <v>0</v>
      </c>
      <c r="II46" s="66">
        <v>0</v>
      </c>
      <c r="IJ46" s="66">
        <v>0</v>
      </c>
      <c r="IK46" s="66">
        <v>0</v>
      </c>
      <c r="IL46" s="66">
        <v>0</v>
      </c>
      <c r="IM46" s="66">
        <v>0</v>
      </c>
      <c r="IN46" s="66">
        <v>0</v>
      </c>
      <c r="IO46" s="66">
        <v>0</v>
      </c>
      <c r="IP46" s="66">
        <v>0</v>
      </c>
      <c r="IQ46" s="66">
        <v>0</v>
      </c>
      <c r="IR46" s="66">
        <v>0</v>
      </c>
      <c r="IS46" s="66">
        <v>0</v>
      </c>
      <c r="IT46" s="67" t="s">
        <v>1230</v>
      </c>
      <c r="IU46" s="67" t="s">
        <v>1230</v>
      </c>
      <c r="IV46" s="67">
        <v>0</v>
      </c>
      <c r="IW46" s="187">
        <v>0</v>
      </c>
      <c r="IX46" s="67">
        <v>0</v>
      </c>
    </row>
    <row r="47" spans="1:258" ht="15.6" x14ac:dyDescent="0.3">
      <c r="A47" s="171">
        <v>35</v>
      </c>
      <c r="B47" s="211" t="s">
        <v>99</v>
      </c>
      <c r="C47" s="66">
        <v>53.473600000000005</v>
      </c>
      <c r="D47" s="66">
        <v>0</v>
      </c>
      <c r="E47" s="66">
        <v>56.886808500000001</v>
      </c>
      <c r="F47" s="66">
        <v>53.473600000000005</v>
      </c>
      <c r="G47" s="66">
        <v>3.4132085000000001</v>
      </c>
      <c r="H47" s="66">
        <v>52.139874030000009</v>
      </c>
      <c r="I47" s="66">
        <v>20.026780789999997</v>
      </c>
      <c r="J47" s="66">
        <v>55.46795109</v>
      </c>
      <c r="K47" s="66">
        <v>52.139874030000009</v>
      </c>
      <c r="L47" s="66">
        <v>0</v>
      </c>
      <c r="M47" s="66">
        <v>3.32807706</v>
      </c>
      <c r="N47" s="67">
        <v>97.505823490470064</v>
      </c>
      <c r="O47" s="67">
        <v>97.50582362606913</v>
      </c>
      <c r="P47" s="67">
        <v>5.9999999902646479</v>
      </c>
      <c r="Q47" s="66">
        <v>20.026780789999997</v>
      </c>
      <c r="R47" s="67">
        <v>0</v>
      </c>
      <c r="S47" s="66">
        <v>26.662800000000001</v>
      </c>
      <c r="T47" s="66">
        <v>0</v>
      </c>
      <c r="U47" s="66">
        <v>28.364680870000001</v>
      </c>
      <c r="V47" s="66">
        <v>26.662800000000001</v>
      </c>
      <c r="W47" s="66">
        <v>1.7018808700000001</v>
      </c>
      <c r="X47" s="66">
        <v>26.662800000000001</v>
      </c>
      <c r="Y47" s="66">
        <v>0</v>
      </c>
      <c r="Z47" s="66">
        <v>28.364680870000001</v>
      </c>
      <c r="AA47" s="66">
        <v>26.662800000000001</v>
      </c>
      <c r="AB47" s="66">
        <v>0</v>
      </c>
      <c r="AC47" s="66">
        <v>1.7018808700000001</v>
      </c>
      <c r="AD47" s="67">
        <v>100</v>
      </c>
      <c r="AE47" s="67">
        <v>100</v>
      </c>
      <c r="AF47" s="67">
        <v>6.0000000627540997</v>
      </c>
      <c r="AG47" s="187">
        <v>0</v>
      </c>
      <c r="AH47" s="67">
        <v>0</v>
      </c>
      <c r="AI47" s="66">
        <v>0</v>
      </c>
      <c r="AJ47" s="66">
        <v>0</v>
      </c>
      <c r="AK47" s="66">
        <v>0</v>
      </c>
      <c r="AL47" s="66">
        <v>0</v>
      </c>
      <c r="AM47" s="66">
        <v>0</v>
      </c>
      <c r="AN47" s="66">
        <v>0</v>
      </c>
      <c r="AO47" s="66">
        <v>0.23283183999999998</v>
      </c>
      <c r="AP47" s="66">
        <v>0</v>
      </c>
      <c r="AQ47" s="66">
        <v>0</v>
      </c>
      <c r="AR47" s="66">
        <v>0</v>
      </c>
      <c r="AS47" s="66">
        <v>0</v>
      </c>
      <c r="AT47" s="67" t="s">
        <v>1230</v>
      </c>
      <c r="AU47" s="67" t="s">
        <v>1230</v>
      </c>
      <c r="AV47" s="67">
        <v>0</v>
      </c>
      <c r="AW47" s="187">
        <v>0.23283183999999998</v>
      </c>
      <c r="AX47" s="67">
        <v>0</v>
      </c>
      <c r="AY47" s="66">
        <v>24.3931</v>
      </c>
      <c r="AZ47" s="66">
        <v>0</v>
      </c>
      <c r="BA47" s="66">
        <v>25.950106359999999</v>
      </c>
      <c r="BB47" s="66">
        <v>24.3931</v>
      </c>
      <c r="BC47" s="66">
        <v>1.5570063600000001</v>
      </c>
      <c r="BD47" s="66">
        <v>23.059374030000001</v>
      </c>
      <c r="BE47" s="66">
        <v>0</v>
      </c>
      <c r="BF47" s="66">
        <v>24.531248949999998</v>
      </c>
      <c r="BG47" s="66">
        <v>23.059374030000001</v>
      </c>
      <c r="BH47" s="66">
        <v>0</v>
      </c>
      <c r="BI47" s="66">
        <v>1.4718749199999999</v>
      </c>
      <c r="BJ47" s="67">
        <v>94.532363783200992</v>
      </c>
      <c r="BK47" s="67">
        <v>94.532364016804635</v>
      </c>
      <c r="BL47" s="67">
        <v>5.9999999307006338</v>
      </c>
      <c r="BM47" s="187">
        <v>0</v>
      </c>
      <c r="BN47" s="67">
        <v>0</v>
      </c>
      <c r="BO47" s="66">
        <v>0</v>
      </c>
      <c r="BP47" s="66">
        <v>0</v>
      </c>
      <c r="BQ47" s="66">
        <v>0</v>
      </c>
      <c r="BR47" s="66">
        <v>0</v>
      </c>
      <c r="BS47" s="66">
        <v>0</v>
      </c>
      <c r="BT47" s="66">
        <v>0</v>
      </c>
      <c r="BU47" s="66">
        <v>11.06348927</v>
      </c>
      <c r="BV47" s="66">
        <v>0</v>
      </c>
      <c r="BW47" s="66">
        <v>0</v>
      </c>
      <c r="BX47" s="66">
        <v>0</v>
      </c>
      <c r="BY47" s="66">
        <v>0</v>
      </c>
      <c r="BZ47" s="67" t="s">
        <v>1230</v>
      </c>
      <c r="CA47" s="67" t="s">
        <v>1230</v>
      </c>
      <c r="CB47" s="67">
        <v>0</v>
      </c>
      <c r="CC47" s="187">
        <v>11.06348927</v>
      </c>
      <c r="CD47" s="67">
        <v>0</v>
      </c>
      <c r="CE47" s="66">
        <v>0</v>
      </c>
      <c r="CF47" s="66">
        <v>0</v>
      </c>
      <c r="CG47" s="66">
        <v>0</v>
      </c>
      <c r="CH47" s="66">
        <v>0</v>
      </c>
      <c r="CI47" s="66">
        <v>0</v>
      </c>
      <c r="CJ47" s="66">
        <v>0</v>
      </c>
      <c r="CK47" s="66">
        <v>0</v>
      </c>
      <c r="CL47" s="66">
        <v>0</v>
      </c>
      <c r="CM47" s="66">
        <v>0</v>
      </c>
      <c r="CN47" s="66">
        <v>0</v>
      </c>
      <c r="CO47" s="66">
        <v>0</v>
      </c>
      <c r="CP47" s="67" t="s">
        <v>1230</v>
      </c>
      <c r="CQ47" s="67" t="s">
        <v>1230</v>
      </c>
      <c r="CR47" s="67">
        <v>0</v>
      </c>
      <c r="CS47" s="187">
        <v>0</v>
      </c>
      <c r="CT47" s="67">
        <v>0</v>
      </c>
      <c r="CU47" s="66">
        <v>0</v>
      </c>
      <c r="CV47" s="66">
        <v>0</v>
      </c>
      <c r="CW47" s="66">
        <v>0</v>
      </c>
      <c r="CX47" s="66">
        <v>0</v>
      </c>
      <c r="CY47" s="66">
        <v>0</v>
      </c>
      <c r="CZ47" s="66">
        <v>0</v>
      </c>
      <c r="DA47" s="66">
        <v>0</v>
      </c>
      <c r="DB47" s="66">
        <v>0</v>
      </c>
      <c r="DC47" s="66">
        <v>0</v>
      </c>
      <c r="DD47" s="66">
        <v>0</v>
      </c>
      <c r="DE47" s="66">
        <v>0</v>
      </c>
      <c r="DF47" s="67" t="s">
        <v>1230</v>
      </c>
      <c r="DG47" s="67" t="s">
        <v>1230</v>
      </c>
      <c r="DH47" s="67">
        <v>0</v>
      </c>
      <c r="DI47" s="187">
        <v>0</v>
      </c>
      <c r="DJ47" s="67">
        <v>0</v>
      </c>
      <c r="DK47" s="66">
        <v>0</v>
      </c>
      <c r="DL47" s="66">
        <v>0</v>
      </c>
      <c r="DM47" s="66">
        <v>0</v>
      </c>
      <c r="DN47" s="66">
        <v>0</v>
      </c>
      <c r="DO47" s="66">
        <v>0</v>
      </c>
      <c r="DP47" s="66">
        <v>0</v>
      </c>
      <c r="DQ47" s="66">
        <v>0</v>
      </c>
      <c r="DR47" s="66">
        <v>0</v>
      </c>
      <c r="DS47" s="66">
        <v>0</v>
      </c>
      <c r="DT47" s="66">
        <v>0</v>
      </c>
      <c r="DU47" s="66">
        <v>0</v>
      </c>
      <c r="DV47" s="67" t="s">
        <v>1230</v>
      </c>
      <c r="DW47" s="67" t="s">
        <v>1230</v>
      </c>
      <c r="DX47" s="67">
        <v>0</v>
      </c>
      <c r="DY47" s="187">
        <v>0</v>
      </c>
      <c r="DZ47" s="67">
        <v>0</v>
      </c>
      <c r="EA47" s="66">
        <v>0</v>
      </c>
      <c r="EB47" s="66">
        <v>0</v>
      </c>
      <c r="EC47" s="66">
        <v>0</v>
      </c>
      <c r="ED47" s="66">
        <v>0</v>
      </c>
      <c r="EE47" s="66">
        <v>0</v>
      </c>
      <c r="EF47" s="66">
        <v>0</v>
      </c>
      <c r="EG47" s="66">
        <v>0</v>
      </c>
      <c r="EH47" s="66">
        <v>0</v>
      </c>
      <c r="EI47" s="66">
        <v>0</v>
      </c>
      <c r="EJ47" s="66">
        <v>0</v>
      </c>
      <c r="EK47" s="66">
        <v>0</v>
      </c>
      <c r="EL47" s="67" t="s">
        <v>1230</v>
      </c>
      <c r="EM47" s="67" t="s">
        <v>1230</v>
      </c>
      <c r="EN47" s="67">
        <v>0</v>
      </c>
      <c r="EO47" s="187">
        <v>0</v>
      </c>
      <c r="EP47" s="67">
        <v>0</v>
      </c>
      <c r="EQ47" s="66">
        <v>1.9399</v>
      </c>
      <c r="ER47" s="66">
        <v>0</v>
      </c>
      <c r="ES47" s="66">
        <v>2.0637233999999998</v>
      </c>
      <c r="ET47" s="66">
        <v>1.9399</v>
      </c>
      <c r="EU47" s="66">
        <v>0.1238234</v>
      </c>
      <c r="EV47" s="66">
        <v>1.9399</v>
      </c>
      <c r="EW47" s="66">
        <v>0</v>
      </c>
      <c r="EX47" s="66">
        <v>2.0637233999999998</v>
      </c>
      <c r="EY47" s="66">
        <v>1.9399</v>
      </c>
      <c r="EZ47" s="66">
        <v>0</v>
      </c>
      <c r="FA47" s="66">
        <v>0.1238234</v>
      </c>
      <c r="FB47" s="67">
        <v>100</v>
      </c>
      <c r="FC47" s="67">
        <v>100</v>
      </c>
      <c r="FD47" s="67">
        <v>5.9999998061755768</v>
      </c>
      <c r="FE47" s="187">
        <v>0</v>
      </c>
      <c r="FF47" s="67">
        <v>0</v>
      </c>
      <c r="FG47" s="66">
        <v>0</v>
      </c>
      <c r="FH47" s="66">
        <v>0</v>
      </c>
      <c r="FI47" s="66">
        <v>0</v>
      </c>
      <c r="FJ47" s="66">
        <v>0</v>
      </c>
      <c r="FK47" s="66">
        <v>0</v>
      </c>
      <c r="FL47" s="66">
        <v>0</v>
      </c>
      <c r="FM47" s="66">
        <v>0</v>
      </c>
      <c r="FN47" s="66">
        <v>0</v>
      </c>
      <c r="FO47" s="66">
        <v>0</v>
      </c>
      <c r="FP47" s="66">
        <v>0</v>
      </c>
      <c r="FQ47" s="66">
        <v>0</v>
      </c>
      <c r="FR47" s="67" t="s">
        <v>1230</v>
      </c>
      <c r="FS47" s="67" t="s">
        <v>1230</v>
      </c>
      <c r="FT47" s="67">
        <v>0</v>
      </c>
      <c r="FU47" s="187">
        <v>0</v>
      </c>
      <c r="FV47" s="67">
        <v>0</v>
      </c>
      <c r="FW47" s="66">
        <v>0</v>
      </c>
      <c r="FX47" s="66">
        <v>0</v>
      </c>
      <c r="FY47" s="66">
        <v>0</v>
      </c>
      <c r="FZ47" s="66">
        <v>0</v>
      </c>
      <c r="GA47" s="66">
        <v>0</v>
      </c>
      <c r="GB47" s="66">
        <v>0</v>
      </c>
      <c r="GC47" s="66">
        <v>0</v>
      </c>
      <c r="GD47" s="66">
        <v>0</v>
      </c>
      <c r="GE47" s="66">
        <v>0</v>
      </c>
      <c r="GF47" s="66">
        <v>0</v>
      </c>
      <c r="GG47" s="66">
        <v>0</v>
      </c>
      <c r="GH47" s="67" t="s">
        <v>1230</v>
      </c>
      <c r="GI47" s="67" t="s">
        <v>1230</v>
      </c>
      <c r="GJ47" s="67">
        <v>0</v>
      </c>
      <c r="GK47" s="187">
        <v>0</v>
      </c>
      <c r="GL47" s="67">
        <v>0</v>
      </c>
      <c r="GM47" s="66">
        <v>0</v>
      </c>
      <c r="GN47" s="66">
        <v>0</v>
      </c>
      <c r="GO47" s="66">
        <v>0</v>
      </c>
      <c r="GP47" s="66">
        <v>0</v>
      </c>
      <c r="GQ47" s="66">
        <v>0</v>
      </c>
      <c r="GR47" s="66">
        <v>0</v>
      </c>
      <c r="GS47" s="66">
        <v>8.7304596799999992</v>
      </c>
      <c r="GT47" s="66">
        <v>0</v>
      </c>
      <c r="GU47" s="66">
        <v>0</v>
      </c>
      <c r="GV47" s="66">
        <v>0</v>
      </c>
      <c r="GW47" s="66">
        <v>0</v>
      </c>
      <c r="GX47" s="67" t="s">
        <v>1230</v>
      </c>
      <c r="GY47" s="67" t="s">
        <v>1230</v>
      </c>
      <c r="GZ47" s="67">
        <v>0</v>
      </c>
      <c r="HA47" s="187">
        <v>8.7304596799999992</v>
      </c>
      <c r="HB47" s="67">
        <v>0</v>
      </c>
      <c r="HC47" s="66">
        <v>0.4778</v>
      </c>
      <c r="HD47" s="66">
        <v>0</v>
      </c>
      <c r="HE47" s="66">
        <v>0.50829787000000004</v>
      </c>
      <c r="HF47" s="66">
        <v>0.4778</v>
      </c>
      <c r="HG47" s="66">
        <v>3.049787E-2</v>
      </c>
      <c r="HH47" s="66">
        <v>0.4778</v>
      </c>
      <c r="HI47" s="66">
        <v>0</v>
      </c>
      <c r="HJ47" s="66">
        <v>0.50829787000000004</v>
      </c>
      <c r="HK47" s="66">
        <v>0.4778</v>
      </c>
      <c r="HL47" s="66">
        <v>0</v>
      </c>
      <c r="HM47" s="66">
        <v>3.049787E-2</v>
      </c>
      <c r="HN47" s="67">
        <v>100</v>
      </c>
      <c r="HO47" s="67">
        <v>100</v>
      </c>
      <c r="HP47" s="67">
        <v>5.9999995671829192</v>
      </c>
      <c r="HQ47" s="187">
        <v>0</v>
      </c>
      <c r="HR47" s="67">
        <v>0</v>
      </c>
      <c r="HS47" s="66">
        <v>0</v>
      </c>
      <c r="HT47" s="66">
        <v>0</v>
      </c>
      <c r="HU47" s="66">
        <v>0</v>
      </c>
      <c r="HV47" s="66">
        <v>0</v>
      </c>
      <c r="HW47" s="66">
        <v>0</v>
      </c>
      <c r="HX47" s="66">
        <v>0</v>
      </c>
      <c r="HY47" s="66">
        <v>0</v>
      </c>
      <c r="HZ47" s="66">
        <v>0</v>
      </c>
      <c r="IA47" s="66">
        <v>0</v>
      </c>
      <c r="IB47" s="66">
        <v>0</v>
      </c>
      <c r="IC47" s="66">
        <v>0</v>
      </c>
      <c r="ID47" s="67" t="s">
        <v>1230</v>
      </c>
      <c r="IE47" s="67" t="s">
        <v>1230</v>
      </c>
      <c r="IF47" s="67">
        <v>0</v>
      </c>
      <c r="IG47" s="187">
        <v>0</v>
      </c>
      <c r="IH47" s="67">
        <v>0</v>
      </c>
      <c r="II47" s="66">
        <v>0</v>
      </c>
      <c r="IJ47" s="66">
        <v>0</v>
      </c>
      <c r="IK47" s="66">
        <v>0</v>
      </c>
      <c r="IL47" s="66">
        <v>0</v>
      </c>
      <c r="IM47" s="66">
        <v>0</v>
      </c>
      <c r="IN47" s="66">
        <v>0</v>
      </c>
      <c r="IO47" s="66">
        <v>0</v>
      </c>
      <c r="IP47" s="66">
        <v>0</v>
      </c>
      <c r="IQ47" s="66">
        <v>0</v>
      </c>
      <c r="IR47" s="66">
        <v>0</v>
      </c>
      <c r="IS47" s="66">
        <v>0</v>
      </c>
      <c r="IT47" s="67" t="s">
        <v>1230</v>
      </c>
      <c r="IU47" s="67" t="s">
        <v>1230</v>
      </c>
      <c r="IV47" s="67">
        <v>0</v>
      </c>
      <c r="IW47" s="187">
        <v>0</v>
      </c>
      <c r="IX47" s="67">
        <v>0</v>
      </c>
    </row>
    <row r="48" spans="1:258" s="126" customFormat="1" ht="15.6" x14ac:dyDescent="0.3">
      <c r="A48" s="169">
        <v>36</v>
      </c>
      <c r="B48" s="205" t="s">
        <v>318</v>
      </c>
      <c r="C48" s="66">
        <v>19.220199999999998</v>
      </c>
      <c r="D48" s="66">
        <v>0</v>
      </c>
      <c r="E48" s="66">
        <v>20.231791000000001</v>
      </c>
      <c r="F48" s="66">
        <v>19.220199999999998</v>
      </c>
      <c r="G48" s="66">
        <v>1.0115910000000001</v>
      </c>
      <c r="H48" s="66">
        <v>18.90359488</v>
      </c>
      <c r="I48" s="66">
        <v>0</v>
      </c>
      <c r="J48" s="66">
        <v>19.89852235</v>
      </c>
      <c r="K48" s="66">
        <v>18.90359488</v>
      </c>
      <c r="L48" s="66">
        <v>0</v>
      </c>
      <c r="M48" s="66">
        <v>0.99492747000000004</v>
      </c>
      <c r="N48" s="67">
        <v>98.352748046326269</v>
      </c>
      <c r="O48" s="67">
        <v>98.35274038618374</v>
      </c>
      <c r="P48" s="67">
        <v>5.0000067969871145</v>
      </c>
      <c r="Q48" s="66">
        <v>0</v>
      </c>
      <c r="R48" s="67">
        <v>0</v>
      </c>
      <c r="S48" s="66">
        <v>14.014900000000001</v>
      </c>
      <c r="T48" s="66">
        <v>0</v>
      </c>
      <c r="U48" s="66">
        <v>14.752527000000001</v>
      </c>
      <c r="V48" s="66">
        <v>14.014900000000001</v>
      </c>
      <c r="W48" s="66">
        <v>0.73762700000000003</v>
      </c>
      <c r="X48" s="66">
        <v>14.014900000000001</v>
      </c>
      <c r="Y48" s="66">
        <v>0</v>
      </c>
      <c r="Z48" s="66">
        <v>14.752527000000001</v>
      </c>
      <c r="AA48" s="66">
        <v>14.014900000000001</v>
      </c>
      <c r="AB48" s="66">
        <v>0</v>
      </c>
      <c r="AC48" s="66">
        <v>0.73762700000000003</v>
      </c>
      <c r="AD48" s="67">
        <v>100</v>
      </c>
      <c r="AE48" s="67">
        <v>100</v>
      </c>
      <c r="AF48" s="67">
        <v>5.0000044060248117</v>
      </c>
      <c r="AG48" s="187">
        <v>0</v>
      </c>
      <c r="AH48" s="67">
        <v>0</v>
      </c>
      <c r="AI48" s="66">
        <v>0</v>
      </c>
      <c r="AJ48" s="66">
        <v>0</v>
      </c>
      <c r="AK48" s="66">
        <v>0</v>
      </c>
      <c r="AL48" s="66">
        <v>0</v>
      </c>
      <c r="AM48" s="66">
        <v>0</v>
      </c>
      <c r="AN48" s="66">
        <v>0</v>
      </c>
      <c r="AO48" s="66">
        <v>0</v>
      </c>
      <c r="AP48" s="66">
        <v>0</v>
      </c>
      <c r="AQ48" s="66">
        <v>0</v>
      </c>
      <c r="AR48" s="66">
        <v>0</v>
      </c>
      <c r="AS48" s="66">
        <v>0</v>
      </c>
      <c r="AT48" s="67" t="s">
        <v>1230</v>
      </c>
      <c r="AU48" s="67" t="s">
        <v>1230</v>
      </c>
      <c r="AV48" s="67">
        <v>0</v>
      </c>
      <c r="AW48" s="187">
        <v>0</v>
      </c>
      <c r="AX48" s="67">
        <v>0</v>
      </c>
      <c r="AY48" s="66">
        <v>2.0506000000000002</v>
      </c>
      <c r="AZ48" s="66">
        <v>0</v>
      </c>
      <c r="BA48" s="66">
        <v>2.1585269999999999</v>
      </c>
      <c r="BB48" s="66">
        <v>2.0506000000000002</v>
      </c>
      <c r="BC48" s="66">
        <v>0.107927</v>
      </c>
      <c r="BD48" s="66">
        <v>1.7339977099999999</v>
      </c>
      <c r="BE48" s="66">
        <v>0</v>
      </c>
      <c r="BF48" s="66">
        <v>1.82526133</v>
      </c>
      <c r="BG48" s="66">
        <v>1.7339977099999999</v>
      </c>
      <c r="BH48" s="66">
        <v>0</v>
      </c>
      <c r="BI48" s="66">
        <v>9.126361999999999E-2</v>
      </c>
      <c r="BJ48" s="67">
        <v>84.560504730322819</v>
      </c>
      <c r="BK48" s="67">
        <v>84.560508491850968</v>
      </c>
      <c r="BL48" s="67">
        <v>5.0000303244248308</v>
      </c>
      <c r="BM48" s="187">
        <v>0</v>
      </c>
      <c r="BN48" s="67">
        <v>0</v>
      </c>
      <c r="BO48" s="66">
        <v>0</v>
      </c>
      <c r="BP48" s="66">
        <v>0</v>
      </c>
      <c r="BQ48" s="66">
        <v>0</v>
      </c>
      <c r="BR48" s="66">
        <v>0</v>
      </c>
      <c r="BS48" s="66">
        <v>0</v>
      </c>
      <c r="BT48" s="66">
        <v>0</v>
      </c>
      <c r="BU48" s="66">
        <v>0</v>
      </c>
      <c r="BV48" s="66">
        <v>0</v>
      </c>
      <c r="BW48" s="66">
        <v>0</v>
      </c>
      <c r="BX48" s="66">
        <v>0</v>
      </c>
      <c r="BY48" s="66">
        <v>0</v>
      </c>
      <c r="BZ48" s="67" t="s">
        <v>1230</v>
      </c>
      <c r="CA48" s="67" t="s">
        <v>1230</v>
      </c>
      <c r="CB48" s="67">
        <v>0</v>
      </c>
      <c r="CC48" s="187">
        <v>0</v>
      </c>
      <c r="CD48" s="67">
        <v>0</v>
      </c>
      <c r="CE48" s="66">
        <v>0</v>
      </c>
      <c r="CF48" s="66">
        <v>0</v>
      </c>
      <c r="CG48" s="66">
        <v>0</v>
      </c>
      <c r="CH48" s="66">
        <v>0</v>
      </c>
      <c r="CI48" s="66">
        <v>0</v>
      </c>
      <c r="CJ48" s="66">
        <v>0</v>
      </c>
      <c r="CK48" s="66">
        <v>0</v>
      </c>
      <c r="CL48" s="66">
        <v>0</v>
      </c>
      <c r="CM48" s="66">
        <v>0</v>
      </c>
      <c r="CN48" s="66">
        <v>0</v>
      </c>
      <c r="CO48" s="66">
        <v>0</v>
      </c>
      <c r="CP48" s="67" t="s">
        <v>1230</v>
      </c>
      <c r="CQ48" s="67" t="s">
        <v>1230</v>
      </c>
      <c r="CR48" s="67">
        <v>0</v>
      </c>
      <c r="CS48" s="187">
        <v>0</v>
      </c>
      <c r="CT48" s="67">
        <v>0</v>
      </c>
      <c r="CU48" s="66">
        <v>0</v>
      </c>
      <c r="CV48" s="66">
        <v>0</v>
      </c>
      <c r="CW48" s="66">
        <v>0</v>
      </c>
      <c r="CX48" s="66">
        <v>0</v>
      </c>
      <c r="CY48" s="66">
        <v>0</v>
      </c>
      <c r="CZ48" s="66">
        <v>0</v>
      </c>
      <c r="DA48" s="66">
        <v>0</v>
      </c>
      <c r="DB48" s="66">
        <v>0</v>
      </c>
      <c r="DC48" s="66">
        <v>0</v>
      </c>
      <c r="DD48" s="66">
        <v>0</v>
      </c>
      <c r="DE48" s="66">
        <v>0</v>
      </c>
      <c r="DF48" s="67" t="s">
        <v>1230</v>
      </c>
      <c r="DG48" s="67" t="s">
        <v>1230</v>
      </c>
      <c r="DH48" s="67">
        <v>0</v>
      </c>
      <c r="DI48" s="187">
        <v>0</v>
      </c>
      <c r="DJ48" s="67">
        <v>0</v>
      </c>
      <c r="DK48" s="66">
        <v>0</v>
      </c>
      <c r="DL48" s="66">
        <v>0</v>
      </c>
      <c r="DM48" s="66">
        <v>0</v>
      </c>
      <c r="DN48" s="66">
        <v>0</v>
      </c>
      <c r="DO48" s="66">
        <v>0</v>
      </c>
      <c r="DP48" s="66">
        <v>0</v>
      </c>
      <c r="DQ48" s="66">
        <v>0</v>
      </c>
      <c r="DR48" s="66">
        <v>0</v>
      </c>
      <c r="DS48" s="66">
        <v>0</v>
      </c>
      <c r="DT48" s="66">
        <v>0</v>
      </c>
      <c r="DU48" s="66">
        <v>0</v>
      </c>
      <c r="DV48" s="67" t="s">
        <v>1230</v>
      </c>
      <c r="DW48" s="67" t="s">
        <v>1230</v>
      </c>
      <c r="DX48" s="67">
        <v>0</v>
      </c>
      <c r="DY48" s="187">
        <v>0</v>
      </c>
      <c r="DZ48" s="67">
        <v>0</v>
      </c>
      <c r="EA48" s="66">
        <v>0</v>
      </c>
      <c r="EB48" s="66">
        <v>0</v>
      </c>
      <c r="EC48" s="66">
        <v>0</v>
      </c>
      <c r="ED48" s="66">
        <v>0</v>
      </c>
      <c r="EE48" s="66">
        <v>0</v>
      </c>
      <c r="EF48" s="66">
        <v>0</v>
      </c>
      <c r="EG48" s="66">
        <v>0</v>
      </c>
      <c r="EH48" s="66">
        <v>0</v>
      </c>
      <c r="EI48" s="66">
        <v>0</v>
      </c>
      <c r="EJ48" s="66">
        <v>0</v>
      </c>
      <c r="EK48" s="66">
        <v>0</v>
      </c>
      <c r="EL48" s="67" t="s">
        <v>1230</v>
      </c>
      <c r="EM48" s="67" t="s">
        <v>1230</v>
      </c>
      <c r="EN48" s="67">
        <v>0</v>
      </c>
      <c r="EO48" s="187">
        <v>0</v>
      </c>
      <c r="EP48" s="67">
        <v>0</v>
      </c>
      <c r="EQ48" s="66">
        <v>0</v>
      </c>
      <c r="ER48" s="66">
        <v>0</v>
      </c>
      <c r="ES48" s="66">
        <v>0</v>
      </c>
      <c r="ET48" s="66">
        <v>0</v>
      </c>
      <c r="EU48" s="66">
        <v>0</v>
      </c>
      <c r="EV48" s="66">
        <v>0</v>
      </c>
      <c r="EW48" s="66">
        <v>0</v>
      </c>
      <c r="EX48" s="66">
        <v>0</v>
      </c>
      <c r="EY48" s="66">
        <v>0</v>
      </c>
      <c r="EZ48" s="66">
        <v>0</v>
      </c>
      <c r="FA48" s="66">
        <v>0</v>
      </c>
      <c r="FB48" s="67" t="s">
        <v>1230</v>
      </c>
      <c r="FC48" s="67" t="s">
        <v>1230</v>
      </c>
      <c r="FD48" s="67">
        <v>0</v>
      </c>
      <c r="FE48" s="187">
        <v>0</v>
      </c>
      <c r="FF48" s="67">
        <v>0</v>
      </c>
      <c r="FG48" s="66">
        <v>0</v>
      </c>
      <c r="FH48" s="66">
        <v>0</v>
      </c>
      <c r="FI48" s="66">
        <v>0</v>
      </c>
      <c r="FJ48" s="66">
        <v>0</v>
      </c>
      <c r="FK48" s="66">
        <v>0</v>
      </c>
      <c r="FL48" s="66">
        <v>0</v>
      </c>
      <c r="FM48" s="66">
        <v>0</v>
      </c>
      <c r="FN48" s="66">
        <v>0</v>
      </c>
      <c r="FO48" s="66">
        <v>0</v>
      </c>
      <c r="FP48" s="66">
        <v>0</v>
      </c>
      <c r="FQ48" s="66">
        <v>0</v>
      </c>
      <c r="FR48" s="67" t="s">
        <v>1230</v>
      </c>
      <c r="FS48" s="67" t="s">
        <v>1230</v>
      </c>
      <c r="FT48" s="67">
        <v>0</v>
      </c>
      <c r="FU48" s="187">
        <v>0</v>
      </c>
      <c r="FV48" s="67">
        <v>0</v>
      </c>
      <c r="FW48" s="66">
        <v>0</v>
      </c>
      <c r="FX48" s="66">
        <v>0</v>
      </c>
      <c r="FY48" s="66">
        <v>0</v>
      </c>
      <c r="FZ48" s="66">
        <v>0</v>
      </c>
      <c r="GA48" s="66">
        <v>0</v>
      </c>
      <c r="GB48" s="66">
        <v>0</v>
      </c>
      <c r="GC48" s="66">
        <v>0</v>
      </c>
      <c r="GD48" s="66">
        <v>0</v>
      </c>
      <c r="GE48" s="66">
        <v>0</v>
      </c>
      <c r="GF48" s="66">
        <v>0</v>
      </c>
      <c r="GG48" s="66">
        <v>0</v>
      </c>
      <c r="GH48" s="67" t="s">
        <v>1230</v>
      </c>
      <c r="GI48" s="67" t="s">
        <v>1230</v>
      </c>
      <c r="GJ48" s="67">
        <v>0</v>
      </c>
      <c r="GK48" s="187">
        <v>0</v>
      </c>
      <c r="GL48" s="67">
        <v>0</v>
      </c>
      <c r="GM48" s="66">
        <v>0</v>
      </c>
      <c r="GN48" s="66">
        <v>0</v>
      </c>
      <c r="GO48" s="66">
        <v>0</v>
      </c>
      <c r="GP48" s="66">
        <v>0</v>
      </c>
      <c r="GQ48" s="66">
        <v>0</v>
      </c>
      <c r="GR48" s="66">
        <v>0</v>
      </c>
      <c r="GS48" s="66">
        <v>0</v>
      </c>
      <c r="GT48" s="66">
        <v>0</v>
      </c>
      <c r="GU48" s="66">
        <v>0</v>
      </c>
      <c r="GV48" s="66">
        <v>0</v>
      </c>
      <c r="GW48" s="66">
        <v>0</v>
      </c>
      <c r="GX48" s="67" t="s">
        <v>1230</v>
      </c>
      <c r="GY48" s="67" t="s">
        <v>1230</v>
      </c>
      <c r="GZ48" s="67">
        <v>0</v>
      </c>
      <c r="HA48" s="187">
        <v>0</v>
      </c>
      <c r="HB48" s="67">
        <v>0</v>
      </c>
      <c r="HC48" s="66">
        <v>3.1547000000000001</v>
      </c>
      <c r="HD48" s="66">
        <v>0</v>
      </c>
      <c r="HE48" s="66">
        <v>3.3207369999999998</v>
      </c>
      <c r="HF48" s="66">
        <v>3.1547000000000001</v>
      </c>
      <c r="HG48" s="66">
        <v>0.16603699999999999</v>
      </c>
      <c r="HH48" s="66">
        <v>3.1546971699999999</v>
      </c>
      <c r="HI48" s="66">
        <v>0</v>
      </c>
      <c r="HJ48" s="66">
        <v>3.3207340200000002</v>
      </c>
      <c r="HK48" s="66">
        <v>3.1546971699999999</v>
      </c>
      <c r="HL48" s="66">
        <v>0</v>
      </c>
      <c r="HM48" s="66">
        <v>0.16603685000000001</v>
      </c>
      <c r="HN48" s="67">
        <v>99.999910292579315</v>
      </c>
      <c r="HO48" s="67">
        <v>99.999909658690541</v>
      </c>
      <c r="HP48" s="67">
        <v>5.0000044869597842</v>
      </c>
      <c r="HQ48" s="187">
        <v>0</v>
      </c>
      <c r="HR48" s="67">
        <v>0</v>
      </c>
      <c r="HS48" s="66">
        <v>0</v>
      </c>
      <c r="HT48" s="66">
        <v>0</v>
      </c>
      <c r="HU48" s="66">
        <v>0</v>
      </c>
      <c r="HV48" s="66">
        <v>0</v>
      </c>
      <c r="HW48" s="66">
        <v>0</v>
      </c>
      <c r="HX48" s="66">
        <v>0</v>
      </c>
      <c r="HY48" s="66">
        <v>0</v>
      </c>
      <c r="HZ48" s="66">
        <v>0</v>
      </c>
      <c r="IA48" s="66">
        <v>0</v>
      </c>
      <c r="IB48" s="66">
        <v>0</v>
      </c>
      <c r="IC48" s="66">
        <v>0</v>
      </c>
      <c r="ID48" s="67" t="s">
        <v>1230</v>
      </c>
      <c r="IE48" s="67" t="s">
        <v>1230</v>
      </c>
      <c r="IF48" s="67">
        <v>0</v>
      </c>
      <c r="IG48" s="187">
        <v>0</v>
      </c>
      <c r="IH48" s="67">
        <v>0</v>
      </c>
      <c r="II48" s="66">
        <v>0</v>
      </c>
      <c r="IJ48" s="66">
        <v>0</v>
      </c>
      <c r="IK48" s="66">
        <v>0</v>
      </c>
      <c r="IL48" s="66">
        <v>0</v>
      </c>
      <c r="IM48" s="66">
        <v>0</v>
      </c>
      <c r="IN48" s="66">
        <v>0</v>
      </c>
      <c r="IO48" s="66">
        <v>0</v>
      </c>
      <c r="IP48" s="66">
        <v>0</v>
      </c>
      <c r="IQ48" s="66">
        <v>0</v>
      </c>
      <c r="IR48" s="66">
        <v>0</v>
      </c>
      <c r="IS48" s="66">
        <v>0</v>
      </c>
      <c r="IT48" s="67" t="s">
        <v>1230</v>
      </c>
      <c r="IU48" s="67" t="s">
        <v>1230</v>
      </c>
      <c r="IV48" s="67">
        <v>0</v>
      </c>
      <c r="IW48" s="187">
        <v>0</v>
      </c>
      <c r="IX48" s="67">
        <v>0</v>
      </c>
    </row>
    <row r="49" spans="1:258" ht="15.6" x14ac:dyDescent="0.3">
      <c r="A49" s="171">
        <v>37</v>
      </c>
      <c r="B49" s="211" t="s">
        <v>101</v>
      </c>
      <c r="C49" s="66">
        <v>125.48660000000001</v>
      </c>
      <c r="D49" s="66">
        <v>0</v>
      </c>
      <c r="E49" s="66">
        <v>166.84799999999998</v>
      </c>
      <c r="F49" s="66">
        <v>125.48660000000001</v>
      </c>
      <c r="G49" s="66">
        <v>41.361399999999996</v>
      </c>
      <c r="H49" s="66">
        <v>125.38659488000002</v>
      </c>
      <c r="I49" s="66">
        <v>0.26118265000000002</v>
      </c>
      <c r="J49" s="66">
        <v>166.71642188999999</v>
      </c>
      <c r="K49" s="66">
        <v>125.38659488000002</v>
      </c>
      <c r="L49" s="66">
        <v>0</v>
      </c>
      <c r="M49" s="66">
        <v>41.329827009999995</v>
      </c>
      <c r="N49" s="67">
        <v>99.920306136272728</v>
      </c>
      <c r="O49" s="67">
        <v>99.923665567413096</v>
      </c>
      <c r="P49" s="67">
        <v>24.790495466169219</v>
      </c>
      <c r="Q49" s="66">
        <v>0.17296665</v>
      </c>
      <c r="R49" s="67">
        <v>8.8215999999994965E-2</v>
      </c>
      <c r="S49" s="66">
        <v>42.1633</v>
      </c>
      <c r="T49" s="66">
        <v>0</v>
      </c>
      <c r="U49" s="66">
        <v>55.478200000000001</v>
      </c>
      <c r="V49" s="66">
        <v>42.1633</v>
      </c>
      <c r="W49" s="66">
        <v>13.3149</v>
      </c>
      <c r="X49" s="66">
        <v>42.119331850000002</v>
      </c>
      <c r="Y49" s="66">
        <v>0</v>
      </c>
      <c r="Z49" s="66">
        <v>55.420347</v>
      </c>
      <c r="AA49" s="66">
        <v>42.119331850000002</v>
      </c>
      <c r="AB49" s="66">
        <v>0</v>
      </c>
      <c r="AC49" s="66">
        <v>13.30101515</v>
      </c>
      <c r="AD49" s="67">
        <v>99.895719381547465</v>
      </c>
      <c r="AE49" s="67">
        <v>99.895719457149511</v>
      </c>
      <c r="AF49" s="67">
        <v>24.000237945099837</v>
      </c>
      <c r="AG49" s="187">
        <v>0</v>
      </c>
      <c r="AH49" s="67">
        <v>0</v>
      </c>
      <c r="AI49" s="66">
        <v>0</v>
      </c>
      <c r="AJ49" s="66">
        <v>0</v>
      </c>
      <c r="AK49" s="66">
        <v>0</v>
      </c>
      <c r="AL49" s="66">
        <v>0</v>
      </c>
      <c r="AM49" s="66">
        <v>0</v>
      </c>
      <c r="AN49" s="66">
        <v>0</v>
      </c>
      <c r="AO49" s="66">
        <v>0.26118265000000002</v>
      </c>
      <c r="AP49" s="66">
        <v>0</v>
      </c>
      <c r="AQ49" s="66">
        <v>0</v>
      </c>
      <c r="AR49" s="66">
        <v>0</v>
      </c>
      <c r="AS49" s="66">
        <v>0</v>
      </c>
      <c r="AT49" s="67" t="s">
        <v>1230</v>
      </c>
      <c r="AU49" s="67" t="s">
        <v>1230</v>
      </c>
      <c r="AV49" s="67">
        <v>0</v>
      </c>
      <c r="AW49" s="187">
        <v>0.17296665</v>
      </c>
      <c r="AX49" s="67">
        <v>8.8216000000000017E-2</v>
      </c>
      <c r="AY49" s="66">
        <v>24.824200000000001</v>
      </c>
      <c r="AZ49" s="66">
        <v>0</v>
      </c>
      <c r="BA49" s="66">
        <v>32.663499999999999</v>
      </c>
      <c r="BB49" s="66">
        <v>24.824200000000001</v>
      </c>
      <c r="BC49" s="66">
        <v>7.8392999999999997</v>
      </c>
      <c r="BD49" s="66">
        <v>24.824161889999999</v>
      </c>
      <c r="BE49" s="66">
        <v>0</v>
      </c>
      <c r="BF49" s="66">
        <v>32.663457890000004</v>
      </c>
      <c r="BG49" s="66">
        <v>24.824161889999999</v>
      </c>
      <c r="BH49" s="66">
        <v>0</v>
      </c>
      <c r="BI49" s="66">
        <v>7.839296</v>
      </c>
      <c r="BJ49" s="67">
        <v>99.999846480450515</v>
      </c>
      <c r="BK49" s="67">
        <v>99.999948975036048</v>
      </c>
      <c r="BL49" s="67">
        <v>24.000202386410592</v>
      </c>
      <c r="BM49" s="187">
        <v>0</v>
      </c>
      <c r="BN49" s="67">
        <v>0</v>
      </c>
      <c r="BO49" s="66">
        <v>0</v>
      </c>
      <c r="BP49" s="66">
        <v>0</v>
      </c>
      <c r="BQ49" s="66">
        <v>0</v>
      </c>
      <c r="BR49" s="66">
        <v>0</v>
      </c>
      <c r="BS49" s="66">
        <v>0</v>
      </c>
      <c r="BT49" s="66">
        <v>0</v>
      </c>
      <c r="BU49" s="66">
        <v>0</v>
      </c>
      <c r="BV49" s="66">
        <v>0</v>
      </c>
      <c r="BW49" s="66">
        <v>0</v>
      </c>
      <c r="BX49" s="66">
        <v>0</v>
      </c>
      <c r="BY49" s="66">
        <v>0</v>
      </c>
      <c r="BZ49" s="67" t="s">
        <v>1230</v>
      </c>
      <c r="CA49" s="67" t="s">
        <v>1230</v>
      </c>
      <c r="CB49" s="67">
        <v>0</v>
      </c>
      <c r="CC49" s="187">
        <v>0</v>
      </c>
      <c r="CD49" s="67">
        <v>0</v>
      </c>
      <c r="CE49" s="66">
        <v>0</v>
      </c>
      <c r="CF49" s="66">
        <v>0</v>
      </c>
      <c r="CG49" s="66">
        <v>0</v>
      </c>
      <c r="CH49" s="66">
        <v>0</v>
      </c>
      <c r="CI49" s="66">
        <v>0</v>
      </c>
      <c r="CJ49" s="66">
        <v>0</v>
      </c>
      <c r="CK49" s="66">
        <v>0</v>
      </c>
      <c r="CL49" s="66">
        <v>0</v>
      </c>
      <c r="CM49" s="66">
        <v>0</v>
      </c>
      <c r="CN49" s="66">
        <v>0</v>
      </c>
      <c r="CO49" s="66">
        <v>0</v>
      </c>
      <c r="CP49" s="67" t="s">
        <v>1230</v>
      </c>
      <c r="CQ49" s="67" t="s">
        <v>1230</v>
      </c>
      <c r="CR49" s="67">
        <v>0</v>
      </c>
      <c r="CS49" s="187">
        <v>0</v>
      </c>
      <c r="CT49" s="67">
        <v>0</v>
      </c>
      <c r="CU49" s="66">
        <v>0</v>
      </c>
      <c r="CV49" s="66">
        <v>0</v>
      </c>
      <c r="CW49" s="66">
        <v>0</v>
      </c>
      <c r="CX49" s="66">
        <v>0</v>
      </c>
      <c r="CY49" s="66">
        <v>0</v>
      </c>
      <c r="CZ49" s="66">
        <v>0</v>
      </c>
      <c r="DA49" s="66">
        <v>0</v>
      </c>
      <c r="DB49" s="66">
        <v>0</v>
      </c>
      <c r="DC49" s="66">
        <v>0</v>
      </c>
      <c r="DD49" s="66">
        <v>0</v>
      </c>
      <c r="DE49" s="66">
        <v>0</v>
      </c>
      <c r="DF49" s="67" t="s">
        <v>1230</v>
      </c>
      <c r="DG49" s="67" t="s">
        <v>1230</v>
      </c>
      <c r="DH49" s="67">
        <v>0</v>
      </c>
      <c r="DI49" s="187">
        <v>0</v>
      </c>
      <c r="DJ49" s="67">
        <v>0</v>
      </c>
      <c r="DK49" s="66">
        <v>16.799199999999999</v>
      </c>
      <c r="DL49" s="66">
        <v>0</v>
      </c>
      <c r="DM49" s="66">
        <v>22.104299999999999</v>
      </c>
      <c r="DN49" s="66">
        <v>16.799199999999999</v>
      </c>
      <c r="DO49" s="66">
        <v>5.3051000000000004</v>
      </c>
      <c r="DP49" s="66">
        <v>16.74320114</v>
      </c>
      <c r="DQ49" s="66">
        <v>0</v>
      </c>
      <c r="DR49" s="66">
        <v>22.030616999999999</v>
      </c>
      <c r="DS49" s="66">
        <v>16.74320114</v>
      </c>
      <c r="DT49" s="66">
        <v>0</v>
      </c>
      <c r="DU49" s="66">
        <v>5.2874158600000003</v>
      </c>
      <c r="DV49" s="67">
        <v>99.666657578932345</v>
      </c>
      <c r="DW49" s="67">
        <v>99.666657744434588</v>
      </c>
      <c r="DX49" s="67">
        <v>24.00030766274045</v>
      </c>
      <c r="DY49" s="187">
        <v>0</v>
      </c>
      <c r="DZ49" s="67">
        <v>0</v>
      </c>
      <c r="EA49" s="66">
        <v>0</v>
      </c>
      <c r="EB49" s="66">
        <v>0</v>
      </c>
      <c r="EC49" s="66">
        <v>0</v>
      </c>
      <c r="ED49" s="66">
        <v>0</v>
      </c>
      <c r="EE49" s="66">
        <v>0</v>
      </c>
      <c r="EF49" s="66">
        <v>0</v>
      </c>
      <c r="EG49" s="66">
        <v>0</v>
      </c>
      <c r="EH49" s="66">
        <v>0</v>
      </c>
      <c r="EI49" s="66">
        <v>0</v>
      </c>
      <c r="EJ49" s="66">
        <v>0</v>
      </c>
      <c r="EK49" s="66">
        <v>0</v>
      </c>
      <c r="EL49" s="67" t="s">
        <v>1230</v>
      </c>
      <c r="EM49" s="67" t="s">
        <v>1230</v>
      </c>
      <c r="EN49" s="67">
        <v>0</v>
      </c>
      <c r="EO49" s="187">
        <v>0</v>
      </c>
      <c r="EP49" s="67">
        <v>0</v>
      </c>
      <c r="EQ49" s="66">
        <v>10.057499999999999</v>
      </c>
      <c r="ER49" s="66">
        <v>0</v>
      </c>
      <c r="ES49" s="66">
        <v>14.9671</v>
      </c>
      <c r="ET49" s="66">
        <v>10.057499999999999</v>
      </c>
      <c r="EU49" s="66">
        <v>4.9096000000000002</v>
      </c>
      <c r="EV49" s="66">
        <v>10.057499999999999</v>
      </c>
      <c r="EW49" s="66">
        <v>0</v>
      </c>
      <c r="EX49" s="66">
        <v>14.9671</v>
      </c>
      <c r="EY49" s="66">
        <v>10.057499999999999</v>
      </c>
      <c r="EZ49" s="66">
        <v>0</v>
      </c>
      <c r="FA49" s="66">
        <v>4.9096000000000002</v>
      </c>
      <c r="FB49" s="67">
        <v>100</v>
      </c>
      <c r="FC49" s="67">
        <v>100</v>
      </c>
      <c r="FD49" s="67">
        <v>32.802613732787243</v>
      </c>
      <c r="FE49" s="187">
        <v>0</v>
      </c>
      <c r="FF49" s="67">
        <v>0</v>
      </c>
      <c r="FG49" s="66">
        <v>0</v>
      </c>
      <c r="FH49" s="66">
        <v>0</v>
      </c>
      <c r="FI49" s="66">
        <v>0</v>
      </c>
      <c r="FJ49" s="66">
        <v>0</v>
      </c>
      <c r="FK49" s="66">
        <v>0</v>
      </c>
      <c r="FL49" s="66">
        <v>0</v>
      </c>
      <c r="FM49" s="66">
        <v>0</v>
      </c>
      <c r="FN49" s="66">
        <v>0</v>
      </c>
      <c r="FO49" s="66">
        <v>0</v>
      </c>
      <c r="FP49" s="66">
        <v>0</v>
      </c>
      <c r="FQ49" s="66">
        <v>0</v>
      </c>
      <c r="FR49" s="67" t="s">
        <v>1230</v>
      </c>
      <c r="FS49" s="67" t="s">
        <v>1230</v>
      </c>
      <c r="FT49" s="67">
        <v>0</v>
      </c>
      <c r="FU49" s="187">
        <v>0</v>
      </c>
      <c r="FV49" s="67">
        <v>0</v>
      </c>
      <c r="FW49" s="66">
        <v>30.351600000000001</v>
      </c>
      <c r="FX49" s="66">
        <v>0</v>
      </c>
      <c r="FY49" s="66">
        <v>39.936399999999999</v>
      </c>
      <c r="FZ49" s="66">
        <v>30.351600000000001</v>
      </c>
      <c r="GA49" s="66">
        <v>9.5847999999999995</v>
      </c>
      <c r="GB49" s="66">
        <v>30.351600000000001</v>
      </c>
      <c r="GC49" s="66">
        <v>0</v>
      </c>
      <c r="GD49" s="66">
        <v>39.936399999999999</v>
      </c>
      <c r="GE49" s="66">
        <v>30.351600000000001</v>
      </c>
      <c r="GF49" s="66">
        <v>0</v>
      </c>
      <c r="GG49" s="66">
        <v>9.5847999999999995</v>
      </c>
      <c r="GH49" s="67">
        <v>100</v>
      </c>
      <c r="GI49" s="67">
        <v>100</v>
      </c>
      <c r="GJ49" s="67">
        <v>24.000160254805138</v>
      </c>
      <c r="GK49" s="187">
        <v>0</v>
      </c>
      <c r="GL49" s="67">
        <v>0</v>
      </c>
      <c r="GM49" s="66">
        <v>0</v>
      </c>
      <c r="GN49" s="66">
        <v>0</v>
      </c>
      <c r="GO49" s="66">
        <v>0</v>
      </c>
      <c r="GP49" s="66">
        <v>0</v>
      </c>
      <c r="GQ49" s="66">
        <v>0</v>
      </c>
      <c r="GR49" s="66">
        <v>0</v>
      </c>
      <c r="GS49" s="66">
        <v>0</v>
      </c>
      <c r="GT49" s="66">
        <v>0</v>
      </c>
      <c r="GU49" s="66">
        <v>0</v>
      </c>
      <c r="GV49" s="66">
        <v>0</v>
      </c>
      <c r="GW49" s="66">
        <v>0</v>
      </c>
      <c r="GX49" s="67" t="s">
        <v>1230</v>
      </c>
      <c r="GY49" s="67" t="s">
        <v>1230</v>
      </c>
      <c r="GZ49" s="67">
        <v>0</v>
      </c>
      <c r="HA49" s="187">
        <v>0</v>
      </c>
      <c r="HB49" s="67">
        <v>0</v>
      </c>
      <c r="HC49" s="66">
        <v>1.2907999999999999</v>
      </c>
      <c r="HD49" s="66">
        <v>0</v>
      </c>
      <c r="HE49" s="66">
        <v>1.6984999999999999</v>
      </c>
      <c r="HF49" s="66">
        <v>1.2907999999999999</v>
      </c>
      <c r="HG49" s="66">
        <v>0.40770000000000001</v>
      </c>
      <c r="HH49" s="66">
        <v>1.2907999999999999</v>
      </c>
      <c r="HI49" s="66">
        <v>0</v>
      </c>
      <c r="HJ49" s="66">
        <v>1.6984999999999999</v>
      </c>
      <c r="HK49" s="66">
        <v>1.2907999999999999</v>
      </c>
      <c r="HL49" s="66">
        <v>0</v>
      </c>
      <c r="HM49" s="66">
        <v>0.40770000000000001</v>
      </c>
      <c r="HN49" s="67">
        <v>100</v>
      </c>
      <c r="HO49" s="67">
        <v>100</v>
      </c>
      <c r="HP49" s="67">
        <v>24.003532528701797</v>
      </c>
      <c r="HQ49" s="187">
        <v>0</v>
      </c>
      <c r="HR49" s="67">
        <v>0</v>
      </c>
      <c r="HS49" s="66">
        <v>0</v>
      </c>
      <c r="HT49" s="66">
        <v>0</v>
      </c>
      <c r="HU49" s="66">
        <v>0</v>
      </c>
      <c r="HV49" s="66">
        <v>0</v>
      </c>
      <c r="HW49" s="66">
        <v>0</v>
      </c>
      <c r="HX49" s="66">
        <v>0</v>
      </c>
      <c r="HY49" s="66">
        <v>0</v>
      </c>
      <c r="HZ49" s="66">
        <v>0</v>
      </c>
      <c r="IA49" s="66">
        <v>0</v>
      </c>
      <c r="IB49" s="66">
        <v>0</v>
      </c>
      <c r="IC49" s="66">
        <v>0</v>
      </c>
      <c r="ID49" s="67" t="s">
        <v>1230</v>
      </c>
      <c r="IE49" s="67" t="s">
        <v>1230</v>
      </c>
      <c r="IF49" s="67">
        <v>0</v>
      </c>
      <c r="IG49" s="187">
        <v>0</v>
      </c>
      <c r="IH49" s="67">
        <v>0</v>
      </c>
      <c r="II49" s="66">
        <v>0</v>
      </c>
      <c r="IJ49" s="66">
        <v>0</v>
      </c>
      <c r="IK49" s="66">
        <v>0</v>
      </c>
      <c r="IL49" s="66">
        <v>0</v>
      </c>
      <c r="IM49" s="66">
        <v>0</v>
      </c>
      <c r="IN49" s="66">
        <v>0</v>
      </c>
      <c r="IO49" s="66">
        <v>0</v>
      </c>
      <c r="IP49" s="66">
        <v>0</v>
      </c>
      <c r="IQ49" s="66">
        <v>0</v>
      </c>
      <c r="IR49" s="66">
        <v>0</v>
      </c>
      <c r="IS49" s="66">
        <v>0</v>
      </c>
      <c r="IT49" s="67" t="s">
        <v>1230</v>
      </c>
      <c r="IU49" s="67" t="s">
        <v>1230</v>
      </c>
      <c r="IV49" s="67">
        <v>0</v>
      </c>
      <c r="IW49" s="187">
        <v>0</v>
      </c>
      <c r="IX49" s="67">
        <v>0</v>
      </c>
    </row>
    <row r="50" spans="1:258" ht="15.6" x14ac:dyDescent="0.3">
      <c r="A50" s="171">
        <v>38</v>
      </c>
      <c r="B50" s="211" t="s">
        <v>103</v>
      </c>
      <c r="C50" s="66">
        <v>40.225899999999996</v>
      </c>
      <c r="D50" s="66">
        <v>0</v>
      </c>
      <c r="E50" s="66">
        <v>97.437758699999989</v>
      </c>
      <c r="F50" s="66">
        <v>40.225899999999996</v>
      </c>
      <c r="G50" s="66">
        <v>57.211858700000001</v>
      </c>
      <c r="H50" s="66">
        <v>37.688687120000004</v>
      </c>
      <c r="I50" s="66">
        <v>8.8266801099999999</v>
      </c>
      <c r="J50" s="66">
        <v>92.464132540000008</v>
      </c>
      <c r="K50" s="66">
        <v>37.666759450000001</v>
      </c>
      <c r="L50" s="66">
        <v>0</v>
      </c>
      <c r="M50" s="66">
        <v>54.797373089999994</v>
      </c>
      <c r="N50" s="67">
        <v>93.638077581856479</v>
      </c>
      <c r="O50" s="67">
        <v>95.779746253900328</v>
      </c>
      <c r="P50" s="67">
        <v>59.263383092135356</v>
      </c>
      <c r="Q50" s="66">
        <v>8.8266801099999999</v>
      </c>
      <c r="R50" s="67">
        <v>2.1927670000001953E-2</v>
      </c>
      <c r="S50" s="66">
        <v>5.4413</v>
      </c>
      <c r="T50" s="66">
        <v>0</v>
      </c>
      <c r="U50" s="66">
        <v>10.470818699999999</v>
      </c>
      <c r="V50" s="66">
        <v>5.4413</v>
      </c>
      <c r="W50" s="66">
        <v>5.0295187000000006</v>
      </c>
      <c r="X50" s="66">
        <v>5.4413</v>
      </c>
      <c r="Y50" s="66">
        <v>0</v>
      </c>
      <c r="Z50" s="66">
        <v>10.470818699999999</v>
      </c>
      <c r="AA50" s="66">
        <v>5.4413</v>
      </c>
      <c r="AB50" s="66">
        <v>0</v>
      </c>
      <c r="AC50" s="66">
        <v>5.0295187000000006</v>
      </c>
      <c r="AD50" s="67">
        <v>100</v>
      </c>
      <c r="AE50" s="67">
        <v>100</v>
      </c>
      <c r="AF50" s="67">
        <v>48.033671903802528</v>
      </c>
      <c r="AG50" s="187">
        <v>0</v>
      </c>
      <c r="AH50" s="67">
        <v>0</v>
      </c>
      <c r="AI50" s="66">
        <v>0</v>
      </c>
      <c r="AJ50" s="66">
        <v>0</v>
      </c>
      <c r="AK50" s="66">
        <v>0</v>
      </c>
      <c r="AL50" s="66">
        <v>0</v>
      </c>
      <c r="AM50" s="66">
        <v>0</v>
      </c>
      <c r="AN50" s="66">
        <v>0</v>
      </c>
      <c r="AO50" s="66">
        <v>0</v>
      </c>
      <c r="AP50" s="66">
        <v>0</v>
      </c>
      <c r="AQ50" s="66">
        <v>0</v>
      </c>
      <c r="AR50" s="66">
        <v>0</v>
      </c>
      <c r="AS50" s="66">
        <v>0</v>
      </c>
      <c r="AT50" s="67" t="s">
        <v>1230</v>
      </c>
      <c r="AU50" s="67" t="s">
        <v>1230</v>
      </c>
      <c r="AV50" s="67">
        <v>0</v>
      </c>
      <c r="AW50" s="187">
        <v>0</v>
      </c>
      <c r="AX50" s="67">
        <v>0</v>
      </c>
      <c r="AY50" s="66">
        <v>30.0672</v>
      </c>
      <c r="AZ50" s="66">
        <v>0</v>
      </c>
      <c r="BA50" s="66">
        <v>78.827939999999998</v>
      </c>
      <c r="BB50" s="66">
        <v>30.0672</v>
      </c>
      <c r="BC50" s="66">
        <v>48.760739999999998</v>
      </c>
      <c r="BD50" s="66">
        <v>29.675502089999998</v>
      </c>
      <c r="BE50" s="66">
        <v>0.63028233</v>
      </c>
      <c r="BF50" s="66">
        <v>77.837009540000011</v>
      </c>
      <c r="BG50" s="66">
        <v>29.675502089999998</v>
      </c>
      <c r="BH50" s="66">
        <v>0</v>
      </c>
      <c r="BI50" s="66">
        <v>48.161507450000002</v>
      </c>
      <c r="BJ50" s="67">
        <v>98.697258441091947</v>
      </c>
      <c r="BK50" s="67">
        <v>98.771075767102801</v>
      </c>
      <c r="BL50" s="67">
        <v>61.874817306862319</v>
      </c>
      <c r="BM50" s="187">
        <v>0.63028233</v>
      </c>
      <c r="BN50" s="67">
        <v>0</v>
      </c>
      <c r="BO50" s="66">
        <v>0</v>
      </c>
      <c r="BP50" s="66">
        <v>0</v>
      </c>
      <c r="BQ50" s="66">
        <v>0</v>
      </c>
      <c r="BR50" s="66">
        <v>0</v>
      </c>
      <c r="BS50" s="66">
        <v>0</v>
      </c>
      <c r="BT50" s="66">
        <v>0</v>
      </c>
      <c r="BU50" s="66">
        <v>8.1963977799999999</v>
      </c>
      <c r="BV50" s="66">
        <v>0</v>
      </c>
      <c r="BW50" s="66">
        <v>0</v>
      </c>
      <c r="BX50" s="66">
        <v>0</v>
      </c>
      <c r="BY50" s="66">
        <v>0</v>
      </c>
      <c r="BZ50" s="67" t="s">
        <v>1230</v>
      </c>
      <c r="CA50" s="67" t="s">
        <v>1230</v>
      </c>
      <c r="CB50" s="67">
        <v>0</v>
      </c>
      <c r="CC50" s="187">
        <v>8.1963977799999999</v>
      </c>
      <c r="CD50" s="67">
        <v>0</v>
      </c>
      <c r="CE50" s="66">
        <v>0</v>
      </c>
      <c r="CF50" s="66">
        <v>0</v>
      </c>
      <c r="CG50" s="66">
        <v>0</v>
      </c>
      <c r="CH50" s="66">
        <v>0</v>
      </c>
      <c r="CI50" s="66">
        <v>0</v>
      </c>
      <c r="CJ50" s="66">
        <v>0</v>
      </c>
      <c r="CK50" s="66">
        <v>0</v>
      </c>
      <c r="CL50" s="66">
        <v>0</v>
      </c>
      <c r="CM50" s="66">
        <v>0</v>
      </c>
      <c r="CN50" s="66">
        <v>0</v>
      </c>
      <c r="CO50" s="66">
        <v>0</v>
      </c>
      <c r="CP50" s="67" t="s">
        <v>1230</v>
      </c>
      <c r="CQ50" s="67" t="s">
        <v>1230</v>
      </c>
      <c r="CR50" s="67">
        <v>0</v>
      </c>
      <c r="CS50" s="187">
        <v>0</v>
      </c>
      <c r="CT50" s="67">
        <v>0</v>
      </c>
      <c r="CU50" s="66">
        <v>0</v>
      </c>
      <c r="CV50" s="66">
        <v>0</v>
      </c>
      <c r="CW50" s="66">
        <v>0</v>
      </c>
      <c r="CX50" s="66">
        <v>0</v>
      </c>
      <c r="CY50" s="66">
        <v>0</v>
      </c>
      <c r="CZ50" s="66">
        <v>0</v>
      </c>
      <c r="DA50" s="66">
        <v>0</v>
      </c>
      <c r="DB50" s="66">
        <v>0</v>
      </c>
      <c r="DC50" s="66">
        <v>0</v>
      </c>
      <c r="DD50" s="66">
        <v>0</v>
      </c>
      <c r="DE50" s="66">
        <v>0</v>
      </c>
      <c r="DF50" s="67" t="s">
        <v>1230</v>
      </c>
      <c r="DG50" s="67" t="s">
        <v>1230</v>
      </c>
      <c r="DH50" s="67">
        <v>0</v>
      </c>
      <c r="DI50" s="187">
        <v>0</v>
      </c>
      <c r="DJ50" s="67">
        <v>0</v>
      </c>
      <c r="DK50" s="66">
        <v>3.7360000000000002</v>
      </c>
      <c r="DL50" s="66">
        <v>0</v>
      </c>
      <c r="DM50" s="66">
        <v>5.8360000000000003</v>
      </c>
      <c r="DN50" s="66">
        <v>3.7360000000000002</v>
      </c>
      <c r="DO50" s="66">
        <v>2.1</v>
      </c>
      <c r="DP50" s="66">
        <v>2.3294234</v>
      </c>
      <c r="DQ50" s="66">
        <v>0</v>
      </c>
      <c r="DR50" s="66">
        <v>3.6387887999999999</v>
      </c>
      <c r="DS50" s="66">
        <v>2.3294234</v>
      </c>
      <c r="DT50" s="66">
        <v>0</v>
      </c>
      <c r="DU50" s="66">
        <v>1.3093653999999999</v>
      </c>
      <c r="DV50" s="67">
        <v>62.350733404710923</v>
      </c>
      <c r="DW50" s="67">
        <v>62.350733333333331</v>
      </c>
      <c r="DX50" s="67">
        <v>35.983550350600176</v>
      </c>
      <c r="DY50" s="187">
        <v>0</v>
      </c>
      <c r="DZ50" s="67">
        <v>0</v>
      </c>
      <c r="EA50" s="66">
        <v>0</v>
      </c>
      <c r="EB50" s="66">
        <v>0</v>
      </c>
      <c r="EC50" s="66">
        <v>0</v>
      </c>
      <c r="ED50" s="66">
        <v>0</v>
      </c>
      <c r="EE50" s="66">
        <v>0</v>
      </c>
      <c r="EF50" s="66">
        <v>0</v>
      </c>
      <c r="EG50" s="66">
        <v>0</v>
      </c>
      <c r="EH50" s="66">
        <v>0</v>
      </c>
      <c r="EI50" s="66">
        <v>0</v>
      </c>
      <c r="EJ50" s="66">
        <v>0</v>
      </c>
      <c r="EK50" s="66">
        <v>0</v>
      </c>
      <c r="EL50" s="67" t="s">
        <v>1230</v>
      </c>
      <c r="EM50" s="67" t="s">
        <v>1230</v>
      </c>
      <c r="EN50" s="67">
        <v>0</v>
      </c>
      <c r="EO50" s="187">
        <v>0</v>
      </c>
      <c r="EP50" s="67">
        <v>0</v>
      </c>
      <c r="EQ50" s="66">
        <v>0</v>
      </c>
      <c r="ER50" s="66">
        <v>0</v>
      </c>
      <c r="ES50" s="66">
        <v>0</v>
      </c>
      <c r="ET50" s="66">
        <v>0</v>
      </c>
      <c r="EU50" s="66">
        <v>0</v>
      </c>
      <c r="EV50" s="66">
        <v>0</v>
      </c>
      <c r="EW50" s="66">
        <v>0</v>
      </c>
      <c r="EX50" s="66">
        <v>0</v>
      </c>
      <c r="EY50" s="66">
        <v>0</v>
      </c>
      <c r="EZ50" s="66">
        <v>0</v>
      </c>
      <c r="FA50" s="66">
        <v>0</v>
      </c>
      <c r="FB50" s="67" t="s">
        <v>1230</v>
      </c>
      <c r="FC50" s="67" t="s">
        <v>1230</v>
      </c>
      <c r="FD50" s="67">
        <v>0</v>
      </c>
      <c r="FE50" s="187">
        <v>0</v>
      </c>
      <c r="FF50" s="67">
        <v>0</v>
      </c>
      <c r="FG50" s="66">
        <v>0</v>
      </c>
      <c r="FH50" s="66">
        <v>0</v>
      </c>
      <c r="FI50" s="66">
        <v>0</v>
      </c>
      <c r="FJ50" s="66">
        <v>0</v>
      </c>
      <c r="FK50" s="66">
        <v>0</v>
      </c>
      <c r="FL50" s="66">
        <v>0</v>
      </c>
      <c r="FM50" s="66">
        <v>0</v>
      </c>
      <c r="FN50" s="66">
        <v>0</v>
      </c>
      <c r="FO50" s="66">
        <v>0</v>
      </c>
      <c r="FP50" s="66">
        <v>0</v>
      </c>
      <c r="FQ50" s="66">
        <v>0</v>
      </c>
      <c r="FR50" s="67" t="s">
        <v>1230</v>
      </c>
      <c r="FS50" s="67" t="s">
        <v>1230</v>
      </c>
      <c r="FT50" s="67">
        <v>0</v>
      </c>
      <c r="FU50" s="187">
        <v>0</v>
      </c>
      <c r="FV50" s="67">
        <v>0</v>
      </c>
      <c r="FW50" s="66">
        <v>0</v>
      </c>
      <c r="FX50" s="66">
        <v>0</v>
      </c>
      <c r="FY50" s="66">
        <v>0</v>
      </c>
      <c r="FZ50" s="66">
        <v>0</v>
      </c>
      <c r="GA50" s="66">
        <v>0</v>
      </c>
      <c r="GB50" s="66">
        <v>0</v>
      </c>
      <c r="GC50" s="66">
        <v>0</v>
      </c>
      <c r="GD50" s="66">
        <v>0</v>
      </c>
      <c r="GE50" s="66">
        <v>0</v>
      </c>
      <c r="GF50" s="66">
        <v>0</v>
      </c>
      <c r="GG50" s="66">
        <v>0</v>
      </c>
      <c r="GH50" s="67" t="s">
        <v>1230</v>
      </c>
      <c r="GI50" s="67" t="s">
        <v>1230</v>
      </c>
      <c r="GJ50" s="67">
        <v>0</v>
      </c>
      <c r="GK50" s="187">
        <v>0</v>
      </c>
      <c r="GL50" s="67">
        <v>0</v>
      </c>
      <c r="GM50" s="66">
        <v>0</v>
      </c>
      <c r="GN50" s="66">
        <v>0</v>
      </c>
      <c r="GO50" s="66">
        <v>0</v>
      </c>
      <c r="GP50" s="66">
        <v>0</v>
      </c>
      <c r="GQ50" s="66">
        <v>0</v>
      </c>
      <c r="GR50" s="66">
        <v>0</v>
      </c>
      <c r="GS50" s="66">
        <v>0</v>
      </c>
      <c r="GT50" s="66">
        <v>0</v>
      </c>
      <c r="GU50" s="66">
        <v>0</v>
      </c>
      <c r="GV50" s="66">
        <v>0</v>
      </c>
      <c r="GW50" s="66">
        <v>0</v>
      </c>
      <c r="GX50" s="67" t="s">
        <v>1230</v>
      </c>
      <c r="GY50" s="67" t="s">
        <v>1230</v>
      </c>
      <c r="GZ50" s="67">
        <v>0</v>
      </c>
      <c r="HA50" s="187">
        <v>0</v>
      </c>
      <c r="HB50" s="67">
        <v>0</v>
      </c>
      <c r="HC50" s="66">
        <v>0.98140000000000005</v>
      </c>
      <c r="HD50" s="66">
        <v>0</v>
      </c>
      <c r="HE50" s="66">
        <v>2.3029999999999999</v>
      </c>
      <c r="HF50" s="66">
        <v>0.98140000000000005</v>
      </c>
      <c r="HG50" s="66">
        <v>1.3216000000000001</v>
      </c>
      <c r="HH50" s="66">
        <v>0.24246163000000001</v>
      </c>
      <c r="HI50" s="66">
        <v>0</v>
      </c>
      <c r="HJ50" s="66">
        <v>0.51751550000000002</v>
      </c>
      <c r="HK50" s="66">
        <v>0.22053396</v>
      </c>
      <c r="HL50" s="66">
        <v>0</v>
      </c>
      <c r="HM50" s="66">
        <v>0.29698153999999999</v>
      </c>
      <c r="HN50" s="67">
        <v>22.471363358467496</v>
      </c>
      <c r="HO50" s="67">
        <v>22.471363498789344</v>
      </c>
      <c r="HP50" s="67">
        <v>57.386018389787353</v>
      </c>
      <c r="HQ50" s="187">
        <v>0</v>
      </c>
      <c r="HR50" s="67">
        <v>2.192767000000001E-2</v>
      </c>
      <c r="HS50" s="66">
        <v>0</v>
      </c>
      <c r="HT50" s="66">
        <v>0</v>
      </c>
      <c r="HU50" s="66">
        <v>0</v>
      </c>
      <c r="HV50" s="66">
        <v>0</v>
      </c>
      <c r="HW50" s="66">
        <v>0</v>
      </c>
      <c r="HX50" s="66">
        <v>0</v>
      </c>
      <c r="HY50" s="66">
        <v>0</v>
      </c>
      <c r="HZ50" s="66">
        <v>0</v>
      </c>
      <c r="IA50" s="66">
        <v>0</v>
      </c>
      <c r="IB50" s="66">
        <v>0</v>
      </c>
      <c r="IC50" s="66">
        <v>0</v>
      </c>
      <c r="ID50" s="67" t="s">
        <v>1230</v>
      </c>
      <c r="IE50" s="67" t="s">
        <v>1230</v>
      </c>
      <c r="IF50" s="67">
        <v>0</v>
      </c>
      <c r="IG50" s="187">
        <v>0</v>
      </c>
      <c r="IH50" s="67">
        <v>0</v>
      </c>
      <c r="II50" s="66">
        <v>0</v>
      </c>
      <c r="IJ50" s="66">
        <v>0</v>
      </c>
      <c r="IK50" s="66">
        <v>0</v>
      </c>
      <c r="IL50" s="66">
        <v>0</v>
      </c>
      <c r="IM50" s="66">
        <v>0</v>
      </c>
      <c r="IN50" s="66">
        <v>0</v>
      </c>
      <c r="IO50" s="66">
        <v>0</v>
      </c>
      <c r="IP50" s="66">
        <v>0</v>
      </c>
      <c r="IQ50" s="66">
        <v>0</v>
      </c>
      <c r="IR50" s="66">
        <v>0</v>
      </c>
      <c r="IS50" s="66">
        <v>0</v>
      </c>
      <c r="IT50" s="67" t="s">
        <v>1230</v>
      </c>
      <c r="IU50" s="67" t="s">
        <v>1230</v>
      </c>
      <c r="IV50" s="67">
        <v>0</v>
      </c>
      <c r="IW50" s="187">
        <v>0</v>
      </c>
      <c r="IX50" s="67">
        <v>0</v>
      </c>
    </row>
    <row r="51" spans="1:258" ht="15.6" x14ac:dyDescent="0.3">
      <c r="A51" s="171">
        <v>39</v>
      </c>
      <c r="B51" s="211" t="s">
        <v>105</v>
      </c>
      <c r="C51" s="66">
        <v>142.04910000000001</v>
      </c>
      <c r="D51" s="66">
        <v>0</v>
      </c>
      <c r="E51" s="66">
        <v>192.26109399999996</v>
      </c>
      <c r="F51" s="66">
        <v>142.04910000000001</v>
      </c>
      <c r="G51" s="66">
        <v>50.211993999999997</v>
      </c>
      <c r="H51" s="66">
        <v>142.04910000000001</v>
      </c>
      <c r="I51" s="66">
        <v>19.987382950000001</v>
      </c>
      <c r="J51" s="66">
        <v>192.26109399999996</v>
      </c>
      <c r="K51" s="66">
        <v>142.04910000000001</v>
      </c>
      <c r="L51" s="66">
        <v>0</v>
      </c>
      <c r="M51" s="66">
        <v>50.211993999999997</v>
      </c>
      <c r="N51" s="67">
        <v>100</v>
      </c>
      <c r="O51" s="67">
        <v>100</v>
      </c>
      <c r="P51" s="67">
        <v>26.116565216257431</v>
      </c>
      <c r="Q51" s="66">
        <v>19.987382950000001</v>
      </c>
      <c r="R51" s="67">
        <v>1.0658141036401503E-14</v>
      </c>
      <c r="S51" s="66">
        <v>104.3674</v>
      </c>
      <c r="T51" s="66">
        <v>0</v>
      </c>
      <c r="U51" s="66">
        <v>148.44499999999999</v>
      </c>
      <c r="V51" s="66">
        <v>104.3674</v>
      </c>
      <c r="W51" s="66">
        <v>44.077599999999997</v>
      </c>
      <c r="X51" s="66">
        <v>104.3674</v>
      </c>
      <c r="Y51" s="66">
        <v>8.44554531</v>
      </c>
      <c r="Z51" s="66">
        <v>148.44499999999999</v>
      </c>
      <c r="AA51" s="66">
        <v>104.3674</v>
      </c>
      <c r="AB51" s="66">
        <v>0</v>
      </c>
      <c r="AC51" s="66">
        <v>44.077599999999997</v>
      </c>
      <c r="AD51" s="67">
        <v>100</v>
      </c>
      <c r="AE51" s="67">
        <v>100</v>
      </c>
      <c r="AF51" s="67">
        <v>29.692882885917342</v>
      </c>
      <c r="AG51" s="187">
        <v>8.44554531</v>
      </c>
      <c r="AH51" s="67">
        <v>0</v>
      </c>
      <c r="AI51" s="66">
        <v>0</v>
      </c>
      <c r="AJ51" s="66">
        <v>0</v>
      </c>
      <c r="AK51" s="66">
        <v>0</v>
      </c>
      <c r="AL51" s="66">
        <v>0</v>
      </c>
      <c r="AM51" s="66">
        <v>0</v>
      </c>
      <c r="AN51" s="66">
        <v>0</v>
      </c>
      <c r="AO51" s="66">
        <v>1.7918376399999998</v>
      </c>
      <c r="AP51" s="66">
        <v>0</v>
      </c>
      <c r="AQ51" s="66">
        <v>0</v>
      </c>
      <c r="AR51" s="66">
        <v>0</v>
      </c>
      <c r="AS51" s="66">
        <v>0</v>
      </c>
      <c r="AT51" s="67" t="s">
        <v>1230</v>
      </c>
      <c r="AU51" s="67" t="s">
        <v>1230</v>
      </c>
      <c r="AV51" s="67">
        <v>0</v>
      </c>
      <c r="AW51" s="187">
        <v>1.7918376399999998</v>
      </c>
      <c r="AX51" s="67">
        <v>0</v>
      </c>
      <c r="AY51" s="66">
        <v>26.898800000000001</v>
      </c>
      <c r="AZ51" s="66">
        <v>0</v>
      </c>
      <c r="BA51" s="66">
        <v>31.277674000000001</v>
      </c>
      <c r="BB51" s="66">
        <v>26.898800000000001</v>
      </c>
      <c r="BC51" s="66">
        <v>4.3788739999999997</v>
      </c>
      <c r="BD51" s="66">
        <v>26.898800000000001</v>
      </c>
      <c r="BE51" s="66">
        <v>0</v>
      </c>
      <c r="BF51" s="66">
        <v>31.277674000000001</v>
      </c>
      <c r="BG51" s="66">
        <v>26.898800000000001</v>
      </c>
      <c r="BH51" s="66">
        <v>0</v>
      </c>
      <c r="BI51" s="66">
        <v>4.3788739999999997</v>
      </c>
      <c r="BJ51" s="67">
        <v>100</v>
      </c>
      <c r="BK51" s="67">
        <v>100</v>
      </c>
      <c r="BL51" s="67">
        <v>13.999998849019271</v>
      </c>
      <c r="BM51" s="187">
        <v>0</v>
      </c>
      <c r="BN51" s="67">
        <v>0</v>
      </c>
      <c r="BO51" s="66">
        <v>0</v>
      </c>
      <c r="BP51" s="66">
        <v>0</v>
      </c>
      <c r="BQ51" s="66">
        <v>0</v>
      </c>
      <c r="BR51" s="66">
        <v>0</v>
      </c>
      <c r="BS51" s="66">
        <v>0</v>
      </c>
      <c r="BT51" s="66">
        <v>0</v>
      </c>
      <c r="BU51" s="66">
        <v>0</v>
      </c>
      <c r="BV51" s="66">
        <v>0</v>
      </c>
      <c r="BW51" s="66">
        <v>0</v>
      </c>
      <c r="BX51" s="66">
        <v>0</v>
      </c>
      <c r="BY51" s="66">
        <v>0</v>
      </c>
      <c r="BZ51" s="67" t="s">
        <v>1230</v>
      </c>
      <c r="CA51" s="67" t="s">
        <v>1230</v>
      </c>
      <c r="CB51" s="67">
        <v>0</v>
      </c>
      <c r="CC51" s="187">
        <v>0</v>
      </c>
      <c r="CD51" s="67">
        <v>0</v>
      </c>
      <c r="CE51" s="66">
        <v>0</v>
      </c>
      <c r="CF51" s="66">
        <v>0</v>
      </c>
      <c r="CG51" s="66">
        <v>0</v>
      </c>
      <c r="CH51" s="66">
        <v>0</v>
      </c>
      <c r="CI51" s="66">
        <v>0</v>
      </c>
      <c r="CJ51" s="66">
        <v>0</v>
      </c>
      <c r="CK51" s="66">
        <v>0</v>
      </c>
      <c r="CL51" s="66">
        <v>0</v>
      </c>
      <c r="CM51" s="66">
        <v>0</v>
      </c>
      <c r="CN51" s="66">
        <v>0</v>
      </c>
      <c r="CO51" s="66">
        <v>0</v>
      </c>
      <c r="CP51" s="67" t="s">
        <v>1230</v>
      </c>
      <c r="CQ51" s="67" t="s">
        <v>1230</v>
      </c>
      <c r="CR51" s="67">
        <v>0</v>
      </c>
      <c r="CS51" s="187">
        <v>0</v>
      </c>
      <c r="CT51" s="67">
        <v>0</v>
      </c>
      <c r="CU51" s="66">
        <v>0</v>
      </c>
      <c r="CV51" s="66">
        <v>0</v>
      </c>
      <c r="CW51" s="66">
        <v>0</v>
      </c>
      <c r="CX51" s="66">
        <v>0</v>
      </c>
      <c r="CY51" s="66">
        <v>0</v>
      </c>
      <c r="CZ51" s="66">
        <v>0</v>
      </c>
      <c r="DA51" s="66">
        <v>9.75</v>
      </c>
      <c r="DB51" s="66">
        <v>0</v>
      </c>
      <c r="DC51" s="66">
        <v>0</v>
      </c>
      <c r="DD51" s="66">
        <v>0</v>
      </c>
      <c r="DE51" s="66">
        <v>0</v>
      </c>
      <c r="DF51" s="67" t="s">
        <v>1230</v>
      </c>
      <c r="DG51" s="67" t="s">
        <v>1230</v>
      </c>
      <c r="DH51" s="67">
        <v>0</v>
      </c>
      <c r="DI51" s="187">
        <v>9.75</v>
      </c>
      <c r="DJ51" s="67">
        <v>0</v>
      </c>
      <c r="DK51" s="66">
        <v>3.9161999999999999</v>
      </c>
      <c r="DL51" s="66">
        <v>0</v>
      </c>
      <c r="DM51" s="66">
        <v>4.5537210000000004</v>
      </c>
      <c r="DN51" s="66">
        <v>3.9161999999999999</v>
      </c>
      <c r="DO51" s="66">
        <v>0.637521</v>
      </c>
      <c r="DP51" s="66">
        <v>3.9161999999999999</v>
      </c>
      <c r="DQ51" s="66">
        <v>0</v>
      </c>
      <c r="DR51" s="66">
        <v>4.5537210000000004</v>
      </c>
      <c r="DS51" s="66">
        <v>3.9161999999999999</v>
      </c>
      <c r="DT51" s="66">
        <v>0</v>
      </c>
      <c r="DU51" s="66">
        <v>0.637521</v>
      </c>
      <c r="DV51" s="67">
        <v>100</v>
      </c>
      <c r="DW51" s="67">
        <v>100</v>
      </c>
      <c r="DX51" s="67">
        <v>14.000001317603777</v>
      </c>
      <c r="DY51" s="187">
        <v>0</v>
      </c>
      <c r="DZ51" s="67">
        <v>0</v>
      </c>
      <c r="EA51" s="66">
        <v>0</v>
      </c>
      <c r="EB51" s="66">
        <v>0</v>
      </c>
      <c r="EC51" s="66">
        <v>0</v>
      </c>
      <c r="ED51" s="66">
        <v>0</v>
      </c>
      <c r="EE51" s="66">
        <v>0</v>
      </c>
      <c r="EF51" s="66">
        <v>0</v>
      </c>
      <c r="EG51" s="66">
        <v>0</v>
      </c>
      <c r="EH51" s="66">
        <v>0</v>
      </c>
      <c r="EI51" s="66">
        <v>0</v>
      </c>
      <c r="EJ51" s="66">
        <v>0</v>
      </c>
      <c r="EK51" s="66">
        <v>0</v>
      </c>
      <c r="EL51" s="67" t="s">
        <v>1230</v>
      </c>
      <c r="EM51" s="67" t="s">
        <v>1230</v>
      </c>
      <c r="EN51" s="67">
        <v>0</v>
      </c>
      <c r="EO51" s="187">
        <v>0</v>
      </c>
      <c r="EP51" s="67">
        <v>0</v>
      </c>
      <c r="EQ51" s="66">
        <v>3.1105</v>
      </c>
      <c r="ER51" s="66">
        <v>0</v>
      </c>
      <c r="ES51" s="66">
        <v>3.6170239999999998</v>
      </c>
      <c r="ET51" s="66">
        <v>3.1105</v>
      </c>
      <c r="EU51" s="66">
        <v>0.50652399999999997</v>
      </c>
      <c r="EV51" s="66">
        <v>3.1105</v>
      </c>
      <c r="EW51" s="66">
        <v>0</v>
      </c>
      <c r="EX51" s="66">
        <v>3.6170239999999998</v>
      </c>
      <c r="EY51" s="66">
        <v>3.1105</v>
      </c>
      <c r="EZ51" s="66">
        <v>0</v>
      </c>
      <c r="FA51" s="66">
        <v>0.50652399999999997</v>
      </c>
      <c r="FB51" s="67">
        <v>100</v>
      </c>
      <c r="FC51" s="67">
        <v>100</v>
      </c>
      <c r="FD51" s="67">
        <v>14.003888279425295</v>
      </c>
      <c r="FE51" s="187">
        <v>0</v>
      </c>
      <c r="FF51" s="67">
        <v>0</v>
      </c>
      <c r="FG51" s="66">
        <v>0</v>
      </c>
      <c r="FH51" s="66">
        <v>0</v>
      </c>
      <c r="FI51" s="66">
        <v>0</v>
      </c>
      <c r="FJ51" s="66">
        <v>0</v>
      </c>
      <c r="FK51" s="66">
        <v>0</v>
      </c>
      <c r="FL51" s="66">
        <v>0</v>
      </c>
      <c r="FM51" s="66">
        <v>0</v>
      </c>
      <c r="FN51" s="66">
        <v>0</v>
      </c>
      <c r="FO51" s="66">
        <v>0</v>
      </c>
      <c r="FP51" s="66">
        <v>0</v>
      </c>
      <c r="FQ51" s="66">
        <v>0</v>
      </c>
      <c r="FR51" s="67" t="s">
        <v>1230</v>
      </c>
      <c r="FS51" s="67" t="s">
        <v>1230</v>
      </c>
      <c r="FT51" s="67">
        <v>0</v>
      </c>
      <c r="FU51" s="187">
        <v>0</v>
      </c>
      <c r="FV51" s="67">
        <v>0</v>
      </c>
      <c r="FW51" s="66">
        <v>0</v>
      </c>
      <c r="FX51" s="66">
        <v>0</v>
      </c>
      <c r="FY51" s="66">
        <v>0</v>
      </c>
      <c r="FZ51" s="66">
        <v>0</v>
      </c>
      <c r="GA51" s="66">
        <v>0</v>
      </c>
      <c r="GB51" s="66">
        <v>0</v>
      </c>
      <c r="GC51" s="66">
        <v>0</v>
      </c>
      <c r="GD51" s="66">
        <v>0</v>
      </c>
      <c r="GE51" s="66">
        <v>0</v>
      </c>
      <c r="GF51" s="66">
        <v>0</v>
      </c>
      <c r="GG51" s="66">
        <v>0</v>
      </c>
      <c r="GH51" s="67" t="s">
        <v>1230</v>
      </c>
      <c r="GI51" s="67" t="s">
        <v>1230</v>
      </c>
      <c r="GJ51" s="67">
        <v>0</v>
      </c>
      <c r="GK51" s="187">
        <v>0</v>
      </c>
      <c r="GL51" s="67">
        <v>0</v>
      </c>
      <c r="GM51" s="66">
        <v>0</v>
      </c>
      <c r="GN51" s="66">
        <v>0</v>
      </c>
      <c r="GO51" s="66">
        <v>0</v>
      </c>
      <c r="GP51" s="66">
        <v>0</v>
      </c>
      <c r="GQ51" s="66">
        <v>0</v>
      </c>
      <c r="GR51" s="66">
        <v>0</v>
      </c>
      <c r="GS51" s="66">
        <v>0</v>
      </c>
      <c r="GT51" s="66">
        <v>0</v>
      </c>
      <c r="GU51" s="66">
        <v>0</v>
      </c>
      <c r="GV51" s="66">
        <v>0</v>
      </c>
      <c r="GW51" s="66">
        <v>0</v>
      </c>
      <c r="GX51" s="67" t="s">
        <v>1230</v>
      </c>
      <c r="GY51" s="67" t="s">
        <v>1230</v>
      </c>
      <c r="GZ51" s="67">
        <v>0</v>
      </c>
      <c r="HA51" s="187">
        <v>0</v>
      </c>
      <c r="HB51" s="67">
        <v>0</v>
      </c>
      <c r="HC51" s="66">
        <v>3.7562000000000002</v>
      </c>
      <c r="HD51" s="66">
        <v>0</v>
      </c>
      <c r="HE51" s="66">
        <v>4.3676750000000002</v>
      </c>
      <c r="HF51" s="66">
        <v>3.7562000000000002</v>
      </c>
      <c r="HG51" s="66">
        <v>0.61147499999999999</v>
      </c>
      <c r="HH51" s="66">
        <v>3.7562000000000002</v>
      </c>
      <c r="HI51" s="66">
        <v>0</v>
      </c>
      <c r="HJ51" s="66">
        <v>4.3676750000000002</v>
      </c>
      <c r="HK51" s="66">
        <v>3.7562000000000002</v>
      </c>
      <c r="HL51" s="66">
        <v>0</v>
      </c>
      <c r="HM51" s="66">
        <v>0.61147499999999999</v>
      </c>
      <c r="HN51" s="67">
        <v>100</v>
      </c>
      <c r="HO51" s="67">
        <v>100</v>
      </c>
      <c r="HP51" s="67">
        <v>14.000011447738212</v>
      </c>
      <c r="HQ51" s="187">
        <v>0</v>
      </c>
      <c r="HR51" s="67">
        <v>0</v>
      </c>
      <c r="HS51" s="66">
        <v>0</v>
      </c>
      <c r="HT51" s="66">
        <v>0</v>
      </c>
      <c r="HU51" s="66">
        <v>0</v>
      </c>
      <c r="HV51" s="66">
        <v>0</v>
      </c>
      <c r="HW51" s="66">
        <v>0</v>
      </c>
      <c r="HX51" s="66">
        <v>0</v>
      </c>
      <c r="HY51" s="66">
        <v>0</v>
      </c>
      <c r="HZ51" s="66">
        <v>0</v>
      </c>
      <c r="IA51" s="66">
        <v>0</v>
      </c>
      <c r="IB51" s="66">
        <v>0</v>
      </c>
      <c r="IC51" s="66">
        <v>0</v>
      </c>
      <c r="ID51" s="67" t="s">
        <v>1230</v>
      </c>
      <c r="IE51" s="67" t="s">
        <v>1230</v>
      </c>
      <c r="IF51" s="67">
        <v>0</v>
      </c>
      <c r="IG51" s="187">
        <v>0</v>
      </c>
      <c r="IH51" s="67">
        <v>0</v>
      </c>
      <c r="II51" s="66">
        <v>0</v>
      </c>
      <c r="IJ51" s="66">
        <v>0</v>
      </c>
      <c r="IK51" s="66">
        <v>0</v>
      </c>
      <c r="IL51" s="66">
        <v>0</v>
      </c>
      <c r="IM51" s="66">
        <v>0</v>
      </c>
      <c r="IN51" s="66">
        <v>0</v>
      </c>
      <c r="IO51" s="66">
        <v>0</v>
      </c>
      <c r="IP51" s="66">
        <v>0</v>
      </c>
      <c r="IQ51" s="66">
        <v>0</v>
      </c>
      <c r="IR51" s="66">
        <v>0</v>
      </c>
      <c r="IS51" s="66">
        <v>0</v>
      </c>
      <c r="IT51" s="67" t="s">
        <v>1230</v>
      </c>
      <c r="IU51" s="67" t="s">
        <v>1230</v>
      </c>
      <c r="IV51" s="67">
        <v>0</v>
      </c>
      <c r="IW51" s="187">
        <v>0</v>
      </c>
      <c r="IX51" s="67">
        <v>0</v>
      </c>
    </row>
    <row r="52" spans="1:258" s="126" customFormat="1" ht="15.6" x14ac:dyDescent="0.3">
      <c r="A52" s="206">
        <v>40</v>
      </c>
      <c r="B52" s="211" t="s">
        <v>107</v>
      </c>
      <c r="C52" s="66">
        <v>428.63140000000004</v>
      </c>
      <c r="D52" s="66">
        <v>0</v>
      </c>
      <c r="E52" s="66">
        <v>555.71879999999999</v>
      </c>
      <c r="F52" s="66">
        <v>428.63140000000004</v>
      </c>
      <c r="G52" s="66">
        <v>127.08740000000002</v>
      </c>
      <c r="H52" s="66">
        <v>424.46154276999999</v>
      </c>
      <c r="I52" s="66">
        <v>6.8804277599999999</v>
      </c>
      <c r="J52" s="66">
        <v>546.25704401000007</v>
      </c>
      <c r="K52" s="66">
        <v>424.46154086999996</v>
      </c>
      <c r="L52" s="66">
        <v>0</v>
      </c>
      <c r="M52" s="66">
        <v>121.79550314000001</v>
      </c>
      <c r="N52" s="67">
        <v>99.02716900115108</v>
      </c>
      <c r="O52" s="67">
        <v>95.836017685466842</v>
      </c>
      <c r="P52" s="67">
        <v>22.296372097266786</v>
      </c>
      <c r="Q52" s="66">
        <v>6.8804277599999999</v>
      </c>
      <c r="R52" s="67">
        <v>1.9000000044400167E-6</v>
      </c>
      <c r="S52" s="66">
        <v>383.23570000000001</v>
      </c>
      <c r="T52" s="66">
        <v>0</v>
      </c>
      <c r="U52" s="66">
        <v>440.5009</v>
      </c>
      <c r="V52" s="66">
        <v>383.23570000000001</v>
      </c>
      <c r="W52" s="66">
        <v>57.2652</v>
      </c>
      <c r="X52" s="66">
        <v>382.80896247999999</v>
      </c>
      <c r="Y52" s="66">
        <v>5.7678297599999997</v>
      </c>
      <c r="Z52" s="66">
        <v>440.01039700000001</v>
      </c>
      <c r="AA52" s="66">
        <v>382.80896247999999</v>
      </c>
      <c r="AB52" s="66">
        <v>0</v>
      </c>
      <c r="AC52" s="66">
        <v>57.201434520000007</v>
      </c>
      <c r="AD52" s="67">
        <v>99.888648808031192</v>
      </c>
      <c r="AE52" s="67">
        <v>99.888648812891617</v>
      </c>
      <c r="AF52" s="67">
        <v>13.000018842736575</v>
      </c>
      <c r="AG52" s="187">
        <v>5.7678297599999997</v>
      </c>
      <c r="AH52" s="67">
        <v>-1.5987211554602254E-14</v>
      </c>
      <c r="AI52" s="66">
        <v>0</v>
      </c>
      <c r="AJ52" s="66">
        <v>0</v>
      </c>
      <c r="AK52" s="66">
        <v>0</v>
      </c>
      <c r="AL52" s="66">
        <v>0</v>
      </c>
      <c r="AM52" s="66">
        <v>0</v>
      </c>
      <c r="AN52" s="66">
        <v>0</v>
      </c>
      <c r="AO52" s="66">
        <v>1.112598</v>
      </c>
      <c r="AP52" s="66">
        <v>0</v>
      </c>
      <c r="AQ52" s="66">
        <v>0</v>
      </c>
      <c r="AR52" s="66">
        <v>0</v>
      </c>
      <c r="AS52" s="66">
        <v>0</v>
      </c>
      <c r="AT52" s="67" t="s">
        <v>1230</v>
      </c>
      <c r="AU52" s="67" t="s">
        <v>1230</v>
      </c>
      <c r="AV52" s="67">
        <v>0</v>
      </c>
      <c r="AW52" s="187">
        <v>1.112598</v>
      </c>
      <c r="AX52" s="67">
        <v>0</v>
      </c>
      <c r="AY52" s="66">
        <v>32.6616</v>
      </c>
      <c r="AZ52" s="66">
        <v>0</v>
      </c>
      <c r="BA52" s="66">
        <v>95.487399999999994</v>
      </c>
      <c r="BB52" s="66">
        <v>32.6616</v>
      </c>
      <c r="BC52" s="66">
        <v>62.825800000000001</v>
      </c>
      <c r="BD52" s="66">
        <v>29.54432606</v>
      </c>
      <c r="BE52" s="66">
        <v>0</v>
      </c>
      <c r="BF52" s="66">
        <v>87.527691619999999</v>
      </c>
      <c r="BG52" s="66">
        <v>29.544324159999999</v>
      </c>
      <c r="BH52" s="66">
        <v>0</v>
      </c>
      <c r="BI52" s="66">
        <v>57.983367460000004</v>
      </c>
      <c r="BJ52" s="67">
        <v>90.455838538222253</v>
      </c>
      <c r="BK52" s="67">
        <v>92.292286703870076</v>
      </c>
      <c r="BL52" s="67">
        <v>66.245740504312408</v>
      </c>
      <c r="BM52" s="187">
        <v>0</v>
      </c>
      <c r="BN52" s="67">
        <v>1.900000000887303E-6</v>
      </c>
      <c r="BO52" s="66">
        <v>0</v>
      </c>
      <c r="BP52" s="66">
        <v>0</v>
      </c>
      <c r="BQ52" s="66">
        <v>0</v>
      </c>
      <c r="BR52" s="66">
        <v>0</v>
      </c>
      <c r="BS52" s="66">
        <v>0</v>
      </c>
      <c r="BT52" s="66">
        <v>0</v>
      </c>
      <c r="BU52" s="66">
        <v>0</v>
      </c>
      <c r="BV52" s="66">
        <v>0</v>
      </c>
      <c r="BW52" s="66">
        <v>0</v>
      </c>
      <c r="BX52" s="66">
        <v>0</v>
      </c>
      <c r="BY52" s="66">
        <v>0</v>
      </c>
      <c r="BZ52" s="67" t="s">
        <v>1230</v>
      </c>
      <c r="CA52" s="67" t="s">
        <v>1230</v>
      </c>
      <c r="CB52" s="67">
        <v>0</v>
      </c>
      <c r="CC52" s="187">
        <v>0</v>
      </c>
      <c r="CD52" s="67">
        <v>0</v>
      </c>
      <c r="CE52" s="66">
        <v>0</v>
      </c>
      <c r="CF52" s="66">
        <v>0</v>
      </c>
      <c r="CG52" s="66">
        <v>0</v>
      </c>
      <c r="CH52" s="66">
        <v>0</v>
      </c>
      <c r="CI52" s="66">
        <v>0</v>
      </c>
      <c r="CJ52" s="66">
        <v>0</v>
      </c>
      <c r="CK52" s="66">
        <v>0</v>
      </c>
      <c r="CL52" s="66">
        <v>0</v>
      </c>
      <c r="CM52" s="66">
        <v>0</v>
      </c>
      <c r="CN52" s="66">
        <v>0</v>
      </c>
      <c r="CO52" s="66">
        <v>0</v>
      </c>
      <c r="CP52" s="67" t="s">
        <v>1230</v>
      </c>
      <c r="CQ52" s="67" t="s">
        <v>1230</v>
      </c>
      <c r="CR52" s="67">
        <v>0</v>
      </c>
      <c r="CS52" s="187">
        <v>0</v>
      </c>
      <c r="CT52" s="67">
        <v>0</v>
      </c>
      <c r="CU52" s="66">
        <v>0</v>
      </c>
      <c r="CV52" s="66">
        <v>0</v>
      </c>
      <c r="CW52" s="66">
        <v>0</v>
      </c>
      <c r="CX52" s="66">
        <v>0</v>
      </c>
      <c r="CY52" s="66">
        <v>0</v>
      </c>
      <c r="CZ52" s="66">
        <v>0</v>
      </c>
      <c r="DA52" s="66">
        <v>0</v>
      </c>
      <c r="DB52" s="66">
        <v>0</v>
      </c>
      <c r="DC52" s="66">
        <v>0</v>
      </c>
      <c r="DD52" s="66">
        <v>0</v>
      </c>
      <c r="DE52" s="66">
        <v>0</v>
      </c>
      <c r="DF52" s="67" t="s">
        <v>1230</v>
      </c>
      <c r="DG52" s="67" t="s">
        <v>1230</v>
      </c>
      <c r="DH52" s="67">
        <v>0</v>
      </c>
      <c r="DI52" s="187">
        <v>0</v>
      </c>
      <c r="DJ52" s="67">
        <v>0</v>
      </c>
      <c r="DK52" s="66">
        <v>0</v>
      </c>
      <c r="DL52" s="66">
        <v>0</v>
      </c>
      <c r="DM52" s="66">
        <v>0</v>
      </c>
      <c r="DN52" s="66">
        <v>0</v>
      </c>
      <c r="DO52" s="66">
        <v>0</v>
      </c>
      <c r="DP52" s="66">
        <v>0</v>
      </c>
      <c r="DQ52" s="66">
        <v>0</v>
      </c>
      <c r="DR52" s="66">
        <v>0</v>
      </c>
      <c r="DS52" s="66">
        <v>0</v>
      </c>
      <c r="DT52" s="66">
        <v>0</v>
      </c>
      <c r="DU52" s="66">
        <v>0</v>
      </c>
      <c r="DV52" s="67" t="s">
        <v>1230</v>
      </c>
      <c r="DW52" s="67" t="s">
        <v>1230</v>
      </c>
      <c r="DX52" s="67">
        <v>0</v>
      </c>
      <c r="DY52" s="187">
        <v>0</v>
      </c>
      <c r="DZ52" s="67">
        <v>0</v>
      </c>
      <c r="EA52" s="66">
        <v>0</v>
      </c>
      <c r="EB52" s="66">
        <v>0</v>
      </c>
      <c r="EC52" s="66">
        <v>0</v>
      </c>
      <c r="ED52" s="66">
        <v>0</v>
      </c>
      <c r="EE52" s="66">
        <v>0</v>
      </c>
      <c r="EF52" s="66">
        <v>0</v>
      </c>
      <c r="EG52" s="66">
        <v>0</v>
      </c>
      <c r="EH52" s="66">
        <v>0</v>
      </c>
      <c r="EI52" s="66">
        <v>0</v>
      </c>
      <c r="EJ52" s="66">
        <v>0</v>
      </c>
      <c r="EK52" s="66">
        <v>0</v>
      </c>
      <c r="EL52" s="67" t="s">
        <v>1230</v>
      </c>
      <c r="EM52" s="67" t="s">
        <v>1230</v>
      </c>
      <c r="EN52" s="67">
        <v>0</v>
      </c>
      <c r="EO52" s="187">
        <v>0</v>
      </c>
      <c r="EP52" s="67">
        <v>0</v>
      </c>
      <c r="EQ52" s="66">
        <v>0</v>
      </c>
      <c r="ER52" s="66">
        <v>0</v>
      </c>
      <c r="ES52" s="66">
        <v>0</v>
      </c>
      <c r="ET52" s="66">
        <v>0</v>
      </c>
      <c r="EU52" s="66">
        <v>0</v>
      </c>
      <c r="EV52" s="66">
        <v>0</v>
      </c>
      <c r="EW52" s="66">
        <v>0</v>
      </c>
      <c r="EX52" s="66">
        <v>0</v>
      </c>
      <c r="EY52" s="66">
        <v>0</v>
      </c>
      <c r="EZ52" s="66">
        <v>0</v>
      </c>
      <c r="FA52" s="66">
        <v>0</v>
      </c>
      <c r="FB52" s="67" t="s">
        <v>1230</v>
      </c>
      <c r="FC52" s="67" t="s">
        <v>1230</v>
      </c>
      <c r="FD52" s="67">
        <v>0</v>
      </c>
      <c r="FE52" s="187">
        <v>0</v>
      </c>
      <c r="FF52" s="67">
        <v>0</v>
      </c>
      <c r="FG52" s="66">
        <v>0</v>
      </c>
      <c r="FH52" s="66">
        <v>0</v>
      </c>
      <c r="FI52" s="66">
        <v>0</v>
      </c>
      <c r="FJ52" s="66">
        <v>0</v>
      </c>
      <c r="FK52" s="66">
        <v>0</v>
      </c>
      <c r="FL52" s="66">
        <v>0</v>
      </c>
      <c r="FM52" s="66">
        <v>0</v>
      </c>
      <c r="FN52" s="66">
        <v>0</v>
      </c>
      <c r="FO52" s="66">
        <v>0</v>
      </c>
      <c r="FP52" s="66">
        <v>0</v>
      </c>
      <c r="FQ52" s="66">
        <v>0</v>
      </c>
      <c r="FR52" s="67" t="s">
        <v>1230</v>
      </c>
      <c r="FS52" s="67" t="s">
        <v>1230</v>
      </c>
      <c r="FT52" s="67">
        <v>0</v>
      </c>
      <c r="FU52" s="187">
        <v>0</v>
      </c>
      <c r="FV52" s="67">
        <v>0</v>
      </c>
      <c r="FW52" s="66">
        <v>11.8241</v>
      </c>
      <c r="FX52" s="66">
        <v>0</v>
      </c>
      <c r="FY52" s="66">
        <v>17.730499999999999</v>
      </c>
      <c r="FZ52" s="66">
        <v>11.8241</v>
      </c>
      <c r="GA52" s="66">
        <v>5.9063999999999997</v>
      </c>
      <c r="GB52" s="66">
        <v>11.302904230000001</v>
      </c>
      <c r="GC52" s="66">
        <v>0</v>
      </c>
      <c r="GD52" s="66">
        <v>16.948955390000002</v>
      </c>
      <c r="GE52" s="66">
        <v>11.302904230000001</v>
      </c>
      <c r="GF52" s="66">
        <v>0</v>
      </c>
      <c r="GG52" s="66">
        <v>5.6460511599999998</v>
      </c>
      <c r="GH52" s="67">
        <v>95.5920892922083</v>
      </c>
      <c r="GI52" s="67">
        <v>95.592089259108775</v>
      </c>
      <c r="GJ52" s="67">
        <v>33.312089329889957</v>
      </c>
      <c r="GK52" s="187">
        <v>0</v>
      </c>
      <c r="GL52" s="67">
        <v>0</v>
      </c>
      <c r="GM52" s="66">
        <v>0</v>
      </c>
      <c r="GN52" s="66">
        <v>0</v>
      </c>
      <c r="GO52" s="66">
        <v>0</v>
      </c>
      <c r="GP52" s="66">
        <v>0</v>
      </c>
      <c r="GQ52" s="66">
        <v>0</v>
      </c>
      <c r="GR52" s="66">
        <v>0</v>
      </c>
      <c r="GS52" s="66">
        <v>0</v>
      </c>
      <c r="GT52" s="66">
        <v>0</v>
      </c>
      <c r="GU52" s="66">
        <v>0</v>
      </c>
      <c r="GV52" s="66">
        <v>0</v>
      </c>
      <c r="GW52" s="66">
        <v>0</v>
      </c>
      <c r="GX52" s="67" t="s">
        <v>1230</v>
      </c>
      <c r="GY52" s="67" t="s">
        <v>1230</v>
      </c>
      <c r="GZ52" s="67">
        <v>0</v>
      </c>
      <c r="HA52" s="187">
        <v>0</v>
      </c>
      <c r="HB52" s="67">
        <v>0</v>
      </c>
      <c r="HC52" s="66">
        <v>0.91</v>
      </c>
      <c r="HD52" s="66">
        <v>0</v>
      </c>
      <c r="HE52" s="66">
        <v>2</v>
      </c>
      <c r="HF52" s="66">
        <v>0.91</v>
      </c>
      <c r="HG52" s="66">
        <v>1.0900000000000001</v>
      </c>
      <c r="HH52" s="66">
        <v>0.80535000000000001</v>
      </c>
      <c r="HI52" s="66">
        <v>0</v>
      </c>
      <c r="HJ52" s="66">
        <v>1.77</v>
      </c>
      <c r="HK52" s="66">
        <v>0.80535000000000001</v>
      </c>
      <c r="HL52" s="66">
        <v>0</v>
      </c>
      <c r="HM52" s="66">
        <v>0.96465000000000001</v>
      </c>
      <c r="HN52" s="67">
        <v>88.5</v>
      </c>
      <c r="HO52" s="67">
        <v>88.499999999999986</v>
      </c>
      <c r="HP52" s="67">
        <v>54.500000000000007</v>
      </c>
      <c r="HQ52" s="187">
        <v>0</v>
      </c>
      <c r="HR52" s="67">
        <v>0</v>
      </c>
      <c r="HS52" s="66">
        <v>0</v>
      </c>
      <c r="HT52" s="66">
        <v>0</v>
      </c>
      <c r="HU52" s="66">
        <v>0</v>
      </c>
      <c r="HV52" s="66">
        <v>0</v>
      </c>
      <c r="HW52" s="66">
        <v>0</v>
      </c>
      <c r="HX52" s="66">
        <v>0</v>
      </c>
      <c r="HY52" s="66">
        <v>0</v>
      </c>
      <c r="HZ52" s="66">
        <v>0</v>
      </c>
      <c r="IA52" s="66">
        <v>0</v>
      </c>
      <c r="IB52" s="66">
        <v>0</v>
      </c>
      <c r="IC52" s="66">
        <v>0</v>
      </c>
      <c r="ID52" s="67" t="s">
        <v>1230</v>
      </c>
      <c r="IE52" s="67" t="s">
        <v>1230</v>
      </c>
      <c r="IF52" s="67">
        <v>0</v>
      </c>
      <c r="IG52" s="187">
        <v>0</v>
      </c>
      <c r="IH52" s="67">
        <v>0</v>
      </c>
      <c r="II52" s="66">
        <v>0</v>
      </c>
      <c r="IJ52" s="66">
        <v>0</v>
      </c>
      <c r="IK52" s="66">
        <v>0</v>
      </c>
      <c r="IL52" s="66">
        <v>0</v>
      </c>
      <c r="IM52" s="66">
        <v>0</v>
      </c>
      <c r="IN52" s="66">
        <v>0</v>
      </c>
      <c r="IO52" s="66">
        <v>0</v>
      </c>
      <c r="IP52" s="66">
        <v>0</v>
      </c>
      <c r="IQ52" s="66">
        <v>0</v>
      </c>
      <c r="IR52" s="66">
        <v>0</v>
      </c>
      <c r="IS52" s="66">
        <v>0</v>
      </c>
      <c r="IT52" s="67" t="s">
        <v>1230</v>
      </c>
      <c r="IU52" s="67" t="s">
        <v>1230</v>
      </c>
      <c r="IV52" s="67">
        <v>0</v>
      </c>
      <c r="IW52" s="187">
        <v>0</v>
      </c>
      <c r="IX52" s="67">
        <v>0</v>
      </c>
    </row>
    <row r="53" spans="1:258" ht="15.6" x14ac:dyDescent="0.3">
      <c r="A53" s="169">
        <v>41</v>
      </c>
      <c r="B53" s="205" t="s">
        <v>319</v>
      </c>
      <c r="C53" s="66">
        <v>3.1187</v>
      </c>
      <c r="D53" s="66">
        <v>0</v>
      </c>
      <c r="E53" s="66">
        <v>3.2828421099999998</v>
      </c>
      <c r="F53" s="66">
        <v>3.1187</v>
      </c>
      <c r="G53" s="66">
        <v>0.16414210999999998</v>
      </c>
      <c r="H53" s="66">
        <v>3.1187</v>
      </c>
      <c r="I53" s="66">
        <v>0</v>
      </c>
      <c r="J53" s="66">
        <v>3.2828421099999998</v>
      </c>
      <c r="K53" s="66">
        <v>3.1187</v>
      </c>
      <c r="L53" s="66">
        <v>0</v>
      </c>
      <c r="M53" s="66">
        <v>0.16414210999999998</v>
      </c>
      <c r="N53" s="67">
        <v>100</v>
      </c>
      <c r="O53" s="67">
        <v>100</v>
      </c>
      <c r="P53" s="67">
        <v>5.0000001370763458</v>
      </c>
      <c r="Q53" s="66">
        <v>0</v>
      </c>
      <c r="R53" s="67">
        <v>0</v>
      </c>
      <c r="S53" s="66">
        <v>3.1187</v>
      </c>
      <c r="T53" s="66">
        <v>0</v>
      </c>
      <c r="U53" s="66">
        <v>3.2828421099999998</v>
      </c>
      <c r="V53" s="66">
        <v>3.1187</v>
      </c>
      <c r="W53" s="66">
        <v>0.16414210999999998</v>
      </c>
      <c r="X53" s="66">
        <v>3.1187</v>
      </c>
      <c r="Y53" s="66">
        <v>0</v>
      </c>
      <c r="Z53" s="66">
        <v>3.2828421099999998</v>
      </c>
      <c r="AA53" s="66">
        <v>3.1187</v>
      </c>
      <c r="AB53" s="66">
        <v>0</v>
      </c>
      <c r="AC53" s="66">
        <v>0.16414210999999998</v>
      </c>
      <c r="AD53" s="67">
        <v>100</v>
      </c>
      <c r="AE53" s="67">
        <v>100</v>
      </c>
      <c r="AF53" s="67">
        <v>5.0000001370763458</v>
      </c>
      <c r="AG53" s="187">
        <v>0</v>
      </c>
      <c r="AH53" s="67">
        <v>0</v>
      </c>
      <c r="AI53" s="66">
        <v>0</v>
      </c>
      <c r="AJ53" s="66">
        <v>0</v>
      </c>
      <c r="AK53" s="66">
        <v>0</v>
      </c>
      <c r="AL53" s="66">
        <v>0</v>
      </c>
      <c r="AM53" s="66">
        <v>0</v>
      </c>
      <c r="AN53" s="66">
        <v>0</v>
      </c>
      <c r="AO53" s="66">
        <v>0</v>
      </c>
      <c r="AP53" s="66">
        <v>0</v>
      </c>
      <c r="AQ53" s="66">
        <v>0</v>
      </c>
      <c r="AR53" s="66">
        <v>0</v>
      </c>
      <c r="AS53" s="66">
        <v>0</v>
      </c>
      <c r="AT53" s="67" t="s">
        <v>1230</v>
      </c>
      <c r="AU53" s="67" t="s">
        <v>1230</v>
      </c>
      <c r="AV53" s="67">
        <v>0</v>
      </c>
      <c r="AW53" s="187">
        <v>0</v>
      </c>
      <c r="AX53" s="67">
        <v>0</v>
      </c>
      <c r="AY53" s="66">
        <v>0</v>
      </c>
      <c r="AZ53" s="66">
        <v>0</v>
      </c>
      <c r="BA53" s="66">
        <v>0</v>
      </c>
      <c r="BB53" s="66">
        <v>0</v>
      </c>
      <c r="BC53" s="66">
        <v>0</v>
      </c>
      <c r="BD53" s="66">
        <v>0</v>
      </c>
      <c r="BE53" s="66">
        <v>0</v>
      </c>
      <c r="BF53" s="66">
        <v>0</v>
      </c>
      <c r="BG53" s="66">
        <v>0</v>
      </c>
      <c r="BH53" s="66">
        <v>0</v>
      </c>
      <c r="BI53" s="66">
        <v>0</v>
      </c>
      <c r="BJ53" s="67" t="s">
        <v>1230</v>
      </c>
      <c r="BK53" s="67" t="s">
        <v>1230</v>
      </c>
      <c r="BL53" s="67">
        <v>0</v>
      </c>
      <c r="BM53" s="187">
        <v>0</v>
      </c>
      <c r="BN53" s="67">
        <v>0</v>
      </c>
      <c r="BO53" s="66">
        <v>0</v>
      </c>
      <c r="BP53" s="66">
        <v>0</v>
      </c>
      <c r="BQ53" s="66">
        <v>0</v>
      </c>
      <c r="BR53" s="66">
        <v>0</v>
      </c>
      <c r="BS53" s="66">
        <v>0</v>
      </c>
      <c r="BT53" s="66">
        <v>0</v>
      </c>
      <c r="BU53" s="66">
        <v>0</v>
      </c>
      <c r="BV53" s="66">
        <v>0</v>
      </c>
      <c r="BW53" s="66">
        <v>0</v>
      </c>
      <c r="BX53" s="66">
        <v>0</v>
      </c>
      <c r="BY53" s="66">
        <v>0</v>
      </c>
      <c r="BZ53" s="67" t="s">
        <v>1230</v>
      </c>
      <c r="CA53" s="67" t="s">
        <v>1230</v>
      </c>
      <c r="CB53" s="67">
        <v>0</v>
      </c>
      <c r="CC53" s="187">
        <v>0</v>
      </c>
      <c r="CD53" s="67">
        <v>0</v>
      </c>
      <c r="CE53" s="66">
        <v>0</v>
      </c>
      <c r="CF53" s="66">
        <v>0</v>
      </c>
      <c r="CG53" s="66">
        <v>0</v>
      </c>
      <c r="CH53" s="66">
        <v>0</v>
      </c>
      <c r="CI53" s="66">
        <v>0</v>
      </c>
      <c r="CJ53" s="66">
        <v>0</v>
      </c>
      <c r="CK53" s="66">
        <v>0</v>
      </c>
      <c r="CL53" s="66">
        <v>0</v>
      </c>
      <c r="CM53" s="66">
        <v>0</v>
      </c>
      <c r="CN53" s="66">
        <v>0</v>
      </c>
      <c r="CO53" s="66">
        <v>0</v>
      </c>
      <c r="CP53" s="67" t="s">
        <v>1230</v>
      </c>
      <c r="CQ53" s="67" t="s">
        <v>1230</v>
      </c>
      <c r="CR53" s="67">
        <v>0</v>
      </c>
      <c r="CS53" s="187">
        <v>0</v>
      </c>
      <c r="CT53" s="67">
        <v>0</v>
      </c>
      <c r="CU53" s="66">
        <v>0</v>
      </c>
      <c r="CV53" s="66">
        <v>0</v>
      </c>
      <c r="CW53" s="66">
        <v>0</v>
      </c>
      <c r="CX53" s="66">
        <v>0</v>
      </c>
      <c r="CY53" s="66">
        <v>0</v>
      </c>
      <c r="CZ53" s="66">
        <v>0</v>
      </c>
      <c r="DA53" s="66">
        <v>0</v>
      </c>
      <c r="DB53" s="66">
        <v>0</v>
      </c>
      <c r="DC53" s="66">
        <v>0</v>
      </c>
      <c r="DD53" s="66">
        <v>0</v>
      </c>
      <c r="DE53" s="66">
        <v>0</v>
      </c>
      <c r="DF53" s="67" t="s">
        <v>1230</v>
      </c>
      <c r="DG53" s="67" t="s">
        <v>1230</v>
      </c>
      <c r="DH53" s="67">
        <v>0</v>
      </c>
      <c r="DI53" s="187">
        <v>0</v>
      </c>
      <c r="DJ53" s="67">
        <v>0</v>
      </c>
      <c r="DK53" s="66">
        <v>0</v>
      </c>
      <c r="DL53" s="66">
        <v>0</v>
      </c>
      <c r="DM53" s="66">
        <v>0</v>
      </c>
      <c r="DN53" s="66">
        <v>0</v>
      </c>
      <c r="DO53" s="66">
        <v>0</v>
      </c>
      <c r="DP53" s="66">
        <v>0</v>
      </c>
      <c r="DQ53" s="66">
        <v>0</v>
      </c>
      <c r="DR53" s="66">
        <v>0</v>
      </c>
      <c r="DS53" s="66">
        <v>0</v>
      </c>
      <c r="DT53" s="66">
        <v>0</v>
      </c>
      <c r="DU53" s="66">
        <v>0</v>
      </c>
      <c r="DV53" s="67" t="s">
        <v>1230</v>
      </c>
      <c r="DW53" s="67" t="s">
        <v>1230</v>
      </c>
      <c r="DX53" s="67">
        <v>0</v>
      </c>
      <c r="DY53" s="187">
        <v>0</v>
      </c>
      <c r="DZ53" s="67">
        <v>0</v>
      </c>
      <c r="EA53" s="66">
        <v>0</v>
      </c>
      <c r="EB53" s="66">
        <v>0</v>
      </c>
      <c r="EC53" s="66">
        <v>0</v>
      </c>
      <c r="ED53" s="66">
        <v>0</v>
      </c>
      <c r="EE53" s="66">
        <v>0</v>
      </c>
      <c r="EF53" s="66">
        <v>0</v>
      </c>
      <c r="EG53" s="66">
        <v>0</v>
      </c>
      <c r="EH53" s="66">
        <v>0</v>
      </c>
      <c r="EI53" s="66">
        <v>0</v>
      </c>
      <c r="EJ53" s="66">
        <v>0</v>
      </c>
      <c r="EK53" s="66">
        <v>0</v>
      </c>
      <c r="EL53" s="67" t="s">
        <v>1230</v>
      </c>
      <c r="EM53" s="67" t="s">
        <v>1230</v>
      </c>
      <c r="EN53" s="67">
        <v>0</v>
      </c>
      <c r="EO53" s="187">
        <v>0</v>
      </c>
      <c r="EP53" s="67">
        <v>0</v>
      </c>
      <c r="EQ53" s="66">
        <v>0</v>
      </c>
      <c r="ER53" s="66">
        <v>0</v>
      </c>
      <c r="ES53" s="66">
        <v>0</v>
      </c>
      <c r="ET53" s="66">
        <v>0</v>
      </c>
      <c r="EU53" s="66">
        <v>0</v>
      </c>
      <c r="EV53" s="66">
        <v>0</v>
      </c>
      <c r="EW53" s="66">
        <v>0</v>
      </c>
      <c r="EX53" s="66">
        <v>0</v>
      </c>
      <c r="EY53" s="66">
        <v>0</v>
      </c>
      <c r="EZ53" s="66">
        <v>0</v>
      </c>
      <c r="FA53" s="66">
        <v>0</v>
      </c>
      <c r="FB53" s="67" t="s">
        <v>1230</v>
      </c>
      <c r="FC53" s="67" t="s">
        <v>1230</v>
      </c>
      <c r="FD53" s="67">
        <v>0</v>
      </c>
      <c r="FE53" s="187">
        <v>0</v>
      </c>
      <c r="FF53" s="67">
        <v>0</v>
      </c>
      <c r="FG53" s="66">
        <v>0</v>
      </c>
      <c r="FH53" s="66">
        <v>0</v>
      </c>
      <c r="FI53" s="66">
        <v>0</v>
      </c>
      <c r="FJ53" s="66">
        <v>0</v>
      </c>
      <c r="FK53" s="66">
        <v>0</v>
      </c>
      <c r="FL53" s="66">
        <v>0</v>
      </c>
      <c r="FM53" s="66">
        <v>0</v>
      </c>
      <c r="FN53" s="66">
        <v>0</v>
      </c>
      <c r="FO53" s="66">
        <v>0</v>
      </c>
      <c r="FP53" s="66">
        <v>0</v>
      </c>
      <c r="FQ53" s="66">
        <v>0</v>
      </c>
      <c r="FR53" s="67" t="s">
        <v>1230</v>
      </c>
      <c r="FS53" s="67" t="s">
        <v>1230</v>
      </c>
      <c r="FT53" s="67">
        <v>0</v>
      </c>
      <c r="FU53" s="187">
        <v>0</v>
      </c>
      <c r="FV53" s="67">
        <v>0</v>
      </c>
      <c r="FW53" s="66">
        <v>0</v>
      </c>
      <c r="FX53" s="66">
        <v>0</v>
      </c>
      <c r="FY53" s="66">
        <v>0</v>
      </c>
      <c r="FZ53" s="66">
        <v>0</v>
      </c>
      <c r="GA53" s="66">
        <v>0</v>
      </c>
      <c r="GB53" s="66">
        <v>0</v>
      </c>
      <c r="GC53" s="66">
        <v>0</v>
      </c>
      <c r="GD53" s="66">
        <v>0</v>
      </c>
      <c r="GE53" s="66">
        <v>0</v>
      </c>
      <c r="GF53" s="66">
        <v>0</v>
      </c>
      <c r="GG53" s="66">
        <v>0</v>
      </c>
      <c r="GH53" s="67" t="s">
        <v>1230</v>
      </c>
      <c r="GI53" s="67" t="s">
        <v>1230</v>
      </c>
      <c r="GJ53" s="67">
        <v>0</v>
      </c>
      <c r="GK53" s="187">
        <v>0</v>
      </c>
      <c r="GL53" s="67">
        <v>0</v>
      </c>
      <c r="GM53" s="66">
        <v>0</v>
      </c>
      <c r="GN53" s="66">
        <v>0</v>
      </c>
      <c r="GO53" s="66">
        <v>0</v>
      </c>
      <c r="GP53" s="66">
        <v>0</v>
      </c>
      <c r="GQ53" s="66">
        <v>0</v>
      </c>
      <c r="GR53" s="66">
        <v>0</v>
      </c>
      <c r="GS53" s="66">
        <v>0</v>
      </c>
      <c r="GT53" s="66">
        <v>0</v>
      </c>
      <c r="GU53" s="66">
        <v>0</v>
      </c>
      <c r="GV53" s="66">
        <v>0</v>
      </c>
      <c r="GW53" s="66">
        <v>0</v>
      </c>
      <c r="GX53" s="67" t="s">
        <v>1230</v>
      </c>
      <c r="GY53" s="67" t="s">
        <v>1230</v>
      </c>
      <c r="GZ53" s="67">
        <v>0</v>
      </c>
      <c r="HA53" s="187">
        <v>0</v>
      </c>
      <c r="HB53" s="67">
        <v>0</v>
      </c>
      <c r="HC53" s="66">
        <v>0</v>
      </c>
      <c r="HD53" s="66">
        <v>0</v>
      </c>
      <c r="HE53" s="66">
        <v>0</v>
      </c>
      <c r="HF53" s="66">
        <v>0</v>
      </c>
      <c r="HG53" s="66">
        <v>0</v>
      </c>
      <c r="HH53" s="66">
        <v>0</v>
      </c>
      <c r="HI53" s="66">
        <v>0</v>
      </c>
      <c r="HJ53" s="66">
        <v>0</v>
      </c>
      <c r="HK53" s="66">
        <v>0</v>
      </c>
      <c r="HL53" s="66">
        <v>0</v>
      </c>
      <c r="HM53" s="66">
        <v>0</v>
      </c>
      <c r="HN53" s="67" t="s">
        <v>1230</v>
      </c>
      <c r="HO53" s="67" t="s">
        <v>1230</v>
      </c>
      <c r="HP53" s="67">
        <v>0</v>
      </c>
      <c r="HQ53" s="187">
        <v>0</v>
      </c>
      <c r="HR53" s="67">
        <v>0</v>
      </c>
      <c r="HS53" s="66">
        <v>0</v>
      </c>
      <c r="HT53" s="66">
        <v>0</v>
      </c>
      <c r="HU53" s="66">
        <v>0</v>
      </c>
      <c r="HV53" s="66">
        <v>0</v>
      </c>
      <c r="HW53" s="66">
        <v>0</v>
      </c>
      <c r="HX53" s="66">
        <v>0</v>
      </c>
      <c r="HY53" s="66">
        <v>0</v>
      </c>
      <c r="HZ53" s="66">
        <v>0</v>
      </c>
      <c r="IA53" s="66">
        <v>0</v>
      </c>
      <c r="IB53" s="66">
        <v>0</v>
      </c>
      <c r="IC53" s="66">
        <v>0</v>
      </c>
      <c r="ID53" s="67" t="s">
        <v>1230</v>
      </c>
      <c r="IE53" s="67" t="s">
        <v>1230</v>
      </c>
      <c r="IF53" s="67">
        <v>0</v>
      </c>
      <c r="IG53" s="187">
        <v>0</v>
      </c>
      <c r="IH53" s="67">
        <v>0</v>
      </c>
      <c r="II53" s="66">
        <v>0</v>
      </c>
      <c r="IJ53" s="66">
        <v>0</v>
      </c>
      <c r="IK53" s="66">
        <v>0</v>
      </c>
      <c r="IL53" s="66">
        <v>0</v>
      </c>
      <c r="IM53" s="66">
        <v>0</v>
      </c>
      <c r="IN53" s="66">
        <v>0</v>
      </c>
      <c r="IO53" s="66">
        <v>0</v>
      </c>
      <c r="IP53" s="66">
        <v>0</v>
      </c>
      <c r="IQ53" s="66">
        <v>0</v>
      </c>
      <c r="IR53" s="66">
        <v>0</v>
      </c>
      <c r="IS53" s="66">
        <v>0</v>
      </c>
      <c r="IT53" s="67" t="s">
        <v>1230</v>
      </c>
      <c r="IU53" s="67" t="s">
        <v>1230</v>
      </c>
      <c r="IV53" s="67">
        <v>0</v>
      </c>
      <c r="IW53" s="187">
        <v>0</v>
      </c>
      <c r="IX53" s="67">
        <v>0</v>
      </c>
    </row>
    <row r="54" spans="1:258" ht="15.6" x14ac:dyDescent="0.3">
      <c r="A54" s="208">
        <v>42</v>
      </c>
      <c r="B54" s="212" t="s">
        <v>109</v>
      </c>
      <c r="C54" s="61">
        <v>1393.1528000000001</v>
      </c>
      <c r="D54" s="61">
        <v>0</v>
      </c>
      <c r="E54" s="61">
        <v>1568.70733574</v>
      </c>
      <c r="F54" s="61">
        <v>1393.1528000000001</v>
      </c>
      <c r="G54" s="61">
        <v>175.55453574000001</v>
      </c>
      <c r="H54" s="61">
        <v>1373.32829808</v>
      </c>
      <c r="I54" s="61">
        <v>2.5288787199999998</v>
      </c>
      <c r="J54" s="61">
        <v>1545.43176681</v>
      </c>
      <c r="K54" s="61">
        <v>1373.2599560899998</v>
      </c>
      <c r="L54" s="61">
        <v>0</v>
      </c>
      <c r="M54" s="61">
        <v>172.17181072</v>
      </c>
      <c r="N54" s="61">
        <v>98.572098917649214</v>
      </c>
      <c r="O54" s="61">
        <v>98.073120124329975</v>
      </c>
      <c r="P54" s="61">
        <v>11.140693132986913</v>
      </c>
      <c r="Q54" s="61">
        <v>2.5288787199999998</v>
      </c>
      <c r="R54" s="61">
        <v>6.8341990000044733E-2</v>
      </c>
      <c r="S54" s="61">
        <v>894.00169999999991</v>
      </c>
      <c r="T54" s="61">
        <v>0</v>
      </c>
      <c r="U54" s="61">
        <v>1003.3709714400001</v>
      </c>
      <c r="V54" s="61">
        <v>894.00169999999991</v>
      </c>
      <c r="W54" s="61">
        <v>109.36927143999999</v>
      </c>
      <c r="X54" s="61">
        <v>893.74511137000002</v>
      </c>
      <c r="Y54" s="61">
        <v>2.3057892400000002</v>
      </c>
      <c r="Z54" s="61">
        <v>1003.0027844499999</v>
      </c>
      <c r="AA54" s="61">
        <v>893.67676938</v>
      </c>
      <c r="AB54" s="61">
        <v>0</v>
      </c>
      <c r="AC54" s="61">
        <v>109.32601507</v>
      </c>
      <c r="AD54" s="61">
        <v>99.963654362178517</v>
      </c>
      <c r="AE54" s="61">
        <v>99.960449247370434</v>
      </c>
      <c r="AF54" s="61">
        <v>10.899871542226007</v>
      </c>
      <c r="AG54" s="61">
        <v>2.3057892400000002</v>
      </c>
      <c r="AH54" s="61">
        <v>6.8341990000017505E-2</v>
      </c>
      <c r="AI54" s="61">
        <v>0</v>
      </c>
      <c r="AJ54" s="61">
        <v>0</v>
      </c>
      <c r="AK54" s="61">
        <v>0</v>
      </c>
      <c r="AL54" s="61">
        <v>0</v>
      </c>
      <c r="AM54" s="61">
        <v>0</v>
      </c>
      <c r="AN54" s="61">
        <v>0</v>
      </c>
      <c r="AO54" s="61">
        <v>0.18643167000000002</v>
      </c>
      <c r="AP54" s="61">
        <v>0</v>
      </c>
      <c r="AQ54" s="61">
        <v>0</v>
      </c>
      <c r="AR54" s="61">
        <v>0</v>
      </c>
      <c r="AS54" s="61">
        <v>0</v>
      </c>
      <c r="AT54" s="61" t="s">
        <v>1230</v>
      </c>
      <c r="AU54" s="61" t="s">
        <v>1230</v>
      </c>
      <c r="AV54" s="61">
        <v>0</v>
      </c>
      <c r="AW54" s="61">
        <v>0.18643167000000002</v>
      </c>
      <c r="AX54" s="61">
        <v>0</v>
      </c>
      <c r="AY54" s="61">
        <v>192.19380000000001</v>
      </c>
      <c r="AZ54" s="61">
        <v>0</v>
      </c>
      <c r="BA54" s="61">
        <v>208.02572196</v>
      </c>
      <c r="BB54" s="61">
        <v>192.19380000000001</v>
      </c>
      <c r="BC54" s="61">
        <v>15.831921959999999</v>
      </c>
      <c r="BD54" s="61">
        <v>174.42795374000002</v>
      </c>
      <c r="BE54" s="61">
        <v>2.5451499999999999E-3</v>
      </c>
      <c r="BF54" s="61">
        <v>188.24356965000001</v>
      </c>
      <c r="BG54" s="61">
        <v>174.42795374000002</v>
      </c>
      <c r="BH54" s="61">
        <v>0</v>
      </c>
      <c r="BI54" s="61">
        <v>13.81561591</v>
      </c>
      <c r="BJ54" s="61">
        <v>90.756285447293308</v>
      </c>
      <c r="BK54" s="61">
        <v>87.26430022144956</v>
      </c>
      <c r="BL54" s="61">
        <v>7.3392232922948084</v>
      </c>
      <c r="BM54" s="61">
        <v>2.5451499999999999E-3</v>
      </c>
      <c r="BN54" s="61">
        <v>4.401860820291148E-16</v>
      </c>
      <c r="BO54" s="61">
        <v>0</v>
      </c>
      <c r="BP54" s="61">
        <v>0</v>
      </c>
      <c r="BQ54" s="61">
        <v>0</v>
      </c>
      <c r="BR54" s="61">
        <v>0</v>
      </c>
      <c r="BS54" s="61">
        <v>0</v>
      </c>
      <c r="BT54" s="61">
        <v>0</v>
      </c>
      <c r="BU54" s="61">
        <v>2.872245E-2</v>
      </c>
      <c r="BV54" s="61">
        <v>0</v>
      </c>
      <c r="BW54" s="61">
        <v>0</v>
      </c>
      <c r="BX54" s="61">
        <v>0</v>
      </c>
      <c r="BY54" s="61">
        <v>0</v>
      </c>
      <c r="BZ54" s="61" t="s">
        <v>1230</v>
      </c>
      <c r="CA54" s="61" t="s">
        <v>1230</v>
      </c>
      <c r="CB54" s="61">
        <v>0</v>
      </c>
      <c r="CC54" s="61">
        <v>2.872245E-2</v>
      </c>
      <c r="CD54" s="61">
        <v>0</v>
      </c>
      <c r="CE54" s="61">
        <v>187.57210000000001</v>
      </c>
      <c r="CF54" s="61">
        <v>0</v>
      </c>
      <c r="CG54" s="61">
        <v>197.44431578999999</v>
      </c>
      <c r="CH54" s="61">
        <v>187.57210000000001</v>
      </c>
      <c r="CI54" s="61">
        <v>9.8722157899999985</v>
      </c>
      <c r="CJ54" s="61">
        <v>187.57210000000001</v>
      </c>
      <c r="CK54" s="61">
        <v>0</v>
      </c>
      <c r="CL54" s="61">
        <v>197.44431578999999</v>
      </c>
      <c r="CM54" s="61">
        <v>187.57210000000001</v>
      </c>
      <c r="CN54" s="61">
        <v>0</v>
      </c>
      <c r="CO54" s="61">
        <v>9.8722157899999985</v>
      </c>
      <c r="CP54" s="61">
        <v>100</v>
      </c>
      <c r="CQ54" s="61">
        <v>100</v>
      </c>
      <c r="CR54" s="61">
        <v>5.0000000002532357</v>
      </c>
      <c r="CS54" s="61">
        <v>0</v>
      </c>
      <c r="CT54" s="61">
        <v>0</v>
      </c>
      <c r="CU54" s="61">
        <v>0</v>
      </c>
      <c r="CV54" s="61">
        <v>0</v>
      </c>
      <c r="CW54" s="61">
        <v>0</v>
      </c>
      <c r="CX54" s="61">
        <v>0</v>
      </c>
      <c r="CY54" s="61">
        <v>0</v>
      </c>
      <c r="CZ54" s="61">
        <v>0</v>
      </c>
      <c r="DA54" s="61">
        <v>0</v>
      </c>
      <c r="DB54" s="61">
        <v>0</v>
      </c>
      <c r="DC54" s="61">
        <v>0</v>
      </c>
      <c r="DD54" s="61">
        <v>0</v>
      </c>
      <c r="DE54" s="61">
        <v>0</v>
      </c>
      <c r="DF54" s="61" t="s">
        <v>1230</v>
      </c>
      <c r="DG54" s="61" t="s">
        <v>1230</v>
      </c>
      <c r="DH54" s="61">
        <v>0</v>
      </c>
      <c r="DI54" s="61">
        <v>0</v>
      </c>
      <c r="DJ54" s="61">
        <v>0</v>
      </c>
      <c r="DK54" s="61">
        <v>28.677</v>
      </c>
      <c r="DL54" s="61">
        <v>0</v>
      </c>
      <c r="DM54" s="61">
        <v>30.387277499999996</v>
      </c>
      <c r="DN54" s="61">
        <v>28.677</v>
      </c>
      <c r="DO54" s="61">
        <v>1.7102775000000001</v>
      </c>
      <c r="DP54" s="61">
        <v>28.57657287</v>
      </c>
      <c r="DQ54" s="61">
        <v>0</v>
      </c>
      <c r="DR54" s="61">
        <v>30.279291310000001</v>
      </c>
      <c r="DS54" s="61">
        <v>28.57657287</v>
      </c>
      <c r="DT54" s="61">
        <v>0</v>
      </c>
      <c r="DU54" s="61">
        <v>1.7027184399999999</v>
      </c>
      <c r="DV54" s="61">
        <v>99.649799037556235</v>
      </c>
      <c r="DW54" s="61">
        <v>99.558021432194479</v>
      </c>
      <c r="DX54" s="61">
        <v>5.6233761304633383</v>
      </c>
      <c r="DY54" s="61">
        <v>0</v>
      </c>
      <c r="DZ54" s="61">
        <v>0</v>
      </c>
      <c r="EA54" s="61">
        <v>0</v>
      </c>
      <c r="EB54" s="61">
        <v>0</v>
      </c>
      <c r="EC54" s="61">
        <v>0</v>
      </c>
      <c r="ED54" s="61">
        <v>0</v>
      </c>
      <c r="EE54" s="61">
        <v>0</v>
      </c>
      <c r="EF54" s="61">
        <v>0</v>
      </c>
      <c r="EG54" s="61">
        <v>0</v>
      </c>
      <c r="EH54" s="61">
        <v>0</v>
      </c>
      <c r="EI54" s="61">
        <v>0</v>
      </c>
      <c r="EJ54" s="61">
        <v>0</v>
      </c>
      <c r="EK54" s="61">
        <v>0</v>
      </c>
      <c r="EL54" s="61" t="s">
        <v>1230</v>
      </c>
      <c r="EM54" s="61" t="s">
        <v>1230</v>
      </c>
      <c r="EN54" s="61">
        <v>0</v>
      </c>
      <c r="EO54" s="61">
        <v>0</v>
      </c>
      <c r="EP54" s="61">
        <v>0</v>
      </c>
      <c r="EQ54" s="61">
        <v>27.058700000000002</v>
      </c>
      <c r="ER54" s="61">
        <v>0</v>
      </c>
      <c r="ES54" s="61">
        <v>61.276354249999997</v>
      </c>
      <c r="ET54" s="61">
        <v>27.058700000000002</v>
      </c>
      <c r="EU54" s="61">
        <v>34.217654250000002</v>
      </c>
      <c r="EV54" s="61">
        <v>25.948160099999999</v>
      </c>
      <c r="EW54" s="61">
        <v>0</v>
      </c>
      <c r="EX54" s="61">
        <v>58.88132134</v>
      </c>
      <c r="EY54" s="61">
        <v>25.948160099999999</v>
      </c>
      <c r="EZ54" s="61">
        <v>0</v>
      </c>
      <c r="FA54" s="61">
        <v>32.933161239999997</v>
      </c>
      <c r="FB54" s="61">
        <v>95.895812067837696</v>
      </c>
      <c r="FC54" s="61">
        <v>96.246110266310836</v>
      </c>
      <c r="FD54" s="61">
        <v>55.931423566113871</v>
      </c>
      <c r="FE54" s="61">
        <v>0</v>
      </c>
      <c r="FF54" s="61">
        <v>0</v>
      </c>
      <c r="FG54" s="61">
        <v>0</v>
      </c>
      <c r="FH54" s="61">
        <v>0</v>
      </c>
      <c r="FI54" s="61">
        <v>0</v>
      </c>
      <c r="FJ54" s="61">
        <v>0</v>
      </c>
      <c r="FK54" s="61">
        <v>0</v>
      </c>
      <c r="FL54" s="61">
        <v>0</v>
      </c>
      <c r="FM54" s="61">
        <v>5.3902100000000003E-3</v>
      </c>
      <c r="FN54" s="61">
        <v>0</v>
      </c>
      <c r="FO54" s="61">
        <v>0</v>
      </c>
      <c r="FP54" s="61">
        <v>0</v>
      </c>
      <c r="FQ54" s="61">
        <v>0</v>
      </c>
      <c r="FR54" s="61" t="s">
        <v>1230</v>
      </c>
      <c r="FS54" s="61" t="s">
        <v>1230</v>
      </c>
      <c r="FT54" s="61">
        <v>0</v>
      </c>
      <c r="FU54" s="61">
        <v>5.3902100000000003E-3</v>
      </c>
      <c r="FV54" s="61">
        <v>0</v>
      </c>
      <c r="FW54" s="61">
        <v>61.688900000000004</v>
      </c>
      <c r="FX54" s="61">
        <v>0</v>
      </c>
      <c r="FY54" s="61">
        <v>66.138905269999995</v>
      </c>
      <c r="FZ54" s="61">
        <v>61.688900000000004</v>
      </c>
      <c r="GA54" s="61">
        <v>4.4500052700000001</v>
      </c>
      <c r="GB54" s="61">
        <v>61.688900000000004</v>
      </c>
      <c r="GC54" s="61">
        <v>0</v>
      </c>
      <c r="GD54" s="61">
        <v>66.138905269999995</v>
      </c>
      <c r="GE54" s="61">
        <v>61.688900000000004</v>
      </c>
      <c r="GF54" s="61">
        <v>0</v>
      </c>
      <c r="GG54" s="61">
        <v>4.4500052700000001</v>
      </c>
      <c r="GH54" s="61">
        <v>100</v>
      </c>
      <c r="GI54" s="61">
        <v>100</v>
      </c>
      <c r="GJ54" s="61">
        <v>6.7282717363307825</v>
      </c>
      <c r="GK54" s="61">
        <v>0</v>
      </c>
      <c r="GL54" s="61">
        <v>0</v>
      </c>
      <c r="GM54" s="61">
        <v>0</v>
      </c>
      <c r="GN54" s="61">
        <v>0</v>
      </c>
      <c r="GO54" s="61">
        <v>0</v>
      </c>
      <c r="GP54" s="61">
        <v>0</v>
      </c>
      <c r="GQ54" s="61">
        <v>0</v>
      </c>
      <c r="GR54" s="61">
        <v>0</v>
      </c>
      <c r="GS54" s="61">
        <v>0</v>
      </c>
      <c r="GT54" s="61">
        <v>0</v>
      </c>
      <c r="GU54" s="61">
        <v>0</v>
      </c>
      <c r="GV54" s="61">
        <v>0</v>
      </c>
      <c r="GW54" s="61">
        <v>0</v>
      </c>
      <c r="GX54" s="61" t="s">
        <v>1230</v>
      </c>
      <c r="GY54" s="61" t="s">
        <v>1230</v>
      </c>
      <c r="GZ54" s="61">
        <v>0</v>
      </c>
      <c r="HA54" s="61">
        <v>0</v>
      </c>
      <c r="HB54" s="61">
        <v>0</v>
      </c>
      <c r="HC54" s="61">
        <v>1.9605999999999999</v>
      </c>
      <c r="HD54" s="61">
        <v>0</v>
      </c>
      <c r="HE54" s="61">
        <v>2.0637895300000002</v>
      </c>
      <c r="HF54" s="61">
        <v>1.9605999999999999</v>
      </c>
      <c r="HG54" s="61">
        <v>0.10318953</v>
      </c>
      <c r="HH54" s="61">
        <v>1.3694999999999999</v>
      </c>
      <c r="HI54" s="61">
        <v>0</v>
      </c>
      <c r="HJ54" s="61">
        <v>1.4415789999999999</v>
      </c>
      <c r="HK54" s="61">
        <v>1.3694999999999999</v>
      </c>
      <c r="HL54" s="61">
        <v>0</v>
      </c>
      <c r="HM54" s="61">
        <v>7.2079000000000004E-2</v>
      </c>
      <c r="HN54" s="61">
        <v>69.851066000204014</v>
      </c>
      <c r="HO54" s="61">
        <v>69.851078883681311</v>
      </c>
      <c r="HP54" s="61">
        <v>5.0000034684190053</v>
      </c>
      <c r="HQ54" s="61">
        <v>0</v>
      </c>
      <c r="HR54" s="61">
        <v>0</v>
      </c>
      <c r="HS54" s="61">
        <v>0</v>
      </c>
      <c r="HT54" s="61">
        <v>0</v>
      </c>
      <c r="HU54" s="61">
        <v>0</v>
      </c>
      <c r="HV54" s="61">
        <v>0</v>
      </c>
      <c r="HW54" s="61">
        <v>0</v>
      </c>
      <c r="HX54" s="61">
        <v>0</v>
      </c>
      <c r="HY54" s="61">
        <v>0</v>
      </c>
      <c r="HZ54" s="61">
        <v>0</v>
      </c>
      <c r="IA54" s="61">
        <v>0</v>
      </c>
      <c r="IB54" s="61">
        <v>0</v>
      </c>
      <c r="IC54" s="61">
        <v>0</v>
      </c>
      <c r="ID54" s="61" t="s">
        <v>1230</v>
      </c>
      <c r="IE54" s="61" t="s">
        <v>1230</v>
      </c>
      <c r="IF54" s="61">
        <v>0</v>
      </c>
      <c r="IG54" s="61">
        <v>0</v>
      </c>
      <c r="IH54" s="61">
        <v>0</v>
      </c>
      <c r="II54" s="61">
        <v>0</v>
      </c>
      <c r="IJ54" s="61">
        <v>0</v>
      </c>
      <c r="IK54" s="61">
        <v>0</v>
      </c>
      <c r="IL54" s="61">
        <v>0</v>
      </c>
      <c r="IM54" s="61">
        <v>0</v>
      </c>
      <c r="IN54" s="61">
        <v>0</v>
      </c>
      <c r="IO54" s="61">
        <v>0</v>
      </c>
      <c r="IP54" s="61">
        <v>0</v>
      </c>
      <c r="IQ54" s="61">
        <v>0</v>
      </c>
      <c r="IR54" s="61">
        <v>0</v>
      </c>
      <c r="IS54" s="61">
        <v>0</v>
      </c>
      <c r="IT54" s="61" t="s">
        <v>1230</v>
      </c>
      <c r="IU54" s="61" t="s">
        <v>1230</v>
      </c>
      <c r="IV54" s="61">
        <v>0</v>
      </c>
      <c r="IW54" s="61">
        <v>0</v>
      </c>
      <c r="IX54" s="61">
        <v>0</v>
      </c>
    </row>
    <row r="55" spans="1:258" ht="15.6" x14ac:dyDescent="0.3">
      <c r="A55" s="171">
        <v>43</v>
      </c>
      <c r="B55" s="211" t="s">
        <v>111</v>
      </c>
      <c r="C55" s="66">
        <v>392.8329</v>
      </c>
      <c r="D55" s="66">
        <v>0</v>
      </c>
      <c r="E55" s="66">
        <v>413.50831579999993</v>
      </c>
      <c r="F55" s="66">
        <v>392.8329</v>
      </c>
      <c r="G55" s="66">
        <v>20.675415799999996</v>
      </c>
      <c r="H55" s="66">
        <v>390.00612984999998</v>
      </c>
      <c r="I55" s="66">
        <v>0</v>
      </c>
      <c r="J55" s="66">
        <v>410.53276825999995</v>
      </c>
      <c r="K55" s="66">
        <v>390.00612984999998</v>
      </c>
      <c r="L55" s="66">
        <v>0</v>
      </c>
      <c r="M55" s="66">
        <v>20.526638409999997</v>
      </c>
      <c r="N55" s="67">
        <v>99.280414102281142</v>
      </c>
      <c r="O55" s="67">
        <v>99.280414036461607</v>
      </c>
      <c r="P55" s="67">
        <v>4.9999999992692414</v>
      </c>
      <c r="Q55" s="66">
        <v>0</v>
      </c>
      <c r="R55" s="67">
        <v>0</v>
      </c>
      <c r="S55" s="66">
        <v>128.4246</v>
      </c>
      <c r="T55" s="66">
        <v>0</v>
      </c>
      <c r="U55" s="66">
        <v>135.18378946999999</v>
      </c>
      <c r="V55" s="66">
        <v>128.4246</v>
      </c>
      <c r="W55" s="66">
        <v>6.7591894699999999</v>
      </c>
      <c r="X55" s="66">
        <v>128.4246</v>
      </c>
      <c r="Y55" s="66">
        <v>0</v>
      </c>
      <c r="Z55" s="66">
        <v>135.18378946999999</v>
      </c>
      <c r="AA55" s="66">
        <v>128.4246</v>
      </c>
      <c r="AB55" s="66">
        <v>0</v>
      </c>
      <c r="AC55" s="66">
        <v>6.7591894699999999</v>
      </c>
      <c r="AD55" s="67">
        <v>100</v>
      </c>
      <c r="AE55" s="67">
        <v>100</v>
      </c>
      <c r="AF55" s="67">
        <v>4.9999999974109324</v>
      </c>
      <c r="AG55" s="187">
        <v>0</v>
      </c>
      <c r="AH55" s="67">
        <v>0</v>
      </c>
      <c r="AI55" s="66">
        <v>0</v>
      </c>
      <c r="AJ55" s="66">
        <v>0</v>
      </c>
      <c r="AK55" s="66">
        <v>0</v>
      </c>
      <c r="AL55" s="66">
        <v>0</v>
      </c>
      <c r="AM55" s="66">
        <v>0</v>
      </c>
      <c r="AN55" s="66">
        <v>0</v>
      </c>
      <c r="AO55" s="66">
        <v>0</v>
      </c>
      <c r="AP55" s="66">
        <v>0</v>
      </c>
      <c r="AQ55" s="66">
        <v>0</v>
      </c>
      <c r="AR55" s="66">
        <v>0</v>
      </c>
      <c r="AS55" s="66">
        <v>0</v>
      </c>
      <c r="AT55" s="67" t="s">
        <v>1230</v>
      </c>
      <c r="AU55" s="67" t="s">
        <v>1230</v>
      </c>
      <c r="AV55" s="67">
        <v>0</v>
      </c>
      <c r="AW55" s="187">
        <v>0</v>
      </c>
      <c r="AX55" s="67">
        <v>0</v>
      </c>
      <c r="AY55" s="66">
        <v>38.648000000000003</v>
      </c>
      <c r="AZ55" s="66">
        <v>0</v>
      </c>
      <c r="BA55" s="66">
        <v>40.682105270000001</v>
      </c>
      <c r="BB55" s="66">
        <v>38.648000000000003</v>
      </c>
      <c r="BC55" s="66">
        <v>2.03410527</v>
      </c>
      <c r="BD55" s="66">
        <v>37.281888600000002</v>
      </c>
      <c r="BE55" s="66">
        <v>0</v>
      </c>
      <c r="BF55" s="66">
        <v>39.24409326</v>
      </c>
      <c r="BG55" s="66">
        <v>37.281888600000002</v>
      </c>
      <c r="BH55" s="66">
        <v>0</v>
      </c>
      <c r="BI55" s="66">
        <v>1.9622046599999998</v>
      </c>
      <c r="BJ55" s="67">
        <v>96.46524684330366</v>
      </c>
      <c r="BK55" s="67">
        <v>96.465246363576838</v>
      </c>
      <c r="BL55" s="67">
        <v>4.9999999923555372</v>
      </c>
      <c r="BM55" s="187">
        <v>0</v>
      </c>
      <c r="BN55" s="67">
        <v>0</v>
      </c>
      <c r="BO55" s="66">
        <v>0</v>
      </c>
      <c r="BP55" s="66">
        <v>0</v>
      </c>
      <c r="BQ55" s="66">
        <v>0</v>
      </c>
      <c r="BR55" s="66">
        <v>0</v>
      </c>
      <c r="BS55" s="66">
        <v>0</v>
      </c>
      <c r="BT55" s="66">
        <v>0</v>
      </c>
      <c r="BU55" s="66">
        <v>0</v>
      </c>
      <c r="BV55" s="66">
        <v>0</v>
      </c>
      <c r="BW55" s="66">
        <v>0</v>
      </c>
      <c r="BX55" s="66">
        <v>0</v>
      </c>
      <c r="BY55" s="66">
        <v>0</v>
      </c>
      <c r="BZ55" s="67" t="s">
        <v>1230</v>
      </c>
      <c r="CA55" s="67" t="s">
        <v>1230</v>
      </c>
      <c r="CB55" s="67">
        <v>0</v>
      </c>
      <c r="CC55" s="187">
        <v>0</v>
      </c>
      <c r="CD55" s="67">
        <v>0</v>
      </c>
      <c r="CE55" s="66">
        <v>187.57210000000001</v>
      </c>
      <c r="CF55" s="66">
        <v>0</v>
      </c>
      <c r="CG55" s="66">
        <v>197.44431578999999</v>
      </c>
      <c r="CH55" s="66">
        <v>187.57210000000001</v>
      </c>
      <c r="CI55" s="66">
        <v>9.8722157899999985</v>
      </c>
      <c r="CJ55" s="66">
        <v>187.57210000000001</v>
      </c>
      <c r="CK55" s="66">
        <v>0</v>
      </c>
      <c r="CL55" s="66">
        <v>197.44431578999999</v>
      </c>
      <c r="CM55" s="66">
        <v>187.57210000000001</v>
      </c>
      <c r="CN55" s="66">
        <v>0</v>
      </c>
      <c r="CO55" s="66">
        <v>9.8722157899999985</v>
      </c>
      <c r="CP55" s="67">
        <v>100</v>
      </c>
      <c r="CQ55" s="67">
        <v>100</v>
      </c>
      <c r="CR55" s="67">
        <v>5.0000000002532357</v>
      </c>
      <c r="CS55" s="187">
        <v>0</v>
      </c>
      <c r="CT55" s="67">
        <v>0</v>
      </c>
      <c r="CU55" s="66">
        <v>0</v>
      </c>
      <c r="CV55" s="66">
        <v>0</v>
      </c>
      <c r="CW55" s="66">
        <v>0</v>
      </c>
      <c r="CX55" s="66">
        <v>0</v>
      </c>
      <c r="CY55" s="66">
        <v>0</v>
      </c>
      <c r="CZ55" s="66">
        <v>0</v>
      </c>
      <c r="DA55" s="66">
        <v>0</v>
      </c>
      <c r="DB55" s="66">
        <v>0</v>
      </c>
      <c r="DC55" s="66">
        <v>0</v>
      </c>
      <c r="DD55" s="66">
        <v>0</v>
      </c>
      <c r="DE55" s="66">
        <v>0</v>
      </c>
      <c r="DF55" s="67" t="s">
        <v>1230</v>
      </c>
      <c r="DG55" s="67" t="s">
        <v>1230</v>
      </c>
      <c r="DH55" s="67">
        <v>0</v>
      </c>
      <c r="DI55" s="187">
        <v>0</v>
      </c>
      <c r="DJ55" s="67">
        <v>0</v>
      </c>
      <c r="DK55" s="66">
        <v>12.369</v>
      </c>
      <c r="DL55" s="66">
        <v>0</v>
      </c>
      <c r="DM55" s="66">
        <v>13.02</v>
      </c>
      <c r="DN55" s="66">
        <v>12.369</v>
      </c>
      <c r="DO55" s="66">
        <v>0.65100000000000002</v>
      </c>
      <c r="DP55" s="66">
        <v>12.369</v>
      </c>
      <c r="DQ55" s="66">
        <v>0</v>
      </c>
      <c r="DR55" s="66">
        <v>13.02</v>
      </c>
      <c r="DS55" s="66">
        <v>12.369</v>
      </c>
      <c r="DT55" s="66">
        <v>0</v>
      </c>
      <c r="DU55" s="66">
        <v>0.65100000000000002</v>
      </c>
      <c r="DV55" s="67">
        <v>100</v>
      </c>
      <c r="DW55" s="67">
        <v>100</v>
      </c>
      <c r="DX55" s="67">
        <v>5</v>
      </c>
      <c r="DY55" s="187">
        <v>0</v>
      </c>
      <c r="DZ55" s="67">
        <v>0</v>
      </c>
      <c r="EA55" s="66">
        <v>0</v>
      </c>
      <c r="EB55" s="66">
        <v>0</v>
      </c>
      <c r="EC55" s="66">
        <v>0</v>
      </c>
      <c r="ED55" s="66">
        <v>0</v>
      </c>
      <c r="EE55" s="66">
        <v>0</v>
      </c>
      <c r="EF55" s="66">
        <v>0</v>
      </c>
      <c r="EG55" s="66">
        <v>0</v>
      </c>
      <c r="EH55" s="66">
        <v>0</v>
      </c>
      <c r="EI55" s="66">
        <v>0</v>
      </c>
      <c r="EJ55" s="66">
        <v>0</v>
      </c>
      <c r="EK55" s="66">
        <v>0</v>
      </c>
      <c r="EL55" s="67" t="s">
        <v>1230</v>
      </c>
      <c r="EM55" s="67" t="s">
        <v>1230</v>
      </c>
      <c r="EN55" s="67">
        <v>0</v>
      </c>
      <c r="EO55" s="187">
        <v>0</v>
      </c>
      <c r="EP55" s="67">
        <v>0</v>
      </c>
      <c r="EQ55" s="66">
        <v>9.4093999999999998</v>
      </c>
      <c r="ER55" s="66">
        <v>0</v>
      </c>
      <c r="ES55" s="66">
        <v>9.9046315800000002</v>
      </c>
      <c r="ET55" s="66">
        <v>9.4093999999999998</v>
      </c>
      <c r="EU55" s="66">
        <v>0.49523158</v>
      </c>
      <c r="EV55" s="66">
        <v>8.5398412500000003</v>
      </c>
      <c r="EW55" s="66">
        <v>0</v>
      </c>
      <c r="EX55" s="66">
        <v>8.9893065800000009</v>
      </c>
      <c r="EY55" s="66">
        <v>8.5398412500000003</v>
      </c>
      <c r="EZ55" s="66">
        <v>0</v>
      </c>
      <c r="FA55" s="66">
        <v>0.44946533</v>
      </c>
      <c r="FB55" s="67">
        <v>90.758616383616385</v>
      </c>
      <c r="FC55" s="67">
        <v>90.758616403259268</v>
      </c>
      <c r="FD55" s="67">
        <v>5.0000000111243281</v>
      </c>
      <c r="FE55" s="187">
        <v>0</v>
      </c>
      <c r="FF55" s="67">
        <v>0</v>
      </c>
      <c r="FG55" s="66">
        <v>0</v>
      </c>
      <c r="FH55" s="66">
        <v>0</v>
      </c>
      <c r="FI55" s="66">
        <v>0</v>
      </c>
      <c r="FJ55" s="66">
        <v>0</v>
      </c>
      <c r="FK55" s="66">
        <v>0</v>
      </c>
      <c r="FL55" s="66">
        <v>0</v>
      </c>
      <c r="FM55" s="66">
        <v>0</v>
      </c>
      <c r="FN55" s="66">
        <v>0</v>
      </c>
      <c r="FO55" s="66">
        <v>0</v>
      </c>
      <c r="FP55" s="66">
        <v>0</v>
      </c>
      <c r="FQ55" s="66">
        <v>0</v>
      </c>
      <c r="FR55" s="67" t="s">
        <v>1230</v>
      </c>
      <c r="FS55" s="67" t="s">
        <v>1230</v>
      </c>
      <c r="FT55" s="67">
        <v>0</v>
      </c>
      <c r="FU55" s="187">
        <v>0</v>
      </c>
      <c r="FV55" s="67">
        <v>0</v>
      </c>
      <c r="FW55" s="66">
        <v>15.8187</v>
      </c>
      <c r="FX55" s="66">
        <v>0</v>
      </c>
      <c r="FY55" s="66">
        <v>16.651263159999999</v>
      </c>
      <c r="FZ55" s="66">
        <v>15.8187</v>
      </c>
      <c r="GA55" s="66">
        <v>0.83256316000000008</v>
      </c>
      <c r="GB55" s="66">
        <v>15.8187</v>
      </c>
      <c r="GC55" s="66">
        <v>0</v>
      </c>
      <c r="GD55" s="66">
        <v>16.651263159999999</v>
      </c>
      <c r="GE55" s="66">
        <v>15.8187</v>
      </c>
      <c r="GF55" s="66">
        <v>0</v>
      </c>
      <c r="GG55" s="66">
        <v>0.83256316000000008</v>
      </c>
      <c r="GH55" s="67">
        <v>100</v>
      </c>
      <c r="GI55" s="67">
        <v>100</v>
      </c>
      <c r="GJ55" s="67">
        <v>5.0000000120111014</v>
      </c>
      <c r="GK55" s="187">
        <v>0</v>
      </c>
      <c r="GL55" s="67">
        <v>0</v>
      </c>
      <c r="GM55" s="66">
        <v>0</v>
      </c>
      <c r="GN55" s="66">
        <v>0</v>
      </c>
      <c r="GO55" s="66">
        <v>0</v>
      </c>
      <c r="GP55" s="66">
        <v>0</v>
      </c>
      <c r="GQ55" s="66">
        <v>0</v>
      </c>
      <c r="GR55" s="66">
        <v>0</v>
      </c>
      <c r="GS55" s="66">
        <v>0</v>
      </c>
      <c r="GT55" s="66">
        <v>0</v>
      </c>
      <c r="GU55" s="66">
        <v>0</v>
      </c>
      <c r="GV55" s="66">
        <v>0</v>
      </c>
      <c r="GW55" s="66">
        <v>0</v>
      </c>
      <c r="GX55" s="67" t="s">
        <v>1230</v>
      </c>
      <c r="GY55" s="67" t="s">
        <v>1230</v>
      </c>
      <c r="GZ55" s="67">
        <v>0</v>
      </c>
      <c r="HA55" s="187">
        <v>0</v>
      </c>
      <c r="HB55" s="67">
        <v>0</v>
      </c>
      <c r="HC55" s="66">
        <v>0.59109999999999996</v>
      </c>
      <c r="HD55" s="66">
        <v>0</v>
      </c>
      <c r="HE55" s="66">
        <v>0.62221053000000004</v>
      </c>
      <c r="HF55" s="66">
        <v>0.59109999999999996</v>
      </c>
      <c r="HG55" s="66">
        <v>3.1110529999999997E-2</v>
      </c>
      <c r="HH55" s="66">
        <v>0</v>
      </c>
      <c r="HI55" s="66">
        <v>0</v>
      </c>
      <c r="HJ55" s="66">
        <v>0</v>
      </c>
      <c r="HK55" s="66">
        <v>0</v>
      </c>
      <c r="HL55" s="66">
        <v>0</v>
      </c>
      <c r="HM55" s="66">
        <v>0</v>
      </c>
      <c r="HN55" s="67">
        <v>0</v>
      </c>
      <c r="HO55" s="67">
        <v>0</v>
      </c>
      <c r="HP55" s="67">
        <v>0</v>
      </c>
      <c r="HQ55" s="187">
        <v>0</v>
      </c>
      <c r="HR55" s="67">
        <v>0</v>
      </c>
      <c r="HS55" s="66">
        <v>0</v>
      </c>
      <c r="HT55" s="66">
        <v>0</v>
      </c>
      <c r="HU55" s="66">
        <v>0</v>
      </c>
      <c r="HV55" s="66">
        <v>0</v>
      </c>
      <c r="HW55" s="66">
        <v>0</v>
      </c>
      <c r="HX55" s="66">
        <v>0</v>
      </c>
      <c r="HY55" s="66">
        <v>0</v>
      </c>
      <c r="HZ55" s="66">
        <v>0</v>
      </c>
      <c r="IA55" s="66">
        <v>0</v>
      </c>
      <c r="IB55" s="66">
        <v>0</v>
      </c>
      <c r="IC55" s="66">
        <v>0</v>
      </c>
      <c r="ID55" s="67" t="s">
        <v>1230</v>
      </c>
      <c r="IE55" s="67" t="s">
        <v>1230</v>
      </c>
      <c r="IF55" s="67">
        <v>0</v>
      </c>
      <c r="IG55" s="187">
        <v>0</v>
      </c>
      <c r="IH55" s="67">
        <v>0</v>
      </c>
      <c r="II55" s="66">
        <v>0</v>
      </c>
      <c r="IJ55" s="66">
        <v>0</v>
      </c>
      <c r="IK55" s="66">
        <v>0</v>
      </c>
      <c r="IL55" s="66">
        <v>0</v>
      </c>
      <c r="IM55" s="66">
        <v>0</v>
      </c>
      <c r="IN55" s="66">
        <v>0</v>
      </c>
      <c r="IO55" s="66">
        <v>0</v>
      </c>
      <c r="IP55" s="66">
        <v>0</v>
      </c>
      <c r="IQ55" s="66">
        <v>0</v>
      </c>
      <c r="IR55" s="66">
        <v>0</v>
      </c>
      <c r="IS55" s="66">
        <v>0</v>
      </c>
      <c r="IT55" s="67" t="s">
        <v>1230</v>
      </c>
      <c r="IU55" s="67" t="s">
        <v>1230</v>
      </c>
      <c r="IV55" s="67">
        <v>0</v>
      </c>
      <c r="IW55" s="187">
        <v>0</v>
      </c>
      <c r="IX55" s="67">
        <v>0</v>
      </c>
    </row>
    <row r="56" spans="1:258" ht="15.6" x14ac:dyDescent="0.3">
      <c r="A56" s="171">
        <v>44</v>
      </c>
      <c r="B56" s="211" t="s">
        <v>113</v>
      </c>
      <c r="C56" s="66">
        <v>214.4427</v>
      </c>
      <c r="D56" s="66">
        <v>0</v>
      </c>
      <c r="E56" s="66">
        <v>225.72916646999997</v>
      </c>
      <c r="F56" s="66">
        <v>214.4427</v>
      </c>
      <c r="G56" s="66">
        <v>11.286466470000001</v>
      </c>
      <c r="H56" s="66">
        <v>214.4427</v>
      </c>
      <c r="I56" s="66">
        <v>2.5000000000000001E-2</v>
      </c>
      <c r="J56" s="66">
        <v>225.72916646999997</v>
      </c>
      <c r="K56" s="66">
        <v>214.4427</v>
      </c>
      <c r="L56" s="66">
        <v>0</v>
      </c>
      <c r="M56" s="66">
        <v>11.286466470000001</v>
      </c>
      <c r="N56" s="67">
        <v>100</v>
      </c>
      <c r="O56" s="67">
        <v>100</v>
      </c>
      <c r="P56" s="67">
        <v>5.000003608970931</v>
      </c>
      <c r="Q56" s="66">
        <v>2.5000000000000001E-2</v>
      </c>
      <c r="R56" s="67">
        <v>5.68295410730002E-15</v>
      </c>
      <c r="S56" s="66">
        <v>160.20509999999999</v>
      </c>
      <c r="T56" s="66">
        <v>0</v>
      </c>
      <c r="U56" s="66">
        <v>168.63694799999999</v>
      </c>
      <c r="V56" s="66">
        <v>160.20509999999999</v>
      </c>
      <c r="W56" s="66">
        <v>8.4318480000000005</v>
      </c>
      <c r="X56" s="66">
        <v>160.20509999999999</v>
      </c>
      <c r="Y56" s="66">
        <v>0</v>
      </c>
      <c r="Z56" s="66">
        <v>168.63694799999999</v>
      </c>
      <c r="AA56" s="66">
        <v>160.20509999999999</v>
      </c>
      <c r="AB56" s="66">
        <v>0</v>
      </c>
      <c r="AC56" s="66">
        <v>8.4318480000000005</v>
      </c>
      <c r="AD56" s="67">
        <v>100</v>
      </c>
      <c r="AE56" s="67">
        <v>100</v>
      </c>
      <c r="AF56" s="67">
        <v>5.0000003557939161</v>
      </c>
      <c r="AG56" s="187">
        <v>0</v>
      </c>
      <c r="AH56" s="67">
        <v>0</v>
      </c>
      <c r="AI56" s="66">
        <v>0</v>
      </c>
      <c r="AJ56" s="66">
        <v>0</v>
      </c>
      <c r="AK56" s="66">
        <v>0</v>
      </c>
      <c r="AL56" s="66">
        <v>0</v>
      </c>
      <c r="AM56" s="66">
        <v>0</v>
      </c>
      <c r="AN56" s="66">
        <v>0</v>
      </c>
      <c r="AO56" s="66">
        <v>0</v>
      </c>
      <c r="AP56" s="66">
        <v>0</v>
      </c>
      <c r="AQ56" s="66">
        <v>0</v>
      </c>
      <c r="AR56" s="66">
        <v>0</v>
      </c>
      <c r="AS56" s="66">
        <v>0</v>
      </c>
      <c r="AT56" s="67" t="s">
        <v>1230</v>
      </c>
      <c r="AU56" s="67" t="s">
        <v>1230</v>
      </c>
      <c r="AV56" s="67">
        <v>0</v>
      </c>
      <c r="AW56" s="187">
        <v>0</v>
      </c>
      <c r="AX56" s="67">
        <v>0</v>
      </c>
      <c r="AY56" s="66">
        <v>25.296399999999998</v>
      </c>
      <c r="AZ56" s="66">
        <v>0</v>
      </c>
      <c r="BA56" s="66">
        <v>26.62778947</v>
      </c>
      <c r="BB56" s="66">
        <v>25.296399999999998</v>
      </c>
      <c r="BC56" s="66">
        <v>1.33138947</v>
      </c>
      <c r="BD56" s="66">
        <v>25.296399999999998</v>
      </c>
      <c r="BE56" s="66">
        <v>0</v>
      </c>
      <c r="BF56" s="66">
        <v>26.62778947</v>
      </c>
      <c r="BG56" s="66">
        <v>25.296399999999998</v>
      </c>
      <c r="BH56" s="66">
        <v>0</v>
      </c>
      <c r="BI56" s="66">
        <v>1.33138947</v>
      </c>
      <c r="BJ56" s="67">
        <v>100</v>
      </c>
      <c r="BK56" s="67">
        <v>100</v>
      </c>
      <c r="BL56" s="67">
        <v>4.9999999868558378</v>
      </c>
      <c r="BM56" s="187">
        <v>0</v>
      </c>
      <c r="BN56" s="67">
        <v>0</v>
      </c>
      <c r="BO56" s="66">
        <v>0</v>
      </c>
      <c r="BP56" s="66">
        <v>0</v>
      </c>
      <c r="BQ56" s="66">
        <v>0</v>
      </c>
      <c r="BR56" s="66">
        <v>0</v>
      </c>
      <c r="BS56" s="66">
        <v>0</v>
      </c>
      <c r="BT56" s="66">
        <v>0</v>
      </c>
      <c r="BU56" s="66">
        <v>2.5000000000000001E-2</v>
      </c>
      <c r="BV56" s="66">
        <v>0</v>
      </c>
      <c r="BW56" s="66">
        <v>0</v>
      </c>
      <c r="BX56" s="66">
        <v>0</v>
      </c>
      <c r="BY56" s="66">
        <v>0</v>
      </c>
      <c r="BZ56" s="67" t="s">
        <v>1230</v>
      </c>
      <c r="CA56" s="67" t="s">
        <v>1230</v>
      </c>
      <c r="CB56" s="67">
        <v>0</v>
      </c>
      <c r="CC56" s="187">
        <v>2.5000000000000001E-2</v>
      </c>
      <c r="CD56" s="67">
        <v>0</v>
      </c>
      <c r="CE56" s="66">
        <v>0</v>
      </c>
      <c r="CF56" s="66">
        <v>0</v>
      </c>
      <c r="CG56" s="66">
        <v>0</v>
      </c>
      <c r="CH56" s="66">
        <v>0</v>
      </c>
      <c r="CI56" s="66">
        <v>0</v>
      </c>
      <c r="CJ56" s="66">
        <v>0</v>
      </c>
      <c r="CK56" s="66">
        <v>0</v>
      </c>
      <c r="CL56" s="66">
        <v>0</v>
      </c>
      <c r="CM56" s="66">
        <v>0</v>
      </c>
      <c r="CN56" s="66">
        <v>0</v>
      </c>
      <c r="CO56" s="66">
        <v>0</v>
      </c>
      <c r="CP56" s="67" t="s">
        <v>1230</v>
      </c>
      <c r="CQ56" s="67" t="s">
        <v>1230</v>
      </c>
      <c r="CR56" s="67">
        <v>0</v>
      </c>
      <c r="CS56" s="187">
        <v>0</v>
      </c>
      <c r="CT56" s="67">
        <v>0</v>
      </c>
      <c r="CU56" s="66">
        <v>0</v>
      </c>
      <c r="CV56" s="66">
        <v>0</v>
      </c>
      <c r="CW56" s="66">
        <v>0</v>
      </c>
      <c r="CX56" s="66">
        <v>0</v>
      </c>
      <c r="CY56" s="66">
        <v>0</v>
      </c>
      <c r="CZ56" s="66">
        <v>0</v>
      </c>
      <c r="DA56" s="66">
        <v>0</v>
      </c>
      <c r="DB56" s="66">
        <v>0</v>
      </c>
      <c r="DC56" s="66">
        <v>0</v>
      </c>
      <c r="DD56" s="66">
        <v>0</v>
      </c>
      <c r="DE56" s="66">
        <v>0</v>
      </c>
      <c r="DF56" s="67" t="s">
        <v>1230</v>
      </c>
      <c r="DG56" s="67" t="s">
        <v>1230</v>
      </c>
      <c r="DH56" s="67">
        <v>0</v>
      </c>
      <c r="DI56" s="187">
        <v>0</v>
      </c>
      <c r="DJ56" s="67">
        <v>0</v>
      </c>
      <c r="DK56" s="66">
        <v>3.6772999999999998</v>
      </c>
      <c r="DL56" s="66">
        <v>0</v>
      </c>
      <c r="DM56" s="66">
        <v>3.8708499999999999</v>
      </c>
      <c r="DN56" s="66">
        <v>3.6772999999999998</v>
      </c>
      <c r="DO56" s="66">
        <v>0.19355</v>
      </c>
      <c r="DP56" s="66">
        <v>3.6772999999999998</v>
      </c>
      <c r="DQ56" s="66">
        <v>0</v>
      </c>
      <c r="DR56" s="66">
        <v>3.8708499999999999</v>
      </c>
      <c r="DS56" s="66">
        <v>3.6772999999999998</v>
      </c>
      <c r="DT56" s="66">
        <v>0</v>
      </c>
      <c r="DU56" s="66">
        <v>0.19355</v>
      </c>
      <c r="DV56" s="67">
        <v>100</v>
      </c>
      <c r="DW56" s="67">
        <v>100</v>
      </c>
      <c r="DX56" s="67">
        <v>5.0001937558934086</v>
      </c>
      <c r="DY56" s="187">
        <v>0</v>
      </c>
      <c r="DZ56" s="67">
        <v>0</v>
      </c>
      <c r="EA56" s="66">
        <v>0</v>
      </c>
      <c r="EB56" s="66">
        <v>0</v>
      </c>
      <c r="EC56" s="66">
        <v>0</v>
      </c>
      <c r="ED56" s="66">
        <v>0</v>
      </c>
      <c r="EE56" s="66">
        <v>0</v>
      </c>
      <c r="EF56" s="66">
        <v>0</v>
      </c>
      <c r="EG56" s="66">
        <v>0</v>
      </c>
      <c r="EH56" s="66">
        <v>0</v>
      </c>
      <c r="EI56" s="66">
        <v>0</v>
      </c>
      <c r="EJ56" s="66">
        <v>0</v>
      </c>
      <c r="EK56" s="66">
        <v>0</v>
      </c>
      <c r="EL56" s="67" t="s">
        <v>1230</v>
      </c>
      <c r="EM56" s="67" t="s">
        <v>1230</v>
      </c>
      <c r="EN56" s="67">
        <v>0</v>
      </c>
      <c r="EO56" s="187">
        <v>0</v>
      </c>
      <c r="EP56" s="67">
        <v>0</v>
      </c>
      <c r="EQ56" s="66">
        <v>2.6629999999999998</v>
      </c>
      <c r="ER56" s="66">
        <v>0</v>
      </c>
      <c r="ES56" s="66">
        <v>2.80315789</v>
      </c>
      <c r="ET56" s="66">
        <v>2.6629999999999998</v>
      </c>
      <c r="EU56" s="66">
        <v>0.14015789000000001</v>
      </c>
      <c r="EV56" s="66">
        <v>2.6629999999999998</v>
      </c>
      <c r="EW56" s="66">
        <v>0</v>
      </c>
      <c r="EX56" s="66">
        <v>2.80315789</v>
      </c>
      <c r="EY56" s="66">
        <v>2.6629999999999998</v>
      </c>
      <c r="EZ56" s="66">
        <v>0</v>
      </c>
      <c r="FA56" s="66">
        <v>0.14015789000000001</v>
      </c>
      <c r="FB56" s="67">
        <v>100</v>
      </c>
      <c r="FC56" s="67">
        <v>100</v>
      </c>
      <c r="FD56" s="67">
        <v>4.9999998394667671</v>
      </c>
      <c r="FE56" s="187">
        <v>0</v>
      </c>
      <c r="FF56" s="67">
        <v>0</v>
      </c>
      <c r="FG56" s="66">
        <v>0</v>
      </c>
      <c r="FH56" s="66">
        <v>0</v>
      </c>
      <c r="FI56" s="66">
        <v>0</v>
      </c>
      <c r="FJ56" s="66">
        <v>0</v>
      </c>
      <c r="FK56" s="66">
        <v>0</v>
      </c>
      <c r="FL56" s="66">
        <v>0</v>
      </c>
      <c r="FM56" s="66">
        <v>0</v>
      </c>
      <c r="FN56" s="66">
        <v>0</v>
      </c>
      <c r="FO56" s="66">
        <v>0</v>
      </c>
      <c r="FP56" s="66">
        <v>0</v>
      </c>
      <c r="FQ56" s="66">
        <v>0</v>
      </c>
      <c r="FR56" s="67" t="s">
        <v>1230</v>
      </c>
      <c r="FS56" s="67" t="s">
        <v>1230</v>
      </c>
      <c r="FT56" s="67">
        <v>0</v>
      </c>
      <c r="FU56" s="187">
        <v>0</v>
      </c>
      <c r="FV56" s="67">
        <v>0</v>
      </c>
      <c r="FW56" s="66">
        <v>21.231400000000001</v>
      </c>
      <c r="FX56" s="66">
        <v>0</v>
      </c>
      <c r="FY56" s="66">
        <v>22.34884211</v>
      </c>
      <c r="FZ56" s="66">
        <v>21.231400000000001</v>
      </c>
      <c r="GA56" s="66">
        <v>1.11744211</v>
      </c>
      <c r="GB56" s="66">
        <v>21.231400000000001</v>
      </c>
      <c r="GC56" s="66">
        <v>0</v>
      </c>
      <c r="GD56" s="66">
        <v>22.34884211</v>
      </c>
      <c r="GE56" s="66">
        <v>21.231400000000001</v>
      </c>
      <c r="GF56" s="66">
        <v>0</v>
      </c>
      <c r="GG56" s="66">
        <v>1.11744211</v>
      </c>
      <c r="GH56" s="67">
        <v>100</v>
      </c>
      <c r="GI56" s="67">
        <v>100</v>
      </c>
      <c r="GJ56" s="67">
        <v>5.0000000201352712</v>
      </c>
      <c r="GK56" s="187">
        <v>0</v>
      </c>
      <c r="GL56" s="67">
        <v>0</v>
      </c>
      <c r="GM56" s="66">
        <v>0</v>
      </c>
      <c r="GN56" s="66">
        <v>0</v>
      </c>
      <c r="GO56" s="66">
        <v>0</v>
      </c>
      <c r="GP56" s="66">
        <v>0</v>
      </c>
      <c r="GQ56" s="66">
        <v>0</v>
      </c>
      <c r="GR56" s="66">
        <v>0</v>
      </c>
      <c r="GS56" s="66">
        <v>0</v>
      </c>
      <c r="GT56" s="66">
        <v>0</v>
      </c>
      <c r="GU56" s="66">
        <v>0</v>
      </c>
      <c r="GV56" s="66">
        <v>0</v>
      </c>
      <c r="GW56" s="66">
        <v>0</v>
      </c>
      <c r="GX56" s="67" t="s">
        <v>1230</v>
      </c>
      <c r="GY56" s="67" t="s">
        <v>1230</v>
      </c>
      <c r="GZ56" s="67">
        <v>0</v>
      </c>
      <c r="HA56" s="187">
        <v>0</v>
      </c>
      <c r="HB56" s="67">
        <v>0</v>
      </c>
      <c r="HC56" s="66">
        <v>1.3694999999999999</v>
      </c>
      <c r="HD56" s="66">
        <v>0</v>
      </c>
      <c r="HE56" s="66">
        <v>1.4415789999999999</v>
      </c>
      <c r="HF56" s="66">
        <v>1.3694999999999999</v>
      </c>
      <c r="HG56" s="66">
        <v>7.2079000000000004E-2</v>
      </c>
      <c r="HH56" s="66">
        <v>1.3694999999999999</v>
      </c>
      <c r="HI56" s="66">
        <v>0</v>
      </c>
      <c r="HJ56" s="66">
        <v>1.4415789999999999</v>
      </c>
      <c r="HK56" s="66">
        <v>1.3694999999999999</v>
      </c>
      <c r="HL56" s="66">
        <v>0</v>
      </c>
      <c r="HM56" s="66">
        <v>7.2079000000000004E-2</v>
      </c>
      <c r="HN56" s="67">
        <v>100</v>
      </c>
      <c r="HO56" s="67">
        <v>100</v>
      </c>
      <c r="HP56" s="67">
        <v>5.0000034684190053</v>
      </c>
      <c r="HQ56" s="187">
        <v>0</v>
      </c>
      <c r="HR56" s="67">
        <v>0</v>
      </c>
      <c r="HS56" s="66">
        <v>0</v>
      </c>
      <c r="HT56" s="66">
        <v>0</v>
      </c>
      <c r="HU56" s="66">
        <v>0</v>
      </c>
      <c r="HV56" s="66">
        <v>0</v>
      </c>
      <c r="HW56" s="66">
        <v>0</v>
      </c>
      <c r="HX56" s="66">
        <v>0</v>
      </c>
      <c r="HY56" s="66">
        <v>0</v>
      </c>
      <c r="HZ56" s="66">
        <v>0</v>
      </c>
      <c r="IA56" s="66">
        <v>0</v>
      </c>
      <c r="IB56" s="66">
        <v>0</v>
      </c>
      <c r="IC56" s="66">
        <v>0</v>
      </c>
      <c r="ID56" s="67" t="s">
        <v>1230</v>
      </c>
      <c r="IE56" s="67" t="s">
        <v>1230</v>
      </c>
      <c r="IF56" s="67">
        <v>0</v>
      </c>
      <c r="IG56" s="187">
        <v>0</v>
      </c>
      <c r="IH56" s="67">
        <v>0</v>
      </c>
      <c r="II56" s="66">
        <v>0</v>
      </c>
      <c r="IJ56" s="66">
        <v>0</v>
      </c>
      <c r="IK56" s="66">
        <v>0</v>
      </c>
      <c r="IL56" s="66">
        <v>0</v>
      </c>
      <c r="IM56" s="66">
        <v>0</v>
      </c>
      <c r="IN56" s="66">
        <v>0</v>
      </c>
      <c r="IO56" s="66">
        <v>0</v>
      </c>
      <c r="IP56" s="66">
        <v>0</v>
      </c>
      <c r="IQ56" s="66">
        <v>0</v>
      </c>
      <c r="IR56" s="66">
        <v>0</v>
      </c>
      <c r="IS56" s="66">
        <v>0</v>
      </c>
      <c r="IT56" s="67" t="s">
        <v>1230</v>
      </c>
      <c r="IU56" s="67" t="s">
        <v>1230</v>
      </c>
      <c r="IV56" s="67">
        <v>0</v>
      </c>
      <c r="IW56" s="187">
        <v>0</v>
      </c>
      <c r="IX56" s="67">
        <v>0</v>
      </c>
    </row>
    <row r="57" spans="1:258" ht="15.6" x14ac:dyDescent="0.3">
      <c r="A57" s="171">
        <v>45</v>
      </c>
      <c r="B57" s="211" t="s">
        <v>115</v>
      </c>
      <c r="C57" s="66">
        <v>39.093199999999996</v>
      </c>
      <c r="D57" s="66">
        <v>0</v>
      </c>
      <c r="E57" s="66">
        <v>42.035698919999994</v>
      </c>
      <c r="F57" s="66">
        <v>39.093199999999996</v>
      </c>
      <c r="G57" s="66">
        <v>2.9424989199999998</v>
      </c>
      <c r="H57" s="66">
        <v>38.992772869999996</v>
      </c>
      <c r="I57" s="66">
        <v>0</v>
      </c>
      <c r="J57" s="66">
        <v>41.927712749999998</v>
      </c>
      <c r="K57" s="66">
        <v>38.992772869999996</v>
      </c>
      <c r="L57" s="66">
        <v>0</v>
      </c>
      <c r="M57" s="66">
        <v>2.9349398799999999</v>
      </c>
      <c r="N57" s="67">
        <v>99.743108443412154</v>
      </c>
      <c r="O57" s="67">
        <v>99.74310814700317</v>
      </c>
      <c r="P57" s="67">
        <v>6.9999999701867832</v>
      </c>
      <c r="Q57" s="66">
        <v>0</v>
      </c>
      <c r="R57" s="67">
        <v>0</v>
      </c>
      <c r="S57" s="66">
        <v>10.1853</v>
      </c>
      <c r="T57" s="66">
        <v>0</v>
      </c>
      <c r="U57" s="66">
        <v>10.951935480000001</v>
      </c>
      <c r="V57" s="66">
        <v>10.1853</v>
      </c>
      <c r="W57" s="66">
        <v>0.76663548000000004</v>
      </c>
      <c r="X57" s="66">
        <v>10.1853</v>
      </c>
      <c r="Y57" s="66">
        <v>0</v>
      </c>
      <c r="Z57" s="66">
        <v>10.951935480000001</v>
      </c>
      <c r="AA57" s="66">
        <v>10.1853</v>
      </c>
      <c r="AB57" s="66">
        <v>0</v>
      </c>
      <c r="AC57" s="66">
        <v>0.76663548000000004</v>
      </c>
      <c r="AD57" s="67">
        <v>100</v>
      </c>
      <c r="AE57" s="67">
        <v>100</v>
      </c>
      <c r="AF57" s="67">
        <v>6.9999999671290976</v>
      </c>
      <c r="AG57" s="187">
        <v>0</v>
      </c>
      <c r="AH57" s="67">
        <v>0</v>
      </c>
      <c r="AI57" s="66">
        <v>0</v>
      </c>
      <c r="AJ57" s="66">
        <v>0</v>
      </c>
      <c r="AK57" s="66">
        <v>0</v>
      </c>
      <c r="AL57" s="66">
        <v>0</v>
      </c>
      <c r="AM57" s="66">
        <v>0</v>
      </c>
      <c r="AN57" s="66">
        <v>0</v>
      </c>
      <c r="AO57" s="66">
        <v>0</v>
      </c>
      <c r="AP57" s="66">
        <v>0</v>
      </c>
      <c r="AQ57" s="66">
        <v>0</v>
      </c>
      <c r="AR57" s="66">
        <v>0</v>
      </c>
      <c r="AS57" s="66">
        <v>0</v>
      </c>
      <c r="AT57" s="67" t="s">
        <v>1230</v>
      </c>
      <c r="AU57" s="67" t="s">
        <v>1230</v>
      </c>
      <c r="AV57" s="67">
        <v>0</v>
      </c>
      <c r="AW57" s="187">
        <v>0</v>
      </c>
      <c r="AX57" s="67">
        <v>0</v>
      </c>
      <c r="AY57" s="66">
        <v>20.518599999999999</v>
      </c>
      <c r="AZ57" s="66">
        <v>0</v>
      </c>
      <c r="BA57" s="66">
        <v>22.06301075</v>
      </c>
      <c r="BB57" s="66">
        <v>20.518599999999999</v>
      </c>
      <c r="BC57" s="66">
        <v>1.5444107499999999</v>
      </c>
      <c r="BD57" s="66">
        <v>20.518599999999999</v>
      </c>
      <c r="BE57" s="66">
        <v>0</v>
      </c>
      <c r="BF57" s="66">
        <v>22.06301075</v>
      </c>
      <c r="BG57" s="66">
        <v>20.518599999999999</v>
      </c>
      <c r="BH57" s="66">
        <v>0</v>
      </c>
      <c r="BI57" s="66">
        <v>1.5444107499999999</v>
      </c>
      <c r="BJ57" s="67">
        <v>100</v>
      </c>
      <c r="BK57" s="67">
        <v>100</v>
      </c>
      <c r="BL57" s="67">
        <v>6.9999999886688178</v>
      </c>
      <c r="BM57" s="187">
        <v>0</v>
      </c>
      <c r="BN57" s="67">
        <v>0</v>
      </c>
      <c r="BO57" s="66">
        <v>0</v>
      </c>
      <c r="BP57" s="66">
        <v>0</v>
      </c>
      <c r="BQ57" s="66">
        <v>0</v>
      </c>
      <c r="BR57" s="66">
        <v>0</v>
      </c>
      <c r="BS57" s="66">
        <v>0</v>
      </c>
      <c r="BT57" s="66">
        <v>0</v>
      </c>
      <c r="BU57" s="66">
        <v>0</v>
      </c>
      <c r="BV57" s="66">
        <v>0</v>
      </c>
      <c r="BW57" s="66">
        <v>0</v>
      </c>
      <c r="BX57" s="66">
        <v>0</v>
      </c>
      <c r="BY57" s="66">
        <v>0</v>
      </c>
      <c r="BZ57" s="67" t="s">
        <v>1230</v>
      </c>
      <c r="CA57" s="67" t="s">
        <v>1230</v>
      </c>
      <c r="CB57" s="67">
        <v>0</v>
      </c>
      <c r="CC57" s="187">
        <v>0</v>
      </c>
      <c r="CD57" s="67">
        <v>0</v>
      </c>
      <c r="CE57" s="66">
        <v>0</v>
      </c>
      <c r="CF57" s="66">
        <v>0</v>
      </c>
      <c r="CG57" s="66">
        <v>0</v>
      </c>
      <c r="CH57" s="66">
        <v>0</v>
      </c>
      <c r="CI57" s="66">
        <v>0</v>
      </c>
      <c r="CJ57" s="66">
        <v>0</v>
      </c>
      <c r="CK57" s="66">
        <v>0</v>
      </c>
      <c r="CL57" s="66">
        <v>0</v>
      </c>
      <c r="CM57" s="66">
        <v>0</v>
      </c>
      <c r="CN57" s="66">
        <v>0</v>
      </c>
      <c r="CO57" s="66">
        <v>0</v>
      </c>
      <c r="CP57" s="67" t="s">
        <v>1230</v>
      </c>
      <c r="CQ57" s="67" t="s">
        <v>1230</v>
      </c>
      <c r="CR57" s="67">
        <v>0</v>
      </c>
      <c r="CS57" s="187">
        <v>0</v>
      </c>
      <c r="CT57" s="67">
        <v>0</v>
      </c>
      <c r="CU57" s="66">
        <v>0</v>
      </c>
      <c r="CV57" s="66">
        <v>0</v>
      </c>
      <c r="CW57" s="66">
        <v>0</v>
      </c>
      <c r="CX57" s="66">
        <v>0</v>
      </c>
      <c r="CY57" s="66">
        <v>0</v>
      </c>
      <c r="CZ57" s="66">
        <v>0</v>
      </c>
      <c r="DA57" s="66">
        <v>0</v>
      </c>
      <c r="DB57" s="66">
        <v>0</v>
      </c>
      <c r="DC57" s="66">
        <v>0</v>
      </c>
      <c r="DD57" s="66">
        <v>0</v>
      </c>
      <c r="DE57" s="66">
        <v>0</v>
      </c>
      <c r="DF57" s="67" t="s">
        <v>1230</v>
      </c>
      <c r="DG57" s="67" t="s">
        <v>1230</v>
      </c>
      <c r="DH57" s="67">
        <v>0</v>
      </c>
      <c r="DI57" s="187">
        <v>0</v>
      </c>
      <c r="DJ57" s="67">
        <v>0</v>
      </c>
      <c r="DK57" s="66">
        <v>5.1841999999999997</v>
      </c>
      <c r="DL57" s="66">
        <v>0</v>
      </c>
      <c r="DM57" s="66">
        <v>5.5744085999999999</v>
      </c>
      <c r="DN57" s="66">
        <v>5.1841999999999997</v>
      </c>
      <c r="DO57" s="66">
        <v>0.39020859999999996</v>
      </c>
      <c r="DP57" s="66">
        <v>5.0837728699999998</v>
      </c>
      <c r="DQ57" s="66">
        <v>0</v>
      </c>
      <c r="DR57" s="66">
        <v>5.4664224299999997</v>
      </c>
      <c r="DS57" s="66">
        <v>5.0837728699999998</v>
      </c>
      <c r="DT57" s="66">
        <v>0</v>
      </c>
      <c r="DU57" s="66">
        <v>0.38264956</v>
      </c>
      <c r="DV57" s="67">
        <v>98.06282300065584</v>
      </c>
      <c r="DW57" s="67">
        <v>98.062820757922822</v>
      </c>
      <c r="DX57" s="67">
        <v>6.9999998152356486</v>
      </c>
      <c r="DY57" s="187">
        <v>0</v>
      </c>
      <c r="DZ57" s="67">
        <v>0</v>
      </c>
      <c r="EA57" s="66">
        <v>0</v>
      </c>
      <c r="EB57" s="66">
        <v>0</v>
      </c>
      <c r="EC57" s="66">
        <v>0</v>
      </c>
      <c r="ED57" s="66">
        <v>0</v>
      </c>
      <c r="EE57" s="66">
        <v>0</v>
      </c>
      <c r="EF57" s="66">
        <v>0</v>
      </c>
      <c r="EG57" s="66">
        <v>0</v>
      </c>
      <c r="EH57" s="66">
        <v>0</v>
      </c>
      <c r="EI57" s="66">
        <v>0</v>
      </c>
      <c r="EJ57" s="66">
        <v>0</v>
      </c>
      <c r="EK57" s="66">
        <v>0</v>
      </c>
      <c r="EL57" s="67" t="s">
        <v>1230</v>
      </c>
      <c r="EM57" s="67" t="s">
        <v>1230</v>
      </c>
      <c r="EN57" s="67">
        <v>0</v>
      </c>
      <c r="EO57" s="187">
        <v>0</v>
      </c>
      <c r="EP57" s="67">
        <v>0</v>
      </c>
      <c r="EQ57" s="66">
        <v>3.2050999999999998</v>
      </c>
      <c r="ER57" s="66">
        <v>0</v>
      </c>
      <c r="ES57" s="66">
        <v>3.4463440899999997</v>
      </c>
      <c r="ET57" s="66">
        <v>3.2050999999999998</v>
      </c>
      <c r="EU57" s="66">
        <v>0.24124408999999999</v>
      </c>
      <c r="EV57" s="66">
        <v>3.2050999999999998</v>
      </c>
      <c r="EW57" s="66">
        <v>0</v>
      </c>
      <c r="EX57" s="66">
        <v>3.4463440899999997</v>
      </c>
      <c r="EY57" s="66">
        <v>3.2050999999999998</v>
      </c>
      <c r="EZ57" s="66">
        <v>0</v>
      </c>
      <c r="FA57" s="66">
        <v>0.24124408999999999</v>
      </c>
      <c r="FB57" s="67">
        <v>100</v>
      </c>
      <c r="FC57" s="67">
        <v>100</v>
      </c>
      <c r="FD57" s="67">
        <v>7.0000001073601448</v>
      </c>
      <c r="FE57" s="187">
        <v>0</v>
      </c>
      <c r="FF57" s="67">
        <v>0</v>
      </c>
      <c r="FG57" s="66">
        <v>0</v>
      </c>
      <c r="FH57" s="66">
        <v>0</v>
      </c>
      <c r="FI57" s="66">
        <v>0</v>
      </c>
      <c r="FJ57" s="66">
        <v>0</v>
      </c>
      <c r="FK57" s="66">
        <v>0</v>
      </c>
      <c r="FL57" s="66">
        <v>0</v>
      </c>
      <c r="FM57" s="66">
        <v>0</v>
      </c>
      <c r="FN57" s="66">
        <v>0</v>
      </c>
      <c r="FO57" s="66">
        <v>0</v>
      </c>
      <c r="FP57" s="66">
        <v>0</v>
      </c>
      <c r="FQ57" s="66">
        <v>0</v>
      </c>
      <c r="FR57" s="67" t="s">
        <v>1230</v>
      </c>
      <c r="FS57" s="67" t="s">
        <v>1230</v>
      </c>
      <c r="FT57" s="67">
        <v>0</v>
      </c>
      <c r="FU57" s="187">
        <v>0</v>
      </c>
      <c r="FV57" s="67">
        <v>0</v>
      </c>
      <c r="FW57" s="66">
        <v>0</v>
      </c>
      <c r="FX57" s="66">
        <v>0</v>
      </c>
      <c r="FY57" s="66">
        <v>0</v>
      </c>
      <c r="FZ57" s="66">
        <v>0</v>
      </c>
      <c r="GA57" s="66">
        <v>0</v>
      </c>
      <c r="GB57" s="66">
        <v>0</v>
      </c>
      <c r="GC57" s="66">
        <v>0</v>
      </c>
      <c r="GD57" s="66">
        <v>0</v>
      </c>
      <c r="GE57" s="66">
        <v>0</v>
      </c>
      <c r="GF57" s="66">
        <v>0</v>
      </c>
      <c r="GG57" s="66">
        <v>0</v>
      </c>
      <c r="GH57" s="67" t="s">
        <v>1230</v>
      </c>
      <c r="GI57" s="67" t="s">
        <v>1230</v>
      </c>
      <c r="GJ57" s="67">
        <v>0</v>
      </c>
      <c r="GK57" s="187">
        <v>0</v>
      </c>
      <c r="GL57" s="67">
        <v>0</v>
      </c>
      <c r="GM57" s="66">
        <v>0</v>
      </c>
      <c r="GN57" s="66">
        <v>0</v>
      </c>
      <c r="GO57" s="66">
        <v>0</v>
      </c>
      <c r="GP57" s="66">
        <v>0</v>
      </c>
      <c r="GQ57" s="66">
        <v>0</v>
      </c>
      <c r="GR57" s="66">
        <v>0</v>
      </c>
      <c r="GS57" s="66">
        <v>0</v>
      </c>
      <c r="GT57" s="66">
        <v>0</v>
      </c>
      <c r="GU57" s="66">
        <v>0</v>
      </c>
      <c r="GV57" s="66">
        <v>0</v>
      </c>
      <c r="GW57" s="66">
        <v>0</v>
      </c>
      <c r="GX57" s="67" t="s">
        <v>1230</v>
      </c>
      <c r="GY57" s="67" t="s">
        <v>1230</v>
      </c>
      <c r="GZ57" s="67">
        <v>0</v>
      </c>
      <c r="HA57" s="187">
        <v>0</v>
      </c>
      <c r="HB57" s="67">
        <v>0</v>
      </c>
      <c r="HC57" s="66">
        <v>0</v>
      </c>
      <c r="HD57" s="66">
        <v>0</v>
      </c>
      <c r="HE57" s="66">
        <v>0</v>
      </c>
      <c r="HF57" s="66">
        <v>0</v>
      </c>
      <c r="HG57" s="66">
        <v>0</v>
      </c>
      <c r="HH57" s="66">
        <v>0</v>
      </c>
      <c r="HI57" s="66">
        <v>0</v>
      </c>
      <c r="HJ57" s="66">
        <v>0</v>
      </c>
      <c r="HK57" s="66">
        <v>0</v>
      </c>
      <c r="HL57" s="66">
        <v>0</v>
      </c>
      <c r="HM57" s="66">
        <v>0</v>
      </c>
      <c r="HN57" s="67" t="s">
        <v>1230</v>
      </c>
      <c r="HO57" s="67" t="s">
        <v>1230</v>
      </c>
      <c r="HP57" s="67">
        <v>0</v>
      </c>
      <c r="HQ57" s="187">
        <v>0</v>
      </c>
      <c r="HR57" s="67">
        <v>0</v>
      </c>
      <c r="HS57" s="66">
        <v>0</v>
      </c>
      <c r="HT57" s="66">
        <v>0</v>
      </c>
      <c r="HU57" s="66">
        <v>0</v>
      </c>
      <c r="HV57" s="66">
        <v>0</v>
      </c>
      <c r="HW57" s="66">
        <v>0</v>
      </c>
      <c r="HX57" s="66">
        <v>0</v>
      </c>
      <c r="HY57" s="66">
        <v>0</v>
      </c>
      <c r="HZ57" s="66">
        <v>0</v>
      </c>
      <c r="IA57" s="66">
        <v>0</v>
      </c>
      <c r="IB57" s="66">
        <v>0</v>
      </c>
      <c r="IC57" s="66">
        <v>0</v>
      </c>
      <c r="ID57" s="67" t="s">
        <v>1230</v>
      </c>
      <c r="IE57" s="67" t="s">
        <v>1230</v>
      </c>
      <c r="IF57" s="67">
        <v>0</v>
      </c>
      <c r="IG57" s="187">
        <v>0</v>
      </c>
      <c r="IH57" s="67">
        <v>0</v>
      </c>
      <c r="II57" s="66">
        <v>0</v>
      </c>
      <c r="IJ57" s="66">
        <v>0</v>
      </c>
      <c r="IK57" s="66">
        <v>0</v>
      </c>
      <c r="IL57" s="66">
        <v>0</v>
      </c>
      <c r="IM57" s="66">
        <v>0</v>
      </c>
      <c r="IN57" s="66">
        <v>0</v>
      </c>
      <c r="IO57" s="66">
        <v>0</v>
      </c>
      <c r="IP57" s="66">
        <v>0</v>
      </c>
      <c r="IQ57" s="66">
        <v>0</v>
      </c>
      <c r="IR57" s="66">
        <v>0</v>
      </c>
      <c r="IS57" s="66">
        <v>0</v>
      </c>
      <c r="IT57" s="67" t="s">
        <v>1230</v>
      </c>
      <c r="IU57" s="67" t="s">
        <v>1230</v>
      </c>
      <c r="IV57" s="67">
        <v>0</v>
      </c>
      <c r="IW57" s="187">
        <v>0</v>
      </c>
      <c r="IX57" s="67">
        <v>0</v>
      </c>
    </row>
    <row r="58" spans="1:258" ht="15.6" x14ac:dyDescent="0.3">
      <c r="A58" s="171">
        <v>46</v>
      </c>
      <c r="B58" s="211" t="s">
        <v>117</v>
      </c>
      <c r="C58" s="66">
        <v>168.56540000000004</v>
      </c>
      <c r="D58" s="66">
        <v>0</v>
      </c>
      <c r="E58" s="66">
        <v>177.43726321999998</v>
      </c>
      <c r="F58" s="66">
        <v>168.56540000000004</v>
      </c>
      <c r="G58" s="66">
        <v>8.8718632199999998</v>
      </c>
      <c r="H58" s="66">
        <v>168.56540000000004</v>
      </c>
      <c r="I58" s="66">
        <v>0</v>
      </c>
      <c r="J58" s="66">
        <v>177.43726318</v>
      </c>
      <c r="K58" s="66">
        <v>168.56540000000004</v>
      </c>
      <c r="L58" s="66">
        <v>0</v>
      </c>
      <c r="M58" s="66">
        <v>8.8718631800000001</v>
      </c>
      <c r="N58" s="67">
        <v>100</v>
      </c>
      <c r="O58" s="67">
        <v>99.999999549136419</v>
      </c>
      <c r="P58" s="67">
        <v>5.0000000118351693</v>
      </c>
      <c r="Q58" s="66">
        <v>0</v>
      </c>
      <c r="R58" s="67">
        <v>0</v>
      </c>
      <c r="S58" s="66">
        <v>128.12200000000001</v>
      </c>
      <c r="T58" s="66">
        <v>0</v>
      </c>
      <c r="U58" s="66">
        <v>134.86526315999998</v>
      </c>
      <c r="V58" s="66">
        <v>128.12200000000001</v>
      </c>
      <c r="W58" s="66">
        <v>6.7432631600000006</v>
      </c>
      <c r="X58" s="66">
        <v>128.12200000000001</v>
      </c>
      <c r="Y58" s="66">
        <v>0</v>
      </c>
      <c r="Z58" s="66">
        <v>134.86526315999998</v>
      </c>
      <c r="AA58" s="66">
        <v>128.12200000000001</v>
      </c>
      <c r="AB58" s="66">
        <v>0</v>
      </c>
      <c r="AC58" s="66">
        <v>6.7432631600000006</v>
      </c>
      <c r="AD58" s="67">
        <v>100</v>
      </c>
      <c r="AE58" s="67">
        <v>100</v>
      </c>
      <c r="AF58" s="67">
        <v>5.0000000014829631</v>
      </c>
      <c r="AG58" s="187">
        <v>0</v>
      </c>
      <c r="AH58" s="67">
        <v>0</v>
      </c>
      <c r="AI58" s="66">
        <v>0</v>
      </c>
      <c r="AJ58" s="66">
        <v>0</v>
      </c>
      <c r="AK58" s="66">
        <v>0</v>
      </c>
      <c r="AL58" s="66">
        <v>0</v>
      </c>
      <c r="AM58" s="66">
        <v>0</v>
      </c>
      <c r="AN58" s="66">
        <v>0</v>
      </c>
      <c r="AO58" s="66">
        <v>0</v>
      </c>
      <c r="AP58" s="66">
        <v>0</v>
      </c>
      <c r="AQ58" s="66">
        <v>0</v>
      </c>
      <c r="AR58" s="66">
        <v>0</v>
      </c>
      <c r="AS58" s="66">
        <v>0</v>
      </c>
      <c r="AT58" s="67" t="s">
        <v>1230</v>
      </c>
      <c r="AU58" s="67" t="s">
        <v>1230</v>
      </c>
      <c r="AV58" s="67">
        <v>0</v>
      </c>
      <c r="AW58" s="187">
        <v>0</v>
      </c>
      <c r="AX58" s="67">
        <v>0</v>
      </c>
      <c r="AY58" s="66">
        <v>33.927700000000002</v>
      </c>
      <c r="AZ58" s="66">
        <v>0</v>
      </c>
      <c r="BA58" s="66">
        <v>35.713368469999999</v>
      </c>
      <c r="BB58" s="66">
        <v>33.927700000000002</v>
      </c>
      <c r="BC58" s="66">
        <v>1.7856684700000001</v>
      </c>
      <c r="BD58" s="66">
        <v>33.927700000000002</v>
      </c>
      <c r="BE58" s="66">
        <v>0</v>
      </c>
      <c r="BF58" s="66">
        <v>35.713368450000004</v>
      </c>
      <c r="BG58" s="66">
        <v>33.927700000000002</v>
      </c>
      <c r="BH58" s="66">
        <v>0</v>
      </c>
      <c r="BI58" s="66">
        <v>1.78566845</v>
      </c>
      <c r="BJ58" s="67">
        <v>100</v>
      </c>
      <c r="BK58" s="67">
        <v>99.999998879971258</v>
      </c>
      <c r="BL58" s="67">
        <v>5.0000000770019772</v>
      </c>
      <c r="BM58" s="187">
        <v>0</v>
      </c>
      <c r="BN58" s="67">
        <v>0</v>
      </c>
      <c r="BO58" s="66">
        <v>0</v>
      </c>
      <c r="BP58" s="66">
        <v>0</v>
      </c>
      <c r="BQ58" s="66">
        <v>0</v>
      </c>
      <c r="BR58" s="66">
        <v>0</v>
      </c>
      <c r="BS58" s="66">
        <v>0</v>
      </c>
      <c r="BT58" s="66">
        <v>0</v>
      </c>
      <c r="BU58" s="66">
        <v>0</v>
      </c>
      <c r="BV58" s="66">
        <v>0</v>
      </c>
      <c r="BW58" s="66">
        <v>0</v>
      </c>
      <c r="BX58" s="66">
        <v>0</v>
      </c>
      <c r="BY58" s="66">
        <v>0</v>
      </c>
      <c r="BZ58" s="67" t="s">
        <v>1230</v>
      </c>
      <c r="CA58" s="67" t="s">
        <v>1230</v>
      </c>
      <c r="CB58" s="67">
        <v>0</v>
      </c>
      <c r="CC58" s="187">
        <v>0</v>
      </c>
      <c r="CD58" s="67">
        <v>0</v>
      </c>
      <c r="CE58" s="66">
        <v>0</v>
      </c>
      <c r="CF58" s="66">
        <v>0</v>
      </c>
      <c r="CG58" s="66">
        <v>0</v>
      </c>
      <c r="CH58" s="66">
        <v>0</v>
      </c>
      <c r="CI58" s="66">
        <v>0</v>
      </c>
      <c r="CJ58" s="66">
        <v>0</v>
      </c>
      <c r="CK58" s="66">
        <v>0</v>
      </c>
      <c r="CL58" s="66">
        <v>0</v>
      </c>
      <c r="CM58" s="66">
        <v>0</v>
      </c>
      <c r="CN58" s="66">
        <v>0</v>
      </c>
      <c r="CO58" s="66">
        <v>0</v>
      </c>
      <c r="CP58" s="67" t="s">
        <v>1230</v>
      </c>
      <c r="CQ58" s="67" t="s">
        <v>1230</v>
      </c>
      <c r="CR58" s="67">
        <v>0</v>
      </c>
      <c r="CS58" s="187">
        <v>0</v>
      </c>
      <c r="CT58" s="67">
        <v>0</v>
      </c>
      <c r="CU58" s="66">
        <v>0</v>
      </c>
      <c r="CV58" s="66">
        <v>0</v>
      </c>
      <c r="CW58" s="66">
        <v>0</v>
      </c>
      <c r="CX58" s="66">
        <v>0</v>
      </c>
      <c r="CY58" s="66">
        <v>0</v>
      </c>
      <c r="CZ58" s="66">
        <v>0</v>
      </c>
      <c r="DA58" s="66">
        <v>0</v>
      </c>
      <c r="DB58" s="66">
        <v>0</v>
      </c>
      <c r="DC58" s="66">
        <v>0</v>
      </c>
      <c r="DD58" s="66">
        <v>0</v>
      </c>
      <c r="DE58" s="66">
        <v>0</v>
      </c>
      <c r="DF58" s="67" t="s">
        <v>1230</v>
      </c>
      <c r="DG58" s="67" t="s">
        <v>1230</v>
      </c>
      <c r="DH58" s="67">
        <v>0</v>
      </c>
      <c r="DI58" s="187">
        <v>0</v>
      </c>
      <c r="DJ58" s="67">
        <v>0</v>
      </c>
      <c r="DK58" s="66">
        <v>3.7536</v>
      </c>
      <c r="DL58" s="66">
        <v>0</v>
      </c>
      <c r="DM58" s="66">
        <v>3.9511579000000001</v>
      </c>
      <c r="DN58" s="66">
        <v>3.7536</v>
      </c>
      <c r="DO58" s="66">
        <v>0.19755789999999998</v>
      </c>
      <c r="DP58" s="66">
        <v>3.7536</v>
      </c>
      <c r="DQ58" s="66">
        <v>0</v>
      </c>
      <c r="DR58" s="66">
        <v>3.9511578799999998</v>
      </c>
      <c r="DS58" s="66">
        <v>3.7536</v>
      </c>
      <c r="DT58" s="66">
        <v>0</v>
      </c>
      <c r="DU58" s="66">
        <v>0.19755787999999999</v>
      </c>
      <c r="DV58" s="67">
        <v>100</v>
      </c>
      <c r="DW58" s="67">
        <v>99.999989876385612</v>
      </c>
      <c r="DX58" s="67">
        <v>4.9999996456734852</v>
      </c>
      <c r="DY58" s="187">
        <v>0</v>
      </c>
      <c r="DZ58" s="67">
        <v>0</v>
      </c>
      <c r="EA58" s="66">
        <v>0</v>
      </c>
      <c r="EB58" s="66">
        <v>0</v>
      </c>
      <c r="EC58" s="66">
        <v>0</v>
      </c>
      <c r="ED58" s="66">
        <v>0</v>
      </c>
      <c r="EE58" s="66">
        <v>0</v>
      </c>
      <c r="EF58" s="66">
        <v>0</v>
      </c>
      <c r="EG58" s="66">
        <v>0</v>
      </c>
      <c r="EH58" s="66">
        <v>0</v>
      </c>
      <c r="EI58" s="66">
        <v>0</v>
      </c>
      <c r="EJ58" s="66">
        <v>0</v>
      </c>
      <c r="EK58" s="66">
        <v>0</v>
      </c>
      <c r="EL58" s="67" t="s">
        <v>1230</v>
      </c>
      <c r="EM58" s="67" t="s">
        <v>1230</v>
      </c>
      <c r="EN58" s="67">
        <v>0</v>
      </c>
      <c r="EO58" s="187">
        <v>0</v>
      </c>
      <c r="EP58" s="67">
        <v>0</v>
      </c>
      <c r="EQ58" s="66">
        <v>2.7621000000000002</v>
      </c>
      <c r="ER58" s="66">
        <v>0</v>
      </c>
      <c r="ES58" s="66">
        <v>2.9074736899999998</v>
      </c>
      <c r="ET58" s="66">
        <v>2.7621000000000002</v>
      </c>
      <c r="EU58" s="66">
        <v>0.14537369</v>
      </c>
      <c r="EV58" s="66">
        <v>2.7621000000000002</v>
      </c>
      <c r="EW58" s="66">
        <v>0</v>
      </c>
      <c r="EX58" s="66">
        <v>2.9074736899999998</v>
      </c>
      <c r="EY58" s="66">
        <v>2.7621000000000002</v>
      </c>
      <c r="EZ58" s="66">
        <v>0</v>
      </c>
      <c r="FA58" s="66">
        <v>0.14537369</v>
      </c>
      <c r="FB58" s="67">
        <v>100</v>
      </c>
      <c r="FC58" s="67">
        <v>100</v>
      </c>
      <c r="FD58" s="67">
        <v>5.000000189167662</v>
      </c>
      <c r="FE58" s="187">
        <v>0</v>
      </c>
      <c r="FF58" s="67">
        <v>0</v>
      </c>
      <c r="FG58" s="66">
        <v>0</v>
      </c>
      <c r="FH58" s="66">
        <v>0</v>
      </c>
      <c r="FI58" s="66">
        <v>0</v>
      </c>
      <c r="FJ58" s="66">
        <v>0</v>
      </c>
      <c r="FK58" s="66">
        <v>0</v>
      </c>
      <c r="FL58" s="66">
        <v>0</v>
      </c>
      <c r="FM58" s="66">
        <v>0</v>
      </c>
      <c r="FN58" s="66">
        <v>0</v>
      </c>
      <c r="FO58" s="66">
        <v>0</v>
      </c>
      <c r="FP58" s="66">
        <v>0</v>
      </c>
      <c r="FQ58" s="66">
        <v>0</v>
      </c>
      <c r="FR58" s="67" t="s">
        <v>1230</v>
      </c>
      <c r="FS58" s="67" t="s">
        <v>1230</v>
      </c>
      <c r="FT58" s="67">
        <v>0</v>
      </c>
      <c r="FU58" s="187">
        <v>0</v>
      </c>
      <c r="FV58" s="67">
        <v>0</v>
      </c>
      <c r="FW58" s="66">
        <v>0</v>
      </c>
      <c r="FX58" s="66">
        <v>0</v>
      </c>
      <c r="FY58" s="66">
        <v>0</v>
      </c>
      <c r="FZ58" s="66">
        <v>0</v>
      </c>
      <c r="GA58" s="66">
        <v>0</v>
      </c>
      <c r="GB58" s="66">
        <v>0</v>
      </c>
      <c r="GC58" s="66">
        <v>0</v>
      </c>
      <c r="GD58" s="66">
        <v>0</v>
      </c>
      <c r="GE58" s="66">
        <v>0</v>
      </c>
      <c r="GF58" s="66">
        <v>0</v>
      </c>
      <c r="GG58" s="66">
        <v>0</v>
      </c>
      <c r="GH58" s="67" t="s">
        <v>1230</v>
      </c>
      <c r="GI58" s="67" t="s">
        <v>1230</v>
      </c>
      <c r="GJ58" s="67">
        <v>0</v>
      </c>
      <c r="GK58" s="187">
        <v>0</v>
      </c>
      <c r="GL58" s="67">
        <v>0</v>
      </c>
      <c r="GM58" s="66">
        <v>0</v>
      </c>
      <c r="GN58" s="66">
        <v>0</v>
      </c>
      <c r="GO58" s="66">
        <v>0</v>
      </c>
      <c r="GP58" s="66">
        <v>0</v>
      </c>
      <c r="GQ58" s="66">
        <v>0</v>
      </c>
      <c r="GR58" s="66">
        <v>0</v>
      </c>
      <c r="GS58" s="66">
        <v>0</v>
      </c>
      <c r="GT58" s="66">
        <v>0</v>
      </c>
      <c r="GU58" s="66">
        <v>0</v>
      </c>
      <c r="GV58" s="66">
        <v>0</v>
      </c>
      <c r="GW58" s="66">
        <v>0</v>
      </c>
      <c r="GX58" s="67" t="s">
        <v>1230</v>
      </c>
      <c r="GY58" s="67" t="s">
        <v>1230</v>
      </c>
      <c r="GZ58" s="67">
        <v>0</v>
      </c>
      <c r="HA58" s="187">
        <v>0</v>
      </c>
      <c r="HB58" s="67">
        <v>0</v>
      </c>
      <c r="HC58" s="66">
        <v>0</v>
      </c>
      <c r="HD58" s="66">
        <v>0</v>
      </c>
      <c r="HE58" s="66">
        <v>0</v>
      </c>
      <c r="HF58" s="66">
        <v>0</v>
      </c>
      <c r="HG58" s="66">
        <v>0</v>
      </c>
      <c r="HH58" s="66">
        <v>0</v>
      </c>
      <c r="HI58" s="66">
        <v>0</v>
      </c>
      <c r="HJ58" s="66">
        <v>0</v>
      </c>
      <c r="HK58" s="66">
        <v>0</v>
      </c>
      <c r="HL58" s="66">
        <v>0</v>
      </c>
      <c r="HM58" s="66">
        <v>0</v>
      </c>
      <c r="HN58" s="67" t="s">
        <v>1230</v>
      </c>
      <c r="HO58" s="67" t="s">
        <v>1230</v>
      </c>
      <c r="HP58" s="67">
        <v>0</v>
      </c>
      <c r="HQ58" s="187">
        <v>0</v>
      </c>
      <c r="HR58" s="67">
        <v>0</v>
      </c>
      <c r="HS58" s="66">
        <v>0</v>
      </c>
      <c r="HT58" s="66">
        <v>0</v>
      </c>
      <c r="HU58" s="66">
        <v>0</v>
      </c>
      <c r="HV58" s="66">
        <v>0</v>
      </c>
      <c r="HW58" s="66">
        <v>0</v>
      </c>
      <c r="HX58" s="66">
        <v>0</v>
      </c>
      <c r="HY58" s="66">
        <v>0</v>
      </c>
      <c r="HZ58" s="66">
        <v>0</v>
      </c>
      <c r="IA58" s="66">
        <v>0</v>
      </c>
      <c r="IB58" s="66">
        <v>0</v>
      </c>
      <c r="IC58" s="66">
        <v>0</v>
      </c>
      <c r="ID58" s="67" t="s">
        <v>1230</v>
      </c>
      <c r="IE58" s="67" t="s">
        <v>1230</v>
      </c>
      <c r="IF58" s="67">
        <v>0</v>
      </c>
      <c r="IG58" s="187">
        <v>0</v>
      </c>
      <c r="IH58" s="67">
        <v>0</v>
      </c>
      <c r="II58" s="66">
        <v>0</v>
      </c>
      <c r="IJ58" s="66">
        <v>0</v>
      </c>
      <c r="IK58" s="66">
        <v>0</v>
      </c>
      <c r="IL58" s="66">
        <v>0</v>
      </c>
      <c r="IM58" s="66">
        <v>0</v>
      </c>
      <c r="IN58" s="66">
        <v>0</v>
      </c>
      <c r="IO58" s="66">
        <v>0</v>
      </c>
      <c r="IP58" s="66">
        <v>0</v>
      </c>
      <c r="IQ58" s="66">
        <v>0</v>
      </c>
      <c r="IR58" s="66">
        <v>0</v>
      </c>
      <c r="IS58" s="66">
        <v>0</v>
      </c>
      <c r="IT58" s="67" t="s">
        <v>1230</v>
      </c>
      <c r="IU58" s="67" t="s">
        <v>1230</v>
      </c>
      <c r="IV58" s="67">
        <v>0</v>
      </c>
      <c r="IW58" s="187">
        <v>0</v>
      </c>
      <c r="IX58" s="67">
        <v>0</v>
      </c>
    </row>
    <row r="59" spans="1:258" ht="31.2" x14ac:dyDescent="0.3">
      <c r="A59" s="171">
        <v>47</v>
      </c>
      <c r="B59" s="211" t="s">
        <v>119</v>
      </c>
      <c r="C59" s="66">
        <v>182.87370000000001</v>
      </c>
      <c r="D59" s="66">
        <v>0</v>
      </c>
      <c r="E59" s="66">
        <v>196.63838933000002</v>
      </c>
      <c r="F59" s="66">
        <v>182.87370000000001</v>
      </c>
      <c r="G59" s="66">
        <v>13.76468933</v>
      </c>
      <c r="H59" s="66">
        <v>182.70043602000001</v>
      </c>
      <c r="I59" s="66">
        <v>1.0901460000000001</v>
      </c>
      <c r="J59" s="66">
        <v>196.45208402000003</v>
      </c>
      <c r="K59" s="66">
        <v>182.70043602000001</v>
      </c>
      <c r="L59" s="66">
        <v>0</v>
      </c>
      <c r="M59" s="66">
        <v>13.751647999999999</v>
      </c>
      <c r="N59" s="67">
        <v>99.905254839815669</v>
      </c>
      <c r="O59" s="67">
        <v>99.905255180939122</v>
      </c>
      <c r="P59" s="67">
        <v>7.0000010784309108</v>
      </c>
      <c r="Q59" s="66">
        <v>1.0901460000000001</v>
      </c>
      <c r="R59" s="67">
        <v>4.2188474935755949E-15</v>
      </c>
      <c r="S59" s="66">
        <v>154.09309999999999</v>
      </c>
      <c r="T59" s="66">
        <v>0</v>
      </c>
      <c r="U59" s="66">
        <v>165.69150533000001</v>
      </c>
      <c r="V59" s="66">
        <v>154.09309999999999</v>
      </c>
      <c r="W59" s="66">
        <v>11.59840533</v>
      </c>
      <c r="X59" s="66">
        <v>153.91983605000001</v>
      </c>
      <c r="Y59" s="66">
        <v>1.0901460000000001</v>
      </c>
      <c r="Z59" s="66">
        <v>165.50520005000001</v>
      </c>
      <c r="AA59" s="66">
        <v>153.91983605000001</v>
      </c>
      <c r="AB59" s="66">
        <v>0</v>
      </c>
      <c r="AC59" s="66">
        <v>11.585364</v>
      </c>
      <c r="AD59" s="67">
        <v>99.887558917303906</v>
      </c>
      <c r="AE59" s="67">
        <v>99.887559283979598</v>
      </c>
      <c r="AF59" s="67">
        <v>6.9999999978852614</v>
      </c>
      <c r="AG59" s="187">
        <v>1.0901460000000001</v>
      </c>
      <c r="AH59" s="67">
        <v>4.2188474935755949E-15</v>
      </c>
      <c r="AI59" s="66">
        <v>0</v>
      </c>
      <c r="AJ59" s="66">
        <v>0</v>
      </c>
      <c r="AK59" s="66">
        <v>0</v>
      </c>
      <c r="AL59" s="66">
        <v>0</v>
      </c>
      <c r="AM59" s="66">
        <v>0</v>
      </c>
      <c r="AN59" s="66">
        <v>0</v>
      </c>
      <c r="AO59" s="66">
        <v>0</v>
      </c>
      <c r="AP59" s="66">
        <v>0</v>
      </c>
      <c r="AQ59" s="66">
        <v>0</v>
      </c>
      <c r="AR59" s="66">
        <v>0</v>
      </c>
      <c r="AS59" s="66">
        <v>0</v>
      </c>
      <c r="AT59" s="67" t="s">
        <v>1230</v>
      </c>
      <c r="AU59" s="67" t="s">
        <v>1230</v>
      </c>
      <c r="AV59" s="67">
        <v>0</v>
      </c>
      <c r="AW59" s="187">
        <v>0</v>
      </c>
      <c r="AX59" s="67">
        <v>0</v>
      </c>
      <c r="AY59" s="66">
        <v>22.488399999999999</v>
      </c>
      <c r="AZ59" s="66">
        <v>0</v>
      </c>
      <c r="BA59" s="66">
        <v>24.181076000000001</v>
      </c>
      <c r="BB59" s="66">
        <v>22.488399999999999</v>
      </c>
      <c r="BC59" s="66">
        <v>1.6926760000000001</v>
      </c>
      <c r="BD59" s="66">
        <v>22.48839997</v>
      </c>
      <c r="BE59" s="66">
        <v>0</v>
      </c>
      <c r="BF59" s="66">
        <v>24.181075969999998</v>
      </c>
      <c r="BG59" s="66">
        <v>22.48839997</v>
      </c>
      <c r="BH59" s="66">
        <v>0</v>
      </c>
      <c r="BI59" s="66">
        <v>1.6926760000000001</v>
      </c>
      <c r="BJ59" s="67">
        <v>99.999999866597904</v>
      </c>
      <c r="BK59" s="67">
        <v>100</v>
      </c>
      <c r="BL59" s="67">
        <v>7.0000028208008658</v>
      </c>
      <c r="BM59" s="187">
        <v>0</v>
      </c>
      <c r="BN59" s="67">
        <v>0</v>
      </c>
      <c r="BO59" s="66">
        <v>0</v>
      </c>
      <c r="BP59" s="66">
        <v>0</v>
      </c>
      <c r="BQ59" s="66">
        <v>0</v>
      </c>
      <c r="BR59" s="66">
        <v>0</v>
      </c>
      <c r="BS59" s="66">
        <v>0</v>
      </c>
      <c r="BT59" s="66">
        <v>0</v>
      </c>
      <c r="BU59" s="66">
        <v>0</v>
      </c>
      <c r="BV59" s="66">
        <v>0</v>
      </c>
      <c r="BW59" s="66">
        <v>0</v>
      </c>
      <c r="BX59" s="66">
        <v>0</v>
      </c>
      <c r="BY59" s="66">
        <v>0</v>
      </c>
      <c r="BZ59" s="67" t="s">
        <v>1230</v>
      </c>
      <c r="CA59" s="67" t="s">
        <v>1230</v>
      </c>
      <c r="CB59" s="67">
        <v>0</v>
      </c>
      <c r="CC59" s="187">
        <v>0</v>
      </c>
      <c r="CD59" s="67">
        <v>0</v>
      </c>
      <c r="CE59" s="66">
        <v>0</v>
      </c>
      <c r="CF59" s="66">
        <v>0</v>
      </c>
      <c r="CG59" s="66">
        <v>0</v>
      </c>
      <c r="CH59" s="66">
        <v>0</v>
      </c>
      <c r="CI59" s="66">
        <v>0</v>
      </c>
      <c r="CJ59" s="66">
        <v>0</v>
      </c>
      <c r="CK59" s="66">
        <v>0</v>
      </c>
      <c r="CL59" s="66">
        <v>0</v>
      </c>
      <c r="CM59" s="66">
        <v>0</v>
      </c>
      <c r="CN59" s="66">
        <v>0</v>
      </c>
      <c r="CO59" s="66">
        <v>0</v>
      </c>
      <c r="CP59" s="67" t="s">
        <v>1230</v>
      </c>
      <c r="CQ59" s="67" t="s">
        <v>1230</v>
      </c>
      <c r="CR59" s="67">
        <v>0</v>
      </c>
      <c r="CS59" s="187">
        <v>0</v>
      </c>
      <c r="CT59" s="67">
        <v>0</v>
      </c>
      <c r="CU59" s="66">
        <v>0</v>
      </c>
      <c r="CV59" s="66">
        <v>0</v>
      </c>
      <c r="CW59" s="66">
        <v>0</v>
      </c>
      <c r="CX59" s="66">
        <v>0</v>
      </c>
      <c r="CY59" s="66">
        <v>0</v>
      </c>
      <c r="CZ59" s="66">
        <v>0</v>
      </c>
      <c r="DA59" s="66">
        <v>0</v>
      </c>
      <c r="DB59" s="66">
        <v>0</v>
      </c>
      <c r="DC59" s="66">
        <v>0</v>
      </c>
      <c r="DD59" s="66">
        <v>0</v>
      </c>
      <c r="DE59" s="66">
        <v>0</v>
      </c>
      <c r="DF59" s="67" t="s">
        <v>1230</v>
      </c>
      <c r="DG59" s="67" t="s">
        <v>1230</v>
      </c>
      <c r="DH59" s="67">
        <v>0</v>
      </c>
      <c r="DI59" s="187">
        <v>0</v>
      </c>
      <c r="DJ59" s="67">
        <v>0</v>
      </c>
      <c r="DK59" s="66">
        <v>3.6928999999999998</v>
      </c>
      <c r="DL59" s="66">
        <v>0</v>
      </c>
      <c r="DM59" s="66">
        <v>3.9708610000000002</v>
      </c>
      <c r="DN59" s="66">
        <v>3.6928999999999998</v>
      </c>
      <c r="DO59" s="66">
        <v>0.27796100000000001</v>
      </c>
      <c r="DP59" s="66">
        <v>3.6928999999999998</v>
      </c>
      <c r="DQ59" s="66">
        <v>0</v>
      </c>
      <c r="DR59" s="66">
        <v>3.9708610000000002</v>
      </c>
      <c r="DS59" s="66">
        <v>3.6928999999999998</v>
      </c>
      <c r="DT59" s="66">
        <v>0</v>
      </c>
      <c r="DU59" s="66">
        <v>0.27796100000000001</v>
      </c>
      <c r="DV59" s="67">
        <v>100</v>
      </c>
      <c r="DW59" s="67">
        <v>100</v>
      </c>
      <c r="DX59" s="67">
        <v>7.0000183839222778</v>
      </c>
      <c r="DY59" s="187">
        <v>0</v>
      </c>
      <c r="DZ59" s="67">
        <v>0</v>
      </c>
      <c r="EA59" s="66">
        <v>0</v>
      </c>
      <c r="EB59" s="66">
        <v>0</v>
      </c>
      <c r="EC59" s="66">
        <v>0</v>
      </c>
      <c r="ED59" s="66">
        <v>0</v>
      </c>
      <c r="EE59" s="66">
        <v>0</v>
      </c>
      <c r="EF59" s="66">
        <v>0</v>
      </c>
      <c r="EG59" s="66">
        <v>0</v>
      </c>
      <c r="EH59" s="66">
        <v>0</v>
      </c>
      <c r="EI59" s="66">
        <v>0</v>
      </c>
      <c r="EJ59" s="66">
        <v>0</v>
      </c>
      <c r="EK59" s="66">
        <v>0</v>
      </c>
      <c r="EL59" s="67" t="s">
        <v>1230</v>
      </c>
      <c r="EM59" s="67" t="s">
        <v>1230</v>
      </c>
      <c r="EN59" s="67">
        <v>0</v>
      </c>
      <c r="EO59" s="187">
        <v>0</v>
      </c>
      <c r="EP59" s="67">
        <v>0</v>
      </c>
      <c r="EQ59" s="66">
        <v>2.5992999999999999</v>
      </c>
      <c r="ER59" s="66">
        <v>0</v>
      </c>
      <c r="ES59" s="66">
        <v>2.7949470000000001</v>
      </c>
      <c r="ET59" s="66">
        <v>2.5992999999999999</v>
      </c>
      <c r="EU59" s="66">
        <v>0.19564699999999999</v>
      </c>
      <c r="EV59" s="66">
        <v>2.5992999999999999</v>
      </c>
      <c r="EW59" s="66">
        <v>0</v>
      </c>
      <c r="EX59" s="66">
        <v>2.7949470000000001</v>
      </c>
      <c r="EY59" s="66">
        <v>2.5992999999999999</v>
      </c>
      <c r="EZ59" s="66">
        <v>0</v>
      </c>
      <c r="FA59" s="66">
        <v>0.19564699999999999</v>
      </c>
      <c r="FB59" s="67">
        <v>100</v>
      </c>
      <c r="FC59" s="67">
        <v>100</v>
      </c>
      <c r="FD59" s="67">
        <v>7.0000254029861733</v>
      </c>
      <c r="FE59" s="187">
        <v>0</v>
      </c>
      <c r="FF59" s="67">
        <v>0</v>
      </c>
      <c r="FG59" s="66">
        <v>0</v>
      </c>
      <c r="FH59" s="66">
        <v>0</v>
      </c>
      <c r="FI59" s="66">
        <v>0</v>
      </c>
      <c r="FJ59" s="66">
        <v>0</v>
      </c>
      <c r="FK59" s="66">
        <v>0</v>
      </c>
      <c r="FL59" s="66">
        <v>0</v>
      </c>
      <c r="FM59" s="66">
        <v>0</v>
      </c>
      <c r="FN59" s="66">
        <v>0</v>
      </c>
      <c r="FO59" s="66">
        <v>0</v>
      </c>
      <c r="FP59" s="66">
        <v>0</v>
      </c>
      <c r="FQ59" s="66">
        <v>0</v>
      </c>
      <c r="FR59" s="67" t="s">
        <v>1230</v>
      </c>
      <c r="FS59" s="67" t="s">
        <v>1230</v>
      </c>
      <c r="FT59" s="67">
        <v>0</v>
      </c>
      <c r="FU59" s="187">
        <v>0</v>
      </c>
      <c r="FV59" s="67">
        <v>0</v>
      </c>
      <c r="FW59" s="66">
        <v>0</v>
      </c>
      <c r="FX59" s="66">
        <v>0</v>
      </c>
      <c r="FY59" s="66">
        <v>0</v>
      </c>
      <c r="FZ59" s="66">
        <v>0</v>
      </c>
      <c r="GA59" s="66">
        <v>0</v>
      </c>
      <c r="GB59" s="66">
        <v>0</v>
      </c>
      <c r="GC59" s="66">
        <v>0</v>
      </c>
      <c r="GD59" s="66">
        <v>0</v>
      </c>
      <c r="GE59" s="66">
        <v>0</v>
      </c>
      <c r="GF59" s="66">
        <v>0</v>
      </c>
      <c r="GG59" s="66">
        <v>0</v>
      </c>
      <c r="GH59" s="67" t="s">
        <v>1230</v>
      </c>
      <c r="GI59" s="67" t="s">
        <v>1230</v>
      </c>
      <c r="GJ59" s="67">
        <v>0</v>
      </c>
      <c r="GK59" s="187">
        <v>0</v>
      </c>
      <c r="GL59" s="67">
        <v>0</v>
      </c>
      <c r="GM59" s="66">
        <v>0</v>
      </c>
      <c r="GN59" s="66">
        <v>0</v>
      </c>
      <c r="GO59" s="66">
        <v>0</v>
      </c>
      <c r="GP59" s="66">
        <v>0</v>
      </c>
      <c r="GQ59" s="66">
        <v>0</v>
      </c>
      <c r="GR59" s="66">
        <v>0</v>
      </c>
      <c r="GS59" s="66">
        <v>0</v>
      </c>
      <c r="GT59" s="66">
        <v>0</v>
      </c>
      <c r="GU59" s="66">
        <v>0</v>
      </c>
      <c r="GV59" s="66">
        <v>0</v>
      </c>
      <c r="GW59" s="66">
        <v>0</v>
      </c>
      <c r="GX59" s="67" t="s">
        <v>1230</v>
      </c>
      <c r="GY59" s="67" t="s">
        <v>1230</v>
      </c>
      <c r="GZ59" s="67">
        <v>0</v>
      </c>
      <c r="HA59" s="187">
        <v>0</v>
      </c>
      <c r="HB59" s="67">
        <v>0</v>
      </c>
      <c r="HC59" s="66">
        <v>0</v>
      </c>
      <c r="HD59" s="66">
        <v>0</v>
      </c>
      <c r="HE59" s="66">
        <v>0</v>
      </c>
      <c r="HF59" s="66">
        <v>0</v>
      </c>
      <c r="HG59" s="66">
        <v>0</v>
      </c>
      <c r="HH59" s="66">
        <v>0</v>
      </c>
      <c r="HI59" s="66">
        <v>0</v>
      </c>
      <c r="HJ59" s="66">
        <v>0</v>
      </c>
      <c r="HK59" s="66">
        <v>0</v>
      </c>
      <c r="HL59" s="66">
        <v>0</v>
      </c>
      <c r="HM59" s="66">
        <v>0</v>
      </c>
      <c r="HN59" s="67" t="s">
        <v>1230</v>
      </c>
      <c r="HO59" s="67" t="s">
        <v>1230</v>
      </c>
      <c r="HP59" s="67">
        <v>0</v>
      </c>
      <c r="HQ59" s="187">
        <v>0</v>
      </c>
      <c r="HR59" s="67">
        <v>0</v>
      </c>
      <c r="HS59" s="66">
        <v>0</v>
      </c>
      <c r="HT59" s="66">
        <v>0</v>
      </c>
      <c r="HU59" s="66">
        <v>0</v>
      </c>
      <c r="HV59" s="66">
        <v>0</v>
      </c>
      <c r="HW59" s="66">
        <v>0</v>
      </c>
      <c r="HX59" s="66">
        <v>0</v>
      </c>
      <c r="HY59" s="66">
        <v>0</v>
      </c>
      <c r="HZ59" s="66">
        <v>0</v>
      </c>
      <c r="IA59" s="66">
        <v>0</v>
      </c>
      <c r="IB59" s="66">
        <v>0</v>
      </c>
      <c r="IC59" s="66">
        <v>0</v>
      </c>
      <c r="ID59" s="67" t="s">
        <v>1230</v>
      </c>
      <c r="IE59" s="67" t="s">
        <v>1230</v>
      </c>
      <c r="IF59" s="67">
        <v>0</v>
      </c>
      <c r="IG59" s="187">
        <v>0</v>
      </c>
      <c r="IH59" s="67">
        <v>0</v>
      </c>
      <c r="II59" s="66">
        <v>0</v>
      </c>
      <c r="IJ59" s="66">
        <v>0</v>
      </c>
      <c r="IK59" s="66">
        <v>0</v>
      </c>
      <c r="IL59" s="66">
        <v>0</v>
      </c>
      <c r="IM59" s="66">
        <v>0</v>
      </c>
      <c r="IN59" s="66">
        <v>0</v>
      </c>
      <c r="IO59" s="66">
        <v>0</v>
      </c>
      <c r="IP59" s="66">
        <v>0</v>
      </c>
      <c r="IQ59" s="66">
        <v>0</v>
      </c>
      <c r="IR59" s="66">
        <v>0</v>
      </c>
      <c r="IS59" s="66">
        <v>0</v>
      </c>
      <c r="IT59" s="67" t="s">
        <v>1230</v>
      </c>
      <c r="IU59" s="67" t="s">
        <v>1230</v>
      </c>
      <c r="IV59" s="67">
        <v>0</v>
      </c>
      <c r="IW59" s="187">
        <v>0</v>
      </c>
      <c r="IX59" s="67">
        <v>0</v>
      </c>
    </row>
    <row r="60" spans="1:258" ht="15.6" x14ac:dyDescent="0.3">
      <c r="A60" s="169">
        <v>48</v>
      </c>
      <c r="B60" s="211" t="s">
        <v>122</v>
      </c>
      <c r="C60" s="66">
        <v>148.2936</v>
      </c>
      <c r="D60" s="66">
        <v>0</v>
      </c>
      <c r="E60" s="66">
        <v>187.40853000000001</v>
      </c>
      <c r="F60" s="66">
        <v>148.2936</v>
      </c>
      <c r="G60" s="66">
        <v>39.114930000000001</v>
      </c>
      <c r="H60" s="66">
        <v>148.29359804999999</v>
      </c>
      <c r="I60" s="66">
        <v>0</v>
      </c>
      <c r="J60" s="66">
        <v>187.40852748999998</v>
      </c>
      <c r="K60" s="66">
        <v>148.29359804999999</v>
      </c>
      <c r="L60" s="66">
        <v>0</v>
      </c>
      <c r="M60" s="66">
        <v>39.114929439999997</v>
      </c>
      <c r="N60" s="67">
        <v>99.999998685041021</v>
      </c>
      <c r="O60" s="67">
        <v>99.999998568321601</v>
      </c>
      <c r="P60" s="67">
        <v>20.871477922522573</v>
      </c>
      <c r="Q60" s="66">
        <v>0</v>
      </c>
      <c r="R60" s="67">
        <v>0</v>
      </c>
      <c r="S60" s="66">
        <v>94.844700000000003</v>
      </c>
      <c r="T60" s="66">
        <v>0</v>
      </c>
      <c r="U60" s="66">
        <v>126.45963</v>
      </c>
      <c r="V60" s="66">
        <v>94.844700000000003</v>
      </c>
      <c r="W60" s="66">
        <v>31.614930000000001</v>
      </c>
      <c r="X60" s="66">
        <v>94.844698049999991</v>
      </c>
      <c r="Y60" s="66">
        <v>0</v>
      </c>
      <c r="Z60" s="66">
        <v>126.45962748999999</v>
      </c>
      <c r="AA60" s="66">
        <v>94.844698049999991</v>
      </c>
      <c r="AB60" s="66">
        <v>0</v>
      </c>
      <c r="AC60" s="66">
        <v>31.614929440000001</v>
      </c>
      <c r="AD60" s="67">
        <v>99.999997944007404</v>
      </c>
      <c r="AE60" s="67">
        <v>99.999998228685001</v>
      </c>
      <c r="AF60" s="67">
        <v>25.000017845616384</v>
      </c>
      <c r="AG60" s="187">
        <v>0</v>
      </c>
      <c r="AH60" s="67">
        <v>0</v>
      </c>
      <c r="AI60" s="66">
        <v>0</v>
      </c>
      <c r="AJ60" s="66">
        <v>0</v>
      </c>
      <c r="AK60" s="66">
        <v>0</v>
      </c>
      <c r="AL60" s="66">
        <v>0</v>
      </c>
      <c r="AM60" s="66">
        <v>0</v>
      </c>
      <c r="AN60" s="66">
        <v>0</v>
      </c>
      <c r="AO60" s="66">
        <v>0</v>
      </c>
      <c r="AP60" s="66">
        <v>0</v>
      </c>
      <c r="AQ60" s="66">
        <v>0</v>
      </c>
      <c r="AR60" s="66">
        <v>0</v>
      </c>
      <c r="AS60" s="66">
        <v>0</v>
      </c>
      <c r="AT60" s="67" t="s">
        <v>1230</v>
      </c>
      <c r="AU60" s="67" t="s">
        <v>1230</v>
      </c>
      <c r="AV60" s="67">
        <v>0</v>
      </c>
      <c r="AW60" s="187">
        <v>0</v>
      </c>
      <c r="AX60" s="67">
        <v>0</v>
      </c>
      <c r="AY60" s="66">
        <v>28.810099999999998</v>
      </c>
      <c r="AZ60" s="66">
        <v>0</v>
      </c>
      <c r="BA60" s="66">
        <v>33.810099999999998</v>
      </c>
      <c r="BB60" s="66">
        <v>28.810099999999998</v>
      </c>
      <c r="BC60" s="66">
        <v>5</v>
      </c>
      <c r="BD60" s="66">
        <v>28.810099999999998</v>
      </c>
      <c r="BE60" s="66">
        <v>0</v>
      </c>
      <c r="BF60" s="66">
        <v>33.810099999999998</v>
      </c>
      <c r="BG60" s="66">
        <v>28.810099999999998</v>
      </c>
      <c r="BH60" s="66">
        <v>0</v>
      </c>
      <c r="BI60" s="66">
        <v>5</v>
      </c>
      <c r="BJ60" s="67">
        <v>100</v>
      </c>
      <c r="BK60" s="67">
        <v>100</v>
      </c>
      <c r="BL60" s="67">
        <v>14.788480365334619</v>
      </c>
      <c r="BM60" s="187">
        <v>0</v>
      </c>
      <c r="BN60" s="67">
        <v>0</v>
      </c>
      <c r="BO60" s="66">
        <v>0</v>
      </c>
      <c r="BP60" s="66">
        <v>0</v>
      </c>
      <c r="BQ60" s="66">
        <v>0</v>
      </c>
      <c r="BR60" s="66">
        <v>0</v>
      </c>
      <c r="BS60" s="66">
        <v>0</v>
      </c>
      <c r="BT60" s="66">
        <v>0</v>
      </c>
      <c r="BU60" s="66">
        <v>0</v>
      </c>
      <c r="BV60" s="66">
        <v>0</v>
      </c>
      <c r="BW60" s="66">
        <v>0</v>
      </c>
      <c r="BX60" s="66">
        <v>0</v>
      </c>
      <c r="BY60" s="66">
        <v>0</v>
      </c>
      <c r="BZ60" s="67" t="s">
        <v>1230</v>
      </c>
      <c r="CA60" s="67" t="s">
        <v>1230</v>
      </c>
      <c r="CB60" s="67">
        <v>0</v>
      </c>
      <c r="CC60" s="187">
        <v>0</v>
      </c>
      <c r="CD60" s="67">
        <v>0</v>
      </c>
      <c r="CE60" s="66">
        <v>0</v>
      </c>
      <c r="CF60" s="66">
        <v>0</v>
      </c>
      <c r="CG60" s="66">
        <v>0</v>
      </c>
      <c r="CH60" s="66">
        <v>0</v>
      </c>
      <c r="CI60" s="66">
        <v>0</v>
      </c>
      <c r="CJ60" s="66">
        <v>0</v>
      </c>
      <c r="CK60" s="66">
        <v>0</v>
      </c>
      <c r="CL60" s="66">
        <v>0</v>
      </c>
      <c r="CM60" s="66">
        <v>0</v>
      </c>
      <c r="CN60" s="66">
        <v>0</v>
      </c>
      <c r="CO60" s="66">
        <v>0</v>
      </c>
      <c r="CP60" s="67" t="s">
        <v>1230</v>
      </c>
      <c r="CQ60" s="67" t="s">
        <v>1230</v>
      </c>
      <c r="CR60" s="67">
        <v>0</v>
      </c>
      <c r="CS60" s="187">
        <v>0</v>
      </c>
      <c r="CT60" s="67">
        <v>0</v>
      </c>
      <c r="CU60" s="66">
        <v>0</v>
      </c>
      <c r="CV60" s="66">
        <v>0</v>
      </c>
      <c r="CW60" s="66">
        <v>0</v>
      </c>
      <c r="CX60" s="66">
        <v>0</v>
      </c>
      <c r="CY60" s="66">
        <v>0</v>
      </c>
      <c r="CZ60" s="66">
        <v>0</v>
      </c>
      <c r="DA60" s="66">
        <v>0</v>
      </c>
      <c r="DB60" s="66">
        <v>0</v>
      </c>
      <c r="DC60" s="66">
        <v>0</v>
      </c>
      <c r="DD60" s="66">
        <v>0</v>
      </c>
      <c r="DE60" s="66">
        <v>0</v>
      </c>
      <c r="DF60" s="67" t="s">
        <v>1230</v>
      </c>
      <c r="DG60" s="67" t="s">
        <v>1230</v>
      </c>
      <c r="DH60" s="67">
        <v>0</v>
      </c>
      <c r="DI60" s="187">
        <v>0</v>
      </c>
      <c r="DJ60" s="67">
        <v>0</v>
      </c>
      <c r="DK60" s="66">
        <v>0</v>
      </c>
      <c r="DL60" s="66">
        <v>0</v>
      </c>
      <c r="DM60" s="66">
        <v>0</v>
      </c>
      <c r="DN60" s="66">
        <v>0</v>
      </c>
      <c r="DO60" s="66">
        <v>0</v>
      </c>
      <c r="DP60" s="66">
        <v>0</v>
      </c>
      <c r="DQ60" s="66">
        <v>0</v>
      </c>
      <c r="DR60" s="66">
        <v>0</v>
      </c>
      <c r="DS60" s="66">
        <v>0</v>
      </c>
      <c r="DT60" s="66">
        <v>0</v>
      </c>
      <c r="DU60" s="66">
        <v>0</v>
      </c>
      <c r="DV60" s="67" t="s">
        <v>1230</v>
      </c>
      <c r="DW60" s="67" t="s">
        <v>1230</v>
      </c>
      <c r="DX60" s="67">
        <v>0</v>
      </c>
      <c r="DY60" s="187">
        <v>0</v>
      </c>
      <c r="DZ60" s="67">
        <v>0</v>
      </c>
      <c r="EA60" s="66">
        <v>0</v>
      </c>
      <c r="EB60" s="66">
        <v>0</v>
      </c>
      <c r="EC60" s="66">
        <v>0</v>
      </c>
      <c r="ED60" s="66">
        <v>0</v>
      </c>
      <c r="EE60" s="66">
        <v>0</v>
      </c>
      <c r="EF60" s="66">
        <v>0</v>
      </c>
      <c r="EG60" s="66">
        <v>0</v>
      </c>
      <c r="EH60" s="66">
        <v>0</v>
      </c>
      <c r="EI60" s="66">
        <v>0</v>
      </c>
      <c r="EJ60" s="66">
        <v>0</v>
      </c>
      <c r="EK60" s="66">
        <v>0</v>
      </c>
      <c r="EL60" s="67" t="s">
        <v>1230</v>
      </c>
      <c r="EM60" s="67" t="s">
        <v>1230</v>
      </c>
      <c r="EN60" s="67">
        <v>0</v>
      </c>
      <c r="EO60" s="187">
        <v>0</v>
      </c>
      <c r="EP60" s="67">
        <v>0</v>
      </c>
      <c r="EQ60" s="66">
        <v>0</v>
      </c>
      <c r="ER60" s="66">
        <v>0</v>
      </c>
      <c r="ES60" s="66">
        <v>0</v>
      </c>
      <c r="ET60" s="66">
        <v>0</v>
      </c>
      <c r="EU60" s="66">
        <v>0</v>
      </c>
      <c r="EV60" s="66">
        <v>0</v>
      </c>
      <c r="EW60" s="66">
        <v>0</v>
      </c>
      <c r="EX60" s="66">
        <v>0</v>
      </c>
      <c r="EY60" s="66">
        <v>0</v>
      </c>
      <c r="EZ60" s="66">
        <v>0</v>
      </c>
      <c r="FA60" s="66">
        <v>0</v>
      </c>
      <c r="FB60" s="67" t="s">
        <v>1230</v>
      </c>
      <c r="FC60" s="67" t="s">
        <v>1230</v>
      </c>
      <c r="FD60" s="67">
        <v>0</v>
      </c>
      <c r="FE60" s="187">
        <v>0</v>
      </c>
      <c r="FF60" s="67">
        <v>0</v>
      </c>
      <c r="FG60" s="66">
        <v>0</v>
      </c>
      <c r="FH60" s="66">
        <v>0</v>
      </c>
      <c r="FI60" s="66">
        <v>0</v>
      </c>
      <c r="FJ60" s="66">
        <v>0</v>
      </c>
      <c r="FK60" s="66">
        <v>0</v>
      </c>
      <c r="FL60" s="66">
        <v>0</v>
      </c>
      <c r="FM60" s="66">
        <v>0</v>
      </c>
      <c r="FN60" s="66">
        <v>0</v>
      </c>
      <c r="FO60" s="66">
        <v>0</v>
      </c>
      <c r="FP60" s="66">
        <v>0</v>
      </c>
      <c r="FQ60" s="66">
        <v>0</v>
      </c>
      <c r="FR60" s="67" t="s">
        <v>1230</v>
      </c>
      <c r="FS60" s="67" t="s">
        <v>1230</v>
      </c>
      <c r="FT60" s="67">
        <v>0</v>
      </c>
      <c r="FU60" s="187">
        <v>0</v>
      </c>
      <c r="FV60" s="67">
        <v>0</v>
      </c>
      <c r="FW60" s="66">
        <v>24.6388</v>
      </c>
      <c r="FX60" s="66">
        <v>0</v>
      </c>
      <c r="FY60" s="66">
        <v>27.1388</v>
      </c>
      <c r="FZ60" s="66">
        <v>24.6388</v>
      </c>
      <c r="GA60" s="66">
        <v>2.5</v>
      </c>
      <c r="GB60" s="66">
        <v>24.6388</v>
      </c>
      <c r="GC60" s="66">
        <v>0</v>
      </c>
      <c r="GD60" s="66">
        <v>27.1388</v>
      </c>
      <c r="GE60" s="66">
        <v>24.6388</v>
      </c>
      <c r="GF60" s="66">
        <v>0</v>
      </c>
      <c r="GG60" s="66">
        <v>2.5</v>
      </c>
      <c r="GH60" s="67">
        <v>100</v>
      </c>
      <c r="GI60" s="67">
        <v>100</v>
      </c>
      <c r="GJ60" s="67">
        <v>9.2119032529072769</v>
      </c>
      <c r="GK60" s="187">
        <v>0</v>
      </c>
      <c r="GL60" s="67">
        <v>0</v>
      </c>
      <c r="GM60" s="66">
        <v>0</v>
      </c>
      <c r="GN60" s="66">
        <v>0</v>
      </c>
      <c r="GO60" s="66">
        <v>0</v>
      </c>
      <c r="GP60" s="66">
        <v>0</v>
      </c>
      <c r="GQ60" s="66">
        <v>0</v>
      </c>
      <c r="GR60" s="66">
        <v>0</v>
      </c>
      <c r="GS60" s="66">
        <v>0</v>
      </c>
      <c r="GT60" s="66">
        <v>0</v>
      </c>
      <c r="GU60" s="66">
        <v>0</v>
      </c>
      <c r="GV60" s="66">
        <v>0</v>
      </c>
      <c r="GW60" s="66">
        <v>0</v>
      </c>
      <c r="GX60" s="67" t="s">
        <v>1230</v>
      </c>
      <c r="GY60" s="67" t="s">
        <v>1230</v>
      </c>
      <c r="GZ60" s="67">
        <v>0</v>
      </c>
      <c r="HA60" s="187">
        <v>0</v>
      </c>
      <c r="HB60" s="67">
        <v>0</v>
      </c>
      <c r="HC60" s="66">
        <v>0</v>
      </c>
      <c r="HD60" s="66">
        <v>0</v>
      </c>
      <c r="HE60" s="66">
        <v>0</v>
      </c>
      <c r="HF60" s="66">
        <v>0</v>
      </c>
      <c r="HG60" s="66">
        <v>0</v>
      </c>
      <c r="HH60" s="66">
        <v>0</v>
      </c>
      <c r="HI60" s="66">
        <v>0</v>
      </c>
      <c r="HJ60" s="66">
        <v>0</v>
      </c>
      <c r="HK60" s="66">
        <v>0</v>
      </c>
      <c r="HL60" s="66">
        <v>0</v>
      </c>
      <c r="HM60" s="66">
        <v>0</v>
      </c>
      <c r="HN60" s="67" t="s">
        <v>1230</v>
      </c>
      <c r="HO60" s="67" t="s">
        <v>1230</v>
      </c>
      <c r="HP60" s="67">
        <v>0</v>
      </c>
      <c r="HQ60" s="187">
        <v>0</v>
      </c>
      <c r="HR60" s="67">
        <v>0</v>
      </c>
      <c r="HS60" s="66">
        <v>0</v>
      </c>
      <c r="HT60" s="66">
        <v>0</v>
      </c>
      <c r="HU60" s="66">
        <v>0</v>
      </c>
      <c r="HV60" s="66">
        <v>0</v>
      </c>
      <c r="HW60" s="66">
        <v>0</v>
      </c>
      <c r="HX60" s="66">
        <v>0</v>
      </c>
      <c r="HY60" s="66">
        <v>0</v>
      </c>
      <c r="HZ60" s="66">
        <v>0</v>
      </c>
      <c r="IA60" s="66">
        <v>0</v>
      </c>
      <c r="IB60" s="66">
        <v>0</v>
      </c>
      <c r="IC60" s="66">
        <v>0</v>
      </c>
      <c r="ID60" s="67" t="s">
        <v>1230</v>
      </c>
      <c r="IE60" s="67" t="s">
        <v>1230</v>
      </c>
      <c r="IF60" s="67">
        <v>0</v>
      </c>
      <c r="IG60" s="187">
        <v>0</v>
      </c>
      <c r="IH60" s="67">
        <v>0</v>
      </c>
      <c r="II60" s="66">
        <v>0</v>
      </c>
      <c r="IJ60" s="66">
        <v>0</v>
      </c>
      <c r="IK60" s="66">
        <v>0</v>
      </c>
      <c r="IL60" s="66">
        <v>0</v>
      </c>
      <c r="IM60" s="66">
        <v>0</v>
      </c>
      <c r="IN60" s="66">
        <v>0</v>
      </c>
      <c r="IO60" s="66">
        <v>0</v>
      </c>
      <c r="IP60" s="66">
        <v>0</v>
      </c>
      <c r="IQ60" s="66">
        <v>0</v>
      </c>
      <c r="IR60" s="66">
        <v>0</v>
      </c>
      <c r="IS60" s="66">
        <v>0</v>
      </c>
      <c r="IT60" s="67" t="s">
        <v>1230</v>
      </c>
      <c r="IU60" s="67" t="s">
        <v>1230</v>
      </c>
      <c r="IV60" s="67">
        <v>0</v>
      </c>
      <c r="IW60" s="187">
        <v>0</v>
      </c>
      <c r="IX60" s="67">
        <v>0</v>
      </c>
    </row>
    <row r="61" spans="1:258" ht="15.6" x14ac:dyDescent="0.3">
      <c r="A61" s="215">
        <v>49</v>
      </c>
      <c r="B61" s="211" t="s">
        <v>125</v>
      </c>
      <c r="C61" s="66">
        <v>247.05130000000003</v>
      </c>
      <c r="D61" s="66">
        <v>0</v>
      </c>
      <c r="E61" s="66">
        <v>325.949972</v>
      </c>
      <c r="F61" s="66">
        <v>247.05130000000003</v>
      </c>
      <c r="G61" s="66">
        <v>78.898672000000005</v>
      </c>
      <c r="H61" s="66">
        <v>230.32726129000002</v>
      </c>
      <c r="I61" s="66">
        <v>1.4137327199999998</v>
      </c>
      <c r="J61" s="66">
        <v>305.94424464000002</v>
      </c>
      <c r="K61" s="66">
        <v>230.2589193</v>
      </c>
      <c r="L61" s="66">
        <v>0</v>
      </c>
      <c r="M61" s="66">
        <v>75.685325339999991</v>
      </c>
      <c r="N61" s="67">
        <v>93.202877013802393</v>
      </c>
      <c r="O61" s="67">
        <v>95.927248737469228</v>
      </c>
      <c r="P61" s="67">
        <v>24.738273939115203</v>
      </c>
      <c r="Q61" s="66">
        <v>1.4137327199999998</v>
      </c>
      <c r="R61" s="67">
        <v>6.8341990000034825E-2</v>
      </c>
      <c r="S61" s="66">
        <v>218.12690000000001</v>
      </c>
      <c r="T61" s="66">
        <v>0</v>
      </c>
      <c r="U61" s="66">
        <v>261.58190000000002</v>
      </c>
      <c r="V61" s="66">
        <v>218.12690000000001</v>
      </c>
      <c r="W61" s="66">
        <v>43.454999999999998</v>
      </c>
      <c r="X61" s="66">
        <v>218.04357727000001</v>
      </c>
      <c r="Y61" s="66">
        <v>1.2156432399999999</v>
      </c>
      <c r="Z61" s="66">
        <v>261.40002079999999</v>
      </c>
      <c r="AA61" s="66">
        <v>217.97523527999999</v>
      </c>
      <c r="AB61" s="66">
        <v>0</v>
      </c>
      <c r="AC61" s="66">
        <v>43.42478552</v>
      </c>
      <c r="AD61" s="67">
        <v>99.930469501927547</v>
      </c>
      <c r="AE61" s="67">
        <v>99.930469497180994</v>
      </c>
      <c r="AF61" s="67">
        <v>16.612387935969132</v>
      </c>
      <c r="AG61" s="187">
        <v>1.2156432399999999</v>
      </c>
      <c r="AH61" s="67">
        <v>6.8341990000013286E-2</v>
      </c>
      <c r="AI61" s="66">
        <v>0</v>
      </c>
      <c r="AJ61" s="66">
        <v>0</v>
      </c>
      <c r="AK61" s="66">
        <v>0</v>
      </c>
      <c r="AL61" s="66">
        <v>0</v>
      </c>
      <c r="AM61" s="66">
        <v>0</v>
      </c>
      <c r="AN61" s="66">
        <v>0</v>
      </c>
      <c r="AO61" s="66">
        <v>0.18643167000000002</v>
      </c>
      <c r="AP61" s="66">
        <v>0</v>
      </c>
      <c r="AQ61" s="66">
        <v>0</v>
      </c>
      <c r="AR61" s="66">
        <v>0</v>
      </c>
      <c r="AS61" s="66">
        <v>0</v>
      </c>
      <c r="AT61" s="67" t="s">
        <v>1230</v>
      </c>
      <c r="AU61" s="67" t="s">
        <v>1230</v>
      </c>
      <c r="AV61" s="67">
        <v>0</v>
      </c>
      <c r="AW61" s="187">
        <v>0.18643167000000002</v>
      </c>
      <c r="AX61" s="67">
        <v>0</v>
      </c>
      <c r="AY61" s="66">
        <v>22.5046</v>
      </c>
      <c r="AZ61" s="66">
        <v>0</v>
      </c>
      <c r="BA61" s="66">
        <v>24.948271999999999</v>
      </c>
      <c r="BB61" s="66">
        <v>22.5046</v>
      </c>
      <c r="BC61" s="66">
        <v>2.4436719999999998</v>
      </c>
      <c r="BD61" s="66">
        <v>6.1048651700000001</v>
      </c>
      <c r="BE61" s="66">
        <v>2.5451499999999999E-3</v>
      </c>
      <c r="BF61" s="66">
        <v>6.6041317499999996</v>
      </c>
      <c r="BG61" s="66">
        <v>6.1048651700000001</v>
      </c>
      <c r="BH61" s="66">
        <v>0</v>
      </c>
      <c r="BI61" s="66">
        <v>0.49926658000000002</v>
      </c>
      <c r="BJ61" s="67">
        <v>27.12718808599131</v>
      </c>
      <c r="BK61" s="67">
        <v>20.43099810449193</v>
      </c>
      <c r="BL61" s="67">
        <v>7.5599124744899289</v>
      </c>
      <c r="BM61" s="187">
        <v>2.5451499999999999E-3</v>
      </c>
      <c r="BN61" s="67">
        <v>4.401860820291148E-16</v>
      </c>
      <c r="BO61" s="66">
        <v>0</v>
      </c>
      <c r="BP61" s="66">
        <v>0</v>
      </c>
      <c r="BQ61" s="66">
        <v>0</v>
      </c>
      <c r="BR61" s="66">
        <v>0</v>
      </c>
      <c r="BS61" s="66">
        <v>0</v>
      </c>
      <c r="BT61" s="66">
        <v>0</v>
      </c>
      <c r="BU61" s="66">
        <v>3.72245E-3</v>
      </c>
      <c r="BV61" s="66">
        <v>0</v>
      </c>
      <c r="BW61" s="66">
        <v>0</v>
      </c>
      <c r="BX61" s="66">
        <v>0</v>
      </c>
      <c r="BY61" s="66">
        <v>0</v>
      </c>
      <c r="BZ61" s="67" t="s">
        <v>1230</v>
      </c>
      <c r="CA61" s="67" t="s">
        <v>1230</v>
      </c>
      <c r="CB61" s="67">
        <v>0</v>
      </c>
      <c r="CC61" s="187">
        <v>3.72245E-3</v>
      </c>
      <c r="CD61" s="67">
        <v>0</v>
      </c>
      <c r="CE61" s="66">
        <v>0</v>
      </c>
      <c r="CF61" s="66">
        <v>0</v>
      </c>
      <c r="CG61" s="66">
        <v>0</v>
      </c>
      <c r="CH61" s="66">
        <v>0</v>
      </c>
      <c r="CI61" s="66">
        <v>0</v>
      </c>
      <c r="CJ61" s="66">
        <v>0</v>
      </c>
      <c r="CK61" s="66">
        <v>0</v>
      </c>
      <c r="CL61" s="66">
        <v>0</v>
      </c>
      <c r="CM61" s="66">
        <v>0</v>
      </c>
      <c r="CN61" s="66">
        <v>0</v>
      </c>
      <c r="CO61" s="66">
        <v>0</v>
      </c>
      <c r="CP61" s="67" t="s">
        <v>1230</v>
      </c>
      <c r="CQ61" s="67" t="s">
        <v>1230</v>
      </c>
      <c r="CR61" s="67">
        <v>0</v>
      </c>
      <c r="CS61" s="187">
        <v>0</v>
      </c>
      <c r="CT61" s="67">
        <v>0</v>
      </c>
      <c r="CU61" s="66">
        <v>0</v>
      </c>
      <c r="CV61" s="66">
        <v>0</v>
      </c>
      <c r="CW61" s="66">
        <v>0</v>
      </c>
      <c r="CX61" s="66">
        <v>0</v>
      </c>
      <c r="CY61" s="66">
        <v>0</v>
      </c>
      <c r="CZ61" s="66">
        <v>0</v>
      </c>
      <c r="DA61" s="66">
        <v>0</v>
      </c>
      <c r="DB61" s="66">
        <v>0</v>
      </c>
      <c r="DC61" s="66">
        <v>0</v>
      </c>
      <c r="DD61" s="66">
        <v>0</v>
      </c>
      <c r="DE61" s="66">
        <v>0</v>
      </c>
      <c r="DF61" s="67" t="s">
        <v>1230</v>
      </c>
      <c r="DG61" s="67" t="s">
        <v>1230</v>
      </c>
      <c r="DH61" s="67">
        <v>0</v>
      </c>
      <c r="DI61" s="187">
        <v>0</v>
      </c>
      <c r="DJ61" s="67">
        <v>0</v>
      </c>
      <c r="DK61" s="66">
        <v>0</v>
      </c>
      <c r="DL61" s="66">
        <v>0</v>
      </c>
      <c r="DM61" s="66">
        <v>0</v>
      </c>
      <c r="DN61" s="66">
        <v>0</v>
      </c>
      <c r="DO61" s="66">
        <v>0</v>
      </c>
      <c r="DP61" s="66">
        <v>0</v>
      </c>
      <c r="DQ61" s="66">
        <v>0</v>
      </c>
      <c r="DR61" s="66">
        <v>0</v>
      </c>
      <c r="DS61" s="66">
        <v>0</v>
      </c>
      <c r="DT61" s="66">
        <v>0</v>
      </c>
      <c r="DU61" s="66">
        <v>0</v>
      </c>
      <c r="DV61" s="67" t="s">
        <v>1230</v>
      </c>
      <c r="DW61" s="67" t="s">
        <v>1230</v>
      </c>
      <c r="DX61" s="67">
        <v>0</v>
      </c>
      <c r="DY61" s="187">
        <v>0</v>
      </c>
      <c r="DZ61" s="67">
        <v>0</v>
      </c>
      <c r="EA61" s="66">
        <v>0</v>
      </c>
      <c r="EB61" s="66">
        <v>0</v>
      </c>
      <c r="EC61" s="66">
        <v>0</v>
      </c>
      <c r="ED61" s="66">
        <v>0</v>
      </c>
      <c r="EE61" s="66">
        <v>0</v>
      </c>
      <c r="EF61" s="66">
        <v>0</v>
      </c>
      <c r="EG61" s="66">
        <v>0</v>
      </c>
      <c r="EH61" s="66">
        <v>0</v>
      </c>
      <c r="EI61" s="66">
        <v>0</v>
      </c>
      <c r="EJ61" s="66">
        <v>0</v>
      </c>
      <c r="EK61" s="66">
        <v>0</v>
      </c>
      <c r="EL61" s="67" t="s">
        <v>1230</v>
      </c>
      <c r="EM61" s="67" t="s">
        <v>1230</v>
      </c>
      <c r="EN61" s="67">
        <v>0</v>
      </c>
      <c r="EO61" s="187">
        <v>0</v>
      </c>
      <c r="EP61" s="67">
        <v>0</v>
      </c>
      <c r="EQ61" s="66">
        <v>6.4198000000000004</v>
      </c>
      <c r="ER61" s="66">
        <v>0</v>
      </c>
      <c r="ES61" s="66">
        <v>39.419800000000002</v>
      </c>
      <c r="ET61" s="66">
        <v>6.4198000000000004</v>
      </c>
      <c r="EU61" s="66">
        <v>33</v>
      </c>
      <c r="EV61" s="66">
        <v>6.1788188499999999</v>
      </c>
      <c r="EW61" s="66">
        <v>0</v>
      </c>
      <c r="EX61" s="66">
        <v>37.94009209</v>
      </c>
      <c r="EY61" s="66">
        <v>6.1788188499999999</v>
      </c>
      <c r="EZ61" s="66">
        <v>0</v>
      </c>
      <c r="FA61" s="66">
        <v>31.761273239999998</v>
      </c>
      <c r="FB61" s="67">
        <v>96.246282594473342</v>
      </c>
      <c r="FC61" s="67">
        <v>96.246282545454548</v>
      </c>
      <c r="FD61" s="67">
        <v>83.714275560157176</v>
      </c>
      <c r="FE61" s="187">
        <v>0</v>
      </c>
      <c r="FF61" s="67">
        <v>0</v>
      </c>
      <c r="FG61" s="66">
        <v>0</v>
      </c>
      <c r="FH61" s="66">
        <v>0</v>
      </c>
      <c r="FI61" s="66">
        <v>0</v>
      </c>
      <c r="FJ61" s="66">
        <v>0</v>
      </c>
      <c r="FK61" s="66">
        <v>0</v>
      </c>
      <c r="FL61" s="66">
        <v>0</v>
      </c>
      <c r="FM61" s="66">
        <v>5.3902100000000003E-3</v>
      </c>
      <c r="FN61" s="66">
        <v>0</v>
      </c>
      <c r="FO61" s="66">
        <v>0</v>
      </c>
      <c r="FP61" s="66">
        <v>0</v>
      </c>
      <c r="FQ61" s="66">
        <v>0</v>
      </c>
      <c r="FR61" s="67" t="s">
        <v>1230</v>
      </c>
      <c r="FS61" s="67" t="s">
        <v>1230</v>
      </c>
      <c r="FT61" s="67">
        <v>0</v>
      </c>
      <c r="FU61" s="187">
        <v>5.3902100000000003E-3</v>
      </c>
      <c r="FV61" s="67">
        <v>0</v>
      </c>
      <c r="FW61" s="66">
        <v>0</v>
      </c>
      <c r="FX61" s="66">
        <v>0</v>
      </c>
      <c r="FY61" s="66">
        <v>0</v>
      </c>
      <c r="FZ61" s="66">
        <v>0</v>
      </c>
      <c r="GA61" s="66">
        <v>0</v>
      </c>
      <c r="GB61" s="66">
        <v>0</v>
      </c>
      <c r="GC61" s="66">
        <v>0</v>
      </c>
      <c r="GD61" s="66">
        <v>0</v>
      </c>
      <c r="GE61" s="66">
        <v>0</v>
      </c>
      <c r="GF61" s="66">
        <v>0</v>
      </c>
      <c r="GG61" s="66">
        <v>0</v>
      </c>
      <c r="GH61" s="67" t="s">
        <v>1230</v>
      </c>
      <c r="GI61" s="67" t="s">
        <v>1230</v>
      </c>
      <c r="GJ61" s="67">
        <v>0</v>
      </c>
      <c r="GK61" s="187">
        <v>0</v>
      </c>
      <c r="GL61" s="67">
        <v>0</v>
      </c>
      <c r="GM61" s="66">
        <v>0</v>
      </c>
      <c r="GN61" s="66">
        <v>0</v>
      </c>
      <c r="GO61" s="66">
        <v>0</v>
      </c>
      <c r="GP61" s="66">
        <v>0</v>
      </c>
      <c r="GQ61" s="66">
        <v>0</v>
      </c>
      <c r="GR61" s="66">
        <v>0</v>
      </c>
      <c r="GS61" s="66">
        <v>0</v>
      </c>
      <c r="GT61" s="66">
        <v>0</v>
      </c>
      <c r="GU61" s="66">
        <v>0</v>
      </c>
      <c r="GV61" s="66">
        <v>0</v>
      </c>
      <c r="GW61" s="66">
        <v>0</v>
      </c>
      <c r="GX61" s="67" t="s">
        <v>1230</v>
      </c>
      <c r="GY61" s="67" t="s">
        <v>1230</v>
      </c>
      <c r="GZ61" s="67">
        <v>0</v>
      </c>
      <c r="HA61" s="187">
        <v>0</v>
      </c>
      <c r="HB61" s="67">
        <v>0</v>
      </c>
      <c r="HC61" s="66">
        <v>0</v>
      </c>
      <c r="HD61" s="66">
        <v>0</v>
      </c>
      <c r="HE61" s="66">
        <v>0</v>
      </c>
      <c r="HF61" s="66">
        <v>0</v>
      </c>
      <c r="HG61" s="66">
        <v>0</v>
      </c>
      <c r="HH61" s="66">
        <v>0</v>
      </c>
      <c r="HI61" s="66">
        <v>0</v>
      </c>
      <c r="HJ61" s="66">
        <v>0</v>
      </c>
      <c r="HK61" s="66">
        <v>0</v>
      </c>
      <c r="HL61" s="66">
        <v>0</v>
      </c>
      <c r="HM61" s="66">
        <v>0</v>
      </c>
      <c r="HN61" s="67" t="s">
        <v>1230</v>
      </c>
      <c r="HO61" s="67" t="s">
        <v>1230</v>
      </c>
      <c r="HP61" s="67">
        <v>0</v>
      </c>
      <c r="HQ61" s="187">
        <v>0</v>
      </c>
      <c r="HR61" s="67">
        <v>0</v>
      </c>
      <c r="HS61" s="66">
        <v>0</v>
      </c>
      <c r="HT61" s="66">
        <v>0</v>
      </c>
      <c r="HU61" s="66">
        <v>0</v>
      </c>
      <c r="HV61" s="66">
        <v>0</v>
      </c>
      <c r="HW61" s="66">
        <v>0</v>
      </c>
      <c r="HX61" s="66">
        <v>0</v>
      </c>
      <c r="HY61" s="66">
        <v>0</v>
      </c>
      <c r="HZ61" s="66">
        <v>0</v>
      </c>
      <c r="IA61" s="66">
        <v>0</v>
      </c>
      <c r="IB61" s="66">
        <v>0</v>
      </c>
      <c r="IC61" s="66">
        <v>0</v>
      </c>
      <c r="ID61" s="67" t="s">
        <v>1230</v>
      </c>
      <c r="IE61" s="67" t="s">
        <v>1230</v>
      </c>
      <c r="IF61" s="67">
        <v>0</v>
      </c>
      <c r="IG61" s="187">
        <v>0</v>
      </c>
      <c r="IH61" s="67">
        <v>0</v>
      </c>
      <c r="II61" s="66">
        <v>0</v>
      </c>
      <c r="IJ61" s="66">
        <v>0</v>
      </c>
      <c r="IK61" s="66">
        <v>0</v>
      </c>
      <c r="IL61" s="66">
        <v>0</v>
      </c>
      <c r="IM61" s="66">
        <v>0</v>
      </c>
      <c r="IN61" s="66">
        <v>0</v>
      </c>
      <c r="IO61" s="66">
        <v>0</v>
      </c>
      <c r="IP61" s="66">
        <v>0</v>
      </c>
      <c r="IQ61" s="66">
        <v>0</v>
      </c>
      <c r="IR61" s="66">
        <v>0</v>
      </c>
      <c r="IS61" s="66">
        <v>0</v>
      </c>
      <c r="IT61" s="67" t="s">
        <v>1230</v>
      </c>
      <c r="IU61" s="67" t="s">
        <v>1230</v>
      </c>
      <c r="IV61" s="67">
        <v>0</v>
      </c>
      <c r="IW61" s="187">
        <v>0</v>
      </c>
      <c r="IX61" s="67">
        <v>0</v>
      </c>
    </row>
    <row r="62" spans="1:258" ht="15.6" x14ac:dyDescent="0.3">
      <c r="A62" s="202">
        <v>50</v>
      </c>
      <c r="B62" s="203" t="s">
        <v>128</v>
      </c>
      <c r="C62" s="61">
        <v>2456.4494999999997</v>
      </c>
      <c r="D62" s="61">
        <v>0</v>
      </c>
      <c r="E62" s="61">
        <v>3673.9782877199991</v>
      </c>
      <c r="F62" s="61">
        <v>2456.4494999999997</v>
      </c>
      <c r="G62" s="61">
        <v>1217.5287877199999</v>
      </c>
      <c r="H62" s="61">
        <v>2436.1810441100001</v>
      </c>
      <c r="I62" s="61">
        <v>21.352549209999999</v>
      </c>
      <c r="J62" s="61">
        <v>3647.9642444900001</v>
      </c>
      <c r="K62" s="61">
        <v>2436.1013850600002</v>
      </c>
      <c r="L62" s="61">
        <v>0</v>
      </c>
      <c r="M62" s="61">
        <v>1211.8628594300001</v>
      </c>
      <c r="N62" s="61">
        <v>99.171645297817051</v>
      </c>
      <c r="O62" s="61">
        <v>99.534637016623634</v>
      </c>
      <c r="P62" s="61">
        <v>33.22025047971443</v>
      </c>
      <c r="Q62" s="61">
        <v>18.932885289999998</v>
      </c>
      <c r="R62" s="61">
        <v>2.4993229700000024</v>
      </c>
      <c r="S62" s="61">
        <v>1765.2766999999999</v>
      </c>
      <c r="T62" s="61">
        <v>0</v>
      </c>
      <c r="U62" s="61">
        <v>2635.5590203600004</v>
      </c>
      <c r="V62" s="61">
        <v>1765.2766999999999</v>
      </c>
      <c r="W62" s="61">
        <v>870.28232035999997</v>
      </c>
      <c r="X62" s="61">
        <v>1765.17530743</v>
      </c>
      <c r="Y62" s="61">
        <v>12.5389196</v>
      </c>
      <c r="Z62" s="61">
        <v>2635.3233289899999</v>
      </c>
      <c r="AA62" s="61">
        <v>1765.1116679699999</v>
      </c>
      <c r="AB62" s="61">
        <v>0</v>
      </c>
      <c r="AC62" s="61">
        <v>870.21166102000007</v>
      </c>
      <c r="AD62" s="61">
        <v>99.990651208957786</v>
      </c>
      <c r="AE62" s="61">
        <v>99.991880871488846</v>
      </c>
      <c r="AF62" s="61">
        <v>33.021058609666419</v>
      </c>
      <c r="AG62" s="61">
        <v>12.53072216</v>
      </c>
      <c r="AH62" s="61">
        <v>7.183689999994769E-2</v>
      </c>
      <c r="AI62" s="61">
        <v>0</v>
      </c>
      <c r="AJ62" s="61">
        <v>0</v>
      </c>
      <c r="AK62" s="61">
        <v>0</v>
      </c>
      <c r="AL62" s="61">
        <v>0</v>
      </c>
      <c r="AM62" s="61">
        <v>0</v>
      </c>
      <c r="AN62" s="61">
        <v>0</v>
      </c>
      <c r="AO62" s="61">
        <v>8.7259402000000019</v>
      </c>
      <c r="AP62" s="61">
        <v>0</v>
      </c>
      <c r="AQ62" s="61">
        <v>0</v>
      </c>
      <c r="AR62" s="61">
        <v>0</v>
      </c>
      <c r="AS62" s="61">
        <v>0</v>
      </c>
      <c r="AT62" s="61" t="s">
        <v>1230</v>
      </c>
      <c r="AU62" s="61" t="s">
        <v>1230</v>
      </c>
      <c r="AV62" s="61">
        <v>0</v>
      </c>
      <c r="AW62" s="61">
        <v>6.3144737200000005</v>
      </c>
      <c r="AX62" s="61">
        <v>2.4114664800000001</v>
      </c>
      <c r="AY62" s="61">
        <v>326.04920000000004</v>
      </c>
      <c r="AZ62" s="61">
        <v>0</v>
      </c>
      <c r="BA62" s="61">
        <v>471.23857505999996</v>
      </c>
      <c r="BB62" s="61">
        <v>326.04920000000004</v>
      </c>
      <c r="BC62" s="61">
        <v>145.18937506</v>
      </c>
      <c r="BD62" s="61">
        <v>307.87958845000003</v>
      </c>
      <c r="BE62" s="61">
        <v>7.5368909999999997E-2</v>
      </c>
      <c r="BF62" s="61">
        <v>449.10090373000003</v>
      </c>
      <c r="BG62" s="61">
        <v>307.86356943999999</v>
      </c>
      <c r="BH62" s="61">
        <v>0</v>
      </c>
      <c r="BI62" s="61">
        <v>141.23733428999998</v>
      </c>
      <c r="BJ62" s="61">
        <v>94.422427486403876</v>
      </c>
      <c r="BK62" s="61">
        <v>97.278009655756946</v>
      </c>
      <c r="BL62" s="61">
        <v>31.448908946064385</v>
      </c>
      <c r="BM62" s="61">
        <v>7.5368909999999997E-2</v>
      </c>
      <c r="BN62" s="61">
        <v>1.6019010000002512E-2</v>
      </c>
      <c r="BO62" s="61">
        <v>0</v>
      </c>
      <c r="BP62" s="61">
        <v>0</v>
      </c>
      <c r="BQ62" s="61">
        <v>0</v>
      </c>
      <c r="BR62" s="61">
        <v>0</v>
      </c>
      <c r="BS62" s="61">
        <v>0</v>
      </c>
      <c r="BT62" s="61">
        <v>0</v>
      </c>
      <c r="BU62" s="61">
        <v>0</v>
      </c>
      <c r="BV62" s="61">
        <v>0</v>
      </c>
      <c r="BW62" s="61">
        <v>0</v>
      </c>
      <c r="BX62" s="61">
        <v>0</v>
      </c>
      <c r="BY62" s="61">
        <v>0</v>
      </c>
      <c r="BZ62" s="61" t="s">
        <v>1230</v>
      </c>
      <c r="CA62" s="61" t="s">
        <v>1230</v>
      </c>
      <c r="CB62" s="61">
        <v>0</v>
      </c>
      <c r="CC62" s="61">
        <v>0</v>
      </c>
      <c r="CD62" s="61">
        <v>0</v>
      </c>
      <c r="CE62" s="61">
        <v>0</v>
      </c>
      <c r="CF62" s="61">
        <v>0</v>
      </c>
      <c r="CG62" s="61">
        <v>0</v>
      </c>
      <c r="CH62" s="61">
        <v>0</v>
      </c>
      <c r="CI62" s="61">
        <v>0</v>
      </c>
      <c r="CJ62" s="61">
        <v>0</v>
      </c>
      <c r="CK62" s="61">
        <v>0</v>
      </c>
      <c r="CL62" s="61">
        <v>0</v>
      </c>
      <c r="CM62" s="61">
        <v>0</v>
      </c>
      <c r="CN62" s="61">
        <v>0</v>
      </c>
      <c r="CO62" s="61">
        <v>0</v>
      </c>
      <c r="CP62" s="61" t="s">
        <v>1230</v>
      </c>
      <c r="CQ62" s="61" t="s">
        <v>1230</v>
      </c>
      <c r="CR62" s="61">
        <v>0</v>
      </c>
      <c r="CS62" s="61">
        <v>0</v>
      </c>
      <c r="CT62" s="61">
        <v>0</v>
      </c>
      <c r="CU62" s="61">
        <v>0</v>
      </c>
      <c r="CV62" s="61">
        <v>0</v>
      </c>
      <c r="CW62" s="61">
        <v>0</v>
      </c>
      <c r="CX62" s="61">
        <v>0</v>
      </c>
      <c r="CY62" s="61">
        <v>0</v>
      </c>
      <c r="CZ62" s="61">
        <v>0</v>
      </c>
      <c r="DA62" s="61">
        <v>0</v>
      </c>
      <c r="DB62" s="61">
        <v>0</v>
      </c>
      <c r="DC62" s="61">
        <v>0</v>
      </c>
      <c r="DD62" s="61">
        <v>0</v>
      </c>
      <c r="DE62" s="61">
        <v>0</v>
      </c>
      <c r="DF62" s="61" t="s">
        <v>1230</v>
      </c>
      <c r="DG62" s="61" t="s">
        <v>1230</v>
      </c>
      <c r="DH62" s="61">
        <v>0</v>
      </c>
      <c r="DI62" s="61">
        <v>0</v>
      </c>
      <c r="DJ62" s="61">
        <v>0</v>
      </c>
      <c r="DK62" s="61">
        <v>35.719400000000007</v>
      </c>
      <c r="DL62" s="61">
        <v>0</v>
      </c>
      <c r="DM62" s="61">
        <v>80.764568589999996</v>
      </c>
      <c r="DN62" s="61">
        <v>35.719400000000007</v>
      </c>
      <c r="DO62" s="61">
        <v>45.045168590000003</v>
      </c>
      <c r="DP62" s="61">
        <v>34.307161069999999</v>
      </c>
      <c r="DQ62" s="61">
        <v>0</v>
      </c>
      <c r="DR62" s="61">
        <v>78.131923699999987</v>
      </c>
      <c r="DS62" s="61">
        <v>34.307161069999999</v>
      </c>
      <c r="DT62" s="61">
        <v>0</v>
      </c>
      <c r="DU62" s="61">
        <v>43.824762629999995</v>
      </c>
      <c r="DV62" s="61">
        <v>96.046297166245779</v>
      </c>
      <c r="DW62" s="61">
        <v>97.290706199574672</v>
      </c>
      <c r="DX62" s="61">
        <v>56.090725217866357</v>
      </c>
      <c r="DY62" s="61">
        <v>0</v>
      </c>
      <c r="DZ62" s="61">
        <v>0</v>
      </c>
      <c r="EA62" s="61">
        <v>0</v>
      </c>
      <c r="EB62" s="61">
        <v>0</v>
      </c>
      <c r="EC62" s="61">
        <v>0</v>
      </c>
      <c r="ED62" s="61">
        <v>0</v>
      </c>
      <c r="EE62" s="61">
        <v>0</v>
      </c>
      <c r="EF62" s="61">
        <v>0</v>
      </c>
      <c r="EG62" s="61">
        <v>0</v>
      </c>
      <c r="EH62" s="61">
        <v>0</v>
      </c>
      <c r="EI62" s="61">
        <v>0</v>
      </c>
      <c r="EJ62" s="61">
        <v>0</v>
      </c>
      <c r="EK62" s="61">
        <v>0</v>
      </c>
      <c r="EL62" s="61" t="s">
        <v>1230</v>
      </c>
      <c r="EM62" s="61" t="s">
        <v>1230</v>
      </c>
      <c r="EN62" s="61">
        <v>0</v>
      </c>
      <c r="EO62" s="61">
        <v>0</v>
      </c>
      <c r="EP62" s="61">
        <v>0</v>
      </c>
      <c r="EQ62" s="61">
        <v>16.980399999999999</v>
      </c>
      <c r="ER62" s="61">
        <v>0</v>
      </c>
      <c r="ES62" s="61">
        <v>23.189561820000002</v>
      </c>
      <c r="ET62" s="61">
        <v>16.980399999999999</v>
      </c>
      <c r="EU62" s="61">
        <v>6.2091618200000012</v>
      </c>
      <c r="EV62" s="61">
        <v>16.92009831</v>
      </c>
      <c r="EW62" s="61">
        <v>0</v>
      </c>
      <c r="EX62" s="61">
        <v>23.08559339</v>
      </c>
      <c r="EY62" s="61">
        <v>16.92009831</v>
      </c>
      <c r="EZ62" s="61">
        <v>0</v>
      </c>
      <c r="FA62" s="61">
        <v>6.1654950800000003</v>
      </c>
      <c r="FB62" s="61">
        <v>99.644874737933151</v>
      </c>
      <c r="FC62" s="61">
        <v>99.296736962799898</v>
      </c>
      <c r="FD62" s="61">
        <v>26.707111122691401</v>
      </c>
      <c r="FE62" s="61">
        <v>0</v>
      </c>
      <c r="FF62" s="61">
        <v>0</v>
      </c>
      <c r="FG62" s="61">
        <v>0</v>
      </c>
      <c r="FH62" s="61">
        <v>0</v>
      </c>
      <c r="FI62" s="61">
        <v>0</v>
      </c>
      <c r="FJ62" s="61">
        <v>0</v>
      </c>
      <c r="FK62" s="61">
        <v>0</v>
      </c>
      <c r="FL62" s="61">
        <v>0</v>
      </c>
      <c r="FM62" s="61">
        <v>0</v>
      </c>
      <c r="FN62" s="61">
        <v>0</v>
      </c>
      <c r="FO62" s="61">
        <v>0</v>
      </c>
      <c r="FP62" s="61">
        <v>0</v>
      </c>
      <c r="FQ62" s="61">
        <v>0</v>
      </c>
      <c r="FR62" s="61" t="s">
        <v>1230</v>
      </c>
      <c r="FS62" s="61" t="s">
        <v>1230</v>
      </c>
      <c r="FT62" s="61">
        <v>0</v>
      </c>
      <c r="FU62" s="61">
        <v>0</v>
      </c>
      <c r="FV62" s="61">
        <v>0</v>
      </c>
      <c r="FW62" s="61">
        <v>299.2758</v>
      </c>
      <c r="FX62" s="61">
        <v>0</v>
      </c>
      <c r="FY62" s="61">
        <v>444.77599851000002</v>
      </c>
      <c r="FZ62" s="61">
        <v>299.2758</v>
      </c>
      <c r="GA62" s="61">
        <v>145.50019851000002</v>
      </c>
      <c r="GB62" s="61">
        <v>298.75277739000001</v>
      </c>
      <c r="GC62" s="61">
        <v>1.23205E-2</v>
      </c>
      <c r="GD62" s="61">
        <v>443.87423439000003</v>
      </c>
      <c r="GE62" s="61">
        <v>298.75277681</v>
      </c>
      <c r="GF62" s="61">
        <v>0</v>
      </c>
      <c r="GG62" s="61">
        <v>145.12145758000003</v>
      </c>
      <c r="GH62" s="61">
        <v>99.825237058926916</v>
      </c>
      <c r="GI62" s="61">
        <v>99.739697310465203</v>
      </c>
      <c r="GJ62" s="61">
        <v>32.694273813715519</v>
      </c>
      <c r="GK62" s="61">
        <v>1.23205E-2</v>
      </c>
      <c r="GL62" s="61">
        <v>5.7999999954032322E-7</v>
      </c>
      <c r="GM62" s="61">
        <v>0</v>
      </c>
      <c r="GN62" s="61">
        <v>0</v>
      </c>
      <c r="GO62" s="61">
        <v>0</v>
      </c>
      <c r="GP62" s="61">
        <v>0</v>
      </c>
      <c r="GQ62" s="61">
        <v>0</v>
      </c>
      <c r="GR62" s="61">
        <v>0</v>
      </c>
      <c r="GS62" s="61">
        <v>0</v>
      </c>
      <c r="GT62" s="61">
        <v>0</v>
      </c>
      <c r="GU62" s="61">
        <v>0</v>
      </c>
      <c r="GV62" s="61">
        <v>0</v>
      </c>
      <c r="GW62" s="61">
        <v>0</v>
      </c>
      <c r="GX62" s="61" t="s">
        <v>1230</v>
      </c>
      <c r="GY62" s="61" t="s">
        <v>1230</v>
      </c>
      <c r="GZ62" s="61">
        <v>0</v>
      </c>
      <c r="HA62" s="61">
        <v>0</v>
      </c>
      <c r="HB62" s="61">
        <v>0</v>
      </c>
      <c r="HC62" s="61">
        <v>10.668000000000001</v>
      </c>
      <c r="HD62" s="61">
        <v>0</v>
      </c>
      <c r="HE62" s="61">
        <v>15.14389688</v>
      </c>
      <c r="HF62" s="61">
        <v>10.668000000000001</v>
      </c>
      <c r="HG62" s="61">
        <v>4.4758968800000005</v>
      </c>
      <c r="HH62" s="61">
        <v>10.666111460000002</v>
      </c>
      <c r="HI62" s="61">
        <v>0</v>
      </c>
      <c r="HJ62" s="61">
        <v>15.14159379</v>
      </c>
      <c r="HK62" s="61">
        <v>10.666111460000002</v>
      </c>
      <c r="HL62" s="61">
        <v>0</v>
      </c>
      <c r="HM62" s="61">
        <v>4.4754823300000002</v>
      </c>
      <c r="HN62" s="61">
        <v>99.982297150356217</v>
      </c>
      <c r="HO62" s="61">
        <v>99.990738169106336</v>
      </c>
      <c r="HP62" s="61">
        <v>29.557537945283897</v>
      </c>
      <c r="HQ62" s="61">
        <v>0</v>
      </c>
      <c r="HR62" s="61">
        <v>0</v>
      </c>
      <c r="HS62" s="61">
        <v>0</v>
      </c>
      <c r="HT62" s="61">
        <v>0</v>
      </c>
      <c r="HU62" s="61">
        <v>0</v>
      </c>
      <c r="HV62" s="61">
        <v>0</v>
      </c>
      <c r="HW62" s="61">
        <v>0</v>
      </c>
      <c r="HX62" s="61">
        <v>0</v>
      </c>
      <c r="HY62" s="61">
        <v>0</v>
      </c>
      <c r="HZ62" s="61">
        <v>0</v>
      </c>
      <c r="IA62" s="61">
        <v>0</v>
      </c>
      <c r="IB62" s="61">
        <v>0</v>
      </c>
      <c r="IC62" s="61">
        <v>0</v>
      </c>
      <c r="ID62" s="61" t="s">
        <v>1230</v>
      </c>
      <c r="IE62" s="61" t="s">
        <v>1230</v>
      </c>
      <c r="IF62" s="61">
        <v>0</v>
      </c>
      <c r="IG62" s="61">
        <v>0</v>
      </c>
      <c r="IH62" s="61">
        <v>0</v>
      </c>
      <c r="II62" s="61">
        <v>2.48</v>
      </c>
      <c r="IJ62" s="61">
        <v>0</v>
      </c>
      <c r="IK62" s="61">
        <v>3.3066665</v>
      </c>
      <c r="IL62" s="61">
        <v>2.48</v>
      </c>
      <c r="IM62" s="61">
        <v>0.82666649999999997</v>
      </c>
      <c r="IN62" s="61">
        <v>2.48</v>
      </c>
      <c r="IO62" s="61">
        <v>0</v>
      </c>
      <c r="IP62" s="61">
        <v>3.3066665</v>
      </c>
      <c r="IQ62" s="61">
        <v>2.48</v>
      </c>
      <c r="IR62" s="61">
        <v>0</v>
      </c>
      <c r="IS62" s="61">
        <v>0.82666649999999997</v>
      </c>
      <c r="IT62" s="61">
        <v>100</v>
      </c>
      <c r="IU62" s="61">
        <v>100</v>
      </c>
      <c r="IV62" s="61">
        <v>24.999996219757872</v>
      </c>
      <c r="IW62" s="61">
        <v>0</v>
      </c>
      <c r="IX62" s="61">
        <v>0</v>
      </c>
    </row>
    <row r="63" spans="1:258" ht="15.6" x14ac:dyDescent="0.3">
      <c r="A63" s="169">
        <v>51</v>
      </c>
      <c r="B63" s="205" t="s">
        <v>131</v>
      </c>
      <c r="C63" s="66">
        <v>692.88299999999992</v>
      </c>
      <c r="D63" s="66">
        <v>0</v>
      </c>
      <c r="E63" s="66">
        <v>1024.16125625</v>
      </c>
      <c r="F63" s="66">
        <v>692.88299999999992</v>
      </c>
      <c r="G63" s="66">
        <v>331.27825624999997</v>
      </c>
      <c r="H63" s="66">
        <v>692.78160749999995</v>
      </c>
      <c r="I63" s="66">
        <v>0.98714728000000007</v>
      </c>
      <c r="J63" s="66">
        <v>1024.01356659</v>
      </c>
      <c r="K63" s="66">
        <v>692.78160749999995</v>
      </c>
      <c r="L63" s="66">
        <v>0</v>
      </c>
      <c r="M63" s="66">
        <v>331.23195908999998</v>
      </c>
      <c r="N63" s="67">
        <v>99.985366577041148</v>
      </c>
      <c r="O63" s="67">
        <v>99.986024690988145</v>
      </c>
      <c r="P63" s="67">
        <v>32.346442459059766</v>
      </c>
      <c r="Q63" s="66">
        <v>0.98714728000000007</v>
      </c>
      <c r="R63" s="67">
        <v>4.4630965589931293E-14</v>
      </c>
      <c r="S63" s="66">
        <v>560.70129999999995</v>
      </c>
      <c r="T63" s="66">
        <v>0</v>
      </c>
      <c r="U63" s="66">
        <v>816.72490000000005</v>
      </c>
      <c r="V63" s="66">
        <v>560.70129999999995</v>
      </c>
      <c r="W63" s="66">
        <v>256.02359999999999</v>
      </c>
      <c r="X63" s="66">
        <v>560.59990749999997</v>
      </c>
      <c r="Y63" s="66">
        <v>0.31511236999999997</v>
      </c>
      <c r="Z63" s="66">
        <v>816.57721034000008</v>
      </c>
      <c r="AA63" s="66">
        <v>560.59990749999997</v>
      </c>
      <c r="AB63" s="66">
        <v>0</v>
      </c>
      <c r="AC63" s="66">
        <v>255.97730283999999</v>
      </c>
      <c r="AD63" s="67">
        <v>99.981916842354394</v>
      </c>
      <c r="AE63" s="67">
        <v>99.981916838916419</v>
      </c>
      <c r="AF63" s="67">
        <v>31.347593295362497</v>
      </c>
      <c r="AG63" s="187">
        <v>0.31511236999999997</v>
      </c>
      <c r="AH63" s="67">
        <v>-4.8350212722425567E-14</v>
      </c>
      <c r="AI63" s="66">
        <v>0</v>
      </c>
      <c r="AJ63" s="66">
        <v>0</v>
      </c>
      <c r="AK63" s="66">
        <v>0</v>
      </c>
      <c r="AL63" s="66">
        <v>0</v>
      </c>
      <c r="AM63" s="66">
        <v>0</v>
      </c>
      <c r="AN63" s="66">
        <v>0</v>
      </c>
      <c r="AO63" s="66">
        <v>0.67203491000000004</v>
      </c>
      <c r="AP63" s="66">
        <v>0</v>
      </c>
      <c r="AQ63" s="66">
        <v>0</v>
      </c>
      <c r="AR63" s="66">
        <v>0</v>
      </c>
      <c r="AS63" s="66">
        <v>0</v>
      </c>
      <c r="AT63" s="67" t="s">
        <v>1230</v>
      </c>
      <c r="AU63" s="67" t="s">
        <v>1230</v>
      </c>
      <c r="AV63" s="67">
        <v>0</v>
      </c>
      <c r="AW63" s="187">
        <v>0.67203491000000004</v>
      </c>
      <c r="AX63" s="67">
        <v>0</v>
      </c>
      <c r="AY63" s="66">
        <v>28.507400000000001</v>
      </c>
      <c r="AZ63" s="66">
        <v>0</v>
      </c>
      <c r="BA63" s="66">
        <v>44.542812499999997</v>
      </c>
      <c r="BB63" s="66">
        <v>28.507400000000001</v>
      </c>
      <c r="BC63" s="66">
        <v>16.0354125</v>
      </c>
      <c r="BD63" s="66">
        <v>28.507400000000001</v>
      </c>
      <c r="BE63" s="66">
        <v>0</v>
      </c>
      <c r="BF63" s="66">
        <v>44.542812499999997</v>
      </c>
      <c r="BG63" s="66">
        <v>28.507400000000001</v>
      </c>
      <c r="BH63" s="66">
        <v>0</v>
      </c>
      <c r="BI63" s="66">
        <v>16.0354125</v>
      </c>
      <c r="BJ63" s="67">
        <v>100</v>
      </c>
      <c r="BK63" s="67">
        <v>100</v>
      </c>
      <c r="BL63" s="67">
        <v>36.000000000000007</v>
      </c>
      <c r="BM63" s="187">
        <v>0</v>
      </c>
      <c r="BN63" s="67">
        <v>0</v>
      </c>
      <c r="BO63" s="66">
        <v>0</v>
      </c>
      <c r="BP63" s="66">
        <v>0</v>
      </c>
      <c r="BQ63" s="66">
        <v>0</v>
      </c>
      <c r="BR63" s="66">
        <v>0</v>
      </c>
      <c r="BS63" s="66">
        <v>0</v>
      </c>
      <c r="BT63" s="66">
        <v>0</v>
      </c>
      <c r="BU63" s="66">
        <v>0</v>
      </c>
      <c r="BV63" s="66">
        <v>0</v>
      </c>
      <c r="BW63" s="66">
        <v>0</v>
      </c>
      <c r="BX63" s="66">
        <v>0</v>
      </c>
      <c r="BY63" s="66">
        <v>0</v>
      </c>
      <c r="BZ63" s="67" t="s">
        <v>1230</v>
      </c>
      <c r="CA63" s="67" t="s">
        <v>1230</v>
      </c>
      <c r="CB63" s="67">
        <v>0</v>
      </c>
      <c r="CC63" s="187">
        <v>0</v>
      </c>
      <c r="CD63" s="67">
        <v>0</v>
      </c>
      <c r="CE63" s="66">
        <v>0</v>
      </c>
      <c r="CF63" s="66">
        <v>0</v>
      </c>
      <c r="CG63" s="66">
        <v>0</v>
      </c>
      <c r="CH63" s="66">
        <v>0</v>
      </c>
      <c r="CI63" s="66">
        <v>0</v>
      </c>
      <c r="CJ63" s="66">
        <v>0</v>
      </c>
      <c r="CK63" s="66">
        <v>0</v>
      </c>
      <c r="CL63" s="66">
        <v>0</v>
      </c>
      <c r="CM63" s="66">
        <v>0</v>
      </c>
      <c r="CN63" s="66">
        <v>0</v>
      </c>
      <c r="CO63" s="66">
        <v>0</v>
      </c>
      <c r="CP63" s="67" t="s">
        <v>1230</v>
      </c>
      <c r="CQ63" s="67" t="s">
        <v>1230</v>
      </c>
      <c r="CR63" s="67">
        <v>0</v>
      </c>
      <c r="CS63" s="187">
        <v>0</v>
      </c>
      <c r="CT63" s="67">
        <v>0</v>
      </c>
      <c r="CU63" s="66">
        <v>0</v>
      </c>
      <c r="CV63" s="66">
        <v>0</v>
      </c>
      <c r="CW63" s="66">
        <v>0</v>
      </c>
      <c r="CX63" s="66">
        <v>0</v>
      </c>
      <c r="CY63" s="66">
        <v>0</v>
      </c>
      <c r="CZ63" s="66">
        <v>0</v>
      </c>
      <c r="DA63" s="66">
        <v>0</v>
      </c>
      <c r="DB63" s="66">
        <v>0</v>
      </c>
      <c r="DC63" s="66">
        <v>0</v>
      </c>
      <c r="DD63" s="66">
        <v>0</v>
      </c>
      <c r="DE63" s="66">
        <v>0</v>
      </c>
      <c r="DF63" s="67" t="s">
        <v>1230</v>
      </c>
      <c r="DG63" s="67" t="s">
        <v>1230</v>
      </c>
      <c r="DH63" s="67">
        <v>0</v>
      </c>
      <c r="DI63" s="187">
        <v>0</v>
      </c>
      <c r="DJ63" s="67">
        <v>0</v>
      </c>
      <c r="DK63" s="66">
        <v>6.2996999999999996</v>
      </c>
      <c r="DL63" s="66">
        <v>0</v>
      </c>
      <c r="DM63" s="66">
        <v>9.8432812500000004</v>
      </c>
      <c r="DN63" s="66">
        <v>6.2996999999999996</v>
      </c>
      <c r="DO63" s="66">
        <v>3.5435812499999999</v>
      </c>
      <c r="DP63" s="66">
        <v>6.2996999999999996</v>
      </c>
      <c r="DQ63" s="66">
        <v>0</v>
      </c>
      <c r="DR63" s="66">
        <v>9.8432812500000004</v>
      </c>
      <c r="DS63" s="66">
        <v>6.2996999999999996</v>
      </c>
      <c r="DT63" s="66">
        <v>0</v>
      </c>
      <c r="DU63" s="66">
        <v>3.5435812499999999</v>
      </c>
      <c r="DV63" s="67">
        <v>100</v>
      </c>
      <c r="DW63" s="67">
        <v>100</v>
      </c>
      <c r="DX63" s="67">
        <v>36</v>
      </c>
      <c r="DY63" s="187">
        <v>0</v>
      </c>
      <c r="DZ63" s="67">
        <v>0</v>
      </c>
      <c r="EA63" s="66">
        <v>0</v>
      </c>
      <c r="EB63" s="66">
        <v>0</v>
      </c>
      <c r="EC63" s="66">
        <v>0</v>
      </c>
      <c r="ED63" s="66">
        <v>0</v>
      </c>
      <c r="EE63" s="66">
        <v>0</v>
      </c>
      <c r="EF63" s="66">
        <v>0</v>
      </c>
      <c r="EG63" s="66">
        <v>0</v>
      </c>
      <c r="EH63" s="66">
        <v>0</v>
      </c>
      <c r="EI63" s="66">
        <v>0</v>
      </c>
      <c r="EJ63" s="66">
        <v>0</v>
      </c>
      <c r="EK63" s="66">
        <v>0</v>
      </c>
      <c r="EL63" s="67" t="s">
        <v>1230</v>
      </c>
      <c r="EM63" s="67" t="s">
        <v>1230</v>
      </c>
      <c r="EN63" s="67">
        <v>0</v>
      </c>
      <c r="EO63" s="187">
        <v>0</v>
      </c>
      <c r="EP63" s="67">
        <v>0</v>
      </c>
      <c r="EQ63" s="66">
        <v>0</v>
      </c>
      <c r="ER63" s="66">
        <v>0</v>
      </c>
      <c r="ES63" s="66">
        <v>0</v>
      </c>
      <c r="ET63" s="66">
        <v>0</v>
      </c>
      <c r="EU63" s="66">
        <v>0</v>
      </c>
      <c r="EV63" s="66">
        <v>0</v>
      </c>
      <c r="EW63" s="66">
        <v>0</v>
      </c>
      <c r="EX63" s="66">
        <v>0</v>
      </c>
      <c r="EY63" s="66">
        <v>0</v>
      </c>
      <c r="EZ63" s="66">
        <v>0</v>
      </c>
      <c r="FA63" s="66">
        <v>0</v>
      </c>
      <c r="FB63" s="67" t="s">
        <v>1230</v>
      </c>
      <c r="FC63" s="67" t="s">
        <v>1230</v>
      </c>
      <c r="FD63" s="67">
        <v>0</v>
      </c>
      <c r="FE63" s="187">
        <v>0</v>
      </c>
      <c r="FF63" s="67">
        <v>0</v>
      </c>
      <c r="FG63" s="66">
        <v>0</v>
      </c>
      <c r="FH63" s="66">
        <v>0</v>
      </c>
      <c r="FI63" s="66">
        <v>0</v>
      </c>
      <c r="FJ63" s="66">
        <v>0</v>
      </c>
      <c r="FK63" s="66">
        <v>0</v>
      </c>
      <c r="FL63" s="66">
        <v>0</v>
      </c>
      <c r="FM63" s="66">
        <v>0</v>
      </c>
      <c r="FN63" s="66">
        <v>0</v>
      </c>
      <c r="FO63" s="66">
        <v>0</v>
      </c>
      <c r="FP63" s="66">
        <v>0</v>
      </c>
      <c r="FQ63" s="66">
        <v>0</v>
      </c>
      <c r="FR63" s="67" t="s">
        <v>1230</v>
      </c>
      <c r="FS63" s="67" t="s">
        <v>1230</v>
      </c>
      <c r="FT63" s="67">
        <v>0</v>
      </c>
      <c r="FU63" s="187">
        <v>0</v>
      </c>
      <c r="FV63" s="67">
        <v>0</v>
      </c>
      <c r="FW63" s="66">
        <v>95.423400000000001</v>
      </c>
      <c r="FX63" s="66">
        <v>0</v>
      </c>
      <c r="FY63" s="66">
        <v>149.0990625</v>
      </c>
      <c r="FZ63" s="66">
        <v>95.423400000000001</v>
      </c>
      <c r="GA63" s="66">
        <v>53.675662500000001</v>
      </c>
      <c r="GB63" s="66">
        <v>95.423400000000001</v>
      </c>
      <c r="GC63" s="66">
        <v>0</v>
      </c>
      <c r="GD63" s="66">
        <v>149.0990625</v>
      </c>
      <c r="GE63" s="66">
        <v>95.423400000000001</v>
      </c>
      <c r="GF63" s="66">
        <v>0</v>
      </c>
      <c r="GG63" s="66">
        <v>53.675662500000001</v>
      </c>
      <c r="GH63" s="67">
        <v>100</v>
      </c>
      <c r="GI63" s="67">
        <v>100</v>
      </c>
      <c r="GJ63" s="67">
        <v>36</v>
      </c>
      <c r="GK63" s="187">
        <v>0</v>
      </c>
      <c r="GL63" s="67">
        <v>0</v>
      </c>
      <c r="GM63" s="66">
        <v>0</v>
      </c>
      <c r="GN63" s="66">
        <v>0</v>
      </c>
      <c r="GO63" s="66">
        <v>0</v>
      </c>
      <c r="GP63" s="66">
        <v>0</v>
      </c>
      <c r="GQ63" s="66">
        <v>0</v>
      </c>
      <c r="GR63" s="66">
        <v>0</v>
      </c>
      <c r="GS63" s="66">
        <v>0</v>
      </c>
      <c r="GT63" s="66">
        <v>0</v>
      </c>
      <c r="GU63" s="66">
        <v>0</v>
      </c>
      <c r="GV63" s="66">
        <v>0</v>
      </c>
      <c r="GW63" s="66">
        <v>0</v>
      </c>
      <c r="GX63" s="67" t="s">
        <v>1230</v>
      </c>
      <c r="GY63" s="67" t="s">
        <v>1230</v>
      </c>
      <c r="GZ63" s="67">
        <v>0</v>
      </c>
      <c r="HA63" s="187">
        <v>0</v>
      </c>
      <c r="HB63" s="67">
        <v>0</v>
      </c>
      <c r="HC63" s="66">
        <v>1.9512</v>
      </c>
      <c r="HD63" s="66">
        <v>0</v>
      </c>
      <c r="HE63" s="66">
        <v>3.9512</v>
      </c>
      <c r="HF63" s="66">
        <v>1.9512</v>
      </c>
      <c r="HG63" s="66">
        <v>2</v>
      </c>
      <c r="HH63" s="66">
        <v>1.9512</v>
      </c>
      <c r="HI63" s="66">
        <v>0</v>
      </c>
      <c r="HJ63" s="66">
        <v>3.9512</v>
      </c>
      <c r="HK63" s="66">
        <v>1.9512</v>
      </c>
      <c r="HL63" s="66">
        <v>0</v>
      </c>
      <c r="HM63" s="66">
        <v>2</v>
      </c>
      <c r="HN63" s="67">
        <v>100</v>
      </c>
      <c r="HO63" s="67">
        <v>100</v>
      </c>
      <c r="HP63" s="67">
        <v>50.617533913747728</v>
      </c>
      <c r="HQ63" s="187">
        <v>0</v>
      </c>
      <c r="HR63" s="67">
        <v>0</v>
      </c>
      <c r="HS63" s="66">
        <v>0</v>
      </c>
      <c r="HT63" s="66">
        <v>0</v>
      </c>
      <c r="HU63" s="66">
        <v>0</v>
      </c>
      <c r="HV63" s="66">
        <v>0</v>
      </c>
      <c r="HW63" s="66">
        <v>0</v>
      </c>
      <c r="HX63" s="66">
        <v>0</v>
      </c>
      <c r="HY63" s="66">
        <v>0</v>
      </c>
      <c r="HZ63" s="66">
        <v>0</v>
      </c>
      <c r="IA63" s="66">
        <v>0</v>
      </c>
      <c r="IB63" s="66">
        <v>0</v>
      </c>
      <c r="IC63" s="66">
        <v>0</v>
      </c>
      <c r="ID63" s="67" t="s">
        <v>1230</v>
      </c>
      <c r="IE63" s="67" t="s">
        <v>1230</v>
      </c>
      <c r="IF63" s="67">
        <v>0</v>
      </c>
      <c r="IG63" s="187">
        <v>0</v>
      </c>
      <c r="IH63" s="67">
        <v>0</v>
      </c>
      <c r="II63" s="66">
        <v>0</v>
      </c>
      <c r="IJ63" s="66">
        <v>0</v>
      </c>
      <c r="IK63" s="66">
        <v>0</v>
      </c>
      <c r="IL63" s="66">
        <v>0</v>
      </c>
      <c r="IM63" s="66">
        <v>0</v>
      </c>
      <c r="IN63" s="66">
        <v>0</v>
      </c>
      <c r="IO63" s="66">
        <v>0</v>
      </c>
      <c r="IP63" s="66">
        <v>0</v>
      </c>
      <c r="IQ63" s="66">
        <v>0</v>
      </c>
      <c r="IR63" s="66">
        <v>0</v>
      </c>
      <c r="IS63" s="66">
        <v>0</v>
      </c>
      <c r="IT63" s="67" t="s">
        <v>1230</v>
      </c>
      <c r="IU63" s="67" t="s">
        <v>1230</v>
      </c>
      <c r="IV63" s="67">
        <v>0</v>
      </c>
      <c r="IW63" s="187">
        <v>0</v>
      </c>
      <c r="IX63" s="67">
        <v>0</v>
      </c>
    </row>
    <row r="64" spans="1:258" ht="15.6" x14ac:dyDescent="0.3">
      <c r="A64" s="169">
        <v>52</v>
      </c>
      <c r="B64" s="205" t="s">
        <v>134</v>
      </c>
      <c r="C64" s="66">
        <v>15.912199999999999</v>
      </c>
      <c r="D64" s="66">
        <v>0</v>
      </c>
      <c r="E64" s="66">
        <v>18.822987390000002</v>
      </c>
      <c r="F64" s="66">
        <v>15.912199999999999</v>
      </c>
      <c r="G64" s="66">
        <v>2.9107873899999999</v>
      </c>
      <c r="H64" s="66">
        <v>15.912199999999999</v>
      </c>
      <c r="I64" s="66">
        <v>0</v>
      </c>
      <c r="J64" s="66">
        <v>18.822987390000002</v>
      </c>
      <c r="K64" s="66">
        <v>15.912199999999999</v>
      </c>
      <c r="L64" s="66">
        <v>0</v>
      </c>
      <c r="M64" s="66">
        <v>2.9107873899999999</v>
      </c>
      <c r="N64" s="67">
        <v>100</v>
      </c>
      <c r="O64" s="67">
        <v>100</v>
      </c>
      <c r="P64" s="67">
        <v>15.464003293900094</v>
      </c>
      <c r="Q64" s="66">
        <v>0</v>
      </c>
      <c r="R64" s="67">
        <v>0</v>
      </c>
      <c r="S64" s="66">
        <v>5.9828999999999999</v>
      </c>
      <c r="T64" s="66">
        <v>0</v>
      </c>
      <c r="U64" s="66">
        <v>8.0302699999999998</v>
      </c>
      <c r="V64" s="66">
        <v>5.9828999999999999</v>
      </c>
      <c r="W64" s="66">
        <v>2.0473699999999999</v>
      </c>
      <c r="X64" s="66">
        <v>5.9828999999999999</v>
      </c>
      <c r="Y64" s="66">
        <v>0</v>
      </c>
      <c r="Z64" s="66">
        <v>8.0302699999999998</v>
      </c>
      <c r="AA64" s="66">
        <v>5.9828999999999999</v>
      </c>
      <c r="AB64" s="66">
        <v>0</v>
      </c>
      <c r="AC64" s="66">
        <v>2.0473699999999999</v>
      </c>
      <c r="AD64" s="67">
        <v>100</v>
      </c>
      <c r="AE64" s="67">
        <v>100</v>
      </c>
      <c r="AF64" s="67">
        <v>25.495655812320134</v>
      </c>
      <c r="AG64" s="187">
        <v>0</v>
      </c>
      <c r="AH64" s="67">
        <v>0</v>
      </c>
      <c r="AI64" s="66">
        <v>0</v>
      </c>
      <c r="AJ64" s="66">
        <v>0</v>
      </c>
      <c r="AK64" s="66">
        <v>0</v>
      </c>
      <c r="AL64" s="66">
        <v>0</v>
      </c>
      <c r="AM64" s="66">
        <v>0</v>
      </c>
      <c r="AN64" s="66">
        <v>0</v>
      </c>
      <c r="AO64" s="66">
        <v>0</v>
      </c>
      <c r="AP64" s="66">
        <v>0</v>
      </c>
      <c r="AQ64" s="66">
        <v>0</v>
      </c>
      <c r="AR64" s="66">
        <v>0</v>
      </c>
      <c r="AS64" s="66">
        <v>0</v>
      </c>
      <c r="AT64" s="67" t="s">
        <v>1230</v>
      </c>
      <c r="AU64" s="67" t="s">
        <v>1230</v>
      </c>
      <c r="AV64" s="67">
        <v>0</v>
      </c>
      <c r="AW64" s="187">
        <v>0</v>
      </c>
      <c r="AX64" s="67">
        <v>0</v>
      </c>
      <c r="AY64" s="66">
        <v>9.9292999999999996</v>
      </c>
      <c r="AZ64" s="66">
        <v>0</v>
      </c>
      <c r="BA64" s="66">
        <v>10.79271739</v>
      </c>
      <c r="BB64" s="66">
        <v>9.9292999999999996</v>
      </c>
      <c r="BC64" s="66">
        <v>0.86341739000000006</v>
      </c>
      <c r="BD64" s="66">
        <v>9.9292999999999996</v>
      </c>
      <c r="BE64" s="66">
        <v>0</v>
      </c>
      <c r="BF64" s="66">
        <v>10.79271739</v>
      </c>
      <c r="BG64" s="66">
        <v>9.9292999999999996</v>
      </c>
      <c r="BH64" s="66">
        <v>0</v>
      </c>
      <c r="BI64" s="66">
        <v>0.86341739000000006</v>
      </c>
      <c r="BJ64" s="67">
        <v>100</v>
      </c>
      <c r="BK64" s="67">
        <v>100</v>
      </c>
      <c r="BL64" s="67">
        <v>7.9999999888813917</v>
      </c>
      <c r="BM64" s="187">
        <v>0</v>
      </c>
      <c r="BN64" s="67">
        <v>0</v>
      </c>
      <c r="BO64" s="66">
        <v>0</v>
      </c>
      <c r="BP64" s="66">
        <v>0</v>
      </c>
      <c r="BQ64" s="66">
        <v>0</v>
      </c>
      <c r="BR64" s="66">
        <v>0</v>
      </c>
      <c r="BS64" s="66">
        <v>0</v>
      </c>
      <c r="BT64" s="66">
        <v>0</v>
      </c>
      <c r="BU64" s="66">
        <v>0</v>
      </c>
      <c r="BV64" s="66">
        <v>0</v>
      </c>
      <c r="BW64" s="66">
        <v>0</v>
      </c>
      <c r="BX64" s="66">
        <v>0</v>
      </c>
      <c r="BY64" s="66">
        <v>0</v>
      </c>
      <c r="BZ64" s="67" t="s">
        <v>1230</v>
      </c>
      <c r="CA64" s="67" t="s">
        <v>1230</v>
      </c>
      <c r="CB64" s="67">
        <v>0</v>
      </c>
      <c r="CC64" s="187">
        <v>0</v>
      </c>
      <c r="CD64" s="67">
        <v>0</v>
      </c>
      <c r="CE64" s="66">
        <v>0</v>
      </c>
      <c r="CF64" s="66">
        <v>0</v>
      </c>
      <c r="CG64" s="66">
        <v>0</v>
      </c>
      <c r="CH64" s="66">
        <v>0</v>
      </c>
      <c r="CI64" s="66">
        <v>0</v>
      </c>
      <c r="CJ64" s="66">
        <v>0</v>
      </c>
      <c r="CK64" s="66">
        <v>0</v>
      </c>
      <c r="CL64" s="66">
        <v>0</v>
      </c>
      <c r="CM64" s="66">
        <v>0</v>
      </c>
      <c r="CN64" s="66">
        <v>0</v>
      </c>
      <c r="CO64" s="66">
        <v>0</v>
      </c>
      <c r="CP64" s="67" t="s">
        <v>1230</v>
      </c>
      <c r="CQ64" s="67" t="s">
        <v>1230</v>
      </c>
      <c r="CR64" s="67">
        <v>0</v>
      </c>
      <c r="CS64" s="187">
        <v>0</v>
      </c>
      <c r="CT64" s="67">
        <v>0</v>
      </c>
      <c r="CU64" s="66">
        <v>0</v>
      </c>
      <c r="CV64" s="66">
        <v>0</v>
      </c>
      <c r="CW64" s="66">
        <v>0</v>
      </c>
      <c r="CX64" s="66">
        <v>0</v>
      </c>
      <c r="CY64" s="66">
        <v>0</v>
      </c>
      <c r="CZ64" s="66">
        <v>0</v>
      </c>
      <c r="DA64" s="66">
        <v>0</v>
      </c>
      <c r="DB64" s="66">
        <v>0</v>
      </c>
      <c r="DC64" s="66">
        <v>0</v>
      </c>
      <c r="DD64" s="66">
        <v>0</v>
      </c>
      <c r="DE64" s="66">
        <v>0</v>
      </c>
      <c r="DF64" s="67" t="s">
        <v>1230</v>
      </c>
      <c r="DG64" s="67" t="s">
        <v>1230</v>
      </c>
      <c r="DH64" s="67">
        <v>0</v>
      </c>
      <c r="DI64" s="187">
        <v>0</v>
      </c>
      <c r="DJ64" s="67">
        <v>0</v>
      </c>
      <c r="DK64" s="66">
        <v>0</v>
      </c>
      <c r="DL64" s="66">
        <v>0</v>
      </c>
      <c r="DM64" s="66">
        <v>0</v>
      </c>
      <c r="DN64" s="66">
        <v>0</v>
      </c>
      <c r="DO64" s="66">
        <v>0</v>
      </c>
      <c r="DP64" s="66">
        <v>0</v>
      </c>
      <c r="DQ64" s="66">
        <v>0</v>
      </c>
      <c r="DR64" s="66">
        <v>0</v>
      </c>
      <c r="DS64" s="66">
        <v>0</v>
      </c>
      <c r="DT64" s="66">
        <v>0</v>
      </c>
      <c r="DU64" s="66">
        <v>0</v>
      </c>
      <c r="DV64" s="67" t="s">
        <v>1230</v>
      </c>
      <c r="DW64" s="67" t="s">
        <v>1230</v>
      </c>
      <c r="DX64" s="67">
        <v>0</v>
      </c>
      <c r="DY64" s="187">
        <v>0</v>
      </c>
      <c r="DZ64" s="67">
        <v>0</v>
      </c>
      <c r="EA64" s="66">
        <v>0</v>
      </c>
      <c r="EB64" s="66">
        <v>0</v>
      </c>
      <c r="EC64" s="66">
        <v>0</v>
      </c>
      <c r="ED64" s="66">
        <v>0</v>
      </c>
      <c r="EE64" s="66">
        <v>0</v>
      </c>
      <c r="EF64" s="66">
        <v>0</v>
      </c>
      <c r="EG64" s="66">
        <v>0</v>
      </c>
      <c r="EH64" s="66">
        <v>0</v>
      </c>
      <c r="EI64" s="66">
        <v>0</v>
      </c>
      <c r="EJ64" s="66">
        <v>0</v>
      </c>
      <c r="EK64" s="66">
        <v>0</v>
      </c>
      <c r="EL64" s="67" t="s">
        <v>1230</v>
      </c>
      <c r="EM64" s="67" t="s">
        <v>1230</v>
      </c>
      <c r="EN64" s="67">
        <v>0</v>
      </c>
      <c r="EO64" s="187">
        <v>0</v>
      </c>
      <c r="EP64" s="67">
        <v>0</v>
      </c>
      <c r="EQ64" s="66">
        <v>0</v>
      </c>
      <c r="ER64" s="66">
        <v>0</v>
      </c>
      <c r="ES64" s="66">
        <v>0</v>
      </c>
      <c r="ET64" s="66">
        <v>0</v>
      </c>
      <c r="EU64" s="66">
        <v>0</v>
      </c>
      <c r="EV64" s="66">
        <v>0</v>
      </c>
      <c r="EW64" s="66">
        <v>0</v>
      </c>
      <c r="EX64" s="66">
        <v>0</v>
      </c>
      <c r="EY64" s="66">
        <v>0</v>
      </c>
      <c r="EZ64" s="66">
        <v>0</v>
      </c>
      <c r="FA64" s="66">
        <v>0</v>
      </c>
      <c r="FB64" s="67" t="s">
        <v>1230</v>
      </c>
      <c r="FC64" s="67" t="s">
        <v>1230</v>
      </c>
      <c r="FD64" s="67">
        <v>0</v>
      </c>
      <c r="FE64" s="187">
        <v>0</v>
      </c>
      <c r="FF64" s="67">
        <v>0</v>
      </c>
      <c r="FG64" s="66">
        <v>0</v>
      </c>
      <c r="FH64" s="66">
        <v>0</v>
      </c>
      <c r="FI64" s="66">
        <v>0</v>
      </c>
      <c r="FJ64" s="66">
        <v>0</v>
      </c>
      <c r="FK64" s="66">
        <v>0</v>
      </c>
      <c r="FL64" s="66">
        <v>0</v>
      </c>
      <c r="FM64" s="66">
        <v>0</v>
      </c>
      <c r="FN64" s="66">
        <v>0</v>
      </c>
      <c r="FO64" s="66">
        <v>0</v>
      </c>
      <c r="FP64" s="66">
        <v>0</v>
      </c>
      <c r="FQ64" s="66">
        <v>0</v>
      </c>
      <c r="FR64" s="67" t="s">
        <v>1230</v>
      </c>
      <c r="FS64" s="67" t="s">
        <v>1230</v>
      </c>
      <c r="FT64" s="67">
        <v>0</v>
      </c>
      <c r="FU64" s="187">
        <v>0</v>
      </c>
      <c r="FV64" s="67">
        <v>0</v>
      </c>
      <c r="FW64" s="66">
        <v>0</v>
      </c>
      <c r="FX64" s="66">
        <v>0</v>
      </c>
      <c r="FY64" s="66">
        <v>0</v>
      </c>
      <c r="FZ64" s="66">
        <v>0</v>
      </c>
      <c r="GA64" s="66">
        <v>0</v>
      </c>
      <c r="GB64" s="66">
        <v>0</v>
      </c>
      <c r="GC64" s="66">
        <v>0</v>
      </c>
      <c r="GD64" s="66">
        <v>0</v>
      </c>
      <c r="GE64" s="66">
        <v>0</v>
      </c>
      <c r="GF64" s="66">
        <v>0</v>
      </c>
      <c r="GG64" s="66">
        <v>0</v>
      </c>
      <c r="GH64" s="67" t="s">
        <v>1230</v>
      </c>
      <c r="GI64" s="67" t="s">
        <v>1230</v>
      </c>
      <c r="GJ64" s="67">
        <v>0</v>
      </c>
      <c r="GK64" s="187">
        <v>0</v>
      </c>
      <c r="GL64" s="67">
        <v>0</v>
      </c>
      <c r="GM64" s="66">
        <v>0</v>
      </c>
      <c r="GN64" s="66">
        <v>0</v>
      </c>
      <c r="GO64" s="66">
        <v>0</v>
      </c>
      <c r="GP64" s="66">
        <v>0</v>
      </c>
      <c r="GQ64" s="66">
        <v>0</v>
      </c>
      <c r="GR64" s="66">
        <v>0</v>
      </c>
      <c r="GS64" s="66">
        <v>0</v>
      </c>
      <c r="GT64" s="66">
        <v>0</v>
      </c>
      <c r="GU64" s="66">
        <v>0</v>
      </c>
      <c r="GV64" s="66">
        <v>0</v>
      </c>
      <c r="GW64" s="66">
        <v>0</v>
      </c>
      <c r="GX64" s="67" t="s">
        <v>1230</v>
      </c>
      <c r="GY64" s="67" t="s">
        <v>1230</v>
      </c>
      <c r="GZ64" s="67">
        <v>0</v>
      </c>
      <c r="HA64" s="187">
        <v>0</v>
      </c>
      <c r="HB64" s="67">
        <v>0</v>
      </c>
      <c r="HC64" s="66">
        <v>0</v>
      </c>
      <c r="HD64" s="66">
        <v>0</v>
      </c>
      <c r="HE64" s="66">
        <v>0</v>
      </c>
      <c r="HF64" s="66">
        <v>0</v>
      </c>
      <c r="HG64" s="66">
        <v>0</v>
      </c>
      <c r="HH64" s="66">
        <v>0</v>
      </c>
      <c r="HI64" s="66">
        <v>0</v>
      </c>
      <c r="HJ64" s="66">
        <v>0</v>
      </c>
      <c r="HK64" s="66">
        <v>0</v>
      </c>
      <c r="HL64" s="66">
        <v>0</v>
      </c>
      <c r="HM64" s="66">
        <v>0</v>
      </c>
      <c r="HN64" s="67" t="s">
        <v>1230</v>
      </c>
      <c r="HO64" s="67" t="s">
        <v>1230</v>
      </c>
      <c r="HP64" s="67">
        <v>0</v>
      </c>
      <c r="HQ64" s="187">
        <v>0</v>
      </c>
      <c r="HR64" s="67">
        <v>0</v>
      </c>
      <c r="HS64" s="66">
        <v>0</v>
      </c>
      <c r="HT64" s="66">
        <v>0</v>
      </c>
      <c r="HU64" s="66">
        <v>0</v>
      </c>
      <c r="HV64" s="66">
        <v>0</v>
      </c>
      <c r="HW64" s="66">
        <v>0</v>
      </c>
      <c r="HX64" s="66">
        <v>0</v>
      </c>
      <c r="HY64" s="66">
        <v>0</v>
      </c>
      <c r="HZ64" s="66">
        <v>0</v>
      </c>
      <c r="IA64" s="66">
        <v>0</v>
      </c>
      <c r="IB64" s="66">
        <v>0</v>
      </c>
      <c r="IC64" s="66">
        <v>0</v>
      </c>
      <c r="ID64" s="67" t="s">
        <v>1230</v>
      </c>
      <c r="IE64" s="67" t="s">
        <v>1230</v>
      </c>
      <c r="IF64" s="67">
        <v>0</v>
      </c>
      <c r="IG64" s="187">
        <v>0</v>
      </c>
      <c r="IH64" s="67">
        <v>0</v>
      </c>
      <c r="II64" s="66">
        <v>0</v>
      </c>
      <c r="IJ64" s="66">
        <v>0</v>
      </c>
      <c r="IK64" s="66">
        <v>0</v>
      </c>
      <c r="IL64" s="66">
        <v>0</v>
      </c>
      <c r="IM64" s="66">
        <v>0</v>
      </c>
      <c r="IN64" s="66">
        <v>0</v>
      </c>
      <c r="IO64" s="66">
        <v>0</v>
      </c>
      <c r="IP64" s="66">
        <v>0</v>
      </c>
      <c r="IQ64" s="66">
        <v>0</v>
      </c>
      <c r="IR64" s="66">
        <v>0</v>
      </c>
      <c r="IS64" s="66">
        <v>0</v>
      </c>
      <c r="IT64" s="67" t="s">
        <v>1230</v>
      </c>
      <c r="IU64" s="67" t="s">
        <v>1230</v>
      </c>
      <c r="IV64" s="67">
        <v>0</v>
      </c>
      <c r="IW64" s="187">
        <v>0</v>
      </c>
      <c r="IX64" s="67">
        <v>0</v>
      </c>
    </row>
    <row r="65" spans="1:258" ht="15.6" x14ac:dyDescent="0.3">
      <c r="A65" s="169">
        <v>53</v>
      </c>
      <c r="B65" s="205" t="s">
        <v>137</v>
      </c>
      <c r="C65" s="66">
        <v>281.68630000000002</v>
      </c>
      <c r="D65" s="66">
        <v>0</v>
      </c>
      <c r="E65" s="66">
        <v>352.15514639999998</v>
      </c>
      <c r="F65" s="66">
        <v>281.68630000000002</v>
      </c>
      <c r="G65" s="66">
        <v>70.468846400000004</v>
      </c>
      <c r="H65" s="66">
        <v>281.68630000000002</v>
      </c>
      <c r="I65" s="66">
        <v>0</v>
      </c>
      <c r="J65" s="66">
        <v>352.15514639999998</v>
      </c>
      <c r="K65" s="66">
        <v>281.68630000000002</v>
      </c>
      <c r="L65" s="66">
        <v>0</v>
      </c>
      <c r="M65" s="66">
        <v>70.468846400000004</v>
      </c>
      <c r="N65" s="67">
        <v>100</v>
      </c>
      <c r="O65" s="67">
        <v>100</v>
      </c>
      <c r="P65" s="67">
        <v>20.010738766815308</v>
      </c>
      <c r="Q65" s="66">
        <v>0</v>
      </c>
      <c r="R65" s="67">
        <v>0</v>
      </c>
      <c r="S65" s="66">
        <v>173.55449999999999</v>
      </c>
      <c r="T65" s="66">
        <v>0</v>
      </c>
      <c r="U65" s="66">
        <v>216.94312500000001</v>
      </c>
      <c r="V65" s="66">
        <v>173.55449999999999</v>
      </c>
      <c r="W65" s="66">
        <v>43.388624999999998</v>
      </c>
      <c r="X65" s="66">
        <v>173.55449999999999</v>
      </c>
      <c r="Y65" s="66">
        <v>0</v>
      </c>
      <c r="Z65" s="66">
        <v>216.94312500000001</v>
      </c>
      <c r="AA65" s="66">
        <v>173.55449999999999</v>
      </c>
      <c r="AB65" s="66">
        <v>0</v>
      </c>
      <c r="AC65" s="66">
        <v>43.388624999999998</v>
      </c>
      <c r="AD65" s="67">
        <v>100</v>
      </c>
      <c r="AE65" s="67">
        <v>100</v>
      </c>
      <c r="AF65" s="67">
        <v>20</v>
      </c>
      <c r="AG65" s="187">
        <v>0</v>
      </c>
      <c r="AH65" s="67">
        <v>0</v>
      </c>
      <c r="AI65" s="66">
        <v>0</v>
      </c>
      <c r="AJ65" s="66">
        <v>0</v>
      </c>
      <c r="AK65" s="66">
        <v>0</v>
      </c>
      <c r="AL65" s="66">
        <v>0</v>
      </c>
      <c r="AM65" s="66">
        <v>0</v>
      </c>
      <c r="AN65" s="66">
        <v>0</v>
      </c>
      <c r="AO65" s="66">
        <v>0</v>
      </c>
      <c r="AP65" s="66">
        <v>0</v>
      </c>
      <c r="AQ65" s="66">
        <v>0</v>
      </c>
      <c r="AR65" s="66">
        <v>0</v>
      </c>
      <c r="AS65" s="66">
        <v>0</v>
      </c>
      <c r="AT65" s="67" t="s">
        <v>1230</v>
      </c>
      <c r="AU65" s="67" t="s">
        <v>1230</v>
      </c>
      <c r="AV65" s="67">
        <v>0</v>
      </c>
      <c r="AW65" s="187">
        <v>0</v>
      </c>
      <c r="AX65" s="67">
        <v>0</v>
      </c>
      <c r="AY65" s="66">
        <v>27.315999999999999</v>
      </c>
      <c r="AZ65" s="66">
        <v>0</v>
      </c>
      <c r="BA65" s="66">
        <v>34.145000000000003</v>
      </c>
      <c r="BB65" s="66">
        <v>27.315999999999999</v>
      </c>
      <c r="BC65" s="66">
        <v>6.8289999999999997</v>
      </c>
      <c r="BD65" s="66">
        <v>27.315999999999999</v>
      </c>
      <c r="BE65" s="66">
        <v>0</v>
      </c>
      <c r="BF65" s="66">
        <v>34.145000000000003</v>
      </c>
      <c r="BG65" s="66">
        <v>27.315999999999999</v>
      </c>
      <c r="BH65" s="66">
        <v>0</v>
      </c>
      <c r="BI65" s="66">
        <v>6.8289999999999997</v>
      </c>
      <c r="BJ65" s="67">
        <v>100</v>
      </c>
      <c r="BK65" s="67">
        <v>100</v>
      </c>
      <c r="BL65" s="67">
        <v>20</v>
      </c>
      <c r="BM65" s="187">
        <v>0</v>
      </c>
      <c r="BN65" s="67">
        <v>0</v>
      </c>
      <c r="BO65" s="66">
        <v>0</v>
      </c>
      <c r="BP65" s="66">
        <v>0</v>
      </c>
      <c r="BQ65" s="66">
        <v>0</v>
      </c>
      <c r="BR65" s="66">
        <v>0</v>
      </c>
      <c r="BS65" s="66">
        <v>0</v>
      </c>
      <c r="BT65" s="66">
        <v>0</v>
      </c>
      <c r="BU65" s="66">
        <v>0</v>
      </c>
      <c r="BV65" s="66">
        <v>0</v>
      </c>
      <c r="BW65" s="66">
        <v>0</v>
      </c>
      <c r="BX65" s="66">
        <v>0</v>
      </c>
      <c r="BY65" s="66">
        <v>0</v>
      </c>
      <c r="BZ65" s="67" t="s">
        <v>1230</v>
      </c>
      <c r="CA65" s="67" t="s">
        <v>1230</v>
      </c>
      <c r="CB65" s="67">
        <v>0</v>
      </c>
      <c r="CC65" s="187">
        <v>0</v>
      </c>
      <c r="CD65" s="67">
        <v>0</v>
      </c>
      <c r="CE65" s="66">
        <v>0</v>
      </c>
      <c r="CF65" s="66">
        <v>0</v>
      </c>
      <c r="CG65" s="66">
        <v>0</v>
      </c>
      <c r="CH65" s="66">
        <v>0</v>
      </c>
      <c r="CI65" s="66">
        <v>0</v>
      </c>
      <c r="CJ65" s="66">
        <v>0</v>
      </c>
      <c r="CK65" s="66">
        <v>0</v>
      </c>
      <c r="CL65" s="66">
        <v>0</v>
      </c>
      <c r="CM65" s="66">
        <v>0</v>
      </c>
      <c r="CN65" s="66">
        <v>0</v>
      </c>
      <c r="CO65" s="66">
        <v>0</v>
      </c>
      <c r="CP65" s="67" t="s">
        <v>1230</v>
      </c>
      <c r="CQ65" s="67" t="s">
        <v>1230</v>
      </c>
      <c r="CR65" s="67">
        <v>0</v>
      </c>
      <c r="CS65" s="187">
        <v>0</v>
      </c>
      <c r="CT65" s="67">
        <v>0</v>
      </c>
      <c r="CU65" s="66">
        <v>0</v>
      </c>
      <c r="CV65" s="66">
        <v>0</v>
      </c>
      <c r="CW65" s="66">
        <v>0</v>
      </c>
      <c r="CX65" s="66">
        <v>0</v>
      </c>
      <c r="CY65" s="66">
        <v>0</v>
      </c>
      <c r="CZ65" s="66">
        <v>0</v>
      </c>
      <c r="DA65" s="66">
        <v>0</v>
      </c>
      <c r="DB65" s="66">
        <v>0</v>
      </c>
      <c r="DC65" s="66">
        <v>0</v>
      </c>
      <c r="DD65" s="66">
        <v>0</v>
      </c>
      <c r="DE65" s="66">
        <v>0</v>
      </c>
      <c r="DF65" s="67" t="s">
        <v>1230</v>
      </c>
      <c r="DG65" s="67" t="s">
        <v>1230</v>
      </c>
      <c r="DH65" s="67">
        <v>0</v>
      </c>
      <c r="DI65" s="187">
        <v>0</v>
      </c>
      <c r="DJ65" s="67">
        <v>0</v>
      </c>
      <c r="DK65" s="66">
        <v>2.2469999999999999</v>
      </c>
      <c r="DL65" s="66">
        <v>0</v>
      </c>
      <c r="DM65" s="66">
        <v>2.8560213999999999</v>
      </c>
      <c r="DN65" s="66">
        <v>2.2469999999999999</v>
      </c>
      <c r="DO65" s="66">
        <v>0.60902140000000005</v>
      </c>
      <c r="DP65" s="66">
        <v>2.2469999999999999</v>
      </c>
      <c r="DQ65" s="66">
        <v>0</v>
      </c>
      <c r="DR65" s="66">
        <v>2.8560213999999999</v>
      </c>
      <c r="DS65" s="66">
        <v>2.2469999999999999</v>
      </c>
      <c r="DT65" s="66">
        <v>0</v>
      </c>
      <c r="DU65" s="66">
        <v>0.60902140000000005</v>
      </c>
      <c r="DV65" s="67">
        <v>100</v>
      </c>
      <c r="DW65" s="67">
        <v>100</v>
      </c>
      <c r="DX65" s="67">
        <v>21.324118929921184</v>
      </c>
      <c r="DY65" s="187">
        <v>0</v>
      </c>
      <c r="DZ65" s="67">
        <v>0</v>
      </c>
      <c r="EA65" s="66">
        <v>0</v>
      </c>
      <c r="EB65" s="66">
        <v>0</v>
      </c>
      <c r="EC65" s="66">
        <v>0</v>
      </c>
      <c r="ED65" s="66">
        <v>0</v>
      </c>
      <c r="EE65" s="66">
        <v>0</v>
      </c>
      <c r="EF65" s="66">
        <v>0</v>
      </c>
      <c r="EG65" s="66">
        <v>0</v>
      </c>
      <c r="EH65" s="66">
        <v>0</v>
      </c>
      <c r="EI65" s="66">
        <v>0</v>
      </c>
      <c r="EJ65" s="66">
        <v>0</v>
      </c>
      <c r="EK65" s="66">
        <v>0</v>
      </c>
      <c r="EL65" s="67" t="s">
        <v>1230</v>
      </c>
      <c r="EM65" s="67" t="s">
        <v>1230</v>
      </c>
      <c r="EN65" s="67">
        <v>0</v>
      </c>
      <c r="EO65" s="187">
        <v>0</v>
      </c>
      <c r="EP65" s="67">
        <v>0</v>
      </c>
      <c r="EQ65" s="66">
        <v>1.8580000000000001</v>
      </c>
      <c r="ER65" s="66">
        <v>0</v>
      </c>
      <c r="ES65" s="66">
        <v>2.3224999999999998</v>
      </c>
      <c r="ET65" s="66">
        <v>1.8580000000000001</v>
      </c>
      <c r="EU65" s="66">
        <v>0.46450000000000002</v>
      </c>
      <c r="EV65" s="66">
        <v>1.8580000000000001</v>
      </c>
      <c r="EW65" s="66">
        <v>0</v>
      </c>
      <c r="EX65" s="66">
        <v>2.3224999999999998</v>
      </c>
      <c r="EY65" s="66">
        <v>1.8580000000000001</v>
      </c>
      <c r="EZ65" s="66">
        <v>0</v>
      </c>
      <c r="FA65" s="66">
        <v>0.46450000000000002</v>
      </c>
      <c r="FB65" s="67">
        <v>100</v>
      </c>
      <c r="FC65" s="67">
        <v>100</v>
      </c>
      <c r="FD65" s="67">
        <v>20.000000000000004</v>
      </c>
      <c r="FE65" s="187">
        <v>0</v>
      </c>
      <c r="FF65" s="67">
        <v>0</v>
      </c>
      <c r="FG65" s="66">
        <v>0</v>
      </c>
      <c r="FH65" s="66">
        <v>0</v>
      </c>
      <c r="FI65" s="66">
        <v>0</v>
      </c>
      <c r="FJ65" s="66">
        <v>0</v>
      </c>
      <c r="FK65" s="66">
        <v>0</v>
      </c>
      <c r="FL65" s="66">
        <v>0</v>
      </c>
      <c r="FM65" s="66">
        <v>0</v>
      </c>
      <c r="FN65" s="66">
        <v>0</v>
      </c>
      <c r="FO65" s="66">
        <v>0</v>
      </c>
      <c r="FP65" s="66">
        <v>0</v>
      </c>
      <c r="FQ65" s="66">
        <v>0</v>
      </c>
      <c r="FR65" s="67" t="s">
        <v>1230</v>
      </c>
      <c r="FS65" s="67" t="s">
        <v>1230</v>
      </c>
      <c r="FT65" s="67">
        <v>0</v>
      </c>
      <c r="FU65" s="187">
        <v>0</v>
      </c>
      <c r="FV65" s="67">
        <v>0</v>
      </c>
      <c r="FW65" s="66">
        <v>76.155500000000004</v>
      </c>
      <c r="FX65" s="66">
        <v>0</v>
      </c>
      <c r="FY65" s="66">
        <v>95.194374999999994</v>
      </c>
      <c r="FZ65" s="66">
        <v>76.155500000000004</v>
      </c>
      <c r="GA65" s="66">
        <v>19.038875000000001</v>
      </c>
      <c r="GB65" s="66">
        <v>76.155500000000004</v>
      </c>
      <c r="GC65" s="66">
        <v>0</v>
      </c>
      <c r="GD65" s="66">
        <v>95.194374999999994</v>
      </c>
      <c r="GE65" s="66">
        <v>76.155500000000004</v>
      </c>
      <c r="GF65" s="66">
        <v>0</v>
      </c>
      <c r="GG65" s="66">
        <v>19.038875000000001</v>
      </c>
      <c r="GH65" s="67">
        <v>100</v>
      </c>
      <c r="GI65" s="67">
        <v>100</v>
      </c>
      <c r="GJ65" s="67">
        <v>20</v>
      </c>
      <c r="GK65" s="187">
        <v>0</v>
      </c>
      <c r="GL65" s="67">
        <v>0</v>
      </c>
      <c r="GM65" s="66">
        <v>0</v>
      </c>
      <c r="GN65" s="66">
        <v>0</v>
      </c>
      <c r="GO65" s="66">
        <v>0</v>
      </c>
      <c r="GP65" s="66">
        <v>0</v>
      </c>
      <c r="GQ65" s="66">
        <v>0</v>
      </c>
      <c r="GR65" s="66">
        <v>0</v>
      </c>
      <c r="GS65" s="66">
        <v>0</v>
      </c>
      <c r="GT65" s="66">
        <v>0</v>
      </c>
      <c r="GU65" s="66">
        <v>0</v>
      </c>
      <c r="GV65" s="66">
        <v>0</v>
      </c>
      <c r="GW65" s="66">
        <v>0</v>
      </c>
      <c r="GX65" s="67" t="s">
        <v>1230</v>
      </c>
      <c r="GY65" s="67" t="s">
        <v>1230</v>
      </c>
      <c r="GZ65" s="67">
        <v>0</v>
      </c>
      <c r="HA65" s="187">
        <v>0</v>
      </c>
      <c r="HB65" s="67">
        <v>0</v>
      </c>
      <c r="HC65" s="66">
        <v>0.55530000000000002</v>
      </c>
      <c r="HD65" s="66">
        <v>0</v>
      </c>
      <c r="HE65" s="66">
        <v>0.69412499999999999</v>
      </c>
      <c r="HF65" s="66">
        <v>0.55530000000000002</v>
      </c>
      <c r="HG65" s="66">
        <v>0.138825</v>
      </c>
      <c r="HH65" s="66">
        <v>0.55530000000000002</v>
      </c>
      <c r="HI65" s="66">
        <v>0</v>
      </c>
      <c r="HJ65" s="66">
        <v>0.69412499999999999</v>
      </c>
      <c r="HK65" s="66">
        <v>0.55530000000000002</v>
      </c>
      <c r="HL65" s="66">
        <v>0</v>
      </c>
      <c r="HM65" s="66">
        <v>0.138825</v>
      </c>
      <c r="HN65" s="67">
        <v>100</v>
      </c>
      <c r="HO65" s="67">
        <v>100</v>
      </c>
      <c r="HP65" s="67">
        <v>20</v>
      </c>
      <c r="HQ65" s="187">
        <v>0</v>
      </c>
      <c r="HR65" s="67">
        <v>0</v>
      </c>
      <c r="HS65" s="66">
        <v>0</v>
      </c>
      <c r="HT65" s="66">
        <v>0</v>
      </c>
      <c r="HU65" s="66">
        <v>0</v>
      </c>
      <c r="HV65" s="66">
        <v>0</v>
      </c>
      <c r="HW65" s="66">
        <v>0</v>
      </c>
      <c r="HX65" s="66">
        <v>0</v>
      </c>
      <c r="HY65" s="66">
        <v>0</v>
      </c>
      <c r="HZ65" s="66">
        <v>0</v>
      </c>
      <c r="IA65" s="66">
        <v>0</v>
      </c>
      <c r="IB65" s="66">
        <v>0</v>
      </c>
      <c r="IC65" s="66">
        <v>0</v>
      </c>
      <c r="ID65" s="67" t="s">
        <v>1230</v>
      </c>
      <c r="IE65" s="67" t="s">
        <v>1230</v>
      </c>
      <c r="IF65" s="67">
        <v>0</v>
      </c>
      <c r="IG65" s="187">
        <v>0</v>
      </c>
      <c r="IH65" s="67">
        <v>0</v>
      </c>
      <c r="II65" s="66">
        <v>0</v>
      </c>
      <c r="IJ65" s="66">
        <v>0</v>
      </c>
      <c r="IK65" s="66">
        <v>0</v>
      </c>
      <c r="IL65" s="66">
        <v>0</v>
      </c>
      <c r="IM65" s="66">
        <v>0</v>
      </c>
      <c r="IN65" s="66">
        <v>0</v>
      </c>
      <c r="IO65" s="66">
        <v>0</v>
      </c>
      <c r="IP65" s="66">
        <v>0</v>
      </c>
      <c r="IQ65" s="66">
        <v>0</v>
      </c>
      <c r="IR65" s="66">
        <v>0</v>
      </c>
      <c r="IS65" s="66">
        <v>0</v>
      </c>
      <c r="IT65" s="67" t="s">
        <v>1230</v>
      </c>
      <c r="IU65" s="67" t="s">
        <v>1230</v>
      </c>
      <c r="IV65" s="67">
        <v>0</v>
      </c>
      <c r="IW65" s="187">
        <v>0</v>
      </c>
      <c r="IX65" s="67">
        <v>0</v>
      </c>
    </row>
    <row r="66" spans="1:258" ht="15.6" x14ac:dyDescent="0.3">
      <c r="A66" s="169">
        <v>54</v>
      </c>
      <c r="B66" s="205" t="s">
        <v>140</v>
      </c>
      <c r="C66" s="66">
        <v>482.89</v>
      </c>
      <c r="D66" s="66">
        <v>0</v>
      </c>
      <c r="E66" s="66">
        <v>832.56896552000001</v>
      </c>
      <c r="F66" s="66">
        <v>482.89</v>
      </c>
      <c r="G66" s="66">
        <v>349.67896552000002</v>
      </c>
      <c r="H66" s="66">
        <v>482.09556623000003</v>
      </c>
      <c r="I66" s="66">
        <v>4.3523087</v>
      </c>
      <c r="J66" s="66">
        <v>831.19925111999987</v>
      </c>
      <c r="K66" s="66">
        <v>482.09556565000003</v>
      </c>
      <c r="L66" s="66">
        <v>0</v>
      </c>
      <c r="M66" s="66">
        <v>349.10368547000002</v>
      </c>
      <c r="N66" s="67">
        <v>99.835483370954066</v>
      </c>
      <c r="O66" s="67">
        <v>99.835483369969211</v>
      </c>
      <c r="P66" s="67">
        <v>41.999999999951889</v>
      </c>
      <c r="Q66" s="66">
        <v>1.94108551</v>
      </c>
      <c r="R66" s="67">
        <v>2.4112237699999861</v>
      </c>
      <c r="S66" s="66">
        <v>414.02280000000002</v>
      </c>
      <c r="T66" s="66">
        <v>0</v>
      </c>
      <c r="U66" s="66">
        <v>713.83241378999992</v>
      </c>
      <c r="V66" s="66">
        <v>414.02280000000002</v>
      </c>
      <c r="W66" s="66">
        <v>299.80961379000001</v>
      </c>
      <c r="X66" s="66">
        <v>414.02280000000002</v>
      </c>
      <c r="Y66" s="66">
        <v>1.79030036</v>
      </c>
      <c r="Z66" s="66">
        <v>713.83241378999992</v>
      </c>
      <c r="AA66" s="66">
        <v>414.02280000000002</v>
      </c>
      <c r="AB66" s="66">
        <v>0</v>
      </c>
      <c r="AC66" s="66">
        <v>299.80961379000001</v>
      </c>
      <c r="AD66" s="67">
        <v>100</v>
      </c>
      <c r="AE66" s="67">
        <v>100</v>
      </c>
      <c r="AF66" s="67">
        <v>41.999999999747843</v>
      </c>
      <c r="AG66" s="187">
        <v>1.79030036</v>
      </c>
      <c r="AH66" s="67">
        <v>3.3306690738754696E-15</v>
      </c>
      <c r="AI66" s="66">
        <v>0</v>
      </c>
      <c r="AJ66" s="66">
        <v>0</v>
      </c>
      <c r="AK66" s="66">
        <v>0</v>
      </c>
      <c r="AL66" s="66">
        <v>0</v>
      </c>
      <c r="AM66" s="66">
        <v>0</v>
      </c>
      <c r="AN66" s="66">
        <v>0</v>
      </c>
      <c r="AO66" s="66">
        <v>2.5620083399999998</v>
      </c>
      <c r="AP66" s="66">
        <v>0</v>
      </c>
      <c r="AQ66" s="66">
        <v>0</v>
      </c>
      <c r="AR66" s="66">
        <v>0</v>
      </c>
      <c r="AS66" s="66">
        <v>0</v>
      </c>
      <c r="AT66" s="67" t="s">
        <v>1230</v>
      </c>
      <c r="AU66" s="67" t="s">
        <v>1230</v>
      </c>
      <c r="AV66" s="67">
        <v>0</v>
      </c>
      <c r="AW66" s="187">
        <v>0.15078515000000001</v>
      </c>
      <c r="AX66" s="67">
        <v>2.4112231899999998</v>
      </c>
      <c r="AY66" s="66">
        <v>17.700600000000001</v>
      </c>
      <c r="AZ66" s="66">
        <v>0</v>
      </c>
      <c r="BA66" s="66">
        <v>30.51827587</v>
      </c>
      <c r="BB66" s="66">
        <v>17.700600000000001</v>
      </c>
      <c r="BC66" s="66">
        <v>12.817675869999999</v>
      </c>
      <c r="BD66" s="66">
        <v>17.5032645</v>
      </c>
      <c r="BE66" s="66">
        <v>0</v>
      </c>
      <c r="BF66" s="66">
        <v>30.17804224</v>
      </c>
      <c r="BG66" s="66">
        <v>17.5032645</v>
      </c>
      <c r="BH66" s="66">
        <v>0</v>
      </c>
      <c r="BI66" s="66">
        <v>12.67477774</v>
      </c>
      <c r="BJ66" s="67">
        <v>98.885147961086062</v>
      </c>
      <c r="BK66" s="67">
        <v>98.885147889139134</v>
      </c>
      <c r="BL66" s="67">
        <v>41.999999997349065</v>
      </c>
      <c r="BM66" s="187">
        <v>0</v>
      </c>
      <c r="BN66" s="67">
        <v>0</v>
      </c>
      <c r="BO66" s="66">
        <v>0</v>
      </c>
      <c r="BP66" s="66">
        <v>0</v>
      </c>
      <c r="BQ66" s="66">
        <v>0</v>
      </c>
      <c r="BR66" s="66">
        <v>0</v>
      </c>
      <c r="BS66" s="66">
        <v>0</v>
      </c>
      <c r="BT66" s="66">
        <v>0</v>
      </c>
      <c r="BU66" s="66">
        <v>0</v>
      </c>
      <c r="BV66" s="66">
        <v>0</v>
      </c>
      <c r="BW66" s="66">
        <v>0</v>
      </c>
      <c r="BX66" s="66">
        <v>0</v>
      </c>
      <c r="BY66" s="66">
        <v>0</v>
      </c>
      <c r="BZ66" s="67" t="s">
        <v>1230</v>
      </c>
      <c r="CA66" s="67" t="s">
        <v>1230</v>
      </c>
      <c r="CB66" s="67">
        <v>0</v>
      </c>
      <c r="CC66" s="187">
        <v>0</v>
      </c>
      <c r="CD66" s="67">
        <v>0</v>
      </c>
      <c r="CE66" s="66">
        <v>0</v>
      </c>
      <c r="CF66" s="66">
        <v>0</v>
      </c>
      <c r="CG66" s="66">
        <v>0</v>
      </c>
      <c r="CH66" s="66">
        <v>0</v>
      </c>
      <c r="CI66" s="66">
        <v>0</v>
      </c>
      <c r="CJ66" s="66">
        <v>0</v>
      </c>
      <c r="CK66" s="66">
        <v>0</v>
      </c>
      <c r="CL66" s="66">
        <v>0</v>
      </c>
      <c r="CM66" s="66">
        <v>0</v>
      </c>
      <c r="CN66" s="66">
        <v>0</v>
      </c>
      <c r="CO66" s="66">
        <v>0</v>
      </c>
      <c r="CP66" s="67" t="s">
        <v>1230</v>
      </c>
      <c r="CQ66" s="67" t="s">
        <v>1230</v>
      </c>
      <c r="CR66" s="67">
        <v>0</v>
      </c>
      <c r="CS66" s="187">
        <v>0</v>
      </c>
      <c r="CT66" s="67">
        <v>0</v>
      </c>
      <c r="CU66" s="66">
        <v>0</v>
      </c>
      <c r="CV66" s="66">
        <v>0</v>
      </c>
      <c r="CW66" s="66">
        <v>0</v>
      </c>
      <c r="CX66" s="66">
        <v>0</v>
      </c>
      <c r="CY66" s="66">
        <v>0</v>
      </c>
      <c r="CZ66" s="66">
        <v>0</v>
      </c>
      <c r="DA66" s="66">
        <v>0</v>
      </c>
      <c r="DB66" s="66">
        <v>0</v>
      </c>
      <c r="DC66" s="66">
        <v>0</v>
      </c>
      <c r="DD66" s="66">
        <v>0</v>
      </c>
      <c r="DE66" s="66">
        <v>0</v>
      </c>
      <c r="DF66" s="67" t="s">
        <v>1230</v>
      </c>
      <c r="DG66" s="67" t="s">
        <v>1230</v>
      </c>
      <c r="DH66" s="67">
        <v>0</v>
      </c>
      <c r="DI66" s="187">
        <v>0</v>
      </c>
      <c r="DJ66" s="67">
        <v>0</v>
      </c>
      <c r="DK66" s="66">
        <v>1.9000999999999999</v>
      </c>
      <c r="DL66" s="66">
        <v>0</v>
      </c>
      <c r="DM66" s="66">
        <v>3.2760344799999999</v>
      </c>
      <c r="DN66" s="66">
        <v>1.9000999999999999</v>
      </c>
      <c r="DO66" s="66">
        <v>1.37593448</v>
      </c>
      <c r="DP66" s="66">
        <v>1.88632603</v>
      </c>
      <c r="DQ66" s="66">
        <v>0</v>
      </c>
      <c r="DR66" s="66">
        <v>3.25228626</v>
      </c>
      <c r="DS66" s="66">
        <v>1.88632603</v>
      </c>
      <c r="DT66" s="66">
        <v>0</v>
      </c>
      <c r="DU66" s="66">
        <v>1.36596023</v>
      </c>
      <c r="DV66" s="67">
        <v>99.275092363559807</v>
      </c>
      <c r="DW66" s="67">
        <v>99.275092662842496</v>
      </c>
      <c r="DX66" s="67">
        <v>42.00000002459808</v>
      </c>
      <c r="DY66" s="187">
        <v>0</v>
      </c>
      <c r="DZ66" s="67">
        <v>0</v>
      </c>
      <c r="EA66" s="66">
        <v>0</v>
      </c>
      <c r="EB66" s="66">
        <v>0</v>
      </c>
      <c r="EC66" s="66">
        <v>0</v>
      </c>
      <c r="ED66" s="66">
        <v>0</v>
      </c>
      <c r="EE66" s="66">
        <v>0</v>
      </c>
      <c r="EF66" s="66">
        <v>0</v>
      </c>
      <c r="EG66" s="66">
        <v>0</v>
      </c>
      <c r="EH66" s="66">
        <v>0</v>
      </c>
      <c r="EI66" s="66">
        <v>0</v>
      </c>
      <c r="EJ66" s="66">
        <v>0</v>
      </c>
      <c r="EK66" s="66">
        <v>0</v>
      </c>
      <c r="EL66" s="67" t="s">
        <v>1230</v>
      </c>
      <c r="EM66" s="67" t="s">
        <v>1230</v>
      </c>
      <c r="EN66" s="67">
        <v>0</v>
      </c>
      <c r="EO66" s="187">
        <v>0</v>
      </c>
      <c r="EP66" s="67">
        <v>0</v>
      </c>
      <c r="EQ66" s="66">
        <v>2.8391000000000002</v>
      </c>
      <c r="ER66" s="66">
        <v>0</v>
      </c>
      <c r="ES66" s="66">
        <v>4.8949999999999996</v>
      </c>
      <c r="ET66" s="66">
        <v>2.8391000000000002</v>
      </c>
      <c r="EU66" s="66">
        <v>2.0558999999999998</v>
      </c>
      <c r="EV66" s="66">
        <v>2.77879831</v>
      </c>
      <c r="EW66" s="66">
        <v>0</v>
      </c>
      <c r="EX66" s="66">
        <v>4.7910315700000004</v>
      </c>
      <c r="EY66" s="66">
        <v>2.77879831</v>
      </c>
      <c r="EZ66" s="66">
        <v>0</v>
      </c>
      <c r="FA66" s="66">
        <v>2.0122332599999999</v>
      </c>
      <c r="FB66" s="67">
        <v>97.876027966609129</v>
      </c>
      <c r="FC66" s="67">
        <v>97.876028016926895</v>
      </c>
      <c r="FD66" s="67">
        <v>42.000000012523394</v>
      </c>
      <c r="FE66" s="187">
        <v>0</v>
      </c>
      <c r="FF66" s="67">
        <v>0</v>
      </c>
      <c r="FG66" s="66">
        <v>0</v>
      </c>
      <c r="FH66" s="66">
        <v>0</v>
      </c>
      <c r="FI66" s="66">
        <v>0</v>
      </c>
      <c r="FJ66" s="66">
        <v>0</v>
      </c>
      <c r="FK66" s="66">
        <v>0</v>
      </c>
      <c r="FL66" s="66">
        <v>0</v>
      </c>
      <c r="FM66" s="66">
        <v>0</v>
      </c>
      <c r="FN66" s="66">
        <v>0</v>
      </c>
      <c r="FO66" s="66">
        <v>0</v>
      </c>
      <c r="FP66" s="66">
        <v>0</v>
      </c>
      <c r="FQ66" s="66">
        <v>0</v>
      </c>
      <c r="FR66" s="67" t="s">
        <v>1230</v>
      </c>
      <c r="FS66" s="67" t="s">
        <v>1230</v>
      </c>
      <c r="FT66" s="67">
        <v>0</v>
      </c>
      <c r="FU66" s="187">
        <v>0</v>
      </c>
      <c r="FV66" s="67">
        <v>0</v>
      </c>
      <c r="FW66" s="66">
        <v>45.604900000000001</v>
      </c>
      <c r="FX66" s="66">
        <v>0</v>
      </c>
      <c r="FY66" s="66">
        <v>78.629137930000013</v>
      </c>
      <c r="FZ66" s="66">
        <v>45.604900000000001</v>
      </c>
      <c r="GA66" s="66">
        <v>33.024237929999998</v>
      </c>
      <c r="GB66" s="66">
        <v>45.081877390000002</v>
      </c>
      <c r="GC66" s="66">
        <v>0</v>
      </c>
      <c r="GD66" s="66">
        <v>77.727373810000003</v>
      </c>
      <c r="GE66" s="66">
        <v>45.081876810000004</v>
      </c>
      <c r="GF66" s="66">
        <v>0</v>
      </c>
      <c r="GG66" s="66">
        <v>32.645496999999999</v>
      </c>
      <c r="GH66" s="67">
        <v>98.853142557049807</v>
      </c>
      <c r="GI66" s="67">
        <v>98.853142559102196</v>
      </c>
      <c r="GJ66" s="67">
        <v>41.999999999742684</v>
      </c>
      <c r="GK66" s="187">
        <v>0</v>
      </c>
      <c r="GL66" s="67">
        <v>5.7999999825142368E-7</v>
      </c>
      <c r="GM66" s="66">
        <v>0</v>
      </c>
      <c r="GN66" s="66">
        <v>0</v>
      </c>
      <c r="GO66" s="66">
        <v>0</v>
      </c>
      <c r="GP66" s="66">
        <v>0</v>
      </c>
      <c r="GQ66" s="66">
        <v>0</v>
      </c>
      <c r="GR66" s="66">
        <v>0</v>
      </c>
      <c r="GS66" s="66">
        <v>0</v>
      </c>
      <c r="GT66" s="66">
        <v>0</v>
      </c>
      <c r="GU66" s="66">
        <v>0</v>
      </c>
      <c r="GV66" s="66">
        <v>0</v>
      </c>
      <c r="GW66" s="66">
        <v>0</v>
      </c>
      <c r="GX66" s="67" t="s">
        <v>1230</v>
      </c>
      <c r="GY66" s="67" t="s">
        <v>1230</v>
      </c>
      <c r="GZ66" s="67">
        <v>0</v>
      </c>
      <c r="HA66" s="187">
        <v>0</v>
      </c>
      <c r="HB66" s="67">
        <v>0</v>
      </c>
      <c r="HC66" s="66">
        <v>0.82250000000000001</v>
      </c>
      <c r="HD66" s="66">
        <v>0</v>
      </c>
      <c r="HE66" s="66">
        <v>1.41810345</v>
      </c>
      <c r="HF66" s="66">
        <v>0.82250000000000001</v>
      </c>
      <c r="HG66" s="66">
        <v>0.59560344999999992</v>
      </c>
      <c r="HH66" s="66">
        <v>0.82250000000000001</v>
      </c>
      <c r="HI66" s="66">
        <v>0</v>
      </c>
      <c r="HJ66" s="66">
        <v>1.41810345</v>
      </c>
      <c r="HK66" s="66">
        <v>0.82250000000000001</v>
      </c>
      <c r="HL66" s="66">
        <v>0</v>
      </c>
      <c r="HM66" s="66">
        <v>0.59560344999999992</v>
      </c>
      <c r="HN66" s="67">
        <v>100</v>
      </c>
      <c r="HO66" s="67">
        <v>100</v>
      </c>
      <c r="HP66" s="67">
        <v>42.000000070516712</v>
      </c>
      <c r="HQ66" s="187">
        <v>0</v>
      </c>
      <c r="HR66" s="67">
        <v>0</v>
      </c>
      <c r="HS66" s="66">
        <v>0</v>
      </c>
      <c r="HT66" s="66">
        <v>0</v>
      </c>
      <c r="HU66" s="66">
        <v>0</v>
      </c>
      <c r="HV66" s="66">
        <v>0</v>
      </c>
      <c r="HW66" s="66">
        <v>0</v>
      </c>
      <c r="HX66" s="66">
        <v>0</v>
      </c>
      <c r="HY66" s="66">
        <v>0</v>
      </c>
      <c r="HZ66" s="66">
        <v>0</v>
      </c>
      <c r="IA66" s="66">
        <v>0</v>
      </c>
      <c r="IB66" s="66">
        <v>0</v>
      </c>
      <c r="IC66" s="66">
        <v>0</v>
      </c>
      <c r="ID66" s="67" t="s">
        <v>1230</v>
      </c>
      <c r="IE66" s="67" t="s">
        <v>1230</v>
      </c>
      <c r="IF66" s="67">
        <v>0</v>
      </c>
      <c r="IG66" s="187">
        <v>0</v>
      </c>
      <c r="IH66" s="67">
        <v>0</v>
      </c>
      <c r="II66" s="66">
        <v>0</v>
      </c>
      <c r="IJ66" s="66">
        <v>0</v>
      </c>
      <c r="IK66" s="66">
        <v>0</v>
      </c>
      <c r="IL66" s="66">
        <v>0</v>
      </c>
      <c r="IM66" s="66">
        <v>0</v>
      </c>
      <c r="IN66" s="66">
        <v>0</v>
      </c>
      <c r="IO66" s="66">
        <v>0</v>
      </c>
      <c r="IP66" s="66">
        <v>0</v>
      </c>
      <c r="IQ66" s="66">
        <v>0</v>
      </c>
      <c r="IR66" s="66">
        <v>0</v>
      </c>
      <c r="IS66" s="66">
        <v>0</v>
      </c>
      <c r="IT66" s="67" t="s">
        <v>1230</v>
      </c>
      <c r="IU66" s="67" t="s">
        <v>1230</v>
      </c>
      <c r="IV66" s="67">
        <v>0</v>
      </c>
      <c r="IW66" s="187">
        <v>0</v>
      </c>
      <c r="IX66" s="67">
        <v>0</v>
      </c>
    </row>
    <row r="67" spans="1:258" ht="15.6" x14ac:dyDescent="0.3">
      <c r="A67" s="169">
        <v>55</v>
      </c>
      <c r="B67" s="205" t="s">
        <v>143</v>
      </c>
      <c r="C67" s="66">
        <v>201.67670000000004</v>
      </c>
      <c r="D67" s="66">
        <v>0</v>
      </c>
      <c r="E67" s="66">
        <v>248.98354216000001</v>
      </c>
      <c r="F67" s="66">
        <v>201.67670000000004</v>
      </c>
      <c r="G67" s="66">
        <v>47.306842160000002</v>
      </c>
      <c r="H67" s="66">
        <v>201.45974350000003</v>
      </c>
      <c r="I67" s="66">
        <v>0.15066742</v>
      </c>
      <c r="J67" s="66">
        <v>248.71569468000001</v>
      </c>
      <c r="K67" s="66">
        <v>201.45974350000003</v>
      </c>
      <c r="L67" s="66">
        <v>0</v>
      </c>
      <c r="M67" s="66">
        <v>47.255951180000004</v>
      </c>
      <c r="N67" s="67">
        <v>99.892423616610145</v>
      </c>
      <c r="O67" s="67">
        <v>99.892423637519755</v>
      </c>
      <c r="P67" s="67">
        <v>18.999987612683615</v>
      </c>
      <c r="Q67" s="66">
        <v>0.15066742</v>
      </c>
      <c r="R67" s="67">
        <v>-9.3258734068513149E-15</v>
      </c>
      <c r="S67" s="66">
        <v>156.89490000000001</v>
      </c>
      <c r="T67" s="66">
        <v>0</v>
      </c>
      <c r="U67" s="66">
        <v>193.69740831000001</v>
      </c>
      <c r="V67" s="66">
        <v>156.89490000000001</v>
      </c>
      <c r="W67" s="66">
        <v>36.80250831</v>
      </c>
      <c r="X67" s="66">
        <v>156.89490000000001</v>
      </c>
      <c r="Y67" s="66">
        <v>2.7954E-2</v>
      </c>
      <c r="Z67" s="66">
        <v>193.69740831000001</v>
      </c>
      <c r="AA67" s="66">
        <v>156.89490000000001</v>
      </c>
      <c r="AB67" s="66">
        <v>0</v>
      </c>
      <c r="AC67" s="66">
        <v>36.80250831</v>
      </c>
      <c r="AD67" s="67">
        <v>100</v>
      </c>
      <c r="AE67" s="67">
        <v>100</v>
      </c>
      <c r="AF67" s="67">
        <v>19.000000377444387</v>
      </c>
      <c r="AG67" s="187">
        <v>2.7954E-2</v>
      </c>
      <c r="AH67" s="67">
        <v>-5.9605098634563092E-15</v>
      </c>
      <c r="AI67" s="66">
        <v>0</v>
      </c>
      <c r="AJ67" s="66">
        <v>0</v>
      </c>
      <c r="AK67" s="66">
        <v>0</v>
      </c>
      <c r="AL67" s="66">
        <v>0</v>
      </c>
      <c r="AM67" s="66">
        <v>0</v>
      </c>
      <c r="AN67" s="66">
        <v>0</v>
      </c>
      <c r="AO67" s="66">
        <v>0.12271342</v>
      </c>
      <c r="AP67" s="66">
        <v>0</v>
      </c>
      <c r="AQ67" s="66">
        <v>0</v>
      </c>
      <c r="AR67" s="66">
        <v>0</v>
      </c>
      <c r="AS67" s="66">
        <v>0</v>
      </c>
      <c r="AT67" s="67" t="s">
        <v>1230</v>
      </c>
      <c r="AU67" s="67" t="s">
        <v>1230</v>
      </c>
      <c r="AV67" s="67">
        <v>0</v>
      </c>
      <c r="AW67" s="187">
        <v>0.12271342</v>
      </c>
      <c r="AX67" s="67">
        <v>0</v>
      </c>
      <c r="AY67" s="66">
        <v>37.457299999999996</v>
      </c>
      <c r="AZ67" s="66">
        <v>0</v>
      </c>
      <c r="BA67" s="66">
        <v>46.243580259999995</v>
      </c>
      <c r="BB67" s="66">
        <v>37.457299999999996</v>
      </c>
      <c r="BC67" s="66">
        <v>8.7862802599999998</v>
      </c>
      <c r="BD67" s="66">
        <v>37.244753179999996</v>
      </c>
      <c r="BE67" s="66">
        <v>0</v>
      </c>
      <c r="BF67" s="66">
        <v>45.981176779999998</v>
      </c>
      <c r="BG67" s="66">
        <v>37.244753179999996</v>
      </c>
      <c r="BH67" s="66">
        <v>0</v>
      </c>
      <c r="BI67" s="66">
        <v>8.7364236000000002</v>
      </c>
      <c r="BJ67" s="67">
        <v>99.432562357671273</v>
      </c>
      <c r="BK67" s="67">
        <v>99.432562375377728</v>
      </c>
      <c r="BL67" s="67">
        <v>19.000000025662676</v>
      </c>
      <c r="BM67" s="187">
        <v>0</v>
      </c>
      <c r="BN67" s="67">
        <v>0</v>
      </c>
      <c r="BO67" s="66">
        <v>0</v>
      </c>
      <c r="BP67" s="66">
        <v>0</v>
      </c>
      <c r="BQ67" s="66">
        <v>0</v>
      </c>
      <c r="BR67" s="66">
        <v>0</v>
      </c>
      <c r="BS67" s="66">
        <v>0</v>
      </c>
      <c r="BT67" s="66">
        <v>0</v>
      </c>
      <c r="BU67" s="66">
        <v>0</v>
      </c>
      <c r="BV67" s="66">
        <v>0</v>
      </c>
      <c r="BW67" s="66">
        <v>0</v>
      </c>
      <c r="BX67" s="66">
        <v>0</v>
      </c>
      <c r="BY67" s="66">
        <v>0</v>
      </c>
      <c r="BZ67" s="67" t="s">
        <v>1230</v>
      </c>
      <c r="CA67" s="67" t="s">
        <v>1230</v>
      </c>
      <c r="CB67" s="67">
        <v>0</v>
      </c>
      <c r="CC67" s="187">
        <v>0</v>
      </c>
      <c r="CD67" s="67">
        <v>0</v>
      </c>
      <c r="CE67" s="66">
        <v>0</v>
      </c>
      <c r="CF67" s="66">
        <v>0</v>
      </c>
      <c r="CG67" s="66">
        <v>0</v>
      </c>
      <c r="CH67" s="66">
        <v>0</v>
      </c>
      <c r="CI67" s="66">
        <v>0</v>
      </c>
      <c r="CJ67" s="66">
        <v>0</v>
      </c>
      <c r="CK67" s="66">
        <v>0</v>
      </c>
      <c r="CL67" s="66">
        <v>0</v>
      </c>
      <c r="CM67" s="66">
        <v>0</v>
      </c>
      <c r="CN67" s="66">
        <v>0</v>
      </c>
      <c r="CO67" s="66">
        <v>0</v>
      </c>
      <c r="CP67" s="67" t="s">
        <v>1230</v>
      </c>
      <c r="CQ67" s="67" t="s">
        <v>1230</v>
      </c>
      <c r="CR67" s="67">
        <v>0</v>
      </c>
      <c r="CS67" s="187">
        <v>0</v>
      </c>
      <c r="CT67" s="67">
        <v>0</v>
      </c>
      <c r="CU67" s="66">
        <v>0</v>
      </c>
      <c r="CV67" s="66">
        <v>0</v>
      </c>
      <c r="CW67" s="66">
        <v>0</v>
      </c>
      <c r="CX67" s="66">
        <v>0</v>
      </c>
      <c r="CY67" s="66">
        <v>0</v>
      </c>
      <c r="CZ67" s="66">
        <v>0</v>
      </c>
      <c r="DA67" s="66">
        <v>0</v>
      </c>
      <c r="DB67" s="66">
        <v>0</v>
      </c>
      <c r="DC67" s="66">
        <v>0</v>
      </c>
      <c r="DD67" s="66">
        <v>0</v>
      </c>
      <c r="DE67" s="66">
        <v>0</v>
      </c>
      <c r="DF67" s="67" t="s">
        <v>1230</v>
      </c>
      <c r="DG67" s="67" t="s">
        <v>1230</v>
      </c>
      <c r="DH67" s="67">
        <v>0</v>
      </c>
      <c r="DI67" s="187">
        <v>0</v>
      </c>
      <c r="DJ67" s="67">
        <v>0</v>
      </c>
      <c r="DK67" s="66">
        <v>3.5663</v>
      </c>
      <c r="DL67" s="66">
        <v>0</v>
      </c>
      <c r="DM67" s="66">
        <v>4.4028</v>
      </c>
      <c r="DN67" s="66">
        <v>3.5663</v>
      </c>
      <c r="DO67" s="66">
        <v>0.83650000000000002</v>
      </c>
      <c r="DP67" s="66">
        <v>3.5618903199999998</v>
      </c>
      <c r="DQ67" s="66">
        <v>0</v>
      </c>
      <c r="DR67" s="66">
        <v>4.3973560000000003</v>
      </c>
      <c r="DS67" s="66">
        <v>3.5618903199999998</v>
      </c>
      <c r="DT67" s="66">
        <v>0</v>
      </c>
      <c r="DU67" s="66">
        <v>0.8354656800000001</v>
      </c>
      <c r="DV67" s="67">
        <v>99.87635140061127</v>
      </c>
      <c r="DW67" s="67">
        <v>99.87635146443516</v>
      </c>
      <c r="DX67" s="67">
        <v>18.999273199622682</v>
      </c>
      <c r="DY67" s="187">
        <v>0</v>
      </c>
      <c r="DZ67" s="67">
        <v>0</v>
      </c>
      <c r="EA67" s="66">
        <v>0</v>
      </c>
      <c r="EB67" s="66">
        <v>0</v>
      </c>
      <c r="EC67" s="66">
        <v>0</v>
      </c>
      <c r="ED67" s="66">
        <v>0</v>
      </c>
      <c r="EE67" s="66">
        <v>0</v>
      </c>
      <c r="EF67" s="66">
        <v>0</v>
      </c>
      <c r="EG67" s="66">
        <v>0</v>
      </c>
      <c r="EH67" s="66">
        <v>0</v>
      </c>
      <c r="EI67" s="66">
        <v>0</v>
      </c>
      <c r="EJ67" s="66">
        <v>0</v>
      </c>
      <c r="EK67" s="66">
        <v>0</v>
      </c>
      <c r="EL67" s="67" t="s">
        <v>1230</v>
      </c>
      <c r="EM67" s="67" t="s">
        <v>1230</v>
      </c>
      <c r="EN67" s="67">
        <v>0</v>
      </c>
      <c r="EO67" s="187">
        <v>0</v>
      </c>
      <c r="EP67" s="67">
        <v>0</v>
      </c>
      <c r="EQ67" s="66">
        <v>3.0072000000000001</v>
      </c>
      <c r="ER67" s="66">
        <v>0</v>
      </c>
      <c r="ES67" s="66">
        <v>3.7125925899999999</v>
      </c>
      <c r="ET67" s="66">
        <v>3.0072000000000001</v>
      </c>
      <c r="EU67" s="66">
        <v>0.70539258999999999</v>
      </c>
      <c r="EV67" s="66">
        <v>3.0072000000000001</v>
      </c>
      <c r="EW67" s="66">
        <v>0</v>
      </c>
      <c r="EX67" s="66">
        <v>3.7125925899999999</v>
      </c>
      <c r="EY67" s="66">
        <v>3.0072000000000001</v>
      </c>
      <c r="EZ67" s="66">
        <v>0</v>
      </c>
      <c r="FA67" s="66">
        <v>0.70539258999999999</v>
      </c>
      <c r="FB67" s="67">
        <v>100</v>
      </c>
      <c r="FC67" s="67">
        <v>100</v>
      </c>
      <c r="FD67" s="67">
        <v>18.999999943435757</v>
      </c>
      <c r="FE67" s="187">
        <v>0</v>
      </c>
      <c r="FF67" s="67">
        <v>0</v>
      </c>
      <c r="FG67" s="66">
        <v>0</v>
      </c>
      <c r="FH67" s="66">
        <v>0</v>
      </c>
      <c r="FI67" s="66">
        <v>0</v>
      </c>
      <c r="FJ67" s="66">
        <v>0</v>
      </c>
      <c r="FK67" s="66">
        <v>0</v>
      </c>
      <c r="FL67" s="66">
        <v>0</v>
      </c>
      <c r="FM67" s="66">
        <v>0</v>
      </c>
      <c r="FN67" s="66">
        <v>0</v>
      </c>
      <c r="FO67" s="66">
        <v>0</v>
      </c>
      <c r="FP67" s="66">
        <v>0</v>
      </c>
      <c r="FQ67" s="66">
        <v>0</v>
      </c>
      <c r="FR67" s="67" t="s">
        <v>1230</v>
      </c>
      <c r="FS67" s="67" t="s">
        <v>1230</v>
      </c>
      <c r="FT67" s="67">
        <v>0</v>
      </c>
      <c r="FU67" s="187">
        <v>0</v>
      </c>
      <c r="FV67" s="67">
        <v>0</v>
      </c>
      <c r="FW67" s="66">
        <v>0</v>
      </c>
      <c r="FX67" s="66">
        <v>0</v>
      </c>
      <c r="FY67" s="66">
        <v>0</v>
      </c>
      <c r="FZ67" s="66">
        <v>0</v>
      </c>
      <c r="GA67" s="66">
        <v>0</v>
      </c>
      <c r="GB67" s="66">
        <v>0</v>
      </c>
      <c r="GC67" s="66">
        <v>0</v>
      </c>
      <c r="GD67" s="66">
        <v>0</v>
      </c>
      <c r="GE67" s="66">
        <v>0</v>
      </c>
      <c r="GF67" s="66">
        <v>0</v>
      </c>
      <c r="GG67" s="66">
        <v>0</v>
      </c>
      <c r="GH67" s="67" t="s">
        <v>1230</v>
      </c>
      <c r="GI67" s="67" t="s">
        <v>1230</v>
      </c>
      <c r="GJ67" s="67">
        <v>0</v>
      </c>
      <c r="GK67" s="187">
        <v>0</v>
      </c>
      <c r="GL67" s="67">
        <v>0</v>
      </c>
      <c r="GM67" s="66">
        <v>0</v>
      </c>
      <c r="GN67" s="66">
        <v>0</v>
      </c>
      <c r="GO67" s="66">
        <v>0</v>
      </c>
      <c r="GP67" s="66">
        <v>0</v>
      </c>
      <c r="GQ67" s="66">
        <v>0</v>
      </c>
      <c r="GR67" s="66">
        <v>0</v>
      </c>
      <c r="GS67" s="66">
        <v>0</v>
      </c>
      <c r="GT67" s="66">
        <v>0</v>
      </c>
      <c r="GU67" s="66">
        <v>0</v>
      </c>
      <c r="GV67" s="66">
        <v>0</v>
      </c>
      <c r="GW67" s="66">
        <v>0</v>
      </c>
      <c r="GX67" s="67" t="s">
        <v>1230</v>
      </c>
      <c r="GY67" s="67" t="s">
        <v>1230</v>
      </c>
      <c r="GZ67" s="67">
        <v>0</v>
      </c>
      <c r="HA67" s="187">
        <v>0</v>
      </c>
      <c r="HB67" s="67">
        <v>0</v>
      </c>
      <c r="HC67" s="66">
        <v>0.751</v>
      </c>
      <c r="HD67" s="66">
        <v>0</v>
      </c>
      <c r="HE67" s="66">
        <v>0.92716100000000001</v>
      </c>
      <c r="HF67" s="66">
        <v>0.751</v>
      </c>
      <c r="HG67" s="66">
        <v>0.17616100000000001</v>
      </c>
      <c r="HH67" s="66">
        <v>0.751</v>
      </c>
      <c r="HI67" s="66">
        <v>0</v>
      </c>
      <c r="HJ67" s="66">
        <v>0.92716100000000001</v>
      </c>
      <c r="HK67" s="66">
        <v>0.751</v>
      </c>
      <c r="HL67" s="66">
        <v>0</v>
      </c>
      <c r="HM67" s="66">
        <v>0.17616100000000001</v>
      </c>
      <c r="HN67" s="67">
        <v>100</v>
      </c>
      <c r="HO67" s="67">
        <v>100</v>
      </c>
      <c r="HP67" s="67">
        <v>19.000044221014477</v>
      </c>
      <c r="HQ67" s="187">
        <v>0</v>
      </c>
      <c r="HR67" s="67">
        <v>0</v>
      </c>
      <c r="HS67" s="66">
        <v>0</v>
      </c>
      <c r="HT67" s="66">
        <v>0</v>
      </c>
      <c r="HU67" s="66">
        <v>0</v>
      </c>
      <c r="HV67" s="66">
        <v>0</v>
      </c>
      <c r="HW67" s="66">
        <v>0</v>
      </c>
      <c r="HX67" s="66">
        <v>0</v>
      </c>
      <c r="HY67" s="66">
        <v>0</v>
      </c>
      <c r="HZ67" s="66">
        <v>0</v>
      </c>
      <c r="IA67" s="66">
        <v>0</v>
      </c>
      <c r="IB67" s="66">
        <v>0</v>
      </c>
      <c r="IC67" s="66">
        <v>0</v>
      </c>
      <c r="ID67" s="67" t="s">
        <v>1230</v>
      </c>
      <c r="IE67" s="67" t="s">
        <v>1230</v>
      </c>
      <c r="IF67" s="67">
        <v>0</v>
      </c>
      <c r="IG67" s="187">
        <v>0</v>
      </c>
      <c r="IH67" s="67">
        <v>0</v>
      </c>
      <c r="II67" s="66">
        <v>0</v>
      </c>
      <c r="IJ67" s="66">
        <v>0</v>
      </c>
      <c r="IK67" s="66">
        <v>0</v>
      </c>
      <c r="IL67" s="66">
        <v>0</v>
      </c>
      <c r="IM67" s="66">
        <v>0</v>
      </c>
      <c r="IN67" s="66">
        <v>0</v>
      </c>
      <c r="IO67" s="66">
        <v>0</v>
      </c>
      <c r="IP67" s="66">
        <v>0</v>
      </c>
      <c r="IQ67" s="66">
        <v>0</v>
      </c>
      <c r="IR67" s="66">
        <v>0</v>
      </c>
      <c r="IS67" s="66">
        <v>0</v>
      </c>
      <c r="IT67" s="67" t="s">
        <v>1230</v>
      </c>
      <c r="IU67" s="67" t="s">
        <v>1230</v>
      </c>
      <c r="IV67" s="67">
        <v>0</v>
      </c>
      <c r="IW67" s="187">
        <v>0</v>
      </c>
      <c r="IX67" s="67">
        <v>0</v>
      </c>
    </row>
    <row r="68" spans="1:258" ht="15.6" x14ac:dyDescent="0.3">
      <c r="A68" s="169">
        <v>56</v>
      </c>
      <c r="B68" s="205" t="s">
        <v>146</v>
      </c>
      <c r="C68" s="66">
        <v>156.54499999999999</v>
      </c>
      <c r="D68" s="66">
        <v>0</v>
      </c>
      <c r="E68" s="66">
        <v>170.67322997999997</v>
      </c>
      <c r="F68" s="66">
        <v>156.54499999999999</v>
      </c>
      <c r="G68" s="66">
        <v>14.12822998</v>
      </c>
      <c r="H68" s="66">
        <v>155.28263505999999</v>
      </c>
      <c r="I68" s="66">
        <v>1.0653887</v>
      </c>
      <c r="J68" s="66">
        <v>169.31324706999999</v>
      </c>
      <c r="K68" s="66">
        <v>155.26661605999999</v>
      </c>
      <c r="L68" s="66">
        <v>0</v>
      </c>
      <c r="M68" s="66">
        <v>14.04663101</v>
      </c>
      <c r="N68" s="67">
        <v>99.18337606439043</v>
      </c>
      <c r="O68" s="67">
        <v>99.422440248244044</v>
      </c>
      <c r="P68" s="67">
        <v>8.296238630514619</v>
      </c>
      <c r="Q68" s="66">
        <v>1.0653887</v>
      </c>
      <c r="R68" s="67">
        <v>1.6018999999999783E-2</v>
      </c>
      <c r="S68" s="66">
        <v>105.8199</v>
      </c>
      <c r="T68" s="66">
        <v>0</v>
      </c>
      <c r="U68" s="66">
        <v>112.5743617</v>
      </c>
      <c r="V68" s="66">
        <v>105.8199</v>
      </c>
      <c r="W68" s="66">
        <v>6.7544617000000002</v>
      </c>
      <c r="X68" s="66">
        <v>105.8199</v>
      </c>
      <c r="Y68" s="66">
        <v>1.0530682</v>
      </c>
      <c r="Z68" s="66">
        <v>112.5743617</v>
      </c>
      <c r="AA68" s="66">
        <v>105.8199</v>
      </c>
      <c r="AB68" s="66">
        <v>0</v>
      </c>
      <c r="AC68" s="66">
        <v>6.7544617000000002</v>
      </c>
      <c r="AD68" s="67">
        <v>100</v>
      </c>
      <c r="AE68" s="67">
        <v>100</v>
      </c>
      <c r="AF68" s="67">
        <v>5.9999999982233962</v>
      </c>
      <c r="AG68" s="187">
        <v>1.0530682</v>
      </c>
      <c r="AH68" s="67">
        <v>-1.5543122344752192E-15</v>
      </c>
      <c r="AI68" s="66">
        <v>0</v>
      </c>
      <c r="AJ68" s="66">
        <v>0</v>
      </c>
      <c r="AK68" s="66">
        <v>0</v>
      </c>
      <c r="AL68" s="66">
        <v>0</v>
      </c>
      <c r="AM68" s="66">
        <v>0</v>
      </c>
      <c r="AN68" s="66">
        <v>0</v>
      </c>
      <c r="AO68" s="66">
        <v>0</v>
      </c>
      <c r="AP68" s="66">
        <v>0</v>
      </c>
      <c r="AQ68" s="66">
        <v>0</v>
      </c>
      <c r="AR68" s="66">
        <v>0</v>
      </c>
      <c r="AS68" s="66">
        <v>0</v>
      </c>
      <c r="AT68" s="67" t="s">
        <v>1230</v>
      </c>
      <c r="AU68" s="67" t="s">
        <v>1230</v>
      </c>
      <c r="AV68" s="67">
        <v>0</v>
      </c>
      <c r="AW68" s="187">
        <v>0</v>
      </c>
      <c r="AX68" s="67">
        <v>0</v>
      </c>
      <c r="AY68" s="66">
        <v>28.902699999999999</v>
      </c>
      <c r="AZ68" s="66">
        <v>0</v>
      </c>
      <c r="BA68" s="66">
        <v>30.747553190000001</v>
      </c>
      <c r="BB68" s="66">
        <v>28.902699999999999</v>
      </c>
      <c r="BC68" s="66">
        <v>1.84485319</v>
      </c>
      <c r="BD68" s="66">
        <v>27.640335059999998</v>
      </c>
      <c r="BE68" s="66">
        <v>0</v>
      </c>
      <c r="BF68" s="66">
        <v>29.387570280000002</v>
      </c>
      <c r="BG68" s="66">
        <v>27.624316059999998</v>
      </c>
      <c r="BH68" s="66">
        <v>0</v>
      </c>
      <c r="BI68" s="66">
        <v>1.7632542199999999</v>
      </c>
      <c r="BJ68" s="67">
        <v>95.576939386285716</v>
      </c>
      <c r="BK68" s="67">
        <v>95.576939647972736</v>
      </c>
      <c r="BL68" s="67">
        <v>6.0000000108889564</v>
      </c>
      <c r="BM68" s="187">
        <v>0</v>
      </c>
      <c r="BN68" s="67">
        <v>1.6019000000000005E-2</v>
      </c>
      <c r="BO68" s="66">
        <v>0</v>
      </c>
      <c r="BP68" s="66">
        <v>0</v>
      </c>
      <c r="BQ68" s="66">
        <v>0</v>
      </c>
      <c r="BR68" s="66">
        <v>0</v>
      </c>
      <c r="BS68" s="66">
        <v>0</v>
      </c>
      <c r="BT68" s="66">
        <v>0</v>
      </c>
      <c r="BU68" s="66">
        <v>0</v>
      </c>
      <c r="BV68" s="66">
        <v>0</v>
      </c>
      <c r="BW68" s="66">
        <v>0</v>
      </c>
      <c r="BX68" s="66">
        <v>0</v>
      </c>
      <c r="BY68" s="66">
        <v>0</v>
      </c>
      <c r="BZ68" s="67" t="s">
        <v>1230</v>
      </c>
      <c r="CA68" s="67" t="s">
        <v>1230</v>
      </c>
      <c r="CB68" s="67">
        <v>0</v>
      </c>
      <c r="CC68" s="187">
        <v>0</v>
      </c>
      <c r="CD68" s="67">
        <v>0</v>
      </c>
      <c r="CE68" s="66">
        <v>0</v>
      </c>
      <c r="CF68" s="66">
        <v>0</v>
      </c>
      <c r="CG68" s="66">
        <v>0</v>
      </c>
      <c r="CH68" s="66">
        <v>0</v>
      </c>
      <c r="CI68" s="66">
        <v>0</v>
      </c>
      <c r="CJ68" s="66">
        <v>0</v>
      </c>
      <c r="CK68" s="66">
        <v>0</v>
      </c>
      <c r="CL68" s="66">
        <v>0</v>
      </c>
      <c r="CM68" s="66">
        <v>0</v>
      </c>
      <c r="CN68" s="66">
        <v>0</v>
      </c>
      <c r="CO68" s="66">
        <v>0</v>
      </c>
      <c r="CP68" s="67" t="s">
        <v>1230</v>
      </c>
      <c r="CQ68" s="67" t="s">
        <v>1230</v>
      </c>
      <c r="CR68" s="67">
        <v>0</v>
      </c>
      <c r="CS68" s="187">
        <v>0</v>
      </c>
      <c r="CT68" s="67">
        <v>0</v>
      </c>
      <c r="CU68" s="66">
        <v>0</v>
      </c>
      <c r="CV68" s="66">
        <v>0</v>
      </c>
      <c r="CW68" s="66">
        <v>0</v>
      </c>
      <c r="CX68" s="66">
        <v>0</v>
      </c>
      <c r="CY68" s="66">
        <v>0</v>
      </c>
      <c r="CZ68" s="66">
        <v>0</v>
      </c>
      <c r="DA68" s="66">
        <v>0</v>
      </c>
      <c r="DB68" s="66">
        <v>0</v>
      </c>
      <c r="DC68" s="66">
        <v>0</v>
      </c>
      <c r="DD68" s="66">
        <v>0</v>
      </c>
      <c r="DE68" s="66">
        <v>0</v>
      </c>
      <c r="DF68" s="67" t="s">
        <v>1230</v>
      </c>
      <c r="DG68" s="67" t="s">
        <v>1230</v>
      </c>
      <c r="DH68" s="67">
        <v>0</v>
      </c>
      <c r="DI68" s="187">
        <v>0</v>
      </c>
      <c r="DJ68" s="67">
        <v>0</v>
      </c>
      <c r="DK68" s="66">
        <v>3.3334999999999999</v>
      </c>
      <c r="DL68" s="66">
        <v>0</v>
      </c>
      <c r="DM68" s="66">
        <v>3.65238956</v>
      </c>
      <c r="DN68" s="66">
        <v>3.3334999999999999</v>
      </c>
      <c r="DO68" s="66">
        <v>0.31888956000000002</v>
      </c>
      <c r="DP68" s="66">
        <v>3.3334999999999999</v>
      </c>
      <c r="DQ68" s="66">
        <v>0</v>
      </c>
      <c r="DR68" s="66">
        <v>3.65238956</v>
      </c>
      <c r="DS68" s="66">
        <v>3.3334999999999999</v>
      </c>
      <c r="DT68" s="66">
        <v>0</v>
      </c>
      <c r="DU68" s="66">
        <v>0.31888956000000002</v>
      </c>
      <c r="DV68" s="67">
        <v>100</v>
      </c>
      <c r="DW68" s="67">
        <v>100</v>
      </c>
      <c r="DX68" s="67">
        <v>8.730984325779314</v>
      </c>
      <c r="DY68" s="187">
        <v>0</v>
      </c>
      <c r="DZ68" s="67">
        <v>0</v>
      </c>
      <c r="EA68" s="66">
        <v>0</v>
      </c>
      <c r="EB68" s="66">
        <v>0</v>
      </c>
      <c r="EC68" s="66">
        <v>0</v>
      </c>
      <c r="ED68" s="66">
        <v>0</v>
      </c>
      <c r="EE68" s="66">
        <v>0</v>
      </c>
      <c r="EF68" s="66">
        <v>0</v>
      </c>
      <c r="EG68" s="66">
        <v>0</v>
      </c>
      <c r="EH68" s="66">
        <v>0</v>
      </c>
      <c r="EI68" s="66">
        <v>0</v>
      </c>
      <c r="EJ68" s="66">
        <v>0</v>
      </c>
      <c r="EK68" s="66">
        <v>0</v>
      </c>
      <c r="EL68" s="67" t="s">
        <v>1230</v>
      </c>
      <c r="EM68" s="67" t="s">
        <v>1230</v>
      </c>
      <c r="EN68" s="67">
        <v>0</v>
      </c>
      <c r="EO68" s="187">
        <v>0</v>
      </c>
      <c r="EP68" s="67">
        <v>0</v>
      </c>
      <c r="EQ68" s="66">
        <v>0</v>
      </c>
      <c r="ER68" s="66">
        <v>0</v>
      </c>
      <c r="ES68" s="66">
        <v>0</v>
      </c>
      <c r="ET68" s="66">
        <v>0</v>
      </c>
      <c r="EU68" s="66">
        <v>0</v>
      </c>
      <c r="EV68" s="66">
        <v>0</v>
      </c>
      <c r="EW68" s="66">
        <v>0</v>
      </c>
      <c r="EX68" s="66">
        <v>0</v>
      </c>
      <c r="EY68" s="66">
        <v>0</v>
      </c>
      <c r="EZ68" s="66">
        <v>0</v>
      </c>
      <c r="FA68" s="66">
        <v>0</v>
      </c>
      <c r="FB68" s="67" t="s">
        <v>1230</v>
      </c>
      <c r="FC68" s="67" t="s">
        <v>1230</v>
      </c>
      <c r="FD68" s="67">
        <v>0</v>
      </c>
      <c r="FE68" s="187">
        <v>0</v>
      </c>
      <c r="FF68" s="67">
        <v>0</v>
      </c>
      <c r="FG68" s="66">
        <v>0</v>
      </c>
      <c r="FH68" s="66">
        <v>0</v>
      </c>
      <c r="FI68" s="66">
        <v>0</v>
      </c>
      <c r="FJ68" s="66">
        <v>0</v>
      </c>
      <c r="FK68" s="66">
        <v>0</v>
      </c>
      <c r="FL68" s="66">
        <v>0</v>
      </c>
      <c r="FM68" s="66">
        <v>0</v>
      </c>
      <c r="FN68" s="66">
        <v>0</v>
      </c>
      <c r="FO68" s="66">
        <v>0</v>
      </c>
      <c r="FP68" s="66">
        <v>0</v>
      </c>
      <c r="FQ68" s="66">
        <v>0</v>
      </c>
      <c r="FR68" s="67" t="s">
        <v>1230</v>
      </c>
      <c r="FS68" s="67" t="s">
        <v>1230</v>
      </c>
      <c r="FT68" s="67">
        <v>0</v>
      </c>
      <c r="FU68" s="187">
        <v>0</v>
      </c>
      <c r="FV68" s="67">
        <v>0</v>
      </c>
      <c r="FW68" s="66">
        <v>17.849299999999999</v>
      </c>
      <c r="FX68" s="66">
        <v>0</v>
      </c>
      <c r="FY68" s="66">
        <v>23.0185</v>
      </c>
      <c r="FZ68" s="66">
        <v>17.849299999999999</v>
      </c>
      <c r="GA68" s="66">
        <v>5.1692</v>
      </c>
      <c r="GB68" s="66">
        <v>17.849299999999999</v>
      </c>
      <c r="GC68" s="66">
        <v>1.23205E-2</v>
      </c>
      <c r="GD68" s="66">
        <v>23.0185</v>
      </c>
      <c r="GE68" s="66">
        <v>17.849299999999999</v>
      </c>
      <c r="GF68" s="66">
        <v>0</v>
      </c>
      <c r="GG68" s="66">
        <v>5.1692</v>
      </c>
      <c r="GH68" s="67">
        <v>100</v>
      </c>
      <c r="GI68" s="67">
        <v>100</v>
      </c>
      <c r="GJ68" s="67">
        <v>22.456719595108282</v>
      </c>
      <c r="GK68" s="187">
        <v>1.23205E-2</v>
      </c>
      <c r="GL68" s="67">
        <v>1.2888995426507677E-15</v>
      </c>
      <c r="GM68" s="66">
        <v>0</v>
      </c>
      <c r="GN68" s="66">
        <v>0</v>
      </c>
      <c r="GO68" s="66">
        <v>0</v>
      </c>
      <c r="GP68" s="66">
        <v>0</v>
      </c>
      <c r="GQ68" s="66">
        <v>0</v>
      </c>
      <c r="GR68" s="66">
        <v>0</v>
      </c>
      <c r="GS68" s="66">
        <v>0</v>
      </c>
      <c r="GT68" s="66">
        <v>0</v>
      </c>
      <c r="GU68" s="66">
        <v>0</v>
      </c>
      <c r="GV68" s="66">
        <v>0</v>
      </c>
      <c r="GW68" s="66">
        <v>0</v>
      </c>
      <c r="GX68" s="67" t="s">
        <v>1230</v>
      </c>
      <c r="GY68" s="67" t="s">
        <v>1230</v>
      </c>
      <c r="GZ68" s="67">
        <v>0</v>
      </c>
      <c r="HA68" s="187">
        <v>0</v>
      </c>
      <c r="HB68" s="67">
        <v>0</v>
      </c>
      <c r="HC68" s="66">
        <v>0.63959999999999995</v>
      </c>
      <c r="HD68" s="66">
        <v>0</v>
      </c>
      <c r="HE68" s="66">
        <v>0.68042553000000006</v>
      </c>
      <c r="HF68" s="66">
        <v>0.63959999999999995</v>
      </c>
      <c r="HG68" s="66">
        <v>4.0825529999999999E-2</v>
      </c>
      <c r="HH68" s="66">
        <v>0.63959999999999995</v>
      </c>
      <c r="HI68" s="66">
        <v>0</v>
      </c>
      <c r="HJ68" s="66">
        <v>0.68042553000000006</v>
      </c>
      <c r="HK68" s="66">
        <v>0.63959999999999995</v>
      </c>
      <c r="HL68" s="66">
        <v>0</v>
      </c>
      <c r="HM68" s="66">
        <v>4.0825529999999999E-2</v>
      </c>
      <c r="HN68" s="67">
        <v>100</v>
      </c>
      <c r="HO68" s="67">
        <v>100</v>
      </c>
      <c r="HP68" s="67">
        <v>5.999999735459661</v>
      </c>
      <c r="HQ68" s="187">
        <v>0</v>
      </c>
      <c r="HR68" s="67">
        <v>0</v>
      </c>
      <c r="HS68" s="66">
        <v>0</v>
      </c>
      <c r="HT68" s="66">
        <v>0</v>
      </c>
      <c r="HU68" s="66">
        <v>0</v>
      </c>
      <c r="HV68" s="66">
        <v>0</v>
      </c>
      <c r="HW68" s="66">
        <v>0</v>
      </c>
      <c r="HX68" s="66">
        <v>0</v>
      </c>
      <c r="HY68" s="66">
        <v>0</v>
      </c>
      <c r="HZ68" s="66">
        <v>0</v>
      </c>
      <c r="IA68" s="66">
        <v>0</v>
      </c>
      <c r="IB68" s="66">
        <v>0</v>
      </c>
      <c r="IC68" s="66">
        <v>0</v>
      </c>
      <c r="ID68" s="67" t="s">
        <v>1230</v>
      </c>
      <c r="IE68" s="67" t="s">
        <v>1230</v>
      </c>
      <c r="IF68" s="67">
        <v>0</v>
      </c>
      <c r="IG68" s="187">
        <v>0</v>
      </c>
      <c r="IH68" s="67">
        <v>0</v>
      </c>
      <c r="II68" s="66">
        <v>0</v>
      </c>
      <c r="IJ68" s="66">
        <v>0</v>
      </c>
      <c r="IK68" s="66">
        <v>0</v>
      </c>
      <c r="IL68" s="66">
        <v>0</v>
      </c>
      <c r="IM68" s="66">
        <v>0</v>
      </c>
      <c r="IN68" s="66">
        <v>0</v>
      </c>
      <c r="IO68" s="66">
        <v>0</v>
      </c>
      <c r="IP68" s="66">
        <v>0</v>
      </c>
      <c r="IQ68" s="66">
        <v>0</v>
      </c>
      <c r="IR68" s="66">
        <v>0</v>
      </c>
      <c r="IS68" s="66">
        <v>0</v>
      </c>
      <c r="IT68" s="67" t="s">
        <v>1230</v>
      </c>
      <c r="IU68" s="67" t="s">
        <v>1230</v>
      </c>
      <c r="IV68" s="67">
        <v>0</v>
      </c>
      <c r="IW68" s="187">
        <v>0</v>
      </c>
      <c r="IX68" s="67">
        <v>0</v>
      </c>
    </row>
    <row r="69" spans="1:258" ht="15.6" x14ac:dyDescent="0.3">
      <c r="A69" s="169">
        <v>57</v>
      </c>
      <c r="B69" s="205" t="s">
        <v>149</v>
      </c>
      <c r="C69" s="66">
        <v>41.101099999999995</v>
      </c>
      <c r="D69" s="66">
        <v>0</v>
      </c>
      <c r="E69" s="66">
        <v>56.302876719999993</v>
      </c>
      <c r="F69" s="66">
        <v>41.101099999999995</v>
      </c>
      <c r="G69" s="66">
        <v>15.20177672</v>
      </c>
      <c r="H69" s="66">
        <v>39.251847619999999</v>
      </c>
      <c r="I69" s="66">
        <v>0.20499167000000001</v>
      </c>
      <c r="J69" s="66">
        <v>53.68917364</v>
      </c>
      <c r="K69" s="66">
        <v>39.193096760000003</v>
      </c>
      <c r="L69" s="66">
        <v>0</v>
      </c>
      <c r="M69" s="66">
        <v>14.496076879999999</v>
      </c>
      <c r="N69" s="67">
        <v>95.357780594679966</v>
      </c>
      <c r="O69" s="67">
        <v>95.357780521328422</v>
      </c>
      <c r="P69" s="67">
        <v>26.999999994784794</v>
      </c>
      <c r="Q69" s="66">
        <v>0.20499167000000001</v>
      </c>
      <c r="R69" s="67">
        <v>5.8750859999994687E-2</v>
      </c>
      <c r="S69" s="66">
        <v>14.489599999999999</v>
      </c>
      <c r="T69" s="66">
        <v>0</v>
      </c>
      <c r="U69" s="66">
        <v>19.848767129999999</v>
      </c>
      <c r="V69" s="66">
        <v>14.489599999999999</v>
      </c>
      <c r="W69" s="66">
        <v>5.3591671299999994</v>
      </c>
      <c r="X69" s="66">
        <v>14.489599999999999</v>
      </c>
      <c r="Y69" s="66">
        <v>0</v>
      </c>
      <c r="Z69" s="66">
        <v>19.76828648</v>
      </c>
      <c r="AA69" s="66">
        <v>14.430849140000001</v>
      </c>
      <c r="AB69" s="66">
        <v>0</v>
      </c>
      <c r="AC69" s="66">
        <v>5.3374373400000001</v>
      </c>
      <c r="AD69" s="67">
        <v>99.594530835909907</v>
      </c>
      <c r="AE69" s="67">
        <v>99.594530465781546</v>
      </c>
      <c r="AF69" s="67">
        <v>26.999999951437371</v>
      </c>
      <c r="AG69" s="187">
        <v>0</v>
      </c>
      <c r="AH69" s="67">
        <v>5.8750859999998184E-2</v>
      </c>
      <c r="AI69" s="66">
        <v>0</v>
      </c>
      <c r="AJ69" s="66">
        <v>0</v>
      </c>
      <c r="AK69" s="66">
        <v>0</v>
      </c>
      <c r="AL69" s="66">
        <v>0</v>
      </c>
      <c r="AM69" s="66">
        <v>0</v>
      </c>
      <c r="AN69" s="66">
        <v>0</v>
      </c>
      <c r="AO69" s="66">
        <v>0.12962276</v>
      </c>
      <c r="AP69" s="66">
        <v>0</v>
      </c>
      <c r="AQ69" s="66">
        <v>0</v>
      </c>
      <c r="AR69" s="66">
        <v>0</v>
      </c>
      <c r="AS69" s="66">
        <v>0</v>
      </c>
      <c r="AT69" s="67" t="s">
        <v>1230</v>
      </c>
      <c r="AU69" s="67" t="s">
        <v>1230</v>
      </c>
      <c r="AV69" s="67">
        <v>0</v>
      </c>
      <c r="AW69" s="187">
        <v>0.12962276</v>
      </c>
      <c r="AX69" s="67">
        <v>0</v>
      </c>
      <c r="AY69" s="66">
        <v>26.272099999999998</v>
      </c>
      <c r="AZ69" s="66">
        <v>0</v>
      </c>
      <c r="BA69" s="66">
        <v>35.989178079999995</v>
      </c>
      <c r="BB69" s="66">
        <v>26.272099999999998</v>
      </c>
      <c r="BC69" s="66">
        <v>9.7170780800000003</v>
      </c>
      <c r="BD69" s="66">
        <v>24.422847620000002</v>
      </c>
      <c r="BE69" s="66">
        <v>7.5368909999999997E-2</v>
      </c>
      <c r="BF69" s="66">
        <v>33.45595565</v>
      </c>
      <c r="BG69" s="66">
        <v>24.422847620000002</v>
      </c>
      <c r="BH69" s="66">
        <v>0</v>
      </c>
      <c r="BI69" s="66">
        <v>9.0331080299999993</v>
      </c>
      <c r="BJ69" s="67">
        <v>92.961155065639986</v>
      </c>
      <c r="BK69" s="67">
        <v>92.961155150046906</v>
      </c>
      <c r="BL69" s="67">
        <v>27.000000013450521</v>
      </c>
      <c r="BM69" s="187">
        <v>7.5368909999999997E-2</v>
      </c>
      <c r="BN69" s="67">
        <v>1.6792123247455493E-15</v>
      </c>
      <c r="BO69" s="66">
        <v>0</v>
      </c>
      <c r="BP69" s="66">
        <v>0</v>
      </c>
      <c r="BQ69" s="66">
        <v>0</v>
      </c>
      <c r="BR69" s="66">
        <v>0</v>
      </c>
      <c r="BS69" s="66">
        <v>0</v>
      </c>
      <c r="BT69" s="66">
        <v>0</v>
      </c>
      <c r="BU69" s="66">
        <v>0</v>
      </c>
      <c r="BV69" s="66">
        <v>0</v>
      </c>
      <c r="BW69" s="66">
        <v>0</v>
      </c>
      <c r="BX69" s="66">
        <v>0</v>
      </c>
      <c r="BY69" s="66">
        <v>0</v>
      </c>
      <c r="BZ69" s="67" t="s">
        <v>1230</v>
      </c>
      <c r="CA69" s="67" t="s">
        <v>1230</v>
      </c>
      <c r="CB69" s="67">
        <v>0</v>
      </c>
      <c r="CC69" s="187">
        <v>0</v>
      </c>
      <c r="CD69" s="67">
        <v>0</v>
      </c>
      <c r="CE69" s="66">
        <v>0</v>
      </c>
      <c r="CF69" s="66">
        <v>0</v>
      </c>
      <c r="CG69" s="66">
        <v>0</v>
      </c>
      <c r="CH69" s="66">
        <v>0</v>
      </c>
      <c r="CI69" s="66">
        <v>0</v>
      </c>
      <c r="CJ69" s="66">
        <v>0</v>
      </c>
      <c r="CK69" s="66">
        <v>0</v>
      </c>
      <c r="CL69" s="66">
        <v>0</v>
      </c>
      <c r="CM69" s="66">
        <v>0</v>
      </c>
      <c r="CN69" s="66">
        <v>0</v>
      </c>
      <c r="CO69" s="66">
        <v>0</v>
      </c>
      <c r="CP69" s="67" t="s">
        <v>1230</v>
      </c>
      <c r="CQ69" s="67" t="s">
        <v>1230</v>
      </c>
      <c r="CR69" s="67">
        <v>0</v>
      </c>
      <c r="CS69" s="187">
        <v>0</v>
      </c>
      <c r="CT69" s="67">
        <v>0</v>
      </c>
      <c r="CU69" s="66">
        <v>0</v>
      </c>
      <c r="CV69" s="66">
        <v>0</v>
      </c>
      <c r="CW69" s="66">
        <v>0</v>
      </c>
      <c r="CX69" s="66">
        <v>0</v>
      </c>
      <c r="CY69" s="66">
        <v>0</v>
      </c>
      <c r="CZ69" s="66">
        <v>0</v>
      </c>
      <c r="DA69" s="66">
        <v>0</v>
      </c>
      <c r="DB69" s="66">
        <v>0</v>
      </c>
      <c r="DC69" s="66">
        <v>0</v>
      </c>
      <c r="DD69" s="66">
        <v>0</v>
      </c>
      <c r="DE69" s="66">
        <v>0</v>
      </c>
      <c r="DF69" s="67" t="s">
        <v>1230</v>
      </c>
      <c r="DG69" s="67" t="s">
        <v>1230</v>
      </c>
      <c r="DH69" s="67">
        <v>0</v>
      </c>
      <c r="DI69" s="187">
        <v>0</v>
      </c>
      <c r="DJ69" s="67">
        <v>0</v>
      </c>
      <c r="DK69" s="66">
        <v>0</v>
      </c>
      <c r="DL69" s="66">
        <v>0</v>
      </c>
      <c r="DM69" s="66">
        <v>0</v>
      </c>
      <c r="DN69" s="66">
        <v>0</v>
      </c>
      <c r="DO69" s="66">
        <v>0</v>
      </c>
      <c r="DP69" s="66">
        <v>0</v>
      </c>
      <c r="DQ69" s="66">
        <v>0</v>
      </c>
      <c r="DR69" s="66">
        <v>0</v>
      </c>
      <c r="DS69" s="66">
        <v>0</v>
      </c>
      <c r="DT69" s="66">
        <v>0</v>
      </c>
      <c r="DU69" s="66">
        <v>0</v>
      </c>
      <c r="DV69" s="67" t="s">
        <v>1230</v>
      </c>
      <c r="DW69" s="67" t="s">
        <v>1230</v>
      </c>
      <c r="DX69" s="67">
        <v>0</v>
      </c>
      <c r="DY69" s="187">
        <v>0</v>
      </c>
      <c r="DZ69" s="67">
        <v>0</v>
      </c>
      <c r="EA69" s="66">
        <v>0</v>
      </c>
      <c r="EB69" s="66">
        <v>0</v>
      </c>
      <c r="EC69" s="66">
        <v>0</v>
      </c>
      <c r="ED69" s="66">
        <v>0</v>
      </c>
      <c r="EE69" s="66">
        <v>0</v>
      </c>
      <c r="EF69" s="66">
        <v>0</v>
      </c>
      <c r="EG69" s="66">
        <v>0</v>
      </c>
      <c r="EH69" s="66">
        <v>0</v>
      </c>
      <c r="EI69" s="66">
        <v>0</v>
      </c>
      <c r="EJ69" s="66">
        <v>0</v>
      </c>
      <c r="EK69" s="66">
        <v>0</v>
      </c>
      <c r="EL69" s="67" t="s">
        <v>1230</v>
      </c>
      <c r="EM69" s="67" t="s">
        <v>1230</v>
      </c>
      <c r="EN69" s="67">
        <v>0</v>
      </c>
      <c r="EO69" s="187">
        <v>0</v>
      </c>
      <c r="EP69" s="67">
        <v>0</v>
      </c>
      <c r="EQ69" s="66">
        <v>0</v>
      </c>
      <c r="ER69" s="66">
        <v>0</v>
      </c>
      <c r="ES69" s="66">
        <v>0</v>
      </c>
      <c r="ET69" s="66">
        <v>0</v>
      </c>
      <c r="EU69" s="66">
        <v>0</v>
      </c>
      <c r="EV69" s="66">
        <v>0</v>
      </c>
      <c r="EW69" s="66">
        <v>0</v>
      </c>
      <c r="EX69" s="66">
        <v>0</v>
      </c>
      <c r="EY69" s="66">
        <v>0</v>
      </c>
      <c r="EZ69" s="66">
        <v>0</v>
      </c>
      <c r="FA69" s="66">
        <v>0</v>
      </c>
      <c r="FB69" s="67" t="s">
        <v>1230</v>
      </c>
      <c r="FC69" s="67" t="s">
        <v>1230</v>
      </c>
      <c r="FD69" s="67">
        <v>0</v>
      </c>
      <c r="FE69" s="187">
        <v>0</v>
      </c>
      <c r="FF69" s="67">
        <v>0</v>
      </c>
      <c r="FG69" s="66">
        <v>0</v>
      </c>
      <c r="FH69" s="66">
        <v>0</v>
      </c>
      <c r="FI69" s="66">
        <v>0</v>
      </c>
      <c r="FJ69" s="66">
        <v>0</v>
      </c>
      <c r="FK69" s="66">
        <v>0</v>
      </c>
      <c r="FL69" s="66">
        <v>0</v>
      </c>
      <c r="FM69" s="66">
        <v>0</v>
      </c>
      <c r="FN69" s="66">
        <v>0</v>
      </c>
      <c r="FO69" s="66">
        <v>0</v>
      </c>
      <c r="FP69" s="66">
        <v>0</v>
      </c>
      <c r="FQ69" s="66">
        <v>0</v>
      </c>
      <c r="FR69" s="67" t="s">
        <v>1230</v>
      </c>
      <c r="FS69" s="67" t="s">
        <v>1230</v>
      </c>
      <c r="FT69" s="67">
        <v>0</v>
      </c>
      <c r="FU69" s="187">
        <v>0</v>
      </c>
      <c r="FV69" s="67">
        <v>0</v>
      </c>
      <c r="FW69" s="66">
        <v>0</v>
      </c>
      <c r="FX69" s="66">
        <v>0</v>
      </c>
      <c r="FY69" s="66">
        <v>0</v>
      </c>
      <c r="FZ69" s="66">
        <v>0</v>
      </c>
      <c r="GA69" s="66">
        <v>0</v>
      </c>
      <c r="GB69" s="66">
        <v>0</v>
      </c>
      <c r="GC69" s="66">
        <v>0</v>
      </c>
      <c r="GD69" s="66">
        <v>0</v>
      </c>
      <c r="GE69" s="66">
        <v>0</v>
      </c>
      <c r="GF69" s="66">
        <v>0</v>
      </c>
      <c r="GG69" s="66">
        <v>0</v>
      </c>
      <c r="GH69" s="67" t="s">
        <v>1230</v>
      </c>
      <c r="GI69" s="67" t="s">
        <v>1230</v>
      </c>
      <c r="GJ69" s="67">
        <v>0</v>
      </c>
      <c r="GK69" s="187">
        <v>0</v>
      </c>
      <c r="GL69" s="67">
        <v>0</v>
      </c>
      <c r="GM69" s="66">
        <v>0</v>
      </c>
      <c r="GN69" s="66">
        <v>0</v>
      </c>
      <c r="GO69" s="66">
        <v>0</v>
      </c>
      <c r="GP69" s="66">
        <v>0</v>
      </c>
      <c r="GQ69" s="66">
        <v>0</v>
      </c>
      <c r="GR69" s="66">
        <v>0</v>
      </c>
      <c r="GS69" s="66">
        <v>0</v>
      </c>
      <c r="GT69" s="66">
        <v>0</v>
      </c>
      <c r="GU69" s="66">
        <v>0</v>
      </c>
      <c r="GV69" s="66">
        <v>0</v>
      </c>
      <c r="GW69" s="66">
        <v>0</v>
      </c>
      <c r="GX69" s="67" t="s">
        <v>1230</v>
      </c>
      <c r="GY69" s="67" t="s">
        <v>1230</v>
      </c>
      <c r="GZ69" s="67">
        <v>0</v>
      </c>
      <c r="HA69" s="187">
        <v>0</v>
      </c>
      <c r="HB69" s="67">
        <v>0</v>
      </c>
      <c r="HC69" s="66">
        <v>0.33939999999999998</v>
      </c>
      <c r="HD69" s="66">
        <v>0</v>
      </c>
      <c r="HE69" s="66">
        <v>0.46493150999999999</v>
      </c>
      <c r="HF69" s="66">
        <v>0.33939999999999998</v>
      </c>
      <c r="HG69" s="66">
        <v>0.12553150999999999</v>
      </c>
      <c r="HH69" s="66">
        <v>0.33939999999999998</v>
      </c>
      <c r="HI69" s="66">
        <v>0</v>
      </c>
      <c r="HJ69" s="66">
        <v>0.46493150999999999</v>
      </c>
      <c r="HK69" s="66">
        <v>0.33939999999999998</v>
      </c>
      <c r="HL69" s="66">
        <v>0</v>
      </c>
      <c r="HM69" s="66">
        <v>0.12553150999999999</v>
      </c>
      <c r="HN69" s="67">
        <v>100</v>
      </c>
      <c r="HO69" s="67">
        <v>100</v>
      </c>
      <c r="HP69" s="67">
        <v>27.000000494696518</v>
      </c>
      <c r="HQ69" s="187">
        <v>0</v>
      </c>
      <c r="HR69" s="67">
        <v>0</v>
      </c>
      <c r="HS69" s="66">
        <v>0</v>
      </c>
      <c r="HT69" s="66">
        <v>0</v>
      </c>
      <c r="HU69" s="66">
        <v>0</v>
      </c>
      <c r="HV69" s="66">
        <v>0</v>
      </c>
      <c r="HW69" s="66">
        <v>0</v>
      </c>
      <c r="HX69" s="66">
        <v>0</v>
      </c>
      <c r="HY69" s="66">
        <v>0</v>
      </c>
      <c r="HZ69" s="66">
        <v>0</v>
      </c>
      <c r="IA69" s="66">
        <v>0</v>
      </c>
      <c r="IB69" s="66">
        <v>0</v>
      </c>
      <c r="IC69" s="66">
        <v>0</v>
      </c>
      <c r="ID69" s="67" t="s">
        <v>1230</v>
      </c>
      <c r="IE69" s="67" t="s">
        <v>1230</v>
      </c>
      <c r="IF69" s="67">
        <v>0</v>
      </c>
      <c r="IG69" s="187">
        <v>0</v>
      </c>
      <c r="IH69" s="67">
        <v>0</v>
      </c>
      <c r="II69" s="66">
        <v>0</v>
      </c>
      <c r="IJ69" s="66">
        <v>0</v>
      </c>
      <c r="IK69" s="66">
        <v>0</v>
      </c>
      <c r="IL69" s="66">
        <v>0</v>
      </c>
      <c r="IM69" s="66">
        <v>0</v>
      </c>
      <c r="IN69" s="66">
        <v>0</v>
      </c>
      <c r="IO69" s="66">
        <v>0</v>
      </c>
      <c r="IP69" s="66">
        <v>0</v>
      </c>
      <c r="IQ69" s="66">
        <v>0</v>
      </c>
      <c r="IR69" s="66">
        <v>0</v>
      </c>
      <c r="IS69" s="66">
        <v>0</v>
      </c>
      <c r="IT69" s="67" t="s">
        <v>1230</v>
      </c>
      <c r="IU69" s="67" t="s">
        <v>1230</v>
      </c>
      <c r="IV69" s="67">
        <v>0</v>
      </c>
      <c r="IW69" s="187">
        <v>0</v>
      </c>
      <c r="IX69" s="67">
        <v>0</v>
      </c>
    </row>
    <row r="70" spans="1:258" ht="15.6" x14ac:dyDescent="0.3">
      <c r="A70" s="169">
        <v>58</v>
      </c>
      <c r="B70" s="205" t="s">
        <v>152</v>
      </c>
      <c r="C70" s="66">
        <v>30.766999999999999</v>
      </c>
      <c r="D70" s="66">
        <v>0</v>
      </c>
      <c r="E70" s="66">
        <v>33.610199999999999</v>
      </c>
      <c r="F70" s="66">
        <v>30.766999999999999</v>
      </c>
      <c r="G70" s="66">
        <v>2.8431999999999999</v>
      </c>
      <c r="H70" s="66">
        <v>18.870811070000002</v>
      </c>
      <c r="I70" s="66">
        <v>0.16303531999999998</v>
      </c>
      <c r="J70" s="66">
        <v>20.599488309999998</v>
      </c>
      <c r="K70" s="66">
        <v>18.870811070000002</v>
      </c>
      <c r="L70" s="66">
        <v>0</v>
      </c>
      <c r="M70" s="66">
        <v>1.7286772400000001</v>
      </c>
      <c r="N70" s="67">
        <v>61.334582734748281</v>
      </c>
      <c r="O70" s="67">
        <v>60.800409397861564</v>
      </c>
      <c r="P70" s="67">
        <v>8.3918455351185397</v>
      </c>
      <c r="Q70" s="66">
        <v>0.16303531999999998</v>
      </c>
      <c r="R70" s="67">
        <v>-1.2212453270876722E-15</v>
      </c>
      <c r="S70" s="66">
        <v>12.1988</v>
      </c>
      <c r="T70" s="66">
        <v>0</v>
      </c>
      <c r="U70" s="66">
        <v>12.8409</v>
      </c>
      <c r="V70" s="66">
        <v>12.1988</v>
      </c>
      <c r="W70" s="66">
        <v>0.6421</v>
      </c>
      <c r="X70" s="66">
        <v>12.1988</v>
      </c>
      <c r="Y70" s="66">
        <v>3.3567E-2</v>
      </c>
      <c r="Z70" s="66">
        <v>12.8409</v>
      </c>
      <c r="AA70" s="66">
        <v>12.1988</v>
      </c>
      <c r="AB70" s="66">
        <v>0</v>
      </c>
      <c r="AC70" s="66">
        <v>0.6421</v>
      </c>
      <c r="AD70" s="67">
        <v>100</v>
      </c>
      <c r="AE70" s="67">
        <v>100</v>
      </c>
      <c r="AF70" s="67">
        <v>5.0004283188873062</v>
      </c>
      <c r="AG70" s="187">
        <v>3.3567E-2</v>
      </c>
      <c r="AH70" s="67">
        <v>-3.1918911957973251E-16</v>
      </c>
      <c r="AI70" s="66">
        <v>0</v>
      </c>
      <c r="AJ70" s="66">
        <v>0</v>
      </c>
      <c r="AK70" s="66">
        <v>0</v>
      </c>
      <c r="AL70" s="66">
        <v>0</v>
      </c>
      <c r="AM70" s="66">
        <v>0</v>
      </c>
      <c r="AN70" s="66">
        <v>0</v>
      </c>
      <c r="AO70" s="66">
        <v>0.12946832</v>
      </c>
      <c r="AP70" s="66">
        <v>0</v>
      </c>
      <c r="AQ70" s="66">
        <v>0</v>
      </c>
      <c r="AR70" s="66">
        <v>0</v>
      </c>
      <c r="AS70" s="66">
        <v>0</v>
      </c>
      <c r="AT70" s="67" t="s">
        <v>1230</v>
      </c>
      <c r="AU70" s="67" t="s">
        <v>1230</v>
      </c>
      <c r="AV70" s="67">
        <v>0</v>
      </c>
      <c r="AW70" s="187">
        <v>0.12946832</v>
      </c>
      <c r="AX70" s="67">
        <v>0</v>
      </c>
      <c r="AY70" s="66">
        <v>16.7136</v>
      </c>
      <c r="AZ70" s="66">
        <v>0</v>
      </c>
      <c r="BA70" s="66">
        <v>17.593599999999999</v>
      </c>
      <c r="BB70" s="66">
        <v>16.7136</v>
      </c>
      <c r="BC70" s="66">
        <v>0.88</v>
      </c>
      <c r="BD70" s="66">
        <v>5.5574122499999996</v>
      </c>
      <c r="BE70" s="66">
        <v>0</v>
      </c>
      <c r="BF70" s="66">
        <v>5.8500196300000002</v>
      </c>
      <c r="BG70" s="66">
        <v>5.5574122499999996</v>
      </c>
      <c r="BH70" s="66">
        <v>0</v>
      </c>
      <c r="BI70" s="66">
        <v>0.29260738000000003</v>
      </c>
      <c r="BJ70" s="67">
        <v>33.250839136990237</v>
      </c>
      <c r="BK70" s="67">
        <v>33.250838636363639</v>
      </c>
      <c r="BL70" s="67">
        <v>5.0018187716747891</v>
      </c>
      <c r="BM70" s="187">
        <v>0</v>
      </c>
      <c r="BN70" s="67">
        <v>0</v>
      </c>
      <c r="BO70" s="66">
        <v>0</v>
      </c>
      <c r="BP70" s="66">
        <v>0</v>
      </c>
      <c r="BQ70" s="66">
        <v>0</v>
      </c>
      <c r="BR70" s="66">
        <v>0</v>
      </c>
      <c r="BS70" s="66">
        <v>0</v>
      </c>
      <c r="BT70" s="66">
        <v>0</v>
      </c>
      <c r="BU70" s="66">
        <v>0</v>
      </c>
      <c r="BV70" s="66">
        <v>0</v>
      </c>
      <c r="BW70" s="66">
        <v>0</v>
      </c>
      <c r="BX70" s="66">
        <v>0</v>
      </c>
      <c r="BY70" s="66">
        <v>0</v>
      </c>
      <c r="BZ70" s="67" t="s">
        <v>1230</v>
      </c>
      <c r="CA70" s="67" t="s">
        <v>1230</v>
      </c>
      <c r="CB70" s="67">
        <v>0</v>
      </c>
      <c r="CC70" s="187">
        <v>0</v>
      </c>
      <c r="CD70" s="67">
        <v>0</v>
      </c>
      <c r="CE70" s="66">
        <v>0</v>
      </c>
      <c r="CF70" s="66">
        <v>0</v>
      </c>
      <c r="CG70" s="66">
        <v>0</v>
      </c>
      <c r="CH70" s="66">
        <v>0</v>
      </c>
      <c r="CI70" s="66">
        <v>0</v>
      </c>
      <c r="CJ70" s="66">
        <v>0</v>
      </c>
      <c r="CK70" s="66">
        <v>0</v>
      </c>
      <c r="CL70" s="66">
        <v>0</v>
      </c>
      <c r="CM70" s="66">
        <v>0</v>
      </c>
      <c r="CN70" s="66">
        <v>0</v>
      </c>
      <c r="CO70" s="66">
        <v>0</v>
      </c>
      <c r="CP70" s="67" t="s">
        <v>1230</v>
      </c>
      <c r="CQ70" s="67" t="s">
        <v>1230</v>
      </c>
      <c r="CR70" s="67">
        <v>0</v>
      </c>
      <c r="CS70" s="187">
        <v>0</v>
      </c>
      <c r="CT70" s="67">
        <v>0</v>
      </c>
      <c r="CU70" s="66">
        <v>0</v>
      </c>
      <c r="CV70" s="66">
        <v>0</v>
      </c>
      <c r="CW70" s="66">
        <v>0</v>
      </c>
      <c r="CX70" s="66">
        <v>0</v>
      </c>
      <c r="CY70" s="66">
        <v>0</v>
      </c>
      <c r="CZ70" s="66">
        <v>0</v>
      </c>
      <c r="DA70" s="66">
        <v>0</v>
      </c>
      <c r="DB70" s="66">
        <v>0</v>
      </c>
      <c r="DC70" s="66">
        <v>0</v>
      </c>
      <c r="DD70" s="66">
        <v>0</v>
      </c>
      <c r="DE70" s="66">
        <v>0</v>
      </c>
      <c r="DF70" s="67" t="s">
        <v>1230</v>
      </c>
      <c r="DG70" s="67" t="s">
        <v>1230</v>
      </c>
      <c r="DH70" s="67">
        <v>0</v>
      </c>
      <c r="DI70" s="187">
        <v>0</v>
      </c>
      <c r="DJ70" s="67">
        <v>0</v>
      </c>
      <c r="DK70" s="66">
        <v>1.8546</v>
      </c>
      <c r="DL70" s="66">
        <v>0</v>
      </c>
      <c r="DM70" s="66">
        <v>3.1757</v>
      </c>
      <c r="DN70" s="66">
        <v>1.8546</v>
      </c>
      <c r="DO70" s="66">
        <v>1.3210999999999999</v>
      </c>
      <c r="DP70" s="66">
        <v>1.1145988200000001</v>
      </c>
      <c r="DQ70" s="66">
        <v>0</v>
      </c>
      <c r="DR70" s="66">
        <v>1.9085686799999999</v>
      </c>
      <c r="DS70" s="66">
        <v>1.1145988200000001</v>
      </c>
      <c r="DT70" s="66">
        <v>0</v>
      </c>
      <c r="DU70" s="66">
        <v>0.79396986000000003</v>
      </c>
      <c r="DV70" s="67">
        <v>60.099149142672282</v>
      </c>
      <c r="DW70" s="67">
        <v>60.099149193853606</v>
      </c>
      <c r="DX70" s="67">
        <v>41.600277124949997</v>
      </c>
      <c r="DY70" s="187">
        <v>0</v>
      </c>
      <c r="DZ70" s="67">
        <v>0</v>
      </c>
      <c r="EA70" s="66">
        <v>0</v>
      </c>
      <c r="EB70" s="66">
        <v>0</v>
      </c>
      <c r="EC70" s="66">
        <v>0</v>
      </c>
      <c r="ED70" s="66">
        <v>0</v>
      </c>
      <c r="EE70" s="66">
        <v>0</v>
      </c>
      <c r="EF70" s="66">
        <v>0</v>
      </c>
      <c r="EG70" s="66">
        <v>0</v>
      </c>
      <c r="EH70" s="66">
        <v>0</v>
      </c>
      <c r="EI70" s="66">
        <v>0</v>
      </c>
      <c r="EJ70" s="66">
        <v>0</v>
      </c>
      <c r="EK70" s="66">
        <v>0</v>
      </c>
      <c r="EL70" s="67" t="s">
        <v>1230</v>
      </c>
      <c r="EM70" s="67" t="s">
        <v>1230</v>
      </c>
      <c r="EN70" s="67">
        <v>0</v>
      </c>
      <c r="EO70" s="187">
        <v>0</v>
      </c>
      <c r="EP70" s="67">
        <v>0</v>
      </c>
      <c r="EQ70" s="66">
        <v>0</v>
      </c>
      <c r="ER70" s="66">
        <v>0</v>
      </c>
      <c r="ES70" s="66">
        <v>0</v>
      </c>
      <c r="ET70" s="66">
        <v>0</v>
      </c>
      <c r="EU70" s="66">
        <v>0</v>
      </c>
      <c r="EV70" s="66">
        <v>0</v>
      </c>
      <c r="EW70" s="66">
        <v>0</v>
      </c>
      <c r="EX70" s="66">
        <v>0</v>
      </c>
      <c r="EY70" s="66">
        <v>0</v>
      </c>
      <c r="EZ70" s="66">
        <v>0</v>
      </c>
      <c r="FA70" s="66">
        <v>0</v>
      </c>
      <c r="FB70" s="67" t="s">
        <v>1230</v>
      </c>
      <c r="FC70" s="67" t="s">
        <v>1230</v>
      </c>
      <c r="FD70" s="67">
        <v>0</v>
      </c>
      <c r="FE70" s="187">
        <v>0</v>
      </c>
      <c r="FF70" s="67">
        <v>0</v>
      </c>
      <c r="FG70" s="66">
        <v>0</v>
      </c>
      <c r="FH70" s="66">
        <v>0</v>
      </c>
      <c r="FI70" s="66">
        <v>0</v>
      </c>
      <c r="FJ70" s="66">
        <v>0</v>
      </c>
      <c r="FK70" s="66">
        <v>0</v>
      </c>
      <c r="FL70" s="66">
        <v>0</v>
      </c>
      <c r="FM70" s="66">
        <v>0</v>
      </c>
      <c r="FN70" s="66">
        <v>0</v>
      </c>
      <c r="FO70" s="66">
        <v>0</v>
      </c>
      <c r="FP70" s="66">
        <v>0</v>
      </c>
      <c r="FQ70" s="66">
        <v>0</v>
      </c>
      <c r="FR70" s="67" t="s">
        <v>1230</v>
      </c>
      <c r="FS70" s="67" t="s">
        <v>1230</v>
      </c>
      <c r="FT70" s="67">
        <v>0</v>
      </c>
      <c r="FU70" s="187">
        <v>0</v>
      </c>
      <c r="FV70" s="67">
        <v>0</v>
      </c>
      <c r="FW70" s="66">
        <v>0</v>
      </c>
      <c r="FX70" s="66">
        <v>0</v>
      </c>
      <c r="FY70" s="66">
        <v>0</v>
      </c>
      <c r="FZ70" s="66">
        <v>0</v>
      </c>
      <c r="GA70" s="66">
        <v>0</v>
      </c>
      <c r="GB70" s="66">
        <v>0</v>
      </c>
      <c r="GC70" s="66">
        <v>0</v>
      </c>
      <c r="GD70" s="66">
        <v>0</v>
      </c>
      <c r="GE70" s="66">
        <v>0</v>
      </c>
      <c r="GF70" s="66">
        <v>0</v>
      </c>
      <c r="GG70" s="66">
        <v>0</v>
      </c>
      <c r="GH70" s="67" t="s">
        <v>1230</v>
      </c>
      <c r="GI70" s="67" t="s">
        <v>1230</v>
      </c>
      <c r="GJ70" s="67">
        <v>0</v>
      </c>
      <c r="GK70" s="187">
        <v>0</v>
      </c>
      <c r="GL70" s="67">
        <v>0</v>
      </c>
      <c r="GM70" s="66">
        <v>0</v>
      </c>
      <c r="GN70" s="66">
        <v>0</v>
      </c>
      <c r="GO70" s="66">
        <v>0</v>
      </c>
      <c r="GP70" s="66">
        <v>0</v>
      </c>
      <c r="GQ70" s="66">
        <v>0</v>
      </c>
      <c r="GR70" s="66">
        <v>0</v>
      </c>
      <c r="GS70" s="66">
        <v>0</v>
      </c>
      <c r="GT70" s="66">
        <v>0</v>
      </c>
      <c r="GU70" s="66">
        <v>0</v>
      </c>
      <c r="GV70" s="66">
        <v>0</v>
      </c>
      <c r="GW70" s="66">
        <v>0</v>
      </c>
      <c r="GX70" s="67" t="s">
        <v>1230</v>
      </c>
      <c r="GY70" s="67" t="s">
        <v>1230</v>
      </c>
      <c r="GZ70" s="67">
        <v>0</v>
      </c>
      <c r="HA70" s="187">
        <v>0</v>
      </c>
      <c r="HB70" s="67">
        <v>0</v>
      </c>
      <c r="HC70" s="66">
        <v>0</v>
      </c>
      <c r="HD70" s="66">
        <v>0</v>
      </c>
      <c r="HE70" s="66">
        <v>0</v>
      </c>
      <c r="HF70" s="66">
        <v>0</v>
      </c>
      <c r="HG70" s="66">
        <v>0</v>
      </c>
      <c r="HH70" s="66">
        <v>0</v>
      </c>
      <c r="HI70" s="66">
        <v>0</v>
      </c>
      <c r="HJ70" s="66">
        <v>0</v>
      </c>
      <c r="HK70" s="66">
        <v>0</v>
      </c>
      <c r="HL70" s="66">
        <v>0</v>
      </c>
      <c r="HM70" s="66">
        <v>0</v>
      </c>
      <c r="HN70" s="67" t="s">
        <v>1230</v>
      </c>
      <c r="HO70" s="67" t="s">
        <v>1230</v>
      </c>
      <c r="HP70" s="67">
        <v>0</v>
      </c>
      <c r="HQ70" s="187">
        <v>0</v>
      </c>
      <c r="HR70" s="67">
        <v>0</v>
      </c>
      <c r="HS70" s="66">
        <v>0</v>
      </c>
      <c r="HT70" s="66">
        <v>0</v>
      </c>
      <c r="HU70" s="66">
        <v>0</v>
      </c>
      <c r="HV70" s="66">
        <v>0</v>
      </c>
      <c r="HW70" s="66">
        <v>0</v>
      </c>
      <c r="HX70" s="66">
        <v>0</v>
      </c>
      <c r="HY70" s="66">
        <v>0</v>
      </c>
      <c r="HZ70" s="66">
        <v>0</v>
      </c>
      <c r="IA70" s="66">
        <v>0</v>
      </c>
      <c r="IB70" s="66">
        <v>0</v>
      </c>
      <c r="IC70" s="66">
        <v>0</v>
      </c>
      <c r="ID70" s="67" t="s">
        <v>1230</v>
      </c>
      <c r="IE70" s="67" t="s">
        <v>1230</v>
      </c>
      <c r="IF70" s="67">
        <v>0</v>
      </c>
      <c r="IG70" s="187">
        <v>0</v>
      </c>
      <c r="IH70" s="67">
        <v>0</v>
      </c>
      <c r="II70" s="66">
        <v>0</v>
      </c>
      <c r="IJ70" s="66">
        <v>0</v>
      </c>
      <c r="IK70" s="66">
        <v>0</v>
      </c>
      <c r="IL70" s="66">
        <v>0</v>
      </c>
      <c r="IM70" s="66">
        <v>0</v>
      </c>
      <c r="IN70" s="66">
        <v>0</v>
      </c>
      <c r="IO70" s="66">
        <v>0</v>
      </c>
      <c r="IP70" s="66">
        <v>0</v>
      </c>
      <c r="IQ70" s="66">
        <v>0</v>
      </c>
      <c r="IR70" s="66">
        <v>0</v>
      </c>
      <c r="IS70" s="66">
        <v>0</v>
      </c>
      <c r="IT70" s="67" t="s">
        <v>1230</v>
      </c>
      <c r="IU70" s="67" t="s">
        <v>1230</v>
      </c>
      <c r="IV70" s="67">
        <v>0</v>
      </c>
      <c r="IW70" s="187">
        <v>0</v>
      </c>
      <c r="IX70" s="67">
        <v>0</v>
      </c>
    </row>
    <row r="71" spans="1:258" ht="15.6" x14ac:dyDescent="0.3">
      <c r="A71" s="169">
        <v>59</v>
      </c>
      <c r="B71" s="205" t="s">
        <v>155</v>
      </c>
      <c r="C71" s="66">
        <v>159.4016</v>
      </c>
      <c r="D71" s="66">
        <v>0</v>
      </c>
      <c r="E71" s="66">
        <v>293.38330000000002</v>
      </c>
      <c r="F71" s="66">
        <v>159.4016</v>
      </c>
      <c r="G71" s="66">
        <v>133.98169999999999</v>
      </c>
      <c r="H71" s="66">
        <v>159.39920773</v>
      </c>
      <c r="I71" s="66">
        <v>0.71213563999999996</v>
      </c>
      <c r="J71" s="66">
        <v>293.38006720000004</v>
      </c>
      <c r="K71" s="66">
        <v>159.39920773</v>
      </c>
      <c r="L71" s="66">
        <v>0</v>
      </c>
      <c r="M71" s="66">
        <v>133.98085946999998</v>
      </c>
      <c r="N71" s="67">
        <v>99.998499218326543</v>
      </c>
      <c r="O71" s="67">
        <v>99.999372653130976</v>
      </c>
      <c r="P71" s="67">
        <v>45.668017172640404</v>
      </c>
      <c r="Q71" s="66">
        <v>0.71213563999999996</v>
      </c>
      <c r="R71" s="67">
        <v>1.3877787807814457E-14</v>
      </c>
      <c r="S71" s="66">
        <v>130.39109999999999</v>
      </c>
      <c r="T71" s="66">
        <v>0</v>
      </c>
      <c r="U71" s="66">
        <v>254.1799</v>
      </c>
      <c r="V71" s="66">
        <v>130.39109999999999</v>
      </c>
      <c r="W71" s="66">
        <v>123.78879999999999</v>
      </c>
      <c r="X71" s="66">
        <v>130.39109999999999</v>
      </c>
      <c r="Y71" s="66">
        <v>0</v>
      </c>
      <c r="Z71" s="66">
        <v>254.1799</v>
      </c>
      <c r="AA71" s="66">
        <v>130.39109999999999</v>
      </c>
      <c r="AB71" s="66">
        <v>0</v>
      </c>
      <c r="AC71" s="66">
        <v>123.78879999999999</v>
      </c>
      <c r="AD71" s="67">
        <v>100</v>
      </c>
      <c r="AE71" s="67">
        <v>100</v>
      </c>
      <c r="AF71" s="67">
        <v>48.701254505175271</v>
      </c>
      <c r="AG71" s="187">
        <v>0</v>
      </c>
      <c r="AH71" s="67">
        <v>0</v>
      </c>
      <c r="AI71" s="66">
        <v>0</v>
      </c>
      <c r="AJ71" s="66">
        <v>0</v>
      </c>
      <c r="AK71" s="66">
        <v>0</v>
      </c>
      <c r="AL71" s="66">
        <v>0</v>
      </c>
      <c r="AM71" s="66">
        <v>0</v>
      </c>
      <c r="AN71" s="66">
        <v>0</v>
      </c>
      <c r="AO71" s="66">
        <v>0.71213563999999996</v>
      </c>
      <c r="AP71" s="66">
        <v>0</v>
      </c>
      <c r="AQ71" s="66">
        <v>0</v>
      </c>
      <c r="AR71" s="66">
        <v>0</v>
      </c>
      <c r="AS71" s="66">
        <v>0</v>
      </c>
      <c r="AT71" s="67" t="s">
        <v>1230</v>
      </c>
      <c r="AU71" s="67" t="s">
        <v>1230</v>
      </c>
      <c r="AV71" s="67">
        <v>0</v>
      </c>
      <c r="AW71" s="187">
        <v>0.71213563999999996</v>
      </c>
      <c r="AX71" s="67">
        <v>0</v>
      </c>
      <c r="AY71" s="66">
        <v>25.36</v>
      </c>
      <c r="AZ71" s="66">
        <v>0</v>
      </c>
      <c r="BA71" s="66">
        <v>34.270299999999999</v>
      </c>
      <c r="BB71" s="66">
        <v>25.36</v>
      </c>
      <c r="BC71" s="66">
        <v>8.9102999999999994</v>
      </c>
      <c r="BD71" s="66">
        <v>25.357607730000002</v>
      </c>
      <c r="BE71" s="66">
        <v>0</v>
      </c>
      <c r="BF71" s="66">
        <v>34.2670672</v>
      </c>
      <c r="BG71" s="66">
        <v>25.357607730000002</v>
      </c>
      <c r="BH71" s="66">
        <v>0</v>
      </c>
      <c r="BI71" s="66">
        <v>8.9094594699999998</v>
      </c>
      <c r="BJ71" s="67">
        <v>99.990566758675087</v>
      </c>
      <c r="BK71" s="67">
        <v>99.990566759817284</v>
      </c>
      <c r="BL71" s="67">
        <v>26.00006419574769</v>
      </c>
      <c r="BM71" s="187">
        <v>0</v>
      </c>
      <c r="BN71" s="67">
        <v>0</v>
      </c>
      <c r="BO71" s="66">
        <v>0</v>
      </c>
      <c r="BP71" s="66">
        <v>0</v>
      </c>
      <c r="BQ71" s="66">
        <v>0</v>
      </c>
      <c r="BR71" s="66">
        <v>0</v>
      </c>
      <c r="BS71" s="66">
        <v>0</v>
      </c>
      <c r="BT71" s="66">
        <v>0</v>
      </c>
      <c r="BU71" s="66">
        <v>0</v>
      </c>
      <c r="BV71" s="66">
        <v>0</v>
      </c>
      <c r="BW71" s="66">
        <v>0</v>
      </c>
      <c r="BX71" s="66">
        <v>0</v>
      </c>
      <c r="BY71" s="66">
        <v>0</v>
      </c>
      <c r="BZ71" s="67" t="s">
        <v>1230</v>
      </c>
      <c r="CA71" s="67" t="s">
        <v>1230</v>
      </c>
      <c r="CB71" s="67">
        <v>0</v>
      </c>
      <c r="CC71" s="187">
        <v>0</v>
      </c>
      <c r="CD71" s="67">
        <v>0</v>
      </c>
      <c r="CE71" s="66">
        <v>0</v>
      </c>
      <c r="CF71" s="66">
        <v>0</v>
      </c>
      <c r="CG71" s="66">
        <v>0</v>
      </c>
      <c r="CH71" s="66">
        <v>0</v>
      </c>
      <c r="CI71" s="66">
        <v>0</v>
      </c>
      <c r="CJ71" s="66">
        <v>0</v>
      </c>
      <c r="CK71" s="66">
        <v>0</v>
      </c>
      <c r="CL71" s="66">
        <v>0</v>
      </c>
      <c r="CM71" s="66">
        <v>0</v>
      </c>
      <c r="CN71" s="66">
        <v>0</v>
      </c>
      <c r="CO71" s="66">
        <v>0</v>
      </c>
      <c r="CP71" s="67" t="s">
        <v>1230</v>
      </c>
      <c r="CQ71" s="67" t="s">
        <v>1230</v>
      </c>
      <c r="CR71" s="67">
        <v>0</v>
      </c>
      <c r="CS71" s="187">
        <v>0</v>
      </c>
      <c r="CT71" s="67">
        <v>0</v>
      </c>
      <c r="CU71" s="66">
        <v>0</v>
      </c>
      <c r="CV71" s="66">
        <v>0</v>
      </c>
      <c r="CW71" s="66">
        <v>0</v>
      </c>
      <c r="CX71" s="66">
        <v>0</v>
      </c>
      <c r="CY71" s="66">
        <v>0</v>
      </c>
      <c r="CZ71" s="66">
        <v>0</v>
      </c>
      <c r="DA71" s="66">
        <v>0</v>
      </c>
      <c r="DB71" s="66">
        <v>0</v>
      </c>
      <c r="DC71" s="66">
        <v>0</v>
      </c>
      <c r="DD71" s="66">
        <v>0</v>
      </c>
      <c r="DE71" s="66">
        <v>0</v>
      </c>
      <c r="DF71" s="67" t="s">
        <v>1230</v>
      </c>
      <c r="DG71" s="67" t="s">
        <v>1230</v>
      </c>
      <c r="DH71" s="67">
        <v>0</v>
      </c>
      <c r="DI71" s="187">
        <v>0</v>
      </c>
      <c r="DJ71" s="67">
        <v>0</v>
      </c>
      <c r="DK71" s="66">
        <v>0</v>
      </c>
      <c r="DL71" s="66">
        <v>0</v>
      </c>
      <c r="DM71" s="66">
        <v>0</v>
      </c>
      <c r="DN71" s="66">
        <v>0</v>
      </c>
      <c r="DO71" s="66">
        <v>0</v>
      </c>
      <c r="DP71" s="66">
        <v>0</v>
      </c>
      <c r="DQ71" s="66">
        <v>0</v>
      </c>
      <c r="DR71" s="66">
        <v>0</v>
      </c>
      <c r="DS71" s="66">
        <v>0</v>
      </c>
      <c r="DT71" s="66">
        <v>0</v>
      </c>
      <c r="DU71" s="66">
        <v>0</v>
      </c>
      <c r="DV71" s="67" t="s">
        <v>1230</v>
      </c>
      <c r="DW71" s="67" t="s">
        <v>1230</v>
      </c>
      <c r="DX71" s="67">
        <v>0</v>
      </c>
      <c r="DY71" s="187">
        <v>0</v>
      </c>
      <c r="DZ71" s="67">
        <v>0</v>
      </c>
      <c r="EA71" s="66">
        <v>0</v>
      </c>
      <c r="EB71" s="66">
        <v>0</v>
      </c>
      <c r="EC71" s="66">
        <v>0</v>
      </c>
      <c r="ED71" s="66">
        <v>0</v>
      </c>
      <c r="EE71" s="66">
        <v>0</v>
      </c>
      <c r="EF71" s="66">
        <v>0</v>
      </c>
      <c r="EG71" s="66">
        <v>0</v>
      </c>
      <c r="EH71" s="66">
        <v>0</v>
      </c>
      <c r="EI71" s="66">
        <v>0</v>
      </c>
      <c r="EJ71" s="66">
        <v>0</v>
      </c>
      <c r="EK71" s="66">
        <v>0</v>
      </c>
      <c r="EL71" s="67" t="s">
        <v>1230</v>
      </c>
      <c r="EM71" s="67" t="s">
        <v>1230</v>
      </c>
      <c r="EN71" s="67">
        <v>0</v>
      </c>
      <c r="EO71" s="187">
        <v>0</v>
      </c>
      <c r="EP71" s="67">
        <v>0</v>
      </c>
      <c r="EQ71" s="66">
        <v>3.0347</v>
      </c>
      <c r="ER71" s="66">
        <v>0</v>
      </c>
      <c r="ES71" s="66">
        <v>4.1009000000000002</v>
      </c>
      <c r="ET71" s="66">
        <v>3.0347</v>
      </c>
      <c r="EU71" s="66">
        <v>1.0662</v>
      </c>
      <c r="EV71" s="66">
        <v>3.0347</v>
      </c>
      <c r="EW71" s="66">
        <v>0</v>
      </c>
      <c r="EX71" s="66">
        <v>4.1009000000000002</v>
      </c>
      <c r="EY71" s="66">
        <v>3.0347</v>
      </c>
      <c r="EZ71" s="66">
        <v>0</v>
      </c>
      <c r="FA71" s="66">
        <v>1.0662</v>
      </c>
      <c r="FB71" s="67">
        <v>100</v>
      </c>
      <c r="FC71" s="67">
        <v>100</v>
      </c>
      <c r="FD71" s="67">
        <v>25.999170913701867</v>
      </c>
      <c r="FE71" s="187">
        <v>0</v>
      </c>
      <c r="FF71" s="67">
        <v>0</v>
      </c>
      <c r="FG71" s="66">
        <v>0</v>
      </c>
      <c r="FH71" s="66">
        <v>0</v>
      </c>
      <c r="FI71" s="66">
        <v>0</v>
      </c>
      <c r="FJ71" s="66">
        <v>0</v>
      </c>
      <c r="FK71" s="66">
        <v>0</v>
      </c>
      <c r="FL71" s="66">
        <v>0</v>
      </c>
      <c r="FM71" s="66">
        <v>0</v>
      </c>
      <c r="FN71" s="66">
        <v>0</v>
      </c>
      <c r="FO71" s="66">
        <v>0</v>
      </c>
      <c r="FP71" s="66">
        <v>0</v>
      </c>
      <c r="FQ71" s="66">
        <v>0</v>
      </c>
      <c r="FR71" s="67" t="s">
        <v>1230</v>
      </c>
      <c r="FS71" s="67" t="s">
        <v>1230</v>
      </c>
      <c r="FT71" s="67">
        <v>0</v>
      </c>
      <c r="FU71" s="187">
        <v>0</v>
      </c>
      <c r="FV71" s="67">
        <v>0</v>
      </c>
      <c r="FW71" s="66">
        <v>0</v>
      </c>
      <c r="FX71" s="66">
        <v>0</v>
      </c>
      <c r="FY71" s="66">
        <v>0</v>
      </c>
      <c r="FZ71" s="66">
        <v>0</v>
      </c>
      <c r="GA71" s="66">
        <v>0</v>
      </c>
      <c r="GB71" s="66">
        <v>0</v>
      </c>
      <c r="GC71" s="66">
        <v>0</v>
      </c>
      <c r="GD71" s="66">
        <v>0</v>
      </c>
      <c r="GE71" s="66">
        <v>0</v>
      </c>
      <c r="GF71" s="66">
        <v>0</v>
      </c>
      <c r="GG71" s="66">
        <v>0</v>
      </c>
      <c r="GH71" s="67" t="s">
        <v>1230</v>
      </c>
      <c r="GI71" s="67" t="s">
        <v>1230</v>
      </c>
      <c r="GJ71" s="67">
        <v>0</v>
      </c>
      <c r="GK71" s="187">
        <v>0</v>
      </c>
      <c r="GL71" s="67">
        <v>0</v>
      </c>
      <c r="GM71" s="66">
        <v>0</v>
      </c>
      <c r="GN71" s="66">
        <v>0</v>
      </c>
      <c r="GO71" s="66">
        <v>0</v>
      </c>
      <c r="GP71" s="66">
        <v>0</v>
      </c>
      <c r="GQ71" s="66">
        <v>0</v>
      </c>
      <c r="GR71" s="66">
        <v>0</v>
      </c>
      <c r="GS71" s="66">
        <v>0</v>
      </c>
      <c r="GT71" s="66">
        <v>0</v>
      </c>
      <c r="GU71" s="66">
        <v>0</v>
      </c>
      <c r="GV71" s="66">
        <v>0</v>
      </c>
      <c r="GW71" s="66">
        <v>0</v>
      </c>
      <c r="GX71" s="67" t="s">
        <v>1230</v>
      </c>
      <c r="GY71" s="67" t="s">
        <v>1230</v>
      </c>
      <c r="GZ71" s="67">
        <v>0</v>
      </c>
      <c r="HA71" s="187">
        <v>0</v>
      </c>
      <c r="HB71" s="67">
        <v>0</v>
      </c>
      <c r="HC71" s="66">
        <v>0.61580000000000001</v>
      </c>
      <c r="HD71" s="66">
        <v>0</v>
      </c>
      <c r="HE71" s="66">
        <v>0.83220000000000005</v>
      </c>
      <c r="HF71" s="66">
        <v>0.61580000000000001</v>
      </c>
      <c r="HG71" s="66">
        <v>0.21640000000000001</v>
      </c>
      <c r="HH71" s="66">
        <v>0.61580000000000001</v>
      </c>
      <c r="HI71" s="66">
        <v>0</v>
      </c>
      <c r="HJ71" s="66">
        <v>0.83220000000000005</v>
      </c>
      <c r="HK71" s="66">
        <v>0.61580000000000001</v>
      </c>
      <c r="HL71" s="66">
        <v>0</v>
      </c>
      <c r="HM71" s="66">
        <v>0.21640000000000001</v>
      </c>
      <c r="HN71" s="67">
        <v>100</v>
      </c>
      <c r="HO71" s="67">
        <v>100</v>
      </c>
      <c r="HP71" s="67">
        <v>26.003364575823117</v>
      </c>
      <c r="HQ71" s="187">
        <v>0</v>
      </c>
      <c r="HR71" s="67">
        <v>0</v>
      </c>
      <c r="HS71" s="66">
        <v>0</v>
      </c>
      <c r="HT71" s="66">
        <v>0</v>
      </c>
      <c r="HU71" s="66">
        <v>0</v>
      </c>
      <c r="HV71" s="66">
        <v>0</v>
      </c>
      <c r="HW71" s="66">
        <v>0</v>
      </c>
      <c r="HX71" s="66">
        <v>0</v>
      </c>
      <c r="HY71" s="66">
        <v>0</v>
      </c>
      <c r="HZ71" s="66">
        <v>0</v>
      </c>
      <c r="IA71" s="66">
        <v>0</v>
      </c>
      <c r="IB71" s="66">
        <v>0</v>
      </c>
      <c r="IC71" s="66">
        <v>0</v>
      </c>
      <c r="ID71" s="67" t="s">
        <v>1230</v>
      </c>
      <c r="IE71" s="67" t="s">
        <v>1230</v>
      </c>
      <c r="IF71" s="67">
        <v>0</v>
      </c>
      <c r="IG71" s="187">
        <v>0</v>
      </c>
      <c r="IH71" s="67">
        <v>0</v>
      </c>
      <c r="II71" s="66">
        <v>0</v>
      </c>
      <c r="IJ71" s="66">
        <v>0</v>
      </c>
      <c r="IK71" s="66">
        <v>0</v>
      </c>
      <c r="IL71" s="66">
        <v>0</v>
      </c>
      <c r="IM71" s="66">
        <v>0</v>
      </c>
      <c r="IN71" s="66">
        <v>0</v>
      </c>
      <c r="IO71" s="66">
        <v>0</v>
      </c>
      <c r="IP71" s="66">
        <v>0</v>
      </c>
      <c r="IQ71" s="66">
        <v>0</v>
      </c>
      <c r="IR71" s="66">
        <v>0</v>
      </c>
      <c r="IS71" s="66">
        <v>0</v>
      </c>
      <c r="IT71" s="67" t="s">
        <v>1230</v>
      </c>
      <c r="IU71" s="67" t="s">
        <v>1230</v>
      </c>
      <c r="IV71" s="67">
        <v>0</v>
      </c>
      <c r="IW71" s="187">
        <v>0</v>
      </c>
      <c r="IX71" s="67">
        <v>0</v>
      </c>
    </row>
    <row r="72" spans="1:258" ht="15.6" x14ac:dyDescent="0.3">
      <c r="A72" s="169">
        <v>60</v>
      </c>
      <c r="B72" s="205" t="s">
        <v>158</v>
      </c>
      <c r="C72" s="66">
        <v>50.549599999999998</v>
      </c>
      <c r="D72" s="66">
        <v>0</v>
      </c>
      <c r="E72" s="66">
        <v>67.3996365</v>
      </c>
      <c r="F72" s="66">
        <v>50.549599999999998</v>
      </c>
      <c r="G72" s="66">
        <v>16.850036500000002</v>
      </c>
      <c r="H72" s="66">
        <v>49.622183529999994</v>
      </c>
      <c r="I72" s="66">
        <v>2.7E-2</v>
      </c>
      <c r="J72" s="66">
        <v>66.163076649999994</v>
      </c>
      <c r="K72" s="66">
        <v>49.62218352</v>
      </c>
      <c r="L72" s="66">
        <v>0</v>
      </c>
      <c r="M72" s="66">
        <v>16.540893130000001</v>
      </c>
      <c r="N72" s="67">
        <v>98.165333692056905</v>
      </c>
      <c r="O72" s="67">
        <v>98.165325220512116</v>
      </c>
      <c r="P72" s="67">
        <v>25.000187366589159</v>
      </c>
      <c r="Q72" s="66">
        <v>2.7E-2</v>
      </c>
      <c r="R72" s="67">
        <v>9.9999947454632032E-9</v>
      </c>
      <c r="S72" s="66">
        <v>24.895099999999999</v>
      </c>
      <c r="T72" s="66">
        <v>0</v>
      </c>
      <c r="U72" s="66">
        <v>33.193469999999998</v>
      </c>
      <c r="V72" s="66">
        <v>24.895099999999999</v>
      </c>
      <c r="W72" s="66">
        <v>8.2983700000000002</v>
      </c>
      <c r="X72" s="66">
        <v>24.895099999999999</v>
      </c>
      <c r="Y72" s="66">
        <v>0</v>
      </c>
      <c r="Z72" s="66">
        <v>33.193469999999998</v>
      </c>
      <c r="AA72" s="66">
        <v>24.895099999999999</v>
      </c>
      <c r="AB72" s="66">
        <v>0</v>
      </c>
      <c r="AC72" s="66">
        <v>8.2983700000000002</v>
      </c>
      <c r="AD72" s="67">
        <v>100</v>
      </c>
      <c r="AE72" s="67">
        <v>100</v>
      </c>
      <c r="AF72" s="67">
        <v>25.000007531601852</v>
      </c>
      <c r="AG72" s="187">
        <v>0</v>
      </c>
      <c r="AH72" s="67">
        <v>0</v>
      </c>
      <c r="AI72" s="66">
        <v>0</v>
      </c>
      <c r="AJ72" s="66">
        <v>0</v>
      </c>
      <c r="AK72" s="66">
        <v>0</v>
      </c>
      <c r="AL72" s="66">
        <v>0</v>
      </c>
      <c r="AM72" s="66">
        <v>0</v>
      </c>
      <c r="AN72" s="66">
        <v>0</v>
      </c>
      <c r="AO72" s="66">
        <v>2.7E-2</v>
      </c>
      <c r="AP72" s="66">
        <v>0</v>
      </c>
      <c r="AQ72" s="66">
        <v>0</v>
      </c>
      <c r="AR72" s="66">
        <v>0</v>
      </c>
      <c r="AS72" s="66">
        <v>0</v>
      </c>
      <c r="AT72" s="67" t="s">
        <v>1230</v>
      </c>
      <c r="AU72" s="67" t="s">
        <v>1230</v>
      </c>
      <c r="AV72" s="67">
        <v>0</v>
      </c>
      <c r="AW72" s="187">
        <v>2.7E-2</v>
      </c>
      <c r="AX72" s="67">
        <v>0</v>
      </c>
      <c r="AY72" s="66">
        <v>19.067</v>
      </c>
      <c r="AZ72" s="66">
        <v>0</v>
      </c>
      <c r="BA72" s="66">
        <v>25.422799999999999</v>
      </c>
      <c r="BB72" s="66">
        <v>19.067</v>
      </c>
      <c r="BC72" s="66">
        <v>6.3558000000000003</v>
      </c>
      <c r="BD72" s="66">
        <v>18.139633530000001</v>
      </c>
      <c r="BE72" s="66">
        <v>0</v>
      </c>
      <c r="BF72" s="66">
        <v>24.186306819999999</v>
      </c>
      <c r="BG72" s="66">
        <v>18.13963352</v>
      </c>
      <c r="BH72" s="66">
        <v>0</v>
      </c>
      <c r="BI72" s="66">
        <v>6.0466733000000001</v>
      </c>
      <c r="BJ72" s="67">
        <v>95.136274820370275</v>
      </c>
      <c r="BK72" s="67">
        <v>95.136305421819429</v>
      </c>
      <c r="BL72" s="67">
        <v>25.000399378874665</v>
      </c>
      <c r="BM72" s="187">
        <v>0</v>
      </c>
      <c r="BN72" s="67">
        <v>1.000000082740371E-8</v>
      </c>
      <c r="BO72" s="66">
        <v>0</v>
      </c>
      <c r="BP72" s="66">
        <v>0</v>
      </c>
      <c r="BQ72" s="66">
        <v>0</v>
      </c>
      <c r="BR72" s="66">
        <v>0</v>
      </c>
      <c r="BS72" s="66">
        <v>0</v>
      </c>
      <c r="BT72" s="66">
        <v>0</v>
      </c>
      <c r="BU72" s="66">
        <v>0</v>
      </c>
      <c r="BV72" s="66">
        <v>0</v>
      </c>
      <c r="BW72" s="66">
        <v>0</v>
      </c>
      <c r="BX72" s="66">
        <v>0</v>
      </c>
      <c r="BY72" s="66">
        <v>0</v>
      </c>
      <c r="BZ72" s="67" t="s">
        <v>1230</v>
      </c>
      <c r="CA72" s="67" t="s">
        <v>1230</v>
      </c>
      <c r="CB72" s="67">
        <v>0</v>
      </c>
      <c r="CC72" s="187">
        <v>0</v>
      </c>
      <c r="CD72" s="67">
        <v>0</v>
      </c>
      <c r="CE72" s="66">
        <v>0</v>
      </c>
      <c r="CF72" s="66">
        <v>0</v>
      </c>
      <c r="CG72" s="66">
        <v>0</v>
      </c>
      <c r="CH72" s="66">
        <v>0</v>
      </c>
      <c r="CI72" s="66">
        <v>0</v>
      </c>
      <c r="CJ72" s="66">
        <v>0</v>
      </c>
      <c r="CK72" s="66">
        <v>0</v>
      </c>
      <c r="CL72" s="66">
        <v>0</v>
      </c>
      <c r="CM72" s="66">
        <v>0</v>
      </c>
      <c r="CN72" s="66">
        <v>0</v>
      </c>
      <c r="CO72" s="66">
        <v>0</v>
      </c>
      <c r="CP72" s="67" t="s">
        <v>1230</v>
      </c>
      <c r="CQ72" s="67" t="s">
        <v>1230</v>
      </c>
      <c r="CR72" s="67">
        <v>0</v>
      </c>
      <c r="CS72" s="187">
        <v>0</v>
      </c>
      <c r="CT72" s="67">
        <v>0</v>
      </c>
      <c r="CU72" s="66">
        <v>0</v>
      </c>
      <c r="CV72" s="66">
        <v>0</v>
      </c>
      <c r="CW72" s="66">
        <v>0</v>
      </c>
      <c r="CX72" s="66">
        <v>0</v>
      </c>
      <c r="CY72" s="66">
        <v>0</v>
      </c>
      <c r="CZ72" s="66">
        <v>0</v>
      </c>
      <c r="DA72" s="66">
        <v>0</v>
      </c>
      <c r="DB72" s="66">
        <v>0</v>
      </c>
      <c r="DC72" s="66">
        <v>0</v>
      </c>
      <c r="DD72" s="66">
        <v>0</v>
      </c>
      <c r="DE72" s="66">
        <v>0</v>
      </c>
      <c r="DF72" s="67" t="s">
        <v>1230</v>
      </c>
      <c r="DG72" s="67" t="s">
        <v>1230</v>
      </c>
      <c r="DH72" s="67">
        <v>0</v>
      </c>
      <c r="DI72" s="187">
        <v>0</v>
      </c>
      <c r="DJ72" s="67">
        <v>0</v>
      </c>
      <c r="DK72" s="66">
        <v>4.1074999999999999</v>
      </c>
      <c r="DL72" s="66">
        <v>0</v>
      </c>
      <c r="DM72" s="66">
        <v>5.4767000000000001</v>
      </c>
      <c r="DN72" s="66">
        <v>4.1074999999999999</v>
      </c>
      <c r="DO72" s="66">
        <v>1.3692</v>
      </c>
      <c r="DP72" s="66">
        <v>4.10745</v>
      </c>
      <c r="DQ72" s="66">
        <v>0</v>
      </c>
      <c r="DR72" s="66">
        <v>5.4766333300000003</v>
      </c>
      <c r="DS72" s="66">
        <v>4.10745</v>
      </c>
      <c r="DT72" s="66">
        <v>0</v>
      </c>
      <c r="DU72" s="66">
        <v>1.36918333</v>
      </c>
      <c r="DV72" s="67">
        <v>99.998782714546564</v>
      </c>
      <c r="DW72" s="67">
        <v>99.998782500730357</v>
      </c>
      <c r="DX72" s="67">
        <v>25.000456439175196</v>
      </c>
      <c r="DY72" s="187">
        <v>0</v>
      </c>
      <c r="DZ72" s="67">
        <v>0</v>
      </c>
      <c r="EA72" s="66">
        <v>0</v>
      </c>
      <c r="EB72" s="66">
        <v>0</v>
      </c>
      <c r="EC72" s="66">
        <v>0</v>
      </c>
      <c r="ED72" s="66">
        <v>0</v>
      </c>
      <c r="EE72" s="66">
        <v>0</v>
      </c>
      <c r="EF72" s="66">
        <v>0</v>
      </c>
      <c r="EG72" s="66">
        <v>0</v>
      </c>
      <c r="EH72" s="66">
        <v>0</v>
      </c>
      <c r="EI72" s="66">
        <v>0</v>
      </c>
      <c r="EJ72" s="66">
        <v>0</v>
      </c>
      <c r="EK72" s="66">
        <v>0</v>
      </c>
      <c r="EL72" s="67" t="s">
        <v>1230</v>
      </c>
      <c r="EM72" s="67" t="s">
        <v>1230</v>
      </c>
      <c r="EN72" s="67">
        <v>0</v>
      </c>
      <c r="EO72" s="187">
        <v>0</v>
      </c>
      <c r="EP72" s="67">
        <v>0</v>
      </c>
      <c r="EQ72" s="66">
        <v>0</v>
      </c>
      <c r="ER72" s="66">
        <v>0</v>
      </c>
      <c r="ES72" s="66">
        <v>0</v>
      </c>
      <c r="ET72" s="66">
        <v>0</v>
      </c>
      <c r="EU72" s="66">
        <v>0</v>
      </c>
      <c r="EV72" s="66">
        <v>0</v>
      </c>
      <c r="EW72" s="66">
        <v>0</v>
      </c>
      <c r="EX72" s="66">
        <v>0</v>
      </c>
      <c r="EY72" s="66">
        <v>0</v>
      </c>
      <c r="EZ72" s="66">
        <v>0</v>
      </c>
      <c r="FA72" s="66">
        <v>0</v>
      </c>
      <c r="FB72" s="67" t="s">
        <v>1230</v>
      </c>
      <c r="FC72" s="67" t="s">
        <v>1230</v>
      </c>
      <c r="FD72" s="67">
        <v>0</v>
      </c>
      <c r="FE72" s="187">
        <v>0</v>
      </c>
      <c r="FF72" s="67">
        <v>0</v>
      </c>
      <c r="FG72" s="66">
        <v>0</v>
      </c>
      <c r="FH72" s="66">
        <v>0</v>
      </c>
      <c r="FI72" s="66">
        <v>0</v>
      </c>
      <c r="FJ72" s="66">
        <v>0</v>
      </c>
      <c r="FK72" s="66">
        <v>0</v>
      </c>
      <c r="FL72" s="66">
        <v>0</v>
      </c>
      <c r="FM72" s="66">
        <v>0</v>
      </c>
      <c r="FN72" s="66">
        <v>0</v>
      </c>
      <c r="FO72" s="66">
        <v>0</v>
      </c>
      <c r="FP72" s="66">
        <v>0</v>
      </c>
      <c r="FQ72" s="66">
        <v>0</v>
      </c>
      <c r="FR72" s="67" t="s">
        <v>1230</v>
      </c>
      <c r="FS72" s="67" t="s">
        <v>1230</v>
      </c>
      <c r="FT72" s="67">
        <v>0</v>
      </c>
      <c r="FU72" s="187">
        <v>0</v>
      </c>
      <c r="FV72" s="67">
        <v>0</v>
      </c>
      <c r="FW72" s="66">
        <v>0</v>
      </c>
      <c r="FX72" s="66">
        <v>0</v>
      </c>
      <c r="FY72" s="66">
        <v>0</v>
      </c>
      <c r="FZ72" s="66">
        <v>0</v>
      </c>
      <c r="GA72" s="66">
        <v>0</v>
      </c>
      <c r="GB72" s="66">
        <v>0</v>
      </c>
      <c r="GC72" s="66">
        <v>0</v>
      </c>
      <c r="GD72" s="66">
        <v>0</v>
      </c>
      <c r="GE72" s="66">
        <v>0</v>
      </c>
      <c r="GF72" s="66">
        <v>0</v>
      </c>
      <c r="GG72" s="66">
        <v>0</v>
      </c>
      <c r="GH72" s="67" t="s">
        <v>1230</v>
      </c>
      <c r="GI72" s="67" t="s">
        <v>1230</v>
      </c>
      <c r="GJ72" s="67">
        <v>0</v>
      </c>
      <c r="GK72" s="187">
        <v>0</v>
      </c>
      <c r="GL72" s="67">
        <v>0</v>
      </c>
      <c r="GM72" s="66">
        <v>0</v>
      </c>
      <c r="GN72" s="66">
        <v>0</v>
      </c>
      <c r="GO72" s="66">
        <v>0</v>
      </c>
      <c r="GP72" s="66">
        <v>0</v>
      </c>
      <c r="GQ72" s="66">
        <v>0</v>
      </c>
      <c r="GR72" s="66">
        <v>0</v>
      </c>
      <c r="GS72" s="66">
        <v>0</v>
      </c>
      <c r="GT72" s="66">
        <v>0</v>
      </c>
      <c r="GU72" s="66">
        <v>0</v>
      </c>
      <c r="GV72" s="66">
        <v>0</v>
      </c>
      <c r="GW72" s="66">
        <v>0</v>
      </c>
      <c r="GX72" s="67" t="s">
        <v>1230</v>
      </c>
      <c r="GY72" s="67" t="s">
        <v>1230</v>
      </c>
      <c r="GZ72" s="67">
        <v>0</v>
      </c>
      <c r="HA72" s="187">
        <v>0</v>
      </c>
      <c r="HB72" s="67">
        <v>0</v>
      </c>
      <c r="HC72" s="66">
        <v>0</v>
      </c>
      <c r="HD72" s="66">
        <v>0</v>
      </c>
      <c r="HE72" s="66">
        <v>0</v>
      </c>
      <c r="HF72" s="66">
        <v>0</v>
      </c>
      <c r="HG72" s="66">
        <v>0</v>
      </c>
      <c r="HH72" s="66">
        <v>0</v>
      </c>
      <c r="HI72" s="66">
        <v>0</v>
      </c>
      <c r="HJ72" s="66">
        <v>0</v>
      </c>
      <c r="HK72" s="66">
        <v>0</v>
      </c>
      <c r="HL72" s="66">
        <v>0</v>
      </c>
      <c r="HM72" s="66">
        <v>0</v>
      </c>
      <c r="HN72" s="67" t="s">
        <v>1230</v>
      </c>
      <c r="HO72" s="67" t="s">
        <v>1230</v>
      </c>
      <c r="HP72" s="67">
        <v>0</v>
      </c>
      <c r="HQ72" s="187">
        <v>0</v>
      </c>
      <c r="HR72" s="67">
        <v>0</v>
      </c>
      <c r="HS72" s="66">
        <v>0</v>
      </c>
      <c r="HT72" s="66">
        <v>0</v>
      </c>
      <c r="HU72" s="66">
        <v>0</v>
      </c>
      <c r="HV72" s="66">
        <v>0</v>
      </c>
      <c r="HW72" s="66">
        <v>0</v>
      </c>
      <c r="HX72" s="66">
        <v>0</v>
      </c>
      <c r="HY72" s="66">
        <v>0</v>
      </c>
      <c r="HZ72" s="66">
        <v>0</v>
      </c>
      <c r="IA72" s="66">
        <v>0</v>
      </c>
      <c r="IB72" s="66">
        <v>0</v>
      </c>
      <c r="IC72" s="66">
        <v>0</v>
      </c>
      <c r="ID72" s="67" t="s">
        <v>1230</v>
      </c>
      <c r="IE72" s="67" t="s">
        <v>1230</v>
      </c>
      <c r="IF72" s="67">
        <v>0</v>
      </c>
      <c r="IG72" s="187">
        <v>0</v>
      </c>
      <c r="IH72" s="67">
        <v>0</v>
      </c>
      <c r="II72" s="66">
        <v>2.48</v>
      </c>
      <c r="IJ72" s="66">
        <v>0</v>
      </c>
      <c r="IK72" s="66">
        <v>3.3066665</v>
      </c>
      <c r="IL72" s="66">
        <v>2.48</v>
      </c>
      <c r="IM72" s="66">
        <v>0.82666649999999997</v>
      </c>
      <c r="IN72" s="66">
        <v>2.48</v>
      </c>
      <c r="IO72" s="66">
        <v>0</v>
      </c>
      <c r="IP72" s="66">
        <v>3.3066665</v>
      </c>
      <c r="IQ72" s="66">
        <v>2.48</v>
      </c>
      <c r="IR72" s="66">
        <v>0</v>
      </c>
      <c r="IS72" s="66">
        <v>0.82666649999999997</v>
      </c>
      <c r="IT72" s="67">
        <v>100</v>
      </c>
      <c r="IU72" s="67">
        <v>100</v>
      </c>
      <c r="IV72" s="67">
        <v>24.999996219757872</v>
      </c>
      <c r="IW72" s="187">
        <v>0</v>
      </c>
      <c r="IX72" s="67">
        <v>0</v>
      </c>
    </row>
    <row r="73" spans="1:258" ht="15.6" x14ac:dyDescent="0.3">
      <c r="A73" s="169">
        <v>61</v>
      </c>
      <c r="B73" s="205" t="s">
        <v>161</v>
      </c>
      <c r="C73" s="66">
        <v>44.449300000000001</v>
      </c>
      <c r="D73" s="66">
        <v>0</v>
      </c>
      <c r="E73" s="66">
        <v>86.141032019999997</v>
      </c>
      <c r="F73" s="66">
        <v>44.449300000000001</v>
      </c>
      <c r="G73" s="66">
        <v>41.691732020000003</v>
      </c>
      <c r="H73" s="66">
        <v>41.632371640000002</v>
      </c>
      <c r="I73" s="66">
        <v>1.8386269899999999</v>
      </c>
      <c r="J73" s="66">
        <v>80.594841400000007</v>
      </c>
      <c r="K73" s="66">
        <v>41.632371640000002</v>
      </c>
      <c r="L73" s="66">
        <v>0</v>
      </c>
      <c r="M73" s="66">
        <v>38.962469759999998</v>
      </c>
      <c r="N73" s="67">
        <v>93.66260355056211</v>
      </c>
      <c r="O73" s="67">
        <v>93.453708618555964</v>
      </c>
      <c r="P73" s="67">
        <v>48.343627313099965</v>
      </c>
      <c r="Q73" s="66">
        <v>1.8386269899999999</v>
      </c>
      <c r="R73" s="67">
        <v>1.7763568394002505E-15</v>
      </c>
      <c r="S73" s="66">
        <v>23.569700000000001</v>
      </c>
      <c r="T73" s="66">
        <v>0</v>
      </c>
      <c r="U73" s="66">
        <v>43.065412020000004</v>
      </c>
      <c r="V73" s="66">
        <v>23.569700000000001</v>
      </c>
      <c r="W73" s="66">
        <v>19.495712019999999</v>
      </c>
      <c r="X73" s="66">
        <v>23.569700000000001</v>
      </c>
      <c r="Y73" s="66">
        <v>1.0293269899999999</v>
      </c>
      <c r="Z73" s="66">
        <v>43.065412020000004</v>
      </c>
      <c r="AA73" s="66">
        <v>23.569700000000001</v>
      </c>
      <c r="AB73" s="66">
        <v>0</v>
      </c>
      <c r="AC73" s="66">
        <v>19.495712019999999</v>
      </c>
      <c r="AD73" s="67">
        <v>100</v>
      </c>
      <c r="AE73" s="67">
        <v>100</v>
      </c>
      <c r="AF73" s="67">
        <v>45.269999996623731</v>
      </c>
      <c r="AG73" s="187">
        <v>1.0293269899999999</v>
      </c>
      <c r="AH73" s="67">
        <v>1.3322676295501878E-15</v>
      </c>
      <c r="AI73" s="66">
        <v>0</v>
      </c>
      <c r="AJ73" s="66">
        <v>0</v>
      </c>
      <c r="AK73" s="66">
        <v>0</v>
      </c>
      <c r="AL73" s="66">
        <v>0</v>
      </c>
      <c r="AM73" s="66">
        <v>0</v>
      </c>
      <c r="AN73" s="66">
        <v>0</v>
      </c>
      <c r="AO73" s="66">
        <v>0.80930000000000002</v>
      </c>
      <c r="AP73" s="66">
        <v>0</v>
      </c>
      <c r="AQ73" s="66">
        <v>0</v>
      </c>
      <c r="AR73" s="66">
        <v>0</v>
      </c>
      <c r="AS73" s="66">
        <v>0</v>
      </c>
      <c r="AT73" s="67" t="s">
        <v>1230</v>
      </c>
      <c r="AU73" s="67" t="s">
        <v>1230</v>
      </c>
      <c r="AV73" s="67">
        <v>0</v>
      </c>
      <c r="AW73" s="187">
        <v>0.80930000000000002</v>
      </c>
      <c r="AX73" s="67">
        <v>0</v>
      </c>
      <c r="AY73" s="66">
        <v>17.8111</v>
      </c>
      <c r="AZ73" s="66">
        <v>0</v>
      </c>
      <c r="BA73" s="66">
        <v>32.384099999999997</v>
      </c>
      <c r="BB73" s="66">
        <v>17.8111</v>
      </c>
      <c r="BC73" s="66">
        <v>14.573</v>
      </c>
      <c r="BD73" s="66">
        <v>15.24893546</v>
      </c>
      <c r="BE73" s="66">
        <v>0</v>
      </c>
      <c r="BF73" s="66">
        <v>27.725578489999997</v>
      </c>
      <c r="BG73" s="66">
        <v>15.24893546</v>
      </c>
      <c r="BH73" s="66">
        <v>0</v>
      </c>
      <c r="BI73" s="66">
        <v>12.47664303</v>
      </c>
      <c r="BJ73" s="67">
        <v>85.614787744720985</v>
      </c>
      <c r="BK73" s="67">
        <v>85.614787826802981</v>
      </c>
      <c r="BL73" s="67">
        <v>45.000478653673717</v>
      </c>
      <c r="BM73" s="187">
        <v>0</v>
      </c>
      <c r="BN73" s="67">
        <v>0</v>
      </c>
      <c r="BO73" s="66">
        <v>0</v>
      </c>
      <c r="BP73" s="66">
        <v>0</v>
      </c>
      <c r="BQ73" s="66">
        <v>0</v>
      </c>
      <c r="BR73" s="66">
        <v>0</v>
      </c>
      <c r="BS73" s="66">
        <v>0</v>
      </c>
      <c r="BT73" s="66">
        <v>0</v>
      </c>
      <c r="BU73" s="66">
        <v>0</v>
      </c>
      <c r="BV73" s="66">
        <v>0</v>
      </c>
      <c r="BW73" s="66">
        <v>0</v>
      </c>
      <c r="BX73" s="66">
        <v>0</v>
      </c>
      <c r="BY73" s="66">
        <v>0</v>
      </c>
      <c r="BZ73" s="67" t="s">
        <v>1230</v>
      </c>
      <c r="CA73" s="67" t="s">
        <v>1230</v>
      </c>
      <c r="CB73" s="67">
        <v>0</v>
      </c>
      <c r="CC73" s="187">
        <v>0</v>
      </c>
      <c r="CD73" s="67">
        <v>0</v>
      </c>
      <c r="CE73" s="66">
        <v>0</v>
      </c>
      <c r="CF73" s="66">
        <v>0</v>
      </c>
      <c r="CG73" s="66">
        <v>0</v>
      </c>
      <c r="CH73" s="66">
        <v>0</v>
      </c>
      <c r="CI73" s="66">
        <v>0</v>
      </c>
      <c r="CJ73" s="66">
        <v>0</v>
      </c>
      <c r="CK73" s="66">
        <v>0</v>
      </c>
      <c r="CL73" s="66">
        <v>0</v>
      </c>
      <c r="CM73" s="66">
        <v>0</v>
      </c>
      <c r="CN73" s="66">
        <v>0</v>
      </c>
      <c r="CO73" s="66">
        <v>0</v>
      </c>
      <c r="CP73" s="67" t="s">
        <v>1230</v>
      </c>
      <c r="CQ73" s="67" t="s">
        <v>1230</v>
      </c>
      <c r="CR73" s="67">
        <v>0</v>
      </c>
      <c r="CS73" s="187">
        <v>0</v>
      </c>
      <c r="CT73" s="67">
        <v>0</v>
      </c>
      <c r="CU73" s="66">
        <v>0</v>
      </c>
      <c r="CV73" s="66">
        <v>0</v>
      </c>
      <c r="CW73" s="66">
        <v>0</v>
      </c>
      <c r="CX73" s="66">
        <v>0</v>
      </c>
      <c r="CY73" s="66">
        <v>0</v>
      </c>
      <c r="CZ73" s="66">
        <v>0</v>
      </c>
      <c r="DA73" s="66">
        <v>0</v>
      </c>
      <c r="DB73" s="66">
        <v>0</v>
      </c>
      <c r="DC73" s="66">
        <v>0</v>
      </c>
      <c r="DD73" s="66">
        <v>0</v>
      </c>
      <c r="DE73" s="66">
        <v>0</v>
      </c>
      <c r="DF73" s="67" t="s">
        <v>1230</v>
      </c>
      <c r="DG73" s="67" t="s">
        <v>1230</v>
      </c>
      <c r="DH73" s="67">
        <v>0</v>
      </c>
      <c r="DI73" s="187">
        <v>0</v>
      </c>
      <c r="DJ73" s="67">
        <v>0</v>
      </c>
      <c r="DK73" s="66">
        <v>3.0684999999999998</v>
      </c>
      <c r="DL73" s="66">
        <v>0</v>
      </c>
      <c r="DM73" s="66">
        <v>10.691520000000001</v>
      </c>
      <c r="DN73" s="66">
        <v>3.0684999999999998</v>
      </c>
      <c r="DO73" s="66">
        <v>7.6230200000000004</v>
      </c>
      <c r="DP73" s="66">
        <v>2.8137361800000003</v>
      </c>
      <c r="DQ73" s="66">
        <v>0</v>
      </c>
      <c r="DR73" s="66">
        <v>9.8038508900000014</v>
      </c>
      <c r="DS73" s="66">
        <v>2.8137361800000003</v>
      </c>
      <c r="DT73" s="66">
        <v>0</v>
      </c>
      <c r="DU73" s="66">
        <v>6.9901147100000003</v>
      </c>
      <c r="DV73" s="67">
        <v>91.697447612840165</v>
      </c>
      <c r="DW73" s="67">
        <v>91.697446812418164</v>
      </c>
      <c r="DX73" s="67">
        <v>71.299684057108294</v>
      </c>
      <c r="DY73" s="187">
        <v>0</v>
      </c>
      <c r="DZ73" s="67">
        <v>0</v>
      </c>
      <c r="EA73" s="66">
        <v>0</v>
      </c>
      <c r="EB73" s="66">
        <v>0</v>
      </c>
      <c r="EC73" s="66">
        <v>0</v>
      </c>
      <c r="ED73" s="66">
        <v>0</v>
      </c>
      <c r="EE73" s="66">
        <v>0</v>
      </c>
      <c r="EF73" s="66">
        <v>0</v>
      </c>
      <c r="EG73" s="66">
        <v>0</v>
      </c>
      <c r="EH73" s="66">
        <v>0</v>
      </c>
      <c r="EI73" s="66">
        <v>0</v>
      </c>
      <c r="EJ73" s="66">
        <v>0</v>
      </c>
      <c r="EK73" s="66">
        <v>0</v>
      </c>
      <c r="EL73" s="67" t="s">
        <v>1230</v>
      </c>
      <c r="EM73" s="67" t="s">
        <v>1230</v>
      </c>
      <c r="EN73" s="67">
        <v>0</v>
      </c>
      <c r="EO73" s="187">
        <v>0</v>
      </c>
      <c r="EP73" s="67">
        <v>0</v>
      </c>
      <c r="EQ73" s="66">
        <v>0</v>
      </c>
      <c r="ER73" s="66">
        <v>0</v>
      </c>
      <c r="ES73" s="66">
        <v>0</v>
      </c>
      <c r="ET73" s="66">
        <v>0</v>
      </c>
      <c r="EU73" s="66">
        <v>0</v>
      </c>
      <c r="EV73" s="66">
        <v>0</v>
      </c>
      <c r="EW73" s="66">
        <v>0</v>
      </c>
      <c r="EX73" s="66">
        <v>0</v>
      </c>
      <c r="EY73" s="66">
        <v>0</v>
      </c>
      <c r="EZ73" s="66">
        <v>0</v>
      </c>
      <c r="FA73" s="66">
        <v>0</v>
      </c>
      <c r="FB73" s="67" t="s">
        <v>1230</v>
      </c>
      <c r="FC73" s="67" t="s">
        <v>1230</v>
      </c>
      <c r="FD73" s="67">
        <v>0</v>
      </c>
      <c r="FE73" s="187">
        <v>0</v>
      </c>
      <c r="FF73" s="67">
        <v>0</v>
      </c>
      <c r="FG73" s="66">
        <v>0</v>
      </c>
      <c r="FH73" s="66">
        <v>0</v>
      </c>
      <c r="FI73" s="66">
        <v>0</v>
      </c>
      <c r="FJ73" s="66">
        <v>0</v>
      </c>
      <c r="FK73" s="66">
        <v>0</v>
      </c>
      <c r="FL73" s="66">
        <v>0</v>
      </c>
      <c r="FM73" s="66">
        <v>0</v>
      </c>
      <c r="FN73" s="66">
        <v>0</v>
      </c>
      <c r="FO73" s="66">
        <v>0</v>
      </c>
      <c r="FP73" s="66">
        <v>0</v>
      </c>
      <c r="FQ73" s="66">
        <v>0</v>
      </c>
      <c r="FR73" s="67" t="s">
        <v>1230</v>
      </c>
      <c r="FS73" s="67" t="s">
        <v>1230</v>
      </c>
      <c r="FT73" s="67">
        <v>0</v>
      </c>
      <c r="FU73" s="187">
        <v>0</v>
      </c>
      <c r="FV73" s="67">
        <v>0</v>
      </c>
      <c r="FW73" s="66">
        <v>0</v>
      </c>
      <c r="FX73" s="66">
        <v>0</v>
      </c>
      <c r="FY73" s="66">
        <v>0</v>
      </c>
      <c r="FZ73" s="66">
        <v>0</v>
      </c>
      <c r="GA73" s="66">
        <v>0</v>
      </c>
      <c r="GB73" s="66">
        <v>0</v>
      </c>
      <c r="GC73" s="66">
        <v>0</v>
      </c>
      <c r="GD73" s="66">
        <v>0</v>
      </c>
      <c r="GE73" s="66">
        <v>0</v>
      </c>
      <c r="GF73" s="66">
        <v>0</v>
      </c>
      <c r="GG73" s="66">
        <v>0</v>
      </c>
      <c r="GH73" s="67" t="s">
        <v>1230</v>
      </c>
      <c r="GI73" s="67" t="s">
        <v>1230</v>
      </c>
      <c r="GJ73" s="67">
        <v>0</v>
      </c>
      <c r="GK73" s="187">
        <v>0</v>
      </c>
      <c r="GL73" s="67">
        <v>0</v>
      </c>
      <c r="GM73" s="66">
        <v>0</v>
      </c>
      <c r="GN73" s="66">
        <v>0</v>
      </c>
      <c r="GO73" s="66">
        <v>0</v>
      </c>
      <c r="GP73" s="66">
        <v>0</v>
      </c>
      <c r="GQ73" s="66">
        <v>0</v>
      </c>
      <c r="GR73" s="66">
        <v>0</v>
      </c>
      <c r="GS73" s="66">
        <v>0</v>
      </c>
      <c r="GT73" s="66">
        <v>0</v>
      </c>
      <c r="GU73" s="66">
        <v>0</v>
      </c>
      <c r="GV73" s="66">
        <v>0</v>
      </c>
      <c r="GW73" s="66">
        <v>0</v>
      </c>
      <c r="GX73" s="67" t="s">
        <v>1230</v>
      </c>
      <c r="GY73" s="67" t="s">
        <v>1230</v>
      </c>
      <c r="GZ73" s="67">
        <v>0</v>
      </c>
      <c r="HA73" s="187">
        <v>0</v>
      </c>
      <c r="HB73" s="67">
        <v>0</v>
      </c>
      <c r="HC73" s="66">
        <v>0</v>
      </c>
      <c r="HD73" s="66">
        <v>0</v>
      </c>
      <c r="HE73" s="66">
        <v>0</v>
      </c>
      <c r="HF73" s="66">
        <v>0</v>
      </c>
      <c r="HG73" s="66">
        <v>0</v>
      </c>
      <c r="HH73" s="66">
        <v>0</v>
      </c>
      <c r="HI73" s="66">
        <v>0</v>
      </c>
      <c r="HJ73" s="66">
        <v>0</v>
      </c>
      <c r="HK73" s="66">
        <v>0</v>
      </c>
      <c r="HL73" s="66">
        <v>0</v>
      </c>
      <c r="HM73" s="66">
        <v>0</v>
      </c>
      <c r="HN73" s="67" t="s">
        <v>1230</v>
      </c>
      <c r="HO73" s="67" t="s">
        <v>1230</v>
      </c>
      <c r="HP73" s="67">
        <v>0</v>
      </c>
      <c r="HQ73" s="187">
        <v>0</v>
      </c>
      <c r="HR73" s="67">
        <v>0</v>
      </c>
      <c r="HS73" s="66">
        <v>0</v>
      </c>
      <c r="HT73" s="66">
        <v>0</v>
      </c>
      <c r="HU73" s="66">
        <v>0</v>
      </c>
      <c r="HV73" s="66">
        <v>0</v>
      </c>
      <c r="HW73" s="66">
        <v>0</v>
      </c>
      <c r="HX73" s="66">
        <v>0</v>
      </c>
      <c r="HY73" s="66">
        <v>0</v>
      </c>
      <c r="HZ73" s="66">
        <v>0</v>
      </c>
      <c r="IA73" s="66">
        <v>0</v>
      </c>
      <c r="IB73" s="66">
        <v>0</v>
      </c>
      <c r="IC73" s="66">
        <v>0</v>
      </c>
      <c r="ID73" s="67" t="s">
        <v>1230</v>
      </c>
      <c r="IE73" s="67" t="s">
        <v>1230</v>
      </c>
      <c r="IF73" s="67">
        <v>0</v>
      </c>
      <c r="IG73" s="187">
        <v>0</v>
      </c>
      <c r="IH73" s="67">
        <v>0</v>
      </c>
      <c r="II73" s="66">
        <v>0</v>
      </c>
      <c r="IJ73" s="66">
        <v>0</v>
      </c>
      <c r="IK73" s="66">
        <v>0</v>
      </c>
      <c r="IL73" s="66">
        <v>0</v>
      </c>
      <c r="IM73" s="66">
        <v>0</v>
      </c>
      <c r="IN73" s="66">
        <v>0</v>
      </c>
      <c r="IO73" s="66">
        <v>0</v>
      </c>
      <c r="IP73" s="66">
        <v>0</v>
      </c>
      <c r="IQ73" s="66">
        <v>0</v>
      </c>
      <c r="IR73" s="66">
        <v>0</v>
      </c>
      <c r="IS73" s="66">
        <v>0</v>
      </c>
      <c r="IT73" s="67" t="s">
        <v>1230</v>
      </c>
      <c r="IU73" s="67" t="s">
        <v>1230</v>
      </c>
      <c r="IV73" s="67">
        <v>0</v>
      </c>
      <c r="IW73" s="187">
        <v>0</v>
      </c>
      <c r="IX73" s="67">
        <v>0</v>
      </c>
    </row>
    <row r="74" spans="1:258" ht="15.6" x14ac:dyDescent="0.3">
      <c r="A74" s="169">
        <v>62</v>
      </c>
      <c r="B74" s="205" t="s">
        <v>164</v>
      </c>
      <c r="C74" s="66">
        <v>183.54259999999996</v>
      </c>
      <c r="D74" s="66">
        <v>0</v>
      </c>
      <c r="E74" s="66">
        <v>282.37323087999999</v>
      </c>
      <c r="F74" s="66">
        <v>183.54259999999996</v>
      </c>
      <c r="G74" s="66">
        <v>98.830630880000001</v>
      </c>
      <c r="H74" s="66">
        <v>183.54259992999997</v>
      </c>
      <c r="I74" s="66">
        <v>5.5265490000000002</v>
      </c>
      <c r="J74" s="66">
        <v>282.36570978999998</v>
      </c>
      <c r="K74" s="66">
        <v>183.53771132999998</v>
      </c>
      <c r="L74" s="66">
        <v>0</v>
      </c>
      <c r="M74" s="66">
        <v>98.827998460000003</v>
      </c>
      <c r="N74" s="67">
        <v>99.997336492999452</v>
      </c>
      <c r="O74" s="67">
        <v>99.997336433070842</v>
      </c>
      <c r="P74" s="67">
        <v>35.000000011864053</v>
      </c>
      <c r="Q74" s="66">
        <v>5.5181082699999999</v>
      </c>
      <c r="R74" s="67">
        <v>1.3329329999975492E-2</v>
      </c>
      <c r="S74" s="66">
        <v>94.122399999999999</v>
      </c>
      <c r="T74" s="66">
        <v>0</v>
      </c>
      <c r="U74" s="66">
        <v>144.80369241</v>
      </c>
      <c r="V74" s="66">
        <v>94.122399999999999</v>
      </c>
      <c r="W74" s="66">
        <v>50.681292409999998</v>
      </c>
      <c r="X74" s="66">
        <v>94.12239993</v>
      </c>
      <c r="Y74" s="66">
        <v>2.5308615699999999</v>
      </c>
      <c r="Z74" s="66">
        <v>144.79617134999998</v>
      </c>
      <c r="AA74" s="66">
        <v>94.117511329999999</v>
      </c>
      <c r="AB74" s="66">
        <v>0</v>
      </c>
      <c r="AC74" s="66">
        <v>50.678660020000002</v>
      </c>
      <c r="AD74" s="67">
        <v>99.994806050419456</v>
      </c>
      <c r="AE74" s="67">
        <v>99.994805992754294</v>
      </c>
      <c r="AF74" s="67">
        <v>35.000000032804742</v>
      </c>
      <c r="AG74" s="187">
        <v>2.5226641299999999</v>
      </c>
      <c r="AH74" s="67">
        <v>1.3086040000000132E-2</v>
      </c>
      <c r="AI74" s="66">
        <v>0</v>
      </c>
      <c r="AJ74" s="66">
        <v>0</v>
      </c>
      <c r="AK74" s="66">
        <v>0</v>
      </c>
      <c r="AL74" s="66">
        <v>0</v>
      </c>
      <c r="AM74" s="66">
        <v>0</v>
      </c>
      <c r="AN74" s="66">
        <v>0</v>
      </c>
      <c r="AO74" s="66">
        <v>2.9956874300000003</v>
      </c>
      <c r="AP74" s="66">
        <v>0</v>
      </c>
      <c r="AQ74" s="66">
        <v>0</v>
      </c>
      <c r="AR74" s="66">
        <v>0</v>
      </c>
      <c r="AS74" s="66">
        <v>0</v>
      </c>
      <c r="AT74" s="67" t="s">
        <v>1230</v>
      </c>
      <c r="AU74" s="67" t="s">
        <v>1230</v>
      </c>
      <c r="AV74" s="67">
        <v>0</v>
      </c>
      <c r="AW74" s="187">
        <v>2.99544414</v>
      </c>
      <c r="AX74" s="67">
        <v>2.4329000000022916E-4</v>
      </c>
      <c r="AY74" s="66">
        <v>17.4923</v>
      </c>
      <c r="AZ74" s="66">
        <v>0</v>
      </c>
      <c r="BA74" s="66">
        <v>26.91123077</v>
      </c>
      <c r="BB74" s="66">
        <v>17.4923</v>
      </c>
      <c r="BC74" s="66">
        <v>9.4189307699999993</v>
      </c>
      <c r="BD74" s="66">
        <v>17.4923</v>
      </c>
      <c r="BE74" s="66">
        <v>0</v>
      </c>
      <c r="BF74" s="66">
        <v>26.911230739999997</v>
      </c>
      <c r="BG74" s="66">
        <v>17.4923</v>
      </c>
      <c r="BH74" s="66">
        <v>0</v>
      </c>
      <c r="BI74" s="66">
        <v>9.4189307400000004</v>
      </c>
      <c r="BJ74" s="67">
        <v>100</v>
      </c>
      <c r="BK74" s="67">
        <v>99.999999681492525</v>
      </c>
      <c r="BL74" s="67">
        <v>34.999999929397511</v>
      </c>
      <c r="BM74" s="187">
        <v>0</v>
      </c>
      <c r="BN74" s="67">
        <v>0</v>
      </c>
      <c r="BO74" s="66">
        <v>0</v>
      </c>
      <c r="BP74" s="66">
        <v>0</v>
      </c>
      <c r="BQ74" s="66">
        <v>0</v>
      </c>
      <c r="BR74" s="66">
        <v>0</v>
      </c>
      <c r="BS74" s="66">
        <v>0</v>
      </c>
      <c r="BT74" s="66">
        <v>0</v>
      </c>
      <c r="BU74" s="66">
        <v>0</v>
      </c>
      <c r="BV74" s="66">
        <v>0</v>
      </c>
      <c r="BW74" s="66">
        <v>0</v>
      </c>
      <c r="BX74" s="66">
        <v>0</v>
      </c>
      <c r="BY74" s="66">
        <v>0</v>
      </c>
      <c r="BZ74" s="67" t="s">
        <v>1230</v>
      </c>
      <c r="CA74" s="67" t="s">
        <v>1230</v>
      </c>
      <c r="CB74" s="67">
        <v>0</v>
      </c>
      <c r="CC74" s="187">
        <v>0</v>
      </c>
      <c r="CD74" s="67">
        <v>0</v>
      </c>
      <c r="CE74" s="66">
        <v>0</v>
      </c>
      <c r="CF74" s="66">
        <v>0</v>
      </c>
      <c r="CG74" s="66">
        <v>0</v>
      </c>
      <c r="CH74" s="66">
        <v>0</v>
      </c>
      <c r="CI74" s="66">
        <v>0</v>
      </c>
      <c r="CJ74" s="66">
        <v>0</v>
      </c>
      <c r="CK74" s="66">
        <v>0</v>
      </c>
      <c r="CL74" s="66">
        <v>0</v>
      </c>
      <c r="CM74" s="66">
        <v>0</v>
      </c>
      <c r="CN74" s="66">
        <v>0</v>
      </c>
      <c r="CO74" s="66">
        <v>0</v>
      </c>
      <c r="CP74" s="67" t="s">
        <v>1230</v>
      </c>
      <c r="CQ74" s="67" t="s">
        <v>1230</v>
      </c>
      <c r="CR74" s="67">
        <v>0</v>
      </c>
      <c r="CS74" s="187">
        <v>0</v>
      </c>
      <c r="CT74" s="67">
        <v>0</v>
      </c>
      <c r="CU74" s="66">
        <v>0</v>
      </c>
      <c r="CV74" s="66">
        <v>0</v>
      </c>
      <c r="CW74" s="66">
        <v>0</v>
      </c>
      <c r="CX74" s="66">
        <v>0</v>
      </c>
      <c r="CY74" s="66">
        <v>0</v>
      </c>
      <c r="CZ74" s="66">
        <v>0</v>
      </c>
      <c r="DA74" s="66">
        <v>0</v>
      </c>
      <c r="DB74" s="66">
        <v>0</v>
      </c>
      <c r="DC74" s="66">
        <v>0</v>
      </c>
      <c r="DD74" s="66">
        <v>0</v>
      </c>
      <c r="DE74" s="66">
        <v>0</v>
      </c>
      <c r="DF74" s="67" t="s">
        <v>1230</v>
      </c>
      <c r="DG74" s="67" t="s">
        <v>1230</v>
      </c>
      <c r="DH74" s="67">
        <v>0</v>
      </c>
      <c r="DI74" s="187">
        <v>0</v>
      </c>
      <c r="DJ74" s="67">
        <v>0</v>
      </c>
      <c r="DK74" s="66">
        <v>3.8012000000000001</v>
      </c>
      <c r="DL74" s="66">
        <v>0</v>
      </c>
      <c r="DM74" s="66">
        <v>5.8479999999999999</v>
      </c>
      <c r="DN74" s="66">
        <v>3.8012000000000001</v>
      </c>
      <c r="DO74" s="66">
        <v>2.0468000000000002</v>
      </c>
      <c r="DP74" s="66">
        <v>3.8012000000000001</v>
      </c>
      <c r="DQ74" s="66">
        <v>0</v>
      </c>
      <c r="DR74" s="66">
        <v>5.8479999999999999</v>
      </c>
      <c r="DS74" s="66">
        <v>3.8012000000000001</v>
      </c>
      <c r="DT74" s="66">
        <v>0</v>
      </c>
      <c r="DU74" s="66">
        <v>2.0468000000000002</v>
      </c>
      <c r="DV74" s="67">
        <v>100</v>
      </c>
      <c r="DW74" s="67">
        <v>100</v>
      </c>
      <c r="DX74" s="67">
        <v>35</v>
      </c>
      <c r="DY74" s="187">
        <v>0</v>
      </c>
      <c r="DZ74" s="67">
        <v>0</v>
      </c>
      <c r="EA74" s="66">
        <v>0</v>
      </c>
      <c r="EB74" s="66">
        <v>0</v>
      </c>
      <c r="EC74" s="66">
        <v>0</v>
      </c>
      <c r="ED74" s="66">
        <v>0</v>
      </c>
      <c r="EE74" s="66">
        <v>0</v>
      </c>
      <c r="EF74" s="66">
        <v>0</v>
      </c>
      <c r="EG74" s="66">
        <v>0</v>
      </c>
      <c r="EH74" s="66">
        <v>0</v>
      </c>
      <c r="EI74" s="66">
        <v>0</v>
      </c>
      <c r="EJ74" s="66">
        <v>0</v>
      </c>
      <c r="EK74" s="66">
        <v>0</v>
      </c>
      <c r="EL74" s="67" t="s">
        <v>1230</v>
      </c>
      <c r="EM74" s="67" t="s">
        <v>1230</v>
      </c>
      <c r="EN74" s="67">
        <v>0</v>
      </c>
      <c r="EO74" s="187">
        <v>0</v>
      </c>
      <c r="EP74" s="67">
        <v>0</v>
      </c>
      <c r="EQ74" s="66">
        <v>2.7616999999999998</v>
      </c>
      <c r="ER74" s="66">
        <v>0</v>
      </c>
      <c r="ES74" s="66">
        <v>4.2487692300000006</v>
      </c>
      <c r="ET74" s="66">
        <v>2.7616999999999998</v>
      </c>
      <c r="EU74" s="66">
        <v>1.4870692299999999</v>
      </c>
      <c r="EV74" s="66">
        <v>2.7616999999999998</v>
      </c>
      <c r="EW74" s="66">
        <v>0</v>
      </c>
      <c r="EX74" s="66">
        <v>4.2487692300000006</v>
      </c>
      <c r="EY74" s="66">
        <v>2.7616999999999998</v>
      </c>
      <c r="EZ74" s="66">
        <v>0</v>
      </c>
      <c r="FA74" s="66">
        <v>1.4870692299999999</v>
      </c>
      <c r="FB74" s="67">
        <v>100</v>
      </c>
      <c r="FC74" s="67">
        <v>100</v>
      </c>
      <c r="FD74" s="67">
        <v>34.999999988231878</v>
      </c>
      <c r="FE74" s="187">
        <v>0</v>
      </c>
      <c r="FF74" s="67">
        <v>0</v>
      </c>
      <c r="FG74" s="66">
        <v>0</v>
      </c>
      <c r="FH74" s="66">
        <v>0</v>
      </c>
      <c r="FI74" s="66">
        <v>0</v>
      </c>
      <c r="FJ74" s="66">
        <v>0</v>
      </c>
      <c r="FK74" s="66">
        <v>0</v>
      </c>
      <c r="FL74" s="66">
        <v>0</v>
      </c>
      <c r="FM74" s="66">
        <v>0</v>
      </c>
      <c r="FN74" s="66">
        <v>0</v>
      </c>
      <c r="FO74" s="66">
        <v>0</v>
      </c>
      <c r="FP74" s="66">
        <v>0</v>
      </c>
      <c r="FQ74" s="66">
        <v>0</v>
      </c>
      <c r="FR74" s="67" t="s">
        <v>1230</v>
      </c>
      <c r="FS74" s="67" t="s">
        <v>1230</v>
      </c>
      <c r="FT74" s="67">
        <v>0</v>
      </c>
      <c r="FU74" s="187">
        <v>0</v>
      </c>
      <c r="FV74" s="67">
        <v>0</v>
      </c>
      <c r="FW74" s="66">
        <v>64.242699999999999</v>
      </c>
      <c r="FX74" s="66">
        <v>0</v>
      </c>
      <c r="FY74" s="66">
        <v>98.834923079999996</v>
      </c>
      <c r="FZ74" s="66">
        <v>64.242699999999999</v>
      </c>
      <c r="GA74" s="66">
        <v>34.592223079999997</v>
      </c>
      <c r="GB74" s="66">
        <v>64.242699999999999</v>
      </c>
      <c r="GC74" s="66">
        <v>0</v>
      </c>
      <c r="GD74" s="66">
        <v>98.834923079999996</v>
      </c>
      <c r="GE74" s="66">
        <v>64.242699999999999</v>
      </c>
      <c r="GF74" s="66">
        <v>0</v>
      </c>
      <c r="GG74" s="66">
        <v>34.592223079999997</v>
      </c>
      <c r="GH74" s="67">
        <v>100</v>
      </c>
      <c r="GI74" s="67">
        <v>100</v>
      </c>
      <c r="GJ74" s="67">
        <v>35.000000002023576</v>
      </c>
      <c r="GK74" s="187">
        <v>0</v>
      </c>
      <c r="GL74" s="67">
        <v>0</v>
      </c>
      <c r="GM74" s="66">
        <v>0</v>
      </c>
      <c r="GN74" s="66">
        <v>0</v>
      </c>
      <c r="GO74" s="66">
        <v>0</v>
      </c>
      <c r="GP74" s="66">
        <v>0</v>
      </c>
      <c r="GQ74" s="66">
        <v>0</v>
      </c>
      <c r="GR74" s="66">
        <v>0</v>
      </c>
      <c r="GS74" s="66">
        <v>0</v>
      </c>
      <c r="GT74" s="66">
        <v>0</v>
      </c>
      <c r="GU74" s="66">
        <v>0</v>
      </c>
      <c r="GV74" s="66">
        <v>0</v>
      </c>
      <c r="GW74" s="66">
        <v>0</v>
      </c>
      <c r="GX74" s="67" t="s">
        <v>1230</v>
      </c>
      <c r="GY74" s="67" t="s">
        <v>1230</v>
      </c>
      <c r="GZ74" s="67">
        <v>0</v>
      </c>
      <c r="HA74" s="187">
        <v>0</v>
      </c>
      <c r="HB74" s="67">
        <v>0</v>
      </c>
      <c r="HC74" s="66">
        <v>1.1223000000000001</v>
      </c>
      <c r="HD74" s="66">
        <v>0</v>
      </c>
      <c r="HE74" s="66">
        <v>1.7266153899999999</v>
      </c>
      <c r="HF74" s="66">
        <v>1.1223000000000001</v>
      </c>
      <c r="HG74" s="66">
        <v>0.60431539000000001</v>
      </c>
      <c r="HH74" s="66">
        <v>1.1223000000000001</v>
      </c>
      <c r="HI74" s="66">
        <v>0</v>
      </c>
      <c r="HJ74" s="66">
        <v>1.7266153899999999</v>
      </c>
      <c r="HK74" s="66">
        <v>1.1223000000000001</v>
      </c>
      <c r="HL74" s="66">
        <v>0</v>
      </c>
      <c r="HM74" s="66">
        <v>0.60431539000000001</v>
      </c>
      <c r="HN74" s="67">
        <v>100</v>
      </c>
      <c r="HO74" s="67">
        <v>100</v>
      </c>
      <c r="HP74" s="67">
        <v>35.000000202708726</v>
      </c>
      <c r="HQ74" s="187">
        <v>0</v>
      </c>
      <c r="HR74" s="67">
        <v>0</v>
      </c>
      <c r="HS74" s="66">
        <v>0</v>
      </c>
      <c r="HT74" s="66">
        <v>0</v>
      </c>
      <c r="HU74" s="66">
        <v>0</v>
      </c>
      <c r="HV74" s="66">
        <v>0</v>
      </c>
      <c r="HW74" s="66">
        <v>0</v>
      </c>
      <c r="HX74" s="66">
        <v>0</v>
      </c>
      <c r="HY74" s="66">
        <v>0</v>
      </c>
      <c r="HZ74" s="66">
        <v>0</v>
      </c>
      <c r="IA74" s="66">
        <v>0</v>
      </c>
      <c r="IB74" s="66">
        <v>0</v>
      </c>
      <c r="IC74" s="66">
        <v>0</v>
      </c>
      <c r="ID74" s="67" t="s">
        <v>1230</v>
      </c>
      <c r="IE74" s="67" t="s">
        <v>1230</v>
      </c>
      <c r="IF74" s="67">
        <v>0</v>
      </c>
      <c r="IG74" s="187">
        <v>0</v>
      </c>
      <c r="IH74" s="67">
        <v>0</v>
      </c>
      <c r="II74" s="66">
        <v>0</v>
      </c>
      <c r="IJ74" s="66">
        <v>0</v>
      </c>
      <c r="IK74" s="66">
        <v>0</v>
      </c>
      <c r="IL74" s="66">
        <v>0</v>
      </c>
      <c r="IM74" s="66">
        <v>0</v>
      </c>
      <c r="IN74" s="66">
        <v>0</v>
      </c>
      <c r="IO74" s="66">
        <v>0</v>
      </c>
      <c r="IP74" s="66">
        <v>0</v>
      </c>
      <c r="IQ74" s="66">
        <v>0</v>
      </c>
      <c r="IR74" s="66">
        <v>0</v>
      </c>
      <c r="IS74" s="66">
        <v>0</v>
      </c>
      <c r="IT74" s="67" t="s">
        <v>1230</v>
      </c>
      <c r="IU74" s="67" t="s">
        <v>1230</v>
      </c>
      <c r="IV74" s="67">
        <v>0</v>
      </c>
      <c r="IW74" s="187">
        <v>0</v>
      </c>
      <c r="IX74" s="67">
        <v>0</v>
      </c>
    </row>
    <row r="75" spans="1:258" ht="15.6" x14ac:dyDescent="0.3">
      <c r="A75" s="169">
        <v>63</v>
      </c>
      <c r="B75" s="205" t="s">
        <v>167</v>
      </c>
      <c r="C75" s="66">
        <v>67.061499999999995</v>
      </c>
      <c r="D75" s="66">
        <v>0</v>
      </c>
      <c r="E75" s="66">
        <v>75.350073999999992</v>
      </c>
      <c r="F75" s="66">
        <v>67.061499999999995</v>
      </c>
      <c r="G75" s="66">
        <v>8.2885740000000006</v>
      </c>
      <c r="H75" s="66">
        <v>66.662258839999993</v>
      </c>
      <c r="I75" s="66">
        <v>0</v>
      </c>
      <c r="J75" s="66">
        <v>74.901488340000014</v>
      </c>
      <c r="K75" s="66">
        <v>66.662258839999993</v>
      </c>
      <c r="L75" s="66">
        <v>0</v>
      </c>
      <c r="M75" s="66">
        <v>8.2392295000000004</v>
      </c>
      <c r="N75" s="67">
        <v>99.40466413665068</v>
      </c>
      <c r="O75" s="67">
        <v>99.4046684025503</v>
      </c>
      <c r="P75" s="67">
        <v>11.00008782549113</v>
      </c>
      <c r="Q75" s="66">
        <v>0</v>
      </c>
      <c r="R75" s="67">
        <v>0</v>
      </c>
      <c r="S75" s="66">
        <v>35.877299999999998</v>
      </c>
      <c r="T75" s="66">
        <v>0</v>
      </c>
      <c r="U75" s="66">
        <v>40.311599999999999</v>
      </c>
      <c r="V75" s="66">
        <v>35.877299999999998</v>
      </c>
      <c r="W75" s="66">
        <v>4.4343000000000004</v>
      </c>
      <c r="X75" s="66">
        <v>35.877299999999998</v>
      </c>
      <c r="Y75" s="66">
        <v>0</v>
      </c>
      <c r="Z75" s="66">
        <v>40.311599999999999</v>
      </c>
      <c r="AA75" s="66">
        <v>35.877299999999998</v>
      </c>
      <c r="AB75" s="66">
        <v>0</v>
      </c>
      <c r="AC75" s="66">
        <v>4.4343000000000004</v>
      </c>
      <c r="AD75" s="67">
        <v>100</v>
      </c>
      <c r="AE75" s="67">
        <v>100</v>
      </c>
      <c r="AF75" s="67">
        <v>11.000059536212902</v>
      </c>
      <c r="AG75" s="187">
        <v>0</v>
      </c>
      <c r="AH75" s="67">
        <v>0</v>
      </c>
      <c r="AI75" s="66">
        <v>0</v>
      </c>
      <c r="AJ75" s="66">
        <v>0</v>
      </c>
      <c r="AK75" s="66">
        <v>0</v>
      </c>
      <c r="AL75" s="66">
        <v>0</v>
      </c>
      <c r="AM75" s="66">
        <v>0</v>
      </c>
      <c r="AN75" s="66">
        <v>0</v>
      </c>
      <c r="AO75" s="66">
        <v>0</v>
      </c>
      <c r="AP75" s="66">
        <v>0</v>
      </c>
      <c r="AQ75" s="66">
        <v>0</v>
      </c>
      <c r="AR75" s="66">
        <v>0</v>
      </c>
      <c r="AS75" s="66">
        <v>0</v>
      </c>
      <c r="AT75" s="67" t="s">
        <v>1230</v>
      </c>
      <c r="AU75" s="67" t="s">
        <v>1230</v>
      </c>
      <c r="AV75" s="67">
        <v>0</v>
      </c>
      <c r="AW75" s="187">
        <v>0</v>
      </c>
      <c r="AX75" s="67">
        <v>0</v>
      </c>
      <c r="AY75" s="66">
        <v>21.542899999999999</v>
      </c>
      <c r="AZ75" s="66">
        <v>0</v>
      </c>
      <c r="BA75" s="66">
        <v>24.205527</v>
      </c>
      <c r="BB75" s="66">
        <v>21.542899999999999</v>
      </c>
      <c r="BC75" s="66">
        <v>2.6626270000000001</v>
      </c>
      <c r="BD75" s="66">
        <v>21.542899120000001</v>
      </c>
      <c r="BE75" s="66">
        <v>0</v>
      </c>
      <c r="BF75" s="66">
        <v>24.205526010000003</v>
      </c>
      <c r="BG75" s="66">
        <v>21.542899120000001</v>
      </c>
      <c r="BH75" s="66">
        <v>0</v>
      </c>
      <c r="BI75" s="66">
        <v>2.6626268900000003</v>
      </c>
      <c r="BJ75" s="67">
        <v>99.999995915127499</v>
      </c>
      <c r="BK75" s="67">
        <v>99.999995868741664</v>
      </c>
      <c r="BL75" s="67">
        <v>11.000078613866899</v>
      </c>
      <c r="BM75" s="187">
        <v>0</v>
      </c>
      <c r="BN75" s="67">
        <v>0</v>
      </c>
      <c r="BO75" s="66">
        <v>0</v>
      </c>
      <c r="BP75" s="66">
        <v>0</v>
      </c>
      <c r="BQ75" s="66">
        <v>0</v>
      </c>
      <c r="BR75" s="66">
        <v>0</v>
      </c>
      <c r="BS75" s="66">
        <v>0</v>
      </c>
      <c r="BT75" s="66">
        <v>0</v>
      </c>
      <c r="BU75" s="66">
        <v>0</v>
      </c>
      <c r="BV75" s="66">
        <v>0</v>
      </c>
      <c r="BW75" s="66">
        <v>0</v>
      </c>
      <c r="BX75" s="66">
        <v>0</v>
      </c>
      <c r="BY75" s="66">
        <v>0</v>
      </c>
      <c r="BZ75" s="67" t="s">
        <v>1230</v>
      </c>
      <c r="CA75" s="67" t="s">
        <v>1230</v>
      </c>
      <c r="CB75" s="67">
        <v>0</v>
      </c>
      <c r="CC75" s="187">
        <v>0</v>
      </c>
      <c r="CD75" s="67">
        <v>0</v>
      </c>
      <c r="CE75" s="66">
        <v>0</v>
      </c>
      <c r="CF75" s="66">
        <v>0</v>
      </c>
      <c r="CG75" s="66">
        <v>0</v>
      </c>
      <c r="CH75" s="66">
        <v>0</v>
      </c>
      <c r="CI75" s="66">
        <v>0</v>
      </c>
      <c r="CJ75" s="66">
        <v>0</v>
      </c>
      <c r="CK75" s="66">
        <v>0</v>
      </c>
      <c r="CL75" s="66">
        <v>0</v>
      </c>
      <c r="CM75" s="66">
        <v>0</v>
      </c>
      <c r="CN75" s="66">
        <v>0</v>
      </c>
      <c r="CO75" s="66">
        <v>0</v>
      </c>
      <c r="CP75" s="67" t="s">
        <v>1230</v>
      </c>
      <c r="CQ75" s="67" t="s">
        <v>1230</v>
      </c>
      <c r="CR75" s="67">
        <v>0</v>
      </c>
      <c r="CS75" s="187">
        <v>0</v>
      </c>
      <c r="CT75" s="67">
        <v>0</v>
      </c>
      <c r="CU75" s="66">
        <v>0</v>
      </c>
      <c r="CV75" s="66">
        <v>0</v>
      </c>
      <c r="CW75" s="66">
        <v>0</v>
      </c>
      <c r="CX75" s="66">
        <v>0</v>
      </c>
      <c r="CY75" s="66">
        <v>0</v>
      </c>
      <c r="CZ75" s="66">
        <v>0</v>
      </c>
      <c r="DA75" s="66">
        <v>0</v>
      </c>
      <c r="DB75" s="66">
        <v>0</v>
      </c>
      <c r="DC75" s="66">
        <v>0</v>
      </c>
      <c r="DD75" s="66">
        <v>0</v>
      </c>
      <c r="DE75" s="66">
        <v>0</v>
      </c>
      <c r="DF75" s="67" t="s">
        <v>1230</v>
      </c>
      <c r="DG75" s="67" t="s">
        <v>1230</v>
      </c>
      <c r="DH75" s="67">
        <v>0</v>
      </c>
      <c r="DI75" s="187">
        <v>0</v>
      </c>
      <c r="DJ75" s="67">
        <v>0</v>
      </c>
      <c r="DK75" s="66">
        <v>3.3311999999999999</v>
      </c>
      <c r="DL75" s="66">
        <v>0</v>
      </c>
      <c r="DM75" s="66">
        <v>3.7429220000000001</v>
      </c>
      <c r="DN75" s="66">
        <v>3.3311999999999999</v>
      </c>
      <c r="DO75" s="66">
        <v>0.41172199999999998</v>
      </c>
      <c r="DP75" s="66">
        <v>2.93195972</v>
      </c>
      <c r="DQ75" s="66">
        <v>0</v>
      </c>
      <c r="DR75" s="66">
        <v>3.2943373300000003</v>
      </c>
      <c r="DS75" s="66">
        <v>2.93195972</v>
      </c>
      <c r="DT75" s="66">
        <v>0</v>
      </c>
      <c r="DU75" s="66">
        <v>0.36237760999999996</v>
      </c>
      <c r="DV75" s="67">
        <v>88.015121277617681</v>
      </c>
      <c r="DW75" s="67">
        <v>88.015119425243242</v>
      </c>
      <c r="DX75" s="67">
        <v>11.000015289873181</v>
      </c>
      <c r="DY75" s="187">
        <v>0</v>
      </c>
      <c r="DZ75" s="67">
        <v>0</v>
      </c>
      <c r="EA75" s="66">
        <v>0</v>
      </c>
      <c r="EB75" s="66">
        <v>0</v>
      </c>
      <c r="EC75" s="66">
        <v>0</v>
      </c>
      <c r="ED75" s="66">
        <v>0</v>
      </c>
      <c r="EE75" s="66">
        <v>0</v>
      </c>
      <c r="EF75" s="66">
        <v>0</v>
      </c>
      <c r="EG75" s="66">
        <v>0</v>
      </c>
      <c r="EH75" s="66">
        <v>0</v>
      </c>
      <c r="EI75" s="66">
        <v>0</v>
      </c>
      <c r="EJ75" s="66">
        <v>0</v>
      </c>
      <c r="EK75" s="66">
        <v>0</v>
      </c>
      <c r="EL75" s="67" t="s">
        <v>1230</v>
      </c>
      <c r="EM75" s="67" t="s">
        <v>1230</v>
      </c>
      <c r="EN75" s="67">
        <v>0</v>
      </c>
      <c r="EO75" s="187">
        <v>0</v>
      </c>
      <c r="EP75" s="67">
        <v>0</v>
      </c>
      <c r="EQ75" s="66">
        <v>3.4796999999999998</v>
      </c>
      <c r="ER75" s="66">
        <v>0</v>
      </c>
      <c r="ES75" s="66">
        <v>3.9098000000000002</v>
      </c>
      <c r="ET75" s="66">
        <v>3.4796999999999998</v>
      </c>
      <c r="EU75" s="66">
        <v>0.43009999999999998</v>
      </c>
      <c r="EV75" s="66">
        <v>3.4796999999999998</v>
      </c>
      <c r="EW75" s="66">
        <v>0</v>
      </c>
      <c r="EX75" s="66">
        <v>3.9098000000000002</v>
      </c>
      <c r="EY75" s="66">
        <v>3.4796999999999998</v>
      </c>
      <c r="EZ75" s="66">
        <v>0</v>
      </c>
      <c r="FA75" s="66">
        <v>0.43009999999999998</v>
      </c>
      <c r="FB75" s="67">
        <v>100</v>
      </c>
      <c r="FC75" s="67">
        <v>100</v>
      </c>
      <c r="FD75" s="67">
        <v>11.000562688628573</v>
      </c>
      <c r="FE75" s="187">
        <v>0</v>
      </c>
      <c r="FF75" s="67">
        <v>0</v>
      </c>
      <c r="FG75" s="66">
        <v>0</v>
      </c>
      <c r="FH75" s="66">
        <v>0</v>
      </c>
      <c r="FI75" s="66">
        <v>0</v>
      </c>
      <c r="FJ75" s="66">
        <v>0</v>
      </c>
      <c r="FK75" s="66">
        <v>0</v>
      </c>
      <c r="FL75" s="66">
        <v>0</v>
      </c>
      <c r="FM75" s="66">
        <v>0</v>
      </c>
      <c r="FN75" s="66">
        <v>0</v>
      </c>
      <c r="FO75" s="66">
        <v>0</v>
      </c>
      <c r="FP75" s="66">
        <v>0</v>
      </c>
      <c r="FQ75" s="66">
        <v>0</v>
      </c>
      <c r="FR75" s="67" t="s">
        <v>1230</v>
      </c>
      <c r="FS75" s="67" t="s">
        <v>1230</v>
      </c>
      <c r="FT75" s="67">
        <v>0</v>
      </c>
      <c r="FU75" s="187">
        <v>0</v>
      </c>
      <c r="FV75" s="67">
        <v>0</v>
      </c>
      <c r="FW75" s="66">
        <v>0</v>
      </c>
      <c r="FX75" s="66">
        <v>0</v>
      </c>
      <c r="FY75" s="66">
        <v>0</v>
      </c>
      <c r="FZ75" s="66">
        <v>0</v>
      </c>
      <c r="GA75" s="66">
        <v>0</v>
      </c>
      <c r="GB75" s="66">
        <v>0</v>
      </c>
      <c r="GC75" s="66">
        <v>0</v>
      </c>
      <c r="GD75" s="66">
        <v>0</v>
      </c>
      <c r="GE75" s="66">
        <v>0</v>
      </c>
      <c r="GF75" s="66">
        <v>0</v>
      </c>
      <c r="GG75" s="66">
        <v>0</v>
      </c>
      <c r="GH75" s="67" t="s">
        <v>1230</v>
      </c>
      <c r="GI75" s="67" t="s">
        <v>1230</v>
      </c>
      <c r="GJ75" s="67">
        <v>0</v>
      </c>
      <c r="GK75" s="187">
        <v>0</v>
      </c>
      <c r="GL75" s="67">
        <v>0</v>
      </c>
      <c r="GM75" s="66">
        <v>0</v>
      </c>
      <c r="GN75" s="66">
        <v>0</v>
      </c>
      <c r="GO75" s="66">
        <v>0</v>
      </c>
      <c r="GP75" s="66">
        <v>0</v>
      </c>
      <c r="GQ75" s="66">
        <v>0</v>
      </c>
      <c r="GR75" s="66">
        <v>0</v>
      </c>
      <c r="GS75" s="66">
        <v>0</v>
      </c>
      <c r="GT75" s="66">
        <v>0</v>
      </c>
      <c r="GU75" s="66">
        <v>0</v>
      </c>
      <c r="GV75" s="66">
        <v>0</v>
      </c>
      <c r="GW75" s="66">
        <v>0</v>
      </c>
      <c r="GX75" s="67" t="s">
        <v>1230</v>
      </c>
      <c r="GY75" s="67" t="s">
        <v>1230</v>
      </c>
      <c r="GZ75" s="67">
        <v>0</v>
      </c>
      <c r="HA75" s="187">
        <v>0</v>
      </c>
      <c r="HB75" s="67">
        <v>0</v>
      </c>
      <c r="HC75" s="66">
        <v>2.8304</v>
      </c>
      <c r="HD75" s="66">
        <v>0</v>
      </c>
      <c r="HE75" s="66">
        <v>3.1802250000000001</v>
      </c>
      <c r="HF75" s="66">
        <v>2.8304</v>
      </c>
      <c r="HG75" s="66">
        <v>0.349825</v>
      </c>
      <c r="HH75" s="66">
        <v>2.8304</v>
      </c>
      <c r="HI75" s="66">
        <v>0</v>
      </c>
      <c r="HJ75" s="66">
        <v>3.1802250000000001</v>
      </c>
      <c r="HK75" s="66">
        <v>2.8304</v>
      </c>
      <c r="HL75" s="66">
        <v>0</v>
      </c>
      <c r="HM75" s="66">
        <v>0.349825</v>
      </c>
      <c r="HN75" s="67">
        <v>100</v>
      </c>
      <c r="HO75" s="67">
        <v>100</v>
      </c>
      <c r="HP75" s="67">
        <v>11.000007861079011</v>
      </c>
      <c r="HQ75" s="187">
        <v>0</v>
      </c>
      <c r="HR75" s="67">
        <v>0</v>
      </c>
      <c r="HS75" s="66">
        <v>0</v>
      </c>
      <c r="HT75" s="66">
        <v>0</v>
      </c>
      <c r="HU75" s="66">
        <v>0</v>
      </c>
      <c r="HV75" s="66">
        <v>0</v>
      </c>
      <c r="HW75" s="66">
        <v>0</v>
      </c>
      <c r="HX75" s="66">
        <v>0</v>
      </c>
      <c r="HY75" s="66">
        <v>0</v>
      </c>
      <c r="HZ75" s="66">
        <v>0</v>
      </c>
      <c r="IA75" s="66">
        <v>0</v>
      </c>
      <c r="IB75" s="66">
        <v>0</v>
      </c>
      <c r="IC75" s="66">
        <v>0</v>
      </c>
      <c r="ID75" s="67" t="s">
        <v>1230</v>
      </c>
      <c r="IE75" s="67" t="s">
        <v>1230</v>
      </c>
      <c r="IF75" s="67">
        <v>0</v>
      </c>
      <c r="IG75" s="187">
        <v>0</v>
      </c>
      <c r="IH75" s="67">
        <v>0</v>
      </c>
      <c r="II75" s="66">
        <v>0</v>
      </c>
      <c r="IJ75" s="66">
        <v>0</v>
      </c>
      <c r="IK75" s="66">
        <v>0</v>
      </c>
      <c r="IL75" s="66">
        <v>0</v>
      </c>
      <c r="IM75" s="66">
        <v>0</v>
      </c>
      <c r="IN75" s="66">
        <v>0</v>
      </c>
      <c r="IO75" s="66">
        <v>0</v>
      </c>
      <c r="IP75" s="66">
        <v>0</v>
      </c>
      <c r="IQ75" s="66">
        <v>0</v>
      </c>
      <c r="IR75" s="66">
        <v>0</v>
      </c>
      <c r="IS75" s="66">
        <v>0</v>
      </c>
      <c r="IT75" s="67" t="s">
        <v>1230</v>
      </c>
      <c r="IU75" s="67" t="s">
        <v>1230</v>
      </c>
      <c r="IV75" s="67">
        <v>0</v>
      </c>
      <c r="IW75" s="187">
        <v>0</v>
      </c>
      <c r="IX75" s="67">
        <v>0</v>
      </c>
    </row>
    <row r="76" spans="1:258" ht="15.6" x14ac:dyDescent="0.3">
      <c r="A76" s="215">
        <v>64</v>
      </c>
      <c r="B76" s="205" t="s">
        <v>170</v>
      </c>
      <c r="C76" s="66">
        <v>47.983600000000003</v>
      </c>
      <c r="D76" s="66">
        <v>0</v>
      </c>
      <c r="E76" s="66">
        <v>132.0528099</v>
      </c>
      <c r="F76" s="66">
        <v>47.983600000000003</v>
      </c>
      <c r="G76" s="66">
        <v>84.06920989999999</v>
      </c>
      <c r="H76" s="66">
        <v>47.98171146</v>
      </c>
      <c r="I76" s="66">
        <v>6.3246984900000003</v>
      </c>
      <c r="J76" s="66">
        <v>132.05050591</v>
      </c>
      <c r="K76" s="66">
        <v>47.98171146</v>
      </c>
      <c r="L76" s="66">
        <v>0</v>
      </c>
      <c r="M76" s="66">
        <v>84.068794449999999</v>
      </c>
      <c r="N76" s="67">
        <v>99.996064196933943</v>
      </c>
      <c r="O76" s="67">
        <v>99.999505823831953</v>
      </c>
      <c r="P76" s="67">
        <v>63.664121444031196</v>
      </c>
      <c r="Q76" s="66">
        <v>6.3246984900000003</v>
      </c>
      <c r="R76" s="67">
        <v>2.6645352591003757E-15</v>
      </c>
      <c r="S76" s="66">
        <v>12.756399999999999</v>
      </c>
      <c r="T76" s="66">
        <v>0</v>
      </c>
      <c r="U76" s="66">
        <v>25.512799999999999</v>
      </c>
      <c r="V76" s="66">
        <v>12.756399999999999</v>
      </c>
      <c r="W76" s="66">
        <v>12.756399999999999</v>
      </c>
      <c r="X76" s="66">
        <v>12.756399999999999</v>
      </c>
      <c r="Y76" s="66">
        <v>5.75872911</v>
      </c>
      <c r="Z76" s="66">
        <v>25.512799999999999</v>
      </c>
      <c r="AA76" s="66">
        <v>12.756399999999999</v>
      </c>
      <c r="AB76" s="66">
        <v>0</v>
      </c>
      <c r="AC76" s="66">
        <v>12.756399999999999</v>
      </c>
      <c r="AD76" s="67">
        <v>100</v>
      </c>
      <c r="AE76" s="67">
        <v>100</v>
      </c>
      <c r="AF76" s="67">
        <v>50</v>
      </c>
      <c r="AG76" s="187">
        <v>5.75872911</v>
      </c>
      <c r="AH76" s="67">
        <v>8.8817841970012523E-16</v>
      </c>
      <c r="AI76" s="66">
        <v>0</v>
      </c>
      <c r="AJ76" s="66">
        <v>0</v>
      </c>
      <c r="AK76" s="66">
        <v>0</v>
      </c>
      <c r="AL76" s="66">
        <v>0</v>
      </c>
      <c r="AM76" s="66">
        <v>0</v>
      </c>
      <c r="AN76" s="66">
        <v>0</v>
      </c>
      <c r="AO76" s="66">
        <v>0.56596937999999997</v>
      </c>
      <c r="AP76" s="66">
        <v>0</v>
      </c>
      <c r="AQ76" s="66">
        <v>0</v>
      </c>
      <c r="AR76" s="66">
        <v>0</v>
      </c>
      <c r="AS76" s="66">
        <v>0</v>
      </c>
      <c r="AT76" s="67" t="s">
        <v>1230</v>
      </c>
      <c r="AU76" s="67" t="s">
        <v>1230</v>
      </c>
      <c r="AV76" s="67">
        <v>0</v>
      </c>
      <c r="AW76" s="187">
        <v>0.56596937999999997</v>
      </c>
      <c r="AX76" s="67">
        <v>0</v>
      </c>
      <c r="AY76" s="66">
        <v>31.976900000000001</v>
      </c>
      <c r="AZ76" s="66">
        <v>0</v>
      </c>
      <c r="BA76" s="66">
        <v>77.471900000000005</v>
      </c>
      <c r="BB76" s="66">
        <v>31.976900000000001</v>
      </c>
      <c r="BC76" s="66">
        <v>45.494999999999997</v>
      </c>
      <c r="BD76" s="66">
        <v>31.976900000000001</v>
      </c>
      <c r="BE76" s="66">
        <v>0</v>
      </c>
      <c r="BF76" s="66">
        <v>77.471900000000005</v>
      </c>
      <c r="BG76" s="66">
        <v>31.976900000000001</v>
      </c>
      <c r="BH76" s="66">
        <v>0</v>
      </c>
      <c r="BI76" s="66">
        <v>45.494999999999997</v>
      </c>
      <c r="BJ76" s="67">
        <v>100</v>
      </c>
      <c r="BK76" s="67">
        <v>100</v>
      </c>
      <c r="BL76" s="67">
        <v>58.724518180140151</v>
      </c>
      <c r="BM76" s="187">
        <v>0</v>
      </c>
      <c r="BN76" s="67">
        <v>0</v>
      </c>
      <c r="BO76" s="66">
        <v>0</v>
      </c>
      <c r="BP76" s="66">
        <v>0</v>
      </c>
      <c r="BQ76" s="66">
        <v>0</v>
      </c>
      <c r="BR76" s="66">
        <v>0</v>
      </c>
      <c r="BS76" s="66">
        <v>0</v>
      </c>
      <c r="BT76" s="66">
        <v>0</v>
      </c>
      <c r="BU76" s="66">
        <v>0</v>
      </c>
      <c r="BV76" s="66">
        <v>0</v>
      </c>
      <c r="BW76" s="66">
        <v>0</v>
      </c>
      <c r="BX76" s="66">
        <v>0</v>
      </c>
      <c r="BY76" s="66">
        <v>0</v>
      </c>
      <c r="BZ76" s="67" t="s">
        <v>1230</v>
      </c>
      <c r="CA76" s="67" t="s">
        <v>1230</v>
      </c>
      <c r="CB76" s="67">
        <v>0</v>
      </c>
      <c r="CC76" s="187">
        <v>0</v>
      </c>
      <c r="CD76" s="67">
        <v>0</v>
      </c>
      <c r="CE76" s="66">
        <v>0</v>
      </c>
      <c r="CF76" s="66">
        <v>0</v>
      </c>
      <c r="CG76" s="66">
        <v>0</v>
      </c>
      <c r="CH76" s="66">
        <v>0</v>
      </c>
      <c r="CI76" s="66">
        <v>0</v>
      </c>
      <c r="CJ76" s="66">
        <v>0</v>
      </c>
      <c r="CK76" s="66">
        <v>0</v>
      </c>
      <c r="CL76" s="66">
        <v>0</v>
      </c>
      <c r="CM76" s="66">
        <v>0</v>
      </c>
      <c r="CN76" s="66">
        <v>0</v>
      </c>
      <c r="CO76" s="66">
        <v>0</v>
      </c>
      <c r="CP76" s="67" t="s">
        <v>1230</v>
      </c>
      <c r="CQ76" s="67" t="s">
        <v>1230</v>
      </c>
      <c r="CR76" s="67">
        <v>0</v>
      </c>
      <c r="CS76" s="187">
        <v>0</v>
      </c>
      <c r="CT76" s="67">
        <v>0</v>
      </c>
      <c r="CU76" s="66">
        <v>0</v>
      </c>
      <c r="CV76" s="66">
        <v>0</v>
      </c>
      <c r="CW76" s="66">
        <v>0</v>
      </c>
      <c r="CX76" s="66">
        <v>0</v>
      </c>
      <c r="CY76" s="66">
        <v>0</v>
      </c>
      <c r="CZ76" s="66">
        <v>0</v>
      </c>
      <c r="DA76" s="66">
        <v>0</v>
      </c>
      <c r="DB76" s="66">
        <v>0</v>
      </c>
      <c r="DC76" s="66">
        <v>0</v>
      </c>
      <c r="DD76" s="66">
        <v>0</v>
      </c>
      <c r="DE76" s="66">
        <v>0</v>
      </c>
      <c r="DF76" s="67" t="s">
        <v>1230</v>
      </c>
      <c r="DG76" s="67" t="s">
        <v>1230</v>
      </c>
      <c r="DH76" s="67">
        <v>0</v>
      </c>
      <c r="DI76" s="187">
        <v>0</v>
      </c>
      <c r="DJ76" s="67">
        <v>0</v>
      </c>
      <c r="DK76" s="66">
        <v>2.2098</v>
      </c>
      <c r="DL76" s="66">
        <v>0</v>
      </c>
      <c r="DM76" s="66">
        <v>27.799199899999998</v>
      </c>
      <c r="DN76" s="66">
        <v>2.2098</v>
      </c>
      <c r="DO76" s="66">
        <v>25.5893999</v>
      </c>
      <c r="DP76" s="66">
        <v>2.2098</v>
      </c>
      <c r="DQ76" s="66">
        <v>0</v>
      </c>
      <c r="DR76" s="66">
        <v>27.799199000000002</v>
      </c>
      <c r="DS76" s="66">
        <v>2.2098</v>
      </c>
      <c r="DT76" s="66">
        <v>0</v>
      </c>
      <c r="DU76" s="66">
        <v>25.589399</v>
      </c>
      <c r="DV76" s="67">
        <v>100</v>
      </c>
      <c r="DW76" s="67">
        <v>99.999996482918689</v>
      </c>
      <c r="DX76" s="67">
        <v>92.050850098234832</v>
      </c>
      <c r="DY76" s="187">
        <v>0</v>
      </c>
      <c r="DZ76" s="67">
        <v>0</v>
      </c>
      <c r="EA76" s="66">
        <v>0</v>
      </c>
      <c r="EB76" s="66">
        <v>0</v>
      </c>
      <c r="EC76" s="66">
        <v>0</v>
      </c>
      <c r="ED76" s="66">
        <v>0</v>
      </c>
      <c r="EE76" s="66">
        <v>0</v>
      </c>
      <c r="EF76" s="66">
        <v>0</v>
      </c>
      <c r="EG76" s="66">
        <v>0</v>
      </c>
      <c r="EH76" s="66">
        <v>0</v>
      </c>
      <c r="EI76" s="66">
        <v>0</v>
      </c>
      <c r="EJ76" s="66">
        <v>0</v>
      </c>
      <c r="EK76" s="66">
        <v>0</v>
      </c>
      <c r="EL76" s="67" t="s">
        <v>1230</v>
      </c>
      <c r="EM76" s="67" t="s">
        <v>1230</v>
      </c>
      <c r="EN76" s="67">
        <v>0</v>
      </c>
      <c r="EO76" s="187">
        <v>0</v>
      </c>
      <c r="EP76" s="67">
        <v>0</v>
      </c>
      <c r="EQ76" s="66">
        <v>0</v>
      </c>
      <c r="ER76" s="66">
        <v>0</v>
      </c>
      <c r="ES76" s="66">
        <v>0</v>
      </c>
      <c r="ET76" s="66">
        <v>0</v>
      </c>
      <c r="EU76" s="66">
        <v>0</v>
      </c>
      <c r="EV76" s="66">
        <v>0</v>
      </c>
      <c r="EW76" s="66">
        <v>0</v>
      </c>
      <c r="EX76" s="66">
        <v>0</v>
      </c>
      <c r="EY76" s="66">
        <v>0</v>
      </c>
      <c r="EZ76" s="66">
        <v>0</v>
      </c>
      <c r="FA76" s="66">
        <v>0</v>
      </c>
      <c r="FB76" s="67" t="s">
        <v>1230</v>
      </c>
      <c r="FC76" s="67" t="s">
        <v>1230</v>
      </c>
      <c r="FD76" s="67">
        <v>0</v>
      </c>
      <c r="FE76" s="187">
        <v>0</v>
      </c>
      <c r="FF76" s="67">
        <v>0</v>
      </c>
      <c r="FG76" s="66">
        <v>0</v>
      </c>
      <c r="FH76" s="66">
        <v>0</v>
      </c>
      <c r="FI76" s="66">
        <v>0</v>
      </c>
      <c r="FJ76" s="66">
        <v>0</v>
      </c>
      <c r="FK76" s="66">
        <v>0</v>
      </c>
      <c r="FL76" s="66">
        <v>0</v>
      </c>
      <c r="FM76" s="66">
        <v>0</v>
      </c>
      <c r="FN76" s="66">
        <v>0</v>
      </c>
      <c r="FO76" s="66">
        <v>0</v>
      </c>
      <c r="FP76" s="66">
        <v>0</v>
      </c>
      <c r="FQ76" s="66">
        <v>0</v>
      </c>
      <c r="FR76" s="67" t="s">
        <v>1230</v>
      </c>
      <c r="FS76" s="67" t="s">
        <v>1230</v>
      </c>
      <c r="FT76" s="67">
        <v>0</v>
      </c>
      <c r="FU76" s="187">
        <v>0</v>
      </c>
      <c r="FV76" s="67">
        <v>0</v>
      </c>
      <c r="FW76" s="66">
        <v>0</v>
      </c>
      <c r="FX76" s="66">
        <v>0</v>
      </c>
      <c r="FY76" s="66">
        <v>0</v>
      </c>
      <c r="FZ76" s="66">
        <v>0</v>
      </c>
      <c r="GA76" s="66">
        <v>0</v>
      </c>
      <c r="GB76" s="66">
        <v>0</v>
      </c>
      <c r="GC76" s="66">
        <v>0</v>
      </c>
      <c r="GD76" s="66">
        <v>0</v>
      </c>
      <c r="GE76" s="66">
        <v>0</v>
      </c>
      <c r="GF76" s="66">
        <v>0</v>
      </c>
      <c r="GG76" s="66">
        <v>0</v>
      </c>
      <c r="GH76" s="67" t="s">
        <v>1230</v>
      </c>
      <c r="GI76" s="67" t="s">
        <v>1230</v>
      </c>
      <c r="GJ76" s="67">
        <v>0</v>
      </c>
      <c r="GK76" s="187">
        <v>0</v>
      </c>
      <c r="GL76" s="67">
        <v>0</v>
      </c>
      <c r="GM76" s="66">
        <v>0</v>
      </c>
      <c r="GN76" s="66">
        <v>0</v>
      </c>
      <c r="GO76" s="66">
        <v>0</v>
      </c>
      <c r="GP76" s="66">
        <v>0</v>
      </c>
      <c r="GQ76" s="66">
        <v>0</v>
      </c>
      <c r="GR76" s="66">
        <v>0</v>
      </c>
      <c r="GS76" s="66">
        <v>0</v>
      </c>
      <c r="GT76" s="66">
        <v>0</v>
      </c>
      <c r="GU76" s="66">
        <v>0</v>
      </c>
      <c r="GV76" s="66">
        <v>0</v>
      </c>
      <c r="GW76" s="66">
        <v>0</v>
      </c>
      <c r="GX76" s="67" t="s">
        <v>1230</v>
      </c>
      <c r="GY76" s="67" t="s">
        <v>1230</v>
      </c>
      <c r="GZ76" s="67">
        <v>0</v>
      </c>
      <c r="HA76" s="187">
        <v>0</v>
      </c>
      <c r="HB76" s="67">
        <v>0</v>
      </c>
      <c r="HC76" s="66">
        <v>1.0405</v>
      </c>
      <c r="HD76" s="66">
        <v>0</v>
      </c>
      <c r="HE76" s="66">
        <v>1.26891</v>
      </c>
      <c r="HF76" s="66">
        <v>1.0405</v>
      </c>
      <c r="HG76" s="66">
        <v>0.22841</v>
      </c>
      <c r="HH76" s="66">
        <v>1.03861146</v>
      </c>
      <c r="HI76" s="66">
        <v>0</v>
      </c>
      <c r="HJ76" s="66">
        <v>1.2666069099999999</v>
      </c>
      <c r="HK76" s="66">
        <v>1.03861146</v>
      </c>
      <c r="HL76" s="66">
        <v>0</v>
      </c>
      <c r="HM76" s="66">
        <v>0.22799545000000002</v>
      </c>
      <c r="HN76" s="67">
        <v>99.818496876501683</v>
      </c>
      <c r="HO76" s="67">
        <v>99.818506195000225</v>
      </c>
      <c r="HP76" s="67">
        <v>18.000489986273642</v>
      </c>
      <c r="HQ76" s="187">
        <v>0</v>
      </c>
      <c r="HR76" s="67">
        <v>0</v>
      </c>
      <c r="HS76" s="66">
        <v>0</v>
      </c>
      <c r="HT76" s="66">
        <v>0</v>
      </c>
      <c r="HU76" s="66">
        <v>0</v>
      </c>
      <c r="HV76" s="66">
        <v>0</v>
      </c>
      <c r="HW76" s="66">
        <v>0</v>
      </c>
      <c r="HX76" s="66">
        <v>0</v>
      </c>
      <c r="HY76" s="66">
        <v>0</v>
      </c>
      <c r="HZ76" s="66">
        <v>0</v>
      </c>
      <c r="IA76" s="66">
        <v>0</v>
      </c>
      <c r="IB76" s="66">
        <v>0</v>
      </c>
      <c r="IC76" s="66">
        <v>0</v>
      </c>
      <c r="ID76" s="67" t="s">
        <v>1230</v>
      </c>
      <c r="IE76" s="67" t="s">
        <v>1230</v>
      </c>
      <c r="IF76" s="67">
        <v>0</v>
      </c>
      <c r="IG76" s="187">
        <v>0</v>
      </c>
      <c r="IH76" s="67">
        <v>0</v>
      </c>
      <c r="II76" s="66">
        <v>0</v>
      </c>
      <c r="IJ76" s="66">
        <v>0</v>
      </c>
      <c r="IK76" s="66">
        <v>0</v>
      </c>
      <c r="IL76" s="66">
        <v>0</v>
      </c>
      <c r="IM76" s="66">
        <v>0</v>
      </c>
      <c r="IN76" s="66">
        <v>0</v>
      </c>
      <c r="IO76" s="66">
        <v>0</v>
      </c>
      <c r="IP76" s="66">
        <v>0</v>
      </c>
      <c r="IQ76" s="66">
        <v>0</v>
      </c>
      <c r="IR76" s="66">
        <v>0</v>
      </c>
      <c r="IS76" s="66">
        <v>0</v>
      </c>
      <c r="IT76" s="67" t="s">
        <v>1230</v>
      </c>
      <c r="IU76" s="67" t="s">
        <v>1230</v>
      </c>
      <c r="IV76" s="67">
        <v>0</v>
      </c>
      <c r="IW76" s="187">
        <v>0</v>
      </c>
      <c r="IX76" s="67">
        <v>0</v>
      </c>
    </row>
    <row r="77" spans="1:258" ht="15.6" x14ac:dyDescent="0.3">
      <c r="A77" s="202">
        <v>65</v>
      </c>
      <c r="B77" s="203" t="s">
        <v>173</v>
      </c>
      <c r="C77" s="61">
        <v>236.88230000000001</v>
      </c>
      <c r="D77" s="61">
        <v>0</v>
      </c>
      <c r="E77" s="61">
        <v>687.19060104999994</v>
      </c>
      <c r="F77" s="61">
        <v>236.88230000000001</v>
      </c>
      <c r="G77" s="61">
        <v>450.30830105000001</v>
      </c>
      <c r="H77" s="61">
        <v>230.7756219</v>
      </c>
      <c r="I77" s="61">
        <v>2.6535630100000001</v>
      </c>
      <c r="J77" s="61">
        <v>663.76864440000008</v>
      </c>
      <c r="K77" s="61">
        <v>230.77562189000002</v>
      </c>
      <c r="L77" s="61">
        <v>0</v>
      </c>
      <c r="M77" s="61">
        <v>432.99302250999995</v>
      </c>
      <c r="N77" s="61">
        <v>97.422062302670994</v>
      </c>
      <c r="O77" s="61">
        <v>96.154794726274105</v>
      </c>
      <c r="P77" s="61">
        <v>65.232521325468014</v>
      </c>
      <c r="Q77" s="61">
        <v>2.6451033900000001</v>
      </c>
      <c r="R77" s="61">
        <v>8.459630000003604E-3</v>
      </c>
      <c r="S77" s="61">
        <v>121.43299999999999</v>
      </c>
      <c r="T77" s="61">
        <v>0</v>
      </c>
      <c r="U77" s="61">
        <v>385.22405237999999</v>
      </c>
      <c r="V77" s="61">
        <v>121.43299999999999</v>
      </c>
      <c r="W77" s="61">
        <v>263.79105238</v>
      </c>
      <c r="X77" s="61">
        <v>121.43299997999999</v>
      </c>
      <c r="Y77" s="61">
        <v>0.6296068600000001</v>
      </c>
      <c r="Z77" s="61">
        <v>385.22405180999999</v>
      </c>
      <c r="AA77" s="61">
        <v>121.43299996999998</v>
      </c>
      <c r="AB77" s="61">
        <v>0</v>
      </c>
      <c r="AC77" s="61">
        <v>263.79105184000002</v>
      </c>
      <c r="AD77" s="61">
        <v>99.999999975295012</v>
      </c>
      <c r="AE77" s="61">
        <v>99.999999795292538</v>
      </c>
      <c r="AF77" s="61">
        <v>68.477305765452797</v>
      </c>
      <c r="AG77" s="61">
        <v>0.6296068600000001</v>
      </c>
      <c r="AH77" s="61">
        <v>9.999995484455404E-9</v>
      </c>
      <c r="AI77" s="61">
        <v>0</v>
      </c>
      <c r="AJ77" s="61">
        <v>0</v>
      </c>
      <c r="AK77" s="61">
        <v>0</v>
      </c>
      <c r="AL77" s="61">
        <v>0</v>
      </c>
      <c r="AM77" s="61">
        <v>0</v>
      </c>
      <c r="AN77" s="61">
        <v>0</v>
      </c>
      <c r="AO77" s="61">
        <v>2.0239561500000001</v>
      </c>
      <c r="AP77" s="61">
        <v>0</v>
      </c>
      <c r="AQ77" s="61">
        <v>0</v>
      </c>
      <c r="AR77" s="61">
        <v>0</v>
      </c>
      <c r="AS77" s="61">
        <v>0</v>
      </c>
      <c r="AT77" s="61" t="s">
        <v>1230</v>
      </c>
      <c r="AU77" s="61" t="s">
        <v>1230</v>
      </c>
      <c r="AV77" s="61">
        <v>0</v>
      </c>
      <c r="AW77" s="61">
        <v>2.0154965300000001</v>
      </c>
      <c r="AX77" s="61">
        <v>8.4596200000002231E-3</v>
      </c>
      <c r="AY77" s="61">
        <v>90.553299999999993</v>
      </c>
      <c r="AZ77" s="61">
        <v>0</v>
      </c>
      <c r="BA77" s="61">
        <v>230.44240000000002</v>
      </c>
      <c r="BB77" s="61">
        <v>90.553299999999993</v>
      </c>
      <c r="BC77" s="61">
        <v>139.88910000000001</v>
      </c>
      <c r="BD77" s="61">
        <v>85.17250021000001</v>
      </c>
      <c r="BE77" s="61">
        <v>0</v>
      </c>
      <c r="BF77" s="61">
        <v>208.07365794999998</v>
      </c>
      <c r="BG77" s="61">
        <v>85.17250021000001</v>
      </c>
      <c r="BH77" s="61">
        <v>0</v>
      </c>
      <c r="BI77" s="61">
        <v>122.90115774</v>
      </c>
      <c r="BJ77" s="61">
        <v>94.057864495275183</v>
      </c>
      <c r="BK77" s="61">
        <v>87.856135853329519</v>
      </c>
      <c r="BL77" s="61">
        <v>59.066178271126034</v>
      </c>
      <c r="BM77" s="61">
        <v>0</v>
      </c>
      <c r="BN77" s="61">
        <v>0</v>
      </c>
      <c r="BO77" s="61">
        <v>0</v>
      </c>
      <c r="BP77" s="61">
        <v>0</v>
      </c>
      <c r="BQ77" s="61">
        <v>0</v>
      </c>
      <c r="BR77" s="61">
        <v>0</v>
      </c>
      <c r="BS77" s="61">
        <v>0</v>
      </c>
      <c r="BT77" s="61">
        <v>0</v>
      </c>
      <c r="BU77" s="61">
        <v>0</v>
      </c>
      <c r="BV77" s="61">
        <v>0</v>
      </c>
      <c r="BW77" s="61">
        <v>0</v>
      </c>
      <c r="BX77" s="61">
        <v>0</v>
      </c>
      <c r="BY77" s="61">
        <v>0</v>
      </c>
      <c r="BZ77" s="61" t="s">
        <v>1230</v>
      </c>
      <c r="CA77" s="61" t="s">
        <v>1230</v>
      </c>
      <c r="CB77" s="61">
        <v>0</v>
      </c>
      <c r="CC77" s="61">
        <v>0</v>
      </c>
      <c r="CD77" s="61">
        <v>0</v>
      </c>
      <c r="CE77" s="61">
        <v>4.8837000000000002</v>
      </c>
      <c r="CF77" s="61">
        <v>0</v>
      </c>
      <c r="CG77" s="61">
        <v>34.883699999999997</v>
      </c>
      <c r="CH77" s="61">
        <v>4.8837000000000002</v>
      </c>
      <c r="CI77" s="61">
        <v>30</v>
      </c>
      <c r="CJ77" s="61">
        <v>4.8837000000000002</v>
      </c>
      <c r="CK77" s="61">
        <v>0</v>
      </c>
      <c r="CL77" s="61">
        <v>34.883699999999997</v>
      </c>
      <c r="CM77" s="61">
        <v>4.8837000000000002</v>
      </c>
      <c r="CN77" s="61">
        <v>0</v>
      </c>
      <c r="CO77" s="61">
        <v>30</v>
      </c>
      <c r="CP77" s="61">
        <v>100</v>
      </c>
      <c r="CQ77" s="61">
        <v>100</v>
      </c>
      <c r="CR77" s="61">
        <v>86.000051600030972</v>
      </c>
      <c r="CS77" s="61">
        <v>0</v>
      </c>
      <c r="CT77" s="61">
        <v>0</v>
      </c>
      <c r="CU77" s="61">
        <v>0</v>
      </c>
      <c r="CV77" s="61">
        <v>0</v>
      </c>
      <c r="CW77" s="61">
        <v>0</v>
      </c>
      <c r="CX77" s="61">
        <v>0</v>
      </c>
      <c r="CY77" s="61">
        <v>0</v>
      </c>
      <c r="CZ77" s="61">
        <v>0</v>
      </c>
      <c r="DA77" s="61">
        <v>0</v>
      </c>
      <c r="DB77" s="61">
        <v>0</v>
      </c>
      <c r="DC77" s="61">
        <v>0</v>
      </c>
      <c r="DD77" s="61">
        <v>0</v>
      </c>
      <c r="DE77" s="61">
        <v>0</v>
      </c>
      <c r="DF77" s="61" t="s">
        <v>1230</v>
      </c>
      <c r="DG77" s="61" t="s">
        <v>1230</v>
      </c>
      <c r="DH77" s="61">
        <v>0</v>
      </c>
      <c r="DI77" s="61">
        <v>0</v>
      </c>
      <c r="DJ77" s="61">
        <v>0</v>
      </c>
      <c r="DK77" s="61">
        <v>0</v>
      </c>
      <c r="DL77" s="61">
        <v>0</v>
      </c>
      <c r="DM77" s="61">
        <v>0</v>
      </c>
      <c r="DN77" s="61">
        <v>0</v>
      </c>
      <c r="DO77" s="61">
        <v>0</v>
      </c>
      <c r="DP77" s="61">
        <v>0</v>
      </c>
      <c r="DQ77" s="61">
        <v>0</v>
      </c>
      <c r="DR77" s="61">
        <v>0</v>
      </c>
      <c r="DS77" s="61">
        <v>0</v>
      </c>
      <c r="DT77" s="61">
        <v>0</v>
      </c>
      <c r="DU77" s="61">
        <v>0</v>
      </c>
      <c r="DV77" s="61" t="s">
        <v>1230</v>
      </c>
      <c r="DW77" s="61" t="s">
        <v>1230</v>
      </c>
      <c r="DX77" s="61">
        <v>0</v>
      </c>
      <c r="DY77" s="61">
        <v>0</v>
      </c>
      <c r="DZ77" s="61">
        <v>0</v>
      </c>
      <c r="EA77" s="61">
        <v>0</v>
      </c>
      <c r="EB77" s="61">
        <v>0</v>
      </c>
      <c r="EC77" s="61">
        <v>0</v>
      </c>
      <c r="ED77" s="61">
        <v>0</v>
      </c>
      <c r="EE77" s="61">
        <v>0</v>
      </c>
      <c r="EF77" s="61">
        <v>0</v>
      </c>
      <c r="EG77" s="61">
        <v>0</v>
      </c>
      <c r="EH77" s="61">
        <v>0</v>
      </c>
      <c r="EI77" s="61">
        <v>0</v>
      </c>
      <c r="EJ77" s="61">
        <v>0</v>
      </c>
      <c r="EK77" s="61">
        <v>0</v>
      </c>
      <c r="EL77" s="61" t="s">
        <v>1230</v>
      </c>
      <c r="EM77" s="61" t="s">
        <v>1230</v>
      </c>
      <c r="EN77" s="61">
        <v>0</v>
      </c>
      <c r="EO77" s="61">
        <v>0</v>
      </c>
      <c r="EP77" s="61">
        <v>0</v>
      </c>
      <c r="EQ77" s="61">
        <v>2.0030000000000001</v>
      </c>
      <c r="ER77" s="61">
        <v>0</v>
      </c>
      <c r="ES77" s="61">
        <v>4.7088999999999999</v>
      </c>
      <c r="ET77" s="61">
        <v>2.0030000000000001</v>
      </c>
      <c r="EU77" s="61">
        <v>2.7059000000000002</v>
      </c>
      <c r="EV77" s="61">
        <v>1.9993249099999999</v>
      </c>
      <c r="EW77" s="61">
        <v>0</v>
      </c>
      <c r="EX77" s="61">
        <v>4.7002601500000001</v>
      </c>
      <c r="EY77" s="61">
        <v>1.9993249099999999</v>
      </c>
      <c r="EZ77" s="61">
        <v>0</v>
      </c>
      <c r="FA77" s="61">
        <v>2.7009352400000002</v>
      </c>
      <c r="FB77" s="61">
        <v>99.816520718921609</v>
      </c>
      <c r="FC77" s="61">
        <v>99.816520935733024</v>
      </c>
      <c r="FD77" s="61">
        <v>57.463526566715672</v>
      </c>
      <c r="FE77" s="61">
        <v>0</v>
      </c>
      <c r="FF77" s="61">
        <v>0</v>
      </c>
      <c r="FG77" s="61">
        <v>0</v>
      </c>
      <c r="FH77" s="61">
        <v>0</v>
      </c>
      <c r="FI77" s="61">
        <v>0</v>
      </c>
      <c r="FJ77" s="61">
        <v>0</v>
      </c>
      <c r="FK77" s="61">
        <v>0</v>
      </c>
      <c r="FL77" s="61">
        <v>0</v>
      </c>
      <c r="FM77" s="61">
        <v>0</v>
      </c>
      <c r="FN77" s="61">
        <v>0</v>
      </c>
      <c r="FO77" s="61">
        <v>0</v>
      </c>
      <c r="FP77" s="61">
        <v>0</v>
      </c>
      <c r="FQ77" s="61">
        <v>0</v>
      </c>
      <c r="FR77" s="61" t="s">
        <v>1230</v>
      </c>
      <c r="FS77" s="61" t="s">
        <v>1230</v>
      </c>
      <c r="FT77" s="61">
        <v>0</v>
      </c>
      <c r="FU77" s="61">
        <v>0</v>
      </c>
      <c r="FV77" s="61">
        <v>0</v>
      </c>
      <c r="FW77" s="61">
        <v>15.6053</v>
      </c>
      <c r="FX77" s="61">
        <v>0</v>
      </c>
      <c r="FY77" s="61">
        <v>21.946300000000001</v>
      </c>
      <c r="FZ77" s="61">
        <v>15.6053</v>
      </c>
      <c r="GA77" s="61">
        <v>6.3410000000000002</v>
      </c>
      <c r="GB77" s="61">
        <v>14.892307539999999</v>
      </c>
      <c r="GC77" s="61">
        <v>0</v>
      </c>
      <c r="GD77" s="61">
        <v>20.943592819999999</v>
      </c>
      <c r="GE77" s="61">
        <v>14.892307539999999</v>
      </c>
      <c r="GF77" s="61">
        <v>0</v>
      </c>
      <c r="GG77" s="61">
        <v>6.0512852800000001</v>
      </c>
      <c r="GH77" s="61">
        <v>95.431087771462259</v>
      </c>
      <c r="GI77" s="61">
        <v>95.43108784103454</v>
      </c>
      <c r="GJ77" s="61">
        <v>28.893253091806436</v>
      </c>
      <c r="GK77" s="61">
        <v>0</v>
      </c>
      <c r="GL77" s="61">
        <v>0</v>
      </c>
      <c r="GM77" s="61">
        <v>0</v>
      </c>
      <c r="GN77" s="61">
        <v>0</v>
      </c>
      <c r="GO77" s="61">
        <v>0</v>
      </c>
      <c r="GP77" s="61">
        <v>0</v>
      </c>
      <c r="GQ77" s="61">
        <v>0</v>
      </c>
      <c r="GR77" s="61">
        <v>0</v>
      </c>
      <c r="GS77" s="61">
        <v>0</v>
      </c>
      <c r="GT77" s="61">
        <v>0</v>
      </c>
      <c r="GU77" s="61">
        <v>0</v>
      </c>
      <c r="GV77" s="61">
        <v>0</v>
      </c>
      <c r="GW77" s="61">
        <v>0</v>
      </c>
      <c r="GX77" s="61" t="s">
        <v>1230</v>
      </c>
      <c r="GY77" s="61" t="s">
        <v>1230</v>
      </c>
      <c r="GZ77" s="61">
        <v>0</v>
      </c>
      <c r="HA77" s="61">
        <v>0</v>
      </c>
      <c r="HB77" s="61">
        <v>0</v>
      </c>
      <c r="HC77" s="61">
        <v>2.4039999999999999</v>
      </c>
      <c r="HD77" s="61">
        <v>0</v>
      </c>
      <c r="HE77" s="61">
        <v>9.9852486699999989</v>
      </c>
      <c r="HF77" s="61">
        <v>2.4039999999999999</v>
      </c>
      <c r="HG77" s="61">
        <v>7.5812486699999999</v>
      </c>
      <c r="HH77" s="61">
        <v>2.39478926</v>
      </c>
      <c r="HI77" s="61">
        <v>0</v>
      </c>
      <c r="HJ77" s="61">
        <v>9.9433816699999991</v>
      </c>
      <c r="HK77" s="61">
        <v>2.39478926</v>
      </c>
      <c r="HL77" s="61">
        <v>0</v>
      </c>
      <c r="HM77" s="61">
        <v>7.5485924099999995</v>
      </c>
      <c r="HN77" s="61">
        <v>99.616857737104823</v>
      </c>
      <c r="HO77" s="61">
        <v>99.56924958642729</v>
      </c>
      <c r="HP77" s="61">
        <v>75.915746378062948</v>
      </c>
      <c r="HQ77" s="61">
        <v>0</v>
      </c>
      <c r="HR77" s="61">
        <v>0</v>
      </c>
      <c r="HS77" s="61">
        <v>0</v>
      </c>
      <c r="HT77" s="61">
        <v>0</v>
      </c>
      <c r="HU77" s="61">
        <v>0</v>
      </c>
      <c r="HV77" s="61">
        <v>0</v>
      </c>
      <c r="HW77" s="61">
        <v>0</v>
      </c>
      <c r="HX77" s="61">
        <v>0</v>
      </c>
      <c r="HY77" s="61">
        <v>0</v>
      </c>
      <c r="HZ77" s="61">
        <v>0</v>
      </c>
      <c r="IA77" s="61">
        <v>0</v>
      </c>
      <c r="IB77" s="61">
        <v>0</v>
      </c>
      <c r="IC77" s="61">
        <v>0</v>
      </c>
      <c r="ID77" s="61" t="s">
        <v>1230</v>
      </c>
      <c r="IE77" s="61" t="s">
        <v>1230</v>
      </c>
      <c r="IF77" s="61">
        <v>0</v>
      </c>
      <c r="IG77" s="61">
        <v>0</v>
      </c>
      <c r="IH77" s="61">
        <v>0</v>
      </c>
      <c r="II77" s="61">
        <v>0</v>
      </c>
      <c r="IJ77" s="61">
        <v>0</v>
      </c>
      <c r="IK77" s="61">
        <v>0</v>
      </c>
      <c r="IL77" s="61">
        <v>0</v>
      </c>
      <c r="IM77" s="61">
        <v>0</v>
      </c>
      <c r="IN77" s="61">
        <v>0</v>
      </c>
      <c r="IO77" s="61">
        <v>0</v>
      </c>
      <c r="IP77" s="61">
        <v>0</v>
      </c>
      <c r="IQ77" s="61">
        <v>0</v>
      </c>
      <c r="IR77" s="61">
        <v>0</v>
      </c>
      <c r="IS77" s="61">
        <v>0</v>
      </c>
      <c r="IT77" s="61" t="s">
        <v>1230</v>
      </c>
      <c r="IU77" s="61" t="s">
        <v>1230</v>
      </c>
      <c r="IV77" s="61">
        <v>0</v>
      </c>
      <c r="IW77" s="61">
        <v>0</v>
      </c>
      <c r="IX77" s="61">
        <v>0</v>
      </c>
    </row>
    <row r="78" spans="1:258" ht="15.6" x14ac:dyDescent="0.3">
      <c r="A78" s="169">
        <v>66</v>
      </c>
      <c r="B78" s="205" t="s">
        <v>176</v>
      </c>
      <c r="C78" s="66">
        <v>98.048600000000008</v>
      </c>
      <c r="D78" s="66">
        <v>0</v>
      </c>
      <c r="E78" s="66">
        <v>237.6618</v>
      </c>
      <c r="F78" s="66">
        <v>98.048600000000008</v>
      </c>
      <c r="G78" s="66">
        <v>139.61320000000003</v>
      </c>
      <c r="H78" s="66">
        <v>96.519744900000006</v>
      </c>
      <c r="I78" s="66">
        <v>0</v>
      </c>
      <c r="J78" s="66">
        <v>234.09323215999999</v>
      </c>
      <c r="K78" s="66">
        <v>96.519744900000006</v>
      </c>
      <c r="L78" s="66">
        <v>0</v>
      </c>
      <c r="M78" s="66">
        <v>137.57348726000001</v>
      </c>
      <c r="N78" s="67">
        <v>98.440717052563727</v>
      </c>
      <c r="O78" s="67">
        <v>98.539025865749068</v>
      </c>
      <c r="P78" s="67">
        <v>58.768673485600878</v>
      </c>
      <c r="Q78" s="66">
        <v>0</v>
      </c>
      <c r="R78" s="67">
        <v>0</v>
      </c>
      <c r="S78" s="66">
        <v>33.5929</v>
      </c>
      <c r="T78" s="66">
        <v>0</v>
      </c>
      <c r="U78" s="66">
        <v>83.992900000000006</v>
      </c>
      <c r="V78" s="66">
        <v>33.5929</v>
      </c>
      <c r="W78" s="66">
        <v>50.4</v>
      </c>
      <c r="X78" s="66">
        <v>33.5929</v>
      </c>
      <c r="Y78" s="66">
        <v>0</v>
      </c>
      <c r="Z78" s="66">
        <v>83.992900000000006</v>
      </c>
      <c r="AA78" s="66">
        <v>33.5929</v>
      </c>
      <c r="AB78" s="66">
        <v>0</v>
      </c>
      <c r="AC78" s="66">
        <v>50.4</v>
      </c>
      <c r="AD78" s="67">
        <v>100</v>
      </c>
      <c r="AE78" s="67">
        <v>100</v>
      </c>
      <c r="AF78" s="67">
        <v>60.005071857264127</v>
      </c>
      <c r="AG78" s="187">
        <v>0</v>
      </c>
      <c r="AH78" s="67">
        <v>0</v>
      </c>
      <c r="AI78" s="66">
        <v>0</v>
      </c>
      <c r="AJ78" s="66">
        <v>0</v>
      </c>
      <c r="AK78" s="66">
        <v>0</v>
      </c>
      <c r="AL78" s="66">
        <v>0</v>
      </c>
      <c r="AM78" s="66">
        <v>0</v>
      </c>
      <c r="AN78" s="66">
        <v>0</v>
      </c>
      <c r="AO78" s="66">
        <v>0</v>
      </c>
      <c r="AP78" s="66">
        <v>0</v>
      </c>
      <c r="AQ78" s="66">
        <v>0</v>
      </c>
      <c r="AR78" s="66">
        <v>0</v>
      </c>
      <c r="AS78" s="66">
        <v>0</v>
      </c>
      <c r="AT78" s="67" t="s">
        <v>1230</v>
      </c>
      <c r="AU78" s="67" t="s">
        <v>1230</v>
      </c>
      <c r="AV78" s="67">
        <v>0</v>
      </c>
      <c r="AW78" s="187">
        <v>0</v>
      </c>
      <c r="AX78" s="67">
        <v>0</v>
      </c>
      <c r="AY78" s="66">
        <v>45.676000000000002</v>
      </c>
      <c r="AZ78" s="66">
        <v>0</v>
      </c>
      <c r="BA78" s="66">
        <v>120.84229999999999</v>
      </c>
      <c r="BB78" s="66">
        <v>45.676000000000002</v>
      </c>
      <c r="BC78" s="66">
        <v>75.166300000000007</v>
      </c>
      <c r="BD78" s="66">
        <v>44.863812450000005</v>
      </c>
      <c r="BE78" s="66">
        <v>0</v>
      </c>
      <c r="BF78" s="66">
        <v>118.28507919</v>
      </c>
      <c r="BG78" s="66">
        <v>44.863812450000005</v>
      </c>
      <c r="BH78" s="66">
        <v>0</v>
      </c>
      <c r="BI78" s="66">
        <v>73.421266739999993</v>
      </c>
      <c r="BJ78" s="67">
        <v>98.221850534197401</v>
      </c>
      <c r="BK78" s="67">
        <v>97.678436666431608</v>
      </c>
      <c r="BL78" s="67">
        <v>62.071452496611371</v>
      </c>
      <c r="BM78" s="187">
        <v>0</v>
      </c>
      <c r="BN78" s="67">
        <v>0</v>
      </c>
      <c r="BO78" s="66">
        <v>0</v>
      </c>
      <c r="BP78" s="66">
        <v>0</v>
      </c>
      <c r="BQ78" s="66">
        <v>0</v>
      </c>
      <c r="BR78" s="66">
        <v>0</v>
      </c>
      <c r="BS78" s="66">
        <v>0</v>
      </c>
      <c r="BT78" s="66">
        <v>0</v>
      </c>
      <c r="BU78" s="66">
        <v>0</v>
      </c>
      <c r="BV78" s="66">
        <v>0</v>
      </c>
      <c r="BW78" s="66">
        <v>0</v>
      </c>
      <c r="BX78" s="66">
        <v>0</v>
      </c>
      <c r="BY78" s="66">
        <v>0</v>
      </c>
      <c r="BZ78" s="67" t="s">
        <v>1230</v>
      </c>
      <c r="CA78" s="67" t="s">
        <v>1230</v>
      </c>
      <c r="CB78" s="67">
        <v>0</v>
      </c>
      <c r="CC78" s="187">
        <v>0</v>
      </c>
      <c r="CD78" s="67">
        <v>0</v>
      </c>
      <c r="CE78" s="66">
        <v>0</v>
      </c>
      <c r="CF78" s="66">
        <v>0</v>
      </c>
      <c r="CG78" s="66">
        <v>0</v>
      </c>
      <c r="CH78" s="66">
        <v>0</v>
      </c>
      <c r="CI78" s="66">
        <v>0</v>
      </c>
      <c r="CJ78" s="66">
        <v>0</v>
      </c>
      <c r="CK78" s="66">
        <v>0</v>
      </c>
      <c r="CL78" s="66">
        <v>0</v>
      </c>
      <c r="CM78" s="66">
        <v>0</v>
      </c>
      <c r="CN78" s="66">
        <v>0</v>
      </c>
      <c r="CO78" s="66">
        <v>0</v>
      </c>
      <c r="CP78" s="67" t="s">
        <v>1230</v>
      </c>
      <c r="CQ78" s="67" t="s">
        <v>1230</v>
      </c>
      <c r="CR78" s="67">
        <v>0</v>
      </c>
      <c r="CS78" s="187">
        <v>0</v>
      </c>
      <c r="CT78" s="67">
        <v>0</v>
      </c>
      <c r="CU78" s="66">
        <v>0</v>
      </c>
      <c r="CV78" s="66">
        <v>0</v>
      </c>
      <c r="CW78" s="66">
        <v>0</v>
      </c>
      <c r="CX78" s="66">
        <v>0</v>
      </c>
      <c r="CY78" s="66">
        <v>0</v>
      </c>
      <c r="CZ78" s="66">
        <v>0</v>
      </c>
      <c r="DA78" s="66">
        <v>0</v>
      </c>
      <c r="DB78" s="66">
        <v>0</v>
      </c>
      <c r="DC78" s="66">
        <v>0</v>
      </c>
      <c r="DD78" s="66">
        <v>0</v>
      </c>
      <c r="DE78" s="66">
        <v>0</v>
      </c>
      <c r="DF78" s="67" t="s">
        <v>1230</v>
      </c>
      <c r="DG78" s="67" t="s">
        <v>1230</v>
      </c>
      <c r="DH78" s="67">
        <v>0</v>
      </c>
      <c r="DI78" s="187">
        <v>0</v>
      </c>
      <c r="DJ78" s="67">
        <v>0</v>
      </c>
      <c r="DK78" s="66">
        <v>0</v>
      </c>
      <c r="DL78" s="66">
        <v>0</v>
      </c>
      <c r="DM78" s="66">
        <v>0</v>
      </c>
      <c r="DN78" s="66">
        <v>0</v>
      </c>
      <c r="DO78" s="66">
        <v>0</v>
      </c>
      <c r="DP78" s="66">
        <v>0</v>
      </c>
      <c r="DQ78" s="66">
        <v>0</v>
      </c>
      <c r="DR78" s="66">
        <v>0</v>
      </c>
      <c r="DS78" s="66">
        <v>0</v>
      </c>
      <c r="DT78" s="66">
        <v>0</v>
      </c>
      <c r="DU78" s="66">
        <v>0</v>
      </c>
      <c r="DV78" s="67" t="s">
        <v>1230</v>
      </c>
      <c r="DW78" s="67" t="s">
        <v>1230</v>
      </c>
      <c r="DX78" s="67">
        <v>0</v>
      </c>
      <c r="DY78" s="187">
        <v>0</v>
      </c>
      <c r="DZ78" s="67">
        <v>0</v>
      </c>
      <c r="EA78" s="66">
        <v>0</v>
      </c>
      <c r="EB78" s="66">
        <v>0</v>
      </c>
      <c r="EC78" s="66">
        <v>0</v>
      </c>
      <c r="ED78" s="66">
        <v>0</v>
      </c>
      <c r="EE78" s="66">
        <v>0</v>
      </c>
      <c r="EF78" s="66">
        <v>0</v>
      </c>
      <c r="EG78" s="66">
        <v>0</v>
      </c>
      <c r="EH78" s="66">
        <v>0</v>
      </c>
      <c r="EI78" s="66">
        <v>0</v>
      </c>
      <c r="EJ78" s="66">
        <v>0</v>
      </c>
      <c r="EK78" s="66">
        <v>0</v>
      </c>
      <c r="EL78" s="67" t="s">
        <v>1230</v>
      </c>
      <c r="EM78" s="67" t="s">
        <v>1230</v>
      </c>
      <c r="EN78" s="67">
        <v>0</v>
      </c>
      <c r="EO78" s="187">
        <v>0</v>
      </c>
      <c r="EP78" s="67">
        <v>0</v>
      </c>
      <c r="EQ78" s="66">
        <v>2.0030000000000001</v>
      </c>
      <c r="ER78" s="66">
        <v>0</v>
      </c>
      <c r="ES78" s="66">
        <v>4.7088999999999999</v>
      </c>
      <c r="ET78" s="66">
        <v>2.0030000000000001</v>
      </c>
      <c r="EU78" s="66">
        <v>2.7059000000000002</v>
      </c>
      <c r="EV78" s="66">
        <v>1.9993249099999999</v>
      </c>
      <c r="EW78" s="66">
        <v>0</v>
      </c>
      <c r="EX78" s="66">
        <v>4.7002601500000001</v>
      </c>
      <c r="EY78" s="66">
        <v>1.9993249099999999</v>
      </c>
      <c r="EZ78" s="66">
        <v>0</v>
      </c>
      <c r="FA78" s="66">
        <v>2.7009352400000002</v>
      </c>
      <c r="FB78" s="67">
        <v>99.816520718921609</v>
      </c>
      <c r="FC78" s="67">
        <v>99.816520935733024</v>
      </c>
      <c r="FD78" s="67">
        <v>57.463526566715672</v>
      </c>
      <c r="FE78" s="187">
        <v>0</v>
      </c>
      <c r="FF78" s="67">
        <v>0</v>
      </c>
      <c r="FG78" s="66">
        <v>0</v>
      </c>
      <c r="FH78" s="66">
        <v>0</v>
      </c>
      <c r="FI78" s="66">
        <v>0</v>
      </c>
      <c r="FJ78" s="66">
        <v>0</v>
      </c>
      <c r="FK78" s="66">
        <v>0</v>
      </c>
      <c r="FL78" s="66">
        <v>0</v>
      </c>
      <c r="FM78" s="66">
        <v>0</v>
      </c>
      <c r="FN78" s="66">
        <v>0</v>
      </c>
      <c r="FO78" s="66">
        <v>0</v>
      </c>
      <c r="FP78" s="66">
        <v>0</v>
      </c>
      <c r="FQ78" s="66">
        <v>0</v>
      </c>
      <c r="FR78" s="67" t="s">
        <v>1230</v>
      </c>
      <c r="FS78" s="67" t="s">
        <v>1230</v>
      </c>
      <c r="FT78" s="67">
        <v>0</v>
      </c>
      <c r="FU78" s="187">
        <v>0</v>
      </c>
      <c r="FV78" s="67">
        <v>0</v>
      </c>
      <c r="FW78" s="66">
        <v>15.6053</v>
      </c>
      <c r="FX78" s="66">
        <v>0</v>
      </c>
      <c r="FY78" s="66">
        <v>21.946300000000001</v>
      </c>
      <c r="FZ78" s="66">
        <v>15.6053</v>
      </c>
      <c r="GA78" s="66">
        <v>6.3410000000000002</v>
      </c>
      <c r="GB78" s="66">
        <v>14.892307539999999</v>
      </c>
      <c r="GC78" s="66">
        <v>0</v>
      </c>
      <c r="GD78" s="66">
        <v>20.943592819999999</v>
      </c>
      <c r="GE78" s="66">
        <v>14.892307539999999</v>
      </c>
      <c r="GF78" s="66">
        <v>0</v>
      </c>
      <c r="GG78" s="66">
        <v>6.0512852800000001</v>
      </c>
      <c r="GH78" s="67">
        <v>95.431087771462259</v>
      </c>
      <c r="GI78" s="67">
        <v>95.43108784103454</v>
      </c>
      <c r="GJ78" s="67">
        <v>28.893253091806436</v>
      </c>
      <c r="GK78" s="187">
        <v>0</v>
      </c>
      <c r="GL78" s="67">
        <v>0</v>
      </c>
      <c r="GM78" s="66">
        <v>0</v>
      </c>
      <c r="GN78" s="66">
        <v>0</v>
      </c>
      <c r="GO78" s="66">
        <v>0</v>
      </c>
      <c r="GP78" s="66">
        <v>0</v>
      </c>
      <c r="GQ78" s="66">
        <v>0</v>
      </c>
      <c r="GR78" s="66">
        <v>0</v>
      </c>
      <c r="GS78" s="66">
        <v>0</v>
      </c>
      <c r="GT78" s="66">
        <v>0</v>
      </c>
      <c r="GU78" s="66">
        <v>0</v>
      </c>
      <c r="GV78" s="66">
        <v>0</v>
      </c>
      <c r="GW78" s="66">
        <v>0</v>
      </c>
      <c r="GX78" s="67" t="s">
        <v>1230</v>
      </c>
      <c r="GY78" s="67" t="s">
        <v>1230</v>
      </c>
      <c r="GZ78" s="67">
        <v>0</v>
      </c>
      <c r="HA78" s="187">
        <v>0</v>
      </c>
      <c r="HB78" s="67">
        <v>0</v>
      </c>
      <c r="HC78" s="66">
        <v>1.1714</v>
      </c>
      <c r="HD78" s="66">
        <v>0</v>
      </c>
      <c r="HE78" s="66">
        <v>6.1714000000000002</v>
      </c>
      <c r="HF78" s="66">
        <v>1.1714</v>
      </c>
      <c r="HG78" s="66">
        <v>5</v>
      </c>
      <c r="HH78" s="66">
        <v>1.1714</v>
      </c>
      <c r="HI78" s="66">
        <v>0</v>
      </c>
      <c r="HJ78" s="66">
        <v>6.1714000000000002</v>
      </c>
      <c r="HK78" s="66">
        <v>1.1714</v>
      </c>
      <c r="HL78" s="66">
        <v>0</v>
      </c>
      <c r="HM78" s="66">
        <v>5</v>
      </c>
      <c r="HN78" s="67">
        <v>100</v>
      </c>
      <c r="HO78" s="67">
        <v>100</v>
      </c>
      <c r="HP78" s="67">
        <v>81.018893605988922</v>
      </c>
      <c r="HQ78" s="187">
        <v>0</v>
      </c>
      <c r="HR78" s="67">
        <v>0</v>
      </c>
      <c r="HS78" s="66">
        <v>0</v>
      </c>
      <c r="HT78" s="66">
        <v>0</v>
      </c>
      <c r="HU78" s="66">
        <v>0</v>
      </c>
      <c r="HV78" s="66">
        <v>0</v>
      </c>
      <c r="HW78" s="66">
        <v>0</v>
      </c>
      <c r="HX78" s="66">
        <v>0</v>
      </c>
      <c r="HY78" s="66">
        <v>0</v>
      </c>
      <c r="HZ78" s="66">
        <v>0</v>
      </c>
      <c r="IA78" s="66">
        <v>0</v>
      </c>
      <c r="IB78" s="66">
        <v>0</v>
      </c>
      <c r="IC78" s="66">
        <v>0</v>
      </c>
      <c r="ID78" s="67" t="s">
        <v>1230</v>
      </c>
      <c r="IE78" s="67" t="s">
        <v>1230</v>
      </c>
      <c r="IF78" s="67">
        <v>0</v>
      </c>
      <c r="IG78" s="187">
        <v>0</v>
      </c>
      <c r="IH78" s="67">
        <v>0</v>
      </c>
      <c r="II78" s="66">
        <v>0</v>
      </c>
      <c r="IJ78" s="66">
        <v>0</v>
      </c>
      <c r="IK78" s="66">
        <v>0</v>
      </c>
      <c r="IL78" s="66">
        <v>0</v>
      </c>
      <c r="IM78" s="66">
        <v>0</v>
      </c>
      <c r="IN78" s="66">
        <v>0</v>
      </c>
      <c r="IO78" s="66">
        <v>0</v>
      </c>
      <c r="IP78" s="66">
        <v>0</v>
      </c>
      <c r="IQ78" s="66">
        <v>0</v>
      </c>
      <c r="IR78" s="66">
        <v>0</v>
      </c>
      <c r="IS78" s="66">
        <v>0</v>
      </c>
      <c r="IT78" s="67" t="s">
        <v>1230</v>
      </c>
      <c r="IU78" s="67" t="s">
        <v>1230</v>
      </c>
      <c r="IV78" s="67">
        <v>0</v>
      </c>
      <c r="IW78" s="187">
        <v>0</v>
      </c>
      <c r="IX78" s="67">
        <v>0</v>
      </c>
    </row>
    <row r="79" spans="1:258" ht="15.6" x14ac:dyDescent="0.3">
      <c r="A79" s="169">
        <v>67</v>
      </c>
      <c r="B79" s="205" t="s">
        <v>179</v>
      </c>
      <c r="C79" s="66">
        <v>59.462600000000002</v>
      </c>
      <c r="D79" s="66">
        <v>0</v>
      </c>
      <c r="E79" s="66">
        <v>88.750399999999999</v>
      </c>
      <c r="F79" s="66">
        <v>59.462600000000002</v>
      </c>
      <c r="G79" s="66">
        <v>29.287799999999997</v>
      </c>
      <c r="H79" s="66">
        <v>59.462483840000004</v>
      </c>
      <c r="I79" s="66">
        <v>7.585712E-2</v>
      </c>
      <c r="J79" s="66">
        <v>88.75022663</v>
      </c>
      <c r="K79" s="66">
        <v>59.462483840000004</v>
      </c>
      <c r="L79" s="66">
        <v>0</v>
      </c>
      <c r="M79" s="66">
        <v>29.287742789999999</v>
      </c>
      <c r="N79" s="67">
        <v>99.999804650318012</v>
      </c>
      <c r="O79" s="67">
        <v>99.999804662692327</v>
      </c>
      <c r="P79" s="67">
        <v>33.000189297657457</v>
      </c>
      <c r="Q79" s="66">
        <v>7.585712E-2</v>
      </c>
      <c r="R79" s="67">
        <v>1.9984014443252818E-15</v>
      </c>
      <c r="S79" s="66">
        <v>29.177099999999999</v>
      </c>
      <c r="T79" s="66">
        <v>0</v>
      </c>
      <c r="U79" s="66">
        <v>43.548000000000002</v>
      </c>
      <c r="V79" s="66">
        <v>29.177099999999999</v>
      </c>
      <c r="W79" s="66">
        <v>14.370900000000001</v>
      </c>
      <c r="X79" s="66">
        <v>29.177099999999999</v>
      </c>
      <c r="Y79" s="66">
        <v>7.585712E-2</v>
      </c>
      <c r="Z79" s="66">
        <v>43.548000000000002</v>
      </c>
      <c r="AA79" s="66">
        <v>29.177099999999999</v>
      </c>
      <c r="AB79" s="66">
        <v>0</v>
      </c>
      <c r="AC79" s="66">
        <v>14.370900000000001</v>
      </c>
      <c r="AD79" s="67">
        <v>100</v>
      </c>
      <c r="AE79" s="67">
        <v>100</v>
      </c>
      <c r="AF79" s="67">
        <v>33.000137779002479</v>
      </c>
      <c r="AG79" s="187">
        <v>7.585712E-2</v>
      </c>
      <c r="AH79" s="67">
        <v>-1.5543122344752192E-15</v>
      </c>
      <c r="AI79" s="66">
        <v>0</v>
      </c>
      <c r="AJ79" s="66">
        <v>0</v>
      </c>
      <c r="AK79" s="66">
        <v>0</v>
      </c>
      <c r="AL79" s="66">
        <v>0</v>
      </c>
      <c r="AM79" s="66">
        <v>0</v>
      </c>
      <c r="AN79" s="66">
        <v>0</v>
      </c>
      <c r="AO79" s="66">
        <v>0</v>
      </c>
      <c r="AP79" s="66">
        <v>0</v>
      </c>
      <c r="AQ79" s="66">
        <v>0</v>
      </c>
      <c r="AR79" s="66">
        <v>0</v>
      </c>
      <c r="AS79" s="66">
        <v>0</v>
      </c>
      <c r="AT79" s="67" t="s">
        <v>1230</v>
      </c>
      <c r="AU79" s="67" t="s">
        <v>1230</v>
      </c>
      <c r="AV79" s="67">
        <v>0</v>
      </c>
      <c r="AW79" s="187">
        <v>0</v>
      </c>
      <c r="AX79" s="67">
        <v>0</v>
      </c>
      <c r="AY79" s="66">
        <v>29.8916</v>
      </c>
      <c r="AZ79" s="66">
        <v>0</v>
      </c>
      <c r="BA79" s="66">
        <v>44.614400000000003</v>
      </c>
      <c r="BB79" s="66">
        <v>29.8916</v>
      </c>
      <c r="BC79" s="66">
        <v>14.722799999999999</v>
      </c>
      <c r="BD79" s="66">
        <v>29.891483839999999</v>
      </c>
      <c r="BE79" s="66">
        <v>0</v>
      </c>
      <c r="BF79" s="66">
        <v>44.614226630000005</v>
      </c>
      <c r="BG79" s="66">
        <v>29.891483839999999</v>
      </c>
      <c r="BH79" s="66">
        <v>0</v>
      </c>
      <c r="BI79" s="66">
        <v>14.72274279</v>
      </c>
      <c r="BJ79" s="67">
        <v>99.999611395843644</v>
      </c>
      <c r="BK79" s="67">
        <v>99.999611419023566</v>
      </c>
      <c r="BL79" s="67">
        <v>33.000107593706367</v>
      </c>
      <c r="BM79" s="187">
        <v>0</v>
      </c>
      <c r="BN79" s="67">
        <v>0</v>
      </c>
      <c r="BO79" s="66">
        <v>0</v>
      </c>
      <c r="BP79" s="66">
        <v>0</v>
      </c>
      <c r="BQ79" s="66">
        <v>0</v>
      </c>
      <c r="BR79" s="66">
        <v>0</v>
      </c>
      <c r="BS79" s="66">
        <v>0</v>
      </c>
      <c r="BT79" s="66">
        <v>0</v>
      </c>
      <c r="BU79" s="66">
        <v>0</v>
      </c>
      <c r="BV79" s="66">
        <v>0</v>
      </c>
      <c r="BW79" s="66">
        <v>0</v>
      </c>
      <c r="BX79" s="66">
        <v>0</v>
      </c>
      <c r="BY79" s="66">
        <v>0</v>
      </c>
      <c r="BZ79" s="67" t="s">
        <v>1230</v>
      </c>
      <c r="CA79" s="67" t="s">
        <v>1230</v>
      </c>
      <c r="CB79" s="67">
        <v>0</v>
      </c>
      <c r="CC79" s="187">
        <v>0</v>
      </c>
      <c r="CD79" s="67">
        <v>0</v>
      </c>
      <c r="CE79" s="66">
        <v>0</v>
      </c>
      <c r="CF79" s="66">
        <v>0</v>
      </c>
      <c r="CG79" s="66">
        <v>0</v>
      </c>
      <c r="CH79" s="66">
        <v>0</v>
      </c>
      <c r="CI79" s="66">
        <v>0</v>
      </c>
      <c r="CJ79" s="66">
        <v>0</v>
      </c>
      <c r="CK79" s="66">
        <v>0</v>
      </c>
      <c r="CL79" s="66">
        <v>0</v>
      </c>
      <c r="CM79" s="66">
        <v>0</v>
      </c>
      <c r="CN79" s="66">
        <v>0</v>
      </c>
      <c r="CO79" s="66">
        <v>0</v>
      </c>
      <c r="CP79" s="67" t="s">
        <v>1230</v>
      </c>
      <c r="CQ79" s="67" t="s">
        <v>1230</v>
      </c>
      <c r="CR79" s="67">
        <v>0</v>
      </c>
      <c r="CS79" s="187">
        <v>0</v>
      </c>
      <c r="CT79" s="67">
        <v>0</v>
      </c>
      <c r="CU79" s="66">
        <v>0</v>
      </c>
      <c r="CV79" s="66">
        <v>0</v>
      </c>
      <c r="CW79" s="66">
        <v>0</v>
      </c>
      <c r="CX79" s="66">
        <v>0</v>
      </c>
      <c r="CY79" s="66">
        <v>0</v>
      </c>
      <c r="CZ79" s="66">
        <v>0</v>
      </c>
      <c r="DA79" s="66">
        <v>0</v>
      </c>
      <c r="DB79" s="66">
        <v>0</v>
      </c>
      <c r="DC79" s="66">
        <v>0</v>
      </c>
      <c r="DD79" s="66">
        <v>0</v>
      </c>
      <c r="DE79" s="66">
        <v>0</v>
      </c>
      <c r="DF79" s="67" t="s">
        <v>1230</v>
      </c>
      <c r="DG79" s="67" t="s">
        <v>1230</v>
      </c>
      <c r="DH79" s="67">
        <v>0</v>
      </c>
      <c r="DI79" s="187">
        <v>0</v>
      </c>
      <c r="DJ79" s="67">
        <v>0</v>
      </c>
      <c r="DK79" s="66">
        <v>0</v>
      </c>
      <c r="DL79" s="66">
        <v>0</v>
      </c>
      <c r="DM79" s="66">
        <v>0</v>
      </c>
      <c r="DN79" s="66">
        <v>0</v>
      </c>
      <c r="DO79" s="66">
        <v>0</v>
      </c>
      <c r="DP79" s="66">
        <v>0</v>
      </c>
      <c r="DQ79" s="66">
        <v>0</v>
      </c>
      <c r="DR79" s="66">
        <v>0</v>
      </c>
      <c r="DS79" s="66">
        <v>0</v>
      </c>
      <c r="DT79" s="66">
        <v>0</v>
      </c>
      <c r="DU79" s="66">
        <v>0</v>
      </c>
      <c r="DV79" s="67" t="s">
        <v>1230</v>
      </c>
      <c r="DW79" s="67" t="s">
        <v>1230</v>
      </c>
      <c r="DX79" s="67">
        <v>0</v>
      </c>
      <c r="DY79" s="187">
        <v>0</v>
      </c>
      <c r="DZ79" s="67">
        <v>0</v>
      </c>
      <c r="EA79" s="66">
        <v>0</v>
      </c>
      <c r="EB79" s="66">
        <v>0</v>
      </c>
      <c r="EC79" s="66">
        <v>0</v>
      </c>
      <c r="ED79" s="66">
        <v>0</v>
      </c>
      <c r="EE79" s="66">
        <v>0</v>
      </c>
      <c r="EF79" s="66">
        <v>0</v>
      </c>
      <c r="EG79" s="66">
        <v>0</v>
      </c>
      <c r="EH79" s="66">
        <v>0</v>
      </c>
      <c r="EI79" s="66">
        <v>0</v>
      </c>
      <c r="EJ79" s="66">
        <v>0</v>
      </c>
      <c r="EK79" s="66">
        <v>0</v>
      </c>
      <c r="EL79" s="67" t="s">
        <v>1230</v>
      </c>
      <c r="EM79" s="67" t="s">
        <v>1230</v>
      </c>
      <c r="EN79" s="67">
        <v>0</v>
      </c>
      <c r="EO79" s="187">
        <v>0</v>
      </c>
      <c r="EP79" s="67">
        <v>0</v>
      </c>
      <c r="EQ79" s="66">
        <v>0</v>
      </c>
      <c r="ER79" s="66">
        <v>0</v>
      </c>
      <c r="ES79" s="66">
        <v>0</v>
      </c>
      <c r="ET79" s="66">
        <v>0</v>
      </c>
      <c r="EU79" s="66">
        <v>0</v>
      </c>
      <c r="EV79" s="66">
        <v>0</v>
      </c>
      <c r="EW79" s="66">
        <v>0</v>
      </c>
      <c r="EX79" s="66">
        <v>0</v>
      </c>
      <c r="EY79" s="66">
        <v>0</v>
      </c>
      <c r="EZ79" s="66">
        <v>0</v>
      </c>
      <c r="FA79" s="66">
        <v>0</v>
      </c>
      <c r="FB79" s="67" t="s">
        <v>1230</v>
      </c>
      <c r="FC79" s="67" t="s">
        <v>1230</v>
      </c>
      <c r="FD79" s="67">
        <v>0</v>
      </c>
      <c r="FE79" s="187">
        <v>0</v>
      </c>
      <c r="FF79" s="67">
        <v>0</v>
      </c>
      <c r="FG79" s="66">
        <v>0</v>
      </c>
      <c r="FH79" s="66">
        <v>0</v>
      </c>
      <c r="FI79" s="66">
        <v>0</v>
      </c>
      <c r="FJ79" s="66">
        <v>0</v>
      </c>
      <c r="FK79" s="66">
        <v>0</v>
      </c>
      <c r="FL79" s="66">
        <v>0</v>
      </c>
      <c r="FM79" s="66">
        <v>0</v>
      </c>
      <c r="FN79" s="66">
        <v>0</v>
      </c>
      <c r="FO79" s="66">
        <v>0</v>
      </c>
      <c r="FP79" s="66">
        <v>0</v>
      </c>
      <c r="FQ79" s="66">
        <v>0</v>
      </c>
      <c r="FR79" s="67" t="s">
        <v>1230</v>
      </c>
      <c r="FS79" s="67" t="s">
        <v>1230</v>
      </c>
      <c r="FT79" s="67">
        <v>0</v>
      </c>
      <c r="FU79" s="187">
        <v>0</v>
      </c>
      <c r="FV79" s="67">
        <v>0</v>
      </c>
      <c r="FW79" s="66">
        <v>0</v>
      </c>
      <c r="FX79" s="66">
        <v>0</v>
      </c>
      <c r="FY79" s="66">
        <v>0</v>
      </c>
      <c r="FZ79" s="66">
        <v>0</v>
      </c>
      <c r="GA79" s="66">
        <v>0</v>
      </c>
      <c r="GB79" s="66">
        <v>0</v>
      </c>
      <c r="GC79" s="66">
        <v>0</v>
      </c>
      <c r="GD79" s="66">
        <v>0</v>
      </c>
      <c r="GE79" s="66">
        <v>0</v>
      </c>
      <c r="GF79" s="66">
        <v>0</v>
      </c>
      <c r="GG79" s="66">
        <v>0</v>
      </c>
      <c r="GH79" s="67" t="s">
        <v>1230</v>
      </c>
      <c r="GI79" s="67" t="s">
        <v>1230</v>
      </c>
      <c r="GJ79" s="67">
        <v>0</v>
      </c>
      <c r="GK79" s="187">
        <v>0</v>
      </c>
      <c r="GL79" s="67">
        <v>0</v>
      </c>
      <c r="GM79" s="66">
        <v>0</v>
      </c>
      <c r="GN79" s="66">
        <v>0</v>
      </c>
      <c r="GO79" s="66">
        <v>0</v>
      </c>
      <c r="GP79" s="66">
        <v>0</v>
      </c>
      <c r="GQ79" s="66">
        <v>0</v>
      </c>
      <c r="GR79" s="66">
        <v>0</v>
      </c>
      <c r="GS79" s="66">
        <v>0</v>
      </c>
      <c r="GT79" s="66">
        <v>0</v>
      </c>
      <c r="GU79" s="66">
        <v>0</v>
      </c>
      <c r="GV79" s="66">
        <v>0</v>
      </c>
      <c r="GW79" s="66">
        <v>0</v>
      </c>
      <c r="GX79" s="67" t="s">
        <v>1230</v>
      </c>
      <c r="GY79" s="67" t="s">
        <v>1230</v>
      </c>
      <c r="GZ79" s="67">
        <v>0</v>
      </c>
      <c r="HA79" s="187">
        <v>0</v>
      </c>
      <c r="HB79" s="67">
        <v>0</v>
      </c>
      <c r="HC79" s="66">
        <v>0.39389999999999997</v>
      </c>
      <c r="HD79" s="66">
        <v>0</v>
      </c>
      <c r="HE79" s="66">
        <v>0.58799999999999997</v>
      </c>
      <c r="HF79" s="66">
        <v>0.39389999999999997</v>
      </c>
      <c r="HG79" s="66">
        <v>0.19409999999999999</v>
      </c>
      <c r="HH79" s="66">
        <v>0.39389999999999997</v>
      </c>
      <c r="HI79" s="66">
        <v>0</v>
      </c>
      <c r="HJ79" s="66">
        <v>0.58799999999999997</v>
      </c>
      <c r="HK79" s="66">
        <v>0.39389999999999997</v>
      </c>
      <c r="HL79" s="66">
        <v>0</v>
      </c>
      <c r="HM79" s="66">
        <v>0.19409999999999999</v>
      </c>
      <c r="HN79" s="67">
        <v>100</v>
      </c>
      <c r="HO79" s="67">
        <v>100</v>
      </c>
      <c r="HP79" s="67">
        <v>33.010204081632658</v>
      </c>
      <c r="HQ79" s="187">
        <v>0</v>
      </c>
      <c r="HR79" s="67">
        <v>0</v>
      </c>
      <c r="HS79" s="66">
        <v>0</v>
      </c>
      <c r="HT79" s="66">
        <v>0</v>
      </c>
      <c r="HU79" s="66">
        <v>0</v>
      </c>
      <c r="HV79" s="66">
        <v>0</v>
      </c>
      <c r="HW79" s="66">
        <v>0</v>
      </c>
      <c r="HX79" s="66">
        <v>0</v>
      </c>
      <c r="HY79" s="66">
        <v>0</v>
      </c>
      <c r="HZ79" s="66">
        <v>0</v>
      </c>
      <c r="IA79" s="66">
        <v>0</v>
      </c>
      <c r="IB79" s="66">
        <v>0</v>
      </c>
      <c r="IC79" s="66">
        <v>0</v>
      </c>
      <c r="ID79" s="67" t="s">
        <v>1230</v>
      </c>
      <c r="IE79" s="67" t="s">
        <v>1230</v>
      </c>
      <c r="IF79" s="67">
        <v>0</v>
      </c>
      <c r="IG79" s="187">
        <v>0</v>
      </c>
      <c r="IH79" s="67">
        <v>0</v>
      </c>
      <c r="II79" s="66">
        <v>0</v>
      </c>
      <c r="IJ79" s="66">
        <v>0</v>
      </c>
      <c r="IK79" s="66">
        <v>0</v>
      </c>
      <c r="IL79" s="66">
        <v>0</v>
      </c>
      <c r="IM79" s="66">
        <v>0</v>
      </c>
      <c r="IN79" s="66">
        <v>0</v>
      </c>
      <c r="IO79" s="66">
        <v>0</v>
      </c>
      <c r="IP79" s="66">
        <v>0</v>
      </c>
      <c r="IQ79" s="66">
        <v>0</v>
      </c>
      <c r="IR79" s="66">
        <v>0</v>
      </c>
      <c r="IS79" s="66">
        <v>0</v>
      </c>
      <c r="IT79" s="67" t="s">
        <v>1230</v>
      </c>
      <c r="IU79" s="67" t="s">
        <v>1230</v>
      </c>
      <c r="IV79" s="67">
        <v>0</v>
      </c>
      <c r="IW79" s="187">
        <v>0</v>
      </c>
      <c r="IX79" s="67">
        <v>0</v>
      </c>
    </row>
    <row r="80" spans="1:258" ht="15.6" x14ac:dyDescent="0.3">
      <c r="A80" s="169">
        <v>68</v>
      </c>
      <c r="B80" s="205" t="s">
        <v>182</v>
      </c>
      <c r="C80" s="66">
        <v>5.9809999999999999</v>
      </c>
      <c r="D80" s="66">
        <v>0</v>
      </c>
      <c r="E80" s="66">
        <v>74.275880969999989</v>
      </c>
      <c r="F80" s="66">
        <v>5.9809999999999999</v>
      </c>
      <c r="G80" s="66">
        <v>68.294880969999994</v>
      </c>
      <c r="H80" s="66">
        <v>5.9717892600000004</v>
      </c>
      <c r="I80" s="66">
        <v>1.7310398500000002</v>
      </c>
      <c r="J80" s="66">
        <v>74.234013969999992</v>
      </c>
      <c r="K80" s="66">
        <v>5.9717892600000004</v>
      </c>
      <c r="L80" s="66">
        <v>0</v>
      </c>
      <c r="M80" s="66">
        <v>68.262224709999998</v>
      </c>
      <c r="N80" s="67">
        <v>99.846000000000018</v>
      </c>
      <c r="O80" s="67">
        <v>99.952183444006081</v>
      </c>
      <c r="P80" s="67">
        <v>91.9554541905637</v>
      </c>
      <c r="Q80" s="66">
        <v>1.7225802299999999</v>
      </c>
      <c r="R80" s="67">
        <v>8.4596200000002231E-3</v>
      </c>
      <c r="S80" s="66">
        <v>5.6261000000000001</v>
      </c>
      <c r="T80" s="66">
        <v>0</v>
      </c>
      <c r="U80" s="66">
        <v>72.662698969999994</v>
      </c>
      <c r="V80" s="66">
        <v>5.6261000000000001</v>
      </c>
      <c r="W80" s="66">
        <v>67.03659897</v>
      </c>
      <c r="X80" s="66">
        <v>5.6261000000000001</v>
      </c>
      <c r="Y80" s="66">
        <v>0.43373780000000001</v>
      </c>
      <c r="Z80" s="66">
        <v>72.662698969999994</v>
      </c>
      <c r="AA80" s="66">
        <v>5.6261000000000001</v>
      </c>
      <c r="AB80" s="66">
        <v>0</v>
      </c>
      <c r="AC80" s="66">
        <v>67.03659897</v>
      </c>
      <c r="AD80" s="67">
        <v>100</v>
      </c>
      <c r="AE80" s="67">
        <v>100</v>
      </c>
      <c r="AF80" s="67">
        <v>92.2572377853418</v>
      </c>
      <c r="AG80" s="187">
        <v>0.43373780000000001</v>
      </c>
      <c r="AH80" s="67">
        <v>2.7755575615628914E-16</v>
      </c>
      <c r="AI80" s="66">
        <v>0</v>
      </c>
      <c r="AJ80" s="66">
        <v>0</v>
      </c>
      <c r="AK80" s="66">
        <v>0</v>
      </c>
      <c r="AL80" s="66">
        <v>0</v>
      </c>
      <c r="AM80" s="66">
        <v>0</v>
      </c>
      <c r="AN80" s="66">
        <v>0</v>
      </c>
      <c r="AO80" s="66">
        <v>1.2973020500000001</v>
      </c>
      <c r="AP80" s="66">
        <v>0</v>
      </c>
      <c r="AQ80" s="66">
        <v>0</v>
      </c>
      <c r="AR80" s="66">
        <v>0</v>
      </c>
      <c r="AS80" s="66">
        <v>0</v>
      </c>
      <c r="AT80" s="67" t="s">
        <v>1230</v>
      </c>
      <c r="AU80" s="67" t="s">
        <v>1230</v>
      </c>
      <c r="AV80" s="67">
        <v>0</v>
      </c>
      <c r="AW80" s="187">
        <v>1.2888424299999999</v>
      </c>
      <c r="AX80" s="67">
        <v>8.4596200000002231E-3</v>
      </c>
      <c r="AY80" s="66">
        <v>0</v>
      </c>
      <c r="AZ80" s="66">
        <v>0</v>
      </c>
      <c r="BA80" s="66">
        <v>0</v>
      </c>
      <c r="BB80" s="66">
        <v>0</v>
      </c>
      <c r="BC80" s="66">
        <v>0</v>
      </c>
      <c r="BD80" s="66">
        <v>0</v>
      </c>
      <c r="BE80" s="66">
        <v>0</v>
      </c>
      <c r="BF80" s="66">
        <v>0</v>
      </c>
      <c r="BG80" s="66">
        <v>0</v>
      </c>
      <c r="BH80" s="66">
        <v>0</v>
      </c>
      <c r="BI80" s="66">
        <v>0</v>
      </c>
      <c r="BJ80" s="67" t="s">
        <v>1230</v>
      </c>
      <c r="BK80" s="67" t="s">
        <v>1230</v>
      </c>
      <c r="BL80" s="67">
        <v>0</v>
      </c>
      <c r="BM80" s="187">
        <v>0</v>
      </c>
      <c r="BN80" s="67">
        <v>0</v>
      </c>
      <c r="BO80" s="66">
        <v>0</v>
      </c>
      <c r="BP80" s="66">
        <v>0</v>
      </c>
      <c r="BQ80" s="66">
        <v>0</v>
      </c>
      <c r="BR80" s="66">
        <v>0</v>
      </c>
      <c r="BS80" s="66">
        <v>0</v>
      </c>
      <c r="BT80" s="66">
        <v>0</v>
      </c>
      <c r="BU80" s="66">
        <v>0</v>
      </c>
      <c r="BV80" s="66">
        <v>0</v>
      </c>
      <c r="BW80" s="66">
        <v>0</v>
      </c>
      <c r="BX80" s="66">
        <v>0</v>
      </c>
      <c r="BY80" s="66">
        <v>0</v>
      </c>
      <c r="BZ80" s="67" t="s">
        <v>1230</v>
      </c>
      <c r="CA80" s="67" t="s">
        <v>1230</v>
      </c>
      <c r="CB80" s="67">
        <v>0</v>
      </c>
      <c r="CC80" s="187">
        <v>0</v>
      </c>
      <c r="CD80" s="67">
        <v>0</v>
      </c>
      <c r="CE80" s="66">
        <v>0</v>
      </c>
      <c r="CF80" s="66">
        <v>0</v>
      </c>
      <c r="CG80" s="66">
        <v>0</v>
      </c>
      <c r="CH80" s="66">
        <v>0</v>
      </c>
      <c r="CI80" s="66">
        <v>0</v>
      </c>
      <c r="CJ80" s="66">
        <v>0</v>
      </c>
      <c r="CK80" s="66">
        <v>0</v>
      </c>
      <c r="CL80" s="66">
        <v>0</v>
      </c>
      <c r="CM80" s="66">
        <v>0</v>
      </c>
      <c r="CN80" s="66">
        <v>0</v>
      </c>
      <c r="CO80" s="66">
        <v>0</v>
      </c>
      <c r="CP80" s="67" t="s">
        <v>1230</v>
      </c>
      <c r="CQ80" s="67" t="s">
        <v>1230</v>
      </c>
      <c r="CR80" s="67">
        <v>0</v>
      </c>
      <c r="CS80" s="187">
        <v>0</v>
      </c>
      <c r="CT80" s="67">
        <v>0</v>
      </c>
      <c r="CU80" s="66">
        <v>0</v>
      </c>
      <c r="CV80" s="66">
        <v>0</v>
      </c>
      <c r="CW80" s="66">
        <v>0</v>
      </c>
      <c r="CX80" s="66">
        <v>0</v>
      </c>
      <c r="CY80" s="66">
        <v>0</v>
      </c>
      <c r="CZ80" s="66">
        <v>0</v>
      </c>
      <c r="DA80" s="66">
        <v>0</v>
      </c>
      <c r="DB80" s="66">
        <v>0</v>
      </c>
      <c r="DC80" s="66">
        <v>0</v>
      </c>
      <c r="DD80" s="66">
        <v>0</v>
      </c>
      <c r="DE80" s="66">
        <v>0</v>
      </c>
      <c r="DF80" s="67" t="s">
        <v>1230</v>
      </c>
      <c r="DG80" s="67" t="s">
        <v>1230</v>
      </c>
      <c r="DH80" s="67">
        <v>0</v>
      </c>
      <c r="DI80" s="187">
        <v>0</v>
      </c>
      <c r="DJ80" s="67">
        <v>0</v>
      </c>
      <c r="DK80" s="66">
        <v>0</v>
      </c>
      <c r="DL80" s="66">
        <v>0</v>
      </c>
      <c r="DM80" s="66">
        <v>0</v>
      </c>
      <c r="DN80" s="66">
        <v>0</v>
      </c>
      <c r="DO80" s="66">
        <v>0</v>
      </c>
      <c r="DP80" s="66">
        <v>0</v>
      </c>
      <c r="DQ80" s="66">
        <v>0</v>
      </c>
      <c r="DR80" s="66">
        <v>0</v>
      </c>
      <c r="DS80" s="66">
        <v>0</v>
      </c>
      <c r="DT80" s="66">
        <v>0</v>
      </c>
      <c r="DU80" s="66">
        <v>0</v>
      </c>
      <c r="DV80" s="67" t="s">
        <v>1230</v>
      </c>
      <c r="DW80" s="67" t="s">
        <v>1230</v>
      </c>
      <c r="DX80" s="67">
        <v>0</v>
      </c>
      <c r="DY80" s="187">
        <v>0</v>
      </c>
      <c r="DZ80" s="67">
        <v>0</v>
      </c>
      <c r="EA80" s="66">
        <v>0</v>
      </c>
      <c r="EB80" s="66">
        <v>0</v>
      </c>
      <c r="EC80" s="66">
        <v>0</v>
      </c>
      <c r="ED80" s="66">
        <v>0</v>
      </c>
      <c r="EE80" s="66">
        <v>0</v>
      </c>
      <c r="EF80" s="66">
        <v>0</v>
      </c>
      <c r="EG80" s="66">
        <v>0</v>
      </c>
      <c r="EH80" s="66">
        <v>0</v>
      </c>
      <c r="EI80" s="66">
        <v>0</v>
      </c>
      <c r="EJ80" s="66">
        <v>0</v>
      </c>
      <c r="EK80" s="66">
        <v>0</v>
      </c>
      <c r="EL80" s="67" t="s">
        <v>1230</v>
      </c>
      <c r="EM80" s="67" t="s">
        <v>1230</v>
      </c>
      <c r="EN80" s="67">
        <v>0</v>
      </c>
      <c r="EO80" s="187">
        <v>0</v>
      </c>
      <c r="EP80" s="67">
        <v>0</v>
      </c>
      <c r="EQ80" s="66">
        <v>0</v>
      </c>
      <c r="ER80" s="66">
        <v>0</v>
      </c>
      <c r="ES80" s="66">
        <v>0</v>
      </c>
      <c r="ET80" s="66">
        <v>0</v>
      </c>
      <c r="EU80" s="66">
        <v>0</v>
      </c>
      <c r="EV80" s="66">
        <v>0</v>
      </c>
      <c r="EW80" s="66">
        <v>0</v>
      </c>
      <c r="EX80" s="66">
        <v>0</v>
      </c>
      <c r="EY80" s="66">
        <v>0</v>
      </c>
      <c r="EZ80" s="66">
        <v>0</v>
      </c>
      <c r="FA80" s="66">
        <v>0</v>
      </c>
      <c r="FB80" s="67" t="s">
        <v>1230</v>
      </c>
      <c r="FC80" s="67" t="s">
        <v>1230</v>
      </c>
      <c r="FD80" s="67">
        <v>0</v>
      </c>
      <c r="FE80" s="187">
        <v>0</v>
      </c>
      <c r="FF80" s="67">
        <v>0</v>
      </c>
      <c r="FG80" s="66">
        <v>0</v>
      </c>
      <c r="FH80" s="66">
        <v>0</v>
      </c>
      <c r="FI80" s="66">
        <v>0</v>
      </c>
      <c r="FJ80" s="66">
        <v>0</v>
      </c>
      <c r="FK80" s="66">
        <v>0</v>
      </c>
      <c r="FL80" s="66">
        <v>0</v>
      </c>
      <c r="FM80" s="66">
        <v>0</v>
      </c>
      <c r="FN80" s="66">
        <v>0</v>
      </c>
      <c r="FO80" s="66">
        <v>0</v>
      </c>
      <c r="FP80" s="66">
        <v>0</v>
      </c>
      <c r="FQ80" s="66">
        <v>0</v>
      </c>
      <c r="FR80" s="67" t="s">
        <v>1230</v>
      </c>
      <c r="FS80" s="67" t="s">
        <v>1230</v>
      </c>
      <c r="FT80" s="67">
        <v>0</v>
      </c>
      <c r="FU80" s="187">
        <v>0</v>
      </c>
      <c r="FV80" s="67">
        <v>0</v>
      </c>
      <c r="FW80" s="66">
        <v>0</v>
      </c>
      <c r="FX80" s="66">
        <v>0</v>
      </c>
      <c r="FY80" s="66">
        <v>0</v>
      </c>
      <c r="FZ80" s="66">
        <v>0</v>
      </c>
      <c r="GA80" s="66">
        <v>0</v>
      </c>
      <c r="GB80" s="66">
        <v>0</v>
      </c>
      <c r="GC80" s="66">
        <v>0</v>
      </c>
      <c r="GD80" s="66">
        <v>0</v>
      </c>
      <c r="GE80" s="66">
        <v>0</v>
      </c>
      <c r="GF80" s="66">
        <v>0</v>
      </c>
      <c r="GG80" s="66">
        <v>0</v>
      </c>
      <c r="GH80" s="67" t="s">
        <v>1230</v>
      </c>
      <c r="GI80" s="67" t="s">
        <v>1230</v>
      </c>
      <c r="GJ80" s="67">
        <v>0</v>
      </c>
      <c r="GK80" s="187">
        <v>0</v>
      </c>
      <c r="GL80" s="67">
        <v>0</v>
      </c>
      <c r="GM80" s="66">
        <v>0</v>
      </c>
      <c r="GN80" s="66">
        <v>0</v>
      </c>
      <c r="GO80" s="66">
        <v>0</v>
      </c>
      <c r="GP80" s="66">
        <v>0</v>
      </c>
      <c r="GQ80" s="66">
        <v>0</v>
      </c>
      <c r="GR80" s="66">
        <v>0</v>
      </c>
      <c r="GS80" s="66">
        <v>0</v>
      </c>
      <c r="GT80" s="66">
        <v>0</v>
      </c>
      <c r="GU80" s="66">
        <v>0</v>
      </c>
      <c r="GV80" s="66">
        <v>0</v>
      </c>
      <c r="GW80" s="66">
        <v>0</v>
      </c>
      <c r="GX80" s="67" t="s">
        <v>1230</v>
      </c>
      <c r="GY80" s="67" t="s">
        <v>1230</v>
      </c>
      <c r="GZ80" s="67">
        <v>0</v>
      </c>
      <c r="HA80" s="187">
        <v>0</v>
      </c>
      <c r="HB80" s="67">
        <v>0</v>
      </c>
      <c r="HC80" s="66">
        <v>0.35489999999999999</v>
      </c>
      <c r="HD80" s="66">
        <v>0</v>
      </c>
      <c r="HE80" s="66">
        <v>1.6131819999999999</v>
      </c>
      <c r="HF80" s="66">
        <v>0.35489999999999999</v>
      </c>
      <c r="HG80" s="66">
        <v>1.2582819999999999</v>
      </c>
      <c r="HH80" s="66">
        <v>0.34568926</v>
      </c>
      <c r="HI80" s="66">
        <v>0</v>
      </c>
      <c r="HJ80" s="66">
        <v>1.571315</v>
      </c>
      <c r="HK80" s="66">
        <v>0.34568926</v>
      </c>
      <c r="HL80" s="66">
        <v>0</v>
      </c>
      <c r="HM80" s="66">
        <v>1.2256257399999999</v>
      </c>
      <c r="HN80" s="67">
        <v>97.4046942800789</v>
      </c>
      <c r="HO80" s="67">
        <v>97.404694655093209</v>
      </c>
      <c r="HP80" s="67">
        <v>78.000002545638509</v>
      </c>
      <c r="HQ80" s="187">
        <v>0</v>
      </c>
      <c r="HR80" s="67">
        <v>0</v>
      </c>
      <c r="HS80" s="66">
        <v>0</v>
      </c>
      <c r="HT80" s="66">
        <v>0</v>
      </c>
      <c r="HU80" s="66">
        <v>0</v>
      </c>
      <c r="HV80" s="66">
        <v>0</v>
      </c>
      <c r="HW80" s="66">
        <v>0</v>
      </c>
      <c r="HX80" s="66">
        <v>0</v>
      </c>
      <c r="HY80" s="66">
        <v>0</v>
      </c>
      <c r="HZ80" s="66">
        <v>0</v>
      </c>
      <c r="IA80" s="66">
        <v>0</v>
      </c>
      <c r="IB80" s="66">
        <v>0</v>
      </c>
      <c r="IC80" s="66">
        <v>0</v>
      </c>
      <c r="ID80" s="67" t="s">
        <v>1230</v>
      </c>
      <c r="IE80" s="67" t="s">
        <v>1230</v>
      </c>
      <c r="IF80" s="67">
        <v>0</v>
      </c>
      <c r="IG80" s="187">
        <v>0</v>
      </c>
      <c r="IH80" s="67">
        <v>0</v>
      </c>
      <c r="II80" s="66">
        <v>0</v>
      </c>
      <c r="IJ80" s="66">
        <v>0</v>
      </c>
      <c r="IK80" s="66">
        <v>0</v>
      </c>
      <c r="IL80" s="66">
        <v>0</v>
      </c>
      <c r="IM80" s="66">
        <v>0</v>
      </c>
      <c r="IN80" s="66">
        <v>0</v>
      </c>
      <c r="IO80" s="66">
        <v>0</v>
      </c>
      <c r="IP80" s="66">
        <v>0</v>
      </c>
      <c r="IQ80" s="66">
        <v>0</v>
      </c>
      <c r="IR80" s="66">
        <v>0</v>
      </c>
      <c r="IS80" s="66">
        <v>0</v>
      </c>
      <c r="IT80" s="67" t="s">
        <v>1230</v>
      </c>
      <c r="IU80" s="67" t="s">
        <v>1230</v>
      </c>
      <c r="IV80" s="67">
        <v>0</v>
      </c>
      <c r="IW80" s="187">
        <v>0</v>
      </c>
      <c r="IX80" s="67">
        <v>0</v>
      </c>
    </row>
    <row r="81" spans="1:258" ht="31.2" x14ac:dyDescent="0.3">
      <c r="A81" s="169">
        <v>69</v>
      </c>
      <c r="B81" s="213" t="s">
        <v>300</v>
      </c>
      <c r="C81" s="66">
        <v>2.0572999999999997</v>
      </c>
      <c r="D81" s="66">
        <v>0</v>
      </c>
      <c r="E81" s="66">
        <v>6.8576666700000004</v>
      </c>
      <c r="F81" s="66">
        <v>2.0572999999999997</v>
      </c>
      <c r="G81" s="66">
        <v>4.8003666699999998</v>
      </c>
      <c r="H81" s="66">
        <v>2.0572999999999997</v>
      </c>
      <c r="I81" s="66">
        <v>0</v>
      </c>
      <c r="J81" s="66">
        <v>6.8576666700000004</v>
      </c>
      <c r="K81" s="66">
        <v>2.0572999999999997</v>
      </c>
      <c r="L81" s="66">
        <v>0</v>
      </c>
      <c r="M81" s="66">
        <v>4.8003666699999998</v>
      </c>
      <c r="N81" s="67">
        <v>100</v>
      </c>
      <c r="O81" s="67">
        <v>100</v>
      </c>
      <c r="P81" s="67">
        <v>70.000000014582213</v>
      </c>
      <c r="Q81" s="66">
        <v>0</v>
      </c>
      <c r="R81" s="67">
        <v>0</v>
      </c>
      <c r="S81" s="66">
        <v>1.5734999999999999</v>
      </c>
      <c r="T81" s="66">
        <v>0</v>
      </c>
      <c r="U81" s="66">
        <v>5.2450000000000001</v>
      </c>
      <c r="V81" s="66">
        <v>1.5734999999999999</v>
      </c>
      <c r="W81" s="66">
        <v>3.6715</v>
      </c>
      <c r="X81" s="66">
        <v>1.5734999999999999</v>
      </c>
      <c r="Y81" s="66">
        <v>0</v>
      </c>
      <c r="Z81" s="66">
        <v>5.2450000000000001</v>
      </c>
      <c r="AA81" s="66">
        <v>1.5734999999999999</v>
      </c>
      <c r="AB81" s="66">
        <v>0</v>
      </c>
      <c r="AC81" s="66">
        <v>3.6715</v>
      </c>
      <c r="AD81" s="67">
        <v>100</v>
      </c>
      <c r="AE81" s="67">
        <v>100</v>
      </c>
      <c r="AF81" s="67">
        <v>70</v>
      </c>
      <c r="AG81" s="187">
        <v>0</v>
      </c>
      <c r="AH81" s="67">
        <v>0</v>
      </c>
      <c r="AI81" s="66">
        <v>0</v>
      </c>
      <c r="AJ81" s="66">
        <v>0</v>
      </c>
      <c r="AK81" s="66">
        <v>0</v>
      </c>
      <c r="AL81" s="66">
        <v>0</v>
      </c>
      <c r="AM81" s="66">
        <v>0</v>
      </c>
      <c r="AN81" s="66">
        <v>0</v>
      </c>
      <c r="AO81" s="66">
        <v>0</v>
      </c>
      <c r="AP81" s="66">
        <v>0</v>
      </c>
      <c r="AQ81" s="66">
        <v>0</v>
      </c>
      <c r="AR81" s="66">
        <v>0</v>
      </c>
      <c r="AS81" s="66">
        <v>0</v>
      </c>
      <c r="AT81" s="67" t="s">
        <v>1230</v>
      </c>
      <c r="AU81" s="67" t="s">
        <v>1230</v>
      </c>
      <c r="AV81" s="67">
        <v>0</v>
      </c>
      <c r="AW81" s="187">
        <v>0</v>
      </c>
      <c r="AX81" s="67">
        <v>0</v>
      </c>
      <c r="AY81" s="66">
        <v>0</v>
      </c>
      <c r="AZ81" s="66">
        <v>0</v>
      </c>
      <c r="BA81" s="66">
        <v>0</v>
      </c>
      <c r="BB81" s="66">
        <v>0</v>
      </c>
      <c r="BC81" s="66">
        <v>0</v>
      </c>
      <c r="BD81" s="66">
        <v>0</v>
      </c>
      <c r="BE81" s="66">
        <v>0</v>
      </c>
      <c r="BF81" s="66">
        <v>0</v>
      </c>
      <c r="BG81" s="66">
        <v>0</v>
      </c>
      <c r="BH81" s="66">
        <v>0</v>
      </c>
      <c r="BI81" s="66">
        <v>0</v>
      </c>
      <c r="BJ81" s="67" t="s">
        <v>1230</v>
      </c>
      <c r="BK81" s="67" t="s">
        <v>1230</v>
      </c>
      <c r="BL81" s="67">
        <v>0</v>
      </c>
      <c r="BM81" s="187">
        <v>0</v>
      </c>
      <c r="BN81" s="67">
        <v>0</v>
      </c>
      <c r="BO81" s="66">
        <v>0</v>
      </c>
      <c r="BP81" s="66">
        <v>0</v>
      </c>
      <c r="BQ81" s="66">
        <v>0</v>
      </c>
      <c r="BR81" s="66">
        <v>0</v>
      </c>
      <c r="BS81" s="66">
        <v>0</v>
      </c>
      <c r="BT81" s="66">
        <v>0</v>
      </c>
      <c r="BU81" s="66">
        <v>0</v>
      </c>
      <c r="BV81" s="66">
        <v>0</v>
      </c>
      <c r="BW81" s="66">
        <v>0</v>
      </c>
      <c r="BX81" s="66">
        <v>0</v>
      </c>
      <c r="BY81" s="66">
        <v>0</v>
      </c>
      <c r="BZ81" s="67" t="s">
        <v>1230</v>
      </c>
      <c r="CA81" s="67" t="s">
        <v>1230</v>
      </c>
      <c r="CB81" s="67">
        <v>0</v>
      </c>
      <c r="CC81" s="187">
        <v>0</v>
      </c>
      <c r="CD81" s="67">
        <v>0</v>
      </c>
      <c r="CE81" s="66">
        <v>0</v>
      </c>
      <c r="CF81" s="66">
        <v>0</v>
      </c>
      <c r="CG81" s="66">
        <v>0</v>
      </c>
      <c r="CH81" s="66">
        <v>0</v>
      </c>
      <c r="CI81" s="66">
        <v>0</v>
      </c>
      <c r="CJ81" s="66">
        <v>0</v>
      </c>
      <c r="CK81" s="66">
        <v>0</v>
      </c>
      <c r="CL81" s="66">
        <v>0</v>
      </c>
      <c r="CM81" s="66">
        <v>0</v>
      </c>
      <c r="CN81" s="66">
        <v>0</v>
      </c>
      <c r="CO81" s="66">
        <v>0</v>
      </c>
      <c r="CP81" s="67" t="s">
        <v>1230</v>
      </c>
      <c r="CQ81" s="67" t="s">
        <v>1230</v>
      </c>
      <c r="CR81" s="67">
        <v>0</v>
      </c>
      <c r="CS81" s="187">
        <v>0</v>
      </c>
      <c r="CT81" s="67">
        <v>0</v>
      </c>
      <c r="CU81" s="66">
        <v>0</v>
      </c>
      <c r="CV81" s="66">
        <v>0</v>
      </c>
      <c r="CW81" s="66">
        <v>0</v>
      </c>
      <c r="CX81" s="66">
        <v>0</v>
      </c>
      <c r="CY81" s="66">
        <v>0</v>
      </c>
      <c r="CZ81" s="66">
        <v>0</v>
      </c>
      <c r="DA81" s="66">
        <v>0</v>
      </c>
      <c r="DB81" s="66">
        <v>0</v>
      </c>
      <c r="DC81" s="66">
        <v>0</v>
      </c>
      <c r="DD81" s="66">
        <v>0</v>
      </c>
      <c r="DE81" s="66">
        <v>0</v>
      </c>
      <c r="DF81" s="67" t="s">
        <v>1230</v>
      </c>
      <c r="DG81" s="67" t="s">
        <v>1230</v>
      </c>
      <c r="DH81" s="67">
        <v>0</v>
      </c>
      <c r="DI81" s="187">
        <v>0</v>
      </c>
      <c r="DJ81" s="67">
        <v>0</v>
      </c>
      <c r="DK81" s="66">
        <v>0</v>
      </c>
      <c r="DL81" s="66">
        <v>0</v>
      </c>
      <c r="DM81" s="66">
        <v>0</v>
      </c>
      <c r="DN81" s="66">
        <v>0</v>
      </c>
      <c r="DO81" s="66">
        <v>0</v>
      </c>
      <c r="DP81" s="66">
        <v>0</v>
      </c>
      <c r="DQ81" s="66">
        <v>0</v>
      </c>
      <c r="DR81" s="66">
        <v>0</v>
      </c>
      <c r="DS81" s="66">
        <v>0</v>
      </c>
      <c r="DT81" s="66">
        <v>0</v>
      </c>
      <c r="DU81" s="66">
        <v>0</v>
      </c>
      <c r="DV81" s="67" t="s">
        <v>1230</v>
      </c>
      <c r="DW81" s="67" t="s">
        <v>1230</v>
      </c>
      <c r="DX81" s="67">
        <v>0</v>
      </c>
      <c r="DY81" s="187">
        <v>0</v>
      </c>
      <c r="DZ81" s="67">
        <v>0</v>
      </c>
      <c r="EA81" s="66">
        <v>0</v>
      </c>
      <c r="EB81" s="66">
        <v>0</v>
      </c>
      <c r="EC81" s="66">
        <v>0</v>
      </c>
      <c r="ED81" s="66">
        <v>0</v>
      </c>
      <c r="EE81" s="66">
        <v>0</v>
      </c>
      <c r="EF81" s="66">
        <v>0</v>
      </c>
      <c r="EG81" s="66">
        <v>0</v>
      </c>
      <c r="EH81" s="66">
        <v>0</v>
      </c>
      <c r="EI81" s="66">
        <v>0</v>
      </c>
      <c r="EJ81" s="66">
        <v>0</v>
      </c>
      <c r="EK81" s="66">
        <v>0</v>
      </c>
      <c r="EL81" s="67" t="s">
        <v>1230</v>
      </c>
      <c r="EM81" s="67" t="s">
        <v>1230</v>
      </c>
      <c r="EN81" s="67">
        <v>0</v>
      </c>
      <c r="EO81" s="187">
        <v>0</v>
      </c>
      <c r="EP81" s="67">
        <v>0</v>
      </c>
      <c r="EQ81" s="66">
        <v>0</v>
      </c>
      <c r="ER81" s="66">
        <v>0</v>
      </c>
      <c r="ES81" s="66">
        <v>0</v>
      </c>
      <c r="ET81" s="66">
        <v>0</v>
      </c>
      <c r="EU81" s="66">
        <v>0</v>
      </c>
      <c r="EV81" s="66">
        <v>0</v>
      </c>
      <c r="EW81" s="66">
        <v>0</v>
      </c>
      <c r="EX81" s="66">
        <v>0</v>
      </c>
      <c r="EY81" s="66">
        <v>0</v>
      </c>
      <c r="EZ81" s="66">
        <v>0</v>
      </c>
      <c r="FA81" s="66">
        <v>0</v>
      </c>
      <c r="FB81" s="67" t="s">
        <v>1230</v>
      </c>
      <c r="FC81" s="67" t="s">
        <v>1230</v>
      </c>
      <c r="FD81" s="67">
        <v>0</v>
      </c>
      <c r="FE81" s="187">
        <v>0</v>
      </c>
      <c r="FF81" s="67">
        <v>0</v>
      </c>
      <c r="FG81" s="66">
        <v>0</v>
      </c>
      <c r="FH81" s="66">
        <v>0</v>
      </c>
      <c r="FI81" s="66">
        <v>0</v>
      </c>
      <c r="FJ81" s="66">
        <v>0</v>
      </c>
      <c r="FK81" s="66">
        <v>0</v>
      </c>
      <c r="FL81" s="66">
        <v>0</v>
      </c>
      <c r="FM81" s="66">
        <v>0</v>
      </c>
      <c r="FN81" s="66">
        <v>0</v>
      </c>
      <c r="FO81" s="66">
        <v>0</v>
      </c>
      <c r="FP81" s="66">
        <v>0</v>
      </c>
      <c r="FQ81" s="66">
        <v>0</v>
      </c>
      <c r="FR81" s="67" t="s">
        <v>1230</v>
      </c>
      <c r="FS81" s="67" t="s">
        <v>1230</v>
      </c>
      <c r="FT81" s="67">
        <v>0</v>
      </c>
      <c r="FU81" s="187">
        <v>0</v>
      </c>
      <c r="FV81" s="67">
        <v>0</v>
      </c>
      <c r="FW81" s="66">
        <v>0</v>
      </c>
      <c r="FX81" s="66">
        <v>0</v>
      </c>
      <c r="FY81" s="66">
        <v>0</v>
      </c>
      <c r="FZ81" s="66">
        <v>0</v>
      </c>
      <c r="GA81" s="66">
        <v>0</v>
      </c>
      <c r="GB81" s="66">
        <v>0</v>
      </c>
      <c r="GC81" s="66">
        <v>0</v>
      </c>
      <c r="GD81" s="66">
        <v>0</v>
      </c>
      <c r="GE81" s="66">
        <v>0</v>
      </c>
      <c r="GF81" s="66">
        <v>0</v>
      </c>
      <c r="GG81" s="66">
        <v>0</v>
      </c>
      <c r="GH81" s="67" t="s">
        <v>1230</v>
      </c>
      <c r="GI81" s="67" t="s">
        <v>1230</v>
      </c>
      <c r="GJ81" s="67">
        <v>0</v>
      </c>
      <c r="GK81" s="187">
        <v>0</v>
      </c>
      <c r="GL81" s="67">
        <v>0</v>
      </c>
      <c r="GM81" s="66">
        <v>0</v>
      </c>
      <c r="GN81" s="66">
        <v>0</v>
      </c>
      <c r="GO81" s="66">
        <v>0</v>
      </c>
      <c r="GP81" s="66">
        <v>0</v>
      </c>
      <c r="GQ81" s="66">
        <v>0</v>
      </c>
      <c r="GR81" s="66">
        <v>0</v>
      </c>
      <c r="GS81" s="66">
        <v>0</v>
      </c>
      <c r="GT81" s="66">
        <v>0</v>
      </c>
      <c r="GU81" s="66">
        <v>0</v>
      </c>
      <c r="GV81" s="66">
        <v>0</v>
      </c>
      <c r="GW81" s="66">
        <v>0</v>
      </c>
      <c r="GX81" s="67" t="s">
        <v>1230</v>
      </c>
      <c r="GY81" s="67" t="s">
        <v>1230</v>
      </c>
      <c r="GZ81" s="67">
        <v>0</v>
      </c>
      <c r="HA81" s="187">
        <v>0</v>
      </c>
      <c r="HB81" s="67">
        <v>0</v>
      </c>
      <c r="HC81" s="66">
        <v>0.48380000000000001</v>
      </c>
      <c r="HD81" s="66">
        <v>0</v>
      </c>
      <c r="HE81" s="66">
        <v>1.6126666699999999</v>
      </c>
      <c r="HF81" s="66">
        <v>0.48380000000000001</v>
      </c>
      <c r="HG81" s="66">
        <v>1.1288666699999998</v>
      </c>
      <c r="HH81" s="66">
        <v>0.48380000000000001</v>
      </c>
      <c r="HI81" s="66">
        <v>0</v>
      </c>
      <c r="HJ81" s="66">
        <v>1.6126666699999999</v>
      </c>
      <c r="HK81" s="66">
        <v>0.48380000000000001</v>
      </c>
      <c r="HL81" s="66">
        <v>0</v>
      </c>
      <c r="HM81" s="66">
        <v>1.1288666699999998</v>
      </c>
      <c r="HN81" s="67">
        <v>100</v>
      </c>
      <c r="HO81" s="67">
        <v>100</v>
      </c>
      <c r="HP81" s="67">
        <v>70.000000062009093</v>
      </c>
      <c r="HQ81" s="187">
        <v>0</v>
      </c>
      <c r="HR81" s="67">
        <v>0</v>
      </c>
      <c r="HS81" s="66">
        <v>0</v>
      </c>
      <c r="HT81" s="66">
        <v>0</v>
      </c>
      <c r="HU81" s="66">
        <v>0</v>
      </c>
      <c r="HV81" s="66">
        <v>0</v>
      </c>
      <c r="HW81" s="66">
        <v>0</v>
      </c>
      <c r="HX81" s="66">
        <v>0</v>
      </c>
      <c r="HY81" s="66">
        <v>0</v>
      </c>
      <c r="HZ81" s="66">
        <v>0</v>
      </c>
      <c r="IA81" s="66">
        <v>0</v>
      </c>
      <c r="IB81" s="66">
        <v>0</v>
      </c>
      <c r="IC81" s="66">
        <v>0</v>
      </c>
      <c r="ID81" s="67" t="s">
        <v>1230</v>
      </c>
      <c r="IE81" s="67" t="s">
        <v>1230</v>
      </c>
      <c r="IF81" s="67">
        <v>0</v>
      </c>
      <c r="IG81" s="187">
        <v>0</v>
      </c>
      <c r="IH81" s="67">
        <v>0</v>
      </c>
      <c r="II81" s="66">
        <v>0</v>
      </c>
      <c r="IJ81" s="66">
        <v>0</v>
      </c>
      <c r="IK81" s="66">
        <v>0</v>
      </c>
      <c r="IL81" s="66">
        <v>0</v>
      </c>
      <c r="IM81" s="66">
        <v>0</v>
      </c>
      <c r="IN81" s="66">
        <v>0</v>
      </c>
      <c r="IO81" s="66">
        <v>0</v>
      </c>
      <c r="IP81" s="66">
        <v>0</v>
      </c>
      <c r="IQ81" s="66">
        <v>0</v>
      </c>
      <c r="IR81" s="66">
        <v>0</v>
      </c>
      <c r="IS81" s="66">
        <v>0</v>
      </c>
      <c r="IT81" s="67" t="s">
        <v>1230</v>
      </c>
      <c r="IU81" s="67" t="s">
        <v>1230</v>
      </c>
      <c r="IV81" s="67">
        <v>0</v>
      </c>
      <c r="IW81" s="187">
        <v>0</v>
      </c>
      <c r="IX81" s="67">
        <v>0</v>
      </c>
    </row>
    <row r="82" spans="1:258" ht="15.6" x14ac:dyDescent="0.3">
      <c r="A82" s="169">
        <v>70</v>
      </c>
      <c r="B82" s="213" t="s">
        <v>301</v>
      </c>
      <c r="C82" s="66">
        <v>8.8949999999999996</v>
      </c>
      <c r="D82" s="66">
        <v>0</v>
      </c>
      <c r="E82" s="66">
        <v>117.20705340999999</v>
      </c>
      <c r="F82" s="66">
        <v>8.8949999999999996</v>
      </c>
      <c r="G82" s="66">
        <v>108.31205340999999</v>
      </c>
      <c r="H82" s="66">
        <v>8.8949999799999997</v>
      </c>
      <c r="I82" s="66">
        <v>0</v>
      </c>
      <c r="J82" s="66">
        <v>117.20705283999999</v>
      </c>
      <c r="K82" s="66">
        <v>8.8949999700000006</v>
      </c>
      <c r="L82" s="66">
        <v>0</v>
      </c>
      <c r="M82" s="66">
        <v>108.31205287</v>
      </c>
      <c r="N82" s="67">
        <v>99.999999662731881</v>
      </c>
      <c r="O82" s="67">
        <v>99.999999501440541</v>
      </c>
      <c r="P82" s="67">
        <v>92.410866279401631</v>
      </c>
      <c r="Q82" s="66">
        <v>0</v>
      </c>
      <c r="R82" s="67">
        <v>9.9999990510468706E-9</v>
      </c>
      <c r="S82" s="66">
        <v>4.0113000000000003</v>
      </c>
      <c r="T82" s="66">
        <v>0</v>
      </c>
      <c r="U82" s="66">
        <v>82.323353409999996</v>
      </c>
      <c r="V82" s="66">
        <v>4.0113000000000003</v>
      </c>
      <c r="W82" s="66">
        <v>78.31205340999999</v>
      </c>
      <c r="X82" s="66">
        <v>4.0112999799999995</v>
      </c>
      <c r="Y82" s="66">
        <v>0</v>
      </c>
      <c r="Z82" s="66">
        <v>82.323352839999998</v>
      </c>
      <c r="AA82" s="66">
        <v>4.0112999700000005</v>
      </c>
      <c r="AB82" s="66">
        <v>0</v>
      </c>
      <c r="AC82" s="66">
        <v>78.312052870000002</v>
      </c>
      <c r="AD82" s="67">
        <v>99.999999252112787</v>
      </c>
      <c r="AE82" s="67">
        <v>99.999999310450988</v>
      </c>
      <c r="AF82" s="67">
        <v>95.127385083797336</v>
      </c>
      <c r="AG82" s="187">
        <v>0</v>
      </c>
      <c r="AH82" s="67">
        <v>9.9999990510468706E-9</v>
      </c>
      <c r="AI82" s="66">
        <v>0</v>
      </c>
      <c r="AJ82" s="66">
        <v>0</v>
      </c>
      <c r="AK82" s="66">
        <v>0</v>
      </c>
      <c r="AL82" s="66">
        <v>0</v>
      </c>
      <c r="AM82" s="66">
        <v>0</v>
      </c>
      <c r="AN82" s="66">
        <v>0</v>
      </c>
      <c r="AO82" s="66">
        <v>0</v>
      </c>
      <c r="AP82" s="66">
        <v>0</v>
      </c>
      <c r="AQ82" s="66">
        <v>0</v>
      </c>
      <c r="AR82" s="66">
        <v>0</v>
      </c>
      <c r="AS82" s="66">
        <v>0</v>
      </c>
      <c r="AT82" s="67" t="s">
        <v>1230</v>
      </c>
      <c r="AU82" s="67" t="s">
        <v>1230</v>
      </c>
      <c r="AV82" s="67">
        <v>0</v>
      </c>
      <c r="AW82" s="187">
        <v>0</v>
      </c>
      <c r="AX82" s="67">
        <v>0</v>
      </c>
      <c r="AY82" s="66">
        <v>0</v>
      </c>
      <c r="AZ82" s="66">
        <v>0</v>
      </c>
      <c r="BA82" s="66">
        <v>0</v>
      </c>
      <c r="BB82" s="66">
        <v>0</v>
      </c>
      <c r="BC82" s="66">
        <v>0</v>
      </c>
      <c r="BD82" s="66">
        <v>0</v>
      </c>
      <c r="BE82" s="66">
        <v>0</v>
      </c>
      <c r="BF82" s="66">
        <v>0</v>
      </c>
      <c r="BG82" s="66">
        <v>0</v>
      </c>
      <c r="BH82" s="66">
        <v>0</v>
      </c>
      <c r="BI82" s="66">
        <v>0</v>
      </c>
      <c r="BJ82" s="67" t="s">
        <v>1230</v>
      </c>
      <c r="BK82" s="67" t="s">
        <v>1230</v>
      </c>
      <c r="BL82" s="67">
        <v>0</v>
      </c>
      <c r="BM82" s="187">
        <v>0</v>
      </c>
      <c r="BN82" s="67">
        <v>0</v>
      </c>
      <c r="BO82" s="66">
        <v>0</v>
      </c>
      <c r="BP82" s="66">
        <v>0</v>
      </c>
      <c r="BQ82" s="66">
        <v>0</v>
      </c>
      <c r="BR82" s="66">
        <v>0</v>
      </c>
      <c r="BS82" s="66">
        <v>0</v>
      </c>
      <c r="BT82" s="66">
        <v>0</v>
      </c>
      <c r="BU82" s="66">
        <v>0</v>
      </c>
      <c r="BV82" s="66">
        <v>0</v>
      </c>
      <c r="BW82" s="66">
        <v>0</v>
      </c>
      <c r="BX82" s="66">
        <v>0</v>
      </c>
      <c r="BY82" s="66">
        <v>0</v>
      </c>
      <c r="BZ82" s="67" t="s">
        <v>1230</v>
      </c>
      <c r="CA82" s="67" t="s">
        <v>1230</v>
      </c>
      <c r="CB82" s="67">
        <v>0</v>
      </c>
      <c r="CC82" s="187">
        <v>0</v>
      </c>
      <c r="CD82" s="67">
        <v>0</v>
      </c>
      <c r="CE82" s="66">
        <v>4.8837000000000002</v>
      </c>
      <c r="CF82" s="66">
        <v>0</v>
      </c>
      <c r="CG82" s="66">
        <v>34.883699999999997</v>
      </c>
      <c r="CH82" s="66">
        <v>4.8837000000000002</v>
      </c>
      <c r="CI82" s="66">
        <v>30</v>
      </c>
      <c r="CJ82" s="66">
        <v>4.8837000000000002</v>
      </c>
      <c r="CK82" s="66">
        <v>0</v>
      </c>
      <c r="CL82" s="66">
        <v>34.883699999999997</v>
      </c>
      <c r="CM82" s="66">
        <v>4.8837000000000002</v>
      </c>
      <c r="CN82" s="66">
        <v>0</v>
      </c>
      <c r="CO82" s="66">
        <v>30</v>
      </c>
      <c r="CP82" s="67">
        <v>100</v>
      </c>
      <c r="CQ82" s="67">
        <v>100</v>
      </c>
      <c r="CR82" s="67">
        <v>86.000051600030972</v>
      </c>
      <c r="CS82" s="187">
        <v>0</v>
      </c>
      <c r="CT82" s="67">
        <v>0</v>
      </c>
      <c r="CU82" s="66">
        <v>0</v>
      </c>
      <c r="CV82" s="66">
        <v>0</v>
      </c>
      <c r="CW82" s="66">
        <v>0</v>
      </c>
      <c r="CX82" s="66">
        <v>0</v>
      </c>
      <c r="CY82" s="66">
        <v>0</v>
      </c>
      <c r="CZ82" s="66">
        <v>0</v>
      </c>
      <c r="DA82" s="66">
        <v>0</v>
      </c>
      <c r="DB82" s="66">
        <v>0</v>
      </c>
      <c r="DC82" s="66">
        <v>0</v>
      </c>
      <c r="DD82" s="66">
        <v>0</v>
      </c>
      <c r="DE82" s="66">
        <v>0</v>
      </c>
      <c r="DF82" s="67" t="s">
        <v>1230</v>
      </c>
      <c r="DG82" s="67" t="s">
        <v>1230</v>
      </c>
      <c r="DH82" s="67">
        <v>0</v>
      </c>
      <c r="DI82" s="187">
        <v>0</v>
      </c>
      <c r="DJ82" s="67">
        <v>0</v>
      </c>
      <c r="DK82" s="66">
        <v>0</v>
      </c>
      <c r="DL82" s="66">
        <v>0</v>
      </c>
      <c r="DM82" s="66">
        <v>0</v>
      </c>
      <c r="DN82" s="66">
        <v>0</v>
      </c>
      <c r="DO82" s="66">
        <v>0</v>
      </c>
      <c r="DP82" s="66">
        <v>0</v>
      </c>
      <c r="DQ82" s="66">
        <v>0</v>
      </c>
      <c r="DR82" s="66">
        <v>0</v>
      </c>
      <c r="DS82" s="66">
        <v>0</v>
      </c>
      <c r="DT82" s="66">
        <v>0</v>
      </c>
      <c r="DU82" s="66">
        <v>0</v>
      </c>
      <c r="DV82" s="67" t="s">
        <v>1230</v>
      </c>
      <c r="DW82" s="67" t="s">
        <v>1230</v>
      </c>
      <c r="DX82" s="67">
        <v>0</v>
      </c>
      <c r="DY82" s="187">
        <v>0</v>
      </c>
      <c r="DZ82" s="67">
        <v>0</v>
      </c>
      <c r="EA82" s="66">
        <v>0</v>
      </c>
      <c r="EB82" s="66">
        <v>0</v>
      </c>
      <c r="EC82" s="66">
        <v>0</v>
      </c>
      <c r="ED82" s="66">
        <v>0</v>
      </c>
      <c r="EE82" s="66">
        <v>0</v>
      </c>
      <c r="EF82" s="66">
        <v>0</v>
      </c>
      <c r="EG82" s="66">
        <v>0</v>
      </c>
      <c r="EH82" s="66">
        <v>0</v>
      </c>
      <c r="EI82" s="66">
        <v>0</v>
      </c>
      <c r="EJ82" s="66">
        <v>0</v>
      </c>
      <c r="EK82" s="66">
        <v>0</v>
      </c>
      <c r="EL82" s="67" t="s">
        <v>1230</v>
      </c>
      <c r="EM82" s="67" t="s">
        <v>1230</v>
      </c>
      <c r="EN82" s="67">
        <v>0</v>
      </c>
      <c r="EO82" s="187">
        <v>0</v>
      </c>
      <c r="EP82" s="67">
        <v>0</v>
      </c>
      <c r="EQ82" s="66">
        <v>0</v>
      </c>
      <c r="ER82" s="66">
        <v>0</v>
      </c>
      <c r="ES82" s="66">
        <v>0</v>
      </c>
      <c r="ET82" s="66">
        <v>0</v>
      </c>
      <c r="EU82" s="66">
        <v>0</v>
      </c>
      <c r="EV82" s="66">
        <v>0</v>
      </c>
      <c r="EW82" s="66">
        <v>0</v>
      </c>
      <c r="EX82" s="66">
        <v>0</v>
      </c>
      <c r="EY82" s="66">
        <v>0</v>
      </c>
      <c r="EZ82" s="66">
        <v>0</v>
      </c>
      <c r="FA82" s="66">
        <v>0</v>
      </c>
      <c r="FB82" s="67" t="s">
        <v>1230</v>
      </c>
      <c r="FC82" s="67" t="s">
        <v>1230</v>
      </c>
      <c r="FD82" s="67">
        <v>0</v>
      </c>
      <c r="FE82" s="187">
        <v>0</v>
      </c>
      <c r="FF82" s="67">
        <v>0</v>
      </c>
      <c r="FG82" s="66">
        <v>0</v>
      </c>
      <c r="FH82" s="66">
        <v>0</v>
      </c>
      <c r="FI82" s="66">
        <v>0</v>
      </c>
      <c r="FJ82" s="66">
        <v>0</v>
      </c>
      <c r="FK82" s="66">
        <v>0</v>
      </c>
      <c r="FL82" s="66">
        <v>0</v>
      </c>
      <c r="FM82" s="66">
        <v>0</v>
      </c>
      <c r="FN82" s="66">
        <v>0</v>
      </c>
      <c r="FO82" s="66">
        <v>0</v>
      </c>
      <c r="FP82" s="66">
        <v>0</v>
      </c>
      <c r="FQ82" s="66">
        <v>0</v>
      </c>
      <c r="FR82" s="67" t="s">
        <v>1230</v>
      </c>
      <c r="FS82" s="67" t="s">
        <v>1230</v>
      </c>
      <c r="FT82" s="67">
        <v>0</v>
      </c>
      <c r="FU82" s="187">
        <v>0</v>
      </c>
      <c r="FV82" s="67">
        <v>0</v>
      </c>
      <c r="FW82" s="66">
        <v>0</v>
      </c>
      <c r="FX82" s="66">
        <v>0</v>
      </c>
      <c r="FY82" s="66">
        <v>0</v>
      </c>
      <c r="FZ82" s="66">
        <v>0</v>
      </c>
      <c r="GA82" s="66">
        <v>0</v>
      </c>
      <c r="GB82" s="66">
        <v>0</v>
      </c>
      <c r="GC82" s="66">
        <v>0</v>
      </c>
      <c r="GD82" s="66">
        <v>0</v>
      </c>
      <c r="GE82" s="66">
        <v>0</v>
      </c>
      <c r="GF82" s="66">
        <v>0</v>
      </c>
      <c r="GG82" s="66">
        <v>0</v>
      </c>
      <c r="GH82" s="67" t="s">
        <v>1230</v>
      </c>
      <c r="GI82" s="67" t="s">
        <v>1230</v>
      </c>
      <c r="GJ82" s="67">
        <v>0</v>
      </c>
      <c r="GK82" s="187">
        <v>0</v>
      </c>
      <c r="GL82" s="67">
        <v>0</v>
      </c>
      <c r="GM82" s="66">
        <v>0</v>
      </c>
      <c r="GN82" s="66">
        <v>0</v>
      </c>
      <c r="GO82" s="66">
        <v>0</v>
      </c>
      <c r="GP82" s="66">
        <v>0</v>
      </c>
      <c r="GQ82" s="66">
        <v>0</v>
      </c>
      <c r="GR82" s="66">
        <v>0</v>
      </c>
      <c r="GS82" s="66">
        <v>0</v>
      </c>
      <c r="GT82" s="66">
        <v>0</v>
      </c>
      <c r="GU82" s="66">
        <v>0</v>
      </c>
      <c r="GV82" s="66">
        <v>0</v>
      </c>
      <c r="GW82" s="66">
        <v>0</v>
      </c>
      <c r="GX82" s="67" t="s">
        <v>1230</v>
      </c>
      <c r="GY82" s="67" t="s">
        <v>1230</v>
      </c>
      <c r="GZ82" s="67">
        <v>0</v>
      </c>
      <c r="HA82" s="187">
        <v>0</v>
      </c>
      <c r="HB82" s="67">
        <v>0</v>
      </c>
      <c r="HC82" s="66">
        <v>0</v>
      </c>
      <c r="HD82" s="66">
        <v>0</v>
      </c>
      <c r="HE82" s="66">
        <v>0</v>
      </c>
      <c r="HF82" s="66">
        <v>0</v>
      </c>
      <c r="HG82" s="66">
        <v>0</v>
      </c>
      <c r="HH82" s="66">
        <v>0</v>
      </c>
      <c r="HI82" s="66">
        <v>0</v>
      </c>
      <c r="HJ82" s="66">
        <v>0</v>
      </c>
      <c r="HK82" s="66">
        <v>0</v>
      </c>
      <c r="HL82" s="66">
        <v>0</v>
      </c>
      <c r="HM82" s="66">
        <v>0</v>
      </c>
      <c r="HN82" s="67" t="s">
        <v>1230</v>
      </c>
      <c r="HO82" s="67" t="s">
        <v>1230</v>
      </c>
      <c r="HP82" s="67">
        <v>0</v>
      </c>
      <c r="HQ82" s="187">
        <v>0</v>
      </c>
      <c r="HR82" s="67">
        <v>0</v>
      </c>
      <c r="HS82" s="66">
        <v>0</v>
      </c>
      <c r="HT82" s="66">
        <v>0</v>
      </c>
      <c r="HU82" s="66">
        <v>0</v>
      </c>
      <c r="HV82" s="66">
        <v>0</v>
      </c>
      <c r="HW82" s="66">
        <v>0</v>
      </c>
      <c r="HX82" s="66">
        <v>0</v>
      </c>
      <c r="HY82" s="66">
        <v>0</v>
      </c>
      <c r="HZ82" s="66">
        <v>0</v>
      </c>
      <c r="IA82" s="66">
        <v>0</v>
      </c>
      <c r="IB82" s="66">
        <v>0</v>
      </c>
      <c r="IC82" s="66">
        <v>0</v>
      </c>
      <c r="ID82" s="67" t="s">
        <v>1230</v>
      </c>
      <c r="IE82" s="67" t="s">
        <v>1230</v>
      </c>
      <c r="IF82" s="67">
        <v>0</v>
      </c>
      <c r="IG82" s="187">
        <v>0</v>
      </c>
      <c r="IH82" s="67">
        <v>0</v>
      </c>
      <c r="II82" s="66">
        <v>0</v>
      </c>
      <c r="IJ82" s="66">
        <v>0</v>
      </c>
      <c r="IK82" s="66">
        <v>0</v>
      </c>
      <c r="IL82" s="66">
        <v>0</v>
      </c>
      <c r="IM82" s="66">
        <v>0</v>
      </c>
      <c r="IN82" s="66">
        <v>0</v>
      </c>
      <c r="IO82" s="66">
        <v>0</v>
      </c>
      <c r="IP82" s="66">
        <v>0</v>
      </c>
      <c r="IQ82" s="66">
        <v>0</v>
      </c>
      <c r="IR82" s="66">
        <v>0</v>
      </c>
      <c r="IS82" s="66">
        <v>0</v>
      </c>
      <c r="IT82" s="67" t="s">
        <v>1230</v>
      </c>
      <c r="IU82" s="67" t="s">
        <v>1230</v>
      </c>
      <c r="IV82" s="67">
        <v>0</v>
      </c>
      <c r="IW82" s="187">
        <v>0</v>
      </c>
      <c r="IX82" s="67">
        <v>0</v>
      </c>
    </row>
    <row r="83" spans="1:258" ht="15.6" x14ac:dyDescent="0.3">
      <c r="A83" s="215">
        <v>71</v>
      </c>
      <c r="B83" s="205" t="s">
        <v>189</v>
      </c>
      <c r="C83" s="66">
        <v>62.437800000000003</v>
      </c>
      <c r="D83" s="66">
        <v>0</v>
      </c>
      <c r="E83" s="66">
        <v>162.43779999999998</v>
      </c>
      <c r="F83" s="66">
        <v>62.437800000000003</v>
      </c>
      <c r="G83" s="66">
        <v>100</v>
      </c>
      <c r="H83" s="66">
        <v>57.86930392</v>
      </c>
      <c r="I83" s="66">
        <v>0.84666604000000001</v>
      </c>
      <c r="J83" s="66">
        <v>142.62645213000002</v>
      </c>
      <c r="K83" s="66">
        <v>57.86930392</v>
      </c>
      <c r="L83" s="66">
        <v>0</v>
      </c>
      <c r="M83" s="66">
        <v>84.757148209999997</v>
      </c>
      <c r="N83" s="67">
        <v>92.683124517519829</v>
      </c>
      <c r="O83" s="67">
        <v>84.757148209999997</v>
      </c>
      <c r="P83" s="67">
        <v>59.42596688358077</v>
      </c>
      <c r="Q83" s="66">
        <v>0.84666604000000001</v>
      </c>
      <c r="R83" s="67">
        <v>2.3314683517128287E-15</v>
      </c>
      <c r="S83" s="66">
        <v>47.452100000000002</v>
      </c>
      <c r="T83" s="66">
        <v>0</v>
      </c>
      <c r="U83" s="66">
        <v>97.452100000000002</v>
      </c>
      <c r="V83" s="66">
        <v>47.452100000000002</v>
      </c>
      <c r="W83" s="66">
        <v>50</v>
      </c>
      <c r="X83" s="66">
        <v>47.452100000000002</v>
      </c>
      <c r="Y83" s="66">
        <v>0.12001194</v>
      </c>
      <c r="Z83" s="66">
        <v>97.452100000000002</v>
      </c>
      <c r="AA83" s="66">
        <v>47.452100000000002</v>
      </c>
      <c r="AB83" s="66">
        <v>0</v>
      </c>
      <c r="AC83" s="66">
        <v>50</v>
      </c>
      <c r="AD83" s="67">
        <v>100</v>
      </c>
      <c r="AE83" s="67">
        <v>100</v>
      </c>
      <c r="AF83" s="67">
        <v>51.307257616818923</v>
      </c>
      <c r="AG83" s="187">
        <v>0.12001194</v>
      </c>
      <c r="AH83" s="67">
        <v>-2.2898349882893854E-15</v>
      </c>
      <c r="AI83" s="66">
        <v>0</v>
      </c>
      <c r="AJ83" s="66">
        <v>0</v>
      </c>
      <c r="AK83" s="66">
        <v>0</v>
      </c>
      <c r="AL83" s="66">
        <v>0</v>
      </c>
      <c r="AM83" s="66">
        <v>0</v>
      </c>
      <c r="AN83" s="66">
        <v>0</v>
      </c>
      <c r="AO83" s="66">
        <v>0.72665409999999997</v>
      </c>
      <c r="AP83" s="66">
        <v>0</v>
      </c>
      <c r="AQ83" s="66">
        <v>0</v>
      </c>
      <c r="AR83" s="66">
        <v>0</v>
      </c>
      <c r="AS83" s="66">
        <v>0</v>
      </c>
      <c r="AT83" s="67" t="s">
        <v>1230</v>
      </c>
      <c r="AU83" s="67" t="s">
        <v>1230</v>
      </c>
      <c r="AV83" s="67">
        <v>0</v>
      </c>
      <c r="AW83" s="187">
        <v>0.72665409999999997</v>
      </c>
      <c r="AX83" s="67">
        <v>0</v>
      </c>
      <c r="AY83" s="66">
        <v>14.9857</v>
      </c>
      <c r="AZ83" s="66">
        <v>0</v>
      </c>
      <c r="BA83" s="66">
        <v>64.985699999999994</v>
      </c>
      <c r="BB83" s="66">
        <v>14.9857</v>
      </c>
      <c r="BC83" s="66">
        <v>50</v>
      </c>
      <c r="BD83" s="66">
        <v>10.41720392</v>
      </c>
      <c r="BE83" s="66">
        <v>0</v>
      </c>
      <c r="BF83" s="66">
        <v>45.174352130000003</v>
      </c>
      <c r="BG83" s="66">
        <v>10.41720392</v>
      </c>
      <c r="BH83" s="66">
        <v>0</v>
      </c>
      <c r="BI83" s="66">
        <v>34.757148210000004</v>
      </c>
      <c r="BJ83" s="67">
        <v>69.514296429262572</v>
      </c>
      <c r="BK83" s="67">
        <v>69.514296420000008</v>
      </c>
      <c r="BL83" s="67">
        <v>76.940003721532065</v>
      </c>
      <c r="BM83" s="187">
        <v>0</v>
      </c>
      <c r="BN83" s="67">
        <v>0</v>
      </c>
      <c r="BO83" s="66">
        <v>0</v>
      </c>
      <c r="BP83" s="66">
        <v>0</v>
      </c>
      <c r="BQ83" s="66">
        <v>0</v>
      </c>
      <c r="BR83" s="66">
        <v>0</v>
      </c>
      <c r="BS83" s="66">
        <v>0</v>
      </c>
      <c r="BT83" s="66">
        <v>0</v>
      </c>
      <c r="BU83" s="66">
        <v>0</v>
      </c>
      <c r="BV83" s="66">
        <v>0</v>
      </c>
      <c r="BW83" s="66">
        <v>0</v>
      </c>
      <c r="BX83" s="66">
        <v>0</v>
      </c>
      <c r="BY83" s="66">
        <v>0</v>
      </c>
      <c r="BZ83" s="67" t="s">
        <v>1230</v>
      </c>
      <c r="CA83" s="67" t="s">
        <v>1230</v>
      </c>
      <c r="CB83" s="67">
        <v>0</v>
      </c>
      <c r="CC83" s="187">
        <v>0</v>
      </c>
      <c r="CD83" s="67">
        <v>0</v>
      </c>
      <c r="CE83" s="66">
        <v>0</v>
      </c>
      <c r="CF83" s="66">
        <v>0</v>
      </c>
      <c r="CG83" s="66">
        <v>0</v>
      </c>
      <c r="CH83" s="66">
        <v>0</v>
      </c>
      <c r="CI83" s="66">
        <v>0</v>
      </c>
      <c r="CJ83" s="66">
        <v>0</v>
      </c>
      <c r="CK83" s="66">
        <v>0</v>
      </c>
      <c r="CL83" s="66">
        <v>0</v>
      </c>
      <c r="CM83" s="66">
        <v>0</v>
      </c>
      <c r="CN83" s="66">
        <v>0</v>
      </c>
      <c r="CO83" s="66">
        <v>0</v>
      </c>
      <c r="CP83" s="67" t="s">
        <v>1230</v>
      </c>
      <c r="CQ83" s="67" t="s">
        <v>1230</v>
      </c>
      <c r="CR83" s="67">
        <v>0</v>
      </c>
      <c r="CS83" s="187">
        <v>0</v>
      </c>
      <c r="CT83" s="67">
        <v>0</v>
      </c>
      <c r="CU83" s="66">
        <v>0</v>
      </c>
      <c r="CV83" s="66">
        <v>0</v>
      </c>
      <c r="CW83" s="66">
        <v>0</v>
      </c>
      <c r="CX83" s="66">
        <v>0</v>
      </c>
      <c r="CY83" s="66">
        <v>0</v>
      </c>
      <c r="CZ83" s="66">
        <v>0</v>
      </c>
      <c r="DA83" s="66">
        <v>0</v>
      </c>
      <c r="DB83" s="66">
        <v>0</v>
      </c>
      <c r="DC83" s="66">
        <v>0</v>
      </c>
      <c r="DD83" s="66">
        <v>0</v>
      </c>
      <c r="DE83" s="66">
        <v>0</v>
      </c>
      <c r="DF83" s="67" t="s">
        <v>1230</v>
      </c>
      <c r="DG83" s="67" t="s">
        <v>1230</v>
      </c>
      <c r="DH83" s="67">
        <v>0</v>
      </c>
      <c r="DI83" s="187">
        <v>0</v>
      </c>
      <c r="DJ83" s="67">
        <v>0</v>
      </c>
      <c r="DK83" s="66">
        <v>0</v>
      </c>
      <c r="DL83" s="66">
        <v>0</v>
      </c>
      <c r="DM83" s="66">
        <v>0</v>
      </c>
      <c r="DN83" s="66">
        <v>0</v>
      </c>
      <c r="DO83" s="66">
        <v>0</v>
      </c>
      <c r="DP83" s="66">
        <v>0</v>
      </c>
      <c r="DQ83" s="66">
        <v>0</v>
      </c>
      <c r="DR83" s="66">
        <v>0</v>
      </c>
      <c r="DS83" s="66">
        <v>0</v>
      </c>
      <c r="DT83" s="66">
        <v>0</v>
      </c>
      <c r="DU83" s="66">
        <v>0</v>
      </c>
      <c r="DV83" s="67" t="s">
        <v>1230</v>
      </c>
      <c r="DW83" s="67" t="s">
        <v>1230</v>
      </c>
      <c r="DX83" s="67">
        <v>0</v>
      </c>
      <c r="DY83" s="187">
        <v>0</v>
      </c>
      <c r="DZ83" s="67">
        <v>0</v>
      </c>
      <c r="EA83" s="66">
        <v>0</v>
      </c>
      <c r="EB83" s="66">
        <v>0</v>
      </c>
      <c r="EC83" s="66">
        <v>0</v>
      </c>
      <c r="ED83" s="66">
        <v>0</v>
      </c>
      <c r="EE83" s="66">
        <v>0</v>
      </c>
      <c r="EF83" s="66">
        <v>0</v>
      </c>
      <c r="EG83" s="66">
        <v>0</v>
      </c>
      <c r="EH83" s="66">
        <v>0</v>
      </c>
      <c r="EI83" s="66">
        <v>0</v>
      </c>
      <c r="EJ83" s="66">
        <v>0</v>
      </c>
      <c r="EK83" s="66">
        <v>0</v>
      </c>
      <c r="EL83" s="67" t="s">
        <v>1230</v>
      </c>
      <c r="EM83" s="67" t="s">
        <v>1230</v>
      </c>
      <c r="EN83" s="67">
        <v>0</v>
      </c>
      <c r="EO83" s="187">
        <v>0</v>
      </c>
      <c r="EP83" s="67">
        <v>0</v>
      </c>
      <c r="EQ83" s="66">
        <v>0</v>
      </c>
      <c r="ER83" s="66">
        <v>0</v>
      </c>
      <c r="ES83" s="66">
        <v>0</v>
      </c>
      <c r="ET83" s="66">
        <v>0</v>
      </c>
      <c r="EU83" s="66">
        <v>0</v>
      </c>
      <c r="EV83" s="66">
        <v>0</v>
      </c>
      <c r="EW83" s="66">
        <v>0</v>
      </c>
      <c r="EX83" s="66">
        <v>0</v>
      </c>
      <c r="EY83" s="66">
        <v>0</v>
      </c>
      <c r="EZ83" s="66">
        <v>0</v>
      </c>
      <c r="FA83" s="66">
        <v>0</v>
      </c>
      <c r="FB83" s="67" t="s">
        <v>1230</v>
      </c>
      <c r="FC83" s="67" t="s">
        <v>1230</v>
      </c>
      <c r="FD83" s="67">
        <v>0</v>
      </c>
      <c r="FE83" s="187">
        <v>0</v>
      </c>
      <c r="FF83" s="67">
        <v>0</v>
      </c>
      <c r="FG83" s="66">
        <v>0</v>
      </c>
      <c r="FH83" s="66">
        <v>0</v>
      </c>
      <c r="FI83" s="66">
        <v>0</v>
      </c>
      <c r="FJ83" s="66">
        <v>0</v>
      </c>
      <c r="FK83" s="66">
        <v>0</v>
      </c>
      <c r="FL83" s="66">
        <v>0</v>
      </c>
      <c r="FM83" s="66">
        <v>0</v>
      </c>
      <c r="FN83" s="66">
        <v>0</v>
      </c>
      <c r="FO83" s="66">
        <v>0</v>
      </c>
      <c r="FP83" s="66">
        <v>0</v>
      </c>
      <c r="FQ83" s="66">
        <v>0</v>
      </c>
      <c r="FR83" s="67" t="s">
        <v>1230</v>
      </c>
      <c r="FS83" s="67" t="s">
        <v>1230</v>
      </c>
      <c r="FT83" s="67">
        <v>0</v>
      </c>
      <c r="FU83" s="187">
        <v>0</v>
      </c>
      <c r="FV83" s="67">
        <v>0</v>
      </c>
      <c r="FW83" s="66">
        <v>0</v>
      </c>
      <c r="FX83" s="66">
        <v>0</v>
      </c>
      <c r="FY83" s="66">
        <v>0</v>
      </c>
      <c r="FZ83" s="66">
        <v>0</v>
      </c>
      <c r="GA83" s="66">
        <v>0</v>
      </c>
      <c r="GB83" s="66">
        <v>0</v>
      </c>
      <c r="GC83" s="66">
        <v>0</v>
      </c>
      <c r="GD83" s="66">
        <v>0</v>
      </c>
      <c r="GE83" s="66">
        <v>0</v>
      </c>
      <c r="GF83" s="66">
        <v>0</v>
      </c>
      <c r="GG83" s="66">
        <v>0</v>
      </c>
      <c r="GH83" s="67" t="s">
        <v>1230</v>
      </c>
      <c r="GI83" s="67" t="s">
        <v>1230</v>
      </c>
      <c r="GJ83" s="67">
        <v>0</v>
      </c>
      <c r="GK83" s="187">
        <v>0</v>
      </c>
      <c r="GL83" s="67">
        <v>0</v>
      </c>
      <c r="GM83" s="66">
        <v>0</v>
      </c>
      <c r="GN83" s="66">
        <v>0</v>
      </c>
      <c r="GO83" s="66">
        <v>0</v>
      </c>
      <c r="GP83" s="66">
        <v>0</v>
      </c>
      <c r="GQ83" s="66">
        <v>0</v>
      </c>
      <c r="GR83" s="66">
        <v>0</v>
      </c>
      <c r="GS83" s="66">
        <v>0</v>
      </c>
      <c r="GT83" s="66">
        <v>0</v>
      </c>
      <c r="GU83" s="66">
        <v>0</v>
      </c>
      <c r="GV83" s="66">
        <v>0</v>
      </c>
      <c r="GW83" s="66">
        <v>0</v>
      </c>
      <c r="GX83" s="67" t="s">
        <v>1230</v>
      </c>
      <c r="GY83" s="67" t="s">
        <v>1230</v>
      </c>
      <c r="GZ83" s="67">
        <v>0</v>
      </c>
      <c r="HA83" s="187">
        <v>0</v>
      </c>
      <c r="HB83" s="67">
        <v>0</v>
      </c>
      <c r="HC83" s="66">
        <v>0</v>
      </c>
      <c r="HD83" s="66">
        <v>0</v>
      </c>
      <c r="HE83" s="66">
        <v>0</v>
      </c>
      <c r="HF83" s="66">
        <v>0</v>
      </c>
      <c r="HG83" s="66">
        <v>0</v>
      </c>
      <c r="HH83" s="66">
        <v>0</v>
      </c>
      <c r="HI83" s="66">
        <v>0</v>
      </c>
      <c r="HJ83" s="66">
        <v>0</v>
      </c>
      <c r="HK83" s="66">
        <v>0</v>
      </c>
      <c r="HL83" s="66">
        <v>0</v>
      </c>
      <c r="HM83" s="66">
        <v>0</v>
      </c>
      <c r="HN83" s="67" t="s">
        <v>1230</v>
      </c>
      <c r="HO83" s="67" t="s">
        <v>1230</v>
      </c>
      <c r="HP83" s="67">
        <v>0</v>
      </c>
      <c r="HQ83" s="187">
        <v>0</v>
      </c>
      <c r="HR83" s="67">
        <v>0</v>
      </c>
      <c r="HS83" s="66">
        <v>0</v>
      </c>
      <c r="HT83" s="66">
        <v>0</v>
      </c>
      <c r="HU83" s="66">
        <v>0</v>
      </c>
      <c r="HV83" s="66">
        <v>0</v>
      </c>
      <c r="HW83" s="66">
        <v>0</v>
      </c>
      <c r="HX83" s="66">
        <v>0</v>
      </c>
      <c r="HY83" s="66">
        <v>0</v>
      </c>
      <c r="HZ83" s="66">
        <v>0</v>
      </c>
      <c r="IA83" s="66">
        <v>0</v>
      </c>
      <c r="IB83" s="66">
        <v>0</v>
      </c>
      <c r="IC83" s="66">
        <v>0</v>
      </c>
      <c r="ID83" s="67" t="s">
        <v>1230</v>
      </c>
      <c r="IE83" s="67" t="s">
        <v>1230</v>
      </c>
      <c r="IF83" s="67">
        <v>0</v>
      </c>
      <c r="IG83" s="187">
        <v>0</v>
      </c>
      <c r="IH83" s="67">
        <v>0</v>
      </c>
      <c r="II83" s="66">
        <v>0</v>
      </c>
      <c r="IJ83" s="66">
        <v>0</v>
      </c>
      <c r="IK83" s="66">
        <v>0</v>
      </c>
      <c r="IL83" s="66">
        <v>0</v>
      </c>
      <c r="IM83" s="66">
        <v>0</v>
      </c>
      <c r="IN83" s="66">
        <v>0</v>
      </c>
      <c r="IO83" s="66">
        <v>0</v>
      </c>
      <c r="IP83" s="66">
        <v>0</v>
      </c>
      <c r="IQ83" s="66">
        <v>0</v>
      </c>
      <c r="IR83" s="66">
        <v>0</v>
      </c>
      <c r="IS83" s="66">
        <v>0</v>
      </c>
      <c r="IT83" s="67" t="s">
        <v>1230</v>
      </c>
      <c r="IU83" s="67" t="s">
        <v>1230</v>
      </c>
      <c r="IV83" s="67">
        <v>0</v>
      </c>
      <c r="IW83" s="187">
        <v>0</v>
      </c>
      <c r="IX83" s="67">
        <v>0</v>
      </c>
    </row>
    <row r="84" spans="1:258" ht="15.6" x14ac:dyDescent="0.3">
      <c r="A84" s="202">
        <v>72</v>
      </c>
      <c r="B84" s="203" t="s">
        <v>192</v>
      </c>
      <c r="C84" s="61">
        <v>2031.8090999999999</v>
      </c>
      <c r="D84" s="61">
        <v>0</v>
      </c>
      <c r="E84" s="61">
        <v>2594.08194056</v>
      </c>
      <c r="F84" s="61">
        <v>2031.8090999999999</v>
      </c>
      <c r="G84" s="61">
        <v>562.27284055999996</v>
      </c>
      <c r="H84" s="61">
        <v>1909.8177334099998</v>
      </c>
      <c r="I84" s="61">
        <v>6.2221428999999997</v>
      </c>
      <c r="J84" s="61">
        <v>2446.5437818300002</v>
      </c>
      <c r="K84" s="61">
        <v>1909.79701671</v>
      </c>
      <c r="L84" s="61">
        <v>0</v>
      </c>
      <c r="M84" s="61">
        <v>536.74676511999996</v>
      </c>
      <c r="N84" s="61">
        <v>93.99490418218916</v>
      </c>
      <c r="O84" s="61">
        <v>95.460197683641084</v>
      </c>
      <c r="P84" s="61">
        <v>21.938980577675032</v>
      </c>
      <c r="Q84" s="61">
        <v>5.7599541700000003</v>
      </c>
      <c r="R84" s="61">
        <v>0.48290543000016667</v>
      </c>
      <c r="S84" s="61">
        <v>1457.6959999999999</v>
      </c>
      <c r="T84" s="61">
        <v>0</v>
      </c>
      <c r="U84" s="61">
        <v>1717.0205276399997</v>
      </c>
      <c r="V84" s="61">
        <v>1457.6959999999999</v>
      </c>
      <c r="W84" s="61">
        <v>259.32452764000004</v>
      </c>
      <c r="X84" s="61">
        <v>1457.04741322</v>
      </c>
      <c r="Y84" s="61">
        <v>2.4016298799999998</v>
      </c>
      <c r="Z84" s="61">
        <v>1715.9828944499998</v>
      </c>
      <c r="AA84" s="61">
        <v>1457.0266965299995</v>
      </c>
      <c r="AB84" s="61">
        <v>0</v>
      </c>
      <c r="AC84" s="61">
        <v>258.95619792000002</v>
      </c>
      <c r="AD84" s="61">
        <v>99.954084838676906</v>
      </c>
      <c r="AE84" s="61">
        <v>99.857965722196809</v>
      </c>
      <c r="AF84" s="61">
        <v>15.090837954011171</v>
      </c>
      <c r="AG84" s="61">
        <v>1.97551225</v>
      </c>
      <c r="AH84" s="61">
        <v>0.44683432000003048</v>
      </c>
      <c r="AI84" s="61">
        <v>0</v>
      </c>
      <c r="AJ84" s="61">
        <v>0</v>
      </c>
      <c r="AK84" s="61">
        <v>0</v>
      </c>
      <c r="AL84" s="61">
        <v>0</v>
      </c>
      <c r="AM84" s="61">
        <v>0</v>
      </c>
      <c r="AN84" s="61">
        <v>0</v>
      </c>
      <c r="AO84" s="61">
        <v>2.2125043999999998</v>
      </c>
      <c r="AP84" s="61">
        <v>0</v>
      </c>
      <c r="AQ84" s="61">
        <v>0</v>
      </c>
      <c r="AR84" s="61">
        <v>0</v>
      </c>
      <c r="AS84" s="61">
        <v>0</v>
      </c>
      <c r="AT84" s="61" t="s">
        <v>1230</v>
      </c>
      <c r="AU84" s="61" t="s">
        <v>1230</v>
      </c>
      <c r="AV84" s="61">
        <v>0</v>
      </c>
      <c r="AW84" s="61">
        <v>2.2109608999999999</v>
      </c>
      <c r="AX84" s="61">
        <v>1.543500000000031E-3</v>
      </c>
      <c r="AY84" s="61">
        <v>295.99039999999997</v>
      </c>
      <c r="AZ84" s="61">
        <v>0</v>
      </c>
      <c r="BA84" s="61">
        <v>490.12388204999996</v>
      </c>
      <c r="BB84" s="61">
        <v>295.99039999999997</v>
      </c>
      <c r="BC84" s="61">
        <v>194.13348205</v>
      </c>
      <c r="BD84" s="61">
        <v>288.50251037999999</v>
      </c>
      <c r="BE84" s="61">
        <v>0.60426332999999999</v>
      </c>
      <c r="BF84" s="61">
        <v>480.78269493999994</v>
      </c>
      <c r="BG84" s="61">
        <v>288.50251036999998</v>
      </c>
      <c r="BH84" s="61">
        <v>0</v>
      </c>
      <c r="BI84" s="61">
        <v>192.28018456999999</v>
      </c>
      <c r="BJ84" s="61">
        <v>97.470225510692245</v>
      </c>
      <c r="BK84" s="61">
        <v>99.045348870050816</v>
      </c>
      <c r="BL84" s="61">
        <v>39.993158363155295</v>
      </c>
      <c r="BM84" s="61">
        <v>0.60426332999999999</v>
      </c>
      <c r="BN84" s="61">
        <v>1.0000002825805154E-8</v>
      </c>
      <c r="BO84" s="61">
        <v>0</v>
      </c>
      <c r="BP84" s="61">
        <v>0</v>
      </c>
      <c r="BQ84" s="61">
        <v>0</v>
      </c>
      <c r="BR84" s="61">
        <v>0</v>
      </c>
      <c r="BS84" s="61">
        <v>0</v>
      </c>
      <c r="BT84" s="61">
        <v>0</v>
      </c>
      <c r="BU84" s="61">
        <v>0.6356176899999999</v>
      </c>
      <c r="BV84" s="61">
        <v>0</v>
      </c>
      <c r="BW84" s="61">
        <v>0</v>
      </c>
      <c r="BX84" s="61">
        <v>0</v>
      </c>
      <c r="BY84" s="61">
        <v>0</v>
      </c>
      <c r="BZ84" s="61" t="s">
        <v>1230</v>
      </c>
      <c r="CA84" s="61" t="s">
        <v>1230</v>
      </c>
      <c r="CB84" s="61">
        <v>0</v>
      </c>
      <c r="CC84" s="61">
        <v>0.6356176899999999</v>
      </c>
      <c r="CD84" s="61">
        <v>0</v>
      </c>
      <c r="CE84" s="61">
        <v>178.72800000000001</v>
      </c>
      <c r="CF84" s="61">
        <v>0</v>
      </c>
      <c r="CG84" s="61">
        <v>215.33493976</v>
      </c>
      <c r="CH84" s="61">
        <v>178.72800000000001</v>
      </c>
      <c r="CI84" s="61">
        <v>36.606939759999996</v>
      </c>
      <c r="CJ84" s="61">
        <v>65.531566949999998</v>
      </c>
      <c r="CK84" s="61">
        <v>0</v>
      </c>
      <c r="CL84" s="61">
        <v>78.953695120000006</v>
      </c>
      <c r="CM84" s="61">
        <v>65.531566949999998</v>
      </c>
      <c r="CN84" s="61">
        <v>0</v>
      </c>
      <c r="CO84" s="61">
        <v>13.422128170000001</v>
      </c>
      <c r="CP84" s="61">
        <v>36.665529156035987</v>
      </c>
      <c r="CQ84" s="61">
        <v>36.6655291537541</v>
      </c>
      <c r="CR84" s="61">
        <v>16.999999999493372</v>
      </c>
      <c r="CS84" s="61">
        <v>0</v>
      </c>
      <c r="CT84" s="61">
        <v>0</v>
      </c>
      <c r="CU84" s="61">
        <v>0</v>
      </c>
      <c r="CV84" s="61">
        <v>0</v>
      </c>
      <c r="CW84" s="61">
        <v>0</v>
      </c>
      <c r="CX84" s="61">
        <v>0</v>
      </c>
      <c r="CY84" s="61">
        <v>0</v>
      </c>
      <c r="CZ84" s="61">
        <v>0</v>
      </c>
      <c r="DA84" s="61">
        <v>0</v>
      </c>
      <c r="DB84" s="61">
        <v>0</v>
      </c>
      <c r="DC84" s="61">
        <v>0</v>
      </c>
      <c r="DD84" s="61">
        <v>0</v>
      </c>
      <c r="DE84" s="61">
        <v>0</v>
      </c>
      <c r="DF84" s="61" t="s">
        <v>1230</v>
      </c>
      <c r="DG84" s="61" t="s">
        <v>1230</v>
      </c>
      <c r="DH84" s="61">
        <v>0</v>
      </c>
      <c r="DI84" s="61">
        <v>0</v>
      </c>
      <c r="DJ84" s="61">
        <v>0</v>
      </c>
      <c r="DK84" s="61">
        <v>15.287400000000002</v>
      </c>
      <c r="DL84" s="61">
        <v>0</v>
      </c>
      <c r="DM84" s="61">
        <v>23.363013729999999</v>
      </c>
      <c r="DN84" s="61">
        <v>15.287400000000002</v>
      </c>
      <c r="DO84" s="61">
        <v>8.0756137300000006</v>
      </c>
      <c r="DP84" s="61">
        <v>15.0626926</v>
      </c>
      <c r="DQ84" s="61">
        <v>0</v>
      </c>
      <c r="DR84" s="61">
        <v>23.09426156</v>
      </c>
      <c r="DS84" s="61">
        <v>15.0626926</v>
      </c>
      <c r="DT84" s="61">
        <v>0</v>
      </c>
      <c r="DU84" s="61">
        <v>8.0315689599999995</v>
      </c>
      <c r="DV84" s="61">
        <v>98.530113688396966</v>
      </c>
      <c r="DW84" s="61">
        <v>99.454595384665566</v>
      </c>
      <c r="DX84" s="61">
        <v>34.777336089026264</v>
      </c>
      <c r="DY84" s="61">
        <v>0</v>
      </c>
      <c r="DZ84" s="61">
        <v>0</v>
      </c>
      <c r="EA84" s="61">
        <v>0</v>
      </c>
      <c r="EB84" s="61">
        <v>0</v>
      </c>
      <c r="EC84" s="61">
        <v>0</v>
      </c>
      <c r="ED84" s="61">
        <v>0</v>
      </c>
      <c r="EE84" s="61">
        <v>0</v>
      </c>
      <c r="EF84" s="61">
        <v>0</v>
      </c>
      <c r="EG84" s="61">
        <v>0</v>
      </c>
      <c r="EH84" s="61">
        <v>0</v>
      </c>
      <c r="EI84" s="61">
        <v>0</v>
      </c>
      <c r="EJ84" s="61">
        <v>0</v>
      </c>
      <c r="EK84" s="61">
        <v>0</v>
      </c>
      <c r="EL84" s="61" t="s">
        <v>1230</v>
      </c>
      <c r="EM84" s="61" t="s">
        <v>1230</v>
      </c>
      <c r="EN84" s="61">
        <v>0</v>
      </c>
      <c r="EO84" s="61">
        <v>0</v>
      </c>
      <c r="EP84" s="61">
        <v>0</v>
      </c>
      <c r="EQ84" s="61">
        <v>11.9382</v>
      </c>
      <c r="ER84" s="61">
        <v>0</v>
      </c>
      <c r="ES84" s="61">
        <v>17.818378509999999</v>
      </c>
      <c r="ET84" s="61">
        <v>11.9382</v>
      </c>
      <c r="EU84" s="61">
        <v>5.8801785100000004</v>
      </c>
      <c r="EV84" s="61">
        <v>11.9382</v>
      </c>
      <c r="EW84" s="61">
        <v>0</v>
      </c>
      <c r="EX84" s="61">
        <v>17.818378509999999</v>
      </c>
      <c r="EY84" s="61">
        <v>11.9382</v>
      </c>
      <c r="EZ84" s="61">
        <v>0</v>
      </c>
      <c r="FA84" s="61">
        <v>5.8801785100000004</v>
      </c>
      <c r="FB84" s="61">
        <v>100</v>
      </c>
      <c r="FC84" s="61">
        <v>100</v>
      </c>
      <c r="FD84" s="61">
        <v>33.00063755352339</v>
      </c>
      <c r="FE84" s="61">
        <v>0</v>
      </c>
      <c r="FF84" s="61">
        <v>0</v>
      </c>
      <c r="FG84" s="61">
        <v>0</v>
      </c>
      <c r="FH84" s="61">
        <v>0</v>
      </c>
      <c r="FI84" s="61">
        <v>0</v>
      </c>
      <c r="FJ84" s="61">
        <v>0</v>
      </c>
      <c r="FK84" s="61">
        <v>0</v>
      </c>
      <c r="FL84" s="61">
        <v>0</v>
      </c>
      <c r="FM84" s="61">
        <v>0</v>
      </c>
      <c r="FN84" s="61">
        <v>0</v>
      </c>
      <c r="FO84" s="61">
        <v>0</v>
      </c>
      <c r="FP84" s="61">
        <v>0</v>
      </c>
      <c r="FQ84" s="61">
        <v>0</v>
      </c>
      <c r="FR84" s="61" t="s">
        <v>1230</v>
      </c>
      <c r="FS84" s="61" t="s">
        <v>1230</v>
      </c>
      <c r="FT84" s="61">
        <v>0</v>
      </c>
      <c r="FU84" s="61">
        <v>0</v>
      </c>
      <c r="FV84" s="61">
        <v>0</v>
      </c>
      <c r="FW84" s="61">
        <v>57.934400000000004</v>
      </c>
      <c r="FX84" s="61">
        <v>0</v>
      </c>
      <c r="FY84" s="61">
        <v>95.131925300000006</v>
      </c>
      <c r="FZ84" s="61">
        <v>57.934400000000004</v>
      </c>
      <c r="GA84" s="61">
        <v>37.197525300000002</v>
      </c>
      <c r="GB84" s="61">
        <v>57.507351020000002</v>
      </c>
      <c r="GC84" s="61">
        <v>0</v>
      </c>
      <c r="GD84" s="61">
        <v>94.63106501</v>
      </c>
      <c r="GE84" s="61">
        <v>57.507351020000002</v>
      </c>
      <c r="GF84" s="61">
        <v>0</v>
      </c>
      <c r="GG84" s="61">
        <v>37.123713989999999</v>
      </c>
      <c r="GH84" s="61">
        <v>99.26287494131293</v>
      </c>
      <c r="GI84" s="61">
        <v>99.80156929955767</v>
      </c>
      <c r="GJ84" s="61">
        <v>39.229944190184277</v>
      </c>
      <c r="GK84" s="61">
        <v>0</v>
      </c>
      <c r="GL84" s="61">
        <v>0</v>
      </c>
      <c r="GM84" s="61">
        <v>0</v>
      </c>
      <c r="GN84" s="61">
        <v>0</v>
      </c>
      <c r="GO84" s="61">
        <v>0</v>
      </c>
      <c r="GP84" s="61">
        <v>0</v>
      </c>
      <c r="GQ84" s="61">
        <v>0</v>
      </c>
      <c r="GR84" s="61">
        <v>0</v>
      </c>
      <c r="GS84" s="61">
        <v>0</v>
      </c>
      <c r="GT84" s="61">
        <v>0</v>
      </c>
      <c r="GU84" s="61">
        <v>0</v>
      </c>
      <c r="GV84" s="61">
        <v>0</v>
      </c>
      <c r="GW84" s="61">
        <v>0</v>
      </c>
      <c r="GX84" s="61" t="s">
        <v>1230</v>
      </c>
      <c r="GY84" s="61" t="s">
        <v>1230</v>
      </c>
      <c r="GZ84" s="61">
        <v>0</v>
      </c>
      <c r="HA84" s="61">
        <v>0</v>
      </c>
      <c r="HB84" s="61">
        <v>0</v>
      </c>
      <c r="HC84" s="61">
        <v>14.234699999999998</v>
      </c>
      <c r="HD84" s="61">
        <v>0</v>
      </c>
      <c r="HE84" s="61">
        <v>35.289273570000006</v>
      </c>
      <c r="HF84" s="61">
        <v>14.234699999999998</v>
      </c>
      <c r="HG84" s="61">
        <v>21.054573570000002</v>
      </c>
      <c r="HH84" s="61">
        <v>14.227999239999999</v>
      </c>
      <c r="HI84" s="61">
        <v>0</v>
      </c>
      <c r="HJ84" s="61">
        <v>35.280792240000004</v>
      </c>
      <c r="HK84" s="61">
        <v>14.227999239999999</v>
      </c>
      <c r="HL84" s="61">
        <v>0</v>
      </c>
      <c r="HM84" s="61">
        <v>21.052793000000001</v>
      </c>
      <c r="HN84" s="61">
        <v>99.952926580820105</v>
      </c>
      <c r="HO84" s="61">
        <v>99.991543072605666</v>
      </c>
      <c r="HP84" s="61">
        <v>59.672109562582762</v>
      </c>
      <c r="HQ84" s="61">
        <v>0</v>
      </c>
      <c r="HR84" s="61">
        <v>0</v>
      </c>
      <c r="HS84" s="61">
        <v>0</v>
      </c>
      <c r="HT84" s="61">
        <v>0</v>
      </c>
      <c r="HU84" s="61">
        <v>0</v>
      </c>
      <c r="HV84" s="61">
        <v>0</v>
      </c>
      <c r="HW84" s="61">
        <v>0</v>
      </c>
      <c r="HX84" s="61">
        <v>0</v>
      </c>
      <c r="HY84" s="61">
        <v>0.3681276</v>
      </c>
      <c r="HZ84" s="61">
        <v>0</v>
      </c>
      <c r="IA84" s="61">
        <v>0</v>
      </c>
      <c r="IB84" s="61">
        <v>0</v>
      </c>
      <c r="IC84" s="61">
        <v>0</v>
      </c>
      <c r="ID84" s="61" t="s">
        <v>1230</v>
      </c>
      <c r="IE84" s="61" t="s">
        <v>1230</v>
      </c>
      <c r="IF84" s="61">
        <v>0</v>
      </c>
      <c r="IG84" s="61">
        <v>0.33360000000000001</v>
      </c>
      <c r="IH84" s="61">
        <v>3.4527599999999992E-2</v>
      </c>
      <c r="II84" s="61">
        <v>0</v>
      </c>
      <c r="IJ84" s="61">
        <v>0</v>
      </c>
      <c r="IK84" s="61">
        <v>0</v>
      </c>
      <c r="IL84" s="61">
        <v>0</v>
      </c>
      <c r="IM84" s="61">
        <v>0</v>
      </c>
      <c r="IN84" s="61">
        <v>0</v>
      </c>
      <c r="IO84" s="61">
        <v>0</v>
      </c>
      <c r="IP84" s="61">
        <v>0</v>
      </c>
      <c r="IQ84" s="61">
        <v>0</v>
      </c>
      <c r="IR84" s="61">
        <v>0</v>
      </c>
      <c r="IS84" s="61">
        <v>0</v>
      </c>
      <c r="IT84" s="61" t="s">
        <v>1230</v>
      </c>
      <c r="IU84" s="61" t="s">
        <v>1230</v>
      </c>
      <c r="IV84" s="61">
        <v>0</v>
      </c>
      <c r="IW84" s="61">
        <v>0</v>
      </c>
      <c r="IX84" s="61">
        <v>0</v>
      </c>
    </row>
    <row r="85" spans="1:258" ht="15.6" x14ac:dyDescent="0.3">
      <c r="A85" s="169">
        <v>73</v>
      </c>
      <c r="B85" s="205" t="s">
        <v>195</v>
      </c>
      <c r="C85" s="66">
        <v>97.824600000000004</v>
      </c>
      <c r="D85" s="66">
        <v>0</v>
      </c>
      <c r="E85" s="66">
        <v>102.97326315999999</v>
      </c>
      <c r="F85" s="66">
        <v>97.824600000000004</v>
      </c>
      <c r="G85" s="66">
        <v>5.1486631599999999</v>
      </c>
      <c r="H85" s="66">
        <v>95.938457639999996</v>
      </c>
      <c r="I85" s="66">
        <v>0</v>
      </c>
      <c r="J85" s="66">
        <v>100.98785013999999</v>
      </c>
      <c r="K85" s="66">
        <v>95.938457639999996</v>
      </c>
      <c r="L85" s="66">
        <v>0</v>
      </c>
      <c r="M85" s="66">
        <v>5.0493924999999997</v>
      </c>
      <c r="N85" s="67">
        <v>98.071914058427012</v>
      </c>
      <c r="O85" s="67">
        <v>98.071913875212601</v>
      </c>
      <c r="P85" s="67">
        <v>4.9999999930684735</v>
      </c>
      <c r="Q85" s="66">
        <v>0</v>
      </c>
      <c r="R85" s="67">
        <v>0</v>
      </c>
      <c r="S85" s="66">
        <v>35.201900000000002</v>
      </c>
      <c r="T85" s="66">
        <v>0</v>
      </c>
      <c r="U85" s="66">
        <v>37.054631579999999</v>
      </c>
      <c r="V85" s="66">
        <v>35.201900000000002</v>
      </c>
      <c r="W85" s="66">
        <v>1.8527315800000002</v>
      </c>
      <c r="X85" s="66">
        <v>35.201900000000002</v>
      </c>
      <c r="Y85" s="66">
        <v>0</v>
      </c>
      <c r="Z85" s="66">
        <v>37.054631579999999</v>
      </c>
      <c r="AA85" s="66">
        <v>35.201900000000002</v>
      </c>
      <c r="AB85" s="66">
        <v>0</v>
      </c>
      <c r="AC85" s="66">
        <v>1.8527315800000002</v>
      </c>
      <c r="AD85" s="67">
        <v>100</v>
      </c>
      <c r="AE85" s="67">
        <v>100</v>
      </c>
      <c r="AF85" s="67">
        <v>5.0000000026987186</v>
      </c>
      <c r="AG85" s="187">
        <v>0</v>
      </c>
      <c r="AH85" s="67">
        <v>0</v>
      </c>
      <c r="AI85" s="66">
        <v>0</v>
      </c>
      <c r="AJ85" s="66">
        <v>0</v>
      </c>
      <c r="AK85" s="66">
        <v>0</v>
      </c>
      <c r="AL85" s="66">
        <v>0</v>
      </c>
      <c r="AM85" s="66">
        <v>0</v>
      </c>
      <c r="AN85" s="66">
        <v>0</v>
      </c>
      <c r="AO85" s="66">
        <v>0</v>
      </c>
      <c r="AP85" s="66">
        <v>0</v>
      </c>
      <c r="AQ85" s="66">
        <v>0</v>
      </c>
      <c r="AR85" s="66">
        <v>0</v>
      </c>
      <c r="AS85" s="66">
        <v>0</v>
      </c>
      <c r="AT85" s="67" t="s">
        <v>1230</v>
      </c>
      <c r="AU85" s="67" t="s">
        <v>1230</v>
      </c>
      <c r="AV85" s="67">
        <v>0</v>
      </c>
      <c r="AW85" s="187">
        <v>0</v>
      </c>
      <c r="AX85" s="67">
        <v>0</v>
      </c>
      <c r="AY85" s="66">
        <v>57.9313</v>
      </c>
      <c r="AZ85" s="66">
        <v>0</v>
      </c>
      <c r="BA85" s="66">
        <v>60.980315789999999</v>
      </c>
      <c r="BB85" s="66">
        <v>57.9313</v>
      </c>
      <c r="BC85" s="66">
        <v>3.0490157899999999</v>
      </c>
      <c r="BD85" s="66">
        <v>56.118603149999998</v>
      </c>
      <c r="BE85" s="66">
        <v>0</v>
      </c>
      <c r="BF85" s="66">
        <v>59.072213840000003</v>
      </c>
      <c r="BG85" s="66">
        <v>56.118603149999998</v>
      </c>
      <c r="BH85" s="66">
        <v>0</v>
      </c>
      <c r="BI85" s="66">
        <v>2.9536106900000001</v>
      </c>
      <c r="BJ85" s="67">
        <v>96.870954302768965</v>
      </c>
      <c r="BK85" s="67">
        <v>96.870954216999976</v>
      </c>
      <c r="BL85" s="67">
        <v>4.9999999966143136</v>
      </c>
      <c r="BM85" s="187">
        <v>0</v>
      </c>
      <c r="BN85" s="67">
        <v>0</v>
      </c>
      <c r="BO85" s="66">
        <v>0</v>
      </c>
      <c r="BP85" s="66">
        <v>0</v>
      </c>
      <c r="BQ85" s="66">
        <v>0</v>
      </c>
      <c r="BR85" s="66">
        <v>0</v>
      </c>
      <c r="BS85" s="66">
        <v>0</v>
      </c>
      <c r="BT85" s="66">
        <v>0</v>
      </c>
      <c r="BU85" s="66">
        <v>0</v>
      </c>
      <c r="BV85" s="66">
        <v>0</v>
      </c>
      <c r="BW85" s="66">
        <v>0</v>
      </c>
      <c r="BX85" s="66">
        <v>0</v>
      </c>
      <c r="BY85" s="66">
        <v>0</v>
      </c>
      <c r="BZ85" s="67" t="s">
        <v>1230</v>
      </c>
      <c r="CA85" s="67" t="s">
        <v>1230</v>
      </c>
      <c r="CB85" s="67">
        <v>0</v>
      </c>
      <c r="CC85" s="187">
        <v>0</v>
      </c>
      <c r="CD85" s="67">
        <v>0</v>
      </c>
      <c r="CE85" s="66">
        <v>0</v>
      </c>
      <c r="CF85" s="66">
        <v>0</v>
      </c>
      <c r="CG85" s="66">
        <v>0</v>
      </c>
      <c r="CH85" s="66">
        <v>0</v>
      </c>
      <c r="CI85" s="66">
        <v>0</v>
      </c>
      <c r="CJ85" s="66">
        <v>0</v>
      </c>
      <c r="CK85" s="66">
        <v>0</v>
      </c>
      <c r="CL85" s="66">
        <v>0</v>
      </c>
      <c r="CM85" s="66">
        <v>0</v>
      </c>
      <c r="CN85" s="66">
        <v>0</v>
      </c>
      <c r="CO85" s="66">
        <v>0</v>
      </c>
      <c r="CP85" s="67" t="s">
        <v>1230</v>
      </c>
      <c r="CQ85" s="67" t="s">
        <v>1230</v>
      </c>
      <c r="CR85" s="67">
        <v>0</v>
      </c>
      <c r="CS85" s="187">
        <v>0</v>
      </c>
      <c r="CT85" s="67">
        <v>0</v>
      </c>
      <c r="CU85" s="66">
        <v>0</v>
      </c>
      <c r="CV85" s="66">
        <v>0</v>
      </c>
      <c r="CW85" s="66">
        <v>0</v>
      </c>
      <c r="CX85" s="66">
        <v>0</v>
      </c>
      <c r="CY85" s="66">
        <v>0</v>
      </c>
      <c r="CZ85" s="66">
        <v>0</v>
      </c>
      <c r="DA85" s="66">
        <v>0</v>
      </c>
      <c r="DB85" s="66">
        <v>0</v>
      </c>
      <c r="DC85" s="66">
        <v>0</v>
      </c>
      <c r="DD85" s="66">
        <v>0</v>
      </c>
      <c r="DE85" s="66">
        <v>0</v>
      </c>
      <c r="DF85" s="67" t="s">
        <v>1230</v>
      </c>
      <c r="DG85" s="67" t="s">
        <v>1230</v>
      </c>
      <c r="DH85" s="67">
        <v>0</v>
      </c>
      <c r="DI85" s="187">
        <v>0</v>
      </c>
      <c r="DJ85" s="67">
        <v>0</v>
      </c>
      <c r="DK85" s="66">
        <v>2.5687000000000002</v>
      </c>
      <c r="DL85" s="66">
        <v>0</v>
      </c>
      <c r="DM85" s="66">
        <v>2.7038947400000004</v>
      </c>
      <c r="DN85" s="66">
        <v>2.5687000000000002</v>
      </c>
      <c r="DO85" s="66">
        <v>0.13519473999999998</v>
      </c>
      <c r="DP85" s="66">
        <v>2.4952544900000002</v>
      </c>
      <c r="DQ85" s="66">
        <v>0</v>
      </c>
      <c r="DR85" s="66">
        <v>2.62658367</v>
      </c>
      <c r="DS85" s="66">
        <v>2.4952544900000002</v>
      </c>
      <c r="DT85" s="66">
        <v>0</v>
      </c>
      <c r="DU85" s="66">
        <v>0.13132917999999999</v>
      </c>
      <c r="DV85" s="67">
        <v>97.140751742126369</v>
      </c>
      <c r="DW85" s="67">
        <v>97.140746747987393</v>
      </c>
      <c r="DX85" s="67">
        <v>4.999999866747058</v>
      </c>
      <c r="DY85" s="187">
        <v>0</v>
      </c>
      <c r="DZ85" s="67">
        <v>0</v>
      </c>
      <c r="EA85" s="66">
        <v>0</v>
      </c>
      <c r="EB85" s="66">
        <v>0</v>
      </c>
      <c r="EC85" s="66">
        <v>0</v>
      </c>
      <c r="ED85" s="66">
        <v>0</v>
      </c>
      <c r="EE85" s="66">
        <v>0</v>
      </c>
      <c r="EF85" s="66">
        <v>0</v>
      </c>
      <c r="EG85" s="66">
        <v>0</v>
      </c>
      <c r="EH85" s="66">
        <v>0</v>
      </c>
      <c r="EI85" s="66">
        <v>0</v>
      </c>
      <c r="EJ85" s="66">
        <v>0</v>
      </c>
      <c r="EK85" s="66">
        <v>0</v>
      </c>
      <c r="EL85" s="67" t="s">
        <v>1230</v>
      </c>
      <c r="EM85" s="67" t="s">
        <v>1230</v>
      </c>
      <c r="EN85" s="67">
        <v>0</v>
      </c>
      <c r="EO85" s="187">
        <v>0</v>
      </c>
      <c r="EP85" s="67">
        <v>0</v>
      </c>
      <c r="EQ85" s="66">
        <v>0</v>
      </c>
      <c r="ER85" s="66">
        <v>0</v>
      </c>
      <c r="ES85" s="66">
        <v>0</v>
      </c>
      <c r="ET85" s="66">
        <v>0</v>
      </c>
      <c r="EU85" s="66">
        <v>0</v>
      </c>
      <c r="EV85" s="66">
        <v>0</v>
      </c>
      <c r="EW85" s="66">
        <v>0</v>
      </c>
      <c r="EX85" s="66">
        <v>0</v>
      </c>
      <c r="EY85" s="66">
        <v>0</v>
      </c>
      <c r="EZ85" s="66">
        <v>0</v>
      </c>
      <c r="FA85" s="66">
        <v>0</v>
      </c>
      <c r="FB85" s="67" t="s">
        <v>1230</v>
      </c>
      <c r="FC85" s="67" t="s">
        <v>1230</v>
      </c>
      <c r="FD85" s="67">
        <v>0</v>
      </c>
      <c r="FE85" s="187">
        <v>0</v>
      </c>
      <c r="FF85" s="67">
        <v>0</v>
      </c>
      <c r="FG85" s="66">
        <v>0</v>
      </c>
      <c r="FH85" s="66">
        <v>0</v>
      </c>
      <c r="FI85" s="66">
        <v>0</v>
      </c>
      <c r="FJ85" s="66">
        <v>0</v>
      </c>
      <c r="FK85" s="66">
        <v>0</v>
      </c>
      <c r="FL85" s="66">
        <v>0</v>
      </c>
      <c r="FM85" s="66">
        <v>0</v>
      </c>
      <c r="FN85" s="66">
        <v>0</v>
      </c>
      <c r="FO85" s="66">
        <v>0</v>
      </c>
      <c r="FP85" s="66">
        <v>0</v>
      </c>
      <c r="FQ85" s="66">
        <v>0</v>
      </c>
      <c r="FR85" s="67" t="s">
        <v>1230</v>
      </c>
      <c r="FS85" s="67" t="s">
        <v>1230</v>
      </c>
      <c r="FT85" s="67">
        <v>0</v>
      </c>
      <c r="FU85" s="187">
        <v>0</v>
      </c>
      <c r="FV85" s="67">
        <v>0</v>
      </c>
      <c r="FW85" s="66">
        <v>0</v>
      </c>
      <c r="FX85" s="66">
        <v>0</v>
      </c>
      <c r="FY85" s="66">
        <v>0</v>
      </c>
      <c r="FZ85" s="66">
        <v>0</v>
      </c>
      <c r="GA85" s="66">
        <v>0</v>
      </c>
      <c r="GB85" s="66">
        <v>0</v>
      </c>
      <c r="GC85" s="66">
        <v>0</v>
      </c>
      <c r="GD85" s="66">
        <v>0</v>
      </c>
      <c r="GE85" s="66">
        <v>0</v>
      </c>
      <c r="GF85" s="66">
        <v>0</v>
      </c>
      <c r="GG85" s="66">
        <v>0</v>
      </c>
      <c r="GH85" s="67" t="s">
        <v>1230</v>
      </c>
      <c r="GI85" s="67" t="s">
        <v>1230</v>
      </c>
      <c r="GJ85" s="67">
        <v>0</v>
      </c>
      <c r="GK85" s="187">
        <v>0</v>
      </c>
      <c r="GL85" s="67">
        <v>0</v>
      </c>
      <c r="GM85" s="66">
        <v>0</v>
      </c>
      <c r="GN85" s="66">
        <v>0</v>
      </c>
      <c r="GO85" s="66">
        <v>0</v>
      </c>
      <c r="GP85" s="66">
        <v>0</v>
      </c>
      <c r="GQ85" s="66">
        <v>0</v>
      </c>
      <c r="GR85" s="66">
        <v>0</v>
      </c>
      <c r="GS85" s="66">
        <v>0</v>
      </c>
      <c r="GT85" s="66">
        <v>0</v>
      </c>
      <c r="GU85" s="66">
        <v>0</v>
      </c>
      <c r="GV85" s="66">
        <v>0</v>
      </c>
      <c r="GW85" s="66">
        <v>0</v>
      </c>
      <c r="GX85" s="67" t="s">
        <v>1230</v>
      </c>
      <c r="GY85" s="67" t="s">
        <v>1230</v>
      </c>
      <c r="GZ85" s="67">
        <v>0</v>
      </c>
      <c r="HA85" s="187">
        <v>0</v>
      </c>
      <c r="HB85" s="67">
        <v>0</v>
      </c>
      <c r="HC85" s="66">
        <v>2.1227</v>
      </c>
      <c r="HD85" s="66">
        <v>0</v>
      </c>
      <c r="HE85" s="66">
        <v>2.2344210499999999</v>
      </c>
      <c r="HF85" s="66">
        <v>2.1227</v>
      </c>
      <c r="HG85" s="66">
        <v>0.11172105</v>
      </c>
      <c r="HH85" s="66">
        <v>2.1227</v>
      </c>
      <c r="HI85" s="66">
        <v>0</v>
      </c>
      <c r="HJ85" s="66">
        <v>2.2344210499999999</v>
      </c>
      <c r="HK85" s="66">
        <v>2.1227</v>
      </c>
      <c r="HL85" s="66">
        <v>0</v>
      </c>
      <c r="HM85" s="66">
        <v>0.11172105</v>
      </c>
      <c r="HN85" s="67">
        <v>100</v>
      </c>
      <c r="HO85" s="67">
        <v>100</v>
      </c>
      <c r="HP85" s="67">
        <v>4.9999998881141945</v>
      </c>
      <c r="HQ85" s="187">
        <v>0</v>
      </c>
      <c r="HR85" s="67">
        <v>0</v>
      </c>
      <c r="HS85" s="66">
        <v>0</v>
      </c>
      <c r="HT85" s="66">
        <v>0</v>
      </c>
      <c r="HU85" s="66">
        <v>0</v>
      </c>
      <c r="HV85" s="66">
        <v>0</v>
      </c>
      <c r="HW85" s="66">
        <v>0</v>
      </c>
      <c r="HX85" s="66">
        <v>0</v>
      </c>
      <c r="HY85" s="66">
        <v>0</v>
      </c>
      <c r="HZ85" s="66">
        <v>0</v>
      </c>
      <c r="IA85" s="66">
        <v>0</v>
      </c>
      <c r="IB85" s="66">
        <v>0</v>
      </c>
      <c r="IC85" s="66">
        <v>0</v>
      </c>
      <c r="ID85" s="67" t="s">
        <v>1230</v>
      </c>
      <c r="IE85" s="67" t="s">
        <v>1230</v>
      </c>
      <c r="IF85" s="67">
        <v>0</v>
      </c>
      <c r="IG85" s="187">
        <v>0</v>
      </c>
      <c r="IH85" s="67">
        <v>0</v>
      </c>
      <c r="II85" s="66">
        <v>0</v>
      </c>
      <c r="IJ85" s="66">
        <v>0</v>
      </c>
      <c r="IK85" s="66">
        <v>0</v>
      </c>
      <c r="IL85" s="66">
        <v>0</v>
      </c>
      <c r="IM85" s="66">
        <v>0</v>
      </c>
      <c r="IN85" s="66">
        <v>0</v>
      </c>
      <c r="IO85" s="66">
        <v>0</v>
      </c>
      <c r="IP85" s="66">
        <v>0</v>
      </c>
      <c r="IQ85" s="66">
        <v>0</v>
      </c>
      <c r="IR85" s="66">
        <v>0</v>
      </c>
      <c r="IS85" s="66">
        <v>0</v>
      </c>
      <c r="IT85" s="67" t="s">
        <v>1230</v>
      </c>
      <c r="IU85" s="67" t="s">
        <v>1230</v>
      </c>
      <c r="IV85" s="67">
        <v>0</v>
      </c>
      <c r="IW85" s="187">
        <v>0</v>
      </c>
      <c r="IX85" s="67">
        <v>0</v>
      </c>
    </row>
    <row r="86" spans="1:258" ht="15.6" x14ac:dyDescent="0.3">
      <c r="A86" s="169">
        <v>74</v>
      </c>
      <c r="B86" s="205" t="s">
        <v>201</v>
      </c>
      <c r="C86" s="66">
        <v>76.719200000000015</v>
      </c>
      <c r="D86" s="66">
        <v>0</v>
      </c>
      <c r="E86" s="66">
        <v>85.946210999999991</v>
      </c>
      <c r="F86" s="66">
        <v>76.719200000000015</v>
      </c>
      <c r="G86" s="66">
        <v>9.227011000000001</v>
      </c>
      <c r="H86" s="66">
        <v>76.719088460000009</v>
      </c>
      <c r="I86" s="66">
        <v>0.55952258999999993</v>
      </c>
      <c r="J86" s="66">
        <v>85.946099459999999</v>
      </c>
      <c r="K86" s="66">
        <v>76.719088460000009</v>
      </c>
      <c r="L86" s="66">
        <v>0</v>
      </c>
      <c r="M86" s="66">
        <v>9.227011000000001</v>
      </c>
      <c r="N86" s="67">
        <v>99.999854612665402</v>
      </c>
      <c r="O86" s="67">
        <v>100</v>
      </c>
      <c r="P86" s="67">
        <v>10.735811232823108</v>
      </c>
      <c r="Q86" s="66">
        <v>0.55952258999999993</v>
      </c>
      <c r="R86" s="67">
        <v>3.3306690738754696E-16</v>
      </c>
      <c r="S86" s="66">
        <v>71.219800000000006</v>
      </c>
      <c r="T86" s="66">
        <v>0</v>
      </c>
      <c r="U86" s="66">
        <v>74.968210999999997</v>
      </c>
      <c r="V86" s="66">
        <v>71.219800000000006</v>
      </c>
      <c r="W86" s="66">
        <v>3.7484109999999999</v>
      </c>
      <c r="X86" s="66">
        <v>71.219800000000006</v>
      </c>
      <c r="Y86" s="66">
        <v>0.55952258999999993</v>
      </c>
      <c r="Z86" s="66">
        <v>74.968210999999997</v>
      </c>
      <c r="AA86" s="66">
        <v>71.219800000000006</v>
      </c>
      <c r="AB86" s="66">
        <v>0</v>
      </c>
      <c r="AC86" s="66">
        <v>3.7484109999999999</v>
      </c>
      <c r="AD86" s="67">
        <v>100</v>
      </c>
      <c r="AE86" s="67">
        <v>100</v>
      </c>
      <c r="AF86" s="67">
        <v>5.0000006002544204</v>
      </c>
      <c r="AG86" s="187">
        <v>0.55952258999999993</v>
      </c>
      <c r="AH86" s="67">
        <v>3.3306690738754696E-16</v>
      </c>
      <c r="AI86" s="66">
        <v>0</v>
      </c>
      <c r="AJ86" s="66">
        <v>0</v>
      </c>
      <c r="AK86" s="66">
        <v>0</v>
      </c>
      <c r="AL86" s="66">
        <v>0</v>
      </c>
      <c r="AM86" s="66">
        <v>0</v>
      </c>
      <c r="AN86" s="66">
        <v>0</v>
      </c>
      <c r="AO86" s="66">
        <v>0</v>
      </c>
      <c r="AP86" s="66">
        <v>0</v>
      </c>
      <c r="AQ86" s="66">
        <v>0</v>
      </c>
      <c r="AR86" s="66">
        <v>0</v>
      </c>
      <c r="AS86" s="66">
        <v>0</v>
      </c>
      <c r="AT86" s="67" t="s">
        <v>1230</v>
      </c>
      <c r="AU86" s="67" t="s">
        <v>1230</v>
      </c>
      <c r="AV86" s="67">
        <v>0</v>
      </c>
      <c r="AW86" s="187">
        <v>0</v>
      </c>
      <c r="AX86" s="67">
        <v>0</v>
      </c>
      <c r="AY86" s="66">
        <v>0</v>
      </c>
      <c r="AZ86" s="66">
        <v>0</v>
      </c>
      <c r="BA86" s="66">
        <v>0</v>
      </c>
      <c r="BB86" s="66">
        <v>0</v>
      </c>
      <c r="BC86" s="66">
        <v>0</v>
      </c>
      <c r="BD86" s="66">
        <v>0</v>
      </c>
      <c r="BE86" s="66">
        <v>0</v>
      </c>
      <c r="BF86" s="66">
        <v>0</v>
      </c>
      <c r="BG86" s="66">
        <v>0</v>
      </c>
      <c r="BH86" s="66">
        <v>0</v>
      </c>
      <c r="BI86" s="66">
        <v>0</v>
      </c>
      <c r="BJ86" s="67" t="s">
        <v>1230</v>
      </c>
      <c r="BK86" s="67" t="s">
        <v>1230</v>
      </c>
      <c r="BL86" s="67">
        <v>0</v>
      </c>
      <c r="BM86" s="187">
        <v>0</v>
      </c>
      <c r="BN86" s="67">
        <v>0</v>
      </c>
      <c r="BO86" s="66">
        <v>0</v>
      </c>
      <c r="BP86" s="66">
        <v>0</v>
      </c>
      <c r="BQ86" s="66">
        <v>0</v>
      </c>
      <c r="BR86" s="66">
        <v>0</v>
      </c>
      <c r="BS86" s="66">
        <v>0</v>
      </c>
      <c r="BT86" s="66">
        <v>0</v>
      </c>
      <c r="BU86" s="66">
        <v>0</v>
      </c>
      <c r="BV86" s="66">
        <v>0</v>
      </c>
      <c r="BW86" s="66">
        <v>0</v>
      </c>
      <c r="BX86" s="66">
        <v>0</v>
      </c>
      <c r="BY86" s="66">
        <v>0</v>
      </c>
      <c r="BZ86" s="67" t="s">
        <v>1230</v>
      </c>
      <c r="CA86" s="67" t="s">
        <v>1230</v>
      </c>
      <c r="CB86" s="67">
        <v>0</v>
      </c>
      <c r="CC86" s="187">
        <v>0</v>
      </c>
      <c r="CD86" s="67">
        <v>0</v>
      </c>
      <c r="CE86" s="66">
        <v>0</v>
      </c>
      <c r="CF86" s="66">
        <v>0</v>
      </c>
      <c r="CG86" s="66">
        <v>0</v>
      </c>
      <c r="CH86" s="66">
        <v>0</v>
      </c>
      <c r="CI86" s="66">
        <v>0</v>
      </c>
      <c r="CJ86" s="66">
        <v>0</v>
      </c>
      <c r="CK86" s="66">
        <v>0</v>
      </c>
      <c r="CL86" s="66">
        <v>0</v>
      </c>
      <c r="CM86" s="66">
        <v>0</v>
      </c>
      <c r="CN86" s="66">
        <v>0</v>
      </c>
      <c r="CO86" s="66">
        <v>0</v>
      </c>
      <c r="CP86" s="67" t="s">
        <v>1230</v>
      </c>
      <c r="CQ86" s="67" t="s">
        <v>1230</v>
      </c>
      <c r="CR86" s="67">
        <v>0</v>
      </c>
      <c r="CS86" s="187">
        <v>0</v>
      </c>
      <c r="CT86" s="67">
        <v>0</v>
      </c>
      <c r="CU86" s="66">
        <v>0</v>
      </c>
      <c r="CV86" s="66">
        <v>0</v>
      </c>
      <c r="CW86" s="66">
        <v>0</v>
      </c>
      <c r="CX86" s="66">
        <v>0</v>
      </c>
      <c r="CY86" s="66">
        <v>0</v>
      </c>
      <c r="CZ86" s="66">
        <v>0</v>
      </c>
      <c r="DA86" s="66">
        <v>0</v>
      </c>
      <c r="DB86" s="66">
        <v>0</v>
      </c>
      <c r="DC86" s="66">
        <v>0</v>
      </c>
      <c r="DD86" s="66">
        <v>0</v>
      </c>
      <c r="DE86" s="66">
        <v>0</v>
      </c>
      <c r="DF86" s="67" t="s">
        <v>1230</v>
      </c>
      <c r="DG86" s="67" t="s">
        <v>1230</v>
      </c>
      <c r="DH86" s="67">
        <v>0</v>
      </c>
      <c r="DI86" s="187">
        <v>0</v>
      </c>
      <c r="DJ86" s="67">
        <v>0</v>
      </c>
      <c r="DK86" s="66">
        <v>2.7222</v>
      </c>
      <c r="DL86" s="66">
        <v>0</v>
      </c>
      <c r="DM86" s="66">
        <v>6.6334</v>
      </c>
      <c r="DN86" s="66">
        <v>2.7222</v>
      </c>
      <c r="DO86" s="66">
        <v>3.9112</v>
      </c>
      <c r="DP86" s="66">
        <v>2.7220884600000002</v>
      </c>
      <c r="DQ86" s="66">
        <v>0</v>
      </c>
      <c r="DR86" s="66">
        <v>6.6332884600000002</v>
      </c>
      <c r="DS86" s="66">
        <v>2.7220884600000002</v>
      </c>
      <c r="DT86" s="66">
        <v>0</v>
      </c>
      <c r="DU86" s="66">
        <v>3.9112</v>
      </c>
      <c r="DV86" s="67">
        <v>99.995902578796574</v>
      </c>
      <c r="DW86" s="67">
        <v>100</v>
      </c>
      <c r="DX86" s="67">
        <v>58.963212946116926</v>
      </c>
      <c r="DY86" s="187">
        <v>0</v>
      </c>
      <c r="DZ86" s="67">
        <v>0</v>
      </c>
      <c r="EA86" s="66">
        <v>0</v>
      </c>
      <c r="EB86" s="66">
        <v>0</v>
      </c>
      <c r="EC86" s="66">
        <v>0</v>
      </c>
      <c r="ED86" s="66">
        <v>0</v>
      </c>
      <c r="EE86" s="66">
        <v>0</v>
      </c>
      <c r="EF86" s="66">
        <v>0</v>
      </c>
      <c r="EG86" s="66">
        <v>0</v>
      </c>
      <c r="EH86" s="66">
        <v>0</v>
      </c>
      <c r="EI86" s="66">
        <v>0</v>
      </c>
      <c r="EJ86" s="66">
        <v>0</v>
      </c>
      <c r="EK86" s="66">
        <v>0</v>
      </c>
      <c r="EL86" s="67" t="s">
        <v>1230</v>
      </c>
      <c r="EM86" s="67" t="s">
        <v>1230</v>
      </c>
      <c r="EN86" s="67">
        <v>0</v>
      </c>
      <c r="EO86" s="187">
        <v>0</v>
      </c>
      <c r="EP86" s="67">
        <v>0</v>
      </c>
      <c r="EQ86" s="66">
        <v>1.8532999999999999</v>
      </c>
      <c r="ER86" s="66">
        <v>0</v>
      </c>
      <c r="ES86" s="66">
        <v>2.5</v>
      </c>
      <c r="ET86" s="66">
        <v>1.8532999999999999</v>
      </c>
      <c r="EU86" s="66">
        <v>0.64670000000000005</v>
      </c>
      <c r="EV86" s="66">
        <v>1.8532999999999999</v>
      </c>
      <c r="EW86" s="66">
        <v>0</v>
      </c>
      <c r="EX86" s="66">
        <v>2.5</v>
      </c>
      <c r="EY86" s="66">
        <v>1.8532999999999999</v>
      </c>
      <c r="EZ86" s="66">
        <v>0</v>
      </c>
      <c r="FA86" s="66">
        <v>0.64670000000000005</v>
      </c>
      <c r="FB86" s="67">
        <v>100</v>
      </c>
      <c r="FC86" s="67">
        <v>100</v>
      </c>
      <c r="FD86" s="67">
        <v>25.868000000000002</v>
      </c>
      <c r="FE86" s="187">
        <v>0</v>
      </c>
      <c r="FF86" s="67">
        <v>0</v>
      </c>
      <c r="FG86" s="66">
        <v>0</v>
      </c>
      <c r="FH86" s="66">
        <v>0</v>
      </c>
      <c r="FI86" s="66">
        <v>0</v>
      </c>
      <c r="FJ86" s="66">
        <v>0</v>
      </c>
      <c r="FK86" s="66">
        <v>0</v>
      </c>
      <c r="FL86" s="66">
        <v>0</v>
      </c>
      <c r="FM86" s="66">
        <v>0</v>
      </c>
      <c r="FN86" s="66">
        <v>0</v>
      </c>
      <c r="FO86" s="66">
        <v>0</v>
      </c>
      <c r="FP86" s="66">
        <v>0</v>
      </c>
      <c r="FQ86" s="66">
        <v>0</v>
      </c>
      <c r="FR86" s="67" t="s">
        <v>1230</v>
      </c>
      <c r="FS86" s="67" t="s">
        <v>1230</v>
      </c>
      <c r="FT86" s="67">
        <v>0</v>
      </c>
      <c r="FU86" s="187">
        <v>0</v>
      </c>
      <c r="FV86" s="67">
        <v>0</v>
      </c>
      <c r="FW86" s="66">
        <v>0</v>
      </c>
      <c r="FX86" s="66">
        <v>0</v>
      </c>
      <c r="FY86" s="66">
        <v>0</v>
      </c>
      <c r="FZ86" s="66">
        <v>0</v>
      </c>
      <c r="GA86" s="66">
        <v>0</v>
      </c>
      <c r="GB86" s="66">
        <v>0</v>
      </c>
      <c r="GC86" s="66">
        <v>0</v>
      </c>
      <c r="GD86" s="66">
        <v>0</v>
      </c>
      <c r="GE86" s="66">
        <v>0</v>
      </c>
      <c r="GF86" s="66">
        <v>0</v>
      </c>
      <c r="GG86" s="66">
        <v>0</v>
      </c>
      <c r="GH86" s="67" t="s">
        <v>1230</v>
      </c>
      <c r="GI86" s="67" t="s">
        <v>1230</v>
      </c>
      <c r="GJ86" s="67">
        <v>0</v>
      </c>
      <c r="GK86" s="187">
        <v>0</v>
      </c>
      <c r="GL86" s="67">
        <v>0</v>
      </c>
      <c r="GM86" s="66">
        <v>0</v>
      </c>
      <c r="GN86" s="66">
        <v>0</v>
      </c>
      <c r="GO86" s="66">
        <v>0</v>
      </c>
      <c r="GP86" s="66">
        <v>0</v>
      </c>
      <c r="GQ86" s="66">
        <v>0</v>
      </c>
      <c r="GR86" s="66">
        <v>0</v>
      </c>
      <c r="GS86" s="66">
        <v>0</v>
      </c>
      <c r="GT86" s="66">
        <v>0</v>
      </c>
      <c r="GU86" s="66">
        <v>0</v>
      </c>
      <c r="GV86" s="66">
        <v>0</v>
      </c>
      <c r="GW86" s="66">
        <v>0</v>
      </c>
      <c r="GX86" s="67" t="s">
        <v>1230</v>
      </c>
      <c r="GY86" s="67" t="s">
        <v>1230</v>
      </c>
      <c r="GZ86" s="67">
        <v>0</v>
      </c>
      <c r="HA86" s="187">
        <v>0</v>
      </c>
      <c r="HB86" s="67">
        <v>0</v>
      </c>
      <c r="HC86" s="66">
        <v>0.92390000000000005</v>
      </c>
      <c r="HD86" s="66">
        <v>0</v>
      </c>
      <c r="HE86" s="66">
        <v>1.8446</v>
      </c>
      <c r="HF86" s="66">
        <v>0.92390000000000005</v>
      </c>
      <c r="HG86" s="66">
        <v>0.92069999999999996</v>
      </c>
      <c r="HH86" s="66">
        <v>0.92390000000000005</v>
      </c>
      <c r="HI86" s="66">
        <v>0</v>
      </c>
      <c r="HJ86" s="66">
        <v>1.8446</v>
      </c>
      <c r="HK86" s="66">
        <v>0.92390000000000005</v>
      </c>
      <c r="HL86" s="66">
        <v>0</v>
      </c>
      <c r="HM86" s="66">
        <v>0.92069999999999996</v>
      </c>
      <c r="HN86" s="67">
        <v>100</v>
      </c>
      <c r="HO86" s="67">
        <v>100</v>
      </c>
      <c r="HP86" s="67">
        <v>49.913260327442259</v>
      </c>
      <c r="HQ86" s="187">
        <v>0</v>
      </c>
      <c r="HR86" s="67">
        <v>0</v>
      </c>
      <c r="HS86" s="66">
        <v>0</v>
      </c>
      <c r="HT86" s="66">
        <v>0</v>
      </c>
      <c r="HU86" s="66">
        <v>0</v>
      </c>
      <c r="HV86" s="66">
        <v>0</v>
      </c>
      <c r="HW86" s="66">
        <v>0</v>
      </c>
      <c r="HX86" s="66">
        <v>0</v>
      </c>
      <c r="HY86" s="66">
        <v>0</v>
      </c>
      <c r="HZ86" s="66">
        <v>0</v>
      </c>
      <c r="IA86" s="66">
        <v>0</v>
      </c>
      <c r="IB86" s="66">
        <v>0</v>
      </c>
      <c r="IC86" s="66">
        <v>0</v>
      </c>
      <c r="ID86" s="67" t="s">
        <v>1230</v>
      </c>
      <c r="IE86" s="67" t="s">
        <v>1230</v>
      </c>
      <c r="IF86" s="67">
        <v>0</v>
      </c>
      <c r="IG86" s="187">
        <v>0</v>
      </c>
      <c r="IH86" s="67">
        <v>0</v>
      </c>
      <c r="II86" s="66">
        <v>0</v>
      </c>
      <c r="IJ86" s="66">
        <v>0</v>
      </c>
      <c r="IK86" s="66">
        <v>0</v>
      </c>
      <c r="IL86" s="66">
        <v>0</v>
      </c>
      <c r="IM86" s="66">
        <v>0</v>
      </c>
      <c r="IN86" s="66">
        <v>0</v>
      </c>
      <c r="IO86" s="66">
        <v>0</v>
      </c>
      <c r="IP86" s="66">
        <v>0</v>
      </c>
      <c r="IQ86" s="66">
        <v>0</v>
      </c>
      <c r="IR86" s="66">
        <v>0</v>
      </c>
      <c r="IS86" s="66">
        <v>0</v>
      </c>
      <c r="IT86" s="67" t="s">
        <v>1230</v>
      </c>
      <c r="IU86" s="67" t="s">
        <v>1230</v>
      </c>
      <c r="IV86" s="67">
        <v>0</v>
      </c>
      <c r="IW86" s="187">
        <v>0</v>
      </c>
      <c r="IX86" s="67">
        <v>0</v>
      </c>
    </row>
    <row r="87" spans="1:258" ht="15.6" x14ac:dyDescent="0.3">
      <c r="A87" s="169">
        <v>75</v>
      </c>
      <c r="B87" s="205" t="s">
        <v>204</v>
      </c>
      <c r="C87" s="66">
        <v>27.623600000000003</v>
      </c>
      <c r="D87" s="66">
        <v>0</v>
      </c>
      <c r="E87" s="66">
        <v>30.356999999999999</v>
      </c>
      <c r="F87" s="66">
        <v>27.623600000000003</v>
      </c>
      <c r="G87" s="66">
        <v>2.7334000000000001</v>
      </c>
      <c r="H87" s="66">
        <v>24.963994530000001</v>
      </c>
      <c r="I87" s="66">
        <v>1.548012E-2</v>
      </c>
      <c r="J87" s="66">
        <v>27.434258310000001</v>
      </c>
      <c r="K87" s="66">
        <v>24.963994530000001</v>
      </c>
      <c r="L87" s="66">
        <v>0</v>
      </c>
      <c r="M87" s="66">
        <v>2.4702637799999998</v>
      </c>
      <c r="N87" s="67">
        <v>90.371980951070825</v>
      </c>
      <c r="O87" s="67">
        <v>90.373299919514153</v>
      </c>
      <c r="P87" s="67">
        <v>9.0043031310949253</v>
      </c>
      <c r="Q87" s="66">
        <v>1.548012E-2</v>
      </c>
      <c r="R87" s="67">
        <v>-5.6898930012039273E-16</v>
      </c>
      <c r="S87" s="66">
        <v>18.395600000000002</v>
      </c>
      <c r="T87" s="66">
        <v>0</v>
      </c>
      <c r="U87" s="66">
        <v>20.216000000000001</v>
      </c>
      <c r="V87" s="66">
        <v>18.395600000000002</v>
      </c>
      <c r="W87" s="66">
        <v>1.8204</v>
      </c>
      <c r="X87" s="66">
        <v>18.388886639999999</v>
      </c>
      <c r="Y87" s="66">
        <v>0</v>
      </c>
      <c r="Z87" s="66">
        <v>20.208622300000002</v>
      </c>
      <c r="AA87" s="66">
        <v>18.388886639999999</v>
      </c>
      <c r="AB87" s="66">
        <v>0</v>
      </c>
      <c r="AC87" s="66">
        <v>1.8197356599999999</v>
      </c>
      <c r="AD87" s="67">
        <v>99.963505620909331</v>
      </c>
      <c r="AE87" s="67">
        <v>99.963505822896053</v>
      </c>
      <c r="AF87" s="67">
        <v>9.0047487304466056</v>
      </c>
      <c r="AG87" s="187">
        <v>0</v>
      </c>
      <c r="AH87" s="67">
        <v>0</v>
      </c>
      <c r="AI87" s="66">
        <v>0</v>
      </c>
      <c r="AJ87" s="66">
        <v>0</v>
      </c>
      <c r="AK87" s="66">
        <v>0</v>
      </c>
      <c r="AL87" s="66">
        <v>0</v>
      </c>
      <c r="AM87" s="66">
        <v>0</v>
      </c>
      <c r="AN87" s="66">
        <v>0</v>
      </c>
      <c r="AO87" s="66">
        <v>1.548012E-2</v>
      </c>
      <c r="AP87" s="66">
        <v>0</v>
      </c>
      <c r="AQ87" s="66">
        <v>0</v>
      </c>
      <c r="AR87" s="66">
        <v>0</v>
      </c>
      <c r="AS87" s="66">
        <v>0</v>
      </c>
      <c r="AT87" s="67" t="s">
        <v>1230</v>
      </c>
      <c r="AU87" s="67" t="s">
        <v>1230</v>
      </c>
      <c r="AV87" s="67">
        <v>0</v>
      </c>
      <c r="AW87" s="187">
        <v>1.548012E-2</v>
      </c>
      <c r="AX87" s="67">
        <v>0</v>
      </c>
      <c r="AY87" s="66">
        <v>9.2279999999999998</v>
      </c>
      <c r="AZ87" s="66">
        <v>0</v>
      </c>
      <c r="BA87" s="66">
        <v>10.141</v>
      </c>
      <c r="BB87" s="66">
        <v>9.2279999999999998</v>
      </c>
      <c r="BC87" s="66">
        <v>0.91300000000000003</v>
      </c>
      <c r="BD87" s="66">
        <v>6.57510789</v>
      </c>
      <c r="BE87" s="66">
        <v>0</v>
      </c>
      <c r="BF87" s="66">
        <v>7.2256360099999997</v>
      </c>
      <c r="BG87" s="66">
        <v>6.57510789</v>
      </c>
      <c r="BH87" s="66">
        <v>0</v>
      </c>
      <c r="BI87" s="66">
        <v>0.65052812000000004</v>
      </c>
      <c r="BJ87" s="67">
        <v>71.251710988296495</v>
      </c>
      <c r="BK87" s="67">
        <v>71.251710843373502</v>
      </c>
      <c r="BL87" s="67">
        <v>9.003056881078626</v>
      </c>
      <c r="BM87" s="187">
        <v>0</v>
      </c>
      <c r="BN87" s="67">
        <v>0</v>
      </c>
      <c r="BO87" s="66">
        <v>0</v>
      </c>
      <c r="BP87" s="66">
        <v>0</v>
      </c>
      <c r="BQ87" s="66">
        <v>0</v>
      </c>
      <c r="BR87" s="66">
        <v>0</v>
      </c>
      <c r="BS87" s="66">
        <v>0</v>
      </c>
      <c r="BT87" s="66">
        <v>0</v>
      </c>
      <c r="BU87" s="66">
        <v>0</v>
      </c>
      <c r="BV87" s="66">
        <v>0</v>
      </c>
      <c r="BW87" s="66">
        <v>0</v>
      </c>
      <c r="BX87" s="66">
        <v>0</v>
      </c>
      <c r="BY87" s="66">
        <v>0</v>
      </c>
      <c r="BZ87" s="67" t="s">
        <v>1230</v>
      </c>
      <c r="CA87" s="67" t="s">
        <v>1230</v>
      </c>
      <c r="CB87" s="67">
        <v>0</v>
      </c>
      <c r="CC87" s="187">
        <v>0</v>
      </c>
      <c r="CD87" s="67">
        <v>0</v>
      </c>
      <c r="CE87" s="66">
        <v>0</v>
      </c>
      <c r="CF87" s="66">
        <v>0</v>
      </c>
      <c r="CG87" s="66">
        <v>0</v>
      </c>
      <c r="CH87" s="66">
        <v>0</v>
      </c>
      <c r="CI87" s="66">
        <v>0</v>
      </c>
      <c r="CJ87" s="66">
        <v>0</v>
      </c>
      <c r="CK87" s="66">
        <v>0</v>
      </c>
      <c r="CL87" s="66">
        <v>0</v>
      </c>
      <c r="CM87" s="66">
        <v>0</v>
      </c>
      <c r="CN87" s="66">
        <v>0</v>
      </c>
      <c r="CO87" s="66">
        <v>0</v>
      </c>
      <c r="CP87" s="67" t="s">
        <v>1230</v>
      </c>
      <c r="CQ87" s="67" t="s">
        <v>1230</v>
      </c>
      <c r="CR87" s="67">
        <v>0</v>
      </c>
      <c r="CS87" s="187">
        <v>0</v>
      </c>
      <c r="CT87" s="67">
        <v>0</v>
      </c>
      <c r="CU87" s="66">
        <v>0</v>
      </c>
      <c r="CV87" s="66">
        <v>0</v>
      </c>
      <c r="CW87" s="66">
        <v>0</v>
      </c>
      <c r="CX87" s="66">
        <v>0</v>
      </c>
      <c r="CY87" s="66">
        <v>0</v>
      </c>
      <c r="CZ87" s="66">
        <v>0</v>
      </c>
      <c r="DA87" s="66">
        <v>0</v>
      </c>
      <c r="DB87" s="66">
        <v>0</v>
      </c>
      <c r="DC87" s="66">
        <v>0</v>
      </c>
      <c r="DD87" s="66">
        <v>0</v>
      </c>
      <c r="DE87" s="66">
        <v>0</v>
      </c>
      <c r="DF87" s="67" t="s">
        <v>1230</v>
      </c>
      <c r="DG87" s="67" t="s">
        <v>1230</v>
      </c>
      <c r="DH87" s="67">
        <v>0</v>
      </c>
      <c r="DI87" s="187">
        <v>0</v>
      </c>
      <c r="DJ87" s="67">
        <v>0</v>
      </c>
      <c r="DK87" s="66">
        <v>0</v>
      </c>
      <c r="DL87" s="66">
        <v>0</v>
      </c>
      <c r="DM87" s="66">
        <v>0</v>
      </c>
      <c r="DN87" s="66">
        <v>0</v>
      </c>
      <c r="DO87" s="66">
        <v>0</v>
      </c>
      <c r="DP87" s="66">
        <v>0</v>
      </c>
      <c r="DQ87" s="66">
        <v>0</v>
      </c>
      <c r="DR87" s="66">
        <v>0</v>
      </c>
      <c r="DS87" s="66">
        <v>0</v>
      </c>
      <c r="DT87" s="66">
        <v>0</v>
      </c>
      <c r="DU87" s="66">
        <v>0</v>
      </c>
      <c r="DV87" s="67" t="s">
        <v>1230</v>
      </c>
      <c r="DW87" s="67" t="s">
        <v>1230</v>
      </c>
      <c r="DX87" s="67">
        <v>0</v>
      </c>
      <c r="DY87" s="187">
        <v>0</v>
      </c>
      <c r="DZ87" s="67">
        <v>0</v>
      </c>
      <c r="EA87" s="66">
        <v>0</v>
      </c>
      <c r="EB87" s="66">
        <v>0</v>
      </c>
      <c r="EC87" s="66">
        <v>0</v>
      </c>
      <c r="ED87" s="66">
        <v>0</v>
      </c>
      <c r="EE87" s="66">
        <v>0</v>
      </c>
      <c r="EF87" s="66">
        <v>0</v>
      </c>
      <c r="EG87" s="66">
        <v>0</v>
      </c>
      <c r="EH87" s="66">
        <v>0</v>
      </c>
      <c r="EI87" s="66">
        <v>0</v>
      </c>
      <c r="EJ87" s="66">
        <v>0</v>
      </c>
      <c r="EK87" s="66">
        <v>0</v>
      </c>
      <c r="EL87" s="67" t="s">
        <v>1230</v>
      </c>
      <c r="EM87" s="67" t="s">
        <v>1230</v>
      </c>
      <c r="EN87" s="67">
        <v>0</v>
      </c>
      <c r="EO87" s="187">
        <v>0</v>
      </c>
      <c r="EP87" s="67">
        <v>0</v>
      </c>
      <c r="EQ87" s="66">
        <v>0</v>
      </c>
      <c r="ER87" s="66">
        <v>0</v>
      </c>
      <c r="ES87" s="66">
        <v>0</v>
      </c>
      <c r="ET87" s="66">
        <v>0</v>
      </c>
      <c r="EU87" s="66">
        <v>0</v>
      </c>
      <c r="EV87" s="66">
        <v>0</v>
      </c>
      <c r="EW87" s="66">
        <v>0</v>
      </c>
      <c r="EX87" s="66">
        <v>0</v>
      </c>
      <c r="EY87" s="66">
        <v>0</v>
      </c>
      <c r="EZ87" s="66">
        <v>0</v>
      </c>
      <c r="FA87" s="66">
        <v>0</v>
      </c>
      <c r="FB87" s="67" t="s">
        <v>1230</v>
      </c>
      <c r="FC87" s="67" t="s">
        <v>1230</v>
      </c>
      <c r="FD87" s="67">
        <v>0</v>
      </c>
      <c r="FE87" s="187">
        <v>0</v>
      </c>
      <c r="FF87" s="67">
        <v>0</v>
      </c>
      <c r="FG87" s="66">
        <v>0</v>
      </c>
      <c r="FH87" s="66">
        <v>0</v>
      </c>
      <c r="FI87" s="66">
        <v>0</v>
      </c>
      <c r="FJ87" s="66">
        <v>0</v>
      </c>
      <c r="FK87" s="66">
        <v>0</v>
      </c>
      <c r="FL87" s="66">
        <v>0</v>
      </c>
      <c r="FM87" s="66">
        <v>0</v>
      </c>
      <c r="FN87" s="66">
        <v>0</v>
      </c>
      <c r="FO87" s="66">
        <v>0</v>
      </c>
      <c r="FP87" s="66">
        <v>0</v>
      </c>
      <c r="FQ87" s="66">
        <v>0</v>
      </c>
      <c r="FR87" s="67" t="s">
        <v>1230</v>
      </c>
      <c r="FS87" s="67" t="s">
        <v>1230</v>
      </c>
      <c r="FT87" s="67">
        <v>0</v>
      </c>
      <c r="FU87" s="187">
        <v>0</v>
      </c>
      <c r="FV87" s="67">
        <v>0</v>
      </c>
      <c r="FW87" s="66">
        <v>0</v>
      </c>
      <c r="FX87" s="66">
        <v>0</v>
      </c>
      <c r="FY87" s="66">
        <v>0</v>
      </c>
      <c r="FZ87" s="66">
        <v>0</v>
      </c>
      <c r="GA87" s="66">
        <v>0</v>
      </c>
      <c r="GB87" s="66">
        <v>0</v>
      </c>
      <c r="GC87" s="66">
        <v>0</v>
      </c>
      <c r="GD87" s="66">
        <v>0</v>
      </c>
      <c r="GE87" s="66">
        <v>0</v>
      </c>
      <c r="GF87" s="66">
        <v>0</v>
      </c>
      <c r="GG87" s="66">
        <v>0</v>
      </c>
      <c r="GH87" s="67" t="s">
        <v>1230</v>
      </c>
      <c r="GI87" s="67" t="s">
        <v>1230</v>
      </c>
      <c r="GJ87" s="67">
        <v>0</v>
      </c>
      <c r="GK87" s="187">
        <v>0</v>
      </c>
      <c r="GL87" s="67">
        <v>0</v>
      </c>
      <c r="GM87" s="66">
        <v>0</v>
      </c>
      <c r="GN87" s="66">
        <v>0</v>
      </c>
      <c r="GO87" s="66">
        <v>0</v>
      </c>
      <c r="GP87" s="66">
        <v>0</v>
      </c>
      <c r="GQ87" s="66">
        <v>0</v>
      </c>
      <c r="GR87" s="66">
        <v>0</v>
      </c>
      <c r="GS87" s="66">
        <v>0</v>
      </c>
      <c r="GT87" s="66">
        <v>0</v>
      </c>
      <c r="GU87" s="66">
        <v>0</v>
      </c>
      <c r="GV87" s="66">
        <v>0</v>
      </c>
      <c r="GW87" s="66">
        <v>0</v>
      </c>
      <c r="GX87" s="67" t="s">
        <v>1230</v>
      </c>
      <c r="GY87" s="67" t="s">
        <v>1230</v>
      </c>
      <c r="GZ87" s="67">
        <v>0</v>
      </c>
      <c r="HA87" s="187">
        <v>0</v>
      </c>
      <c r="HB87" s="67">
        <v>0</v>
      </c>
      <c r="HC87" s="66">
        <v>0</v>
      </c>
      <c r="HD87" s="66">
        <v>0</v>
      </c>
      <c r="HE87" s="66">
        <v>0</v>
      </c>
      <c r="HF87" s="66">
        <v>0</v>
      </c>
      <c r="HG87" s="66">
        <v>0</v>
      </c>
      <c r="HH87" s="66">
        <v>0</v>
      </c>
      <c r="HI87" s="66">
        <v>0</v>
      </c>
      <c r="HJ87" s="66">
        <v>0</v>
      </c>
      <c r="HK87" s="66">
        <v>0</v>
      </c>
      <c r="HL87" s="66">
        <v>0</v>
      </c>
      <c r="HM87" s="66">
        <v>0</v>
      </c>
      <c r="HN87" s="67" t="s">
        <v>1230</v>
      </c>
      <c r="HO87" s="67" t="s">
        <v>1230</v>
      </c>
      <c r="HP87" s="67">
        <v>0</v>
      </c>
      <c r="HQ87" s="187">
        <v>0</v>
      </c>
      <c r="HR87" s="67">
        <v>0</v>
      </c>
      <c r="HS87" s="66">
        <v>0</v>
      </c>
      <c r="HT87" s="66">
        <v>0</v>
      </c>
      <c r="HU87" s="66">
        <v>0</v>
      </c>
      <c r="HV87" s="66">
        <v>0</v>
      </c>
      <c r="HW87" s="66">
        <v>0</v>
      </c>
      <c r="HX87" s="66">
        <v>0</v>
      </c>
      <c r="HY87" s="66">
        <v>0</v>
      </c>
      <c r="HZ87" s="66">
        <v>0</v>
      </c>
      <c r="IA87" s="66">
        <v>0</v>
      </c>
      <c r="IB87" s="66">
        <v>0</v>
      </c>
      <c r="IC87" s="66">
        <v>0</v>
      </c>
      <c r="ID87" s="67" t="s">
        <v>1230</v>
      </c>
      <c r="IE87" s="67" t="s">
        <v>1230</v>
      </c>
      <c r="IF87" s="67">
        <v>0</v>
      </c>
      <c r="IG87" s="187">
        <v>0</v>
      </c>
      <c r="IH87" s="67">
        <v>0</v>
      </c>
      <c r="II87" s="66">
        <v>0</v>
      </c>
      <c r="IJ87" s="66">
        <v>0</v>
      </c>
      <c r="IK87" s="66">
        <v>0</v>
      </c>
      <c r="IL87" s="66">
        <v>0</v>
      </c>
      <c r="IM87" s="66">
        <v>0</v>
      </c>
      <c r="IN87" s="66">
        <v>0</v>
      </c>
      <c r="IO87" s="66">
        <v>0</v>
      </c>
      <c r="IP87" s="66">
        <v>0</v>
      </c>
      <c r="IQ87" s="66">
        <v>0</v>
      </c>
      <c r="IR87" s="66">
        <v>0</v>
      </c>
      <c r="IS87" s="66">
        <v>0</v>
      </c>
      <c r="IT87" s="67" t="s">
        <v>1230</v>
      </c>
      <c r="IU87" s="67" t="s">
        <v>1230</v>
      </c>
      <c r="IV87" s="67">
        <v>0</v>
      </c>
      <c r="IW87" s="187">
        <v>0</v>
      </c>
      <c r="IX87" s="67">
        <v>0</v>
      </c>
    </row>
    <row r="88" spans="1:258" ht="15.6" x14ac:dyDescent="0.3">
      <c r="A88" s="169">
        <v>76</v>
      </c>
      <c r="B88" s="205" t="s">
        <v>207</v>
      </c>
      <c r="C88" s="66">
        <v>863.07760000000007</v>
      </c>
      <c r="D88" s="66">
        <v>0</v>
      </c>
      <c r="E88" s="66">
        <v>1020.9154762100001</v>
      </c>
      <c r="F88" s="66">
        <v>863.07760000000007</v>
      </c>
      <c r="G88" s="66">
        <v>157.83787620999999</v>
      </c>
      <c r="H88" s="66">
        <v>862.93359270000008</v>
      </c>
      <c r="I88" s="66">
        <v>2.5071827100000004</v>
      </c>
      <c r="J88" s="66">
        <v>1020.6051858100001</v>
      </c>
      <c r="K88" s="66">
        <v>862.91287600999999</v>
      </c>
      <c r="L88" s="66">
        <v>0</v>
      </c>
      <c r="M88" s="66">
        <v>157.6923098</v>
      </c>
      <c r="N88" s="67">
        <v>99.980914347678578</v>
      </c>
      <c r="O88" s="67">
        <v>99.907774728414168</v>
      </c>
      <c r="P88" s="67">
        <v>15.450863075406382</v>
      </c>
      <c r="Q88" s="66">
        <v>2.0449939799999997</v>
      </c>
      <c r="R88" s="67">
        <v>0.48290542000013792</v>
      </c>
      <c r="S88" s="66">
        <v>774.04489999999998</v>
      </c>
      <c r="T88" s="66">
        <v>0</v>
      </c>
      <c r="U88" s="66">
        <v>832.30634409000004</v>
      </c>
      <c r="V88" s="66">
        <v>774.04489999999998</v>
      </c>
      <c r="W88" s="66">
        <v>58.261444090000005</v>
      </c>
      <c r="X88" s="66">
        <v>774.04489973</v>
      </c>
      <c r="Y88" s="66">
        <v>0.97579503000000001</v>
      </c>
      <c r="Z88" s="66">
        <v>832.28406778999999</v>
      </c>
      <c r="AA88" s="66">
        <v>774.02418304999992</v>
      </c>
      <c r="AB88" s="66">
        <v>0</v>
      </c>
      <c r="AC88" s="66">
        <v>58.259884740000004</v>
      </c>
      <c r="AD88" s="67">
        <v>99.997323546734819</v>
      </c>
      <c r="AE88" s="67">
        <v>99.997323530124675</v>
      </c>
      <c r="AF88" s="67">
        <v>6.9999999993631992</v>
      </c>
      <c r="AG88" s="187">
        <v>0.54967739999999998</v>
      </c>
      <c r="AH88" s="67">
        <v>0.44683431000004981</v>
      </c>
      <c r="AI88" s="66">
        <v>0</v>
      </c>
      <c r="AJ88" s="66">
        <v>0</v>
      </c>
      <c r="AK88" s="66">
        <v>0</v>
      </c>
      <c r="AL88" s="66">
        <v>0</v>
      </c>
      <c r="AM88" s="66">
        <v>0</v>
      </c>
      <c r="AN88" s="66">
        <v>0</v>
      </c>
      <c r="AO88" s="66">
        <v>0.52764239000000002</v>
      </c>
      <c r="AP88" s="66">
        <v>0</v>
      </c>
      <c r="AQ88" s="66">
        <v>0</v>
      </c>
      <c r="AR88" s="66">
        <v>0</v>
      </c>
      <c r="AS88" s="66">
        <v>0</v>
      </c>
      <c r="AT88" s="67" t="s">
        <v>1230</v>
      </c>
      <c r="AU88" s="67" t="s">
        <v>1230</v>
      </c>
      <c r="AV88" s="67">
        <v>0</v>
      </c>
      <c r="AW88" s="187">
        <v>0.52609888999999999</v>
      </c>
      <c r="AX88" s="67">
        <v>1.543500000000031E-3</v>
      </c>
      <c r="AY88" s="66">
        <v>42.130699999999997</v>
      </c>
      <c r="AZ88" s="66">
        <v>0</v>
      </c>
      <c r="BA88" s="66">
        <v>84.261399999999995</v>
      </c>
      <c r="BB88" s="66">
        <v>42.130699999999997</v>
      </c>
      <c r="BC88" s="66">
        <v>42.130699999999997</v>
      </c>
      <c r="BD88" s="66">
        <v>41.98669297</v>
      </c>
      <c r="BE88" s="66">
        <v>0</v>
      </c>
      <c r="BF88" s="66">
        <v>83.973385900000011</v>
      </c>
      <c r="BG88" s="66">
        <v>41.986692959999999</v>
      </c>
      <c r="BH88" s="66">
        <v>0</v>
      </c>
      <c r="BI88" s="66">
        <v>41.986692939999998</v>
      </c>
      <c r="BJ88" s="67">
        <v>99.658189776101509</v>
      </c>
      <c r="BK88" s="67">
        <v>99.658189728630191</v>
      </c>
      <c r="BL88" s="67">
        <v>49.999999988091453</v>
      </c>
      <c r="BM88" s="187">
        <v>0</v>
      </c>
      <c r="BN88" s="67">
        <v>1.000000082740371E-8</v>
      </c>
      <c r="BO88" s="66">
        <v>0</v>
      </c>
      <c r="BP88" s="66">
        <v>0</v>
      </c>
      <c r="BQ88" s="66">
        <v>0</v>
      </c>
      <c r="BR88" s="66">
        <v>0</v>
      </c>
      <c r="BS88" s="66">
        <v>0</v>
      </c>
      <c r="BT88" s="66">
        <v>0</v>
      </c>
      <c r="BU88" s="66">
        <v>0.6356176899999999</v>
      </c>
      <c r="BV88" s="66">
        <v>0</v>
      </c>
      <c r="BW88" s="66">
        <v>0</v>
      </c>
      <c r="BX88" s="66">
        <v>0</v>
      </c>
      <c r="BY88" s="66">
        <v>0</v>
      </c>
      <c r="BZ88" s="67" t="s">
        <v>1230</v>
      </c>
      <c r="CA88" s="67" t="s">
        <v>1230</v>
      </c>
      <c r="CB88" s="67">
        <v>0</v>
      </c>
      <c r="CC88" s="187">
        <v>0.6356176899999999</v>
      </c>
      <c r="CD88" s="67">
        <v>0</v>
      </c>
      <c r="CE88" s="66">
        <v>0</v>
      </c>
      <c r="CF88" s="66">
        <v>0</v>
      </c>
      <c r="CG88" s="66">
        <v>0</v>
      </c>
      <c r="CH88" s="66">
        <v>0</v>
      </c>
      <c r="CI88" s="66">
        <v>0</v>
      </c>
      <c r="CJ88" s="66">
        <v>0</v>
      </c>
      <c r="CK88" s="66">
        <v>0</v>
      </c>
      <c r="CL88" s="66">
        <v>0</v>
      </c>
      <c r="CM88" s="66">
        <v>0</v>
      </c>
      <c r="CN88" s="66">
        <v>0</v>
      </c>
      <c r="CO88" s="66">
        <v>0</v>
      </c>
      <c r="CP88" s="67" t="s">
        <v>1230</v>
      </c>
      <c r="CQ88" s="67" t="s">
        <v>1230</v>
      </c>
      <c r="CR88" s="67">
        <v>0</v>
      </c>
      <c r="CS88" s="187">
        <v>0</v>
      </c>
      <c r="CT88" s="67">
        <v>0</v>
      </c>
      <c r="CU88" s="66">
        <v>0</v>
      </c>
      <c r="CV88" s="66">
        <v>0</v>
      </c>
      <c r="CW88" s="66">
        <v>0</v>
      </c>
      <c r="CX88" s="66">
        <v>0</v>
      </c>
      <c r="CY88" s="66">
        <v>0</v>
      </c>
      <c r="CZ88" s="66">
        <v>0</v>
      </c>
      <c r="DA88" s="66">
        <v>0</v>
      </c>
      <c r="DB88" s="66">
        <v>0</v>
      </c>
      <c r="DC88" s="66">
        <v>0</v>
      </c>
      <c r="DD88" s="66">
        <v>0</v>
      </c>
      <c r="DE88" s="66">
        <v>0</v>
      </c>
      <c r="DF88" s="67" t="s">
        <v>1230</v>
      </c>
      <c r="DG88" s="67" t="s">
        <v>1230</v>
      </c>
      <c r="DH88" s="67">
        <v>0</v>
      </c>
      <c r="DI88" s="187">
        <v>0</v>
      </c>
      <c r="DJ88" s="67">
        <v>0</v>
      </c>
      <c r="DK88" s="66">
        <v>6.7721</v>
      </c>
      <c r="DL88" s="66">
        <v>0</v>
      </c>
      <c r="DM88" s="66">
        <v>9.9442000000000004</v>
      </c>
      <c r="DN88" s="66">
        <v>6.7721</v>
      </c>
      <c r="DO88" s="66">
        <v>3.1720999999999999</v>
      </c>
      <c r="DP88" s="66">
        <v>6.7721</v>
      </c>
      <c r="DQ88" s="66">
        <v>0</v>
      </c>
      <c r="DR88" s="66">
        <v>9.9442000000000004</v>
      </c>
      <c r="DS88" s="66">
        <v>6.7721</v>
      </c>
      <c r="DT88" s="66">
        <v>0</v>
      </c>
      <c r="DU88" s="66">
        <v>3.1720999999999999</v>
      </c>
      <c r="DV88" s="67">
        <v>100</v>
      </c>
      <c r="DW88" s="67">
        <v>100</v>
      </c>
      <c r="DX88" s="67">
        <v>31.898996399911507</v>
      </c>
      <c r="DY88" s="187">
        <v>0</v>
      </c>
      <c r="DZ88" s="67">
        <v>0</v>
      </c>
      <c r="EA88" s="66">
        <v>0</v>
      </c>
      <c r="EB88" s="66">
        <v>0</v>
      </c>
      <c r="EC88" s="66">
        <v>0</v>
      </c>
      <c r="ED88" s="66">
        <v>0</v>
      </c>
      <c r="EE88" s="66">
        <v>0</v>
      </c>
      <c r="EF88" s="66">
        <v>0</v>
      </c>
      <c r="EG88" s="66">
        <v>0</v>
      </c>
      <c r="EH88" s="66">
        <v>0</v>
      </c>
      <c r="EI88" s="66">
        <v>0</v>
      </c>
      <c r="EJ88" s="66">
        <v>0</v>
      </c>
      <c r="EK88" s="66">
        <v>0</v>
      </c>
      <c r="EL88" s="67" t="s">
        <v>1230</v>
      </c>
      <c r="EM88" s="67" t="s">
        <v>1230</v>
      </c>
      <c r="EN88" s="67">
        <v>0</v>
      </c>
      <c r="EO88" s="187">
        <v>0</v>
      </c>
      <c r="EP88" s="67">
        <v>0</v>
      </c>
      <c r="EQ88" s="66">
        <v>3.8645</v>
      </c>
      <c r="ER88" s="66">
        <v>0</v>
      </c>
      <c r="ES88" s="66">
        <v>7.7290000000000001</v>
      </c>
      <c r="ET88" s="66">
        <v>3.8645</v>
      </c>
      <c r="EU88" s="66">
        <v>3.8645</v>
      </c>
      <c r="EV88" s="66">
        <v>3.8645</v>
      </c>
      <c r="EW88" s="66">
        <v>0</v>
      </c>
      <c r="EX88" s="66">
        <v>7.7290000000000001</v>
      </c>
      <c r="EY88" s="66">
        <v>3.8645</v>
      </c>
      <c r="EZ88" s="66">
        <v>0</v>
      </c>
      <c r="FA88" s="66">
        <v>3.8645</v>
      </c>
      <c r="FB88" s="67">
        <v>100</v>
      </c>
      <c r="FC88" s="67">
        <v>100</v>
      </c>
      <c r="FD88" s="67">
        <v>50</v>
      </c>
      <c r="FE88" s="187">
        <v>0</v>
      </c>
      <c r="FF88" s="67">
        <v>0</v>
      </c>
      <c r="FG88" s="66">
        <v>0</v>
      </c>
      <c r="FH88" s="66">
        <v>0</v>
      </c>
      <c r="FI88" s="66">
        <v>0</v>
      </c>
      <c r="FJ88" s="66">
        <v>0</v>
      </c>
      <c r="FK88" s="66">
        <v>0</v>
      </c>
      <c r="FL88" s="66">
        <v>0</v>
      </c>
      <c r="FM88" s="66">
        <v>0</v>
      </c>
      <c r="FN88" s="66">
        <v>0</v>
      </c>
      <c r="FO88" s="66">
        <v>0</v>
      </c>
      <c r="FP88" s="66">
        <v>0</v>
      </c>
      <c r="FQ88" s="66">
        <v>0</v>
      </c>
      <c r="FR88" s="67" t="s">
        <v>1230</v>
      </c>
      <c r="FS88" s="67" t="s">
        <v>1230</v>
      </c>
      <c r="FT88" s="67">
        <v>0</v>
      </c>
      <c r="FU88" s="187">
        <v>0</v>
      </c>
      <c r="FV88" s="67">
        <v>0</v>
      </c>
      <c r="FW88" s="66">
        <v>32.0259</v>
      </c>
      <c r="FX88" s="66">
        <v>0</v>
      </c>
      <c r="FY88" s="66">
        <v>64.0518</v>
      </c>
      <c r="FZ88" s="66">
        <v>32.0259</v>
      </c>
      <c r="GA88" s="66">
        <v>32.0259</v>
      </c>
      <c r="GB88" s="66">
        <v>32.0259</v>
      </c>
      <c r="GC88" s="66">
        <v>0</v>
      </c>
      <c r="GD88" s="66">
        <v>64.0518</v>
      </c>
      <c r="GE88" s="66">
        <v>32.0259</v>
      </c>
      <c r="GF88" s="66">
        <v>0</v>
      </c>
      <c r="GG88" s="66">
        <v>32.0259</v>
      </c>
      <c r="GH88" s="67">
        <v>100</v>
      </c>
      <c r="GI88" s="67">
        <v>100</v>
      </c>
      <c r="GJ88" s="67">
        <v>50</v>
      </c>
      <c r="GK88" s="187">
        <v>0</v>
      </c>
      <c r="GL88" s="67">
        <v>0</v>
      </c>
      <c r="GM88" s="66">
        <v>0</v>
      </c>
      <c r="GN88" s="66">
        <v>0</v>
      </c>
      <c r="GO88" s="66">
        <v>0</v>
      </c>
      <c r="GP88" s="66">
        <v>0</v>
      </c>
      <c r="GQ88" s="66">
        <v>0</v>
      </c>
      <c r="GR88" s="66">
        <v>0</v>
      </c>
      <c r="GS88" s="66">
        <v>0</v>
      </c>
      <c r="GT88" s="66">
        <v>0</v>
      </c>
      <c r="GU88" s="66">
        <v>0</v>
      </c>
      <c r="GV88" s="66">
        <v>0</v>
      </c>
      <c r="GW88" s="66">
        <v>0</v>
      </c>
      <c r="GX88" s="67" t="s">
        <v>1230</v>
      </c>
      <c r="GY88" s="67" t="s">
        <v>1230</v>
      </c>
      <c r="GZ88" s="67">
        <v>0</v>
      </c>
      <c r="HA88" s="187">
        <v>0</v>
      </c>
      <c r="HB88" s="67">
        <v>0</v>
      </c>
      <c r="HC88" s="66">
        <v>4.2394999999999996</v>
      </c>
      <c r="HD88" s="66">
        <v>0</v>
      </c>
      <c r="HE88" s="66">
        <v>22.622732120000002</v>
      </c>
      <c r="HF88" s="66">
        <v>4.2394999999999996</v>
      </c>
      <c r="HG88" s="66">
        <v>18.383232120000002</v>
      </c>
      <c r="HH88" s="66">
        <v>4.2394999999999996</v>
      </c>
      <c r="HI88" s="66">
        <v>0</v>
      </c>
      <c r="HJ88" s="66">
        <v>22.622732120000002</v>
      </c>
      <c r="HK88" s="66">
        <v>4.2394999999999996</v>
      </c>
      <c r="HL88" s="66">
        <v>0</v>
      </c>
      <c r="HM88" s="66">
        <v>18.383232120000002</v>
      </c>
      <c r="HN88" s="67">
        <v>100</v>
      </c>
      <c r="HO88" s="67">
        <v>100</v>
      </c>
      <c r="HP88" s="67">
        <v>81.259999996852727</v>
      </c>
      <c r="HQ88" s="187">
        <v>0</v>
      </c>
      <c r="HR88" s="67">
        <v>0</v>
      </c>
      <c r="HS88" s="66">
        <v>0</v>
      </c>
      <c r="HT88" s="66">
        <v>0</v>
      </c>
      <c r="HU88" s="66">
        <v>0</v>
      </c>
      <c r="HV88" s="66">
        <v>0</v>
      </c>
      <c r="HW88" s="66">
        <v>0</v>
      </c>
      <c r="HX88" s="66">
        <v>0</v>
      </c>
      <c r="HY88" s="66">
        <v>0.3681276</v>
      </c>
      <c r="HZ88" s="66">
        <v>0</v>
      </c>
      <c r="IA88" s="66">
        <v>0</v>
      </c>
      <c r="IB88" s="66">
        <v>0</v>
      </c>
      <c r="IC88" s="66">
        <v>0</v>
      </c>
      <c r="ID88" s="67" t="s">
        <v>1230</v>
      </c>
      <c r="IE88" s="67" t="s">
        <v>1230</v>
      </c>
      <c r="IF88" s="67">
        <v>0</v>
      </c>
      <c r="IG88" s="187">
        <v>0.33360000000000001</v>
      </c>
      <c r="IH88" s="67">
        <v>3.4527599999999992E-2</v>
      </c>
      <c r="II88" s="66">
        <v>0</v>
      </c>
      <c r="IJ88" s="66">
        <v>0</v>
      </c>
      <c r="IK88" s="66">
        <v>0</v>
      </c>
      <c r="IL88" s="66">
        <v>0</v>
      </c>
      <c r="IM88" s="66">
        <v>0</v>
      </c>
      <c r="IN88" s="66">
        <v>0</v>
      </c>
      <c r="IO88" s="66">
        <v>0</v>
      </c>
      <c r="IP88" s="66">
        <v>0</v>
      </c>
      <c r="IQ88" s="66">
        <v>0</v>
      </c>
      <c r="IR88" s="66">
        <v>0</v>
      </c>
      <c r="IS88" s="66">
        <v>0</v>
      </c>
      <c r="IT88" s="67" t="s">
        <v>1230</v>
      </c>
      <c r="IU88" s="67" t="s">
        <v>1230</v>
      </c>
      <c r="IV88" s="67">
        <v>0</v>
      </c>
      <c r="IW88" s="187">
        <v>0</v>
      </c>
      <c r="IX88" s="67">
        <v>0</v>
      </c>
    </row>
    <row r="89" spans="1:258" ht="15.6" x14ac:dyDescent="0.3">
      <c r="A89" s="169">
        <v>77</v>
      </c>
      <c r="B89" s="205" t="s">
        <v>213</v>
      </c>
      <c r="C89" s="66">
        <v>64.799899999999994</v>
      </c>
      <c r="D89" s="66">
        <v>0</v>
      </c>
      <c r="E89" s="66">
        <v>111.0856</v>
      </c>
      <c r="F89" s="66">
        <v>64.799899999999994</v>
      </c>
      <c r="G89" s="66">
        <v>46.285699999999999</v>
      </c>
      <c r="H89" s="66">
        <v>64.799899960000005</v>
      </c>
      <c r="I89" s="66">
        <v>0.93977043999999998</v>
      </c>
      <c r="J89" s="66">
        <v>111.08559992000001</v>
      </c>
      <c r="K89" s="66">
        <v>64.799899949999997</v>
      </c>
      <c r="L89" s="66">
        <v>0</v>
      </c>
      <c r="M89" s="66">
        <v>46.285699969999996</v>
      </c>
      <c r="N89" s="67">
        <v>99.999999922839393</v>
      </c>
      <c r="O89" s="67">
        <v>99.999999935185159</v>
      </c>
      <c r="P89" s="67">
        <v>41.666696676556953</v>
      </c>
      <c r="Q89" s="66">
        <v>0.93977043999999998</v>
      </c>
      <c r="R89" s="67">
        <v>1.0000011707589351E-8</v>
      </c>
      <c r="S89" s="66">
        <v>64.799899999999994</v>
      </c>
      <c r="T89" s="66">
        <v>0</v>
      </c>
      <c r="U89" s="66">
        <v>111.0856</v>
      </c>
      <c r="V89" s="66">
        <v>64.799899999999994</v>
      </c>
      <c r="W89" s="66">
        <v>46.285699999999999</v>
      </c>
      <c r="X89" s="66">
        <v>64.799899960000005</v>
      </c>
      <c r="Y89" s="66">
        <v>0.40359937000000001</v>
      </c>
      <c r="Z89" s="66">
        <v>111.08559992000001</v>
      </c>
      <c r="AA89" s="66">
        <v>64.799899949999997</v>
      </c>
      <c r="AB89" s="66">
        <v>0</v>
      </c>
      <c r="AC89" s="66">
        <v>46.285699969999996</v>
      </c>
      <c r="AD89" s="67">
        <v>99.999999922839393</v>
      </c>
      <c r="AE89" s="67">
        <v>99.999999935185159</v>
      </c>
      <c r="AF89" s="67">
        <v>41.666696676556953</v>
      </c>
      <c r="AG89" s="187">
        <v>0.40359937000000001</v>
      </c>
      <c r="AH89" s="67">
        <v>1.0000002825805154E-8</v>
      </c>
      <c r="AI89" s="66">
        <v>0</v>
      </c>
      <c r="AJ89" s="66">
        <v>0</v>
      </c>
      <c r="AK89" s="66">
        <v>0</v>
      </c>
      <c r="AL89" s="66">
        <v>0</v>
      </c>
      <c r="AM89" s="66">
        <v>0</v>
      </c>
      <c r="AN89" s="66">
        <v>0</v>
      </c>
      <c r="AO89" s="66">
        <v>0.53617106999999997</v>
      </c>
      <c r="AP89" s="66">
        <v>0</v>
      </c>
      <c r="AQ89" s="66">
        <v>0</v>
      </c>
      <c r="AR89" s="66">
        <v>0</v>
      </c>
      <c r="AS89" s="66">
        <v>0</v>
      </c>
      <c r="AT89" s="67" t="s">
        <v>1230</v>
      </c>
      <c r="AU89" s="67" t="s">
        <v>1230</v>
      </c>
      <c r="AV89" s="67">
        <v>0</v>
      </c>
      <c r="AW89" s="187">
        <v>0.53617106999999997</v>
      </c>
      <c r="AX89" s="67">
        <v>0</v>
      </c>
      <c r="AY89" s="66">
        <v>0</v>
      </c>
      <c r="AZ89" s="66">
        <v>0</v>
      </c>
      <c r="BA89" s="66">
        <v>0</v>
      </c>
      <c r="BB89" s="66">
        <v>0</v>
      </c>
      <c r="BC89" s="66">
        <v>0</v>
      </c>
      <c r="BD89" s="66">
        <v>0</v>
      </c>
      <c r="BE89" s="66">
        <v>0</v>
      </c>
      <c r="BF89" s="66">
        <v>0</v>
      </c>
      <c r="BG89" s="66">
        <v>0</v>
      </c>
      <c r="BH89" s="66">
        <v>0</v>
      </c>
      <c r="BI89" s="66">
        <v>0</v>
      </c>
      <c r="BJ89" s="67" t="s">
        <v>1230</v>
      </c>
      <c r="BK89" s="67" t="s">
        <v>1230</v>
      </c>
      <c r="BL89" s="67">
        <v>0</v>
      </c>
      <c r="BM89" s="187">
        <v>0</v>
      </c>
      <c r="BN89" s="67">
        <v>0</v>
      </c>
      <c r="BO89" s="66">
        <v>0</v>
      </c>
      <c r="BP89" s="66">
        <v>0</v>
      </c>
      <c r="BQ89" s="66">
        <v>0</v>
      </c>
      <c r="BR89" s="66">
        <v>0</v>
      </c>
      <c r="BS89" s="66">
        <v>0</v>
      </c>
      <c r="BT89" s="66">
        <v>0</v>
      </c>
      <c r="BU89" s="66">
        <v>0</v>
      </c>
      <c r="BV89" s="66">
        <v>0</v>
      </c>
      <c r="BW89" s="66">
        <v>0</v>
      </c>
      <c r="BX89" s="66">
        <v>0</v>
      </c>
      <c r="BY89" s="66">
        <v>0</v>
      </c>
      <c r="BZ89" s="67" t="s">
        <v>1230</v>
      </c>
      <c r="CA89" s="67" t="s">
        <v>1230</v>
      </c>
      <c r="CB89" s="67">
        <v>0</v>
      </c>
      <c r="CC89" s="187">
        <v>0</v>
      </c>
      <c r="CD89" s="67">
        <v>0</v>
      </c>
      <c r="CE89" s="66">
        <v>0</v>
      </c>
      <c r="CF89" s="66">
        <v>0</v>
      </c>
      <c r="CG89" s="66">
        <v>0</v>
      </c>
      <c r="CH89" s="66">
        <v>0</v>
      </c>
      <c r="CI89" s="66">
        <v>0</v>
      </c>
      <c r="CJ89" s="66">
        <v>0</v>
      </c>
      <c r="CK89" s="66">
        <v>0</v>
      </c>
      <c r="CL89" s="66">
        <v>0</v>
      </c>
      <c r="CM89" s="66">
        <v>0</v>
      </c>
      <c r="CN89" s="66">
        <v>0</v>
      </c>
      <c r="CO89" s="66">
        <v>0</v>
      </c>
      <c r="CP89" s="67" t="s">
        <v>1230</v>
      </c>
      <c r="CQ89" s="67" t="s">
        <v>1230</v>
      </c>
      <c r="CR89" s="67">
        <v>0</v>
      </c>
      <c r="CS89" s="187">
        <v>0</v>
      </c>
      <c r="CT89" s="67">
        <v>0</v>
      </c>
      <c r="CU89" s="66">
        <v>0</v>
      </c>
      <c r="CV89" s="66">
        <v>0</v>
      </c>
      <c r="CW89" s="66">
        <v>0</v>
      </c>
      <c r="CX89" s="66">
        <v>0</v>
      </c>
      <c r="CY89" s="66">
        <v>0</v>
      </c>
      <c r="CZ89" s="66">
        <v>0</v>
      </c>
      <c r="DA89" s="66">
        <v>0</v>
      </c>
      <c r="DB89" s="66">
        <v>0</v>
      </c>
      <c r="DC89" s="66">
        <v>0</v>
      </c>
      <c r="DD89" s="66">
        <v>0</v>
      </c>
      <c r="DE89" s="66">
        <v>0</v>
      </c>
      <c r="DF89" s="67" t="s">
        <v>1230</v>
      </c>
      <c r="DG89" s="67" t="s">
        <v>1230</v>
      </c>
      <c r="DH89" s="67">
        <v>0</v>
      </c>
      <c r="DI89" s="187">
        <v>0</v>
      </c>
      <c r="DJ89" s="67">
        <v>0</v>
      </c>
      <c r="DK89" s="66">
        <v>0</v>
      </c>
      <c r="DL89" s="66">
        <v>0</v>
      </c>
      <c r="DM89" s="66">
        <v>0</v>
      </c>
      <c r="DN89" s="66">
        <v>0</v>
      </c>
      <c r="DO89" s="66">
        <v>0</v>
      </c>
      <c r="DP89" s="66">
        <v>0</v>
      </c>
      <c r="DQ89" s="66">
        <v>0</v>
      </c>
      <c r="DR89" s="66">
        <v>0</v>
      </c>
      <c r="DS89" s="66">
        <v>0</v>
      </c>
      <c r="DT89" s="66">
        <v>0</v>
      </c>
      <c r="DU89" s="66">
        <v>0</v>
      </c>
      <c r="DV89" s="67" t="s">
        <v>1230</v>
      </c>
      <c r="DW89" s="67" t="s">
        <v>1230</v>
      </c>
      <c r="DX89" s="67">
        <v>0</v>
      </c>
      <c r="DY89" s="187">
        <v>0</v>
      </c>
      <c r="DZ89" s="67">
        <v>0</v>
      </c>
      <c r="EA89" s="66">
        <v>0</v>
      </c>
      <c r="EB89" s="66">
        <v>0</v>
      </c>
      <c r="EC89" s="66">
        <v>0</v>
      </c>
      <c r="ED89" s="66">
        <v>0</v>
      </c>
      <c r="EE89" s="66">
        <v>0</v>
      </c>
      <c r="EF89" s="66">
        <v>0</v>
      </c>
      <c r="EG89" s="66">
        <v>0</v>
      </c>
      <c r="EH89" s="66">
        <v>0</v>
      </c>
      <c r="EI89" s="66">
        <v>0</v>
      </c>
      <c r="EJ89" s="66">
        <v>0</v>
      </c>
      <c r="EK89" s="66">
        <v>0</v>
      </c>
      <c r="EL89" s="67" t="s">
        <v>1230</v>
      </c>
      <c r="EM89" s="67" t="s">
        <v>1230</v>
      </c>
      <c r="EN89" s="67">
        <v>0</v>
      </c>
      <c r="EO89" s="187">
        <v>0</v>
      </c>
      <c r="EP89" s="67">
        <v>0</v>
      </c>
      <c r="EQ89" s="66">
        <v>0</v>
      </c>
      <c r="ER89" s="66">
        <v>0</v>
      </c>
      <c r="ES89" s="66">
        <v>0</v>
      </c>
      <c r="ET89" s="66">
        <v>0</v>
      </c>
      <c r="EU89" s="66">
        <v>0</v>
      </c>
      <c r="EV89" s="66">
        <v>0</v>
      </c>
      <c r="EW89" s="66">
        <v>0</v>
      </c>
      <c r="EX89" s="66">
        <v>0</v>
      </c>
      <c r="EY89" s="66">
        <v>0</v>
      </c>
      <c r="EZ89" s="66">
        <v>0</v>
      </c>
      <c r="FA89" s="66">
        <v>0</v>
      </c>
      <c r="FB89" s="67" t="s">
        <v>1230</v>
      </c>
      <c r="FC89" s="67" t="s">
        <v>1230</v>
      </c>
      <c r="FD89" s="67">
        <v>0</v>
      </c>
      <c r="FE89" s="187">
        <v>0</v>
      </c>
      <c r="FF89" s="67">
        <v>0</v>
      </c>
      <c r="FG89" s="66">
        <v>0</v>
      </c>
      <c r="FH89" s="66">
        <v>0</v>
      </c>
      <c r="FI89" s="66">
        <v>0</v>
      </c>
      <c r="FJ89" s="66">
        <v>0</v>
      </c>
      <c r="FK89" s="66">
        <v>0</v>
      </c>
      <c r="FL89" s="66">
        <v>0</v>
      </c>
      <c r="FM89" s="66">
        <v>0</v>
      </c>
      <c r="FN89" s="66">
        <v>0</v>
      </c>
      <c r="FO89" s="66">
        <v>0</v>
      </c>
      <c r="FP89" s="66">
        <v>0</v>
      </c>
      <c r="FQ89" s="66">
        <v>0</v>
      </c>
      <c r="FR89" s="67" t="s">
        <v>1230</v>
      </c>
      <c r="FS89" s="67" t="s">
        <v>1230</v>
      </c>
      <c r="FT89" s="67">
        <v>0</v>
      </c>
      <c r="FU89" s="187">
        <v>0</v>
      </c>
      <c r="FV89" s="67">
        <v>0</v>
      </c>
      <c r="FW89" s="66">
        <v>0</v>
      </c>
      <c r="FX89" s="66">
        <v>0</v>
      </c>
      <c r="FY89" s="66">
        <v>0</v>
      </c>
      <c r="FZ89" s="66">
        <v>0</v>
      </c>
      <c r="GA89" s="66">
        <v>0</v>
      </c>
      <c r="GB89" s="66">
        <v>0</v>
      </c>
      <c r="GC89" s="66">
        <v>0</v>
      </c>
      <c r="GD89" s="66">
        <v>0</v>
      </c>
      <c r="GE89" s="66">
        <v>0</v>
      </c>
      <c r="GF89" s="66">
        <v>0</v>
      </c>
      <c r="GG89" s="66">
        <v>0</v>
      </c>
      <c r="GH89" s="67" t="s">
        <v>1230</v>
      </c>
      <c r="GI89" s="67" t="s">
        <v>1230</v>
      </c>
      <c r="GJ89" s="67">
        <v>0</v>
      </c>
      <c r="GK89" s="187">
        <v>0</v>
      </c>
      <c r="GL89" s="67">
        <v>0</v>
      </c>
      <c r="GM89" s="66">
        <v>0</v>
      </c>
      <c r="GN89" s="66">
        <v>0</v>
      </c>
      <c r="GO89" s="66">
        <v>0</v>
      </c>
      <c r="GP89" s="66">
        <v>0</v>
      </c>
      <c r="GQ89" s="66">
        <v>0</v>
      </c>
      <c r="GR89" s="66">
        <v>0</v>
      </c>
      <c r="GS89" s="66">
        <v>0</v>
      </c>
      <c r="GT89" s="66">
        <v>0</v>
      </c>
      <c r="GU89" s="66">
        <v>0</v>
      </c>
      <c r="GV89" s="66">
        <v>0</v>
      </c>
      <c r="GW89" s="66">
        <v>0</v>
      </c>
      <c r="GX89" s="67" t="s">
        <v>1230</v>
      </c>
      <c r="GY89" s="67" t="s">
        <v>1230</v>
      </c>
      <c r="GZ89" s="67">
        <v>0</v>
      </c>
      <c r="HA89" s="187">
        <v>0</v>
      </c>
      <c r="HB89" s="67">
        <v>0</v>
      </c>
      <c r="HC89" s="66">
        <v>0</v>
      </c>
      <c r="HD89" s="66">
        <v>0</v>
      </c>
      <c r="HE89" s="66">
        <v>0</v>
      </c>
      <c r="HF89" s="66">
        <v>0</v>
      </c>
      <c r="HG89" s="66">
        <v>0</v>
      </c>
      <c r="HH89" s="66">
        <v>0</v>
      </c>
      <c r="HI89" s="66">
        <v>0</v>
      </c>
      <c r="HJ89" s="66">
        <v>0</v>
      </c>
      <c r="HK89" s="66">
        <v>0</v>
      </c>
      <c r="HL89" s="66">
        <v>0</v>
      </c>
      <c r="HM89" s="66">
        <v>0</v>
      </c>
      <c r="HN89" s="67" t="s">
        <v>1230</v>
      </c>
      <c r="HO89" s="67" t="s">
        <v>1230</v>
      </c>
      <c r="HP89" s="67">
        <v>0</v>
      </c>
      <c r="HQ89" s="187">
        <v>0</v>
      </c>
      <c r="HR89" s="67">
        <v>0</v>
      </c>
      <c r="HS89" s="66">
        <v>0</v>
      </c>
      <c r="HT89" s="66">
        <v>0</v>
      </c>
      <c r="HU89" s="66">
        <v>0</v>
      </c>
      <c r="HV89" s="66">
        <v>0</v>
      </c>
      <c r="HW89" s="66">
        <v>0</v>
      </c>
      <c r="HX89" s="66">
        <v>0</v>
      </c>
      <c r="HY89" s="66">
        <v>0</v>
      </c>
      <c r="HZ89" s="66">
        <v>0</v>
      </c>
      <c r="IA89" s="66">
        <v>0</v>
      </c>
      <c r="IB89" s="66">
        <v>0</v>
      </c>
      <c r="IC89" s="66">
        <v>0</v>
      </c>
      <c r="ID89" s="67" t="s">
        <v>1230</v>
      </c>
      <c r="IE89" s="67" t="s">
        <v>1230</v>
      </c>
      <c r="IF89" s="67">
        <v>0</v>
      </c>
      <c r="IG89" s="187">
        <v>0</v>
      </c>
      <c r="IH89" s="67">
        <v>0</v>
      </c>
      <c r="II89" s="66">
        <v>0</v>
      </c>
      <c r="IJ89" s="66">
        <v>0</v>
      </c>
      <c r="IK89" s="66">
        <v>0</v>
      </c>
      <c r="IL89" s="66">
        <v>0</v>
      </c>
      <c r="IM89" s="66">
        <v>0</v>
      </c>
      <c r="IN89" s="66">
        <v>0</v>
      </c>
      <c r="IO89" s="66">
        <v>0</v>
      </c>
      <c r="IP89" s="66">
        <v>0</v>
      </c>
      <c r="IQ89" s="66">
        <v>0</v>
      </c>
      <c r="IR89" s="66">
        <v>0</v>
      </c>
      <c r="IS89" s="66">
        <v>0</v>
      </c>
      <c r="IT89" s="67" t="s">
        <v>1230</v>
      </c>
      <c r="IU89" s="67" t="s">
        <v>1230</v>
      </c>
      <c r="IV89" s="67">
        <v>0</v>
      </c>
      <c r="IW89" s="187">
        <v>0</v>
      </c>
      <c r="IX89" s="67">
        <v>0</v>
      </c>
    </row>
    <row r="90" spans="1:258" ht="15.6" x14ac:dyDescent="0.3">
      <c r="A90" s="169">
        <v>78</v>
      </c>
      <c r="B90" s="205" t="s">
        <v>216</v>
      </c>
      <c r="C90" s="66">
        <v>351.97979999999995</v>
      </c>
      <c r="D90" s="66">
        <v>0</v>
      </c>
      <c r="E90" s="66">
        <v>445.54406029</v>
      </c>
      <c r="F90" s="66">
        <v>351.97979999999995</v>
      </c>
      <c r="G90" s="66">
        <v>93.564260289999993</v>
      </c>
      <c r="H90" s="66">
        <v>351.82195224999992</v>
      </c>
      <c r="I90" s="66">
        <v>7.8691299999999985E-3</v>
      </c>
      <c r="J90" s="66">
        <v>445.34425300999999</v>
      </c>
      <c r="K90" s="66">
        <v>351.82195224999992</v>
      </c>
      <c r="L90" s="66">
        <v>0</v>
      </c>
      <c r="M90" s="66">
        <v>93.522300759999979</v>
      </c>
      <c r="N90" s="67">
        <v>99.955154315673795</v>
      </c>
      <c r="O90" s="67">
        <v>99.955154318678979</v>
      </c>
      <c r="P90" s="67">
        <v>21.000001712809794</v>
      </c>
      <c r="Q90" s="66">
        <v>7.8691299999999985E-3</v>
      </c>
      <c r="R90" s="67">
        <v>1.7322948631104396E-14</v>
      </c>
      <c r="S90" s="66">
        <v>312.5992</v>
      </c>
      <c r="T90" s="66">
        <v>0</v>
      </c>
      <c r="U90" s="66">
        <v>395.6952</v>
      </c>
      <c r="V90" s="66">
        <v>312.5992</v>
      </c>
      <c r="W90" s="66">
        <v>83.096000000000004</v>
      </c>
      <c r="X90" s="66">
        <v>312.59919269</v>
      </c>
      <c r="Y90" s="66">
        <v>3.6655999999999998E-3</v>
      </c>
      <c r="Z90" s="66">
        <v>395.69519074999999</v>
      </c>
      <c r="AA90" s="66">
        <v>312.59919269</v>
      </c>
      <c r="AB90" s="66">
        <v>0</v>
      </c>
      <c r="AC90" s="66">
        <v>83.095998059999999</v>
      </c>
      <c r="AD90" s="67">
        <v>99.999997661542324</v>
      </c>
      <c r="AE90" s="67">
        <v>99.999997665350918</v>
      </c>
      <c r="AF90" s="67">
        <v>21.000002022390007</v>
      </c>
      <c r="AG90" s="187">
        <v>3.6655999999999998E-3</v>
      </c>
      <c r="AH90" s="67">
        <v>-2.3378868285739429E-14</v>
      </c>
      <c r="AI90" s="66">
        <v>0</v>
      </c>
      <c r="AJ90" s="66">
        <v>0</v>
      </c>
      <c r="AK90" s="66">
        <v>0</v>
      </c>
      <c r="AL90" s="66">
        <v>0</v>
      </c>
      <c r="AM90" s="66">
        <v>0</v>
      </c>
      <c r="AN90" s="66">
        <v>0</v>
      </c>
      <c r="AO90" s="66">
        <v>4.2035299999999996E-3</v>
      </c>
      <c r="AP90" s="66">
        <v>0</v>
      </c>
      <c r="AQ90" s="66">
        <v>0</v>
      </c>
      <c r="AR90" s="66">
        <v>0</v>
      </c>
      <c r="AS90" s="66">
        <v>0</v>
      </c>
      <c r="AT90" s="67" t="s">
        <v>1230</v>
      </c>
      <c r="AU90" s="67" t="s">
        <v>1230</v>
      </c>
      <c r="AV90" s="67">
        <v>0</v>
      </c>
      <c r="AW90" s="187">
        <v>4.2035299999999996E-3</v>
      </c>
      <c r="AX90" s="67">
        <v>0</v>
      </c>
      <c r="AY90" s="66">
        <v>29.326599999999999</v>
      </c>
      <c r="AZ90" s="66">
        <v>0</v>
      </c>
      <c r="BA90" s="66">
        <v>37.1222785</v>
      </c>
      <c r="BB90" s="66">
        <v>29.326599999999999</v>
      </c>
      <c r="BC90" s="66">
        <v>7.7956785000000002</v>
      </c>
      <c r="BD90" s="66">
        <v>29.326599999999999</v>
      </c>
      <c r="BE90" s="66">
        <v>0</v>
      </c>
      <c r="BF90" s="66">
        <v>37.1222785</v>
      </c>
      <c r="BG90" s="66">
        <v>29.326599999999999</v>
      </c>
      <c r="BH90" s="66">
        <v>0</v>
      </c>
      <c r="BI90" s="66">
        <v>7.7956785000000002</v>
      </c>
      <c r="BJ90" s="67">
        <v>100</v>
      </c>
      <c r="BK90" s="67">
        <v>100</v>
      </c>
      <c r="BL90" s="67">
        <v>21.000000040407002</v>
      </c>
      <c r="BM90" s="187">
        <v>0</v>
      </c>
      <c r="BN90" s="67">
        <v>0</v>
      </c>
      <c r="BO90" s="66">
        <v>0</v>
      </c>
      <c r="BP90" s="66">
        <v>0</v>
      </c>
      <c r="BQ90" s="66">
        <v>0</v>
      </c>
      <c r="BR90" s="66">
        <v>0</v>
      </c>
      <c r="BS90" s="66">
        <v>0</v>
      </c>
      <c r="BT90" s="66">
        <v>0</v>
      </c>
      <c r="BU90" s="66">
        <v>0</v>
      </c>
      <c r="BV90" s="66">
        <v>0</v>
      </c>
      <c r="BW90" s="66">
        <v>0</v>
      </c>
      <c r="BX90" s="66">
        <v>0</v>
      </c>
      <c r="BY90" s="66">
        <v>0</v>
      </c>
      <c r="BZ90" s="67" t="s">
        <v>1230</v>
      </c>
      <c r="CA90" s="67" t="s">
        <v>1230</v>
      </c>
      <c r="CB90" s="67">
        <v>0</v>
      </c>
      <c r="CC90" s="187">
        <v>0</v>
      </c>
      <c r="CD90" s="67">
        <v>0</v>
      </c>
      <c r="CE90" s="66">
        <v>0</v>
      </c>
      <c r="CF90" s="66">
        <v>0</v>
      </c>
      <c r="CG90" s="66">
        <v>0</v>
      </c>
      <c r="CH90" s="66">
        <v>0</v>
      </c>
      <c r="CI90" s="66">
        <v>0</v>
      </c>
      <c r="CJ90" s="66">
        <v>0</v>
      </c>
      <c r="CK90" s="66">
        <v>0</v>
      </c>
      <c r="CL90" s="66">
        <v>0</v>
      </c>
      <c r="CM90" s="66">
        <v>0</v>
      </c>
      <c r="CN90" s="66">
        <v>0</v>
      </c>
      <c r="CO90" s="66">
        <v>0</v>
      </c>
      <c r="CP90" s="67" t="s">
        <v>1230</v>
      </c>
      <c r="CQ90" s="67" t="s">
        <v>1230</v>
      </c>
      <c r="CR90" s="67">
        <v>0</v>
      </c>
      <c r="CS90" s="187">
        <v>0</v>
      </c>
      <c r="CT90" s="67">
        <v>0</v>
      </c>
      <c r="CU90" s="66">
        <v>0</v>
      </c>
      <c r="CV90" s="66">
        <v>0</v>
      </c>
      <c r="CW90" s="66">
        <v>0</v>
      </c>
      <c r="CX90" s="66">
        <v>0</v>
      </c>
      <c r="CY90" s="66">
        <v>0</v>
      </c>
      <c r="CZ90" s="66">
        <v>0</v>
      </c>
      <c r="DA90" s="66">
        <v>0</v>
      </c>
      <c r="DB90" s="66">
        <v>0</v>
      </c>
      <c r="DC90" s="66">
        <v>0</v>
      </c>
      <c r="DD90" s="66">
        <v>0</v>
      </c>
      <c r="DE90" s="66">
        <v>0</v>
      </c>
      <c r="DF90" s="67" t="s">
        <v>1230</v>
      </c>
      <c r="DG90" s="67" t="s">
        <v>1230</v>
      </c>
      <c r="DH90" s="67">
        <v>0</v>
      </c>
      <c r="DI90" s="187">
        <v>0</v>
      </c>
      <c r="DJ90" s="67">
        <v>0</v>
      </c>
      <c r="DK90" s="66">
        <v>3.2244000000000002</v>
      </c>
      <c r="DL90" s="66">
        <v>0</v>
      </c>
      <c r="DM90" s="66">
        <v>4.0815189900000002</v>
      </c>
      <c r="DN90" s="66">
        <v>3.2244000000000002</v>
      </c>
      <c r="DO90" s="66">
        <v>0.85711899000000003</v>
      </c>
      <c r="DP90" s="66">
        <v>3.0732496499999997</v>
      </c>
      <c r="DQ90" s="66">
        <v>0</v>
      </c>
      <c r="DR90" s="66">
        <v>3.8901894299999999</v>
      </c>
      <c r="DS90" s="66">
        <v>3.0732496499999997</v>
      </c>
      <c r="DT90" s="66">
        <v>0</v>
      </c>
      <c r="DU90" s="66">
        <v>0.81693978</v>
      </c>
      <c r="DV90" s="67">
        <v>95.312295310755474</v>
      </c>
      <c r="DW90" s="67">
        <v>95.312294970853458</v>
      </c>
      <c r="DX90" s="67">
        <v>20.999999992288291</v>
      </c>
      <c r="DY90" s="187">
        <v>0</v>
      </c>
      <c r="DZ90" s="67">
        <v>0</v>
      </c>
      <c r="EA90" s="66">
        <v>0</v>
      </c>
      <c r="EB90" s="66">
        <v>0</v>
      </c>
      <c r="EC90" s="66">
        <v>0</v>
      </c>
      <c r="ED90" s="66">
        <v>0</v>
      </c>
      <c r="EE90" s="66">
        <v>0</v>
      </c>
      <c r="EF90" s="66">
        <v>0</v>
      </c>
      <c r="EG90" s="66">
        <v>0</v>
      </c>
      <c r="EH90" s="66">
        <v>0</v>
      </c>
      <c r="EI90" s="66">
        <v>0</v>
      </c>
      <c r="EJ90" s="66">
        <v>0</v>
      </c>
      <c r="EK90" s="66">
        <v>0</v>
      </c>
      <c r="EL90" s="67" t="s">
        <v>1230</v>
      </c>
      <c r="EM90" s="67" t="s">
        <v>1230</v>
      </c>
      <c r="EN90" s="67">
        <v>0</v>
      </c>
      <c r="EO90" s="187">
        <v>0</v>
      </c>
      <c r="EP90" s="67">
        <v>0</v>
      </c>
      <c r="EQ90" s="66">
        <v>2.8485999999999998</v>
      </c>
      <c r="ER90" s="66">
        <v>0</v>
      </c>
      <c r="ES90" s="66">
        <v>3.6058227999999999</v>
      </c>
      <c r="ET90" s="66">
        <v>2.8485999999999998</v>
      </c>
      <c r="EU90" s="66">
        <v>0.75722280000000008</v>
      </c>
      <c r="EV90" s="66">
        <v>2.8485999999999998</v>
      </c>
      <c r="EW90" s="66">
        <v>0</v>
      </c>
      <c r="EX90" s="66">
        <v>3.6058227999999999</v>
      </c>
      <c r="EY90" s="66">
        <v>2.8485999999999998</v>
      </c>
      <c r="EZ90" s="66">
        <v>0</v>
      </c>
      <c r="FA90" s="66">
        <v>0.75722280000000008</v>
      </c>
      <c r="FB90" s="67">
        <v>100</v>
      </c>
      <c r="FC90" s="67">
        <v>100</v>
      </c>
      <c r="FD90" s="67">
        <v>21.000000332795061</v>
      </c>
      <c r="FE90" s="187">
        <v>0</v>
      </c>
      <c r="FF90" s="67">
        <v>0</v>
      </c>
      <c r="FG90" s="66">
        <v>0</v>
      </c>
      <c r="FH90" s="66">
        <v>0</v>
      </c>
      <c r="FI90" s="66">
        <v>0</v>
      </c>
      <c r="FJ90" s="66">
        <v>0</v>
      </c>
      <c r="FK90" s="66">
        <v>0</v>
      </c>
      <c r="FL90" s="66">
        <v>0</v>
      </c>
      <c r="FM90" s="66">
        <v>0</v>
      </c>
      <c r="FN90" s="66">
        <v>0</v>
      </c>
      <c r="FO90" s="66">
        <v>0</v>
      </c>
      <c r="FP90" s="66">
        <v>0</v>
      </c>
      <c r="FQ90" s="66">
        <v>0</v>
      </c>
      <c r="FR90" s="67" t="s">
        <v>1230</v>
      </c>
      <c r="FS90" s="67" t="s">
        <v>1230</v>
      </c>
      <c r="FT90" s="67">
        <v>0</v>
      </c>
      <c r="FU90" s="187">
        <v>0</v>
      </c>
      <c r="FV90" s="67">
        <v>0</v>
      </c>
      <c r="FW90" s="66">
        <v>0</v>
      </c>
      <c r="FX90" s="66">
        <v>0</v>
      </c>
      <c r="FY90" s="66">
        <v>0</v>
      </c>
      <c r="FZ90" s="66">
        <v>0</v>
      </c>
      <c r="GA90" s="66">
        <v>0</v>
      </c>
      <c r="GB90" s="66">
        <v>0</v>
      </c>
      <c r="GC90" s="66">
        <v>0</v>
      </c>
      <c r="GD90" s="66">
        <v>0</v>
      </c>
      <c r="GE90" s="66">
        <v>0</v>
      </c>
      <c r="GF90" s="66">
        <v>0</v>
      </c>
      <c r="GG90" s="66">
        <v>0</v>
      </c>
      <c r="GH90" s="67" t="s">
        <v>1230</v>
      </c>
      <c r="GI90" s="67" t="s">
        <v>1230</v>
      </c>
      <c r="GJ90" s="67">
        <v>0</v>
      </c>
      <c r="GK90" s="187">
        <v>0</v>
      </c>
      <c r="GL90" s="67">
        <v>0</v>
      </c>
      <c r="GM90" s="66">
        <v>0</v>
      </c>
      <c r="GN90" s="66">
        <v>0</v>
      </c>
      <c r="GO90" s="66">
        <v>0</v>
      </c>
      <c r="GP90" s="66">
        <v>0</v>
      </c>
      <c r="GQ90" s="66">
        <v>0</v>
      </c>
      <c r="GR90" s="66">
        <v>0</v>
      </c>
      <c r="GS90" s="66">
        <v>0</v>
      </c>
      <c r="GT90" s="66">
        <v>0</v>
      </c>
      <c r="GU90" s="66">
        <v>0</v>
      </c>
      <c r="GV90" s="66">
        <v>0</v>
      </c>
      <c r="GW90" s="66">
        <v>0</v>
      </c>
      <c r="GX90" s="67" t="s">
        <v>1230</v>
      </c>
      <c r="GY90" s="67" t="s">
        <v>1230</v>
      </c>
      <c r="GZ90" s="67">
        <v>0</v>
      </c>
      <c r="HA90" s="187">
        <v>0</v>
      </c>
      <c r="HB90" s="67">
        <v>0</v>
      </c>
      <c r="HC90" s="66">
        <v>3.9809999999999999</v>
      </c>
      <c r="HD90" s="66">
        <v>0</v>
      </c>
      <c r="HE90" s="66">
        <v>5.0392400000000004</v>
      </c>
      <c r="HF90" s="66">
        <v>3.9809999999999999</v>
      </c>
      <c r="HG90" s="66">
        <v>1.0582400000000001</v>
      </c>
      <c r="HH90" s="66">
        <v>3.9743099100000001</v>
      </c>
      <c r="HI90" s="66">
        <v>0</v>
      </c>
      <c r="HJ90" s="66">
        <v>5.03077153</v>
      </c>
      <c r="HK90" s="66">
        <v>3.9743099100000001</v>
      </c>
      <c r="HL90" s="66">
        <v>0</v>
      </c>
      <c r="HM90" s="66">
        <v>1.0564616200000001</v>
      </c>
      <c r="HN90" s="67">
        <v>99.831949510173331</v>
      </c>
      <c r="HO90" s="67">
        <v>99.831949274266705</v>
      </c>
      <c r="HP90" s="67">
        <v>20.999992023092332</v>
      </c>
      <c r="HQ90" s="187">
        <v>0</v>
      </c>
      <c r="HR90" s="67">
        <v>0</v>
      </c>
      <c r="HS90" s="66">
        <v>0</v>
      </c>
      <c r="HT90" s="66">
        <v>0</v>
      </c>
      <c r="HU90" s="66">
        <v>0</v>
      </c>
      <c r="HV90" s="66">
        <v>0</v>
      </c>
      <c r="HW90" s="66">
        <v>0</v>
      </c>
      <c r="HX90" s="66">
        <v>0</v>
      </c>
      <c r="HY90" s="66">
        <v>0</v>
      </c>
      <c r="HZ90" s="66">
        <v>0</v>
      </c>
      <c r="IA90" s="66">
        <v>0</v>
      </c>
      <c r="IB90" s="66">
        <v>0</v>
      </c>
      <c r="IC90" s="66">
        <v>0</v>
      </c>
      <c r="ID90" s="67" t="s">
        <v>1230</v>
      </c>
      <c r="IE90" s="67" t="s">
        <v>1230</v>
      </c>
      <c r="IF90" s="67">
        <v>0</v>
      </c>
      <c r="IG90" s="187">
        <v>0</v>
      </c>
      <c r="IH90" s="67">
        <v>0</v>
      </c>
      <c r="II90" s="66">
        <v>0</v>
      </c>
      <c r="IJ90" s="66">
        <v>0</v>
      </c>
      <c r="IK90" s="66">
        <v>0</v>
      </c>
      <c r="IL90" s="66">
        <v>0</v>
      </c>
      <c r="IM90" s="66">
        <v>0</v>
      </c>
      <c r="IN90" s="66">
        <v>0</v>
      </c>
      <c r="IO90" s="66">
        <v>0</v>
      </c>
      <c r="IP90" s="66">
        <v>0</v>
      </c>
      <c r="IQ90" s="66">
        <v>0</v>
      </c>
      <c r="IR90" s="66">
        <v>0</v>
      </c>
      <c r="IS90" s="66">
        <v>0</v>
      </c>
      <c r="IT90" s="67" t="s">
        <v>1230</v>
      </c>
      <c r="IU90" s="67" t="s">
        <v>1230</v>
      </c>
      <c r="IV90" s="67">
        <v>0</v>
      </c>
      <c r="IW90" s="187">
        <v>0</v>
      </c>
      <c r="IX90" s="67">
        <v>0</v>
      </c>
    </row>
    <row r="91" spans="1:258" ht="15.6" x14ac:dyDescent="0.3">
      <c r="A91" s="169">
        <v>79</v>
      </c>
      <c r="B91" s="205" t="s">
        <v>219</v>
      </c>
      <c r="C91" s="66">
        <v>235.98580000000001</v>
      </c>
      <c r="D91" s="66">
        <v>0</v>
      </c>
      <c r="E91" s="66">
        <v>284.32024096999999</v>
      </c>
      <c r="F91" s="66">
        <v>235.98580000000001</v>
      </c>
      <c r="G91" s="66">
        <v>48.334440969999996</v>
      </c>
      <c r="H91" s="66">
        <v>122.78581229999999</v>
      </c>
      <c r="I91" s="66">
        <v>0.45122284000000001</v>
      </c>
      <c r="J91" s="66">
        <v>147.93471360999999</v>
      </c>
      <c r="K91" s="66">
        <v>122.78581229999999</v>
      </c>
      <c r="L91" s="66">
        <v>0</v>
      </c>
      <c r="M91" s="66">
        <v>25.148901310000003</v>
      </c>
      <c r="N91" s="67">
        <v>52.031017247647945</v>
      </c>
      <c r="O91" s="67">
        <v>52.031017231810559</v>
      </c>
      <c r="P91" s="67">
        <v>16.9999999974989</v>
      </c>
      <c r="Q91" s="66">
        <v>0.45122284000000001</v>
      </c>
      <c r="R91" s="67">
        <v>-2.2204460492503131E-16</v>
      </c>
      <c r="S91" s="66">
        <v>16.866399999999999</v>
      </c>
      <c r="T91" s="66">
        <v>0</v>
      </c>
      <c r="U91" s="66">
        <v>20.320963859999999</v>
      </c>
      <c r="V91" s="66">
        <v>16.866399999999999</v>
      </c>
      <c r="W91" s="66">
        <v>3.4545638599999999</v>
      </c>
      <c r="X91" s="66">
        <v>16.862856019999999</v>
      </c>
      <c r="Y91" s="66">
        <v>0.45122284000000001</v>
      </c>
      <c r="Z91" s="66">
        <v>20.316693999999998</v>
      </c>
      <c r="AA91" s="66">
        <v>16.862856019999999</v>
      </c>
      <c r="AB91" s="66">
        <v>0</v>
      </c>
      <c r="AC91" s="66">
        <v>3.4538379799999999</v>
      </c>
      <c r="AD91" s="67">
        <v>99.978987928662903</v>
      </c>
      <c r="AE91" s="67">
        <v>99.978987796161334</v>
      </c>
      <c r="AF91" s="67">
        <v>17</v>
      </c>
      <c r="AG91" s="187">
        <v>0.45122284000000001</v>
      </c>
      <c r="AH91" s="67">
        <v>-2.2204460492503131E-16</v>
      </c>
      <c r="AI91" s="66">
        <v>0</v>
      </c>
      <c r="AJ91" s="66">
        <v>0</v>
      </c>
      <c r="AK91" s="66">
        <v>0</v>
      </c>
      <c r="AL91" s="66">
        <v>0</v>
      </c>
      <c r="AM91" s="66">
        <v>0</v>
      </c>
      <c r="AN91" s="66">
        <v>0</v>
      </c>
      <c r="AO91" s="66">
        <v>0</v>
      </c>
      <c r="AP91" s="66">
        <v>0</v>
      </c>
      <c r="AQ91" s="66">
        <v>0</v>
      </c>
      <c r="AR91" s="66">
        <v>0</v>
      </c>
      <c r="AS91" s="66">
        <v>0</v>
      </c>
      <c r="AT91" s="67" t="s">
        <v>1230</v>
      </c>
      <c r="AU91" s="67" t="s">
        <v>1230</v>
      </c>
      <c r="AV91" s="67">
        <v>0</v>
      </c>
      <c r="AW91" s="187">
        <v>0</v>
      </c>
      <c r="AX91" s="67">
        <v>0</v>
      </c>
      <c r="AY91" s="66">
        <v>38.270600000000002</v>
      </c>
      <c r="AZ91" s="66">
        <v>0</v>
      </c>
      <c r="BA91" s="66">
        <v>46.109156630000001</v>
      </c>
      <c r="BB91" s="66">
        <v>38.270600000000002</v>
      </c>
      <c r="BC91" s="66">
        <v>7.8385566300000002</v>
      </c>
      <c r="BD91" s="66">
        <v>38.270600000000002</v>
      </c>
      <c r="BE91" s="66">
        <v>0</v>
      </c>
      <c r="BF91" s="66">
        <v>46.109156630000001</v>
      </c>
      <c r="BG91" s="66">
        <v>38.270600000000002</v>
      </c>
      <c r="BH91" s="66">
        <v>0</v>
      </c>
      <c r="BI91" s="66">
        <v>7.8385566300000002</v>
      </c>
      <c r="BJ91" s="67">
        <v>100</v>
      </c>
      <c r="BK91" s="67">
        <v>100</v>
      </c>
      <c r="BL91" s="67">
        <v>17.000000006289422</v>
      </c>
      <c r="BM91" s="187">
        <v>0</v>
      </c>
      <c r="BN91" s="67">
        <v>0</v>
      </c>
      <c r="BO91" s="66">
        <v>0</v>
      </c>
      <c r="BP91" s="66">
        <v>0</v>
      </c>
      <c r="BQ91" s="66">
        <v>0</v>
      </c>
      <c r="BR91" s="66">
        <v>0</v>
      </c>
      <c r="BS91" s="66">
        <v>0</v>
      </c>
      <c r="BT91" s="66">
        <v>0</v>
      </c>
      <c r="BU91" s="66">
        <v>0</v>
      </c>
      <c r="BV91" s="66">
        <v>0</v>
      </c>
      <c r="BW91" s="66">
        <v>0</v>
      </c>
      <c r="BX91" s="66">
        <v>0</v>
      </c>
      <c r="BY91" s="66">
        <v>0</v>
      </c>
      <c r="BZ91" s="67" t="s">
        <v>1230</v>
      </c>
      <c r="CA91" s="67" t="s">
        <v>1230</v>
      </c>
      <c r="CB91" s="67">
        <v>0</v>
      </c>
      <c r="CC91" s="187">
        <v>0</v>
      </c>
      <c r="CD91" s="67">
        <v>0</v>
      </c>
      <c r="CE91" s="66">
        <v>178.72800000000001</v>
      </c>
      <c r="CF91" s="66">
        <v>0</v>
      </c>
      <c r="CG91" s="66">
        <v>215.33493976</v>
      </c>
      <c r="CH91" s="66">
        <v>178.72800000000001</v>
      </c>
      <c r="CI91" s="66">
        <v>36.606939759999996</v>
      </c>
      <c r="CJ91" s="66">
        <v>65.531566949999998</v>
      </c>
      <c r="CK91" s="66">
        <v>0</v>
      </c>
      <c r="CL91" s="66">
        <v>78.953695120000006</v>
      </c>
      <c r="CM91" s="66">
        <v>65.531566949999998</v>
      </c>
      <c r="CN91" s="66">
        <v>0</v>
      </c>
      <c r="CO91" s="66">
        <v>13.422128170000001</v>
      </c>
      <c r="CP91" s="67">
        <v>36.665529156035987</v>
      </c>
      <c r="CQ91" s="67">
        <v>36.6655291537541</v>
      </c>
      <c r="CR91" s="67">
        <v>16.999999999493372</v>
      </c>
      <c r="CS91" s="187">
        <v>0</v>
      </c>
      <c r="CT91" s="67">
        <v>0</v>
      </c>
      <c r="CU91" s="66">
        <v>0</v>
      </c>
      <c r="CV91" s="66">
        <v>0</v>
      </c>
      <c r="CW91" s="66">
        <v>0</v>
      </c>
      <c r="CX91" s="66">
        <v>0</v>
      </c>
      <c r="CY91" s="66">
        <v>0</v>
      </c>
      <c r="CZ91" s="66">
        <v>0</v>
      </c>
      <c r="DA91" s="66">
        <v>0</v>
      </c>
      <c r="DB91" s="66">
        <v>0</v>
      </c>
      <c r="DC91" s="66">
        <v>0</v>
      </c>
      <c r="DD91" s="66">
        <v>0</v>
      </c>
      <c r="DE91" s="66">
        <v>0</v>
      </c>
      <c r="DF91" s="67" t="s">
        <v>1230</v>
      </c>
      <c r="DG91" s="67" t="s">
        <v>1230</v>
      </c>
      <c r="DH91" s="67">
        <v>0</v>
      </c>
      <c r="DI91" s="187">
        <v>0</v>
      </c>
      <c r="DJ91" s="67">
        <v>0</v>
      </c>
      <c r="DK91" s="66">
        <v>0</v>
      </c>
      <c r="DL91" s="66">
        <v>0</v>
      </c>
      <c r="DM91" s="66">
        <v>0</v>
      </c>
      <c r="DN91" s="66">
        <v>0</v>
      </c>
      <c r="DO91" s="66">
        <v>0</v>
      </c>
      <c r="DP91" s="66">
        <v>0</v>
      </c>
      <c r="DQ91" s="66">
        <v>0</v>
      </c>
      <c r="DR91" s="66">
        <v>0</v>
      </c>
      <c r="DS91" s="66">
        <v>0</v>
      </c>
      <c r="DT91" s="66">
        <v>0</v>
      </c>
      <c r="DU91" s="66">
        <v>0</v>
      </c>
      <c r="DV91" s="67" t="s">
        <v>1230</v>
      </c>
      <c r="DW91" s="67" t="s">
        <v>1230</v>
      </c>
      <c r="DX91" s="67">
        <v>0</v>
      </c>
      <c r="DY91" s="187">
        <v>0</v>
      </c>
      <c r="DZ91" s="67">
        <v>0</v>
      </c>
      <c r="EA91" s="66">
        <v>0</v>
      </c>
      <c r="EB91" s="66">
        <v>0</v>
      </c>
      <c r="EC91" s="66">
        <v>0</v>
      </c>
      <c r="ED91" s="66">
        <v>0</v>
      </c>
      <c r="EE91" s="66">
        <v>0</v>
      </c>
      <c r="EF91" s="66">
        <v>0</v>
      </c>
      <c r="EG91" s="66">
        <v>0</v>
      </c>
      <c r="EH91" s="66">
        <v>0</v>
      </c>
      <c r="EI91" s="66">
        <v>0</v>
      </c>
      <c r="EJ91" s="66">
        <v>0</v>
      </c>
      <c r="EK91" s="66">
        <v>0</v>
      </c>
      <c r="EL91" s="67" t="s">
        <v>1230</v>
      </c>
      <c r="EM91" s="67" t="s">
        <v>1230</v>
      </c>
      <c r="EN91" s="67">
        <v>0</v>
      </c>
      <c r="EO91" s="187">
        <v>0</v>
      </c>
      <c r="EP91" s="67">
        <v>0</v>
      </c>
      <c r="EQ91" s="66">
        <v>1.4956</v>
      </c>
      <c r="ER91" s="66">
        <v>0</v>
      </c>
      <c r="ES91" s="66">
        <v>1.80192771</v>
      </c>
      <c r="ET91" s="66">
        <v>1.4956</v>
      </c>
      <c r="EU91" s="66">
        <v>0.30632771000000003</v>
      </c>
      <c r="EV91" s="66">
        <v>1.4956</v>
      </c>
      <c r="EW91" s="66">
        <v>0</v>
      </c>
      <c r="EX91" s="66">
        <v>1.80192771</v>
      </c>
      <c r="EY91" s="66">
        <v>1.4956</v>
      </c>
      <c r="EZ91" s="66">
        <v>0</v>
      </c>
      <c r="FA91" s="66">
        <v>0.30632771000000003</v>
      </c>
      <c r="FB91" s="67">
        <v>100</v>
      </c>
      <c r="FC91" s="67">
        <v>100</v>
      </c>
      <c r="FD91" s="67">
        <v>16.999999961152717</v>
      </c>
      <c r="FE91" s="187">
        <v>0</v>
      </c>
      <c r="FF91" s="67">
        <v>0</v>
      </c>
      <c r="FG91" s="66">
        <v>0</v>
      </c>
      <c r="FH91" s="66">
        <v>0</v>
      </c>
      <c r="FI91" s="66">
        <v>0</v>
      </c>
      <c r="FJ91" s="66">
        <v>0</v>
      </c>
      <c r="FK91" s="66">
        <v>0</v>
      </c>
      <c r="FL91" s="66">
        <v>0</v>
      </c>
      <c r="FM91" s="66">
        <v>0</v>
      </c>
      <c r="FN91" s="66">
        <v>0</v>
      </c>
      <c r="FO91" s="66">
        <v>0</v>
      </c>
      <c r="FP91" s="66">
        <v>0</v>
      </c>
      <c r="FQ91" s="66">
        <v>0</v>
      </c>
      <c r="FR91" s="67" t="s">
        <v>1230</v>
      </c>
      <c r="FS91" s="67" t="s">
        <v>1230</v>
      </c>
      <c r="FT91" s="67">
        <v>0</v>
      </c>
      <c r="FU91" s="187">
        <v>0</v>
      </c>
      <c r="FV91" s="67">
        <v>0</v>
      </c>
      <c r="FW91" s="66">
        <v>0</v>
      </c>
      <c r="FX91" s="66">
        <v>0</v>
      </c>
      <c r="FY91" s="66">
        <v>0</v>
      </c>
      <c r="FZ91" s="66">
        <v>0</v>
      </c>
      <c r="GA91" s="66">
        <v>0</v>
      </c>
      <c r="GB91" s="66">
        <v>0</v>
      </c>
      <c r="GC91" s="66">
        <v>0</v>
      </c>
      <c r="GD91" s="66">
        <v>0</v>
      </c>
      <c r="GE91" s="66">
        <v>0</v>
      </c>
      <c r="GF91" s="66">
        <v>0</v>
      </c>
      <c r="GG91" s="66">
        <v>0</v>
      </c>
      <c r="GH91" s="67" t="s">
        <v>1230</v>
      </c>
      <c r="GI91" s="67" t="s">
        <v>1230</v>
      </c>
      <c r="GJ91" s="67">
        <v>0</v>
      </c>
      <c r="GK91" s="187">
        <v>0</v>
      </c>
      <c r="GL91" s="67">
        <v>0</v>
      </c>
      <c r="GM91" s="66">
        <v>0</v>
      </c>
      <c r="GN91" s="66">
        <v>0</v>
      </c>
      <c r="GO91" s="66">
        <v>0</v>
      </c>
      <c r="GP91" s="66">
        <v>0</v>
      </c>
      <c r="GQ91" s="66">
        <v>0</v>
      </c>
      <c r="GR91" s="66">
        <v>0</v>
      </c>
      <c r="GS91" s="66">
        <v>0</v>
      </c>
      <c r="GT91" s="66">
        <v>0</v>
      </c>
      <c r="GU91" s="66">
        <v>0</v>
      </c>
      <c r="GV91" s="66">
        <v>0</v>
      </c>
      <c r="GW91" s="66">
        <v>0</v>
      </c>
      <c r="GX91" s="67" t="s">
        <v>1230</v>
      </c>
      <c r="GY91" s="67" t="s">
        <v>1230</v>
      </c>
      <c r="GZ91" s="67">
        <v>0</v>
      </c>
      <c r="HA91" s="187">
        <v>0</v>
      </c>
      <c r="HB91" s="67">
        <v>0</v>
      </c>
      <c r="HC91" s="66">
        <v>0.62519999999999998</v>
      </c>
      <c r="HD91" s="66">
        <v>0</v>
      </c>
      <c r="HE91" s="66">
        <v>0.75325301</v>
      </c>
      <c r="HF91" s="66">
        <v>0.62519999999999998</v>
      </c>
      <c r="HG91" s="66">
        <v>0.12805300999999999</v>
      </c>
      <c r="HH91" s="66">
        <v>0.62518932999999999</v>
      </c>
      <c r="HI91" s="66">
        <v>0</v>
      </c>
      <c r="HJ91" s="66">
        <v>0.75324015</v>
      </c>
      <c r="HK91" s="66">
        <v>0.62518932999999999</v>
      </c>
      <c r="HL91" s="66">
        <v>0</v>
      </c>
      <c r="HM91" s="66">
        <v>0.12805082000000001</v>
      </c>
      <c r="HN91" s="67">
        <v>99.998293346129245</v>
      </c>
      <c r="HO91" s="67">
        <v>99.998289770775401</v>
      </c>
      <c r="HP91" s="67">
        <v>16.999999269821188</v>
      </c>
      <c r="HQ91" s="187">
        <v>0</v>
      </c>
      <c r="HR91" s="67">
        <v>0</v>
      </c>
      <c r="HS91" s="66">
        <v>0</v>
      </c>
      <c r="HT91" s="66">
        <v>0</v>
      </c>
      <c r="HU91" s="66">
        <v>0</v>
      </c>
      <c r="HV91" s="66">
        <v>0</v>
      </c>
      <c r="HW91" s="66">
        <v>0</v>
      </c>
      <c r="HX91" s="66">
        <v>0</v>
      </c>
      <c r="HY91" s="66">
        <v>0</v>
      </c>
      <c r="HZ91" s="66">
        <v>0</v>
      </c>
      <c r="IA91" s="66">
        <v>0</v>
      </c>
      <c r="IB91" s="66">
        <v>0</v>
      </c>
      <c r="IC91" s="66">
        <v>0</v>
      </c>
      <c r="ID91" s="67" t="s">
        <v>1230</v>
      </c>
      <c r="IE91" s="67" t="s">
        <v>1230</v>
      </c>
      <c r="IF91" s="67">
        <v>0</v>
      </c>
      <c r="IG91" s="187">
        <v>0</v>
      </c>
      <c r="IH91" s="67">
        <v>0</v>
      </c>
      <c r="II91" s="66">
        <v>0</v>
      </c>
      <c r="IJ91" s="66">
        <v>0</v>
      </c>
      <c r="IK91" s="66">
        <v>0</v>
      </c>
      <c r="IL91" s="66">
        <v>0</v>
      </c>
      <c r="IM91" s="66">
        <v>0</v>
      </c>
      <c r="IN91" s="66">
        <v>0</v>
      </c>
      <c r="IO91" s="66">
        <v>0</v>
      </c>
      <c r="IP91" s="66">
        <v>0</v>
      </c>
      <c r="IQ91" s="66">
        <v>0</v>
      </c>
      <c r="IR91" s="66">
        <v>0</v>
      </c>
      <c r="IS91" s="66">
        <v>0</v>
      </c>
      <c r="IT91" s="67" t="s">
        <v>1230</v>
      </c>
      <c r="IU91" s="67" t="s">
        <v>1230</v>
      </c>
      <c r="IV91" s="67">
        <v>0</v>
      </c>
      <c r="IW91" s="187">
        <v>0</v>
      </c>
      <c r="IX91" s="67">
        <v>0</v>
      </c>
    </row>
    <row r="92" spans="1:258" ht="15.6" x14ac:dyDescent="0.3">
      <c r="A92" s="169">
        <v>80</v>
      </c>
      <c r="B92" s="205" t="s">
        <v>222</v>
      </c>
      <c r="C92" s="66">
        <v>113.31989999999999</v>
      </c>
      <c r="D92" s="66">
        <v>0</v>
      </c>
      <c r="E92" s="66">
        <v>275.03459615999998</v>
      </c>
      <c r="F92" s="66">
        <v>113.31989999999999</v>
      </c>
      <c r="G92" s="66">
        <v>161.71469615999999</v>
      </c>
      <c r="H92" s="66">
        <v>112.52147473000001</v>
      </c>
      <c r="I92" s="66">
        <v>1.0472342299999999</v>
      </c>
      <c r="J92" s="66">
        <v>272.96187598</v>
      </c>
      <c r="K92" s="66">
        <v>112.52147473000001</v>
      </c>
      <c r="L92" s="66">
        <v>0</v>
      </c>
      <c r="M92" s="66">
        <v>160.44040125000001</v>
      </c>
      <c r="N92" s="67">
        <v>99.295423601679872</v>
      </c>
      <c r="O92" s="67">
        <v>99.212010447869744</v>
      </c>
      <c r="P92" s="67">
        <v>58.777585944549827</v>
      </c>
      <c r="Q92" s="66">
        <v>1.0472342299999999</v>
      </c>
      <c r="R92" s="67">
        <v>8.8817841970012523E-16</v>
      </c>
      <c r="S92" s="66">
        <v>77.594099999999997</v>
      </c>
      <c r="T92" s="66">
        <v>0</v>
      </c>
      <c r="U92" s="66">
        <v>122.0093</v>
      </c>
      <c r="V92" s="66">
        <v>77.594099999999997</v>
      </c>
      <c r="W92" s="66">
        <v>44.415199999999999</v>
      </c>
      <c r="X92" s="66">
        <v>76.95577818000001</v>
      </c>
      <c r="Y92" s="66">
        <v>7.8244500000000002E-3</v>
      </c>
      <c r="Z92" s="66">
        <v>121.0056</v>
      </c>
      <c r="AA92" s="66">
        <v>76.95577818000001</v>
      </c>
      <c r="AB92" s="66">
        <v>0</v>
      </c>
      <c r="AC92" s="66">
        <v>44.049821819999998</v>
      </c>
      <c r="AD92" s="67">
        <v>99.177357788800975</v>
      </c>
      <c r="AE92" s="67">
        <v>99.177357796430059</v>
      </c>
      <c r="AF92" s="67">
        <v>36.403126648684022</v>
      </c>
      <c r="AG92" s="187">
        <v>7.8244500000000002E-3</v>
      </c>
      <c r="AH92" s="67">
        <v>1.0928757898653885E-15</v>
      </c>
      <c r="AI92" s="66">
        <v>0</v>
      </c>
      <c r="AJ92" s="66">
        <v>0</v>
      </c>
      <c r="AK92" s="66">
        <v>0</v>
      </c>
      <c r="AL92" s="66">
        <v>0</v>
      </c>
      <c r="AM92" s="66">
        <v>0</v>
      </c>
      <c r="AN92" s="66">
        <v>0</v>
      </c>
      <c r="AO92" s="66">
        <v>1.0394097799999999</v>
      </c>
      <c r="AP92" s="66">
        <v>0</v>
      </c>
      <c r="AQ92" s="66">
        <v>0</v>
      </c>
      <c r="AR92" s="66">
        <v>0</v>
      </c>
      <c r="AS92" s="66">
        <v>0</v>
      </c>
      <c r="AT92" s="67" t="s">
        <v>1230</v>
      </c>
      <c r="AU92" s="67" t="s">
        <v>1230</v>
      </c>
      <c r="AV92" s="67">
        <v>0</v>
      </c>
      <c r="AW92" s="187">
        <v>1.0394097799999999</v>
      </c>
      <c r="AX92" s="67">
        <v>0</v>
      </c>
      <c r="AY92" s="66">
        <v>35.7258</v>
      </c>
      <c r="AZ92" s="66">
        <v>0</v>
      </c>
      <c r="BA92" s="66">
        <v>153.02529616000001</v>
      </c>
      <c r="BB92" s="66">
        <v>35.7258</v>
      </c>
      <c r="BC92" s="66">
        <v>117.29949615999999</v>
      </c>
      <c r="BD92" s="66">
        <v>35.565696549999998</v>
      </c>
      <c r="BE92" s="66">
        <v>0</v>
      </c>
      <c r="BF92" s="66">
        <v>151.95627597999999</v>
      </c>
      <c r="BG92" s="66">
        <v>35.565696549999998</v>
      </c>
      <c r="BH92" s="66">
        <v>0</v>
      </c>
      <c r="BI92" s="66">
        <v>116.39057943</v>
      </c>
      <c r="BJ92" s="67">
        <v>99.551854822005382</v>
      </c>
      <c r="BK92" s="67">
        <v>99.225131599235354</v>
      </c>
      <c r="BL92" s="67">
        <v>76.594782729025923</v>
      </c>
      <c r="BM92" s="187">
        <v>0</v>
      </c>
      <c r="BN92" s="67">
        <v>0</v>
      </c>
      <c r="BO92" s="66">
        <v>0</v>
      </c>
      <c r="BP92" s="66">
        <v>0</v>
      </c>
      <c r="BQ92" s="66">
        <v>0</v>
      </c>
      <c r="BR92" s="66">
        <v>0</v>
      </c>
      <c r="BS92" s="66">
        <v>0</v>
      </c>
      <c r="BT92" s="66">
        <v>0</v>
      </c>
      <c r="BU92" s="66">
        <v>0</v>
      </c>
      <c r="BV92" s="66">
        <v>0</v>
      </c>
      <c r="BW92" s="66">
        <v>0</v>
      </c>
      <c r="BX92" s="66">
        <v>0</v>
      </c>
      <c r="BY92" s="66">
        <v>0</v>
      </c>
      <c r="BZ92" s="67" t="s">
        <v>1230</v>
      </c>
      <c r="CA92" s="67" t="s">
        <v>1230</v>
      </c>
      <c r="CB92" s="67">
        <v>0</v>
      </c>
      <c r="CC92" s="187">
        <v>0</v>
      </c>
      <c r="CD92" s="67">
        <v>0</v>
      </c>
      <c r="CE92" s="66">
        <v>0</v>
      </c>
      <c r="CF92" s="66">
        <v>0</v>
      </c>
      <c r="CG92" s="66">
        <v>0</v>
      </c>
      <c r="CH92" s="66">
        <v>0</v>
      </c>
      <c r="CI92" s="66">
        <v>0</v>
      </c>
      <c r="CJ92" s="66">
        <v>0</v>
      </c>
      <c r="CK92" s="66">
        <v>0</v>
      </c>
      <c r="CL92" s="66">
        <v>0</v>
      </c>
      <c r="CM92" s="66">
        <v>0</v>
      </c>
      <c r="CN92" s="66">
        <v>0</v>
      </c>
      <c r="CO92" s="66">
        <v>0</v>
      </c>
      <c r="CP92" s="67" t="s">
        <v>1230</v>
      </c>
      <c r="CQ92" s="67" t="s">
        <v>1230</v>
      </c>
      <c r="CR92" s="67">
        <v>0</v>
      </c>
      <c r="CS92" s="187">
        <v>0</v>
      </c>
      <c r="CT92" s="67">
        <v>0</v>
      </c>
      <c r="CU92" s="66">
        <v>0</v>
      </c>
      <c r="CV92" s="66">
        <v>0</v>
      </c>
      <c r="CW92" s="66">
        <v>0</v>
      </c>
      <c r="CX92" s="66">
        <v>0</v>
      </c>
      <c r="CY92" s="66">
        <v>0</v>
      </c>
      <c r="CZ92" s="66">
        <v>0</v>
      </c>
      <c r="DA92" s="66">
        <v>0</v>
      </c>
      <c r="DB92" s="66">
        <v>0</v>
      </c>
      <c r="DC92" s="66">
        <v>0</v>
      </c>
      <c r="DD92" s="66">
        <v>0</v>
      </c>
      <c r="DE92" s="66">
        <v>0</v>
      </c>
      <c r="DF92" s="67" t="s">
        <v>1230</v>
      </c>
      <c r="DG92" s="67" t="s">
        <v>1230</v>
      </c>
      <c r="DH92" s="67">
        <v>0</v>
      </c>
      <c r="DI92" s="187">
        <v>0</v>
      </c>
      <c r="DJ92" s="67">
        <v>0</v>
      </c>
      <c r="DK92" s="66">
        <v>0</v>
      </c>
      <c r="DL92" s="66">
        <v>0</v>
      </c>
      <c r="DM92" s="66">
        <v>0</v>
      </c>
      <c r="DN92" s="66">
        <v>0</v>
      </c>
      <c r="DO92" s="66">
        <v>0</v>
      </c>
      <c r="DP92" s="66">
        <v>0</v>
      </c>
      <c r="DQ92" s="66">
        <v>0</v>
      </c>
      <c r="DR92" s="66">
        <v>0</v>
      </c>
      <c r="DS92" s="66">
        <v>0</v>
      </c>
      <c r="DT92" s="66">
        <v>0</v>
      </c>
      <c r="DU92" s="66">
        <v>0</v>
      </c>
      <c r="DV92" s="67" t="s">
        <v>1230</v>
      </c>
      <c r="DW92" s="67" t="s">
        <v>1230</v>
      </c>
      <c r="DX92" s="67">
        <v>0</v>
      </c>
      <c r="DY92" s="187">
        <v>0</v>
      </c>
      <c r="DZ92" s="67">
        <v>0</v>
      </c>
      <c r="EA92" s="66">
        <v>0</v>
      </c>
      <c r="EB92" s="66">
        <v>0</v>
      </c>
      <c r="EC92" s="66">
        <v>0</v>
      </c>
      <c r="ED92" s="66">
        <v>0</v>
      </c>
      <c r="EE92" s="66">
        <v>0</v>
      </c>
      <c r="EF92" s="66">
        <v>0</v>
      </c>
      <c r="EG92" s="66">
        <v>0</v>
      </c>
      <c r="EH92" s="66">
        <v>0</v>
      </c>
      <c r="EI92" s="66">
        <v>0</v>
      </c>
      <c r="EJ92" s="66">
        <v>0</v>
      </c>
      <c r="EK92" s="66">
        <v>0</v>
      </c>
      <c r="EL92" s="67" t="s">
        <v>1230</v>
      </c>
      <c r="EM92" s="67" t="s">
        <v>1230</v>
      </c>
      <c r="EN92" s="67">
        <v>0</v>
      </c>
      <c r="EO92" s="187">
        <v>0</v>
      </c>
      <c r="EP92" s="67">
        <v>0</v>
      </c>
      <c r="EQ92" s="66">
        <v>0</v>
      </c>
      <c r="ER92" s="66">
        <v>0</v>
      </c>
      <c r="ES92" s="66">
        <v>0</v>
      </c>
      <c r="ET92" s="66">
        <v>0</v>
      </c>
      <c r="EU92" s="66">
        <v>0</v>
      </c>
      <c r="EV92" s="66">
        <v>0</v>
      </c>
      <c r="EW92" s="66">
        <v>0</v>
      </c>
      <c r="EX92" s="66">
        <v>0</v>
      </c>
      <c r="EY92" s="66">
        <v>0</v>
      </c>
      <c r="EZ92" s="66">
        <v>0</v>
      </c>
      <c r="FA92" s="66">
        <v>0</v>
      </c>
      <c r="FB92" s="67" t="s">
        <v>1230</v>
      </c>
      <c r="FC92" s="67" t="s">
        <v>1230</v>
      </c>
      <c r="FD92" s="67">
        <v>0</v>
      </c>
      <c r="FE92" s="187">
        <v>0</v>
      </c>
      <c r="FF92" s="67">
        <v>0</v>
      </c>
      <c r="FG92" s="66">
        <v>0</v>
      </c>
      <c r="FH92" s="66">
        <v>0</v>
      </c>
      <c r="FI92" s="66">
        <v>0</v>
      </c>
      <c r="FJ92" s="66">
        <v>0</v>
      </c>
      <c r="FK92" s="66">
        <v>0</v>
      </c>
      <c r="FL92" s="66">
        <v>0</v>
      </c>
      <c r="FM92" s="66">
        <v>0</v>
      </c>
      <c r="FN92" s="66">
        <v>0</v>
      </c>
      <c r="FO92" s="66">
        <v>0</v>
      </c>
      <c r="FP92" s="66">
        <v>0</v>
      </c>
      <c r="FQ92" s="66">
        <v>0</v>
      </c>
      <c r="FR92" s="67" t="s">
        <v>1230</v>
      </c>
      <c r="FS92" s="67" t="s">
        <v>1230</v>
      </c>
      <c r="FT92" s="67">
        <v>0</v>
      </c>
      <c r="FU92" s="187">
        <v>0</v>
      </c>
      <c r="FV92" s="67">
        <v>0</v>
      </c>
      <c r="FW92" s="66">
        <v>0</v>
      </c>
      <c r="FX92" s="66">
        <v>0</v>
      </c>
      <c r="FY92" s="66">
        <v>0</v>
      </c>
      <c r="FZ92" s="66">
        <v>0</v>
      </c>
      <c r="GA92" s="66">
        <v>0</v>
      </c>
      <c r="GB92" s="66">
        <v>0</v>
      </c>
      <c r="GC92" s="66">
        <v>0</v>
      </c>
      <c r="GD92" s="66">
        <v>0</v>
      </c>
      <c r="GE92" s="66">
        <v>0</v>
      </c>
      <c r="GF92" s="66">
        <v>0</v>
      </c>
      <c r="GG92" s="66">
        <v>0</v>
      </c>
      <c r="GH92" s="67" t="s">
        <v>1230</v>
      </c>
      <c r="GI92" s="67" t="s">
        <v>1230</v>
      </c>
      <c r="GJ92" s="67">
        <v>0</v>
      </c>
      <c r="GK92" s="187">
        <v>0</v>
      </c>
      <c r="GL92" s="67">
        <v>0</v>
      </c>
      <c r="GM92" s="66">
        <v>0</v>
      </c>
      <c r="GN92" s="66">
        <v>0</v>
      </c>
      <c r="GO92" s="66">
        <v>0</v>
      </c>
      <c r="GP92" s="66">
        <v>0</v>
      </c>
      <c r="GQ92" s="66">
        <v>0</v>
      </c>
      <c r="GR92" s="66">
        <v>0</v>
      </c>
      <c r="GS92" s="66">
        <v>0</v>
      </c>
      <c r="GT92" s="66">
        <v>0</v>
      </c>
      <c r="GU92" s="66">
        <v>0</v>
      </c>
      <c r="GV92" s="66">
        <v>0</v>
      </c>
      <c r="GW92" s="66">
        <v>0</v>
      </c>
      <c r="GX92" s="67" t="s">
        <v>1230</v>
      </c>
      <c r="GY92" s="67" t="s">
        <v>1230</v>
      </c>
      <c r="GZ92" s="67">
        <v>0</v>
      </c>
      <c r="HA92" s="187">
        <v>0</v>
      </c>
      <c r="HB92" s="67">
        <v>0</v>
      </c>
      <c r="HC92" s="66">
        <v>0</v>
      </c>
      <c r="HD92" s="66">
        <v>0</v>
      </c>
      <c r="HE92" s="66">
        <v>0</v>
      </c>
      <c r="HF92" s="66">
        <v>0</v>
      </c>
      <c r="HG92" s="66">
        <v>0</v>
      </c>
      <c r="HH92" s="66">
        <v>0</v>
      </c>
      <c r="HI92" s="66">
        <v>0</v>
      </c>
      <c r="HJ92" s="66">
        <v>0</v>
      </c>
      <c r="HK92" s="66">
        <v>0</v>
      </c>
      <c r="HL92" s="66">
        <v>0</v>
      </c>
      <c r="HM92" s="66">
        <v>0</v>
      </c>
      <c r="HN92" s="67" t="s">
        <v>1230</v>
      </c>
      <c r="HO92" s="67" t="s">
        <v>1230</v>
      </c>
      <c r="HP92" s="67">
        <v>0</v>
      </c>
      <c r="HQ92" s="187">
        <v>0</v>
      </c>
      <c r="HR92" s="67">
        <v>0</v>
      </c>
      <c r="HS92" s="66">
        <v>0</v>
      </c>
      <c r="HT92" s="66">
        <v>0</v>
      </c>
      <c r="HU92" s="66">
        <v>0</v>
      </c>
      <c r="HV92" s="66">
        <v>0</v>
      </c>
      <c r="HW92" s="66">
        <v>0</v>
      </c>
      <c r="HX92" s="66">
        <v>0</v>
      </c>
      <c r="HY92" s="66">
        <v>0</v>
      </c>
      <c r="HZ92" s="66">
        <v>0</v>
      </c>
      <c r="IA92" s="66">
        <v>0</v>
      </c>
      <c r="IB92" s="66">
        <v>0</v>
      </c>
      <c r="IC92" s="66">
        <v>0</v>
      </c>
      <c r="ID92" s="67" t="s">
        <v>1230</v>
      </c>
      <c r="IE92" s="67" t="s">
        <v>1230</v>
      </c>
      <c r="IF92" s="67">
        <v>0</v>
      </c>
      <c r="IG92" s="187">
        <v>0</v>
      </c>
      <c r="IH92" s="67">
        <v>0</v>
      </c>
      <c r="II92" s="66">
        <v>0</v>
      </c>
      <c r="IJ92" s="66">
        <v>0</v>
      </c>
      <c r="IK92" s="66">
        <v>0</v>
      </c>
      <c r="IL92" s="66">
        <v>0</v>
      </c>
      <c r="IM92" s="66">
        <v>0</v>
      </c>
      <c r="IN92" s="66">
        <v>0</v>
      </c>
      <c r="IO92" s="66">
        <v>0</v>
      </c>
      <c r="IP92" s="66">
        <v>0</v>
      </c>
      <c r="IQ92" s="66">
        <v>0</v>
      </c>
      <c r="IR92" s="66">
        <v>0</v>
      </c>
      <c r="IS92" s="66">
        <v>0</v>
      </c>
      <c r="IT92" s="67" t="s">
        <v>1230</v>
      </c>
      <c r="IU92" s="67" t="s">
        <v>1230</v>
      </c>
      <c r="IV92" s="67">
        <v>0</v>
      </c>
      <c r="IW92" s="187">
        <v>0</v>
      </c>
      <c r="IX92" s="67">
        <v>0</v>
      </c>
    </row>
    <row r="93" spans="1:258" ht="15.6" x14ac:dyDescent="0.3">
      <c r="A93" s="169">
        <v>81</v>
      </c>
      <c r="B93" s="205" t="s">
        <v>225</v>
      </c>
      <c r="C93" s="66">
        <v>87.500599999999977</v>
      </c>
      <c r="D93" s="66">
        <v>0</v>
      </c>
      <c r="E93" s="66">
        <v>101.78730000000002</v>
      </c>
      <c r="F93" s="66">
        <v>87.500599999999977</v>
      </c>
      <c r="G93" s="66">
        <v>14.2867</v>
      </c>
      <c r="H93" s="66">
        <v>84.355360839999989</v>
      </c>
      <c r="I93" s="66">
        <v>0.60426332999999999</v>
      </c>
      <c r="J93" s="66">
        <v>98.125752820000002</v>
      </c>
      <c r="K93" s="66">
        <v>84.355360839999989</v>
      </c>
      <c r="L93" s="66">
        <v>0</v>
      </c>
      <c r="M93" s="66">
        <v>13.770391979999999</v>
      </c>
      <c r="N93" s="67">
        <v>96.405465608235843</v>
      </c>
      <c r="O93" s="67">
        <v>96.386093219567854</v>
      </c>
      <c r="P93" s="67">
        <v>14.033412824113709</v>
      </c>
      <c r="Q93" s="66">
        <v>0.60426332999999999</v>
      </c>
      <c r="R93" s="67">
        <v>-5.1070259132757201E-15</v>
      </c>
      <c r="S93" s="66">
        <v>33.8797</v>
      </c>
      <c r="T93" s="66">
        <v>0</v>
      </c>
      <c r="U93" s="66">
        <v>39.395000000000003</v>
      </c>
      <c r="V93" s="66">
        <v>33.8797</v>
      </c>
      <c r="W93" s="66">
        <v>5.5152999999999999</v>
      </c>
      <c r="X93" s="66">
        <v>33.8797</v>
      </c>
      <c r="Y93" s="66">
        <v>0</v>
      </c>
      <c r="Z93" s="66">
        <v>39.395000000000003</v>
      </c>
      <c r="AA93" s="66">
        <v>33.8797</v>
      </c>
      <c r="AB93" s="66">
        <v>0</v>
      </c>
      <c r="AC93" s="66">
        <v>5.5152999999999999</v>
      </c>
      <c r="AD93" s="67">
        <v>100</v>
      </c>
      <c r="AE93" s="67">
        <v>100</v>
      </c>
      <c r="AF93" s="67">
        <v>13.999999999999998</v>
      </c>
      <c r="AG93" s="187">
        <v>0</v>
      </c>
      <c r="AH93" s="67">
        <v>0</v>
      </c>
      <c r="AI93" s="66">
        <v>0</v>
      </c>
      <c r="AJ93" s="66">
        <v>0</v>
      </c>
      <c r="AK93" s="66">
        <v>0</v>
      </c>
      <c r="AL93" s="66">
        <v>0</v>
      </c>
      <c r="AM93" s="66">
        <v>0</v>
      </c>
      <c r="AN93" s="66">
        <v>0</v>
      </c>
      <c r="AO93" s="66">
        <v>0</v>
      </c>
      <c r="AP93" s="66">
        <v>0</v>
      </c>
      <c r="AQ93" s="66">
        <v>0</v>
      </c>
      <c r="AR93" s="66">
        <v>0</v>
      </c>
      <c r="AS93" s="66">
        <v>0</v>
      </c>
      <c r="AT93" s="67" t="s">
        <v>1230</v>
      </c>
      <c r="AU93" s="67" t="s">
        <v>1230</v>
      </c>
      <c r="AV93" s="67">
        <v>0</v>
      </c>
      <c r="AW93" s="187">
        <v>0</v>
      </c>
      <c r="AX93" s="67">
        <v>0</v>
      </c>
      <c r="AY93" s="66">
        <v>46.879399999999997</v>
      </c>
      <c r="AZ93" s="66">
        <v>0</v>
      </c>
      <c r="BA93" s="66">
        <v>54.510941000000003</v>
      </c>
      <c r="BB93" s="66">
        <v>46.879399999999997</v>
      </c>
      <c r="BC93" s="66">
        <v>7.6315410000000004</v>
      </c>
      <c r="BD93" s="66">
        <v>44.161209820000003</v>
      </c>
      <c r="BE93" s="66">
        <v>0.60426332999999999</v>
      </c>
      <c r="BF93" s="66">
        <v>51.350254110000002</v>
      </c>
      <c r="BG93" s="66">
        <v>44.161209820000003</v>
      </c>
      <c r="BH93" s="66">
        <v>0</v>
      </c>
      <c r="BI93" s="66">
        <v>7.18904429</v>
      </c>
      <c r="BJ93" s="67">
        <v>94.201738546141812</v>
      </c>
      <c r="BK93" s="67">
        <v>94.201738416919994</v>
      </c>
      <c r="BL93" s="67">
        <v>14.000016970899464</v>
      </c>
      <c r="BM93" s="187">
        <v>0.60426332999999999</v>
      </c>
      <c r="BN93" s="67">
        <v>1.9984014443252818E-15</v>
      </c>
      <c r="BO93" s="66">
        <v>0</v>
      </c>
      <c r="BP93" s="66">
        <v>0</v>
      </c>
      <c r="BQ93" s="66">
        <v>0</v>
      </c>
      <c r="BR93" s="66">
        <v>0</v>
      </c>
      <c r="BS93" s="66">
        <v>0</v>
      </c>
      <c r="BT93" s="66">
        <v>0</v>
      </c>
      <c r="BU93" s="66">
        <v>0</v>
      </c>
      <c r="BV93" s="66">
        <v>0</v>
      </c>
      <c r="BW93" s="66">
        <v>0</v>
      </c>
      <c r="BX93" s="66">
        <v>0</v>
      </c>
      <c r="BY93" s="66">
        <v>0</v>
      </c>
      <c r="BZ93" s="67" t="s">
        <v>1230</v>
      </c>
      <c r="CA93" s="67" t="s">
        <v>1230</v>
      </c>
      <c r="CB93" s="67">
        <v>0</v>
      </c>
      <c r="CC93" s="187">
        <v>0</v>
      </c>
      <c r="CD93" s="67">
        <v>0</v>
      </c>
      <c r="CE93" s="66">
        <v>0</v>
      </c>
      <c r="CF93" s="66">
        <v>0</v>
      </c>
      <c r="CG93" s="66">
        <v>0</v>
      </c>
      <c r="CH93" s="66">
        <v>0</v>
      </c>
      <c r="CI93" s="66">
        <v>0</v>
      </c>
      <c r="CJ93" s="66">
        <v>0</v>
      </c>
      <c r="CK93" s="66">
        <v>0</v>
      </c>
      <c r="CL93" s="66">
        <v>0</v>
      </c>
      <c r="CM93" s="66">
        <v>0</v>
      </c>
      <c r="CN93" s="66">
        <v>0</v>
      </c>
      <c r="CO93" s="66">
        <v>0</v>
      </c>
      <c r="CP93" s="67" t="s">
        <v>1230</v>
      </c>
      <c r="CQ93" s="67" t="s">
        <v>1230</v>
      </c>
      <c r="CR93" s="67">
        <v>0</v>
      </c>
      <c r="CS93" s="187">
        <v>0</v>
      </c>
      <c r="CT93" s="67">
        <v>0</v>
      </c>
      <c r="CU93" s="66">
        <v>0</v>
      </c>
      <c r="CV93" s="66">
        <v>0</v>
      </c>
      <c r="CW93" s="66">
        <v>0</v>
      </c>
      <c r="CX93" s="66">
        <v>0</v>
      </c>
      <c r="CY93" s="66">
        <v>0</v>
      </c>
      <c r="CZ93" s="66">
        <v>0</v>
      </c>
      <c r="DA93" s="66">
        <v>0</v>
      </c>
      <c r="DB93" s="66">
        <v>0</v>
      </c>
      <c r="DC93" s="66">
        <v>0</v>
      </c>
      <c r="DD93" s="66">
        <v>0</v>
      </c>
      <c r="DE93" s="66">
        <v>0</v>
      </c>
      <c r="DF93" s="67" t="s">
        <v>1230</v>
      </c>
      <c r="DG93" s="67" t="s">
        <v>1230</v>
      </c>
      <c r="DH93" s="67">
        <v>0</v>
      </c>
      <c r="DI93" s="187">
        <v>0</v>
      </c>
      <c r="DJ93" s="67">
        <v>0</v>
      </c>
      <c r="DK93" s="66">
        <v>0</v>
      </c>
      <c r="DL93" s="66">
        <v>0</v>
      </c>
      <c r="DM93" s="66">
        <v>0</v>
      </c>
      <c r="DN93" s="66">
        <v>0</v>
      </c>
      <c r="DO93" s="66">
        <v>0</v>
      </c>
      <c r="DP93" s="66">
        <v>0</v>
      </c>
      <c r="DQ93" s="66">
        <v>0</v>
      </c>
      <c r="DR93" s="66">
        <v>0</v>
      </c>
      <c r="DS93" s="66">
        <v>0</v>
      </c>
      <c r="DT93" s="66">
        <v>0</v>
      </c>
      <c r="DU93" s="66">
        <v>0</v>
      </c>
      <c r="DV93" s="67" t="s">
        <v>1230</v>
      </c>
      <c r="DW93" s="67" t="s">
        <v>1230</v>
      </c>
      <c r="DX93" s="67">
        <v>0</v>
      </c>
      <c r="DY93" s="187">
        <v>0</v>
      </c>
      <c r="DZ93" s="67">
        <v>0</v>
      </c>
      <c r="EA93" s="66">
        <v>0</v>
      </c>
      <c r="EB93" s="66">
        <v>0</v>
      </c>
      <c r="EC93" s="66">
        <v>0</v>
      </c>
      <c r="ED93" s="66">
        <v>0</v>
      </c>
      <c r="EE93" s="66">
        <v>0</v>
      </c>
      <c r="EF93" s="66">
        <v>0</v>
      </c>
      <c r="EG93" s="66">
        <v>0</v>
      </c>
      <c r="EH93" s="66">
        <v>0</v>
      </c>
      <c r="EI93" s="66">
        <v>0</v>
      </c>
      <c r="EJ93" s="66">
        <v>0</v>
      </c>
      <c r="EK93" s="66">
        <v>0</v>
      </c>
      <c r="EL93" s="67" t="s">
        <v>1230</v>
      </c>
      <c r="EM93" s="67" t="s">
        <v>1230</v>
      </c>
      <c r="EN93" s="67">
        <v>0</v>
      </c>
      <c r="EO93" s="187">
        <v>0</v>
      </c>
      <c r="EP93" s="67">
        <v>0</v>
      </c>
      <c r="EQ93" s="66">
        <v>1.8762000000000001</v>
      </c>
      <c r="ER93" s="66">
        <v>0</v>
      </c>
      <c r="ES93" s="66">
        <v>2.1816279999999999</v>
      </c>
      <c r="ET93" s="66">
        <v>1.8762000000000001</v>
      </c>
      <c r="EU93" s="66">
        <v>0.30542799999999998</v>
      </c>
      <c r="EV93" s="66">
        <v>1.8762000000000001</v>
      </c>
      <c r="EW93" s="66">
        <v>0</v>
      </c>
      <c r="EX93" s="66">
        <v>2.1816279999999999</v>
      </c>
      <c r="EY93" s="66">
        <v>1.8762000000000001</v>
      </c>
      <c r="EZ93" s="66">
        <v>0</v>
      </c>
      <c r="FA93" s="66">
        <v>0.30542799999999998</v>
      </c>
      <c r="FB93" s="67">
        <v>100</v>
      </c>
      <c r="FC93" s="67">
        <v>100</v>
      </c>
      <c r="FD93" s="67">
        <v>14.000003666986306</v>
      </c>
      <c r="FE93" s="187">
        <v>0</v>
      </c>
      <c r="FF93" s="67">
        <v>0</v>
      </c>
      <c r="FG93" s="66">
        <v>0</v>
      </c>
      <c r="FH93" s="66">
        <v>0</v>
      </c>
      <c r="FI93" s="66">
        <v>0</v>
      </c>
      <c r="FJ93" s="66">
        <v>0</v>
      </c>
      <c r="FK93" s="66">
        <v>0</v>
      </c>
      <c r="FL93" s="66">
        <v>0</v>
      </c>
      <c r="FM93" s="66">
        <v>0</v>
      </c>
      <c r="FN93" s="66">
        <v>0</v>
      </c>
      <c r="FO93" s="66">
        <v>0</v>
      </c>
      <c r="FP93" s="66">
        <v>0</v>
      </c>
      <c r="FQ93" s="66">
        <v>0</v>
      </c>
      <c r="FR93" s="67" t="s">
        <v>1230</v>
      </c>
      <c r="FS93" s="67" t="s">
        <v>1230</v>
      </c>
      <c r="FT93" s="67">
        <v>0</v>
      </c>
      <c r="FU93" s="187">
        <v>0</v>
      </c>
      <c r="FV93" s="67">
        <v>0</v>
      </c>
      <c r="FW93" s="66">
        <v>4.2195</v>
      </c>
      <c r="FX93" s="66">
        <v>0</v>
      </c>
      <c r="FY93" s="66">
        <v>4.9488000000000003</v>
      </c>
      <c r="FZ93" s="66">
        <v>4.2195</v>
      </c>
      <c r="GA93" s="66">
        <v>0.72929999999999995</v>
      </c>
      <c r="GB93" s="66">
        <v>3.7924510200000001</v>
      </c>
      <c r="GC93" s="66">
        <v>0</v>
      </c>
      <c r="GD93" s="66">
        <v>4.44793971</v>
      </c>
      <c r="GE93" s="66">
        <v>3.7924510200000001</v>
      </c>
      <c r="GF93" s="66">
        <v>0</v>
      </c>
      <c r="GG93" s="66">
        <v>0.65548868999999998</v>
      </c>
      <c r="GH93" s="67">
        <v>89.879156772129392</v>
      </c>
      <c r="GI93" s="67">
        <v>89.879156725627325</v>
      </c>
      <c r="GJ93" s="67">
        <v>14.736905910084829</v>
      </c>
      <c r="GK93" s="187">
        <v>0</v>
      </c>
      <c r="GL93" s="67">
        <v>0</v>
      </c>
      <c r="GM93" s="66">
        <v>0</v>
      </c>
      <c r="GN93" s="66">
        <v>0</v>
      </c>
      <c r="GO93" s="66">
        <v>0</v>
      </c>
      <c r="GP93" s="66">
        <v>0</v>
      </c>
      <c r="GQ93" s="66">
        <v>0</v>
      </c>
      <c r="GR93" s="66">
        <v>0</v>
      </c>
      <c r="GS93" s="66">
        <v>0</v>
      </c>
      <c r="GT93" s="66">
        <v>0</v>
      </c>
      <c r="GU93" s="66">
        <v>0</v>
      </c>
      <c r="GV93" s="66">
        <v>0</v>
      </c>
      <c r="GW93" s="66">
        <v>0</v>
      </c>
      <c r="GX93" s="67" t="s">
        <v>1230</v>
      </c>
      <c r="GY93" s="67" t="s">
        <v>1230</v>
      </c>
      <c r="GZ93" s="67">
        <v>0</v>
      </c>
      <c r="HA93" s="187">
        <v>0</v>
      </c>
      <c r="HB93" s="67">
        <v>0</v>
      </c>
      <c r="HC93" s="66">
        <v>0.64580000000000004</v>
      </c>
      <c r="HD93" s="66">
        <v>0</v>
      </c>
      <c r="HE93" s="66">
        <v>0.75093100000000002</v>
      </c>
      <c r="HF93" s="66">
        <v>0.64580000000000004</v>
      </c>
      <c r="HG93" s="66">
        <v>0.105131</v>
      </c>
      <c r="HH93" s="66">
        <v>0.64580000000000004</v>
      </c>
      <c r="HI93" s="66">
        <v>0</v>
      </c>
      <c r="HJ93" s="66">
        <v>0.75093100000000002</v>
      </c>
      <c r="HK93" s="66">
        <v>0.64580000000000004</v>
      </c>
      <c r="HL93" s="66">
        <v>0</v>
      </c>
      <c r="HM93" s="66">
        <v>0.105131</v>
      </c>
      <c r="HN93" s="67">
        <v>100</v>
      </c>
      <c r="HO93" s="67">
        <v>100</v>
      </c>
      <c r="HP93" s="67">
        <v>14.000087890898099</v>
      </c>
      <c r="HQ93" s="187">
        <v>0</v>
      </c>
      <c r="HR93" s="67">
        <v>0</v>
      </c>
      <c r="HS93" s="66">
        <v>0</v>
      </c>
      <c r="HT93" s="66">
        <v>0</v>
      </c>
      <c r="HU93" s="66">
        <v>0</v>
      </c>
      <c r="HV93" s="66">
        <v>0</v>
      </c>
      <c r="HW93" s="66">
        <v>0</v>
      </c>
      <c r="HX93" s="66">
        <v>0</v>
      </c>
      <c r="HY93" s="66">
        <v>0</v>
      </c>
      <c r="HZ93" s="66">
        <v>0</v>
      </c>
      <c r="IA93" s="66">
        <v>0</v>
      </c>
      <c r="IB93" s="66">
        <v>0</v>
      </c>
      <c r="IC93" s="66">
        <v>0</v>
      </c>
      <c r="ID93" s="67" t="s">
        <v>1230</v>
      </c>
      <c r="IE93" s="67" t="s">
        <v>1230</v>
      </c>
      <c r="IF93" s="67">
        <v>0</v>
      </c>
      <c r="IG93" s="187">
        <v>0</v>
      </c>
      <c r="IH93" s="67">
        <v>0</v>
      </c>
      <c r="II93" s="66">
        <v>0</v>
      </c>
      <c r="IJ93" s="66">
        <v>0</v>
      </c>
      <c r="IK93" s="66">
        <v>0</v>
      </c>
      <c r="IL93" s="66">
        <v>0</v>
      </c>
      <c r="IM93" s="66">
        <v>0</v>
      </c>
      <c r="IN93" s="66">
        <v>0</v>
      </c>
      <c r="IO93" s="66">
        <v>0</v>
      </c>
      <c r="IP93" s="66">
        <v>0</v>
      </c>
      <c r="IQ93" s="66">
        <v>0</v>
      </c>
      <c r="IR93" s="66">
        <v>0</v>
      </c>
      <c r="IS93" s="66">
        <v>0</v>
      </c>
      <c r="IT93" s="67" t="s">
        <v>1230</v>
      </c>
      <c r="IU93" s="67" t="s">
        <v>1230</v>
      </c>
      <c r="IV93" s="67">
        <v>0</v>
      </c>
      <c r="IW93" s="187">
        <v>0</v>
      </c>
      <c r="IX93" s="67">
        <v>0</v>
      </c>
    </row>
    <row r="94" spans="1:258" ht="15.6" x14ac:dyDescent="0.3">
      <c r="A94" s="169">
        <v>82</v>
      </c>
      <c r="B94" s="205" t="s">
        <v>228</v>
      </c>
      <c r="C94" s="66">
        <v>112.9781</v>
      </c>
      <c r="D94" s="66">
        <v>0</v>
      </c>
      <c r="E94" s="66">
        <v>136.11819277000001</v>
      </c>
      <c r="F94" s="66">
        <v>112.9781</v>
      </c>
      <c r="G94" s="66">
        <v>23.140092769999999</v>
      </c>
      <c r="H94" s="66">
        <v>112.9781</v>
      </c>
      <c r="I94" s="66">
        <v>8.9597509999999991E-2</v>
      </c>
      <c r="J94" s="66">
        <v>136.11819277000001</v>
      </c>
      <c r="K94" s="66">
        <v>112.9781</v>
      </c>
      <c r="L94" s="66">
        <v>0</v>
      </c>
      <c r="M94" s="66">
        <v>23.140092769999999</v>
      </c>
      <c r="N94" s="67">
        <v>100</v>
      </c>
      <c r="O94" s="67">
        <v>100</v>
      </c>
      <c r="P94" s="67">
        <v>16.999999999338808</v>
      </c>
      <c r="Q94" s="66">
        <v>8.9597509999999991E-2</v>
      </c>
      <c r="R94" s="67">
        <v>4.3853809472693683E-15</v>
      </c>
      <c r="S94" s="66">
        <v>53.094499999999996</v>
      </c>
      <c r="T94" s="66">
        <v>0</v>
      </c>
      <c r="U94" s="66">
        <v>63.96927711</v>
      </c>
      <c r="V94" s="66">
        <v>53.094499999999996</v>
      </c>
      <c r="W94" s="66">
        <v>10.87477711</v>
      </c>
      <c r="X94" s="66">
        <v>53.094499999999996</v>
      </c>
      <c r="Y94" s="66">
        <v>0</v>
      </c>
      <c r="Z94" s="66">
        <v>63.96927711</v>
      </c>
      <c r="AA94" s="66">
        <v>53.094499999999996</v>
      </c>
      <c r="AB94" s="66">
        <v>0</v>
      </c>
      <c r="AC94" s="66">
        <v>10.87477711</v>
      </c>
      <c r="AD94" s="67">
        <v>100</v>
      </c>
      <c r="AE94" s="67">
        <v>100</v>
      </c>
      <c r="AF94" s="67">
        <v>17.000000002032227</v>
      </c>
      <c r="AG94" s="187">
        <v>0</v>
      </c>
      <c r="AH94" s="67">
        <v>0</v>
      </c>
      <c r="AI94" s="66">
        <v>0</v>
      </c>
      <c r="AJ94" s="66">
        <v>0</v>
      </c>
      <c r="AK94" s="66">
        <v>0</v>
      </c>
      <c r="AL94" s="66">
        <v>0</v>
      </c>
      <c r="AM94" s="66">
        <v>0</v>
      </c>
      <c r="AN94" s="66">
        <v>0</v>
      </c>
      <c r="AO94" s="66">
        <v>8.9597509999999991E-2</v>
      </c>
      <c r="AP94" s="66">
        <v>0</v>
      </c>
      <c r="AQ94" s="66">
        <v>0</v>
      </c>
      <c r="AR94" s="66">
        <v>0</v>
      </c>
      <c r="AS94" s="66">
        <v>0</v>
      </c>
      <c r="AT94" s="67" t="s">
        <v>1230</v>
      </c>
      <c r="AU94" s="67" t="s">
        <v>1230</v>
      </c>
      <c r="AV94" s="67">
        <v>0</v>
      </c>
      <c r="AW94" s="187">
        <v>8.9597509999999991E-2</v>
      </c>
      <c r="AX94" s="67">
        <v>0</v>
      </c>
      <c r="AY94" s="66">
        <v>36.497999999999998</v>
      </c>
      <c r="AZ94" s="66">
        <v>0</v>
      </c>
      <c r="BA94" s="66">
        <v>43.97349397</v>
      </c>
      <c r="BB94" s="66">
        <v>36.497999999999998</v>
      </c>
      <c r="BC94" s="66">
        <v>7.4754939699999996</v>
      </c>
      <c r="BD94" s="66">
        <v>36.497999999999998</v>
      </c>
      <c r="BE94" s="66">
        <v>0</v>
      </c>
      <c r="BF94" s="66">
        <v>43.97349397</v>
      </c>
      <c r="BG94" s="66">
        <v>36.497999999999998</v>
      </c>
      <c r="BH94" s="66">
        <v>0</v>
      </c>
      <c r="BI94" s="66">
        <v>7.4754939699999996</v>
      </c>
      <c r="BJ94" s="67">
        <v>100</v>
      </c>
      <c r="BK94" s="67">
        <v>100</v>
      </c>
      <c r="BL94" s="67">
        <v>16.999999988856924</v>
      </c>
      <c r="BM94" s="187">
        <v>0</v>
      </c>
      <c r="BN94" s="67">
        <v>0</v>
      </c>
      <c r="BO94" s="66">
        <v>0</v>
      </c>
      <c r="BP94" s="66">
        <v>0</v>
      </c>
      <c r="BQ94" s="66">
        <v>0</v>
      </c>
      <c r="BR94" s="66">
        <v>0</v>
      </c>
      <c r="BS94" s="66">
        <v>0</v>
      </c>
      <c r="BT94" s="66">
        <v>0</v>
      </c>
      <c r="BU94" s="66">
        <v>0</v>
      </c>
      <c r="BV94" s="66">
        <v>0</v>
      </c>
      <c r="BW94" s="66">
        <v>0</v>
      </c>
      <c r="BX94" s="66">
        <v>0</v>
      </c>
      <c r="BY94" s="66">
        <v>0</v>
      </c>
      <c r="BZ94" s="67" t="s">
        <v>1230</v>
      </c>
      <c r="CA94" s="67" t="s">
        <v>1230</v>
      </c>
      <c r="CB94" s="67">
        <v>0</v>
      </c>
      <c r="CC94" s="187">
        <v>0</v>
      </c>
      <c r="CD94" s="67">
        <v>0</v>
      </c>
      <c r="CE94" s="66">
        <v>0</v>
      </c>
      <c r="CF94" s="66">
        <v>0</v>
      </c>
      <c r="CG94" s="66">
        <v>0</v>
      </c>
      <c r="CH94" s="66">
        <v>0</v>
      </c>
      <c r="CI94" s="66">
        <v>0</v>
      </c>
      <c r="CJ94" s="66">
        <v>0</v>
      </c>
      <c r="CK94" s="66">
        <v>0</v>
      </c>
      <c r="CL94" s="66">
        <v>0</v>
      </c>
      <c r="CM94" s="66">
        <v>0</v>
      </c>
      <c r="CN94" s="66">
        <v>0</v>
      </c>
      <c r="CO94" s="66">
        <v>0</v>
      </c>
      <c r="CP94" s="67" t="s">
        <v>1230</v>
      </c>
      <c r="CQ94" s="67" t="s">
        <v>1230</v>
      </c>
      <c r="CR94" s="67">
        <v>0</v>
      </c>
      <c r="CS94" s="187">
        <v>0</v>
      </c>
      <c r="CT94" s="67">
        <v>0</v>
      </c>
      <c r="CU94" s="66">
        <v>0</v>
      </c>
      <c r="CV94" s="66">
        <v>0</v>
      </c>
      <c r="CW94" s="66">
        <v>0</v>
      </c>
      <c r="CX94" s="66">
        <v>0</v>
      </c>
      <c r="CY94" s="66">
        <v>0</v>
      </c>
      <c r="CZ94" s="66">
        <v>0</v>
      </c>
      <c r="DA94" s="66">
        <v>0</v>
      </c>
      <c r="DB94" s="66">
        <v>0</v>
      </c>
      <c r="DC94" s="66">
        <v>0</v>
      </c>
      <c r="DD94" s="66">
        <v>0</v>
      </c>
      <c r="DE94" s="66">
        <v>0</v>
      </c>
      <c r="DF94" s="67" t="s">
        <v>1230</v>
      </c>
      <c r="DG94" s="67" t="s">
        <v>1230</v>
      </c>
      <c r="DH94" s="67">
        <v>0</v>
      </c>
      <c r="DI94" s="187">
        <v>0</v>
      </c>
      <c r="DJ94" s="67">
        <v>0</v>
      </c>
      <c r="DK94" s="66">
        <v>0</v>
      </c>
      <c r="DL94" s="66">
        <v>0</v>
      </c>
      <c r="DM94" s="66">
        <v>0</v>
      </c>
      <c r="DN94" s="66">
        <v>0</v>
      </c>
      <c r="DO94" s="66">
        <v>0</v>
      </c>
      <c r="DP94" s="66">
        <v>0</v>
      </c>
      <c r="DQ94" s="66">
        <v>0</v>
      </c>
      <c r="DR94" s="66">
        <v>0</v>
      </c>
      <c r="DS94" s="66">
        <v>0</v>
      </c>
      <c r="DT94" s="66">
        <v>0</v>
      </c>
      <c r="DU94" s="66">
        <v>0</v>
      </c>
      <c r="DV94" s="67" t="s">
        <v>1230</v>
      </c>
      <c r="DW94" s="67" t="s">
        <v>1230</v>
      </c>
      <c r="DX94" s="67">
        <v>0</v>
      </c>
      <c r="DY94" s="187">
        <v>0</v>
      </c>
      <c r="DZ94" s="67">
        <v>0</v>
      </c>
      <c r="EA94" s="66">
        <v>0</v>
      </c>
      <c r="EB94" s="66">
        <v>0</v>
      </c>
      <c r="EC94" s="66">
        <v>0</v>
      </c>
      <c r="ED94" s="66">
        <v>0</v>
      </c>
      <c r="EE94" s="66">
        <v>0</v>
      </c>
      <c r="EF94" s="66">
        <v>0</v>
      </c>
      <c r="EG94" s="66">
        <v>0</v>
      </c>
      <c r="EH94" s="66">
        <v>0</v>
      </c>
      <c r="EI94" s="66">
        <v>0</v>
      </c>
      <c r="EJ94" s="66">
        <v>0</v>
      </c>
      <c r="EK94" s="66">
        <v>0</v>
      </c>
      <c r="EL94" s="67" t="s">
        <v>1230</v>
      </c>
      <c r="EM94" s="67" t="s">
        <v>1230</v>
      </c>
      <c r="EN94" s="67">
        <v>0</v>
      </c>
      <c r="EO94" s="187">
        <v>0</v>
      </c>
      <c r="EP94" s="67">
        <v>0</v>
      </c>
      <c r="EQ94" s="66">
        <v>0</v>
      </c>
      <c r="ER94" s="66">
        <v>0</v>
      </c>
      <c r="ES94" s="66">
        <v>0</v>
      </c>
      <c r="ET94" s="66">
        <v>0</v>
      </c>
      <c r="EU94" s="66">
        <v>0</v>
      </c>
      <c r="EV94" s="66">
        <v>0</v>
      </c>
      <c r="EW94" s="66">
        <v>0</v>
      </c>
      <c r="EX94" s="66">
        <v>0</v>
      </c>
      <c r="EY94" s="66">
        <v>0</v>
      </c>
      <c r="EZ94" s="66">
        <v>0</v>
      </c>
      <c r="FA94" s="66">
        <v>0</v>
      </c>
      <c r="FB94" s="67" t="s">
        <v>1230</v>
      </c>
      <c r="FC94" s="67" t="s">
        <v>1230</v>
      </c>
      <c r="FD94" s="67">
        <v>0</v>
      </c>
      <c r="FE94" s="187">
        <v>0</v>
      </c>
      <c r="FF94" s="67">
        <v>0</v>
      </c>
      <c r="FG94" s="66">
        <v>0</v>
      </c>
      <c r="FH94" s="66">
        <v>0</v>
      </c>
      <c r="FI94" s="66">
        <v>0</v>
      </c>
      <c r="FJ94" s="66">
        <v>0</v>
      </c>
      <c r="FK94" s="66">
        <v>0</v>
      </c>
      <c r="FL94" s="66">
        <v>0</v>
      </c>
      <c r="FM94" s="66">
        <v>0</v>
      </c>
      <c r="FN94" s="66">
        <v>0</v>
      </c>
      <c r="FO94" s="66">
        <v>0</v>
      </c>
      <c r="FP94" s="66">
        <v>0</v>
      </c>
      <c r="FQ94" s="66">
        <v>0</v>
      </c>
      <c r="FR94" s="67" t="s">
        <v>1230</v>
      </c>
      <c r="FS94" s="67" t="s">
        <v>1230</v>
      </c>
      <c r="FT94" s="67">
        <v>0</v>
      </c>
      <c r="FU94" s="187">
        <v>0</v>
      </c>
      <c r="FV94" s="67">
        <v>0</v>
      </c>
      <c r="FW94" s="66">
        <v>21.689</v>
      </c>
      <c r="FX94" s="66">
        <v>0</v>
      </c>
      <c r="FY94" s="66">
        <v>26.1313253</v>
      </c>
      <c r="FZ94" s="66">
        <v>21.689</v>
      </c>
      <c r="GA94" s="66">
        <v>4.4423253000000003</v>
      </c>
      <c r="GB94" s="66">
        <v>21.689</v>
      </c>
      <c r="GC94" s="66">
        <v>0</v>
      </c>
      <c r="GD94" s="66">
        <v>26.1313253</v>
      </c>
      <c r="GE94" s="66">
        <v>21.689</v>
      </c>
      <c r="GF94" s="66">
        <v>0</v>
      </c>
      <c r="GG94" s="66">
        <v>4.4423253000000003</v>
      </c>
      <c r="GH94" s="67">
        <v>100</v>
      </c>
      <c r="GI94" s="67">
        <v>100</v>
      </c>
      <c r="GJ94" s="67">
        <v>16.999999996173177</v>
      </c>
      <c r="GK94" s="187">
        <v>0</v>
      </c>
      <c r="GL94" s="67">
        <v>0</v>
      </c>
      <c r="GM94" s="66">
        <v>0</v>
      </c>
      <c r="GN94" s="66">
        <v>0</v>
      </c>
      <c r="GO94" s="66">
        <v>0</v>
      </c>
      <c r="GP94" s="66">
        <v>0</v>
      </c>
      <c r="GQ94" s="66">
        <v>0</v>
      </c>
      <c r="GR94" s="66">
        <v>0</v>
      </c>
      <c r="GS94" s="66">
        <v>0</v>
      </c>
      <c r="GT94" s="66">
        <v>0</v>
      </c>
      <c r="GU94" s="66">
        <v>0</v>
      </c>
      <c r="GV94" s="66">
        <v>0</v>
      </c>
      <c r="GW94" s="66">
        <v>0</v>
      </c>
      <c r="GX94" s="67" t="s">
        <v>1230</v>
      </c>
      <c r="GY94" s="67" t="s">
        <v>1230</v>
      </c>
      <c r="GZ94" s="67">
        <v>0</v>
      </c>
      <c r="HA94" s="187">
        <v>0</v>
      </c>
      <c r="HB94" s="67">
        <v>0</v>
      </c>
      <c r="HC94" s="66">
        <v>1.6966000000000001</v>
      </c>
      <c r="HD94" s="66">
        <v>0</v>
      </c>
      <c r="HE94" s="66">
        <v>2.04409639</v>
      </c>
      <c r="HF94" s="66">
        <v>1.6966000000000001</v>
      </c>
      <c r="HG94" s="66">
        <v>0.34749638999999999</v>
      </c>
      <c r="HH94" s="66">
        <v>1.6966000000000001</v>
      </c>
      <c r="HI94" s="66">
        <v>0</v>
      </c>
      <c r="HJ94" s="66">
        <v>2.04409639</v>
      </c>
      <c r="HK94" s="66">
        <v>1.6966000000000001</v>
      </c>
      <c r="HL94" s="66">
        <v>0</v>
      </c>
      <c r="HM94" s="66">
        <v>0.34749638999999999</v>
      </c>
      <c r="HN94" s="67">
        <v>100</v>
      </c>
      <c r="HO94" s="67">
        <v>100</v>
      </c>
      <c r="HP94" s="67">
        <v>17.000000181009074</v>
      </c>
      <c r="HQ94" s="187">
        <v>0</v>
      </c>
      <c r="HR94" s="67">
        <v>0</v>
      </c>
      <c r="HS94" s="66">
        <v>0</v>
      </c>
      <c r="HT94" s="66">
        <v>0</v>
      </c>
      <c r="HU94" s="66">
        <v>0</v>
      </c>
      <c r="HV94" s="66">
        <v>0</v>
      </c>
      <c r="HW94" s="66">
        <v>0</v>
      </c>
      <c r="HX94" s="66">
        <v>0</v>
      </c>
      <c r="HY94" s="66">
        <v>0</v>
      </c>
      <c r="HZ94" s="66">
        <v>0</v>
      </c>
      <c r="IA94" s="66">
        <v>0</v>
      </c>
      <c r="IB94" s="66">
        <v>0</v>
      </c>
      <c r="IC94" s="66">
        <v>0</v>
      </c>
      <c r="ID94" s="67" t="s">
        <v>1230</v>
      </c>
      <c r="IE94" s="67" t="s">
        <v>1230</v>
      </c>
      <c r="IF94" s="67">
        <v>0</v>
      </c>
      <c r="IG94" s="187">
        <v>0</v>
      </c>
      <c r="IH94" s="67">
        <v>0</v>
      </c>
      <c r="II94" s="66">
        <v>0</v>
      </c>
      <c r="IJ94" s="66">
        <v>0</v>
      </c>
      <c r="IK94" s="66">
        <v>0</v>
      </c>
      <c r="IL94" s="66">
        <v>0</v>
      </c>
      <c r="IM94" s="66">
        <v>0</v>
      </c>
      <c r="IN94" s="66">
        <v>0</v>
      </c>
      <c r="IO94" s="66">
        <v>0</v>
      </c>
      <c r="IP94" s="66">
        <v>0</v>
      </c>
      <c r="IQ94" s="66">
        <v>0</v>
      </c>
      <c r="IR94" s="66">
        <v>0</v>
      </c>
      <c r="IS94" s="66">
        <v>0</v>
      </c>
      <c r="IT94" s="67" t="s">
        <v>1230</v>
      </c>
      <c r="IU94" s="67" t="s">
        <v>1230</v>
      </c>
      <c r="IV94" s="67">
        <v>0</v>
      </c>
      <c r="IW94" s="187">
        <v>0</v>
      </c>
      <c r="IX94" s="67">
        <v>0</v>
      </c>
    </row>
    <row r="95" spans="1:258" ht="15.6" x14ac:dyDescent="0.3">
      <c r="A95" s="202">
        <v>83</v>
      </c>
      <c r="B95" s="203" t="s">
        <v>231</v>
      </c>
      <c r="C95" s="61">
        <v>969.30539999999974</v>
      </c>
      <c r="D95" s="61">
        <v>0</v>
      </c>
      <c r="E95" s="61">
        <v>1086.5474112500001</v>
      </c>
      <c r="F95" s="61">
        <v>965.77609999999981</v>
      </c>
      <c r="G95" s="61">
        <v>120.77131125</v>
      </c>
      <c r="H95" s="61">
        <v>964.84633199999985</v>
      </c>
      <c r="I95" s="61">
        <v>2.6389517499999999</v>
      </c>
      <c r="J95" s="61">
        <v>1084.9865632600001</v>
      </c>
      <c r="K95" s="61">
        <v>964.81034381999996</v>
      </c>
      <c r="L95" s="61">
        <v>0</v>
      </c>
      <c r="M95" s="61">
        <v>120.17621944</v>
      </c>
      <c r="N95" s="61">
        <v>99.536260070355553</v>
      </c>
      <c r="O95" s="61">
        <v>99.507257308179646</v>
      </c>
      <c r="P95" s="61">
        <v>11.076286426894821</v>
      </c>
      <c r="Q95" s="61">
        <v>2.6389517499999999</v>
      </c>
      <c r="R95" s="61">
        <v>3.5988180000000418E-2</v>
      </c>
      <c r="S95" s="61">
        <v>738.52859999999998</v>
      </c>
      <c r="T95" s="61">
        <v>0</v>
      </c>
      <c r="U95" s="61">
        <v>816.31046764999996</v>
      </c>
      <c r="V95" s="61">
        <v>738.52859999999998</v>
      </c>
      <c r="W95" s="61">
        <v>77.781867649999995</v>
      </c>
      <c r="X95" s="61">
        <v>738.47859531999995</v>
      </c>
      <c r="Y95" s="61">
        <v>1.3413882099999999</v>
      </c>
      <c r="Z95" s="61">
        <v>816.19837595999991</v>
      </c>
      <c r="AA95" s="61">
        <v>738.44260713999995</v>
      </c>
      <c r="AB95" s="61">
        <v>0</v>
      </c>
      <c r="AC95" s="61">
        <v>77.755768819999986</v>
      </c>
      <c r="AD95" s="61">
        <v>99.988356190945069</v>
      </c>
      <c r="AE95" s="61">
        <v>99.966446125827872</v>
      </c>
      <c r="AF95" s="61">
        <v>9.5265772525637349</v>
      </c>
      <c r="AG95" s="61">
        <v>1.3413882099999999</v>
      </c>
      <c r="AH95" s="61">
        <v>3.5988179999998066E-2</v>
      </c>
      <c r="AI95" s="61">
        <v>0</v>
      </c>
      <c r="AJ95" s="61">
        <v>0</v>
      </c>
      <c r="AK95" s="61">
        <v>0</v>
      </c>
      <c r="AL95" s="61">
        <v>0</v>
      </c>
      <c r="AM95" s="61">
        <v>0</v>
      </c>
      <c r="AN95" s="61">
        <v>0</v>
      </c>
      <c r="AO95" s="61">
        <v>1.2975635400000001</v>
      </c>
      <c r="AP95" s="61">
        <v>0</v>
      </c>
      <c r="AQ95" s="61">
        <v>0</v>
      </c>
      <c r="AR95" s="61">
        <v>0</v>
      </c>
      <c r="AS95" s="61">
        <v>0</v>
      </c>
      <c r="AT95" s="61" t="s">
        <v>1230</v>
      </c>
      <c r="AU95" s="61" t="s">
        <v>1230</v>
      </c>
      <c r="AV95" s="61">
        <v>0</v>
      </c>
      <c r="AW95" s="61">
        <v>1.2975635400000001</v>
      </c>
      <c r="AX95" s="61">
        <v>0</v>
      </c>
      <c r="AY95" s="61">
        <v>69.362200000000001</v>
      </c>
      <c r="AZ95" s="61">
        <v>0</v>
      </c>
      <c r="BA95" s="61">
        <v>80.244397530000001</v>
      </c>
      <c r="BB95" s="61">
        <v>69.362200000000001</v>
      </c>
      <c r="BC95" s="61">
        <v>10.882197529999999</v>
      </c>
      <c r="BD95" s="61">
        <v>69.362200000000001</v>
      </c>
      <c r="BE95" s="61">
        <v>0</v>
      </c>
      <c r="BF95" s="61">
        <v>80.244397530000001</v>
      </c>
      <c r="BG95" s="61">
        <v>69.362200000000001</v>
      </c>
      <c r="BH95" s="61">
        <v>0</v>
      </c>
      <c r="BI95" s="61">
        <v>10.882197529999999</v>
      </c>
      <c r="BJ95" s="61">
        <v>100</v>
      </c>
      <c r="BK95" s="61">
        <v>100</v>
      </c>
      <c r="BL95" s="61">
        <v>13.561317506224164</v>
      </c>
      <c r="BM95" s="61">
        <v>0</v>
      </c>
      <c r="BN95" s="61">
        <v>0</v>
      </c>
      <c r="BO95" s="61">
        <v>0</v>
      </c>
      <c r="BP95" s="61">
        <v>0</v>
      </c>
      <c r="BQ95" s="61">
        <v>0</v>
      </c>
      <c r="BR95" s="61">
        <v>0</v>
      </c>
      <c r="BS95" s="61">
        <v>0</v>
      </c>
      <c r="BT95" s="61">
        <v>0</v>
      </c>
      <c r="BU95" s="61">
        <v>0</v>
      </c>
      <c r="BV95" s="61">
        <v>0</v>
      </c>
      <c r="BW95" s="61">
        <v>0</v>
      </c>
      <c r="BX95" s="61">
        <v>0</v>
      </c>
      <c r="BY95" s="61">
        <v>0</v>
      </c>
      <c r="BZ95" s="61" t="s">
        <v>1230</v>
      </c>
      <c r="CA95" s="61" t="s">
        <v>1230</v>
      </c>
      <c r="CB95" s="61">
        <v>0</v>
      </c>
      <c r="CC95" s="61">
        <v>0</v>
      </c>
      <c r="CD95" s="61">
        <v>0</v>
      </c>
      <c r="CE95" s="61">
        <v>0</v>
      </c>
      <c r="CF95" s="61">
        <v>0</v>
      </c>
      <c r="CG95" s="61">
        <v>0</v>
      </c>
      <c r="CH95" s="61">
        <v>0</v>
      </c>
      <c r="CI95" s="61">
        <v>0</v>
      </c>
      <c r="CJ95" s="61">
        <v>0</v>
      </c>
      <c r="CK95" s="61">
        <v>0</v>
      </c>
      <c r="CL95" s="61">
        <v>0</v>
      </c>
      <c r="CM95" s="61">
        <v>0</v>
      </c>
      <c r="CN95" s="61">
        <v>0</v>
      </c>
      <c r="CO95" s="61">
        <v>0</v>
      </c>
      <c r="CP95" s="61" t="s">
        <v>1230</v>
      </c>
      <c r="CQ95" s="61" t="s">
        <v>1230</v>
      </c>
      <c r="CR95" s="61">
        <v>0</v>
      </c>
      <c r="CS95" s="61">
        <v>0</v>
      </c>
      <c r="CT95" s="61">
        <v>0</v>
      </c>
      <c r="CU95" s="61">
        <v>0</v>
      </c>
      <c r="CV95" s="61">
        <v>0</v>
      </c>
      <c r="CW95" s="61">
        <v>0</v>
      </c>
      <c r="CX95" s="61">
        <v>0</v>
      </c>
      <c r="CY95" s="61">
        <v>0</v>
      </c>
      <c r="CZ95" s="61">
        <v>0</v>
      </c>
      <c r="DA95" s="61">
        <v>0</v>
      </c>
      <c r="DB95" s="61">
        <v>0</v>
      </c>
      <c r="DC95" s="61">
        <v>0</v>
      </c>
      <c r="DD95" s="61">
        <v>0</v>
      </c>
      <c r="DE95" s="61">
        <v>0</v>
      </c>
      <c r="DF95" s="61" t="s">
        <v>1230</v>
      </c>
      <c r="DG95" s="61" t="s">
        <v>1230</v>
      </c>
      <c r="DH95" s="61">
        <v>0</v>
      </c>
      <c r="DI95" s="61">
        <v>0</v>
      </c>
      <c r="DJ95" s="61">
        <v>0</v>
      </c>
      <c r="DK95" s="61">
        <v>13.982500000000002</v>
      </c>
      <c r="DL95" s="61">
        <v>0</v>
      </c>
      <c r="DM95" s="61">
        <v>17.2669</v>
      </c>
      <c r="DN95" s="61">
        <v>10.453200000000001</v>
      </c>
      <c r="DO95" s="61">
        <v>6.8136999999999999</v>
      </c>
      <c r="DP95" s="61">
        <v>10.453200000000001</v>
      </c>
      <c r="DQ95" s="61">
        <v>0</v>
      </c>
      <c r="DR95" s="61">
        <v>17.2669</v>
      </c>
      <c r="DS95" s="61">
        <v>10.453200000000001</v>
      </c>
      <c r="DT95" s="61">
        <v>0</v>
      </c>
      <c r="DU95" s="61">
        <v>6.8136999999999999</v>
      </c>
      <c r="DV95" s="61">
        <v>74.759163239763978</v>
      </c>
      <c r="DW95" s="61">
        <v>100</v>
      </c>
      <c r="DX95" s="61">
        <v>39.461049754153905</v>
      </c>
      <c r="DY95" s="61">
        <v>0</v>
      </c>
      <c r="DZ95" s="61">
        <v>0</v>
      </c>
      <c r="EA95" s="61">
        <v>0</v>
      </c>
      <c r="EB95" s="61">
        <v>0</v>
      </c>
      <c r="EC95" s="61">
        <v>0</v>
      </c>
      <c r="ED95" s="61">
        <v>0</v>
      </c>
      <c r="EE95" s="61">
        <v>0</v>
      </c>
      <c r="EF95" s="61">
        <v>0</v>
      </c>
      <c r="EG95" s="61">
        <v>0</v>
      </c>
      <c r="EH95" s="61">
        <v>0</v>
      </c>
      <c r="EI95" s="61">
        <v>0</v>
      </c>
      <c r="EJ95" s="61">
        <v>0</v>
      </c>
      <c r="EK95" s="61">
        <v>0</v>
      </c>
      <c r="EL95" s="61" t="s">
        <v>1230</v>
      </c>
      <c r="EM95" s="61" t="s">
        <v>1230</v>
      </c>
      <c r="EN95" s="61">
        <v>0</v>
      </c>
      <c r="EO95" s="61">
        <v>0</v>
      </c>
      <c r="EP95" s="61">
        <v>0</v>
      </c>
      <c r="EQ95" s="61">
        <v>7.8316999999999997</v>
      </c>
      <c r="ER95" s="61">
        <v>0</v>
      </c>
      <c r="ES95" s="61">
        <v>11.082536000000001</v>
      </c>
      <c r="ET95" s="61">
        <v>7.8316999999999997</v>
      </c>
      <c r="EU95" s="61">
        <v>3.2508360000000001</v>
      </c>
      <c r="EV95" s="61">
        <v>7.8316999999999997</v>
      </c>
      <c r="EW95" s="61">
        <v>0</v>
      </c>
      <c r="EX95" s="61">
        <v>11.082536000000001</v>
      </c>
      <c r="EY95" s="61">
        <v>7.8316999999999997</v>
      </c>
      <c r="EZ95" s="61">
        <v>0</v>
      </c>
      <c r="FA95" s="61">
        <v>3.2508360000000001</v>
      </c>
      <c r="FB95" s="61">
        <v>100</v>
      </c>
      <c r="FC95" s="61">
        <v>100</v>
      </c>
      <c r="FD95" s="61">
        <v>29.332961336647134</v>
      </c>
      <c r="FE95" s="61">
        <v>0</v>
      </c>
      <c r="FF95" s="61">
        <v>0</v>
      </c>
      <c r="FG95" s="61">
        <v>0</v>
      </c>
      <c r="FH95" s="61">
        <v>0</v>
      </c>
      <c r="FI95" s="61">
        <v>0</v>
      </c>
      <c r="FJ95" s="61">
        <v>0</v>
      </c>
      <c r="FK95" s="61">
        <v>0</v>
      </c>
      <c r="FL95" s="61">
        <v>0</v>
      </c>
      <c r="FM95" s="61">
        <v>0</v>
      </c>
      <c r="FN95" s="61">
        <v>0</v>
      </c>
      <c r="FO95" s="61">
        <v>0</v>
      </c>
      <c r="FP95" s="61">
        <v>0</v>
      </c>
      <c r="FQ95" s="61">
        <v>0</v>
      </c>
      <c r="FR95" s="61" t="s">
        <v>1230</v>
      </c>
      <c r="FS95" s="61" t="s">
        <v>1230</v>
      </c>
      <c r="FT95" s="61">
        <v>0</v>
      </c>
      <c r="FU95" s="61">
        <v>0</v>
      </c>
      <c r="FV95" s="61">
        <v>0</v>
      </c>
      <c r="FW95" s="61">
        <v>133.44740000000002</v>
      </c>
      <c r="FX95" s="61">
        <v>0</v>
      </c>
      <c r="FY95" s="61">
        <v>147.3881087</v>
      </c>
      <c r="FZ95" s="61">
        <v>133.44740000000002</v>
      </c>
      <c r="GA95" s="61">
        <v>13.9407087</v>
      </c>
      <c r="GB95" s="61">
        <v>132.7131211</v>
      </c>
      <c r="GC95" s="61">
        <v>0</v>
      </c>
      <c r="GD95" s="61">
        <v>146.59129739999997</v>
      </c>
      <c r="GE95" s="61">
        <v>132.7131211</v>
      </c>
      <c r="GF95" s="61">
        <v>0</v>
      </c>
      <c r="GG95" s="61">
        <v>13.8781763</v>
      </c>
      <c r="GH95" s="61">
        <v>99.449761553990541</v>
      </c>
      <c r="GI95" s="61">
        <v>99.551440308052634</v>
      </c>
      <c r="GJ95" s="61">
        <v>9.467257979258461</v>
      </c>
      <c r="GK95" s="61">
        <v>0</v>
      </c>
      <c r="GL95" s="61">
        <v>0</v>
      </c>
      <c r="GM95" s="61">
        <v>0</v>
      </c>
      <c r="GN95" s="61">
        <v>0</v>
      </c>
      <c r="GO95" s="61">
        <v>0</v>
      </c>
      <c r="GP95" s="61">
        <v>0</v>
      </c>
      <c r="GQ95" s="61">
        <v>0</v>
      </c>
      <c r="GR95" s="61">
        <v>0</v>
      </c>
      <c r="GS95" s="61">
        <v>0</v>
      </c>
      <c r="GT95" s="61">
        <v>0</v>
      </c>
      <c r="GU95" s="61">
        <v>0</v>
      </c>
      <c r="GV95" s="61">
        <v>0</v>
      </c>
      <c r="GW95" s="61">
        <v>0</v>
      </c>
      <c r="GX95" s="61" t="s">
        <v>1230</v>
      </c>
      <c r="GY95" s="61" t="s">
        <v>1230</v>
      </c>
      <c r="GZ95" s="61">
        <v>0</v>
      </c>
      <c r="HA95" s="61">
        <v>0</v>
      </c>
      <c r="HB95" s="61">
        <v>0</v>
      </c>
      <c r="HC95" s="61">
        <v>6.1529999999999996</v>
      </c>
      <c r="HD95" s="61">
        <v>0</v>
      </c>
      <c r="HE95" s="61">
        <v>14.25500137</v>
      </c>
      <c r="HF95" s="61">
        <v>6.1529999999999996</v>
      </c>
      <c r="HG95" s="61">
        <v>8.10200137</v>
      </c>
      <c r="HH95" s="61">
        <v>6.0075155799999997</v>
      </c>
      <c r="HI95" s="61">
        <v>0</v>
      </c>
      <c r="HJ95" s="61">
        <v>13.603056370000001</v>
      </c>
      <c r="HK95" s="61">
        <v>6.0075155799999997</v>
      </c>
      <c r="HL95" s="61">
        <v>0</v>
      </c>
      <c r="HM95" s="61">
        <v>7.5955407900000003</v>
      </c>
      <c r="HN95" s="61">
        <v>97.63555306354624</v>
      </c>
      <c r="HO95" s="61">
        <v>93.748944774616845</v>
      </c>
      <c r="HP95" s="61">
        <v>55.837016207262835</v>
      </c>
      <c r="HQ95" s="61">
        <v>0</v>
      </c>
      <c r="HR95" s="61">
        <v>0</v>
      </c>
      <c r="HS95" s="61">
        <v>0</v>
      </c>
      <c r="HT95" s="61">
        <v>0</v>
      </c>
      <c r="HU95" s="61">
        <v>0</v>
      </c>
      <c r="HV95" s="61">
        <v>0</v>
      </c>
      <c r="HW95" s="61">
        <v>0</v>
      </c>
      <c r="HX95" s="61">
        <v>0</v>
      </c>
      <c r="HY95" s="61">
        <v>0</v>
      </c>
      <c r="HZ95" s="61">
        <v>0</v>
      </c>
      <c r="IA95" s="61">
        <v>0</v>
      </c>
      <c r="IB95" s="61">
        <v>0</v>
      </c>
      <c r="IC95" s="61">
        <v>0</v>
      </c>
      <c r="ID95" s="61" t="s">
        <v>1230</v>
      </c>
      <c r="IE95" s="61" t="s">
        <v>1230</v>
      </c>
      <c r="IF95" s="61">
        <v>0</v>
      </c>
      <c r="IG95" s="61">
        <v>0</v>
      </c>
      <c r="IH95" s="61">
        <v>0</v>
      </c>
      <c r="II95" s="61">
        <v>0</v>
      </c>
      <c r="IJ95" s="61">
        <v>0</v>
      </c>
      <c r="IK95" s="61">
        <v>0</v>
      </c>
      <c r="IL95" s="61">
        <v>0</v>
      </c>
      <c r="IM95" s="61">
        <v>0</v>
      </c>
      <c r="IN95" s="61">
        <v>0</v>
      </c>
      <c r="IO95" s="61">
        <v>0</v>
      </c>
      <c r="IP95" s="61">
        <v>0</v>
      </c>
      <c r="IQ95" s="61">
        <v>0</v>
      </c>
      <c r="IR95" s="61">
        <v>0</v>
      </c>
      <c r="IS95" s="61">
        <v>0</v>
      </c>
      <c r="IT95" s="61" t="s">
        <v>1230</v>
      </c>
      <c r="IU95" s="61" t="s">
        <v>1230</v>
      </c>
      <c r="IV95" s="61">
        <v>0</v>
      </c>
      <c r="IW95" s="61">
        <v>0</v>
      </c>
      <c r="IX95" s="61">
        <v>0</v>
      </c>
    </row>
    <row r="96" spans="1:258" s="126" customFormat="1" ht="15.6" x14ac:dyDescent="0.3">
      <c r="A96" s="169">
        <v>84</v>
      </c>
      <c r="B96" s="205" t="s">
        <v>198</v>
      </c>
      <c r="C96" s="66">
        <v>23.734299999999998</v>
      </c>
      <c r="D96" s="66">
        <v>0</v>
      </c>
      <c r="E96" s="66">
        <v>25.249293620000003</v>
      </c>
      <c r="F96" s="66">
        <v>23.734299999999998</v>
      </c>
      <c r="G96" s="66">
        <v>1.51499362</v>
      </c>
      <c r="H96" s="66">
        <v>23.677313160000001</v>
      </c>
      <c r="I96" s="66">
        <v>3.0763749999999999E-2</v>
      </c>
      <c r="J96" s="66">
        <v>25.188669330000003</v>
      </c>
      <c r="K96" s="66">
        <v>23.677313160000001</v>
      </c>
      <c r="L96" s="66">
        <v>0</v>
      </c>
      <c r="M96" s="66">
        <v>1.5113561699999998</v>
      </c>
      <c r="N96" s="67">
        <v>99.759896689601135</v>
      </c>
      <c r="O96" s="67">
        <v>99.75990327932864</v>
      </c>
      <c r="P96" s="67">
        <v>6.0001429618989706</v>
      </c>
      <c r="Q96" s="66">
        <v>3.0763749999999999E-2</v>
      </c>
      <c r="R96" s="67">
        <v>-1.5751289161869408E-15</v>
      </c>
      <c r="S96" s="66">
        <v>9.6862999999999992</v>
      </c>
      <c r="T96" s="66">
        <v>0</v>
      </c>
      <c r="U96" s="66">
        <v>10.30457447</v>
      </c>
      <c r="V96" s="66">
        <v>9.6862999999999992</v>
      </c>
      <c r="W96" s="66">
        <v>0.61827447000000002</v>
      </c>
      <c r="X96" s="66">
        <v>9.6862999999999992</v>
      </c>
      <c r="Y96" s="66">
        <v>0</v>
      </c>
      <c r="Z96" s="66">
        <v>10.30457447</v>
      </c>
      <c r="AA96" s="66">
        <v>9.6862999999999992</v>
      </c>
      <c r="AB96" s="66">
        <v>0</v>
      </c>
      <c r="AC96" s="66">
        <v>0.61827447000000002</v>
      </c>
      <c r="AD96" s="67">
        <v>100</v>
      </c>
      <c r="AE96" s="67">
        <v>100</v>
      </c>
      <c r="AF96" s="67">
        <v>6.0000000174679702</v>
      </c>
      <c r="AG96" s="187">
        <v>0</v>
      </c>
      <c r="AH96" s="67">
        <v>0</v>
      </c>
      <c r="AI96" s="66">
        <v>0</v>
      </c>
      <c r="AJ96" s="66">
        <v>0</v>
      </c>
      <c r="AK96" s="66">
        <v>0</v>
      </c>
      <c r="AL96" s="66">
        <v>0</v>
      </c>
      <c r="AM96" s="66">
        <v>0</v>
      </c>
      <c r="AN96" s="66">
        <v>0</v>
      </c>
      <c r="AO96" s="66">
        <v>3.0763749999999999E-2</v>
      </c>
      <c r="AP96" s="66">
        <v>0</v>
      </c>
      <c r="AQ96" s="66">
        <v>0</v>
      </c>
      <c r="AR96" s="66">
        <v>0</v>
      </c>
      <c r="AS96" s="66">
        <v>0</v>
      </c>
      <c r="AT96" s="67" t="s">
        <v>1230</v>
      </c>
      <c r="AU96" s="67" t="s">
        <v>1230</v>
      </c>
      <c r="AV96" s="67">
        <v>0</v>
      </c>
      <c r="AW96" s="187">
        <v>3.0763749999999999E-2</v>
      </c>
      <c r="AX96" s="67">
        <v>0</v>
      </c>
      <c r="AY96" s="66">
        <v>0</v>
      </c>
      <c r="AZ96" s="66">
        <v>0</v>
      </c>
      <c r="BA96" s="66">
        <v>0</v>
      </c>
      <c r="BB96" s="66">
        <v>0</v>
      </c>
      <c r="BC96" s="66">
        <v>0</v>
      </c>
      <c r="BD96" s="66">
        <v>0</v>
      </c>
      <c r="BE96" s="66">
        <v>0</v>
      </c>
      <c r="BF96" s="66">
        <v>0</v>
      </c>
      <c r="BG96" s="66">
        <v>0</v>
      </c>
      <c r="BH96" s="66">
        <v>0</v>
      </c>
      <c r="BI96" s="66">
        <v>0</v>
      </c>
      <c r="BJ96" s="67" t="s">
        <v>1230</v>
      </c>
      <c r="BK96" s="67" t="s">
        <v>1230</v>
      </c>
      <c r="BL96" s="67">
        <v>0</v>
      </c>
      <c r="BM96" s="187">
        <v>0</v>
      </c>
      <c r="BN96" s="67">
        <v>0</v>
      </c>
      <c r="BO96" s="66">
        <v>0</v>
      </c>
      <c r="BP96" s="66">
        <v>0</v>
      </c>
      <c r="BQ96" s="66">
        <v>0</v>
      </c>
      <c r="BR96" s="66">
        <v>0</v>
      </c>
      <c r="BS96" s="66">
        <v>0</v>
      </c>
      <c r="BT96" s="66">
        <v>0</v>
      </c>
      <c r="BU96" s="66">
        <v>0</v>
      </c>
      <c r="BV96" s="66">
        <v>0</v>
      </c>
      <c r="BW96" s="66">
        <v>0</v>
      </c>
      <c r="BX96" s="66">
        <v>0</v>
      </c>
      <c r="BY96" s="66">
        <v>0</v>
      </c>
      <c r="BZ96" s="67" t="s">
        <v>1230</v>
      </c>
      <c r="CA96" s="67" t="s">
        <v>1230</v>
      </c>
      <c r="CB96" s="67">
        <v>0</v>
      </c>
      <c r="CC96" s="187">
        <v>0</v>
      </c>
      <c r="CD96" s="67">
        <v>0</v>
      </c>
      <c r="CE96" s="66">
        <v>0</v>
      </c>
      <c r="CF96" s="66">
        <v>0</v>
      </c>
      <c r="CG96" s="66">
        <v>0</v>
      </c>
      <c r="CH96" s="66">
        <v>0</v>
      </c>
      <c r="CI96" s="66">
        <v>0</v>
      </c>
      <c r="CJ96" s="66">
        <v>0</v>
      </c>
      <c r="CK96" s="66">
        <v>0</v>
      </c>
      <c r="CL96" s="66">
        <v>0</v>
      </c>
      <c r="CM96" s="66">
        <v>0</v>
      </c>
      <c r="CN96" s="66">
        <v>0</v>
      </c>
      <c r="CO96" s="66">
        <v>0</v>
      </c>
      <c r="CP96" s="67" t="s">
        <v>1230</v>
      </c>
      <c r="CQ96" s="67" t="s">
        <v>1230</v>
      </c>
      <c r="CR96" s="67">
        <v>0</v>
      </c>
      <c r="CS96" s="187">
        <v>0</v>
      </c>
      <c r="CT96" s="67">
        <v>0</v>
      </c>
      <c r="CU96" s="66">
        <v>0</v>
      </c>
      <c r="CV96" s="66">
        <v>0</v>
      </c>
      <c r="CW96" s="66">
        <v>0</v>
      </c>
      <c r="CX96" s="66">
        <v>0</v>
      </c>
      <c r="CY96" s="66">
        <v>0</v>
      </c>
      <c r="CZ96" s="66">
        <v>0</v>
      </c>
      <c r="DA96" s="66">
        <v>0</v>
      </c>
      <c r="DB96" s="66">
        <v>0</v>
      </c>
      <c r="DC96" s="66">
        <v>0</v>
      </c>
      <c r="DD96" s="66">
        <v>0</v>
      </c>
      <c r="DE96" s="66">
        <v>0</v>
      </c>
      <c r="DF96" s="67" t="s">
        <v>1230</v>
      </c>
      <c r="DG96" s="67" t="s">
        <v>1230</v>
      </c>
      <c r="DH96" s="67">
        <v>0</v>
      </c>
      <c r="DI96" s="187">
        <v>0</v>
      </c>
      <c r="DJ96" s="67">
        <v>0</v>
      </c>
      <c r="DK96" s="66">
        <v>3.6819000000000002</v>
      </c>
      <c r="DL96" s="66">
        <v>0</v>
      </c>
      <c r="DM96" s="66">
        <v>3.9169</v>
      </c>
      <c r="DN96" s="66">
        <v>3.6819000000000002</v>
      </c>
      <c r="DO96" s="66">
        <v>0.23499999999999999</v>
      </c>
      <c r="DP96" s="66">
        <v>3.6819000000000002</v>
      </c>
      <c r="DQ96" s="66">
        <v>0</v>
      </c>
      <c r="DR96" s="66">
        <v>3.9169</v>
      </c>
      <c r="DS96" s="66">
        <v>3.6819000000000002</v>
      </c>
      <c r="DT96" s="66">
        <v>0</v>
      </c>
      <c r="DU96" s="66">
        <v>0.23499999999999999</v>
      </c>
      <c r="DV96" s="67">
        <v>100</v>
      </c>
      <c r="DW96" s="67">
        <v>100</v>
      </c>
      <c r="DX96" s="67">
        <v>5.9996425744849233</v>
      </c>
      <c r="DY96" s="187">
        <v>0</v>
      </c>
      <c r="DZ96" s="67">
        <v>0</v>
      </c>
      <c r="EA96" s="66">
        <v>0</v>
      </c>
      <c r="EB96" s="66">
        <v>0</v>
      </c>
      <c r="EC96" s="66">
        <v>0</v>
      </c>
      <c r="ED96" s="66">
        <v>0</v>
      </c>
      <c r="EE96" s="66">
        <v>0</v>
      </c>
      <c r="EF96" s="66">
        <v>0</v>
      </c>
      <c r="EG96" s="66">
        <v>0</v>
      </c>
      <c r="EH96" s="66">
        <v>0</v>
      </c>
      <c r="EI96" s="66">
        <v>0</v>
      </c>
      <c r="EJ96" s="66">
        <v>0</v>
      </c>
      <c r="EK96" s="66">
        <v>0</v>
      </c>
      <c r="EL96" s="67" t="s">
        <v>1230</v>
      </c>
      <c r="EM96" s="67" t="s">
        <v>1230</v>
      </c>
      <c r="EN96" s="67">
        <v>0</v>
      </c>
      <c r="EO96" s="187">
        <v>0</v>
      </c>
      <c r="EP96" s="67">
        <v>0</v>
      </c>
      <c r="EQ96" s="66">
        <v>2.8129</v>
      </c>
      <c r="ER96" s="66">
        <v>0</v>
      </c>
      <c r="ES96" s="66">
        <v>2.9925000000000002</v>
      </c>
      <c r="ET96" s="66">
        <v>2.8129</v>
      </c>
      <c r="EU96" s="66">
        <v>0.17960000000000001</v>
      </c>
      <c r="EV96" s="66">
        <v>2.8129</v>
      </c>
      <c r="EW96" s="66">
        <v>0</v>
      </c>
      <c r="EX96" s="66">
        <v>2.9925000000000002</v>
      </c>
      <c r="EY96" s="66">
        <v>2.8129</v>
      </c>
      <c r="EZ96" s="66">
        <v>0</v>
      </c>
      <c r="FA96" s="66">
        <v>0.17960000000000001</v>
      </c>
      <c r="FB96" s="67">
        <v>100</v>
      </c>
      <c r="FC96" s="67">
        <v>100</v>
      </c>
      <c r="FD96" s="67">
        <v>6.0016708437761075</v>
      </c>
      <c r="FE96" s="187">
        <v>0</v>
      </c>
      <c r="FF96" s="67">
        <v>0</v>
      </c>
      <c r="FG96" s="66">
        <v>0</v>
      </c>
      <c r="FH96" s="66">
        <v>0</v>
      </c>
      <c r="FI96" s="66">
        <v>0</v>
      </c>
      <c r="FJ96" s="66">
        <v>0</v>
      </c>
      <c r="FK96" s="66">
        <v>0</v>
      </c>
      <c r="FL96" s="66">
        <v>0</v>
      </c>
      <c r="FM96" s="66">
        <v>0</v>
      </c>
      <c r="FN96" s="66">
        <v>0</v>
      </c>
      <c r="FO96" s="66">
        <v>0</v>
      </c>
      <c r="FP96" s="66">
        <v>0</v>
      </c>
      <c r="FQ96" s="66">
        <v>0</v>
      </c>
      <c r="FR96" s="67" t="s">
        <v>1230</v>
      </c>
      <c r="FS96" s="67" t="s">
        <v>1230</v>
      </c>
      <c r="FT96" s="67">
        <v>0</v>
      </c>
      <c r="FU96" s="187">
        <v>0</v>
      </c>
      <c r="FV96" s="67">
        <v>0</v>
      </c>
      <c r="FW96" s="66">
        <v>7.1345999999999998</v>
      </c>
      <c r="FX96" s="66">
        <v>0</v>
      </c>
      <c r="FY96" s="66">
        <v>7.59</v>
      </c>
      <c r="FZ96" s="66">
        <v>7.1345999999999998</v>
      </c>
      <c r="GA96" s="66">
        <v>0.45540000000000003</v>
      </c>
      <c r="GB96" s="66">
        <v>7.0776131600000003</v>
      </c>
      <c r="GC96" s="66">
        <v>0</v>
      </c>
      <c r="GD96" s="66">
        <v>7.5293757100000001</v>
      </c>
      <c r="GE96" s="66">
        <v>7.0776131600000003</v>
      </c>
      <c r="GF96" s="66">
        <v>0</v>
      </c>
      <c r="GG96" s="66">
        <v>0.45176254999999998</v>
      </c>
      <c r="GH96" s="67">
        <v>99.201260897597635</v>
      </c>
      <c r="GI96" s="67">
        <v>99.201262626262618</v>
      </c>
      <c r="GJ96" s="67">
        <v>6.0000000982817197</v>
      </c>
      <c r="GK96" s="187">
        <v>0</v>
      </c>
      <c r="GL96" s="67">
        <v>0</v>
      </c>
      <c r="GM96" s="66">
        <v>0</v>
      </c>
      <c r="GN96" s="66">
        <v>0</v>
      </c>
      <c r="GO96" s="66">
        <v>0</v>
      </c>
      <c r="GP96" s="66">
        <v>0</v>
      </c>
      <c r="GQ96" s="66">
        <v>0</v>
      </c>
      <c r="GR96" s="66">
        <v>0</v>
      </c>
      <c r="GS96" s="66">
        <v>0</v>
      </c>
      <c r="GT96" s="66">
        <v>0</v>
      </c>
      <c r="GU96" s="66">
        <v>0</v>
      </c>
      <c r="GV96" s="66">
        <v>0</v>
      </c>
      <c r="GW96" s="66">
        <v>0</v>
      </c>
      <c r="GX96" s="67" t="s">
        <v>1230</v>
      </c>
      <c r="GY96" s="67" t="s">
        <v>1230</v>
      </c>
      <c r="GZ96" s="67">
        <v>0</v>
      </c>
      <c r="HA96" s="187">
        <v>0</v>
      </c>
      <c r="HB96" s="67">
        <v>0</v>
      </c>
      <c r="HC96" s="66">
        <v>0.41860000000000003</v>
      </c>
      <c r="HD96" s="66">
        <v>0</v>
      </c>
      <c r="HE96" s="66">
        <v>0.44531915</v>
      </c>
      <c r="HF96" s="66">
        <v>0.41860000000000003</v>
      </c>
      <c r="HG96" s="66">
        <v>2.6719150000000001E-2</v>
      </c>
      <c r="HH96" s="66">
        <v>0.41860000000000003</v>
      </c>
      <c r="HI96" s="66">
        <v>0</v>
      </c>
      <c r="HJ96" s="66">
        <v>0.44531915</v>
      </c>
      <c r="HK96" s="66">
        <v>0.41860000000000003</v>
      </c>
      <c r="HL96" s="66">
        <v>0</v>
      </c>
      <c r="HM96" s="66">
        <v>2.6719150000000001E-2</v>
      </c>
      <c r="HN96" s="67">
        <v>100</v>
      </c>
      <c r="HO96" s="67">
        <v>100</v>
      </c>
      <c r="HP96" s="67">
        <v>6.0000002245580504</v>
      </c>
      <c r="HQ96" s="187">
        <v>0</v>
      </c>
      <c r="HR96" s="67">
        <v>0</v>
      </c>
      <c r="HS96" s="66">
        <v>0</v>
      </c>
      <c r="HT96" s="66">
        <v>0</v>
      </c>
      <c r="HU96" s="66">
        <v>0</v>
      </c>
      <c r="HV96" s="66">
        <v>0</v>
      </c>
      <c r="HW96" s="66">
        <v>0</v>
      </c>
      <c r="HX96" s="66">
        <v>0</v>
      </c>
      <c r="HY96" s="66">
        <v>0</v>
      </c>
      <c r="HZ96" s="66">
        <v>0</v>
      </c>
      <c r="IA96" s="66">
        <v>0</v>
      </c>
      <c r="IB96" s="66">
        <v>0</v>
      </c>
      <c r="IC96" s="66">
        <v>0</v>
      </c>
      <c r="ID96" s="67" t="s">
        <v>1230</v>
      </c>
      <c r="IE96" s="67" t="s">
        <v>1230</v>
      </c>
      <c r="IF96" s="67">
        <v>0</v>
      </c>
      <c r="IG96" s="187">
        <v>0</v>
      </c>
      <c r="IH96" s="67">
        <v>0</v>
      </c>
      <c r="II96" s="66">
        <v>0</v>
      </c>
      <c r="IJ96" s="66">
        <v>0</v>
      </c>
      <c r="IK96" s="66">
        <v>0</v>
      </c>
      <c r="IL96" s="66">
        <v>0</v>
      </c>
      <c r="IM96" s="66">
        <v>0</v>
      </c>
      <c r="IN96" s="66">
        <v>0</v>
      </c>
      <c r="IO96" s="66">
        <v>0</v>
      </c>
      <c r="IP96" s="66">
        <v>0</v>
      </c>
      <c r="IQ96" s="66">
        <v>0</v>
      </c>
      <c r="IR96" s="66">
        <v>0</v>
      </c>
      <c r="IS96" s="66">
        <v>0</v>
      </c>
      <c r="IT96" s="67" t="s">
        <v>1230</v>
      </c>
      <c r="IU96" s="67" t="s">
        <v>1230</v>
      </c>
      <c r="IV96" s="67">
        <v>0</v>
      </c>
      <c r="IW96" s="187">
        <v>0</v>
      </c>
      <c r="IX96" s="67">
        <v>0</v>
      </c>
    </row>
    <row r="97" spans="1:258" ht="15.6" x14ac:dyDescent="0.3">
      <c r="A97" s="169">
        <v>85</v>
      </c>
      <c r="B97" s="205" t="s">
        <v>234</v>
      </c>
      <c r="C97" s="66">
        <v>647.46609999999998</v>
      </c>
      <c r="D97" s="66">
        <v>0</v>
      </c>
      <c r="E97" s="66">
        <v>716.55498023000007</v>
      </c>
      <c r="F97" s="66">
        <v>647.46609999999998</v>
      </c>
      <c r="G97" s="66">
        <v>69.088880230000001</v>
      </c>
      <c r="H97" s="66">
        <v>646.64332351999997</v>
      </c>
      <c r="I97" s="66">
        <v>0</v>
      </c>
      <c r="J97" s="66">
        <v>715.16684822000002</v>
      </c>
      <c r="K97" s="66">
        <v>646.64332351999997</v>
      </c>
      <c r="L97" s="66">
        <v>0</v>
      </c>
      <c r="M97" s="66">
        <v>68.523524699999996</v>
      </c>
      <c r="N97" s="67">
        <v>99.872923620248216</v>
      </c>
      <c r="O97" s="67">
        <v>99.18169822970367</v>
      </c>
      <c r="P97" s="67">
        <v>9.5814738715238583</v>
      </c>
      <c r="Q97" s="66">
        <v>0</v>
      </c>
      <c r="R97" s="67">
        <v>0</v>
      </c>
      <c r="S97" s="66">
        <v>468.57409999999999</v>
      </c>
      <c r="T97" s="66">
        <v>0</v>
      </c>
      <c r="U97" s="66">
        <v>509.31967400000002</v>
      </c>
      <c r="V97" s="66">
        <v>468.57409999999999</v>
      </c>
      <c r="W97" s="66">
        <v>40.745573999999998</v>
      </c>
      <c r="X97" s="66">
        <v>468.57409999999999</v>
      </c>
      <c r="Y97" s="66">
        <v>0</v>
      </c>
      <c r="Z97" s="66">
        <v>509.31967400000002</v>
      </c>
      <c r="AA97" s="66">
        <v>468.57409999999999</v>
      </c>
      <c r="AB97" s="66">
        <v>0</v>
      </c>
      <c r="AC97" s="66">
        <v>40.745573999999998</v>
      </c>
      <c r="AD97" s="67">
        <v>100</v>
      </c>
      <c r="AE97" s="67">
        <v>100</v>
      </c>
      <c r="AF97" s="67">
        <v>8.0000000157072275</v>
      </c>
      <c r="AG97" s="187">
        <v>0</v>
      </c>
      <c r="AH97" s="67">
        <v>0</v>
      </c>
      <c r="AI97" s="66">
        <v>0</v>
      </c>
      <c r="AJ97" s="66">
        <v>0</v>
      </c>
      <c r="AK97" s="66">
        <v>0</v>
      </c>
      <c r="AL97" s="66">
        <v>0</v>
      </c>
      <c r="AM97" s="66">
        <v>0</v>
      </c>
      <c r="AN97" s="66">
        <v>0</v>
      </c>
      <c r="AO97" s="66">
        <v>0</v>
      </c>
      <c r="AP97" s="66">
        <v>0</v>
      </c>
      <c r="AQ97" s="66">
        <v>0</v>
      </c>
      <c r="AR97" s="66">
        <v>0</v>
      </c>
      <c r="AS97" s="66">
        <v>0</v>
      </c>
      <c r="AT97" s="67" t="s">
        <v>1230</v>
      </c>
      <c r="AU97" s="67" t="s">
        <v>1230</v>
      </c>
      <c r="AV97" s="67">
        <v>0</v>
      </c>
      <c r="AW97" s="187">
        <v>0</v>
      </c>
      <c r="AX97" s="67">
        <v>0</v>
      </c>
      <c r="AY97" s="66">
        <v>69.362200000000001</v>
      </c>
      <c r="AZ97" s="66">
        <v>0</v>
      </c>
      <c r="BA97" s="66">
        <v>80.244397530000001</v>
      </c>
      <c r="BB97" s="66">
        <v>69.362200000000001</v>
      </c>
      <c r="BC97" s="66">
        <v>10.882197529999999</v>
      </c>
      <c r="BD97" s="66">
        <v>69.362200000000001</v>
      </c>
      <c r="BE97" s="66">
        <v>0</v>
      </c>
      <c r="BF97" s="66">
        <v>80.244397530000001</v>
      </c>
      <c r="BG97" s="66">
        <v>69.362200000000001</v>
      </c>
      <c r="BH97" s="66">
        <v>0</v>
      </c>
      <c r="BI97" s="66">
        <v>10.882197529999999</v>
      </c>
      <c r="BJ97" s="67">
        <v>100</v>
      </c>
      <c r="BK97" s="67">
        <v>100</v>
      </c>
      <c r="BL97" s="67">
        <v>13.561317506224164</v>
      </c>
      <c r="BM97" s="187">
        <v>0</v>
      </c>
      <c r="BN97" s="67">
        <v>0</v>
      </c>
      <c r="BO97" s="66">
        <v>0</v>
      </c>
      <c r="BP97" s="66">
        <v>0</v>
      </c>
      <c r="BQ97" s="66">
        <v>0</v>
      </c>
      <c r="BR97" s="66">
        <v>0</v>
      </c>
      <c r="BS97" s="66">
        <v>0</v>
      </c>
      <c r="BT97" s="66">
        <v>0</v>
      </c>
      <c r="BU97" s="66">
        <v>0</v>
      </c>
      <c r="BV97" s="66">
        <v>0</v>
      </c>
      <c r="BW97" s="66">
        <v>0</v>
      </c>
      <c r="BX97" s="66">
        <v>0</v>
      </c>
      <c r="BY97" s="66">
        <v>0</v>
      </c>
      <c r="BZ97" s="67" t="s">
        <v>1230</v>
      </c>
      <c r="CA97" s="67" t="s">
        <v>1230</v>
      </c>
      <c r="CB97" s="67">
        <v>0</v>
      </c>
      <c r="CC97" s="187">
        <v>0</v>
      </c>
      <c r="CD97" s="67">
        <v>0</v>
      </c>
      <c r="CE97" s="66">
        <v>0</v>
      </c>
      <c r="CF97" s="66">
        <v>0</v>
      </c>
      <c r="CG97" s="66">
        <v>0</v>
      </c>
      <c r="CH97" s="66">
        <v>0</v>
      </c>
      <c r="CI97" s="66">
        <v>0</v>
      </c>
      <c r="CJ97" s="66">
        <v>0</v>
      </c>
      <c r="CK97" s="66">
        <v>0</v>
      </c>
      <c r="CL97" s="66">
        <v>0</v>
      </c>
      <c r="CM97" s="66">
        <v>0</v>
      </c>
      <c r="CN97" s="66">
        <v>0</v>
      </c>
      <c r="CO97" s="66">
        <v>0</v>
      </c>
      <c r="CP97" s="67" t="s">
        <v>1230</v>
      </c>
      <c r="CQ97" s="67" t="s">
        <v>1230</v>
      </c>
      <c r="CR97" s="67">
        <v>0</v>
      </c>
      <c r="CS97" s="187">
        <v>0</v>
      </c>
      <c r="CT97" s="67">
        <v>0</v>
      </c>
      <c r="CU97" s="66">
        <v>0</v>
      </c>
      <c r="CV97" s="66">
        <v>0</v>
      </c>
      <c r="CW97" s="66">
        <v>0</v>
      </c>
      <c r="CX97" s="66">
        <v>0</v>
      </c>
      <c r="CY97" s="66">
        <v>0</v>
      </c>
      <c r="CZ97" s="66">
        <v>0</v>
      </c>
      <c r="DA97" s="66">
        <v>0</v>
      </c>
      <c r="DB97" s="66">
        <v>0</v>
      </c>
      <c r="DC97" s="66">
        <v>0</v>
      </c>
      <c r="DD97" s="66">
        <v>0</v>
      </c>
      <c r="DE97" s="66">
        <v>0</v>
      </c>
      <c r="DF97" s="67" t="s">
        <v>1230</v>
      </c>
      <c r="DG97" s="67" t="s">
        <v>1230</v>
      </c>
      <c r="DH97" s="67">
        <v>0</v>
      </c>
      <c r="DI97" s="187">
        <v>0</v>
      </c>
      <c r="DJ97" s="67">
        <v>0</v>
      </c>
      <c r="DK97" s="66">
        <v>5.3712999999999997</v>
      </c>
      <c r="DL97" s="66">
        <v>0</v>
      </c>
      <c r="DM97" s="66">
        <v>6.95</v>
      </c>
      <c r="DN97" s="66">
        <v>5.3712999999999997</v>
      </c>
      <c r="DO97" s="66">
        <v>1.5787</v>
      </c>
      <c r="DP97" s="66">
        <v>5.3712999999999997</v>
      </c>
      <c r="DQ97" s="66">
        <v>0</v>
      </c>
      <c r="DR97" s="66">
        <v>6.95</v>
      </c>
      <c r="DS97" s="66">
        <v>5.3712999999999997</v>
      </c>
      <c r="DT97" s="66">
        <v>0</v>
      </c>
      <c r="DU97" s="66">
        <v>1.5787</v>
      </c>
      <c r="DV97" s="67">
        <v>100</v>
      </c>
      <c r="DW97" s="67">
        <v>100</v>
      </c>
      <c r="DX97" s="67">
        <v>22.715107913669065</v>
      </c>
      <c r="DY97" s="187">
        <v>0</v>
      </c>
      <c r="DZ97" s="67">
        <v>0</v>
      </c>
      <c r="EA97" s="66">
        <v>0</v>
      </c>
      <c r="EB97" s="66">
        <v>0</v>
      </c>
      <c r="EC97" s="66">
        <v>0</v>
      </c>
      <c r="ED97" s="66">
        <v>0</v>
      </c>
      <c r="EE97" s="66">
        <v>0</v>
      </c>
      <c r="EF97" s="66">
        <v>0</v>
      </c>
      <c r="EG97" s="66">
        <v>0</v>
      </c>
      <c r="EH97" s="66">
        <v>0</v>
      </c>
      <c r="EI97" s="66">
        <v>0</v>
      </c>
      <c r="EJ97" s="66">
        <v>0</v>
      </c>
      <c r="EK97" s="66">
        <v>0</v>
      </c>
      <c r="EL97" s="67" t="s">
        <v>1230</v>
      </c>
      <c r="EM97" s="67" t="s">
        <v>1230</v>
      </c>
      <c r="EN97" s="67">
        <v>0</v>
      </c>
      <c r="EO97" s="187">
        <v>0</v>
      </c>
      <c r="EP97" s="67">
        <v>0</v>
      </c>
      <c r="EQ97" s="66">
        <v>0</v>
      </c>
      <c r="ER97" s="66">
        <v>0</v>
      </c>
      <c r="ES97" s="66">
        <v>0</v>
      </c>
      <c r="ET97" s="66">
        <v>0</v>
      </c>
      <c r="EU97" s="66">
        <v>0</v>
      </c>
      <c r="EV97" s="66">
        <v>0</v>
      </c>
      <c r="EW97" s="66">
        <v>0</v>
      </c>
      <c r="EX97" s="66">
        <v>0</v>
      </c>
      <c r="EY97" s="66">
        <v>0</v>
      </c>
      <c r="EZ97" s="66">
        <v>0</v>
      </c>
      <c r="FA97" s="66">
        <v>0</v>
      </c>
      <c r="FB97" s="67" t="s">
        <v>1230</v>
      </c>
      <c r="FC97" s="67" t="s">
        <v>1230</v>
      </c>
      <c r="FD97" s="67">
        <v>0</v>
      </c>
      <c r="FE97" s="187">
        <v>0</v>
      </c>
      <c r="FF97" s="67">
        <v>0</v>
      </c>
      <c r="FG97" s="66">
        <v>0</v>
      </c>
      <c r="FH97" s="66">
        <v>0</v>
      </c>
      <c r="FI97" s="66">
        <v>0</v>
      </c>
      <c r="FJ97" s="66">
        <v>0</v>
      </c>
      <c r="FK97" s="66">
        <v>0</v>
      </c>
      <c r="FL97" s="66">
        <v>0</v>
      </c>
      <c r="FM97" s="66">
        <v>0</v>
      </c>
      <c r="FN97" s="66">
        <v>0</v>
      </c>
      <c r="FO97" s="66">
        <v>0</v>
      </c>
      <c r="FP97" s="66">
        <v>0</v>
      </c>
      <c r="FQ97" s="66">
        <v>0</v>
      </c>
      <c r="FR97" s="67" t="s">
        <v>1230</v>
      </c>
      <c r="FS97" s="67" t="s">
        <v>1230</v>
      </c>
      <c r="FT97" s="67">
        <v>0</v>
      </c>
      <c r="FU97" s="187">
        <v>0</v>
      </c>
      <c r="FV97" s="67">
        <v>0</v>
      </c>
      <c r="FW97" s="66">
        <v>102.1477</v>
      </c>
      <c r="FX97" s="66">
        <v>0</v>
      </c>
      <c r="FY97" s="66">
        <v>111.0301087</v>
      </c>
      <c r="FZ97" s="66">
        <v>102.1477</v>
      </c>
      <c r="GA97" s="66">
        <v>8.8824086999999992</v>
      </c>
      <c r="GB97" s="66">
        <v>101.47040794</v>
      </c>
      <c r="GC97" s="66">
        <v>0</v>
      </c>
      <c r="GD97" s="66">
        <v>110.29392168999999</v>
      </c>
      <c r="GE97" s="66">
        <v>101.47040794</v>
      </c>
      <c r="GF97" s="66">
        <v>0</v>
      </c>
      <c r="GG97" s="66">
        <v>8.82351375</v>
      </c>
      <c r="GH97" s="67">
        <v>99.336948301332285</v>
      </c>
      <c r="GI97" s="67">
        <v>99.336948433818421</v>
      </c>
      <c r="GJ97" s="67">
        <v>8.0000000134186919</v>
      </c>
      <c r="GK97" s="187">
        <v>0</v>
      </c>
      <c r="GL97" s="67">
        <v>0</v>
      </c>
      <c r="GM97" s="66">
        <v>0</v>
      </c>
      <c r="GN97" s="66">
        <v>0</v>
      </c>
      <c r="GO97" s="66">
        <v>0</v>
      </c>
      <c r="GP97" s="66">
        <v>0</v>
      </c>
      <c r="GQ97" s="66">
        <v>0</v>
      </c>
      <c r="GR97" s="66">
        <v>0</v>
      </c>
      <c r="GS97" s="66">
        <v>0</v>
      </c>
      <c r="GT97" s="66">
        <v>0</v>
      </c>
      <c r="GU97" s="66">
        <v>0</v>
      </c>
      <c r="GV97" s="66">
        <v>0</v>
      </c>
      <c r="GW97" s="66">
        <v>0</v>
      </c>
      <c r="GX97" s="67" t="s">
        <v>1230</v>
      </c>
      <c r="GY97" s="67" t="s">
        <v>1230</v>
      </c>
      <c r="GZ97" s="67">
        <v>0</v>
      </c>
      <c r="HA97" s="187">
        <v>0</v>
      </c>
      <c r="HB97" s="67">
        <v>0</v>
      </c>
      <c r="HC97" s="66">
        <v>2.0108000000000001</v>
      </c>
      <c r="HD97" s="66">
        <v>0</v>
      </c>
      <c r="HE97" s="66">
        <v>9.0107999999999997</v>
      </c>
      <c r="HF97" s="66">
        <v>2.0108000000000001</v>
      </c>
      <c r="HG97" s="66">
        <v>7</v>
      </c>
      <c r="HH97" s="66">
        <v>1.8653155800000001</v>
      </c>
      <c r="HI97" s="66">
        <v>0</v>
      </c>
      <c r="HJ97" s="66">
        <v>8.3588550000000001</v>
      </c>
      <c r="HK97" s="66">
        <v>1.8653155800000001</v>
      </c>
      <c r="HL97" s="66">
        <v>0</v>
      </c>
      <c r="HM97" s="66">
        <v>6.4935394200000003</v>
      </c>
      <c r="HN97" s="67">
        <v>92.764848816391492</v>
      </c>
      <c r="HO97" s="67">
        <v>92.764848857142852</v>
      </c>
      <c r="HP97" s="67">
        <v>77.684556317821034</v>
      </c>
      <c r="HQ97" s="187">
        <v>0</v>
      </c>
      <c r="HR97" s="67">
        <v>0</v>
      </c>
      <c r="HS97" s="66">
        <v>0</v>
      </c>
      <c r="HT97" s="66">
        <v>0</v>
      </c>
      <c r="HU97" s="66">
        <v>0</v>
      </c>
      <c r="HV97" s="66">
        <v>0</v>
      </c>
      <c r="HW97" s="66">
        <v>0</v>
      </c>
      <c r="HX97" s="66">
        <v>0</v>
      </c>
      <c r="HY97" s="66">
        <v>0</v>
      </c>
      <c r="HZ97" s="66">
        <v>0</v>
      </c>
      <c r="IA97" s="66">
        <v>0</v>
      </c>
      <c r="IB97" s="66">
        <v>0</v>
      </c>
      <c r="IC97" s="66">
        <v>0</v>
      </c>
      <c r="ID97" s="67" t="s">
        <v>1230</v>
      </c>
      <c r="IE97" s="67" t="s">
        <v>1230</v>
      </c>
      <c r="IF97" s="67">
        <v>0</v>
      </c>
      <c r="IG97" s="187">
        <v>0</v>
      </c>
      <c r="IH97" s="67">
        <v>0</v>
      </c>
      <c r="II97" s="66">
        <v>0</v>
      </c>
      <c r="IJ97" s="66">
        <v>0</v>
      </c>
      <c r="IK97" s="66">
        <v>0</v>
      </c>
      <c r="IL97" s="66">
        <v>0</v>
      </c>
      <c r="IM97" s="66">
        <v>0</v>
      </c>
      <c r="IN97" s="66">
        <v>0</v>
      </c>
      <c r="IO97" s="66">
        <v>0</v>
      </c>
      <c r="IP97" s="66">
        <v>0</v>
      </c>
      <c r="IQ97" s="66">
        <v>0</v>
      </c>
      <c r="IR97" s="66">
        <v>0</v>
      </c>
      <c r="IS97" s="66">
        <v>0</v>
      </c>
      <c r="IT97" s="67" t="s">
        <v>1230</v>
      </c>
      <c r="IU97" s="67" t="s">
        <v>1230</v>
      </c>
      <c r="IV97" s="67">
        <v>0</v>
      </c>
      <c r="IW97" s="187">
        <v>0</v>
      </c>
      <c r="IX97" s="67">
        <v>0</v>
      </c>
    </row>
    <row r="98" spans="1:258" s="126" customFormat="1" ht="15.6" x14ac:dyDescent="0.3">
      <c r="A98" s="169">
        <v>86</v>
      </c>
      <c r="B98" s="205" t="s">
        <v>210</v>
      </c>
      <c r="C98" s="66">
        <v>78.173000000000002</v>
      </c>
      <c r="D98" s="66">
        <v>0</v>
      </c>
      <c r="E98" s="66">
        <v>86.933317979999998</v>
      </c>
      <c r="F98" s="66">
        <v>76.77300000000001</v>
      </c>
      <c r="G98" s="66">
        <v>10.16031798</v>
      </c>
      <c r="H98" s="66">
        <v>76.77300000000001</v>
      </c>
      <c r="I98" s="66">
        <v>0.57490456999999995</v>
      </c>
      <c r="J98" s="66">
        <v>86.933317979999998</v>
      </c>
      <c r="K98" s="66">
        <v>76.77300000000001</v>
      </c>
      <c r="L98" s="66">
        <v>0</v>
      </c>
      <c r="M98" s="66">
        <v>10.16031798</v>
      </c>
      <c r="N98" s="67">
        <v>98.209100328758026</v>
      </c>
      <c r="O98" s="67">
        <v>100</v>
      </c>
      <c r="P98" s="67">
        <v>11.687484403088694</v>
      </c>
      <c r="Q98" s="66">
        <v>0.57490456999999995</v>
      </c>
      <c r="R98" s="67">
        <v>1.1102230246251565E-15</v>
      </c>
      <c r="S98" s="66">
        <v>71.292900000000003</v>
      </c>
      <c r="T98" s="66">
        <v>0</v>
      </c>
      <c r="U98" s="66">
        <v>75.843511980000002</v>
      </c>
      <c r="V98" s="66">
        <v>71.292900000000003</v>
      </c>
      <c r="W98" s="66">
        <v>4.5506119800000002</v>
      </c>
      <c r="X98" s="66">
        <v>71.292900000000003</v>
      </c>
      <c r="Y98" s="66">
        <v>0.12317431</v>
      </c>
      <c r="Z98" s="66">
        <v>75.843511980000002</v>
      </c>
      <c r="AA98" s="66">
        <v>71.292900000000003</v>
      </c>
      <c r="AB98" s="66">
        <v>0</v>
      </c>
      <c r="AC98" s="66">
        <v>4.5506119800000002</v>
      </c>
      <c r="AD98" s="67">
        <v>100</v>
      </c>
      <c r="AE98" s="67">
        <v>100</v>
      </c>
      <c r="AF98" s="67">
        <v>6.0000016628976782</v>
      </c>
      <c r="AG98" s="187">
        <v>0.12317431</v>
      </c>
      <c r="AH98" s="67">
        <v>-3.9829251008427491E-15</v>
      </c>
      <c r="AI98" s="66">
        <v>0</v>
      </c>
      <c r="AJ98" s="66">
        <v>0</v>
      </c>
      <c r="AK98" s="66">
        <v>0</v>
      </c>
      <c r="AL98" s="66">
        <v>0</v>
      </c>
      <c r="AM98" s="66">
        <v>0</v>
      </c>
      <c r="AN98" s="66">
        <v>0</v>
      </c>
      <c r="AO98" s="66">
        <v>0.45173025999999999</v>
      </c>
      <c r="AP98" s="66">
        <v>0</v>
      </c>
      <c r="AQ98" s="66">
        <v>0</v>
      </c>
      <c r="AR98" s="66">
        <v>0</v>
      </c>
      <c r="AS98" s="66">
        <v>0</v>
      </c>
      <c r="AT98" s="67" t="s">
        <v>1230</v>
      </c>
      <c r="AU98" s="67" t="s">
        <v>1230</v>
      </c>
      <c r="AV98" s="67">
        <v>0</v>
      </c>
      <c r="AW98" s="187">
        <v>0.45173025999999999</v>
      </c>
      <c r="AX98" s="67">
        <v>0</v>
      </c>
      <c r="AY98" s="66">
        <v>0</v>
      </c>
      <c r="AZ98" s="66">
        <v>0</v>
      </c>
      <c r="BA98" s="66">
        <v>0</v>
      </c>
      <c r="BB98" s="66">
        <v>0</v>
      </c>
      <c r="BC98" s="66">
        <v>0</v>
      </c>
      <c r="BD98" s="66">
        <v>0</v>
      </c>
      <c r="BE98" s="66">
        <v>0</v>
      </c>
      <c r="BF98" s="66">
        <v>0</v>
      </c>
      <c r="BG98" s="66">
        <v>0</v>
      </c>
      <c r="BH98" s="66">
        <v>0</v>
      </c>
      <c r="BI98" s="66">
        <v>0</v>
      </c>
      <c r="BJ98" s="67" t="s">
        <v>1230</v>
      </c>
      <c r="BK98" s="67" t="s">
        <v>1230</v>
      </c>
      <c r="BL98" s="67">
        <v>0</v>
      </c>
      <c r="BM98" s="187">
        <v>0</v>
      </c>
      <c r="BN98" s="67">
        <v>0</v>
      </c>
      <c r="BO98" s="66">
        <v>0</v>
      </c>
      <c r="BP98" s="66">
        <v>0</v>
      </c>
      <c r="BQ98" s="66">
        <v>0</v>
      </c>
      <c r="BR98" s="66">
        <v>0</v>
      </c>
      <c r="BS98" s="66">
        <v>0</v>
      </c>
      <c r="BT98" s="66">
        <v>0</v>
      </c>
      <c r="BU98" s="66">
        <v>0</v>
      </c>
      <c r="BV98" s="66">
        <v>0</v>
      </c>
      <c r="BW98" s="66">
        <v>0</v>
      </c>
      <c r="BX98" s="66">
        <v>0</v>
      </c>
      <c r="BY98" s="66">
        <v>0</v>
      </c>
      <c r="BZ98" s="67" t="s">
        <v>1230</v>
      </c>
      <c r="CA98" s="67" t="s">
        <v>1230</v>
      </c>
      <c r="CB98" s="67">
        <v>0</v>
      </c>
      <c r="CC98" s="187">
        <v>0</v>
      </c>
      <c r="CD98" s="67">
        <v>0</v>
      </c>
      <c r="CE98" s="66">
        <v>0</v>
      </c>
      <c r="CF98" s="66">
        <v>0</v>
      </c>
      <c r="CG98" s="66">
        <v>0</v>
      </c>
      <c r="CH98" s="66">
        <v>0</v>
      </c>
      <c r="CI98" s="66">
        <v>0</v>
      </c>
      <c r="CJ98" s="66">
        <v>0</v>
      </c>
      <c r="CK98" s="66">
        <v>0</v>
      </c>
      <c r="CL98" s="66">
        <v>0</v>
      </c>
      <c r="CM98" s="66">
        <v>0</v>
      </c>
      <c r="CN98" s="66">
        <v>0</v>
      </c>
      <c r="CO98" s="66">
        <v>0</v>
      </c>
      <c r="CP98" s="67" t="s">
        <v>1230</v>
      </c>
      <c r="CQ98" s="67" t="s">
        <v>1230</v>
      </c>
      <c r="CR98" s="67">
        <v>0</v>
      </c>
      <c r="CS98" s="187">
        <v>0</v>
      </c>
      <c r="CT98" s="67">
        <v>0</v>
      </c>
      <c r="CU98" s="66">
        <v>0</v>
      </c>
      <c r="CV98" s="66">
        <v>0</v>
      </c>
      <c r="CW98" s="66">
        <v>0</v>
      </c>
      <c r="CX98" s="66">
        <v>0</v>
      </c>
      <c r="CY98" s="66">
        <v>0</v>
      </c>
      <c r="CZ98" s="66">
        <v>0</v>
      </c>
      <c r="DA98" s="66">
        <v>0</v>
      </c>
      <c r="DB98" s="66">
        <v>0</v>
      </c>
      <c r="DC98" s="66">
        <v>0</v>
      </c>
      <c r="DD98" s="66">
        <v>0</v>
      </c>
      <c r="DE98" s="66">
        <v>0</v>
      </c>
      <c r="DF98" s="67" t="s">
        <v>1230</v>
      </c>
      <c r="DG98" s="67" t="s">
        <v>1230</v>
      </c>
      <c r="DH98" s="67">
        <v>0</v>
      </c>
      <c r="DI98" s="187">
        <v>0</v>
      </c>
      <c r="DJ98" s="67">
        <v>0</v>
      </c>
      <c r="DK98" s="66">
        <v>2.8</v>
      </c>
      <c r="DL98" s="66">
        <v>0</v>
      </c>
      <c r="DM98" s="66">
        <v>6.4</v>
      </c>
      <c r="DN98" s="66">
        <v>1.4</v>
      </c>
      <c r="DO98" s="66">
        <v>5</v>
      </c>
      <c r="DP98" s="66">
        <v>1.4</v>
      </c>
      <c r="DQ98" s="66">
        <v>0</v>
      </c>
      <c r="DR98" s="66">
        <v>6.4</v>
      </c>
      <c r="DS98" s="66">
        <v>1.4</v>
      </c>
      <c r="DT98" s="66">
        <v>0</v>
      </c>
      <c r="DU98" s="66">
        <v>5</v>
      </c>
      <c r="DV98" s="67">
        <v>50</v>
      </c>
      <c r="DW98" s="67">
        <v>100</v>
      </c>
      <c r="DX98" s="67">
        <v>78.125</v>
      </c>
      <c r="DY98" s="187">
        <v>0</v>
      </c>
      <c r="DZ98" s="67">
        <v>0</v>
      </c>
      <c r="EA98" s="66">
        <v>0</v>
      </c>
      <c r="EB98" s="66">
        <v>0</v>
      </c>
      <c r="EC98" s="66">
        <v>0</v>
      </c>
      <c r="ED98" s="66">
        <v>0</v>
      </c>
      <c r="EE98" s="66">
        <v>0</v>
      </c>
      <c r="EF98" s="66">
        <v>0</v>
      </c>
      <c r="EG98" s="66">
        <v>0</v>
      </c>
      <c r="EH98" s="66">
        <v>0</v>
      </c>
      <c r="EI98" s="66">
        <v>0</v>
      </c>
      <c r="EJ98" s="66">
        <v>0</v>
      </c>
      <c r="EK98" s="66">
        <v>0</v>
      </c>
      <c r="EL98" s="67" t="s">
        <v>1230</v>
      </c>
      <c r="EM98" s="67" t="s">
        <v>1230</v>
      </c>
      <c r="EN98" s="67">
        <v>0</v>
      </c>
      <c r="EO98" s="187">
        <v>0</v>
      </c>
      <c r="EP98" s="67">
        <v>0</v>
      </c>
      <c r="EQ98" s="66">
        <v>2.7715999999999998</v>
      </c>
      <c r="ER98" s="66">
        <v>0</v>
      </c>
      <c r="ES98" s="66">
        <v>3.2605</v>
      </c>
      <c r="ET98" s="66">
        <v>2.7715999999999998</v>
      </c>
      <c r="EU98" s="66">
        <v>0.4889</v>
      </c>
      <c r="EV98" s="66">
        <v>2.7715999999999998</v>
      </c>
      <c r="EW98" s="66">
        <v>0</v>
      </c>
      <c r="EX98" s="66">
        <v>3.2605</v>
      </c>
      <c r="EY98" s="66">
        <v>2.7715999999999998</v>
      </c>
      <c r="EZ98" s="66">
        <v>0</v>
      </c>
      <c r="FA98" s="66">
        <v>0.4889</v>
      </c>
      <c r="FB98" s="67">
        <v>100</v>
      </c>
      <c r="FC98" s="67">
        <v>100</v>
      </c>
      <c r="FD98" s="67">
        <v>14.994632725042173</v>
      </c>
      <c r="FE98" s="187">
        <v>0</v>
      </c>
      <c r="FF98" s="67">
        <v>0</v>
      </c>
      <c r="FG98" s="66">
        <v>0</v>
      </c>
      <c r="FH98" s="66">
        <v>0</v>
      </c>
      <c r="FI98" s="66">
        <v>0</v>
      </c>
      <c r="FJ98" s="66">
        <v>0</v>
      </c>
      <c r="FK98" s="66">
        <v>0</v>
      </c>
      <c r="FL98" s="66">
        <v>0</v>
      </c>
      <c r="FM98" s="66">
        <v>0</v>
      </c>
      <c r="FN98" s="66">
        <v>0</v>
      </c>
      <c r="FO98" s="66">
        <v>0</v>
      </c>
      <c r="FP98" s="66">
        <v>0</v>
      </c>
      <c r="FQ98" s="66">
        <v>0</v>
      </c>
      <c r="FR98" s="67" t="s">
        <v>1230</v>
      </c>
      <c r="FS98" s="67" t="s">
        <v>1230</v>
      </c>
      <c r="FT98" s="67">
        <v>0</v>
      </c>
      <c r="FU98" s="187">
        <v>0</v>
      </c>
      <c r="FV98" s="67">
        <v>0</v>
      </c>
      <c r="FW98" s="66">
        <v>0</v>
      </c>
      <c r="FX98" s="66">
        <v>0</v>
      </c>
      <c r="FY98" s="66">
        <v>0</v>
      </c>
      <c r="FZ98" s="66">
        <v>0</v>
      </c>
      <c r="GA98" s="66">
        <v>0</v>
      </c>
      <c r="GB98" s="66">
        <v>0</v>
      </c>
      <c r="GC98" s="66">
        <v>0</v>
      </c>
      <c r="GD98" s="66">
        <v>0</v>
      </c>
      <c r="GE98" s="66">
        <v>0</v>
      </c>
      <c r="GF98" s="66">
        <v>0</v>
      </c>
      <c r="GG98" s="66">
        <v>0</v>
      </c>
      <c r="GH98" s="67" t="s">
        <v>1230</v>
      </c>
      <c r="GI98" s="67" t="s">
        <v>1230</v>
      </c>
      <c r="GJ98" s="67">
        <v>0</v>
      </c>
      <c r="GK98" s="187">
        <v>0</v>
      </c>
      <c r="GL98" s="67">
        <v>0</v>
      </c>
      <c r="GM98" s="66">
        <v>0</v>
      </c>
      <c r="GN98" s="66">
        <v>0</v>
      </c>
      <c r="GO98" s="66">
        <v>0</v>
      </c>
      <c r="GP98" s="66">
        <v>0</v>
      </c>
      <c r="GQ98" s="66">
        <v>0</v>
      </c>
      <c r="GR98" s="66">
        <v>0</v>
      </c>
      <c r="GS98" s="66">
        <v>0</v>
      </c>
      <c r="GT98" s="66">
        <v>0</v>
      </c>
      <c r="GU98" s="66">
        <v>0</v>
      </c>
      <c r="GV98" s="66">
        <v>0</v>
      </c>
      <c r="GW98" s="66">
        <v>0</v>
      </c>
      <c r="GX98" s="67" t="s">
        <v>1230</v>
      </c>
      <c r="GY98" s="67" t="s">
        <v>1230</v>
      </c>
      <c r="GZ98" s="67">
        <v>0</v>
      </c>
      <c r="HA98" s="187">
        <v>0</v>
      </c>
      <c r="HB98" s="67">
        <v>0</v>
      </c>
      <c r="HC98" s="66">
        <v>1.3085</v>
      </c>
      <c r="HD98" s="66">
        <v>0</v>
      </c>
      <c r="HE98" s="66">
        <v>1.429306</v>
      </c>
      <c r="HF98" s="66">
        <v>1.3085</v>
      </c>
      <c r="HG98" s="66">
        <v>0.120806</v>
      </c>
      <c r="HH98" s="66">
        <v>1.3085</v>
      </c>
      <c r="HI98" s="66">
        <v>0</v>
      </c>
      <c r="HJ98" s="66">
        <v>1.429306</v>
      </c>
      <c r="HK98" s="66">
        <v>1.3085</v>
      </c>
      <c r="HL98" s="66">
        <v>0</v>
      </c>
      <c r="HM98" s="66">
        <v>0.120806</v>
      </c>
      <c r="HN98" s="67">
        <v>100</v>
      </c>
      <c r="HO98" s="67">
        <v>100</v>
      </c>
      <c r="HP98" s="67">
        <v>8.4520739435782115</v>
      </c>
      <c r="HQ98" s="187">
        <v>0</v>
      </c>
      <c r="HR98" s="67">
        <v>0</v>
      </c>
      <c r="HS98" s="66">
        <v>0</v>
      </c>
      <c r="HT98" s="66">
        <v>0</v>
      </c>
      <c r="HU98" s="66">
        <v>0</v>
      </c>
      <c r="HV98" s="66">
        <v>0</v>
      </c>
      <c r="HW98" s="66">
        <v>0</v>
      </c>
      <c r="HX98" s="66">
        <v>0</v>
      </c>
      <c r="HY98" s="66">
        <v>0</v>
      </c>
      <c r="HZ98" s="66">
        <v>0</v>
      </c>
      <c r="IA98" s="66">
        <v>0</v>
      </c>
      <c r="IB98" s="66">
        <v>0</v>
      </c>
      <c r="IC98" s="66">
        <v>0</v>
      </c>
      <c r="ID98" s="67" t="s">
        <v>1230</v>
      </c>
      <c r="IE98" s="67" t="s">
        <v>1230</v>
      </c>
      <c r="IF98" s="67">
        <v>0</v>
      </c>
      <c r="IG98" s="187">
        <v>0</v>
      </c>
      <c r="IH98" s="67">
        <v>0</v>
      </c>
      <c r="II98" s="66">
        <v>0</v>
      </c>
      <c r="IJ98" s="66">
        <v>0</v>
      </c>
      <c r="IK98" s="66">
        <v>0</v>
      </c>
      <c r="IL98" s="66">
        <v>0</v>
      </c>
      <c r="IM98" s="66">
        <v>0</v>
      </c>
      <c r="IN98" s="66">
        <v>0</v>
      </c>
      <c r="IO98" s="66">
        <v>0</v>
      </c>
      <c r="IP98" s="66">
        <v>0</v>
      </c>
      <c r="IQ98" s="66">
        <v>0</v>
      </c>
      <c r="IR98" s="66">
        <v>0</v>
      </c>
      <c r="IS98" s="66">
        <v>0</v>
      </c>
      <c r="IT98" s="67" t="s">
        <v>1230</v>
      </c>
      <c r="IU98" s="67" t="s">
        <v>1230</v>
      </c>
      <c r="IV98" s="67">
        <v>0</v>
      </c>
      <c r="IW98" s="187">
        <v>0</v>
      </c>
      <c r="IX98" s="67">
        <v>0</v>
      </c>
    </row>
    <row r="99" spans="1:258" ht="15.6" x14ac:dyDescent="0.3">
      <c r="A99" s="169">
        <v>87</v>
      </c>
      <c r="B99" s="205" t="s">
        <v>237</v>
      </c>
      <c r="C99" s="66">
        <v>45.498399999999997</v>
      </c>
      <c r="D99" s="66">
        <v>0</v>
      </c>
      <c r="E99" s="66">
        <v>47.893053000000002</v>
      </c>
      <c r="F99" s="66">
        <v>45.498399999999997</v>
      </c>
      <c r="G99" s="66">
        <v>2.3946529999999999</v>
      </c>
      <c r="H99" s="66">
        <v>45.498399999999997</v>
      </c>
      <c r="I99" s="66">
        <v>0</v>
      </c>
      <c r="J99" s="66">
        <v>47.893053000000002</v>
      </c>
      <c r="K99" s="66">
        <v>45.498399999999997</v>
      </c>
      <c r="L99" s="66">
        <v>0</v>
      </c>
      <c r="M99" s="66">
        <v>2.3946529999999999</v>
      </c>
      <c r="N99" s="67">
        <v>100</v>
      </c>
      <c r="O99" s="67">
        <v>100</v>
      </c>
      <c r="P99" s="67">
        <v>5.0000007307949224</v>
      </c>
      <c r="Q99" s="66">
        <v>0</v>
      </c>
      <c r="R99" s="67">
        <v>0</v>
      </c>
      <c r="S99" s="66">
        <v>45.498399999999997</v>
      </c>
      <c r="T99" s="66">
        <v>0</v>
      </c>
      <c r="U99" s="66">
        <v>47.893053000000002</v>
      </c>
      <c r="V99" s="66">
        <v>45.498399999999997</v>
      </c>
      <c r="W99" s="66">
        <v>2.3946529999999999</v>
      </c>
      <c r="X99" s="66">
        <v>45.498399999999997</v>
      </c>
      <c r="Y99" s="66">
        <v>0</v>
      </c>
      <c r="Z99" s="66">
        <v>47.893053000000002</v>
      </c>
      <c r="AA99" s="66">
        <v>45.498399999999997</v>
      </c>
      <c r="AB99" s="66">
        <v>0</v>
      </c>
      <c r="AC99" s="66">
        <v>2.3946529999999999</v>
      </c>
      <c r="AD99" s="67">
        <v>100</v>
      </c>
      <c r="AE99" s="67">
        <v>100</v>
      </c>
      <c r="AF99" s="67">
        <v>5.0000007307949224</v>
      </c>
      <c r="AG99" s="187">
        <v>0</v>
      </c>
      <c r="AH99" s="67">
        <v>0</v>
      </c>
      <c r="AI99" s="66">
        <v>0</v>
      </c>
      <c r="AJ99" s="66">
        <v>0</v>
      </c>
      <c r="AK99" s="66">
        <v>0</v>
      </c>
      <c r="AL99" s="66">
        <v>0</v>
      </c>
      <c r="AM99" s="66">
        <v>0</v>
      </c>
      <c r="AN99" s="66">
        <v>0</v>
      </c>
      <c r="AO99" s="66">
        <v>0</v>
      </c>
      <c r="AP99" s="66">
        <v>0</v>
      </c>
      <c r="AQ99" s="66">
        <v>0</v>
      </c>
      <c r="AR99" s="66">
        <v>0</v>
      </c>
      <c r="AS99" s="66">
        <v>0</v>
      </c>
      <c r="AT99" s="67" t="s">
        <v>1230</v>
      </c>
      <c r="AU99" s="67" t="s">
        <v>1230</v>
      </c>
      <c r="AV99" s="67">
        <v>0</v>
      </c>
      <c r="AW99" s="187">
        <v>0</v>
      </c>
      <c r="AX99" s="67">
        <v>0</v>
      </c>
      <c r="AY99" s="66">
        <v>0</v>
      </c>
      <c r="AZ99" s="66">
        <v>0</v>
      </c>
      <c r="BA99" s="66">
        <v>0</v>
      </c>
      <c r="BB99" s="66">
        <v>0</v>
      </c>
      <c r="BC99" s="66">
        <v>0</v>
      </c>
      <c r="BD99" s="66">
        <v>0</v>
      </c>
      <c r="BE99" s="66">
        <v>0</v>
      </c>
      <c r="BF99" s="66">
        <v>0</v>
      </c>
      <c r="BG99" s="66">
        <v>0</v>
      </c>
      <c r="BH99" s="66">
        <v>0</v>
      </c>
      <c r="BI99" s="66">
        <v>0</v>
      </c>
      <c r="BJ99" s="67" t="s">
        <v>1230</v>
      </c>
      <c r="BK99" s="67" t="s">
        <v>1230</v>
      </c>
      <c r="BL99" s="67">
        <v>0</v>
      </c>
      <c r="BM99" s="187">
        <v>0</v>
      </c>
      <c r="BN99" s="67">
        <v>0</v>
      </c>
      <c r="BO99" s="66">
        <v>0</v>
      </c>
      <c r="BP99" s="66">
        <v>0</v>
      </c>
      <c r="BQ99" s="66">
        <v>0</v>
      </c>
      <c r="BR99" s="66">
        <v>0</v>
      </c>
      <c r="BS99" s="66">
        <v>0</v>
      </c>
      <c r="BT99" s="66">
        <v>0</v>
      </c>
      <c r="BU99" s="66">
        <v>0</v>
      </c>
      <c r="BV99" s="66">
        <v>0</v>
      </c>
      <c r="BW99" s="66">
        <v>0</v>
      </c>
      <c r="BX99" s="66">
        <v>0</v>
      </c>
      <c r="BY99" s="66">
        <v>0</v>
      </c>
      <c r="BZ99" s="67" t="s">
        <v>1230</v>
      </c>
      <c r="CA99" s="67" t="s">
        <v>1230</v>
      </c>
      <c r="CB99" s="67">
        <v>0</v>
      </c>
      <c r="CC99" s="187">
        <v>0</v>
      </c>
      <c r="CD99" s="67">
        <v>0</v>
      </c>
      <c r="CE99" s="66">
        <v>0</v>
      </c>
      <c r="CF99" s="66">
        <v>0</v>
      </c>
      <c r="CG99" s="66">
        <v>0</v>
      </c>
      <c r="CH99" s="66">
        <v>0</v>
      </c>
      <c r="CI99" s="66">
        <v>0</v>
      </c>
      <c r="CJ99" s="66">
        <v>0</v>
      </c>
      <c r="CK99" s="66">
        <v>0</v>
      </c>
      <c r="CL99" s="66">
        <v>0</v>
      </c>
      <c r="CM99" s="66">
        <v>0</v>
      </c>
      <c r="CN99" s="66">
        <v>0</v>
      </c>
      <c r="CO99" s="66">
        <v>0</v>
      </c>
      <c r="CP99" s="67" t="s">
        <v>1230</v>
      </c>
      <c r="CQ99" s="67" t="s">
        <v>1230</v>
      </c>
      <c r="CR99" s="67">
        <v>0</v>
      </c>
      <c r="CS99" s="187">
        <v>0</v>
      </c>
      <c r="CT99" s="67">
        <v>0</v>
      </c>
      <c r="CU99" s="66">
        <v>0</v>
      </c>
      <c r="CV99" s="66">
        <v>0</v>
      </c>
      <c r="CW99" s="66">
        <v>0</v>
      </c>
      <c r="CX99" s="66">
        <v>0</v>
      </c>
      <c r="CY99" s="66">
        <v>0</v>
      </c>
      <c r="CZ99" s="66">
        <v>0</v>
      </c>
      <c r="DA99" s="66">
        <v>0</v>
      </c>
      <c r="DB99" s="66">
        <v>0</v>
      </c>
      <c r="DC99" s="66">
        <v>0</v>
      </c>
      <c r="DD99" s="66">
        <v>0</v>
      </c>
      <c r="DE99" s="66">
        <v>0</v>
      </c>
      <c r="DF99" s="67" t="s">
        <v>1230</v>
      </c>
      <c r="DG99" s="67" t="s">
        <v>1230</v>
      </c>
      <c r="DH99" s="67">
        <v>0</v>
      </c>
      <c r="DI99" s="187">
        <v>0</v>
      </c>
      <c r="DJ99" s="67">
        <v>0</v>
      </c>
      <c r="DK99" s="66">
        <v>0</v>
      </c>
      <c r="DL99" s="66">
        <v>0</v>
      </c>
      <c r="DM99" s="66">
        <v>0</v>
      </c>
      <c r="DN99" s="66">
        <v>0</v>
      </c>
      <c r="DO99" s="66">
        <v>0</v>
      </c>
      <c r="DP99" s="66">
        <v>0</v>
      </c>
      <c r="DQ99" s="66">
        <v>0</v>
      </c>
      <c r="DR99" s="66">
        <v>0</v>
      </c>
      <c r="DS99" s="66">
        <v>0</v>
      </c>
      <c r="DT99" s="66">
        <v>0</v>
      </c>
      <c r="DU99" s="66">
        <v>0</v>
      </c>
      <c r="DV99" s="67" t="s">
        <v>1230</v>
      </c>
      <c r="DW99" s="67" t="s">
        <v>1230</v>
      </c>
      <c r="DX99" s="67">
        <v>0</v>
      </c>
      <c r="DY99" s="187">
        <v>0</v>
      </c>
      <c r="DZ99" s="67">
        <v>0</v>
      </c>
      <c r="EA99" s="66">
        <v>0</v>
      </c>
      <c r="EB99" s="66">
        <v>0</v>
      </c>
      <c r="EC99" s="66">
        <v>0</v>
      </c>
      <c r="ED99" s="66">
        <v>0</v>
      </c>
      <c r="EE99" s="66">
        <v>0</v>
      </c>
      <c r="EF99" s="66">
        <v>0</v>
      </c>
      <c r="EG99" s="66">
        <v>0</v>
      </c>
      <c r="EH99" s="66">
        <v>0</v>
      </c>
      <c r="EI99" s="66">
        <v>0</v>
      </c>
      <c r="EJ99" s="66">
        <v>0</v>
      </c>
      <c r="EK99" s="66">
        <v>0</v>
      </c>
      <c r="EL99" s="67" t="s">
        <v>1230</v>
      </c>
      <c r="EM99" s="67" t="s">
        <v>1230</v>
      </c>
      <c r="EN99" s="67">
        <v>0</v>
      </c>
      <c r="EO99" s="187">
        <v>0</v>
      </c>
      <c r="EP99" s="67">
        <v>0</v>
      </c>
      <c r="EQ99" s="66">
        <v>0</v>
      </c>
      <c r="ER99" s="66">
        <v>0</v>
      </c>
      <c r="ES99" s="66">
        <v>0</v>
      </c>
      <c r="ET99" s="66">
        <v>0</v>
      </c>
      <c r="EU99" s="66">
        <v>0</v>
      </c>
      <c r="EV99" s="66">
        <v>0</v>
      </c>
      <c r="EW99" s="66">
        <v>0</v>
      </c>
      <c r="EX99" s="66">
        <v>0</v>
      </c>
      <c r="EY99" s="66">
        <v>0</v>
      </c>
      <c r="EZ99" s="66">
        <v>0</v>
      </c>
      <c r="FA99" s="66">
        <v>0</v>
      </c>
      <c r="FB99" s="67" t="s">
        <v>1230</v>
      </c>
      <c r="FC99" s="67" t="s">
        <v>1230</v>
      </c>
      <c r="FD99" s="67">
        <v>0</v>
      </c>
      <c r="FE99" s="187">
        <v>0</v>
      </c>
      <c r="FF99" s="67">
        <v>0</v>
      </c>
      <c r="FG99" s="66">
        <v>0</v>
      </c>
      <c r="FH99" s="66">
        <v>0</v>
      </c>
      <c r="FI99" s="66">
        <v>0</v>
      </c>
      <c r="FJ99" s="66">
        <v>0</v>
      </c>
      <c r="FK99" s="66">
        <v>0</v>
      </c>
      <c r="FL99" s="66">
        <v>0</v>
      </c>
      <c r="FM99" s="66">
        <v>0</v>
      </c>
      <c r="FN99" s="66">
        <v>0</v>
      </c>
      <c r="FO99" s="66">
        <v>0</v>
      </c>
      <c r="FP99" s="66">
        <v>0</v>
      </c>
      <c r="FQ99" s="66">
        <v>0</v>
      </c>
      <c r="FR99" s="67" t="s">
        <v>1230</v>
      </c>
      <c r="FS99" s="67" t="s">
        <v>1230</v>
      </c>
      <c r="FT99" s="67">
        <v>0</v>
      </c>
      <c r="FU99" s="187">
        <v>0</v>
      </c>
      <c r="FV99" s="67">
        <v>0</v>
      </c>
      <c r="FW99" s="66">
        <v>0</v>
      </c>
      <c r="FX99" s="66">
        <v>0</v>
      </c>
      <c r="FY99" s="66">
        <v>0</v>
      </c>
      <c r="FZ99" s="66">
        <v>0</v>
      </c>
      <c r="GA99" s="66">
        <v>0</v>
      </c>
      <c r="GB99" s="66">
        <v>0</v>
      </c>
      <c r="GC99" s="66">
        <v>0</v>
      </c>
      <c r="GD99" s="66">
        <v>0</v>
      </c>
      <c r="GE99" s="66">
        <v>0</v>
      </c>
      <c r="GF99" s="66">
        <v>0</v>
      </c>
      <c r="GG99" s="66">
        <v>0</v>
      </c>
      <c r="GH99" s="67" t="s">
        <v>1230</v>
      </c>
      <c r="GI99" s="67" t="s">
        <v>1230</v>
      </c>
      <c r="GJ99" s="67">
        <v>0</v>
      </c>
      <c r="GK99" s="187">
        <v>0</v>
      </c>
      <c r="GL99" s="67">
        <v>0</v>
      </c>
      <c r="GM99" s="66">
        <v>0</v>
      </c>
      <c r="GN99" s="66">
        <v>0</v>
      </c>
      <c r="GO99" s="66">
        <v>0</v>
      </c>
      <c r="GP99" s="66">
        <v>0</v>
      </c>
      <c r="GQ99" s="66">
        <v>0</v>
      </c>
      <c r="GR99" s="66">
        <v>0</v>
      </c>
      <c r="GS99" s="66">
        <v>0</v>
      </c>
      <c r="GT99" s="66">
        <v>0</v>
      </c>
      <c r="GU99" s="66">
        <v>0</v>
      </c>
      <c r="GV99" s="66">
        <v>0</v>
      </c>
      <c r="GW99" s="66">
        <v>0</v>
      </c>
      <c r="GX99" s="67" t="s">
        <v>1230</v>
      </c>
      <c r="GY99" s="67" t="s">
        <v>1230</v>
      </c>
      <c r="GZ99" s="67">
        <v>0</v>
      </c>
      <c r="HA99" s="187">
        <v>0</v>
      </c>
      <c r="HB99" s="67">
        <v>0</v>
      </c>
      <c r="HC99" s="66">
        <v>0</v>
      </c>
      <c r="HD99" s="66">
        <v>0</v>
      </c>
      <c r="HE99" s="66">
        <v>0</v>
      </c>
      <c r="HF99" s="66">
        <v>0</v>
      </c>
      <c r="HG99" s="66">
        <v>0</v>
      </c>
      <c r="HH99" s="66">
        <v>0</v>
      </c>
      <c r="HI99" s="66">
        <v>0</v>
      </c>
      <c r="HJ99" s="66">
        <v>0</v>
      </c>
      <c r="HK99" s="66">
        <v>0</v>
      </c>
      <c r="HL99" s="66">
        <v>0</v>
      </c>
      <c r="HM99" s="66">
        <v>0</v>
      </c>
      <c r="HN99" s="67" t="s">
        <v>1230</v>
      </c>
      <c r="HO99" s="67" t="s">
        <v>1230</v>
      </c>
      <c r="HP99" s="67">
        <v>0</v>
      </c>
      <c r="HQ99" s="187">
        <v>0</v>
      </c>
      <c r="HR99" s="67">
        <v>0</v>
      </c>
      <c r="HS99" s="66">
        <v>0</v>
      </c>
      <c r="HT99" s="66">
        <v>0</v>
      </c>
      <c r="HU99" s="66">
        <v>0</v>
      </c>
      <c r="HV99" s="66">
        <v>0</v>
      </c>
      <c r="HW99" s="66">
        <v>0</v>
      </c>
      <c r="HX99" s="66">
        <v>0</v>
      </c>
      <c r="HY99" s="66">
        <v>0</v>
      </c>
      <c r="HZ99" s="66">
        <v>0</v>
      </c>
      <c r="IA99" s="66">
        <v>0</v>
      </c>
      <c r="IB99" s="66">
        <v>0</v>
      </c>
      <c r="IC99" s="66">
        <v>0</v>
      </c>
      <c r="ID99" s="67" t="s">
        <v>1230</v>
      </c>
      <c r="IE99" s="67" t="s">
        <v>1230</v>
      </c>
      <c r="IF99" s="67">
        <v>0</v>
      </c>
      <c r="IG99" s="187">
        <v>0</v>
      </c>
      <c r="IH99" s="67">
        <v>0</v>
      </c>
      <c r="II99" s="66">
        <v>0</v>
      </c>
      <c r="IJ99" s="66">
        <v>0</v>
      </c>
      <c r="IK99" s="66">
        <v>0</v>
      </c>
      <c r="IL99" s="66">
        <v>0</v>
      </c>
      <c r="IM99" s="66">
        <v>0</v>
      </c>
      <c r="IN99" s="66">
        <v>0</v>
      </c>
      <c r="IO99" s="66">
        <v>0</v>
      </c>
      <c r="IP99" s="66">
        <v>0</v>
      </c>
      <c r="IQ99" s="66">
        <v>0</v>
      </c>
      <c r="IR99" s="66">
        <v>0</v>
      </c>
      <c r="IS99" s="66">
        <v>0</v>
      </c>
      <c r="IT99" s="67" t="s">
        <v>1230</v>
      </c>
      <c r="IU99" s="67" t="s">
        <v>1230</v>
      </c>
      <c r="IV99" s="67">
        <v>0</v>
      </c>
      <c r="IW99" s="187">
        <v>0</v>
      </c>
      <c r="IX99" s="67">
        <v>0</v>
      </c>
    </row>
    <row r="100" spans="1:258" ht="15.6" x14ac:dyDescent="0.3">
      <c r="A100" s="169">
        <v>88</v>
      </c>
      <c r="B100" s="205" t="s">
        <v>240</v>
      </c>
      <c r="C100" s="66">
        <v>78.6721</v>
      </c>
      <c r="D100" s="66">
        <v>0</v>
      </c>
      <c r="E100" s="66">
        <v>89.400113640000001</v>
      </c>
      <c r="F100" s="66">
        <v>78.6721</v>
      </c>
      <c r="G100" s="66">
        <v>10.72801364</v>
      </c>
      <c r="H100" s="66">
        <v>78.6721</v>
      </c>
      <c r="I100" s="66">
        <v>9.6814730000000002E-2</v>
      </c>
      <c r="J100" s="66">
        <v>89.400113640000001</v>
      </c>
      <c r="K100" s="66">
        <v>78.6721</v>
      </c>
      <c r="L100" s="66">
        <v>0</v>
      </c>
      <c r="M100" s="66">
        <v>10.72801364</v>
      </c>
      <c r="N100" s="67">
        <v>100</v>
      </c>
      <c r="O100" s="67">
        <v>100</v>
      </c>
      <c r="P100" s="67">
        <v>12.000000003579414</v>
      </c>
      <c r="Q100" s="66">
        <v>9.6814730000000002E-2</v>
      </c>
      <c r="R100" s="67">
        <v>5.5094817597023393E-15</v>
      </c>
      <c r="S100" s="66">
        <v>78.6721</v>
      </c>
      <c r="T100" s="66">
        <v>0</v>
      </c>
      <c r="U100" s="66">
        <v>89.400113640000001</v>
      </c>
      <c r="V100" s="66">
        <v>78.6721</v>
      </c>
      <c r="W100" s="66">
        <v>10.72801364</v>
      </c>
      <c r="X100" s="66">
        <v>78.6721</v>
      </c>
      <c r="Y100" s="66">
        <v>7.4927000000000001E-4</v>
      </c>
      <c r="Z100" s="66">
        <v>89.400113640000001</v>
      </c>
      <c r="AA100" s="66">
        <v>78.6721</v>
      </c>
      <c r="AB100" s="66">
        <v>0</v>
      </c>
      <c r="AC100" s="66">
        <v>10.72801364</v>
      </c>
      <c r="AD100" s="67">
        <v>100</v>
      </c>
      <c r="AE100" s="67">
        <v>100</v>
      </c>
      <c r="AF100" s="67">
        <v>12.000000003579414</v>
      </c>
      <c r="AG100" s="187">
        <v>7.4927000000000001E-4</v>
      </c>
      <c r="AH100" s="67">
        <v>2.4069288229178198E-17</v>
      </c>
      <c r="AI100" s="66">
        <v>0</v>
      </c>
      <c r="AJ100" s="66">
        <v>0</v>
      </c>
      <c r="AK100" s="66">
        <v>0</v>
      </c>
      <c r="AL100" s="66">
        <v>0</v>
      </c>
      <c r="AM100" s="66">
        <v>0</v>
      </c>
      <c r="AN100" s="66">
        <v>0</v>
      </c>
      <c r="AO100" s="66">
        <v>9.6065460000000005E-2</v>
      </c>
      <c r="AP100" s="66">
        <v>0</v>
      </c>
      <c r="AQ100" s="66">
        <v>0</v>
      </c>
      <c r="AR100" s="66">
        <v>0</v>
      </c>
      <c r="AS100" s="66">
        <v>0</v>
      </c>
      <c r="AT100" s="67" t="s">
        <v>1230</v>
      </c>
      <c r="AU100" s="67" t="s">
        <v>1230</v>
      </c>
      <c r="AV100" s="67">
        <v>0</v>
      </c>
      <c r="AW100" s="187">
        <v>9.6065460000000005E-2</v>
      </c>
      <c r="AX100" s="67">
        <v>0</v>
      </c>
      <c r="AY100" s="66">
        <v>0</v>
      </c>
      <c r="AZ100" s="66">
        <v>0</v>
      </c>
      <c r="BA100" s="66">
        <v>0</v>
      </c>
      <c r="BB100" s="66">
        <v>0</v>
      </c>
      <c r="BC100" s="66">
        <v>0</v>
      </c>
      <c r="BD100" s="66">
        <v>0</v>
      </c>
      <c r="BE100" s="66">
        <v>0</v>
      </c>
      <c r="BF100" s="66">
        <v>0</v>
      </c>
      <c r="BG100" s="66">
        <v>0</v>
      </c>
      <c r="BH100" s="66">
        <v>0</v>
      </c>
      <c r="BI100" s="66">
        <v>0</v>
      </c>
      <c r="BJ100" s="67" t="s">
        <v>1230</v>
      </c>
      <c r="BK100" s="67" t="s">
        <v>1230</v>
      </c>
      <c r="BL100" s="67">
        <v>0</v>
      </c>
      <c r="BM100" s="187">
        <v>0</v>
      </c>
      <c r="BN100" s="67">
        <v>0</v>
      </c>
      <c r="BO100" s="66">
        <v>0</v>
      </c>
      <c r="BP100" s="66">
        <v>0</v>
      </c>
      <c r="BQ100" s="66">
        <v>0</v>
      </c>
      <c r="BR100" s="66">
        <v>0</v>
      </c>
      <c r="BS100" s="66">
        <v>0</v>
      </c>
      <c r="BT100" s="66">
        <v>0</v>
      </c>
      <c r="BU100" s="66">
        <v>0</v>
      </c>
      <c r="BV100" s="66">
        <v>0</v>
      </c>
      <c r="BW100" s="66">
        <v>0</v>
      </c>
      <c r="BX100" s="66">
        <v>0</v>
      </c>
      <c r="BY100" s="66">
        <v>0</v>
      </c>
      <c r="BZ100" s="67" t="s">
        <v>1230</v>
      </c>
      <c r="CA100" s="67" t="s">
        <v>1230</v>
      </c>
      <c r="CB100" s="67">
        <v>0</v>
      </c>
      <c r="CC100" s="187">
        <v>0</v>
      </c>
      <c r="CD100" s="67">
        <v>0</v>
      </c>
      <c r="CE100" s="66">
        <v>0</v>
      </c>
      <c r="CF100" s="66">
        <v>0</v>
      </c>
      <c r="CG100" s="66">
        <v>0</v>
      </c>
      <c r="CH100" s="66">
        <v>0</v>
      </c>
      <c r="CI100" s="66">
        <v>0</v>
      </c>
      <c r="CJ100" s="66">
        <v>0</v>
      </c>
      <c r="CK100" s="66">
        <v>0</v>
      </c>
      <c r="CL100" s="66">
        <v>0</v>
      </c>
      <c r="CM100" s="66">
        <v>0</v>
      </c>
      <c r="CN100" s="66">
        <v>0</v>
      </c>
      <c r="CO100" s="66">
        <v>0</v>
      </c>
      <c r="CP100" s="67" t="s">
        <v>1230</v>
      </c>
      <c r="CQ100" s="67" t="s">
        <v>1230</v>
      </c>
      <c r="CR100" s="67">
        <v>0</v>
      </c>
      <c r="CS100" s="187">
        <v>0</v>
      </c>
      <c r="CT100" s="67">
        <v>0</v>
      </c>
      <c r="CU100" s="66">
        <v>0</v>
      </c>
      <c r="CV100" s="66">
        <v>0</v>
      </c>
      <c r="CW100" s="66">
        <v>0</v>
      </c>
      <c r="CX100" s="66">
        <v>0</v>
      </c>
      <c r="CY100" s="66">
        <v>0</v>
      </c>
      <c r="CZ100" s="66">
        <v>0</v>
      </c>
      <c r="DA100" s="66">
        <v>0</v>
      </c>
      <c r="DB100" s="66">
        <v>0</v>
      </c>
      <c r="DC100" s="66">
        <v>0</v>
      </c>
      <c r="DD100" s="66">
        <v>0</v>
      </c>
      <c r="DE100" s="66">
        <v>0</v>
      </c>
      <c r="DF100" s="67" t="s">
        <v>1230</v>
      </c>
      <c r="DG100" s="67" t="s">
        <v>1230</v>
      </c>
      <c r="DH100" s="67">
        <v>0</v>
      </c>
      <c r="DI100" s="187">
        <v>0</v>
      </c>
      <c r="DJ100" s="67">
        <v>0</v>
      </c>
      <c r="DK100" s="66">
        <v>0</v>
      </c>
      <c r="DL100" s="66">
        <v>0</v>
      </c>
      <c r="DM100" s="66">
        <v>0</v>
      </c>
      <c r="DN100" s="66">
        <v>0</v>
      </c>
      <c r="DO100" s="66">
        <v>0</v>
      </c>
      <c r="DP100" s="66">
        <v>0</v>
      </c>
      <c r="DQ100" s="66">
        <v>0</v>
      </c>
      <c r="DR100" s="66">
        <v>0</v>
      </c>
      <c r="DS100" s="66">
        <v>0</v>
      </c>
      <c r="DT100" s="66">
        <v>0</v>
      </c>
      <c r="DU100" s="66">
        <v>0</v>
      </c>
      <c r="DV100" s="67" t="s">
        <v>1230</v>
      </c>
      <c r="DW100" s="67" t="s">
        <v>1230</v>
      </c>
      <c r="DX100" s="67">
        <v>0</v>
      </c>
      <c r="DY100" s="187">
        <v>0</v>
      </c>
      <c r="DZ100" s="67">
        <v>0</v>
      </c>
      <c r="EA100" s="66">
        <v>0</v>
      </c>
      <c r="EB100" s="66">
        <v>0</v>
      </c>
      <c r="EC100" s="66">
        <v>0</v>
      </c>
      <c r="ED100" s="66">
        <v>0</v>
      </c>
      <c r="EE100" s="66">
        <v>0</v>
      </c>
      <c r="EF100" s="66">
        <v>0</v>
      </c>
      <c r="EG100" s="66">
        <v>0</v>
      </c>
      <c r="EH100" s="66">
        <v>0</v>
      </c>
      <c r="EI100" s="66">
        <v>0</v>
      </c>
      <c r="EJ100" s="66">
        <v>0</v>
      </c>
      <c r="EK100" s="66">
        <v>0</v>
      </c>
      <c r="EL100" s="67" t="s">
        <v>1230</v>
      </c>
      <c r="EM100" s="67" t="s">
        <v>1230</v>
      </c>
      <c r="EN100" s="67">
        <v>0</v>
      </c>
      <c r="EO100" s="187">
        <v>0</v>
      </c>
      <c r="EP100" s="67">
        <v>0</v>
      </c>
      <c r="EQ100" s="66">
        <v>0</v>
      </c>
      <c r="ER100" s="66">
        <v>0</v>
      </c>
      <c r="ES100" s="66">
        <v>0</v>
      </c>
      <c r="ET100" s="66">
        <v>0</v>
      </c>
      <c r="EU100" s="66">
        <v>0</v>
      </c>
      <c r="EV100" s="66">
        <v>0</v>
      </c>
      <c r="EW100" s="66">
        <v>0</v>
      </c>
      <c r="EX100" s="66">
        <v>0</v>
      </c>
      <c r="EY100" s="66">
        <v>0</v>
      </c>
      <c r="EZ100" s="66">
        <v>0</v>
      </c>
      <c r="FA100" s="66">
        <v>0</v>
      </c>
      <c r="FB100" s="67" t="s">
        <v>1230</v>
      </c>
      <c r="FC100" s="67" t="s">
        <v>1230</v>
      </c>
      <c r="FD100" s="67">
        <v>0</v>
      </c>
      <c r="FE100" s="187">
        <v>0</v>
      </c>
      <c r="FF100" s="67">
        <v>0</v>
      </c>
      <c r="FG100" s="66">
        <v>0</v>
      </c>
      <c r="FH100" s="66">
        <v>0</v>
      </c>
      <c r="FI100" s="66">
        <v>0</v>
      </c>
      <c r="FJ100" s="66">
        <v>0</v>
      </c>
      <c r="FK100" s="66">
        <v>0</v>
      </c>
      <c r="FL100" s="66">
        <v>0</v>
      </c>
      <c r="FM100" s="66">
        <v>0</v>
      </c>
      <c r="FN100" s="66">
        <v>0</v>
      </c>
      <c r="FO100" s="66">
        <v>0</v>
      </c>
      <c r="FP100" s="66">
        <v>0</v>
      </c>
      <c r="FQ100" s="66">
        <v>0</v>
      </c>
      <c r="FR100" s="67" t="s">
        <v>1230</v>
      </c>
      <c r="FS100" s="67" t="s">
        <v>1230</v>
      </c>
      <c r="FT100" s="67">
        <v>0</v>
      </c>
      <c r="FU100" s="187">
        <v>0</v>
      </c>
      <c r="FV100" s="67">
        <v>0</v>
      </c>
      <c r="FW100" s="66">
        <v>0</v>
      </c>
      <c r="FX100" s="66">
        <v>0</v>
      </c>
      <c r="FY100" s="66">
        <v>0</v>
      </c>
      <c r="FZ100" s="66">
        <v>0</v>
      </c>
      <c r="GA100" s="66">
        <v>0</v>
      </c>
      <c r="GB100" s="66">
        <v>0</v>
      </c>
      <c r="GC100" s="66">
        <v>0</v>
      </c>
      <c r="GD100" s="66">
        <v>0</v>
      </c>
      <c r="GE100" s="66">
        <v>0</v>
      </c>
      <c r="GF100" s="66">
        <v>0</v>
      </c>
      <c r="GG100" s="66">
        <v>0</v>
      </c>
      <c r="GH100" s="67" t="s">
        <v>1230</v>
      </c>
      <c r="GI100" s="67" t="s">
        <v>1230</v>
      </c>
      <c r="GJ100" s="67">
        <v>0</v>
      </c>
      <c r="GK100" s="187">
        <v>0</v>
      </c>
      <c r="GL100" s="67">
        <v>0</v>
      </c>
      <c r="GM100" s="66">
        <v>0</v>
      </c>
      <c r="GN100" s="66">
        <v>0</v>
      </c>
      <c r="GO100" s="66">
        <v>0</v>
      </c>
      <c r="GP100" s="66">
        <v>0</v>
      </c>
      <c r="GQ100" s="66">
        <v>0</v>
      </c>
      <c r="GR100" s="66">
        <v>0</v>
      </c>
      <c r="GS100" s="66">
        <v>0</v>
      </c>
      <c r="GT100" s="66">
        <v>0</v>
      </c>
      <c r="GU100" s="66">
        <v>0</v>
      </c>
      <c r="GV100" s="66">
        <v>0</v>
      </c>
      <c r="GW100" s="66">
        <v>0</v>
      </c>
      <c r="GX100" s="67" t="s">
        <v>1230</v>
      </c>
      <c r="GY100" s="67" t="s">
        <v>1230</v>
      </c>
      <c r="GZ100" s="67">
        <v>0</v>
      </c>
      <c r="HA100" s="187">
        <v>0</v>
      </c>
      <c r="HB100" s="67">
        <v>0</v>
      </c>
      <c r="HC100" s="66">
        <v>0</v>
      </c>
      <c r="HD100" s="66">
        <v>0</v>
      </c>
      <c r="HE100" s="66">
        <v>0</v>
      </c>
      <c r="HF100" s="66">
        <v>0</v>
      </c>
      <c r="HG100" s="66">
        <v>0</v>
      </c>
      <c r="HH100" s="66">
        <v>0</v>
      </c>
      <c r="HI100" s="66">
        <v>0</v>
      </c>
      <c r="HJ100" s="66">
        <v>0</v>
      </c>
      <c r="HK100" s="66">
        <v>0</v>
      </c>
      <c r="HL100" s="66">
        <v>0</v>
      </c>
      <c r="HM100" s="66">
        <v>0</v>
      </c>
      <c r="HN100" s="67" t="s">
        <v>1230</v>
      </c>
      <c r="HO100" s="67" t="s">
        <v>1230</v>
      </c>
      <c r="HP100" s="67">
        <v>0</v>
      </c>
      <c r="HQ100" s="187">
        <v>0</v>
      </c>
      <c r="HR100" s="67">
        <v>0</v>
      </c>
      <c r="HS100" s="66">
        <v>0</v>
      </c>
      <c r="HT100" s="66">
        <v>0</v>
      </c>
      <c r="HU100" s="66">
        <v>0</v>
      </c>
      <c r="HV100" s="66">
        <v>0</v>
      </c>
      <c r="HW100" s="66">
        <v>0</v>
      </c>
      <c r="HX100" s="66">
        <v>0</v>
      </c>
      <c r="HY100" s="66">
        <v>0</v>
      </c>
      <c r="HZ100" s="66">
        <v>0</v>
      </c>
      <c r="IA100" s="66">
        <v>0</v>
      </c>
      <c r="IB100" s="66">
        <v>0</v>
      </c>
      <c r="IC100" s="66">
        <v>0</v>
      </c>
      <c r="ID100" s="67" t="s">
        <v>1230</v>
      </c>
      <c r="IE100" s="67" t="s">
        <v>1230</v>
      </c>
      <c r="IF100" s="67">
        <v>0</v>
      </c>
      <c r="IG100" s="187">
        <v>0</v>
      </c>
      <c r="IH100" s="67">
        <v>0</v>
      </c>
      <c r="II100" s="66">
        <v>0</v>
      </c>
      <c r="IJ100" s="66">
        <v>0</v>
      </c>
      <c r="IK100" s="66">
        <v>0</v>
      </c>
      <c r="IL100" s="66">
        <v>0</v>
      </c>
      <c r="IM100" s="66">
        <v>0</v>
      </c>
      <c r="IN100" s="66">
        <v>0</v>
      </c>
      <c r="IO100" s="66">
        <v>0</v>
      </c>
      <c r="IP100" s="66">
        <v>0</v>
      </c>
      <c r="IQ100" s="66">
        <v>0</v>
      </c>
      <c r="IR100" s="66">
        <v>0</v>
      </c>
      <c r="IS100" s="66">
        <v>0</v>
      </c>
      <c r="IT100" s="67" t="s">
        <v>1230</v>
      </c>
      <c r="IU100" s="67" t="s">
        <v>1230</v>
      </c>
      <c r="IV100" s="67">
        <v>0</v>
      </c>
      <c r="IW100" s="187">
        <v>0</v>
      </c>
      <c r="IX100" s="67">
        <v>0</v>
      </c>
    </row>
    <row r="101" spans="1:258" ht="15.6" x14ac:dyDescent="0.3">
      <c r="A101" s="169">
        <v>89</v>
      </c>
      <c r="B101" s="205" t="s">
        <v>243</v>
      </c>
      <c r="C101" s="66">
        <v>70.235699999999994</v>
      </c>
      <c r="D101" s="66">
        <v>0</v>
      </c>
      <c r="E101" s="66">
        <v>83.897199999999998</v>
      </c>
      <c r="F101" s="66">
        <v>70.235699999999994</v>
      </c>
      <c r="G101" s="66">
        <v>13.6615</v>
      </c>
      <c r="H101" s="66">
        <v>70.235699999999994</v>
      </c>
      <c r="I101" s="66">
        <v>0</v>
      </c>
      <c r="J101" s="66">
        <v>83.897199970000003</v>
      </c>
      <c r="K101" s="66">
        <v>70.235699969999999</v>
      </c>
      <c r="L101" s="66">
        <v>0</v>
      </c>
      <c r="M101" s="66">
        <v>13.6615</v>
      </c>
      <c r="N101" s="67">
        <v>99.99999995728669</v>
      </c>
      <c r="O101" s="67">
        <v>100</v>
      </c>
      <c r="P101" s="67">
        <v>16.283618529444468</v>
      </c>
      <c r="Q101" s="66">
        <v>0</v>
      </c>
      <c r="R101" s="67">
        <v>2.9999995376783772E-8</v>
      </c>
      <c r="S101" s="66">
        <v>44.628500000000003</v>
      </c>
      <c r="T101" s="66">
        <v>0</v>
      </c>
      <c r="U101" s="66">
        <v>53.129199999999997</v>
      </c>
      <c r="V101" s="66">
        <v>44.628500000000003</v>
      </c>
      <c r="W101" s="66">
        <v>8.5007000000000001</v>
      </c>
      <c r="X101" s="66">
        <v>44.628500000000003</v>
      </c>
      <c r="Y101" s="66">
        <v>0</v>
      </c>
      <c r="Z101" s="66">
        <v>53.129199970000002</v>
      </c>
      <c r="AA101" s="66">
        <v>44.62849997</v>
      </c>
      <c r="AB101" s="66">
        <v>0</v>
      </c>
      <c r="AC101" s="66">
        <v>8.5007000000000001</v>
      </c>
      <c r="AD101" s="67">
        <v>99.999999932778366</v>
      </c>
      <c r="AE101" s="67">
        <v>100</v>
      </c>
      <c r="AF101" s="67">
        <v>16.000052710750428</v>
      </c>
      <c r="AG101" s="187">
        <v>0</v>
      </c>
      <c r="AH101" s="67">
        <v>3.000000248221113E-8</v>
      </c>
      <c r="AI101" s="66">
        <v>0</v>
      </c>
      <c r="AJ101" s="66">
        <v>0</v>
      </c>
      <c r="AK101" s="66">
        <v>0</v>
      </c>
      <c r="AL101" s="66">
        <v>0</v>
      </c>
      <c r="AM101" s="66">
        <v>0</v>
      </c>
      <c r="AN101" s="66">
        <v>0</v>
      </c>
      <c r="AO101" s="66">
        <v>0</v>
      </c>
      <c r="AP101" s="66">
        <v>0</v>
      </c>
      <c r="AQ101" s="66">
        <v>0</v>
      </c>
      <c r="AR101" s="66">
        <v>0</v>
      </c>
      <c r="AS101" s="66">
        <v>0</v>
      </c>
      <c r="AT101" s="67" t="s">
        <v>1230</v>
      </c>
      <c r="AU101" s="67" t="s">
        <v>1230</v>
      </c>
      <c r="AV101" s="67">
        <v>0</v>
      </c>
      <c r="AW101" s="187">
        <v>0</v>
      </c>
      <c r="AX101" s="67">
        <v>0</v>
      </c>
      <c r="AY101" s="66">
        <v>0</v>
      </c>
      <c r="AZ101" s="66">
        <v>0</v>
      </c>
      <c r="BA101" s="66">
        <v>0</v>
      </c>
      <c r="BB101" s="66">
        <v>0</v>
      </c>
      <c r="BC101" s="66">
        <v>0</v>
      </c>
      <c r="BD101" s="66">
        <v>0</v>
      </c>
      <c r="BE101" s="66">
        <v>0</v>
      </c>
      <c r="BF101" s="66">
        <v>0</v>
      </c>
      <c r="BG101" s="66">
        <v>0</v>
      </c>
      <c r="BH101" s="66">
        <v>0</v>
      </c>
      <c r="BI101" s="66">
        <v>0</v>
      </c>
      <c r="BJ101" s="67" t="s">
        <v>1230</v>
      </c>
      <c r="BK101" s="67" t="s">
        <v>1230</v>
      </c>
      <c r="BL101" s="67">
        <v>0</v>
      </c>
      <c r="BM101" s="187">
        <v>0</v>
      </c>
      <c r="BN101" s="67">
        <v>0</v>
      </c>
      <c r="BO101" s="66">
        <v>0</v>
      </c>
      <c r="BP101" s="66">
        <v>0</v>
      </c>
      <c r="BQ101" s="66">
        <v>0</v>
      </c>
      <c r="BR101" s="66">
        <v>0</v>
      </c>
      <c r="BS101" s="66">
        <v>0</v>
      </c>
      <c r="BT101" s="66">
        <v>0</v>
      </c>
      <c r="BU101" s="66">
        <v>0</v>
      </c>
      <c r="BV101" s="66">
        <v>0</v>
      </c>
      <c r="BW101" s="66">
        <v>0</v>
      </c>
      <c r="BX101" s="66">
        <v>0</v>
      </c>
      <c r="BY101" s="66">
        <v>0</v>
      </c>
      <c r="BZ101" s="67" t="s">
        <v>1230</v>
      </c>
      <c r="CA101" s="67" t="s">
        <v>1230</v>
      </c>
      <c r="CB101" s="67">
        <v>0</v>
      </c>
      <c r="CC101" s="187">
        <v>0</v>
      </c>
      <c r="CD101" s="67">
        <v>0</v>
      </c>
      <c r="CE101" s="66">
        <v>0</v>
      </c>
      <c r="CF101" s="66">
        <v>0</v>
      </c>
      <c r="CG101" s="66">
        <v>0</v>
      </c>
      <c r="CH101" s="66">
        <v>0</v>
      </c>
      <c r="CI101" s="66">
        <v>0</v>
      </c>
      <c r="CJ101" s="66">
        <v>0</v>
      </c>
      <c r="CK101" s="66">
        <v>0</v>
      </c>
      <c r="CL101" s="66">
        <v>0</v>
      </c>
      <c r="CM101" s="66">
        <v>0</v>
      </c>
      <c r="CN101" s="66">
        <v>0</v>
      </c>
      <c r="CO101" s="66">
        <v>0</v>
      </c>
      <c r="CP101" s="67" t="s">
        <v>1230</v>
      </c>
      <c r="CQ101" s="67" t="s">
        <v>1230</v>
      </c>
      <c r="CR101" s="67">
        <v>0</v>
      </c>
      <c r="CS101" s="187">
        <v>0</v>
      </c>
      <c r="CT101" s="67">
        <v>0</v>
      </c>
      <c r="CU101" s="66">
        <v>0</v>
      </c>
      <c r="CV101" s="66">
        <v>0</v>
      </c>
      <c r="CW101" s="66">
        <v>0</v>
      </c>
      <c r="CX101" s="66">
        <v>0</v>
      </c>
      <c r="CY101" s="66">
        <v>0</v>
      </c>
      <c r="CZ101" s="66">
        <v>0</v>
      </c>
      <c r="DA101" s="66">
        <v>0</v>
      </c>
      <c r="DB101" s="66">
        <v>0</v>
      </c>
      <c r="DC101" s="66">
        <v>0</v>
      </c>
      <c r="DD101" s="66">
        <v>0</v>
      </c>
      <c r="DE101" s="66">
        <v>0</v>
      </c>
      <c r="DF101" s="67" t="s">
        <v>1230</v>
      </c>
      <c r="DG101" s="67" t="s">
        <v>1230</v>
      </c>
      <c r="DH101" s="67">
        <v>0</v>
      </c>
      <c r="DI101" s="187">
        <v>0</v>
      </c>
      <c r="DJ101" s="67">
        <v>0</v>
      </c>
      <c r="DK101" s="66">
        <v>0</v>
      </c>
      <c r="DL101" s="66">
        <v>0</v>
      </c>
      <c r="DM101" s="66">
        <v>0</v>
      </c>
      <c r="DN101" s="66">
        <v>0</v>
      </c>
      <c r="DO101" s="66">
        <v>0</v>
      </c>
      <c r="DP101" s="66">
        <v>0</v>
      </c>
      <c r="DQ101" s="66">
        <v>0</v>
      </c>
      <c r="DR101" s="66">
        <v>0</v>
      </c>
      <c r="DS101" s="66">
        <v>0</v>
      </c>
      <c r="DT101" s="66">
        <v>0</v>
      </c>
      <c r="DU101" s="66">
        <v>0</v>
      </c>
      <c r="DV101" s="67" t="s">
        <v>1230</v>
      </c>
      <c r="DW101" s="67" t="s">
        <v>1230</v>
      </c>
      <c r="DX101" s="67">
        <v>0</v>
      </c>
      <c r="DY101" s="187">
        <v>0</v>
      </c>
      <c r="DZ101" s="67">
        <v>0</v>
      </c>
      <c r="EA101" s="66">
        <v>0</v>
      </c>
      <c r="EB101" s="66">
        <v>0</v>
      </c>
      <c r="EC101" s="66">
        <v>0</v>
      </c>
      <c r="ED101" s="66">
        <v>0</v>
      </c>
      <c r="EE101" s="66">
        <v>0</v>
      </c>
      <c r="EF101" s="66">
        <v>0</v>
      </c>
      <c r="EG101" s="66">
        <v>0</v>
      </c>
      <c r="EH101" s="66">
        <v>0</v>
      </c>
      <c r="EI101" s="66">
        <v>0</v>
      </c>
      <c r="EJ101" s="66">
        <v>0</v>
      </c>
      <c r="EK101" s="66">
        <v>0</v>
      </c>
      <c r="EL101" s="67" t="s">
        <v>1230</v>
      </c>
      <c r="EM101" s="67" t="s">
        <v>1230</v>
      </c>
      <c r="EN101" s="67">
        <v>0</v>
      </c>
      <c r="EO101" s="187">
        <v>0</v>
      </c>
      <c r="EP101" s="67">
        <v>0</v>
      </c>
      <c r="EQ101" s="66">
        <v>0</v>
      </c>
      <c r="ER101" s="66">
        <v>0</v>
      </c>
      <c r="ES101" s="66">
        <v>0</v>
      </c>
      <c r="ET101" s="66">
        <v>0</v>
      </c>
      <c r="EU101" s="66">
        <v>0</v>
      </c>
      <c r="EV101" s="66">
        <v>0</v>
      </c>
      <c r="EW101" s="66">
        <v>0</v>
      </c>
      <c r="EX101" s="66">
        <v>0</v>
      </c>
      <c r="EY101" s="66">
        <v>0</v>
      </c>
      <c r="EZ101" s="66">
        <v>0</v>
      </c>
      <c r="FA101" s="66">
        <v>0</v>
      </c>
      <c r="FB101" s="67" t="s">
        <v>1230</v>
      </c>
      <c r="FC101" s="67" t="s">
        <v>1230</v>
      </c>
      <c r="FD101" s="67">
        <v>0</v>
      </c>
      <c r="FE101" s="187">
        <v>0</v>
      </c>
      <c r="FF101" s="67">
        <v>0</v>
      </c>
      <c r="FG101" s="66">
        <v>0</v>
      </c>
      <c r="FH101" s="66">
        <v>0</v>
      </c>
      <c r="FI101" s="66">
        <v>0</v>
      </c>
      <c r="FJ101" s="66">
        <v>0</v>
      </c>
      <c r="FK101" s="66">
        <v>0</v>
      </c>
      <c r="FL101" s="66">
        <v>0</v>
      </c>
      <c r="FM101" s="66">
        <v>0</v>
      </c>
      <c r="FN101" s="66">
        <v>0</v>
      </c>
      <c r="FO101" s="66">
        <v>0</v>
      </c>
      <c r="FP101" s="66">
        <v>0</v>
      </c>
      <c r="FQ101" s="66">
        <v>0</v>
      </c>
      <c r="FR101" s="67" t="s">
        <v>1230</v>
      </c>
      <c r="FS101" s="67" t="s">
        <v>1230</v>
      </c>
      <c r="FT101" s="67">
        <v>0</v>
      </c>
      <c r="FU101" s="187">
        <v>0</v>
      </c>
      <c r="FV101" s="67">
        <v>0</v>
      </c>
      <c r="FW101" s="66">
        <v>24.165099999999999</v>
      </c>
      <c r="FX101" s="66">
        <v>0</v>
      </c>
      <c r="FY101" s="66">
        <v>28.768000000000001</v>
      </c>
      <c r="FZ101" s="66">
        <v>24.165099999999999</v>
      </c>
      <c r="GA101" s="66">
        <v>4.6029</v>
      </c>
      <c r="GB101" s="66">
        <v>24.165099999999999</v>
      </c>
      <c r="GC101" s="66">
        <v>0</v>
      </c>
      <c r="GD101" s="66">
        <v>28.768000000000001</v>
      </c>
      <c r="GE101" s="66">
        <v>24.165099999999999</v>
      </c>
      <c r="GF101" s="66">
        <v>0</v>
      </c>
      <c r="GG101" s="66">
        <v>4.6029</v>
      </c>
      <c r="GH101" s="67">
        <v>100</v>
      </c>
      <c r="GI101" s="67">
        <v>100</v>
      </c>
      <c r="GJ101" s="67">
        <v>16.000069521690769</v>
      </c>
      <c r="GK101" s="187">
        <v>0</v>
      </c>
      <c r="GL101" s="67">
        <v>0</v>
      </c>
      <c r="GM101" s="66">
        <v>0</v>
      </c>
      <c r="GN101" s="66">
        <v>0</v>
      </c>
      <c r="GO101" s="66">
        <v>0</v>
      </c>
      <c r="GP101" s="66">
        <v>0</v>
      </c>
      <c r="GQ101" s="66">
        <v>0</v>
      </c>
      <c r="GR101" s="66">
        <v>0</v>
      </c>
      <c r="GS101" s="66">
        <v>0</v>
      </c>
      <c r="GT101" s="66">
        <v>0</v>
      </c>
      <c r="GU101" s="66">
        <v>0</v>
      </c>
      <c r="GV101" s="66">
        <v>0</v>
      </c>
      <c r="GW101" s="66">
        <v>0</v>
      </c>
      <c r="GX101" s="67" t="s">
        <v>1230</v>
      </c>
      <c r="GY101" s="67" t="s">
        <v>1230</v>
      </c>
      <c r="GZ101" s="67">
        <v>0</v>
      </c>
      <c r="HA101" s="187">
        <v>0</v>
      </c>
      <c r="HB101" s="67">
        <v>0</v>
      </c>
      <c r="HC101" s="66">
        <v>1.4420999999999999</v>
      </c>
      <c r="HD101" s="66">
        <v>0</v>
      </c>
      <c r="HE101" s="66">
        <v>2</v>
      </c>
      <c r="HF101" s="66">
        <v>1.4420999999999999</v>
      </c>
      <c r="HG101" s="66">
        <v>0.55789999999999995</v>
      </c>
      <c r="HH101" s="66">
        <v>1.4420999999999999</v>
      </c>
      <c r="HI101" s="66">
        <v>0</v>
      </c>
      <c r="HJ101" s="66">
        <v>2</v>
      </c>
      <c r="HK101" s="66">
        <v>1.4420999999999999</v>
      </c>
      <c r="HL101" s="66">
        <v>0</v>
      </c>
      <c r="HM101" s="66">
        <v>0.55789999999999995</v>
      </c>
      <c r="HN101" s="67">
        <v>100</v>
      </c>
      <c r="HO101" s="67">
        <v>100</v>
      </c>
      <c r="HP101" s="67">
        <v>27.894999999999996</v>
      </c>
      <c r="HQ101" s="187">
        <v>0</v>
      </c>
      <c r="HR101" s="67">
        <v>0</v>
      </c>
      <c r="HS101" s="66">
        <v>0</v>
      </c>
      <c r="HT101" s="66">
        <v>0</v>
      </c>
      <c r="HU101" s="66">
        <v>0</v>
      </c>
      <c r="HV101" s="66">
        <v>0</v>
      </c>
      <c r="HW101" s="66">
        <v>0</v>
      </c>
      <c r="HX101" s="66">
        <v>0</v>
      </c>
      <c r="HY101" s="66">
        <v>0</v>
      </c>
      <c r="HZ101" s="66">
        <v>0</v>
      </c>
      <c r="IA101" s="66">
        <v>0</v>
      </c>
      <c r="IB101" s="66">
        <v>0</v>
      </c>
      <c r="IC101" s="66">
        <v>0</v>
      </c>
      <c r="ID101" s="67" t="s">
        <v>1230</v>
      </c>
      <c r="IE101" s="67" t="s">
        <v>1230</v>
      </c>
      <c r="IF101" s="67">
        <v>0</v>
      </c>
      <c r="IG101" s="187">
        <v>0</v>
      </c>
      <c r="IH101" s="67">
        <v>0</v>
      </c>
      <c r="II101" s="66">
        <v>0</v>
      </c>
      <c r="IJ101" s="66">
        <v>0</v>
      </c>
      <c r="IK101" s="66">
        <v>0</v>
      </c>
      <c r="IL101" s="66">
        <v>0</v>
      </c>
      <c r="IM101" s="66">
        <v>0</v>
      </c>
      <c r="IN101" s="66">
        <v>0</v>
      </c>
      <c r="IO101" s="66">
        <v>0</v>
      </c>
      <c r="IP101" s="66">
        <v>0</v>
      </c>
      <c r="IQ101" s="66">
        <v>0</v>
      </c>
      <c r="IR101" s="66">
        <v>0</v>
      </c>
      <c r="IS101" s="66">
        <v>0</v>
      </c>
      <c r="IT101" s="67" t="s">
        <v>1230</v>
      </c>
      <c r="IU101" s="67" t="s">
        <v>1230</v>
      </c>
      <c r="IV101" s="67">
        <v>0</v>
      </c>
      <c r="IW101" s="187">
        <v>0</v>
      </c>
      <c r="IX101" s="67">
        <v>0</v>
      </c>
    </row>
    <row r="102" spans="1:258" ht="15.6" x14ac:dyDescent="0.3">
      <c r="A102" s="169">
        <v>90</v>
      </c>
      <c r="B102" s="205" t="s">
        <v>246</v>
      </c>
      <c r="C102" s="66">
        <v>10.8103</v>
      </c>
      <c r="D102" s="66">
        <v>0</v>
      </c>
      <c r="E102" s="66">
        <v>18.329575000000002</v>
      </c>
      <c r="F102" s="66">
        <v>10.8103</v>
      </c>
      <c r="G102" s="66">
        <v>7.5192750000000004</v>
      </c>
      <c r="H102" s="66">
        <v>10.8103</v>
      </c>
      <c r="I102" s="66">
        <v>0.71906999999999999</v>
      </c>
      <c r="J102" s="66">
        <v>18.2730441</v>
      </c>
      <c r="K102" s="66">
        <v>10.77431185</v>
      </c>
      <c r="L102" s="66">
        <v>0</v>
      </c>
      <c r="M102" s="66">
        <v>7.4987322499999998</v>
      </c>
      <c r="N102" s="67">
        <v>99.667093882685961</v>
      </c>
      <c r="O102" s="67">
        <v>99.726798793766676</v>
      </c>
      <c r="P102" s="67">
        <v>41.037126649303055</v>
      </c>
      <c r="Q102" s="66">
        <v>0.71906999999999999</v>
      </c>
      <c r="R102" s="67">
        <v>3.5988149999999997E-2</v>
      </c>
      <c r="S102" s="66">
        <v>8.0420999999999996</v>
      </c>
      <c r="T102" s="66">
        <v>0</v>
      </c>
      <c r="U102" s="66">
        <v>12.632685</v>
      </c>
      <c r="V102" s="66">
        <v>8.0420999999999996</v>
      </c>
      <c r="W102" s="66">
        <v>4.5905849999999999</v>
      </c>
      <c r="X102" s="66">
        <v>8.0420999999999996</v>
      </c>
      <c r="Y102" s="66">
        <v>6.5930000000000001E-5</v>
      </c>
      <c r="Z102" s="66">
        <v>12.5761541</v>
      </c>
      <c r="AA102" s="66">
        <v>8.0061118499999999</v>
      </c>
      <c r="AB102" s="66">
        <v>0</v>
      </c>
      <c r="AC102" s="66">
        <v>4.5700422500000002</v>
      </c>
      <c r="AD102" s="67">
        <v>99.552503077554377</v>
      </c>
      <c r="AE102" s="67">
        <v>99.552502567755525</v>
      </c>
      <c r="AF102" s="67">
        <v>36.338949202284347</v>
      </c>
      <c r="AG102" s="187">
        <v>6.5930000000000001E-5</v>
      </c>
      <c r="AH102" s="67">
        <v>3.5988149999999546E-2</v>
      </c>
      <c r="AI102" s="66">
        <v>0</v>
      </c>
      <c r="AJ102" s="66">
        <v>0</v>
      </c>
      <c r="AK102" s="66">
        <v>0</v>
      </c>
      <c r="AL102" s="66">
        <v>0</v>
      </c>
      <c r="AM102" s="66">
        <v>0</v>
      </c>
      <c r="AN102" s="66">
        <v>0</v>
      </c>
      <c r="AO102" s="66">
        <v>0.71900407</v>
      </c>
      <c r="AP102" s="66">
        <v>0</v>
      </c>
      <c r="AQ102" s="66">
        <v>0</v>
      </c>
      <c r="AR102" s="66">
        <v>0</v>
      </c>
      <c r="AS102" s="66">
        <v>0</v>
      </c>
      <c r="AT102" s="67" t="s">
        <v>1230</v>
      </c>
      <c r="AU102" s="67" t="s">
        <v>1230</v>
      </c>
      <c r="AV102" s="67">
        <v>0</v>
      </c>
      <c r="AW102" s="187">
        <v>0.71900407</v>
      </c>
      <c r="AX102" s="67">
        <v>0</v>
      </c>
      <c r="AY102" s="66">
        <v>0</v>
      </c>
      <c r="AZ102" s="66">
        <v>0</v>
      </c>
      <c r="BA102" s="66">
        <v>0</v>
      </c>
      <c r="BB102" s="66">
        <v>0</v>
      </c>
      <c r="BC102" s="66">
        <v>0</v>
      </c>
      <c r="BD102" s="66">
        <v>0</v>
      </c>
      <c r="BE102" s="66">
        <v>0</v>
      </c>
      <c r="BF102" s="66">
        <v>0</v>
      </c>
      <c r="BG102" s="66">
        <v>0</v>
      </c>
      <c r="BH102" s="66">
        <v>0</v>
      </c>
      <c r="BI102" s="66">
        <v>0</v>
      </c>
      <c r="BJ102" s="67" t="s">
        <v>1230</v>
      </c>
      <c r="BK102" s="67" t="s">
        <v>1230</v>
      </c>
      <c r="BL102" s="67">
        <v>0</v>
      </c>
      <c r="BM102" s="187">
        <v>0</v>
      </c>
      <c r="BN102" s="67">
        <v>0</v>
      </c>
      <c r="BO102" s="66">
        <v>0</v>
      </c>
      <c r="BP102" s="66">
        <v>0</v>
      </c>
      <c r="BQ102" s="66">
        <v>0</v>
      </c>
      <c r="BR102" s="66">
        <v>0</v>
      </c>
      <c r="BS102" s="66">
        <v>0</v>
      </c>
      <c r="BT102" s="66">
        <v>0</v>
      </c>
      <c r="BU102" s="66">
        <v>0</v>
      </c>
      <c r="BV102" s="66">
        <v>0</v>
      </c>
      <c r="BW102" s="66">
        <v>0</v>
      </c>
      <c r="BX102" s="66">
        <v>0</v>
      </c>
      <c r="BY102" s="66">
        <v>0</v>
      </c>
      <c r="BZ102" s="67" t="s">
        <v>1230</v>
      </c>
      <c r="CA102" s="67" t="s">
        <v>1230</v>
      </c>
      <c r="CB102" s="67">
        <v>0</v>
      </c>
      <c r="CC102" s="187">
        <v>0</v>
      </c>
      <c r="CD102" s="67">
        <v>0</v>
      </c>
      <c r="CE102" s="66">
        <v>0</v>
      </c>
      <c r="CF102" s="66">
        <v>0</v>
      </c>
      <c r="CG102" s="66">
        <v>0</v>
      </c>
      <c r="CH102" s="66">
        <v>0</v>
      </c>
      <c r="CI102" s="66">
        <v>0</v>
      </c>
      <c r="CJ102" s="66">
        <v>0</v>
      </c>
      <c r="CK102" s="66">
        <v>0</v>
      </c>
      <c r="CL102" s="66">
        <v>0</v>
      </c>
      <c r="CM102" s="66">
        <v>0</v>
      </c>
      <c r="CN102" s="66">
        <v>0</v>
      </c>
      <c r="CO102" s="66">
        <v>0</v>
      </c>
      <c r="CP102" s="67" t="s">
        <v>1230</v>
      </c>
      <c r="CQ102" s="67" t="s">
        <v>1230</v>
      </c>
      <c r="CR102" s="67">
        <v>0</v>
      </c>
      <c r="CS102" s="187">
        <v>0</v>
      </c>
      <c r="CT102" s="67">
        <v>0</v>
      </c>
      <c r="CU102" s="66">
        <v>0</v>
      </c>
      <c r="CV102" s="66">
        <v>0</v>
      </c>
      <c r="CW102" s="66">
        <v>0</v>
      </c>
      <c r="CX102" s="66">
        <v>0</v>
      </c>
      <c r="CY102" s="66">
        <v>0</v>
      </c>
      <c r="CZ102" s="66">
        <v>0</v>
      </c>
      <c r="DA102" s="66">
        <v>0</v>
      </c>
      <c r="DB102" s="66">
        <v>0</v>
      </c>
      <c r="DC102" s="66">
        <v>0</v>
      </c>
      <c r="DD102" s="66">
        <v>0</v>
      </c>
      <c r="DE102" s="66">
        <v>0</v>
      </c>
      <c r="DF102" s="67" t="s">
        <v>1230</v>
      </c>
      <c r="DG102" s="67" t="s">
        <v>1230</v>
      </c>
      <c r="DH102" s="67">
        <v>0</v>
      </c>
      <c r="DI102" s="187">
        <v>0</v>
      </c>
      <c r="DJ102" s="67">
        <v>0</v>
      </c>
      <c r="DK102" s="66">
        <v>0</v>
      </c>
      <c r="DL102" s="66">
        <v>0</v>
      </c>
      <c r="DM102" s="66">
        <v>0</v>
      </c>
      <c r="DN102" s="66">
        <v>0</v>
      </c>
      <c r="DO102" s="66">
        <v>0</v>
      </c>
      <c r="DP102" s="66">
        <v>0</v>
      </c>
      <c r="DQ102" s="66">
        <v>0</v>
      </c>
      <c r="DR102" s="66">
        <v>0</v>
      </c>
      <c r="DS102" s="66">
        <v>0</v>
      </c>
      <c r="DT102" s="66">
        <v>0</v>
      </c>
      <c r="DU102" s="66">
        <v>0</v>
      </c>
      <c r="DV102" s="67" t="s">
        <v>1230</v>
      </c>
      <c r="DW102" s="67" t="s">
        <v>1230</v>
      </c>
      <c r="DX102" s="67">
        <v>0</v>
      </c>
      <c r="DY102" s="187">
        <v>0</v>
      </c>
      <c r="DZ102" s="67">
        <v>0</v>
      </c>
      <c r="EA102" s="66">
        <v>0</v>
      </c>
      <c r="EB102" s="66">
        <v>0</v>
      </c>
      <c r="EC102" s="66">
        <v>0</v>
      </c>
      <c r="ED102" s="66">
        <v>0</v>
      </c>
      <c r="EE102" s="66">
        <v>0</v>
      </c>
      <c r="EF102" s="66">
        <v>0</v>
      </c>
      <c r="EG102" s="66">
        <v>0</v>
      </c>
      <c r="EH102" s="66">
        <v>0</v>
      </c>
      <c r="EI102" s="66">
        <v>0</v>
      </c>
      <c r="EJ102" s="66">
        <v>0</v>
      </c>
      <c r="EK102" s="66">
        <v>0</v>
      </c>
      <c r="EL102" s="67" t="s">
        <v>1230</v>
      </c>
      <c r="EM102" s="67" t="s">
        <v>1230</v>
      </c>
      <c r="EN102" s="67">
        <v>0</v>
      </c>
      <c r="EO102" s="187">
        <v>0</v>
      </c>
      <c r="EP102" s="67">
        <v>0</v>
      </c>
      <c r="EQ102" s="66">
        <v>2.2471999999999999</v>
      </c>
      <c r="ER102" s="66">
        <v>0</v>
      </c>
      <c r="ES102" s="66">
        <v>4.8295360000000001</v>
      </c>
      <c r="ET102" s="66">
        <v>2.2471999999999999</v>
      </c>
      <c r="EU102" s="66">
        <v>2.5823360000000002</v>
      </c>
      <c r="EV102" s="66">
        <v>2.2471999999999999</v>
      </c>
      <c r="EW102" s="66">
        <v>0</v>
      </c>
      <c r="EX102" s="66">
        <v>4.8295360000000001</v>
      </c>
      <c r="EY102" s="66">
        <v>2.2471999999999999</v>
      </c>
      <c r="EZ102" s="66">
        <v>0</v>
      </c>
      <c r="FA102" s="66">
        <v>2.5823360000000002</v>
      </c>
      <c r="FB102" s="67">
        <v>100</v>
      </c>
      <c r="FC102" s="67">
        <v>100</v>
      </c>
      <c r="FD102" s="67">
        <v>53.469650086467936</v>
      </c>
      <c r="FE102" s="187">
        <v>0</v>
      </c>
      <c r="FF102" s="67">
        <v>0</v>
      </c>
      <c r="FG102" s="66">
        <v>0</v>
      </c>
      <c r="FH102" s="66">
        <v>0</v>
      </c>
      <c r="FI102" s="66">
        <v>0</v>
      </c>
      <c r="FJ102" s="66">
        <v>0</v>
      </c>
      <c r="FK102" s="66">
        <v>0</v>
      </c>
      <c r="FL102" s="66">
        <v>0</v>
      </c>
      <c r="FM102" s="66">
        <v>0</v>
      </c>
      <c r="FN102" s="66">
        <v>0</v>
      </c>
      <c r="FO102" s="66">
        <v>0</v>
      </c>
      <c r="FP102" s="66">
        <v>0</v>
      </c>
      <c r="FQ102" s="66">
        <v>0</v>
      </c>
      <c r="FR102" s="67" t="s">
        <v>1230</v>
      </c>
      <c r="FS102" s="67" t="s">
        <v>1230</v>
      </c>
      <c r="FT102" s="67">
        <v>0</v>
      </c>
      <c r="FU102" s="187">
        <v>0</v>
      </c>
      <c r="FV102" s="67">
        <v>0</v>
      </c>
      <c r="FW102" s="66">
        <v>0</v>
      </c>
      <c r="FX102" s="66">
        <v>0</v>
      </c>
      <c r="FY102" s="66">
        <v>0</v>
      </c>
      <c r="FZ102" s="66">
        <v>0</v>
      </c>
      <c r="GA102" s="66">
        <v>0</v>
      </c>
      <c r="GB102" s="66">
        <v>0</v>
      </c>
      <c r="GC102" s="66">
        <v>0</v>
      </c>
      <c r="GD102" s="66">
        <v>0</v>
      </c>
      <c r="GE102" s="66">
        <v>0</v>
      </c>
      <c r="GF102" s="66">
        <v>0</v>
      </c>
      <c r="GG102" s="66">
        <v>0</v>
      </c>
      <c r="GH102" s="67" t="s">
        <v>1230</v>
      </c>
      <c r="GI102" s="67" t="s">
        <v>1230</v>
      </c>
      <c r="GJ102" s="67">
        <v>0</v>
      </c>
      <c r="GK102" s="187">
        <v>0</v>
      </c>
      <c r="GL102" s="67">
        <v>0</v>
      </c>
      <c r="GM102" s="66">
        <v>0</v>
      </c>
      <c r="GN102" s="66">
        <v>0</v>
      </c>
      <c r="GO102" s="66">
        <v>0</v>
      </c>
      <c r="GP102" s="66">
        <v>0</v>
      </c>
      <c r="GQ102" s="66">
        <v>0</v>
      </c>
      <c r="GR102" s="66">
        <v>0</v>
      </c>
      <c r="GS102" s="66">
        <v>0</v>
      </c>
      <c r="GT102" s="66">
        <v>0</v>
      </c>
      <c r="GU102" s="66">
        <v>0</v>
      </c>
      <c r="GV102" s="66">
        <v>0</v>
      </c>
      <c r="GW102" s="66">
        <v>0</v>
      </c>
      <c r="GX102" s="67" t="s">
        <v>1230</v>
      </c>
      <c r="GY102" s="67" t="s">
        <v>1230</v>
      </c>
      <c r="GZ102" s="67">
        <v>0</v>
      </c>
      <c r="HA102" s="187">
        <v>0</v>
      </c>
      <c r="HB102" s="67">
        <v>0</v>
      </c>
      <c r="HC102" s="66">
        <v>0.52100000000000002</v>
      </c>
      <c r="HD102" s="66">
        <v>0</v>
      </c>
      <c r="HE102" s="66">
        <v>0.86735399999999996</v>
      </c>
      <c r="HF102" s="66">
        <v>0.52100000000000002</v>
      </c>
      <c r="HG102" s="66">
        <v>0.346354</v>
      </c>
      <c r="HH102" s="66">
        <v>0.52100000000000002</v>
      </c>
      <c r="HI102" s="66">
        <v>0</v>
      </c>
      <c r="HJ102" s="66">
        <v>0.86735399999999996</v>
      </c>
      <c r="HK102" s="66">
        <v>0.52100000000000002</v>
      </c>
      <c r="HL102" s="66">
        <v>0</v>
      </c>
      <c r="HM102" s="66">
        <v>0.346354</v>
      </c>
      <c r="HN102" s="67">
        <v>100</v>
      </c>
      <c r="HO102" s="67">
        <v>100</v>
      </c>
      <c r="HP102" s="67">
        <v>39.932253728004945</v>
      </c>
      <c r="HQ102" s="187">
        <v>0</v>
      </c>
      <c r="HR102" s="67">
        <v>0</v>
      </c>
      <c r="HS102" s="66">
        <v>0</v>
      </c>
      <c r="HT102" s="66">
        <v>0</v>
      </c>
      <c r="HU102" s="66">
        <v>0</v>
      </c>
      <c r="HV102" s="66">
        <v>0</v>
      </c>
      <c r="HW102" s="66">
        <v>0</v>
      </c>
      <c r="HX102" s="66">
        <v>0</v>
      </c>
      <c r="HY102" s="66">
        <v>0</v>
      </c>
      <c r="HZ102" s="66">
        <v>0</v>
      </c>
      <c r="IA102" s="66">
        <v>0</v>
      </c>
      <c r="IB102" s="66">
        <v>0</v>
      </c>
      <c r="IC102" s="66">
        <v>0</v>
      </c>
      <c r="ID102" s="67" t="s">
        <v>1230</v>
      </c>
      <c r="IE102" s="67" t="s">
        <v>1230</v>
      </c>
      <c r="IF102" s="67">
        <v>0</v>
      </c>
      <c r="IG102" s="187">
        <v>0</v>
      </c>
      <c r="IH102" s="67">
        <v>0</v>
      </c>
      <c r="II102" s="66">
        <v>0</v>
      </c>
      <c r="IJ102" s="66">
        <v>0</v>
      </c>
      <c r="IK102" s="66">
        <v>0</v>
      </c>
      <c r="IL102" s="66">
        <v>0</v>
      </c>
      <c r="IM102" s="66">
        <v>0</v>
      </c>
      <c r="IN102" s="66">
        <v>0</v>
      </c>
      <c r="IO102" s="66">
        <v>0</v>
      </c>
      <c r="IP102" s="66">
        <v>0</v>
      </c>
      <c r="IQ102" s="66">
        <v>0</v>
      </c>
      <c r="IR102" s="66">
        <v>0</v>
      </c>
      <c r="IS102" s="66">
        <v>0</v>
      </c>
      <c r="IT102" s="67" t="s">
        <v>1230</v>
      </c>
      <c r="IU102" s="67" t="s">
        <v>1230</v>
      </c>
      <c r="IV102" s="67">
        <v>0</v>
      </c>
      <c r="IW102" s="187">
        <v>0</v>
      </c>
      <c r="IX102" s="67">
        <v>0</v>
      </c>
    </row>
    <row r="103" spans="1:258" ht="15.6" x14ac:dyDescent="0.3">
      <c r="A103" s="169">
        <v>91</v>
      </c>
      <c r="B103" s="205" t="s">
        <v>249</v>
      </c>
      <c r="C103" s="66">
        <v>0</v>
      </c>
      <c r="D103" s="66">
        <v>0</v>
      </c>
      <c r="E103" s="66">
        <v>0</v>
      </c>
      <c r="F103" s="66">
        <v>0</v>
      </c>
      <c r="G103" s="66">
        <v>0</v>
      </c>
      <c r="H103" s="66">
        <v>0</v>
      </c>
      <c r="I103" s="66">
        <v>0</v>
      </c>
      <c r="J103" s="66">
        <v>0</v>
      </c>
      <c r="K103" s="66">
        <v>0</v>
      </c>
      <c r="L103" s="66">
        <v>0</v>
      </c>
      <c r="M103" s="66">
        <v>0</v>
      </c>
      <c r="N103" s="67" t="s">
        <v>1230</v>
      </c>
      <c r="O103" s="67" t="s">
        <v>1230</v>
      </c>
      <c r="P103" s="67">
        <v>0</v>
      </c>
      <c r="Q103" s="66">
        <v>0</v>
      </c>
      <c r="R103" s="67">
        <v>0</v>
      </c>
      <c r="S103" s="66">
        <v>0</v>
      </c>
      <c r="T103" s="66">
        <v>0</v>
      </c>
      <c r="U103" s="66">
        <v>0</v>
      </c>
      <c r="V103" s="66">
        <v>0</v>
      </c>
      <c r="W103" s="66">
        <v>0</v>
      </c>
      <c r="X103" s="66">
        <v>0</v>
      </c>
      <c r="Y103" s="66">
        <v>0</v>
      </c>
      <c r="Z103" s="66">
        <v>0</v>
      </c>
      <c r="AA103" s="66">
        <v>0</v>
      </c>
      <c r="AB103" s="66">
        <v>0</v>
      </c>
      <c r="AC103" s="66">
        <v>0</v>
      </c>
      <c r="AD103" s="67" t="s">
        <v>1230</v>
      </c>
      <c r="AE103" s="67" t="s">
        <v>1230</v>
      </c>
      <c r="AF103" s="67">
        <v>0</v>
      </c>
      <c r="AG103" s="187">
        <v>0</v>
      </c>
      <c r="AH103" s="67">
        <v>0</v>
      </c>
      <c r="AI103" s="66">
        <v>0</v>
      </c>
      <c r="AJ103" s="66">
        <v>0</v>
      </c>
      <c r="AK103" s="66">
        <v>0</v>
      </c>
      <c r="AL103" s="66">
        <v>0</v>
      </c>
      <c r="AM103" s="66">
        <v>0</v>
      </c>
      <c r="AN103" s="66">
        <v>0</v>
      </c>
      <c r="AO103" s="66">
        <v>0</v>
      </c>
      <c r="AP103" s="66">
        <v>0</v>
      </c>
      <c r="AQ103" s="66">
        <v>0</v>
      </c>
      <c r="AR103" s="66">
        <v>0</v>
      </c>
      <c r="AS103" s="66">
        <v>0</v>
      </c>
      <c r="AT103" s="67" t="s">
        <v>1230</v>
      </c>
      <c r="AU103" s="67" t="s">
        <v>1230</v>
      </c>
      <c r="AV103" s="67">
        <v>0</v>
      </c>
      <c r="AW103" s="187">
        <v>0</v>
      </c>
      <c r="AX103" s="67">
        <v>0</v>
      </c>
      <c r="AY103" s="66">
        <v>0</v>
      </c>
      <c r="AZ103" s="66">
        <v>0</v>
      </c>
      <c r="BA103" s="66">
        <v>0</v>
      </c>
      <c r="BB103" s="66">
        <v>0</v>
      </c>
      <c r="BC103" s="66">
        <v>0</v>
      </c>
      <c r="BD103" s="66">
        <v>0</v>
      </c>
      <c r="BE103" s="66">
        <v>0</v>
      </c>
      <c r="BF103" s="66">
        <v>0</v>
      </c>
      <c r="BG103" s="66">
        <v>0</v>
      </c>
      <c r="BH103" s="66">
        <v>0</v>
      </c>
      <c r="BI103" s="66">
        <v>0</v>
      </c>
      <c r="BJ103" s="67" t="s">
        <v>1230</v>
      </c>
      <c r="BK103" s="67" t="s">
        <v>1230</v>
      </c>
      <c r="BL103" s="67">
        <v>0</v>
      </c>
      <c r="BM103" s="187">
        <v>0</v>
      </c>
      <c r="BN103" s="67">
        <v>0</v>
      </c>
      <c r="BO103" s="66">
        <v>0</v>
      </c>
      <c r="BP103" s="66">
        <v>0</v>
      </c>
      <c r="BQ103" s="66">
        <v>0</v>
      </c>
      <c r="BR103" s="66">
        <v>0</v>
      </c>
      <c r="BS103" s="66">
        <v>0</v>
      </c>
      <c r="BT103" s="66">
        <v>0</v>
      </c>
      <c r="BU103" s="66">
        <v>0</v>
      </c>
      <c r="BV103" s="66">
        <v>0</v>
      </c>
      <c r="BW103" s="66">
        <v>0</v>
      </c>
      <c r="BX103" s="66">
        <v>0</v>
      </c>
      <c r="BY103" s="66">
        <v>0</v>
      </c>
      <c r="BZ103" s="67" t="s">
        <v>1230</v>
      </c>
      <c r="CA103" s="67" t="s">
        <v>1230</v>
      </c>
      <c r="CB103" s="67">
        <v>0</v>
      </c>
      <c r="CC103" s="187">
        <v>0</v>
      </c>
      <c r="CD103" s="67">
        <v>0</v>
      </c>
      <c r="CE103" s="66">
        <v>0</v>
      </c>
      <c r="CF103" s="66">
        <v>0</v>
      </c>
      <c r="CG103" s="66">
        <v>0</v>
      </c>
      <c r="CH103" s="66">
        <v>0</v>
      </c>
      <c r="CI103" s="66">
        <v>0</v>
      </c>
      <c r="CJ103" s="66">
        <v>0</v>
      </c>
      <c r="CK103" s="66">
        <v>0</v>
      </c>
      <c r="CL103" s="66">
        <v>0</v>
      </c>
      <c r="CM103" s="66">
        <v>0</v>
      </c>
      <c r="CN103" s="66">
        <v>0</v>
      </c>
      <c r="CO103" s="66">
        <v>0</v>
      </c>
      <c r="CP103" s="67" t="s">
        <v>1230</v>
      </c>
      <c r="CQ103" s="67" t="s">
        <v>1230</v>
      </c>
      <c r="CR103" s="67">
        <v>0</v>
      </c>
      <c r="CS103" s="187">
        <v>0</v>
      </c>
      <c r="CT103" s="67">
        <v>0</v>
      </c>
      <c r="CU103" s="66">
        <v>0</v>
      </c>
      <c r="CV103" s="66">
        <v>0</v>
      </c>
      <c r="CW103" s="66">
        <v>0</v>
      </c>
      <c r="CX103" s="66">
        <v>0</v>
      </c>
      <c r="CY103" s="66">
        <v>0</v>
      </c>
      <c r="CZ103" s="66">
        <v>0</v>
      </c>
      <c r="DA103" s="66">
        <v>0</v>
      </c>
      <c r="DB103" s="66">
        <v>0</v>
      </c>
      <c r="DC103" s="66">
        <v>0</v>
      </c>
      <c r="DD103" s="66">
        <v>0</v>
      </c>
      <c r="DE103" s="66">
        <v>0</v>
      </c>
      <c r="DF103" s="67" t="s">
        <v>1230</v>
      </c>
      <c r="DG103" s="67" t="s">
        <v>1230</v>
      </c>
      <c r="DH103" s="67">
        <v>0</v>
      </c>
      <c r="DI103" s="187">
        <v>0</v>
      </c>
      <c r="DJ103" s="67">
        <v>0</v>
      </c>
      <c r="DK103" s="66">
        <v>0</v>
      </c>
      <c r="DL103" s="66">
        <v>0</v>
      </c>
      <c r="DM103" s="66">
        <v>0</v>
      </c>
      <c r="DN103" s="66">
        <v>0</v>
      </c>
      <c r="DO103" s="66">
        <v>0</v>
      </c>
      <c r="DP103" s="66">
        <v>0</v>
      </c>
      <c r="DQ103" s="66">
        <v>0</v>
      </c>
      <c r="DR103" s="66">
        <v>0</v>
      </c>
      <c r="DS103" s="66">
        <v>0</v>
      </c>
      <c r="DT103" s="66">
        <v>0</v>
      </c>
      <c r="DU103" s="66">
        <v>0</v>
      </c>
      <c r="DV103" s="67" t="s">
        <v>1230</v>
      </c>
      <c r="DW103" s="67" t="s">
        <v>1230</v>
      </c>
      <c r="DX103" s="67">
        <v>0</v>
      </c>
      <c r="DY103" s="187">
        <v>0</v>
      </c>
      <c r="DZ103" s="67">
        <v>0</v>
      </c>
      <c r="EA103" s="66">
        <v>0</v>
      </c>
      <c r="EB103" s="66">
        <v>0</v>
      </c>
      <c r="EC103" s="66">
        <v>0</v>
      </c>
      <c r="ED103" s="66">
        <v>0</v>
      </c>
      <c r="EE103" s="66">
        <v>0</v>
      </c>
      <c r="EF103" s="66">
        <v>0</v>
      </c>
      <c r="EG103" s="66">
        <v>0</v>
      </c>
      <c r="EH103" s="66">
        <v>0</v>
      </c>
      <c r="EI103" s="66">
        <v>0</v>
      </c>
      <c r="EJ103" s="66">
        <v>0</v>
      </c>
      <c r="EK103" s="66">
        <v>0</v>
      </c>
      <c r="EL103" s="67" t="s">
        <v>1230</v>
      </c>
      <c r="EM103" s="67" t="s">
        <v>1230</v>
      </c>
      <c r="EN103" s="67">
        <v>0</v>
      </c>
      <c r="EO103" s="187">
        <v>0</v>
      </c>
      <c r="EP103" s="67">
        <v>0</v>
      </c>
      <c r="EQ103" s="66">
        <v>0</v>
      </c>
      <c r="ER103" s="66">
        <v>0</v>
      </c>
      <c r="ES103" s="66">
        <v>0</v>
      </c>
      <c r="ET103" s="66">
        <v>0</v>
      </c>
      <c r="EU103" s="66">
        <v>0</v>
      </c>
      <c r="EV103" s="66">
        <v>0</v>
      </c>
      <c r="EW103" s="66">
        <v>0</v>
      </c>
      <c r="EX103" s="66">
        <v>0</v>
      </c>
      <c r="EY103" s="66">
        <v>0</v>
      </c>
      <c r="EZ103" s="66">
        <v>0</v>
      </c>
      <c r="FA103" s="66">
        <v>0</v>
      </c>
      <c r="FB103" s="67" t="s">
        <v>1230</v>
      </c>
      <c r="FC103" s="67" t="s">
        <v>1230</v>
      </c>
      <c r="FD103" s="67">
        <v>0</v>
      </c>
      <c r="FE103" s="187">
        <v>0</v>
      </c>
      <c r="FF103" s="67">
        <v>0</v>
      </c>
      <c r="FG103" s="66">
        <v>0</v>
      </c>
      <c r="FH103" s="66">
        <v>0</v>
      </c>
      <c r="FI103" s="66">
        <v>0</v>
      </c>
      <c r="FJ103" s="66">
        <v>0</v>
      </c>
      <c r="FK103" s="66">
        <v>0</v>
      </c>
      <c r="FL103" s="66">
        <v>0</v>
      </c>
      <c r="FM103" s="66">
        <v>0</v>
      </c>
      <c r="FN103" s="66">
        <v>0</v>
      </c>
      <c r="FO103" s="66">
        <v>0</v>
      </c>
      <c r="FP103" s="66">
        <v>0</v>
      </c>
      <c r="FQ103" s="66">
        <v>0</v>
      </c>
      <c r="FR103" s="67" t="s">
        <v>1230</v>
      </c>
      <c r="FS103" s="67" t="s">
        <v>1230</v>
      </c>
      <c r="FT103" s="67">
        <v>0</v>
      </c>
      <c r="FU103" s="187">
        <v>0</v>
      </c>
      <c r="FV103" s="67">
        <v>0</v>
      </c>
      <c r="FW103" s="66">
        <v>0</v>
      </c>
      <c r="FX103" s="66">
        <v>0</v>
      </c>
      <c r="FY103" s="66">
        <v>0</v>
      </c>
      <c r="FZ103" s="66">
        <v>0</v>
      </c>
      <c r="GA103" s="66">
        <v>0</v>
      </c>
      <c r="GB103" s="66">
        <v>0</v>
      </c>
      <c r="GC103" s="66">
        <v>0</v>
      </c>
      <c r="GD103" s="66">
        <v>0</v>
      </c>
      <c r="GE103" s="66">
        <v>0</v>
      </c>
      <c r="GF103" s="66">
        <v>0</v>
      </c>
      <c r="GG103" s="66">
        <v>0</v>
      </c>
      <c r="GH103" s="67" t="s">
        <v>1230</v>
      </c>
      <c r="GI103" s="67" t="s">
        <v>1230</v>
      </c>
      <c r="GJ103" s="67">
        <v>0</v>
      </c>
      <c r="GK103" s="187">
        <v>0</v>
      </c>
      <c r="GL103" s="67">
        <v>0</v>
      </c>
      <c r="GM103" s="66">
        <v>0</v>
      </c>
      <c r="GN103" s="66">
        <v>0</v>
      </c>
      <c r="GO103" s="66">
        <v>0</v>
      </c>
      <c r="GP103" s="66">
        <v>0</v>
      </c>
      <c r="GQ103" s="66">
        <v>0</v>
      </c>
      <c r="GR103" s="66">
        <v>0</v>
      </c>
      <c r="GS103" s="66">
        <v>0</v>
      </c>
      <c r="GT103" s="66">
        <v>0</v>
      </c>
      <c r="GU103" s="66">
        <v>0</v>
      </c>
      <c r="GV103" s="66">
        <v>0</v>
      </c>
      <c r="GW103" s="66">
        <v>0</v>
      </c>
      <c r="GX103" s="67" t="s">
        <v>1230</v>
      </c>
      <c r="GY103" s="67" t="s">
        <v>1230</v>
      </c>
      <c r="GZ103" s="67">
        <v>0</v>
      </c>
      <c r="HA103" s="187">
        <v>0</v>
      </c>
      <c r="HB103" s="67">
        <v>0</v>
      </c>
      <c r="HC103" s="66">
        <v>0</v>
      </c>
      <c r="HD103" s="66">
        <v>0</v>
      </c>
      <c r="HE103" s="66">
        <v>0</v>
      </c>
      <c r="HF103" s="66">
        <v>0</v>
      </c>
      <c r="HG103" s="66">
        <v>0</v>
      </c>
      <c r="HH103" s="66">
        <v>0</v>
      </c>
      <c r="HI103" s="66">
        <v>0</v>
      </c>
      <c r="HJ103" s="66">
        <v>0</v>
      </c>
      <c r="HK103" s="66">
        <v>0</v>
      </c>
      <c r="HL103" s="66">
        <v>0</v>
      </c>
      <c r="HM103" s="66">
        <v>0</v>
      </c>
      <c r="HN103" s="67" t="s">
        <v>1230</v>
      </c>
      <c r="HO103" s="67" t="s">
        <v>1230</v>
      </c>
      <c r="HP103" s="67">
        <v>0</v>
      </c>
      <c r="HQ103" s="187">
        <v>0</v>
      </c>
      <c r="HR103" s="67">
        <v>0</v>
      </c>
      <c r="HS103" s="66">
        <v>0</v>
      </c>
      <c r="HT103" s="66">
        <v>0</v>
      </c>
      <c r="HU103" s="66">
        <v>0</v>
      </c>
      <c r="HV103" s="66">
        <v>0</v>
      </c>
      <c r="HW103" s="66">
        <v>0</v>
      </c>
      <c r="HX103" s="66">
        <v>0</v>
      </c>
      <c r="HY103" s="66">
        <v>0</v>
      </c>
      <c r="HZ103" s="66">
        <v>0</v>
      </c>
      <c r="IA103" s="66">
        <v>0</v>
      </c>
      <c r="IB103" s="66">
        <v>0</v>
      </c>
      <c r="IC103" s="66">
        <v>0</v>
      </c>
      <c r="ID103" s="67" t="s">
        <v>1230</v>
      </c>
      <c r="IE103" s="67" t="s">
        <v>1230</v>
      </c>
      <c r="IF103" s="67">
        <v>0</v>
      </c>
      <c r="IG103" s="187">
        <v>0</v>
      </c>
      <c r="IH103" s="67">
        <v>0</v>
      </c>
      <c r="II103" s="66">
        <v>0</v>
      </c>
      <c r="IJ103" s="66">
        <v>0</v>
      </c>
      <c r="IK103" s="66">
        <v>0</v>
      </c>
      <c r="IL103" s="66">
        <v>0</v>
      </c>
      <c r="IM103" s="66">
        <v>0</v>
      </c>
      <c r="IN103" s="66">
        <v>0</v>
      </c>
      <c r="IO103" s="66">
        <v>0</v>
      </c>
      <c r="IP103" s="66">
        <v>0</v>
      </c>
      <c r="IQ103" s="66">
        <v>0</v>
      </c>
      <c r="IR103" s="66">
        <v>0</v>
      </c>
      <c r="IS103" s="66">
        <v>0</v>
      </c>
      <c r="IT103" s="67" t="s">
        <v>1230</v>
      </c>
      <c r="IU103" s="67" t="s">
        <v>1230</v>
      </c>
      <c r="IV103" s="67">
        <v>0</v>
      </c>
      <c r="IW103" s="187">
        <v>0</v>
      </c>
      <c r="IX103" s="67">
        <v>0</v>
      </c>
    </row>
    <row r="104" spans="1:258" ht="15.6" x14ac:dyDescent="0.3">
      <c r="A104" s="169">
        <v>92</v>
      </c>
      <c r="B104" s="205" t="s">
        <v>252</v>
      </c>
      <c r="C104" s="66">
        <v>3.6034000000000002</v>
      </c>
      <c r="D104" s="66">
        <v>0</v>
      </c>
      <c r="E104" s="66">
        <v>8.3800000000000008</v>
      </c>
      <c r="F104" s="66">
        <v>3.6034000000000002</v>
      </c>
      <c r="G104" s="66">
        <v>4.7766000000000002</v>
      </c>
      <c r="H104" s="66">
        <v>3.6034000000000002</v>
      </c>
      <c r="I104" s="66">
        <v>0</v>
      </c>
      <c r="J104" s="66">
        <v>8.37999999</v>
      </c>
      <c r="K104" s="66">
        <v>3.6034000000000002</v>
      </c>
      <c r="L104" s="66">
        <v>0</v>
      </c>
      <c r="M104" s="66">
        <v>4.7765999900000002</v>
      </c>
      <c r="N104" s="67">
        <v>100</v>
      </c>
      <c r="O104" s="67">
        <v>99.999999790646072</v>
      </c>
      <c r="P104" s="67">
        <v>56.999999948687353</v>
      </c>
      <c r="Q104" s="66">
        <v>0</v>
      </c>
      <c r="R104" s="67">
        <v>0</v>
      </c>
      <c r="S104" s="66">
        <v>3.6034000000000002</v>
      </c>
      <c r="T104" s="66">
        <v>0</v>
      </c>
      <c r="U104" s="66">
        <v>8.3800000000000008</v>
      </c>
      <c r="V104" s="66">
        <v>3.6034000000000002</v>
      </c>
      <c r="W104" s="66">
        <v>4.7766000000000002</v>
      </c>
      <c r="X104" s="66">
        <v>3.6034000000000002</v>
      </c>
      <c r="Y104" s="66">
        <v>0</v>
      </c>
      <c r="Z104" s="66">
        <v>8.37999999</v>
      </c>
      <c r="AA104" s="66">
        <v>3.6034000000000002</v>
      </c>
      <c r="AB104" s="66">
        <v>0</v>
      </c>
      <c r="AC104" s="66">
        <v>4.7765999900000002</v>
      </c>
      <c r="AD104" s="67">
        <v>100</v>
      </c>
      <c r="AE104" s="67">
        <v>99.999999790646072</v>
      </c>
      <c r="AF104" s="67">
        <v>56.999999948687353</v>
      </c>
      <c r="AG104" s="187">
        <v>0</v>
      </c>
      <c r="AH104" s="67">
        <v>0</v>
      </c>
      <c r="AI104" s="66">
        <v>0</v>
      </c>
      <c r="AJ104" s="66">
        <v>0</v>
      </c>
      <c r="AK104" s="66">
        <v>0</v>
      </c>
      <c r="AL104" s="66">
        <v>0</v>
      </c>
      <c r="AM104" s="66">
        <v>0</v>
      </c>
      <c r="AN104" s="66">
        <v>0</v>
      </c>
      <c r="AO104" s="66">
        <v>0</v>
      </c>
      <c r="AP104" s="66">
        <v>0</v>
      </c>
      <c r="AQ104" s="66">
        <v>0</v>
      </c>
      <c r="AR104" s="66">
        <v>0</v>
      </c>
      <c r="AS104" s="66">
        <v>0</v>
      </c>
      <c r="AT104" s="67" t="s">
        <v>1230</v>
      </c>
      <c r="AU104" s="67" t="s">
        <v>1230</v>
      </c>
      <c r="AV104" s="67">
        <v>0</v>
      </c>
      <c r="AW104" s="187">
        <v>0</v>
      </c>
      <c r="AX104" s="67">
        <v>0</v>
      </c>
      <c r="AY104" s="66">
        <v>0</v>
      </c>
      <c r="AZ104" s="66">
        <v>0</v>
      </c>
      <c r="BA104" s="66">
        <v>0</v>
      </c>
      <c r="BB104" s="66">
        <v>0</v>
      </c>
      <c r="BC104" s="66">
        <v>0</v>
      </c>
      <c r="BD104" s="66">
        <v>0</v>
      </c>
      <c r="BE104" s="66">
        <v>0</v>
      </c>
      <c r="BF104" s="66">
        <v>0</v>
      </c>
      <c r="BG104" s="66">
        <v>0</v>
      </c>
      <c r="BH104" s="66">
        <v>0</v>
      </c>
      <c r="BI104" s="66">
        <v>0</v>
      </c>
      <c r="BJ104" s="67" t="s">
        <v>1230</v>
      </c>
      <c r="BK104" s="67" t="s">
        <v>1230</v>
      </c>
      <c r="BL104" s="67">
        <v>0</v>
      </c>
      <c r="BM104" s="187">
        <v>0</v>
      </c>
      <c r="BN104" s="67">
        <v>0</v>
      </c>
      <c r="BO104" s="66">
        <v>0</v>
      </c>
      <c r="BP104" s="66">
        <v>0</v>
      </c>
      <c r="BQ104" s="66">
        <v>0</v>
      </c>
      <c r="BR104" s="66">
        <v>0</v>
      </c>
      <c r="BS104" s="66">
        <v>0</v>
      </c>
      <c r="BT104" s="66">
        <v>0</v>
      </c>
      <c r="BU104" s="66">
        <v>0</v>
      </c>
      <c r="BV104" s="66">
        <v>0</v>
      </c>
      <c r="BW104" s="66">
        <v>0</v>
      </c>
      <c r="BX104" s="66">
        <v>0</v>
      </c>
      <c r="BY104" s="66">
        <v>0</v>
      </c>
      <c r="BZ104" s="67" t="s">
        <v>1230</v>
      </c>
      <c r="CA104" s="67" t="s">
        <v>1230</v>
      </c>
      <c r="CB104" s="67">
        <v>0</v>
      </c>
      <c r="CC104" s="187">
        <v>0</v>
      </c>
      <c r="CD104" s="67">
        <v>0</v>
      </c>
      <c r="CE104" s="66">
        <v>0</v>
      </c>
      <c r="CF104" s="66">
        <v>0</v>
      </c>
      <c r="CG104" s="66">
        <v>0</v>
      </c>
      <c r="CH104" s="66">
        <v>0</v>
      </c>
      <c r="CI104" s="66">
        <v>0</v>
      </c>
      <c r="CJ104" s="66">
        <v>0</v>
      </c>
      <c r="CK104" s="66">
        <v>0</v>
      </c>
      <c r="CL104" s="66">
        <v>0</v>
      </c>
      <c r="CM104" s="66">
        <v>0</v>
      </c>
      <c r="CN104" s="66">
        <v>0</v>
      </c>
      <c r="CO104" s="66">
        <v>0</v>
      </c>
      <c r="CP104" s="67" t="s">
        <v>1230</v>
      </c>
      <c r="CQ104" s="67" t="s">
        <v>1230</v>
      </c>
      <c r="CR104" s="67">
        <v>0</v>
      </c>
      <c r="CS104" s="187">
        <v>0</v>
      </c>
      <c r="CT104" s="67">
        <v>0</v>
      </c>
      <c r="CU104" s="66">
        <v>0</v>
      </c>
      <c r="CV104" s="66">
        <v>0</v>
      </c>
      <c r="CW104" s="66">
        <v>0</v>
      </c>
      <c r="CX104" s="66">
        <v>0</v>
      </c>
      <c r="CY104" s="66">
        <v>0</v>
      </c>
      <c r="CZ104" s="66">
        <v>0</v>
      </c>
      <c r="DA104" s="66">
        <v>0</v>
      </c>
      <c r="DB104" s="66">
        <v>0</v>
      </c>
      <c r="DC104" s="66">
        <v>0</v>
      </c>
      <c r="DD104" s="66">
        <v>0</v>
      </c>
      <c r="DE104" s="66">
        <v>0</v>
      </c>
      <c r="DF104" s="67" t="s">
        <v>1230</v>
      </c>
      <c r="DG104" s="67" t="s">
        <v>1230</v>
      </c>
      <c r="DH104" s="67">
        <v>0</v>
      </c>
      <c r="DI104" s="187">
        <v>0</v>
      </c>
      <c r="DJ104" s="67">
        <v>0</v>
      </c>
      <c r="DK104" s="66">
        <v>0</v>
      </c>
      <c r="DL104" s="66">
        <v>0</v>
      </c>
      <c r="DM104" s="66">
        <v>0</v>
      </c>
      <c r="DN104" s="66">
        <v>0</v>
      </c>
      <c r="DO104" s="66">
        <v>0</v>
      </c>
      <c r="DP104" s="66">
        <v>0</v>
      </c>
      <c r="DQ104" s="66">
        <v>0</v>
      </c>
      <c r="DR104" s="66">
        <v>0</v>
      </c>
      <c r="DS104" s="66">
        <v>0</v>
      </c>
      <c r="DT104" s="66">
        <v>0</v>
      </c>
      <c r="DU104" s="66">
        <v>0</v>
      </c>
      <c r="DV104" s="67" t="s">
        <v>1230</v>
      </c>
      <c r="DW104" s="67" t="s">
        <v>1230</v>
      </c>
      <c r="DX104" s="67">
        <v>0</v>
      </c>
      <c r="DY104" s="187">
        <v>0</v>
      </c>
      <c r="DZ104" s="67">
        <v>0</v>
      </c>
      <c r="EA104" s="66">
        <v>0</v>
      </c>
      <c r="EB104" s="66">
        <v>0</v>
      </c>
      <c r="EC104" s="66">
        <v>0</v>
      </c>
      <c r="ED104" s="66">
        <v>0</v>
      </c>
      <c r="EE104" s="66">
        <v>0</v>
      </c>
      <c r="EF104" s="66">
        <v>0</v>
      </c>
      <c r="EG104" s="66">
        <v>0</v>
      </c>
      <c r="EH104" s="66">
        <v>0</v>
      </c>
      <c r="EI104" s="66">
        <v>0</v>
      </c>
      <c r="EJ104" s="66">
        <v>0</v>
      </c>
      <c r="EK104" s="66">
        <v>0</v>
      </c>
      <c r="EL104" s="67" t="s">
        <v>1230</v>
      </c>
      <c r="EM104" s="67" t="s">
        <v>1230</v>
      </c>
      <c r="EN104" s="67">
        <v>0</v>
      </c>
      <c r="EO104" s="187">
        <v>0</v>
      </c>
      <c r="EP104" s="67">
        <v>0</v>
      </c>
      <c r="EQ104" s="66">
        <v>0</v>
      </c>
      <c r="ER104" s="66">
        <v>0</v>
      </c>
      <c r="ES104" s="66">
        <v>0</v>
      </c>
      <c r="ET104" s="66">
        <v>0</v>
      </c>
      <c r="EU104" s="66">
        <v>0</v>
      </c>
      <c r="EV104" s="66">
        <v>0</v>
      </c>
      <c r="EW104" s="66">
        <v>0</v>
      </c>
      <c r="EX104" s="66">
        <v>0</v>
      </c>
      <c r="EY104" s="66">
        <v>0</v>
      </c>
      <c r="EZ104" s="66">
        <v>0</v>
      </c>
      <c r="FA104" s="66">
        <v>0</v>
      </c>
      <c r="FB104" s="67" t="s">
        <v>1230</v>
      </c>
      <c r="FC104" s="67" t="s">
        <v>1230</v>
      </c>
      <c r="FD104" s="67">
        <v>0</v>
      </c>
      <c r="FE104" s="187">
        <v>0</v>
      </c>
      <c r="FF104" s="67">
        <v>0</v>
      </c>
      <c r="FG104" s="66">
        <v>0</v>
      </c>
      <c r="FH104" s="66">
        <v>0</v>
      </c>
      <c r="FI104" s="66">
        <v>0</v>
      </c>
      <c r="FJ104" s="66">
        <v>0</v>
      </c>
      <c r="FK104" s="66">
        <v>0</v>
      </c>
      <c r="FL104" s="66">
        <v>0</v>
      </c>
      <c r="FM104" s="66">
        <v>0</v>
      </c>
      <c r="FN104" s="66">
        <v>0</v>
      </c>
      <c r="FO104" s="66">
        <v>0</v>
      </c>
      <c r="FP104" s="66">
        <v>0</v>
      </c>
      <c r="FQ104" s="66">
        <v>0</v>
      </c>
      <c r="FR104" s="67" t="s">
        <v>1230</v>
      </c>
      <c r="FS104" s="67" t="s">
        <v>1230</v>
      </c>
      <c r="FT104" s="67">
        <v>0</v>
      </c>
      <c r="FU104" s="187">
        <v>0</v>
      </c>
      <c r="FV104" s="67">
        <v>0</v>
      </c>
      <c r="FW104" s="66">
        <v>0</v>
      </c>
      <c r="FX104" s="66">
        <v>0</v>
      </c>
      <c r="FY104" s="66">
        <v>0</v>
      </c>
      <c r="FZ104" s="66">
        <v>0</v>
      </c>
      <c r="GA104" s="66">
        <v>0</v>
      </c>
      <c r="GB104" s="66">
        <v>0</v>
      </c>
      <c r="GC104" s="66">
        <v>0</v>
      </c>
      <c r="GD104" s="66">
        <v>0</v>
      </c>
      <c r="GE104" s="66">
        <v>0</v>
      </c>
      <c r="GF104" s="66">
        <v>0</v>
      </c>
      <c r="GG104" s="66">
        <v>0</v>
      </c>
      <c r="GH104" s="67" t="s">
        <v>1230</v>
      </c>
      <c r="GI104" s="67" t="s">
        <v>1230</v>
      </c>
      <c r="GJ104" s="67">
        <v>0</v>
      </c>
      <c r="GK104" s="187">
        <v>0</v>
      </c>
      <c r="GL104" s="67">
        <v>0</v>
      </c>
      <c r="GM104" s="66">
        <v>0</v>
      </c>
      <c r="GN104" s="66">
        <v>0</v>
      </c>
      <c r="GO104" s="66">
        <v>0</v>
      </c>
      <c r="GP104" s="66">
        <v>0</v>
      </c>
      <c r="GQ104" s="66">
        <v>0</v>
      </c>
      <c r="GR104" s="66">
        <v>0</v>
      </c>
      <c r="GS104" s="66">
        <v>0</v>
      </c>
      <c r="GT104" s="66">
        <v>0</v>
      </c>
      <c r="GU104" s="66">
        <v>0</v>
      </c>
      <c r="GV104" s="66">
        <v>0</v>
      </c>
      <c r="GW104" s="66">
        <v>0</v>
      </c>
      <c r="GX104" s="67" t="s">
        <v>1230</v>
      </c>
      <c r="GY104" s="67" t="s">
        <v>1230</v>
      </c>
      <c r="GZ104" s="67">
        <v>0</v>
      </c>
      <c r="HA104" s="187">
        <v>0</v>
      </c>
      <c r="HB104" s="67">
        <v>0</v>
      </c>
      <c r="HC104" s="66">
        <v>0</v>
      </c>
      <c r="HD104" s="66">
        <v>0</v>
      </c>
      <c r="HE104" s="66">
        <v>0</v>
      </c>
      <c r="HF104" s="66">
        <v>0</v>
      </c>
      <c r="HG104" s="66">
        <v>0</v>
      </c>
      <c r="HH104" s="66">
        <v>0</v>
      </c>
      <c r="HI104" s="66">
        <v>0</v>
      </c>
      <c r="HJ104" s="66">
        <v>0</v>
      </c>
      <c r="HK104" s="66">
        <v>0</v>
      </c>
      <c r="HL104" s="66">
        <v>0</v>
      </c>
      <c r="HM104" s="66">
        <v>0</v>
      </c>
      <c r="HN104" s="67" t="s">
        <v>1230</v>
      </c>
      <c r="HO104" s="67" t="s">
        <v>1230</v>
      </c>
      <c r="HP104" s="67">
        <v>0</v>
      </c>
      <c r="HQ104" s="187">
        <v>0</v>
      </c>
      <c r="HR104" s="67">
        <v>0</v>
      </c>
      <c r="HS104" s="66">
        <v>0</v>
      </c>
      <c r="HT104" s="66">
        <v>0</v>
      </c>
      <c r="HU104" s="66">
        <v>0</v>
      </c>
      <c r="HV104" s="66">
        <v>0</v>
      </c>
      <c r="HW104" s="66">
        <v>0</v>
      </c>
      <c r="HX104" s="66">
        <v>0</v>
      </c>
      <c r="HY104" s="66">
        <v>0</v>
      </c>
      <c r="HZ104" s="66">
        <v>0</v>
      </c>
      <c r="IA104" s="66">
        <v>0</v>
      </c>
      <c r="IB104" s="66">
        <v>0</v>
      </c>
      <c r="IC104" s="66">
        <v>0</v>
      </c>
      <c r="ID104" s="67" t="s">
        <v>1230</v>
      </c>
      <c r="IE104" s="67" t="s">
        <v>1230</v>
      </c>
      <c r="IF104" s="67">
        <v>0</v>
      </c>
      <c r="IG104" s="187">
        <v>0</v>
      </c>
      <c r="IH104" s="67">
        <v>0</v>
      </c>
      <c r="II104" s="66">
        <v>0</v>
      </c>
      <c r="IJ104" s="66">
        <v>0</v>
      </c>
      <c r="IK104" s="66">
        <v>0</v>
      </c>
      <c r="IL104" s="66">
        <v>0</v>
      </c>
      <c r="IM104" s="66">
        <v>0</v>
      </c>
      <c r="IN104" s="66">
        <v>0</v>
      </c>
      <c r="IO104" s="66">
        <v>0</v>
      </c>
      <c r="IP104" s="66">
        <v>0</v>
      </c>
      <c r="IQ104" s="66">
        <v>0</v>
      </c>
      <c r="IR104" s="66">
        <v>0</v>
      </c>
      <c r="IS104" s="66">
        <v>0</v>
      </c>
      <c r="IT104" s="67" t="s">
        <v>1230</v>
      </c>
      <c r="IU104" s="67" t="s">
        <v>1230</v>
      </c>
      <c r="IV104" s="67">
        <v>0</v>
      </c>
      <c r="IW104" s="187">
        <v>0</v>
      </c>
      <c r="IX104" s="67">
        <v>0</v>
      </c>
    </row>
    <row r="105" spans="1:258" ht="15.6" x14ac:dyDescent="0.3">
      <c r="A105" s="169">
        <v>93</v>
      </c>
      <c r="B105" s="205" t="s">
        <v>254</v>
      </c>
      <c r="C105" s="66">
        <v>8.1699000000000002</v>
      </c>
      <c r="D105" s="66">
        <v>0</v>
      </c>
      <c r="E105" s="66">
        <v>6.7117777799999994</v>
      </c>
      <c r="F105" s="66">
        <v>6.0405999999999995</v>
      </c>
      <c r="G105" s="66">
        <v>0.67117778000000006</v>
      </c>
      <c r="H105" s="66">
        <v>5.9905953299999997</v>
      </c>
      <c r="I105" s="66">
        <v>0</v>
      </c>
      <c r="J105" s="66">
        <v>6.6562170400000005</v>
      </c>
      <c r="K105" s="66">
        <v>5.9905953299999997</v>
      </c>
      <c r="L105" s="66">
        <v>0</v>
      </c>
      <c r="M105" s="66">
        <v>0.66562170999999992</v>
      </c>
      <c r="N105" s="67">
        <v>73.325197738038412</v>
      </c>
      <c r="O105" s="67">
        <v>99.172191010256611</v>
      </c>
      <c r="P105" s="67">
        <v>10.00000009014129</v>
      </c>
      <c r="Q105" s="66">
        <v>0</v>
      </c>
      <c r="R105" s="67">
        <v>0</v>
      </c>
      <c r="S105" s="66">
        <v>5.5885999999999996</v>
      </c>
      <c r="T105" s="66">
        <v>0</v>
      </c>
      <c r="U105" s="66">
        <v>6.2095555599999992</v>
      </c>
      <c r="V105" s="66">
        <v>5.5885999999999996</v>
      </c>
      <c r="W105" s="66">
        <v>0.62095556000000007</v>
      </c>
      <c r="X105" s="66">
        <v>5.5385953299999997</v>
      </c>
      <c r="Y105" s="66">
        <v>0</v>
      </c>
      <c r="Z105" s="66">
        <v>6.1539948200000003</v>
      </c>
      <c r="AA105" s="66">
        <v>5.5385953299999997</v>
      </c>
      <c r="AB105" s="66">
        <v>0</v>
      </c>
      <c r="AC105" s="66">
        <v>0.61539948999999994</v>
      </c>
      <c r="AD105" s="67">
        <v>99.105237984468388</v>
      </c>
      <c r="AE105" s="67">
        <v>99.10523870661531</v>
      </c>
      <c r="AF105" s="67">
        <v>10.000000129996858</v>
      </c>
      <c r="AG105" s="187">
        <v>0</v>
      </c>
      <c r="AH105" s="67">
        <v>0</v>
      </c>
      <c r="AI105" s="66">
        <v>0</v>
      </c>
      <c r="AJ105" s="66">
        <v>0</v>
      </c>
      <c r="AK105" s="66">
        <v>0</v>
      </c>
      <c r="AL105" s="66">
        <v>0</v>
      </c>
      <c r="AM105" s="66">
        <v>0</v>
      </c>
      <c r="AN105" s="66">
        <v>0</v>
      </c>
      <c r="AO105" s="66">
        <v>0</v>
      </c>
      <c r="AP105" s="66">
        <v>0</v>
      </c>
      <c r="AQ105" s="66">
        <v>0</v>
      </c>
      <c r="AR105" s="66">
        <v>0</v>
      </c>
      <c r="AS105" s="66">
        <v>0</v>
      </c>
      <c r="AT105" s="67" t="s">
        <v>1230</v>
      </c>
      <c r="AU105" s="67" t="s">
        <v>1230</v>
      </c>
      <c r="AV105" s="67">
        <v>0</v>
      </c>
      <c r="AW105" s="187">
        <v>0</v>
      </c>
      <c r="AX105" s="67">
        <v>0</v>
      </c>
      <c r="AY105" s="66">
        <v>0</v>
      </c>
      <c r="AZ105" s="66">
        <v>0</v>
      </c>
      <c r="BA105" s="66">
        <v>0</v>
      </c>
      <c r="BB105" s="66">
        <v>0</v>
      </c>
      <c r="BC105" s="66">
        <v>0</v>
      </c>
      <c r="BD105" s="66">
        <v>0</v>
      </c>
      <c r="BE105" s="66">
        <v>0</v>
      </c>
      <c r="BF105" s="66">
        <v>0</v>
      </c>
      <c r="BG105" s="66">
        <v>0</v>
      </c>
      <c r="BH105" s="66">
        <v>0</v>
      </c>
      <c r="BI105" s="66">
        <v>0</v>
      </c>
      <c r="BJ105" s="67" t="s">
        <v>1230</v>
      </c>
      <c r="BK105" s="67" t="s">
        <v>1230</v>
      </c>
      <c r="BL105" s="67">
        <v>0</v>
      </c>
      <c r="BM105" s="187">
        <v>0</v>
      </c>
      <c r="BN105" s="67">
        <v>0</v>
      </c>
      <c r="BO105" s="66">
        <v>0</v>
      </c>
      <c r="BP105" s="66">
        <v>0</v>
      </c>
      <c r="BQ105" s="66">
        <v>0</v>
      </c>
      <c r="BR105" s="66">
        <v>0</v>
      </c>
      <c r="BS105" s="66">
        <v>0</v>
      </c>
      <c r="BT105" s="66">
        <v>0</v>
      </c>
      <c r="BU105" s="66">
        <v>0</v>
      </c>
      <c r="BV105" s="66">
        <v>0</v>
      </c>
      <c r="BW105" s="66">
        <v>0</v>
      </c>
      <c r="BX105" s="66">
        <v>0</v>
      </c>
      <c r="BY105" s="66">
        <v>0</v>
      </c>
      <c r="BZ105" s="67" t="s">
        <v>1230</v>
      </c>
      <c r="CA105" s="67" t="s">
        <v>1230</v>
      </c>
      <c r="CB105" s="67">
        <v>0</v>
      </c>
      <c r="CC105" s="187">
        <v>0</v>
      </c>
      <c r="CD105" s="67">
        <v>0</v>
      </c>
      <c r="CE105" s="66">
        <v>0</v>
      </c>
      <c r="CF105" s="66">
        <v>0</v>
      </c>
      <c r="CG105" s="66">
        <v>0</v>
      </c>
      <c r="CH105" s="66">
        <v>0</v>
      </c>
      <c r="CI105" s="66">
        <v>0</v>
      </c>
      <c r="CJ105" s="66">
        <v>0</v>
      </c>
      <c r="CK105" s="66">
        <v>0</v>
      </c>
      <c r="CL105" s="66">
        <v>0</v>
      </c>
      <c r="CM105" s="66">
        <v>0</v>
      </c>
      <c r="CN105" s="66">
        <v>0</v>
      </c>
      <c r="CO105" s="66">
        <v>0</v>
      </c>
      <c r="CP105" s="67" t="s">
        <v>1230</v>
      </c>
      <c r="CQ105" s="67" t="s">
        <v>1230</v>
      </c>
      <c r="CR105" s="67">
        <v>0</v>
      </c>
      <c r="CS105" s="187">
        <v>0</v>
      </c>
      <c r="CT105" s="67">
        <v>0</v>
      </c>
      <c r="CU105" s="66">
        <v>0</v>
      </c>
      <c r="CV105" s="66">
        <v>0</v>
      </c>
      <c r="CW105" s="66">
        <v>0</v>
      </c>
      <c r="CX105" s="66">
        <v>0</v>
      </c>
      <c r="CY105" s="66">
        <v>0</v>
      </c>
      <c r="CZ105" s="66">
        <v>0</v>
      </c>
      <c r="DA105" s="66">
        <v>0</v>
      </c>
      <c r="DB105" s="66">
        <v>0</v>
      </c>
      <c r="DC105" s="66">
        <v>0</v>
      </c>
      <c r="DD105" s="66">
        <v>0</v>
      </c>
      <c r="DE105" s="66">
        <v>0</v>
      </c>
      <c r="DF105" s="67" t="s">
        <v>1230</v>
      </c>
      <c r="DG105" s="67" t="s">
        <v>1230</v>
      </c>
      <c r="DH105" s="67">
        <v>0</v>
      </c>
      <c r="DI105" s="187">
        <v>0</v>
      </c>
      <c r="DJ105" s="67">
        <v>0</v>
      </c>
      <c r="DK105" s="66">
        <v>2.1293000000000002</v>
      </c>
      <c r="DL105" s="66">
        <v>0</v>
      </c>
      <c r="DM105" s="66">
        <v>0</v>
      </c>
      <c r="DN105" s="66">
        <v>0</v>
      </c>
      <c r="DO105" s="66">
        <v>0</v>
      </c>
      <c r="DP105" s="66">
        <v>0</v>
      </c>
      <c r="DQ105" s="66">
        <v>0</v>
      </c>
      <c r="DR105" s="66">
        <v>0</v>
      </c>
      <c r="DS105" s="66">
        <v>0</v>
      </c>
      <c r="DT105" s="66">
        <v>0</v>
      </c>
      <c r="DU105" s="66">
        <v>0</v>
      </c>
      <c r="DV105" s="67">
        <v>0</v>
      </c>
      <c r="DW105" s="67" t="s">
        <v>1230</v>
      </c>
      <c r="DX105" s="67">
        <v>0</v>
      </c>
      <c r="DY105" s="187">
        <v>0</v>
      </c>
      <c r="DZ105" s="67">
        <v>0</v>
      </c>
      <c r="EA105" s="66">
        <v>0</v>
      </c>
      <c r="EB105" s="66">
        <v>0</v>
      </c>
      <c r="EC105" s="66">
        <v>0</v>
      </c>
      <c r="ED105" s="66">
        <v>0</v>
      </c>
      <c r="EE105" s="66">
        <v>0</v>
      </c>
      <c r="EF105" s="66">
        <v>0</v>
      </c>
      <c r="EG105" s="66">
        <v>0</v>
      </c>
      <c r="EH105" s="66">
        <v>0</v>
      </c>
      <c r="EI105" s="66">
        <v>0</v>
      </c>
      <c r="EJ105" s="66">
        <v>0</v>
      </c>
      <c r="EK105" s="66">
        <v>0</v>
      </c>
      <c r="EL105" s="67" t="s">
        <v>1230</v>
      </c>
      <c r="EM105" s="67" t="s">
        <v>1230</v>
      </c>
      <c r="EN105" s="67">
        <v>0</v>
      </c>
      <c r="EO105" s="187">
        <v>0</v>
      </c>
      <c r="EP105" s="67">
        <v>0</v>
      </c>
      <c r="EQ105" s="66">
        <v>0</v>
      </c>
      <c r="ER105" s="66">
        <v>0</v>
      </c>
      <c r="ES105" s="66">
        <v>0</v>
      </c>
      <c r="ET105" s="66">
        <v>0</v>
      </c>
      <c r="EU105" s="66">
        <v>0</v>
      </c>
      <c r="EV105" s="66">
        <v>0</v>
      </c>
      <c r="EW105" s="66">
        <v>0</v>
      </c>
      <c r="EX105" s="66">
        <v>0</v>
      </c>
      <c r="EY105" s="66">
        <v>0</v>
      </c>
      <c r="EZ105" s="66">
        <v>0</v>
      </c>
      <c r="FA105" s="66">
        <v>0</v>
      </c>
      <c r="FB105" s="67" t="s">
        <v>1230</v>
      </c>
      <c r="FC105" s="67" t="s">
        <v>1230</v>
      </c>
      <c r="FD105" s="67">
        <v>0</v>
      </c>
      <c r="FE105" s="187">
        <v>0</v>
      </c>
      <c r="FF105" s="67">
        <v>0</v>
      </c>
      <c r="FG105" s="66">
        <v>0</v>
      </c>
      <c r="FH105" s="66">
        <v>0</v>
      </c>
      <c r="FI105" s="66">
        <v>0</v>
      </c>
      <c r="FJ105" s="66">
        <v>0</v>
      </c>
      <c r="FK105" s="66">
        <v>0</v>
      </c>
      <c r="FL105" s="66">
        <v>0</v>
      </c>
      <c r="FM105" s="66">
        <v>0</v>
      </c>
      <c r="FN105" s="66">
        <v>0</v>
      </c>
      <c r="FO105" s="66">
        <v>0</v>
      </c>
      <c r="FP105" s="66">
        <v>0</v>
      </c>
      <c r="FQ105" s="66">
        <v>0</v>
      </c>
      <c r="FR105" s="67" t="s">
        <v>1230</v>
      </c>
      <c r="FS105" s="67" t="s">
        <v>1230</v>
      </c>
      <c r="FT105" s="67">
        <v>0</v>
      </c>
      <c r="FU105" s="187">
        <v>0</v>
      </c>
      <c r="FV105" s="67">
        <v>0</v>
      </c>
      <c r="FW105" s="66">
        <v>0</v>
      </c>
      <c r="FX105" s="66">
        <v>0</v>
      </c>
      <c r="FY105" s="66">
        <v>0</v>
      </c>
      <c r="FZ105" s="66">
        <v>0</v>
      </c>
      <c r="GA105" s="66">
        <v>0</v>
      </c>
      <c r="GB105" s="66">
        <v>0</v>
      </c>
      <c r="GC105" s="66">
        <v>0</v>
      </c>
      <c r="GD105" s="66">
        <v>0</v>
      </c>
      <c r="GE105" s="66">
        <v>0</v>
      </c>
      <c r="GF105" s="66">
        <v>0</v>
      </c>
      <c r="GG105" s="66">
        <v>0</v>
      </c>
      <c r="GH105" s="67" t="s">
        <v>1230</v>
      </c>
      <c r="GI105" s="67" t="s">
        <v>1230</v>
      </c>
      <c r="GJ105" s="67">
        <v>0</v>
      </c>
      <c r="GK105" s="187">
        <v>0</v>
      </c>
      <c r="GL105" s="67">
        <v>0</v>
      </c>
      <c r="GM105" s="66">
        <v>0</v>
      </c>
      <c r="GN105" s="66">
        <v>0</v>
      </c>
      <c r="GO105" s="66">
        <v>0</v>
      </c>
      <c r="GP105" s="66">
        <v>0</v>
      </c>
      <c r="GQ105" s="66">
        <v>0</v>
      </c>
      <c r="GR105" s="66">
        <v>0</v>
      </c>
      <c r="GS105" s="66">
        <v>0</v>
      </c>
      <c r="GT105" s="66">
        <v>0</v>
      </c>
      <c r="GU105" s="66">
        <v>0</v>
      </c>
      <c r="GV105" s="66">
        <v>0</v>
      </c>
      <c r="GW105" s="66">
        <v>0</v>
      </c>
      <c r="GX105" s="67" t="s">
        <v>1230</v>
      </c>
      <c r="GY105" s="67" t="s">
        <v>1230</v>
      </c>
      <c r="GZ105" s="67">
        <v>0</v>
      </c>
      <c r="HA105" s="187">
        <v>0</v>
      </c>
      <c r="HB105" s="67">
        <v>0</v>
      </c>
      <c r="HC105" s="66">
        <v>0.45200000000000001</v>
      </c>
      <c r="HD105" s="66">
        <v>0</v>
      </c>
      <c r="HE105" s="66">
        <v>0.50222221999999994</v>
      </c>
      <c r="HF105" s="66">
        <v>0.45200000000000001</v>
      </c>
      <c r="HG105" s="66">
        <v>5.0222219999999998E-2</v>
      </c>
      <c r="HH105" s="66">
        <v>0.45200000000000001</v>
      </c>
      <c r="HI105" s="66">
        <v>0</v>
      </c>
      <c r="HJ105" s="66">
        <v>0.50222221999999994</v>
      </c>
      <c r="HK105" s="66">
        <v>0.45200000000000001</v>
      </c>
      <c r="HL105" s="66">
        <v>0</v>
      </c>
      <c r="HM105" s="66">
        <v>5.0222219999999998E-2</v>
      </c>
      <c r="HN105" s="67">
        <v>100</v>
      </c>
      <c r="HO105" s="67">
        <v>100</v>
      </c>
      <c r="HP105" s="67">
        <v>9.9999996017699093</v>
      </c>
      <c r="HQ105" s="187">
        <v>0</v>
      </c>
      <c r="HR105" s="67">
        <v>0</v>
      </c>
      <c r="HS105" s="66">
        <v>0</v>
      </c>
      <c r="HT105" s="66">
        <v>0</v>
      </c>
      <c r="HU105" s="66">
        <v>0</v>
      </c>
      <c r="HV105" s="66">
        <v>0</v>
      </c>
      <c r="HW105" s="66">
        <v>0</v>
      </c>
      <c r="HX105" s="66">
        <v>0</v>
      </c>
      <c r="HY105" s="66">
        <v>0</v>
      </c>
      <c r="HZ105" s="66">
        <v>0</v>
      </c>
      <c r="IA105" s="66">
        <v>0</v>
      </c>
      <c r="IB105" s="66">
        <v>0</v>
      </c>
      <c r="IC105" s="66">
        <v>0</v>
      </c>
      <c r="ID105" s="67" t="s">
        <v>1230</v>
      </c>
      <c r="IE105" s="67" t="s">
        <v>1230</v>
      </c>
      <c r="IF105" s="67">
        <v>0</v>
      </c>
      <c r="IG105" s="187">
        <v>0</v>
      </c>
      <c r="IH105" s="67">
        <v>0</v>
      </c>
      <c r="II105" s="66">
        <v>0</v>
      </c>
      <c r="IJ105" s="66">
        <v>0</v>
      </c>
      <c r="IK105" s="66">
        <v>0</v>
      </c>
      <c r="IL105" s="66">
        <v>0</v>
      </c>
      <c r="IM105" s="66">
        <v>0</v>
      </c>
      <c r="IN105" s="66">
        <v>0</v>
      </c>
      <c r="IO105" s="66">
        <v>0</v>
      </c>
      <c r="IP105" s="66">
        <v>0</v>
      </c>
      <c r="IQ105" s="66">
        <v>0</v>
      </c>
      <c r="IR105" s="66">
        <v>0</v>
      </c>
      <c r="IS105" s="66">
        <v>0</v>
      </c>
      <c r="IT105" s="67" t="s">
        <v>1230</v>
      </c>
      <c r="IU105" s="67" t="s">
        <v>1230</v>
      </c>
      <c r="IV105" s="67">
        <v>0</v>
      </c>
      <c r="IW105" s="187">
        <v>0</v>
      </c>
      <c r="IX105" s="67">
        <v>0</v>
      </c>
    </row>
    <row r="106" spans="1:258" ht="15.6" x14ac:dyDescent="0.3">
      <c r="A106" s="169">
        <v>94</v>
      </c>
      <c r="B106" s="205" t="s">
        <v>256</v>
      </c>
      <c r="C106" s="66">
        <v>2.9422000000000001</v>
      </c>
      <c r="D106" s="66">
        <v>0</v>
      </c>
      <c r="E106" s="66">
        <v>3.1981000000000002</v>
      </c>
      <c r="F106" s="66">
        <v>2.9422000000000001</v>
      </c>
      <c r="G106" s="66">
        <v>0.25590000000000002</v>
      </c>
      <c r="H106" s="66">
        <v>2.9421999900000002</v>
      </c>
      <c r="I106" s="66">
        <v>1.2173986999999999</v>
      </c>
      <c r="J106" s="66">
        <v>3.1980999900000002</v>
      </c>
      <c r="K106" s="66">
        <v>2.9421999900000002</v>
      </c>
      <c r="L106" s="66">
        <v>0</v>
      </c>
      <c r="M106" s="66">
        <v>0.25590000000000002</v>
      </c>
      <c r="N106" s="67">
        <v>99.999999660118277</v>
      </c>
      <c r="O106" s="67">
        <v>100</v>
      </c>
      <c r="P106" s="67">
        <v>8.0016259904369029</v>
      </c>
      <c r="Q106" s="66">
        <v>1.2173986999999999</v>
      </c>
      <c r="R106" s="67">
        <v>0</v>
      </c>
      <c r="S106" s="66">
        <v>2.9422000000000001</v>
      </c>
      <c r="T106" s="66">
        <v>0</v>
      </c>
      <c r="U106" s="66">
        <v>3.1981000000000002</v>
      </c>
      <c r="V106" s="66">
        <v>2.9422000000000001</v>
      </c>
      <c r="W106" s="66">
        <v>0.25590000000000002</v>
      </c>
      <c r="X106" s="66">
        <v>2.9421999900000002</v>
      </c>
      <c r="Y106" s="66">
        <v>1.2173986999999999</v>
      </c>
      <c r="Z106" s="66">
        <v>3.1980999900000002</v>
      </c>
      <c r="AA106" s="66">
        <v>2.9421999900000002</v>
      </c>
      <c r="AB106" s="66">
        <v>0</v>
      </c>
      <c r="AC106" s="66">
        <v>0.25590000000000002</v>
      </c>
      <c r="AD106" s="67">
        <v>99.999999660118277</v>
      </c>
      <c r="AE106" s="67">
        <v>100</v>
      </c>
      <c r="AF106" s="67">
        <v>8.0016259904369029</v>
      </c>
      <c r="AG106" s="187">
        <v>1.2173986999999999</v>
      </c>
      <c r="AH106" s="67">
        <v>0</v>
      </c>
      <c r="AI106" s="66">
        <v>0</v>
      </c>
      <c r="AJ106" s="66">
        <v>0</v>
      </c>
      <c r="AK106" s="66">
        <v>0</v>
      </c>
      <c r="AL106" s="66">
        <v>0</v>
      </c>
      <c r="AM106" s="66">
        <v>0</v>
      </c>
      <c r="AN106" s="66">
        <v>0</v>
      </c>
      <c r="AO106" s="66">
        <v>0</v>
      </c>
      <c r="AP106" s="66">
        <v>0</v>
      </c>
      <c r="AQ106" s="66">
        <v>0</v>
      </c>
      <c r="AR106" s="66">
        <v>0</v>
      </c>
      <c r="AS106" s="66">
        <v>0</v>
      </c>
      <c r="AT106" s="67" t="s">
        <v>1230</v>
      </c>
      <c r="AU106" s="67" t="s">
        <v>1230</v>
      </c>
      <c r="AV106" s="67">
        <v>0</v>
      </c>
      <c r="AW106" s="187">
        <v>0</v>
      </c>
      <c r="AX106" s="67">
        <v>0</v>
      </c>
      <c r="AY106" s="66">
        <v>0</v>
      </c>
      <c r="AZ106" s="66">
        <v>0</v>
      </c>
      <c r="BA106" s="66">
        <v>0</v>
      </c>
      <c r="BB106" s="66">
        <v>0</v>
      </c>
      <c r="BC106" s="66">
        <v>0</v>
      </c>
      <c r="BD106" s="66">
        <v>0</v>
      </c>
      <c r="BE106" s="66">
        <v>0</v>
      </c>
      <c r="BF106" s="66">
        <v>0</v>
      </c>
      <c r="BG106" s="66">
        <v>0</v>
      </c>
      <c r="BH106" s="66">
        <v>0</v>
      </c>
      <c r="BI106" s="66">
        <v>0</v>
      </c>
      <c r="BJ106" s="67" t="s">
        <v>1230</v>
      </c>
      <c r="BK106" s="67" t="s">
        <v>1230</v>
      </c>
      <c r="BL106" s="67">
        <v>0</v>
      </c>
      <c r="BM106" s="187">
        <v>0</v>
      </c>
      <c r="BN106" s="67">
        <v>0</v>
      </c>
      <c r="BO106" s="66">
        <v>0</v>
      </c>
      <c r="BP106" s="66">
        <v>0</v>
      </c>
      <c r="BQ106" s="66">
        <v>0</v>
      </c>
      <c r="BR106" s="66">
        <v>0</v>
      </c>
      <c r="BS106" s="66">
        <v>0</v>
      </c>
      <c r="BT106" s="66">
        <v>0</v>
      </c>
      <c r="BU106" s="66">
        <v>0</v>
      </c>
      <c r="BV106" s="66">
        <v>0</v>
      </c>
      <c r="BW106" s="66">
        <v>0</v>
      </c>
      <c r="BX106" s="66">
        <v>0</v>
      </c>
      <c r="BY106" s="66">
        <v>0</v>
      </c>
      <c r="BZ106" s="67" t="s">
        <v>1230</v>
      </c>
      <c r="CA106" s="67" t="s">
        <v>1230</v>
      </c>
      <c r="CB106" s="67">
        <v>0</v>
      </c>
      <c r="CC106" s="187">
        <v>0</v>
      </c>
      <c r="CD106" s="67">
        <v>0</v>
      </c>
      <c r="CE106" s="66">
        <v>0</v>
      </c>
      <c r="CF106" s="66">
        <v>0</v>
      </c>
      <c r="CG106" s="66">
        <v>0</v>
      </c>
      <c r="CH106" s="66">
        <v>0</v>
      </c>
      <c r="CI106" s="66">
        <v>0</v>
      </c>
      <c r="CJ106" s="66">
        <v>0</v>
      </c>
      <c r="CK106" s="66">
        <v>0</v>
      </c>
      <c r="CL106" s="66">
        <v>0</v>
      </c>
      <c r="CM106" s="66">
        <v>0</v>
      </c>
      <c r="CN106" s="66">
        <v>0</v>
      </c>
      <c r="CO106" s="66">
        <v>0</v>
      </c>
      <c r="CP106" s="67" t="s">
        <v>1230</v>
      </c>
      <c r="CQ106" s="67" t="s">
        <v>1230</v>
      </c>
      <c r="CR106" s="67">
        <v>0</v>
      </c>
      <c r="CS106" s="187">
        <v>0</v>
      </c>
      <c r="CT106" s="67">
        <v>0</v>
      </c>
      <c r="CU106" s="66">
        <v>0</v>
      </c>
      <c r="CV106" s="66">
        <v>0</v>
      </c>
      <c r="CW106" s="66">
        <v>0</v>
      </c>
      <c r="CX106" s="66">
        <v>0</v>
      </c>
      <c r="CY106" s="66">
        <v>0</v>
      </c>
      <c r="CZ106" s="66">
        <v>0</v>
      </c>
      <c r="DA106" s="66">
        <v>0</v>
      </c>
      <c r="DB106" s="66">
        <v>0</v>
      </c>
      <c r="DC106" s="66">
        <v>0</v>
      </c>
      <c r="DD106" s="66">
        <v>0</v>
      </c>
      <c r="DE106" s="66">
        <v>0</v>
      </c>
      <c r="DF106" s="67" t="s">
        <v>1230</v>
      </c>
      <c r="DG106" s="67" t="s">
        <v>1230</v>
      </c>
      <c r="DH106" s="67">
        <v>0</v>
      </c>
      <c r="DI106" s="187">
        <v>0</v>
      </c>
      <c r="DJ106" s="67">
        <v>0</v>
      </c>
      <c r="DK106" s="66">
        <v>0</v>
      </c>
      <c r="DL106" s="66">
        <v>0</v>
      </c>
      <c r="DM106" s="66">
        <v>0</v>
      </c>
      <c r="DN106" s="66">
        <v>0</v>
      </c>
      <c r="DO106" s="66">
        <v>0</v>
      </c>
      <c r="DP106" s="66">
        <v>0</v>
      </c>
      <c r="DQ106" s="66">
        <v>0</v>
      </c>
      <c r="DR106" s="66">
        <v>0</v>
      </c>
      <c r="DS106" s="66">
        <v>0</v>
      </c>
      <c r="DT106" s="66">
        <v>0</v>
      </c>
      <c r="DU106" s="66">
        <v>0</v>
      </c>
      <c r="DV106" s="67" t="s">
        <v>1230</v>
      </c>
      <c r="DW106" s="67" t="s">
        <v>1230</v>
      </c>
      <c r="DX106" s="67">
        <v>0</v>
      </c>
      <c r="DY106" s="187">
        <v>0</v>
      </c>
      <c r="DZ106" s="67">
        <v>0</v>
      </c>
      <c r="EA106" s="66">
        <v>0</v>
      </c>
      <c r="EB106" s="66">
        <v>0</v>
      </c>
      <c r="EC106" s="66">
        <v>0</v>
      </c>
      <c r="ED106" s="66">
        <v>0</v>
      </c>
      <c r="EE106" s="66">
        <v>0</v>
      </c>
      <c r="EF106" s="66">
        <v>0</v>
      </c>
      <c r="EG106" s="66">
        <v>0</v>
      </c>
      <c r="EH106" s="66">
        <v>0</v>
      </c>
      <c r="EI106" s="66">
        <v>0</v>
      </c>
      <c r="EJ106" s="66">
        <v>0</v>
      </c>
      <c r="EK106" s="66">
        <v>0</v>
      </c>
      <c r="EL106" s="67" t="s">
        <v>1230</v>
      </c>
      <c r="EM106" s="67" t="s">
        <v>1230</v>
      </c>
      <c r="EN106" s="67">
        <v>0</v>
      </c>
      <c r="EO106" s="187">
        <v>0</v>
      </c>
      <c r="EP106" s="67">
        <v>0</v>
      </c>
      <c r="EQ106" s="66">
        <v>0</v>
      </c>
      <c r="ER106" s="66">
        <v>0</v>
      </c>
      <c r="ES106" s="66">
        <v>0</v>
      </c>
      <c r="ET106" s="66">
        <v>0</v>
      </c>
      <c r="EU106" s="66">
        <v>0</v>
      </c>
      <c r="EV106" s="66">
        <v>0</v>
      </c>
      <c r="EW106" s="66">
        <v>0</v>
      </c>
      <c r="EX106" s="66">
        <v>0</v>
      </c>
      <c r="EY106" s="66">
        <v>0</v>
      </c>
      <c r="EZ106" s="66">
        <v>0</v>
      </c>
      <c r="FA106" s="66">
        <v>0</v>
      </c>
      <c r="FB106" s="67" t="s">
        <v>1230</v>
      </c>
      <c r="FC106" s="67" t="s">
        <v>1230</v>
      </c>
      <c r="FD106" s="67">
        <v>0</v>
      </c>
      <c r="FE106" s="187">
        <v>0</v>
      </c>
      <c r="FF106" s="67">
        <v>0</v>
      </c>
      <c r="FG106" s="66">
        <v>0</v>
      </c>
      <c r="FH106" s="66">
        <v>0</v>
      </c>
      <c r="FI106" s="66">
        <v>0</v>
      </c>
      <c r="FJ106" s="66">
        <v>0</v>
      </c>
      <c r="FK106" s="66">
        <v>0</v>
      </c>
      <c r="FL106" s="66">
        <v>0</v>
      </c>
      <c r="FM106" s="66">
        <v>0</v>
      </c>
      <c r="FN106" s="66">
        <v>0</v>
      </c>
      <c r="FO106" s="66">
        <v>0</v>
      </c>
      <c r="FP106" s="66">
        <v>0</v>
      </c>
      <c r="FQ106" s="66">
        <v>0</v>
      </c>
      <c r="FR106" s="67" t="s">
        <v>1230</v>
      </c>
      <c r="FS106" s="67" t="s">
        <v>1230</v>
      </c>
      <c r="FT106" s="67">
        <v>0</v>
      </c>
      <c r="FU106" s="187">
        <v>0</v>
      </c>
      <c r="FV106" s="67">
        <v>0</v>
      </c>
      <c r="FW106" s="66">
        <v>0</v>
      </c>
      <c r="FX106" s="66">
        <v>0</v>
      </c>
      <c r="FY106" s="66">
        <v>0</v>
      </c>
      <c r="FZ106" s="66">
        <v>0</v>
      </c>
      <c r="GA106" s="66">
        <v>0</v>
      </c>
      <c r="GB106" s="66">
        <v>0</v>
      </c>
      <c r="GC106" s="66">
        <v>0</v>
      </c>
      <c r="GD106" s="66">
        <v>0</v>
      </c>
      <c r="GE106" s="66">
        <v>0</v>
      </c>
      <c r="GF106" s="66">
        <v>0</v>
      </c>
      <c r="GG106" s="66">
        <v>0</v>
      </c>
      <c r="GH106" s="67" t="s">
        <v>1230</v>
      </c>
      <c r="GI106" s="67" t="s">
        <v>1230</v>
      </c>
      <c r="GJ106" s="67">
        <v>0</v>
      </c>
      <c r="GK106" s="187">
        <v>0</v>
      </c>
      <c r="GL106" s="67">
        <v>0</v>
      </c>
      <c r="GM106" s="66">
        <v>0</v>
      </c>
      <c r="GN106" s="66">
        <v>0</v>
      </c>
      <c r="GO106" s="66">
        <v>0</v>
      </c>
      <c r="GP106" s="66">
        <v>0</v>
      </c>
      <c r="GQ106" s="66">
        <v>0</v>
      </c>
      <c r="GR106" s="66">
        <v>0</v>
      </c>
      <c r="GS106" s="66">
        <v>0</v>
      </c>
      <c r="GT106" s="66">
        <v>0</v>
      </c>
      <c r="GU106" s="66">
        <v>0</v>
      </c>
      <c r="GV106" s="66">
        <v>0</v>
      </c>
      <c r="GW106" s="66">
        <v>0</v>
      </c>
      <c r="GX106" s="67" t="s">
        <v>1230</v>
      </c>
      <c r="GY106" s="67" t="s">
        <v>1230</v>
      </c>
      <c r="GZ106" s="67">
        <v>0</v>
      </c>
      <c r="HA106" s="187">
        <v>0</v>
      </c>
      <c r="HB106" s="67">
        <v>0</v>
      </c>
      <c r="HC106" s="66">
        <v>0</v>
      </c>
      <c r="HD106" s="66">
        <v>0</v>
      </c>
      <c r="HE106" s="66">
        <v>0</v>
      </c>
      <c r="HF106" s="66">
        <v>0</v>
      </c>
      <c r="HG106" s="66">
        <v>0</v>
      </c>
      <c r="HH106" s="66">
        <v>0</v>
      </c>
      <c r="HI106" s="66">
        <v>0</v>
      </c>
      <c r="HJ106" s="66">
        <v>0</v>
      </c>
      <c r="HK106" s="66">
        <v>0</v>
      </c>
      <c r="HL106" s="66">
        <v>0</v>
      </c>
      <c r="HM106" s="66">
        <v>0</v>
      </c>
      <c r="HN106" s="67" t="s">
        <v>1230</v>
      </c>
      <c r="HO106" s="67" t="s">
        <v>1230</v>
      </c>
      <c r="HP106" s="67">
        <v>0</v>
      </c>
      <c r="HQ106" s="187">
        <v>0</v>
      </c>
      <c r="HR106" s="67">
        <v>0</v>
      </c>
      <c r="HS106" s="66">
        <v>0</v>
      </c>
      <c r="HT106" s="66">
        <v>0</v>
      </c>
      <c r="HU106" s="66">
        <v>0</v>
      </c>
      <c r="HV106" s="66">
        <v>0</v>
      </c>
      <c r="HW106" s="66">
        <v>0</v>
      </c>
      <c r="HX106" s="66">
        <v>0</v>
      </c>
      <c r="HY106" s="66">
        <v>0</v>
      </c>
      <c r="HZ106" s="66">
        <v>0</v>
      </c>
      <c r="IA106" s="66">
        <v>0</v>
      </c>
      <c r="IB106" s="66">
        <v>0</v>
      </c>
      <c r="IC106" s="66">
        <v>0</v>
      </c>
      <c r="ID106" s="67" t="s">
        <v>1230</v>
      </c>
      <c r="IE106" s="67" t="s">
        <v>1230</v>
      </c>
      <c r="IF106" s="67">
        <v>0</v>
      </c>
      <c r="IG106" s="187">
        <v>0</v>
      </c>
      <c r="IH106" s="67">
        <v>0</v>
      </c>
      <c r="II106" s="66">
        <v>0</v>
      </c>
      <c r="IJ106" s="66">
        <v>0</v>
      </c>
      <c r="IK106" s="66">
        <v>0</v>
      </c>
      <c r="IL106" s="66">
        <v>0</v>
      </c>
      <c r="IM106" s="66">
        <v>0</v>
      </c>
      <c r="IN106" s="66">
        <v>0</v>
      </c>
      <c r="IO106" s="66">
        <v>0</v>
      </c>
      <c r="IP106" s="66">
        <v>0</v>
      </c>
      <c r="IQ106" s="66">
        <v>0</v>
      </c>
      <c r="IR106" s="66">
        <v>0</v>
      </c>
      <c r="IS106" s="66">
        <v>0</v>
      </c>
      <c r="IT106" s="67" t="s">
        <v>1230</v>
      </c>
      <c r="IU106" s="67" t="s">
        <v>1230</v>
      </c>
      <c r="IV106" s="67">
        <v>0</v>
      </c>
      <c r="IW106" s="187">
        <v>0</v>
      </c>
      <c r="IX106" s="67">
        <v>0</v>
      </c>
    </row>
  </sheetData>
  <mergeCells count="258">
    <mergeCell ref="T5:U5"/>
    <mergeCell ref="AJ5:AK5"/>
    <mergeCell ref="AZ5:BA5"/>
    <mergeCell ref="BP5:BQ5"/>
    <mergeCell ref="CF5:CG5"/>
    <mergeCell ref="CV5:CW5"/>
    <mergeCell ref="DL5:DM5"/>
    <mergeCell ref="EB5:EC5"/>
    <mergeCell ref="HS7:IH8"/>
    <mergeCell ref="HS9:HS11"/>
    <mergeCell ref="HT9:HT11"/>
    <mergeCell ref="HU9:HW9"/>
    <mergeCell ref="HX9:HX11"/>
    <mergeCell ref="HY9:HY11"/>
    <mergeCell ref="HZ9:IC9"/>
    <mergeCell ref="ID9:IE10"/>
    <mergeCell ref="IF9:IF11"/>
    <mergeCell ref="IG9:IG11"/>
    <mergeCell ref="IH9:IH11"/>
    <mergeCell ref="HU10:HU11"/>
    <mergeCell ref="HV10:HW10"/>
    <mergeCell ref="HZ10:HZ11"/>
    <mergeCell ref="IA10:IC10"/>
    <mergeCell ref="HT5:HU5"/>
    <mergeCell ref="IJ5:IK5"/>
    <mergeCell ref="GM7:HB8"/>
    <mergeCell ref="GM9:GM11"/>
    <mergeCell ref="GN9:GN11"/>
    <mergeCell ref="GO9:GQ9"/>
    <mergeCell ref="GR9:GR11"/>
    <mergeCell ref="GS9:GS11"/>
    <mergeCell ref="GT9:GW9"/>
    <mergeCell ref="GX9:GY10"/>
    <mergeCell ref="GZ9:GZ11"/>
    <mergeCell ref="HA9:HA11"/>
    <mergeCell ref="HB9:HB11"/>
    <mergeCell ref="GO10:GO11"/>
    <mergeCell ref="GP10:GQ10"/>
    <mergeCell ref="GT10:GT11"/>
    <mergeCell ref="GU10:GW10"/>
    <mergeCell ref="GN5:GO5"/>
    <mergeCell ref="HD5:HE5"/>
    <mergeCell ref="FG7:FV8"/>
    <mergeCell ref="FG9:FG11"/>
    <mergeCell ref="FH9:FH11"/>
    <mergeCell ref="FI9:FK9"/>
    <mergeCell ref="FL9:FL11"/>
    <mergeCell ref="FM9:FM11"/>
    <mergeCell ref="FN9:FQ9"/>
    <mergeCell ref="FR9:FS10"/>
    <mergeCell ref="FT9:FT11"/>
    <mergeCell ref="FU9:FU11"/>
    <mergeCell ref="FV9:FV11"/>
    <mergeCell ref="FI10:FI11"/>
    <mergeCell ref="FJ10:FK10"/>
    <mergeCell ref="FN10:FN11"/>
    <mergeCell ref="FO10:FQ10"/>
    <mergeCell ref="FH5:FI5"/>
    <mergeCell ref="FX5:FY5"/>
    <mergeCell ref="EQ7:FF8"/>
    <mergeCell ref="EQ9:EQ11"/>
    <mergeCell ref="ER9:ER11"/>
    <mergeCell ref="ES9:EU9"/>
    <mergeCell ref="EV9:EV11"/>
    <mergeCell ref="EW9:EW11"/>
    <mergeCell ref="EX9:FA9"/>
    <mergeCell ref="FB9:FC10"/>
    <mergeCell ref="FD9:FD11"/>
    <mergeCell ref="FE9:FE11"/>
    <mergeCell ref="FF9:FF11"/>
    <mergeCell ref="ES10:ES11"/>
    <mergeCell ref="ET10:EU10"/>
    <mergeCell ref="EX10:EX11"/>
    <mergeCell ref="EY10:FA10"/>
    <mergeCell ref="ER5:ES5"/>
    <mergeCell ref="DR10:DR11"/>
    <mergeCell ref="DS10:DU10"/>
    <mergeCell ref="EA7:EP8"/>
    <mergeCell ref="EA9:EA11"/>
    <mergeCell ref="EB9:EB11"/>
    <mergeCell ref="EC9:EE9"/>
    <mergeCell ref="EF9:EF11"/>
    <mergeCell ref="EG9:EG11"/>
    <mergeCell ref="EH9:EK9"/>
    <mergeCell ref="EL9:EM10"/>
    <mergeCell ref="EN9:EN11"/>
    <mergeCell ref="EO9:EO11"/>
    <mergeCell ref="EP9:EP11"/>
    <mergeCell ref="EC10:EC11"/>
    <mergeCell ref="ED10:EE10"/>
    <mergeCell ref="EH10:EH11"/>
    <mergeCell ref="EI10:EK10"/>
    <mergeCell ref="CW10:CW11"/>
    <mergeCell ref="CX10:CY10"/>
    <mergeCell ref="DB10:DB11"/>
    <mergeCell ref="DC10:DE10"/>
    <mergeCell ref="DK7:DZ8"/>
    <mergeCell ref="DK9:DK11"/>
    <mergeCell ref="DL9:DL11"/>
    <mergeCell ref="DM9:DO9"/>
    <mergeCell ref="DP9:DP11"/>
    <mergeCell ref="DQ9:DQ11"/>
    <mergeCell ref="DR9:DU9"/>
    <mergeCell ref="DV9:DW10"/>
    <mergeCell ref="DX9:DX11"/>
    <mergeCell ref="DY9:DY11"/>
    <mergeCell ref="DZ9:DZ11"/>
    <mergeCell ref="DM10:DM11"/>
    <mergeCell ref="DN10:DO10"/>
    <mergeCell ref="CG10:CG11"/>
    <mergeCell ref="CH10:CI10"/>
    <mergeCell ref="CL10:CL11"/>
    <mergeCell ref="CM10:CO10"/>
    <mergeCell ref="CU7:DJ8"/>
    <mergeCell ref="CU9:CU11"/>
    <mergeCell ref="CV9:CV11"/>
    <mergeCell ref="CW9:CY9"/>
    <mergeCell ref="CZ9:CZ11"/>
    <mergeCell ref="DA9:DA11"/>
    <mergeCell ref="DB9:DE9"/>
    <mergeCell ref="DF9:DG10"/>
    <mergeCell ref="DH9:DH11"/>
    <mergeCell ref="DI9:DI11"/>
    <mergeCell ref="DJ9:DJ11"/>
    <mergeCell ref="CB9:CB11"/>
    <mergeCell ref="CC9:CC11"/>
    <mergeCell ref="CD9:CD11"/>
    <mergeCell ref="BQ10:BQ11"/>
    <mergeCell ref="BR10:BS10"/>
    <mergeCell ref="BW10:BY10"/>
    <mergeCell ref="CE7:CT8"/>
    <mergeCell ref="CE9:CE11"/>
    <mergeCell ref="CF9:CF11"/>
    <mergeCell ref="CG9:CI9"/>
    <mergeCell ref="CJ9:CJ11"/>
    <mergeCell ref="CK9:CK11"/>
    <mergeCell ref="CL9:CO9"/>
    <mergeCell ref="CP9:CQ10"/>
    <mergeCell ref="CR9:CR11"/>
    <mergeCell ref="CS9:CS11"/>
    <mergeCell ref="CT9:CT11"/>
    <mergeCell ref="AI7:AX8"/>
    <mergeCell ref="AI9:AI11"/>
    <mergeCell ref="AJ9:AJ11"/>
    <mergeCell ref="AK9:AM9"/>
    <mergeCell ref="AN9:AN11"/>
    <mergeCell ref="AO9:AO11"/>
    <mergeCell ref="AP9:AS9"/>
    <mergeCell ref="AT9:AU10"/>
    <mergeCell ref="AV9:AV11"/>
    <mergeCell ref="AW9:AW11"/>
    <mergeCell ref="AX9:AX11"/>
    <mergeCell ref="AK10:AK11"/>
    <mergeCell ref="AL10:AM10"/>
    <mergeCell ref="AP10:AP11"/>
    <mergeCell ref="AQ10:AS10"/>
    <mergeCell ref="S7:AH8"/>
    <mergeCell ref="S9:S11"/>
    <mergeCell ref="T9:T11"/>
    <mergeCell ref="AF9:AF11"/>
    <mergeCell ref="AG9:AG11"/>
    <mergeCell ref="AH9:AH11"/>
    <mergeCell ref="U10:U11"/>
    <mergeCell ref="V10:W10"/>
    <mergeCell ref="Z10:Z11"/>
    <mergeCell ref="AA10:AC10"/>
    <mergeCell ref="U9:W9"/>
    <mergeCell ref="X9:X11"/>
    <mergeCell ref="Y9:Y11"/>
    <mergeCell ref="Z9:AC9"/>
    <mergeCell ref="AD9:AE10"/>
    <mergeCell ref="D5:E5"/>
    <mergeCell ref="AY7:BN8"/>
    <mergeCell ref="AY9:AY11"/>
    <mergeCell ref="AZ9:AZ11"/>
    <mergeCell ref="BL9:BL11"/>
    <mergeCell ref="BM9:BM11"/>
    <mergeCell ref="BN9:BN11"/>
    <mergeCell ref="BA10:BA11"/>
    <mergeCell ref="BB10:BC10"/>
    <mergeCell ref="BF10:BF11"/>
    <mergeCell ref="BG10:BI10"/>
    <mergeCell ref="BA9:BC9"/>
    <mergeCell ref="BD9:BD11"/>
    <mergeCell ref="BE9:BE11"/>
    <mergeCell ref="BF9:BI9"/>
    <mergeCell ref="BJ9:BK10"/>
    <mergeCell ref="GH9:GI10"/>
    <mergeCell ref="FW7:GL8"/>
    <mergeCell ref="FW9:FW11"/>
    <mergeCell ref="FX9:FX11"/>
    <mergeCell ref="FY10:FY11"/>
    <mergeCell ref="FZ10:GA10"/>
    <mergeCell ref="GD10:GD11"/>
    <mergeCell ref="GE10:GG10"/>
    <mergeCell ref="FY9:GA9"/>
    <mergeCell ref="GB9:GB11"/>
    <mergeCell ref="GC9:GC11"/>
    <mergeCell ref="GD9:GG9"/>
    <mergeCell ref="BV10:BV11"/>
    <mergeCell ref="HE10:HE11"/>
    <mergeCell ref="HF10:HG10"/>
    <mergeCell ref="HJ10:HJ11"/>
    <mergeCell ref="HK10:HM10"/>
    <mergeCell ref="HE9:HG9"/>
    <mergeCell ref="HH9:HH11"/>
    <mergeCell ref="HI9:HI11"/>
    <mergeCell ref="HJ9:HM9"/>
    <mergeCell ref="HN9:HO10"/>
    <mergeCell ref="BO7:CD8"/>
    <mergeCell ref="BO9:BO11"/>
    <mergeCell ref="BP9:BP11"/>
    <mergeCell ref="BQ9:BS9"/>
    <mergeCell ref="BT9:BT11"/>
    <mergeCell ref="BU9:BU11"/>
    <mergeCell ref="BV9:BY9"/>
    <mergeCell ref="BZ9:CA10"/>
    <mergeCell ref="A7:A11"/>
    <mergeCell ref="B7:B11"/>
    <mergeCell ref="C9:C11"/>
    <mergeCell ref="HP9:HP11"/>
    <mergeCell ref="HC7:HR8"/>
    <mergeCell ref="HC9:HC11"/>
    <mergeCell ref="HD9:HD11"/>
    <mergeCell ref="GJ9:GJ11"/>
    <mergeCell ref="GK9:GK11"/>
    <mergeCell ref="GL9:GL11"/>
    <mergeCell ref="C7:R8"/>
    <mergeCell ref="N9:O10"/>
    <mergeCell ref="P9:P11"/>
    <mergeCell ref="HQ9:HQ11"/>
    <mergeCell ref="HR9:HR11"/>
    <mergeCell ref="Q9:Q11"/>
    <mergeCell ref="R9:R11"/>
    <mergeCell ref="E10:E11"/>
    <mergeCell ref="F10:G10"/>
    <mergeCell ref="J10:J11"/>
    <mergeCell ref="K10:M10"/>
    <mergeCell ref="D9:D11"/>
    <mergeCell ref="E9:G9"/>
    <mergeCell ref="H9:H11"/>
    <mergeCell ref="I9:I11"/>
    <mergeCell ref="J9:M9"/>
    <mergeCell ref="II7:IX8"/>
    <mergeCell ref="II9:II11"/>
    <mergeCell ref="IJ9:IJ11"/>
    <mergeCell ref="IK9:IM9"/>
    <mergeCell ref="IN9:IN11"/>
    <mergeCell ref="IO9:IO11"/>
    <mergeCell ref="IP9:IS9"/>
    <mergeCell ref="IT9:IU10"/>
    <mergeCell ref="IV9:IV11"/>
    <mergeCell ref="IW9:IW11"/>
    <mergeCell ref="IX9:IX11"/>
    <mergeCell ref="IK10:IK11"/>
    <mergeCell ref="IL10:IM10"/>
    <mergeCell ref="IP10:IP11"/>
    <mergeCell ref="IQ10:IS10"/>
  </mergeCells>
  <printOptions horizontalCentered="1"/>
  <pageMargins left="0.11811023622047245" right="0.11811023622047245" top="0.35433070866141736" bottom="0.11811023622047245" header="0.31496062992125984" footer="0.31496062992125984"/>
  <pageSetup paperSize="9" scale="42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106"/>
  <sheetViews>
    <sheetView view="pageBreakPreview" zoomScale="60" zoomScaleNormal="60" workbookViewId="0">
      <pane xSplit="2" ySplit="12" topLeftCell="C13" activePane="bottomRight" state="frozen"/>
      <selection activeCell="D21" sqref="D21"/>
      <selection pane="topRight" activeCell="D21" sqref="D21"/>
      <selection pane="bottomLeft" activeCell="D21" sqref="D21"/>
      <selection pane="bottomRight" activeCell="D5" sqref="D5:E5"/>
    </sheetView>
  </sheetViews>
  <sheetFormatPr defaultColWidth="9.109375" defaultRowHeight="14.4" outlineLevelCol="1" x14ac:dyDescent="0.3"/>
  <cols>
    <col min="1" max="1" width="5" style="126" customWidth="1"/>
    <col min="2" max="2" width="36.88671875" style="126" customWidth="1"/>
    <col min="3" max="4" width="18.6640625" style="126" customWidth="1"/>
    <col min="5" max="6" width="18.6640625" style="126" customWidth="1" outlineLevel="1"/>
    <col min="7" max="15" width="18.6640625" style="126" customWidth="1"/>
    <col min="16" max="18" width="18.6640625" style="126" customWidth="1" outlineLevel="1"/>
    <col min="19" max="20" width="18.6640625" style="126" customWidth="1"/>
    <col min="21" max="22" width="18.6640625" style="126" customWidth="1" outlineLevel="1"/>
    <col min="23" max="31" width="18.6640625" style="126" customWidth="1"/>
    <col min="32" max="34" width="18.6640625" style="126" customWidth="1" outlineLevel="1"/>
    <col min="35" max="36" width="18.6640625" style="126" customWidth="1"/>
    <col min="37" max="38" width="18.6640625" style="126" customWidth="1" outlineLevel="1"/>
    <col min="39" max="47" width="18.6640625" style="126" customWidth="1"/>
    <col min="48" max="50" width="18.6640625" style="126" customWidth="1" outlineLevel="1"/>
    <col min="51" max="66" width="18.109375" style="126" customWidth="1"/>
    <col min="67" max="16384" width="9.109375" style="126"/>
  </cols>
  <sheetData>
    <row r="1" spans="1:66" ht="15.6" x14ac:dyDescent="0.3">
      <c r="B1" s="127"/>
    </row>
    <row r="2" spans="1:66" ht="17.399999999999999" x14ac:dyDescent="0.3">
      <c r="C2" s="254"/>
      <c r="D2" s="252"/>
      <c r="E2" s="252"/>
      <c r="F2" s="252"/>
      <c r="G2" s="252"/>
      <c r="H2" s="252"/>
      <c r="I2" s="252"/>
      <c r="J2" s="252"/>
      <c r="K2" s="252"/>
      <c r="L2" s="252"/>
      <c r="T2" s="252"/>
      <c r="U2" s="252"/>
      <c r="V2" s="252"/>
      <c r="W2" s="252"/>
      <c r="X2" s="252"/>
      <c r="Y2" s="252"/>
      <c r="Z2" s="252"/>
      <c r="AA2" s="252"/>
      <c r="AB2" s="252"/>
      <c r="AJ2" s="252"/>
      <c r="AK2" s="252"/>
      <c r="AL2" s="252"/>
      <c r="AM2" s="252"/>
      <c r="AN2" s="252"/>
      <c r="AO2" s="252"/>
      <c r="AP2" s="252"/>
      <c r="AQ2" s="252"/>
      <c r="AR2" s="252"/>
    </row>
    <row r="3" spans="1:66" ht="20.25" customHeight="1" x14ac:dyDescent="0.35">
      <c r="A3" s="128"/>
      <c r="B3" s="128"/>
      <c r="C3" s="252"/>
      <c r="D3" s="252"/>
      <c r="E3" s="252"/>
      <c r="F3" s="252"/>
      <c r="G3" s="252"/>
      <c r="H3" s="252"/>
      <c r="I3" s="252"/>
      <c r="J3" s="252"/>
      <c r="K3" s="252"/>
      <c r="L3" s="252"/>
      <c r="M3" s="38"/>
      <c r="N3" s="38"/>
      <c r="O3" s="38"/>
      <c r="P3" s="38"/>
      <c r="S3" s="253"/>
      <c r="T3" s="253"/>
      <c r="U3" s="253"/>
      <c r="V3" s="253"/>
      <c r="W3" s="253"/>
      <c r="X3" s="253"/>
      <c r="Y3" s="253"/>
      <c r="Z3" s="253"/>
      <c r="AA3" s="253"/>
      <c r="AB3" s="253"/>
      <c r="AC3" s="38"/>
      <c r="AD3" s="38"/>
      <c r="AE3" s="38"/>
      <c r="AF3" s="38"/>
      <c r="AS3" s="38"/>
      <c r="AT3" s="38"/>
      <c r="AU3" s="38"/>
      <c r="AV3" s="38"/>
    </row>
    <row r="4" spans="1:66" ht="20.25" customHeight="1" x14ac:dyDescent="0.35">
      <c r="A4" s="128"/>
      <c r="B4" s="128"/>
      <c r="C4" s="252"/>
      <c r="D4" s="252"/>
      <c r="E4" s="252"/>
      <c r="F4" s="252"/>
      <c r="G4" s="252"/>
      <c r="H4" s="252"/>
      <c r="I4" s="252"/>
      <c r="J4" s="252"/>
      <c r="K4" s="252"/>
      <c r="L4" s="252"/>
      <c r="M4" s="38"/>
      <c r="N4" s="38"/>
      <c r="O4" s="38"/>
      <c r="P4" s="38"/>
      <c r="T4" s="40"/>
      <c r="U4" s="40"/>
      <c r="V4" s="40"/>
      <c r="W4" s="40"/>
      <c r="X4" s="40"/>
      <c r="Y4" s="40"/>
      <c r="Z4" s="40"/>
      <c r="AA4" s="40"/>
      <c r="AB4" s="40"/>
      <c r="AC4" s="38"/>
      <c r="AD4" s="38"/>
      <c r="AE4" s="38"/>
      <c r="AF4" s="38"/>
      <c r="AJ4" s="40"/>
      <c r="AK4" s="40"/>
      <c r="AL4" s="40"/>
      <c r="AM4" s="40"/>
      <c r="AN4" s="40"/>
      <c r="AO4" s="40"/>
      <c r="AP4" s="40"/>
      <c r="AQ4" s="40"/>
      <c r="AR4" s="40"/>
      <c r="AS4" s="38"/>
      <c r="AT4" s="38"/>
      <c r="AU4" s="38"/>
      <c r="AV4" s="38"/>
    </row>
    <row r="5" spans="1:66" ht="20.399999999999999" x14ac:dyDescent="0.35">
      <c r="A5" s="128"/>
      <c r="B5" s="128"/>
      <c r="D5" s="322" t="s">
        <v>1231</v>
      </c>
      <c r="E5" s="322"/>
      <c r="F5" s="257"/>
      <c r="G5" s="42"/>
      <c r="H5" s="43"/>
      <c r="I5" s="43"/>
      <c r="T5" s="322" t="s">
        <v>1231</v>
      </c>
      <c r="U5" s="322"/>
      <c r="V5" s="257"/>
      <c r="W5" s="42"/>
      <c r="X5" s="43"/>
      <c r="Y5" s="43"/>
      <c r="AJ5" s="322" t="s">
        <v>1231</v>
      </c>
      <c r="AK5" s="322"/>
      <c r="AL5" s="257"/>
      <c r="AM5" s="42"/>
      <c r="AN5" s="43"/>
      <c r="AO5" s="43"/>
      <c r="AZ5" s="322" t="s">
        <v>1231</v>
      </c>
      <c r="BA5" s="322"/>
    </row>
    <row r="6" spans="1:66" ht="15.6" x14ac:dyDescent="0.3">
      <c r="B6" s="44" t="s">
        <v>1229</v>
      </c>
      <c r="C6" s="76"/>
      <c r="Q6" s="76"/>
      <c r="R6" s="76"/>
      <c r="S6" s="76"/>
      <c r="AG6" s="76"/>
      <c r="AH6" s="76"/>
      <c r="AI6" s="76"/>
      <c r="AW6" s="76"/>
      <c r="AX6" s="76"/>
    </row>
    <row r="7" spans="1:66" ht="15" customHeight="1" x14ac:dyDescent="0.3">
      <c r="A7" s="326" t="s">
        <v>284</v>
      </c>
      <c r="B7" s="326" t="s">
        <v>285</v>
      </c>
      <c r="C7" s="335" t="s">
        <v>1071</v>
      </c>
      <c r="D7" s="336"/>
      <c r="E7" s="336"/>
      <c r="F7" s="336"/>
      <c r="G7" s="336"/>
      <c r="H7" s="336"/>
      <c r="I7" s="336"/>
      <c r="J7" s="336"/>
      <c r="K7" s="336"/>
      <c r="L7" s="336"/>
      <c r="M7" s="336"/>
      <c r="N7" s="336"/>
      <c r="O7" s="336"/>
      <c r="P7" s="336"/>
      <c r="Q7" s="336"/>
      <c r="R7" s="336"/>
      <c r="S7" s="352" t="s">
        <v>1206</v>
      </c>
      <c r="T7" s="352"/>
      <c r="U7" s="352"/>
      <c r="V7" s="352"/>
      <c r="W7" s="352"/>
      <c r="X7" s="352"/>
      <c r="Y7" s="352"/>
      <c r="Z7" s="352"/>
      <c r="AA7" s="352"/>
      <c r="AB7" s="352"/>
      <c r="AC7" s="352"/>
      <c r="AD7" s="352"/>
      <c r="AE7" s="352"/>
      <c r="AF7" s="352"/>
      <c r="AG7" s="352"/>
      <c r="AH7" s="352"/>
      <c r="AI7" s="353" t="s">
        <v>1072</v>
      </c>
      <c r="AJ7" s="353"/>
      <c r="AK7" s="353"/>
      <c r="AL7" s="353"/>
      <c r="AM7" s="353"/>
      <c r="AN7" s="353"/>
      <c r="AO7" s="353"/>
      <c r="AP7" s="353"/>
      <c r="AQ7" s="353"/>
      <c r="AR7" s="353"/>
      <c r="AS7" s="353"/>
      <c r="AT7" s="353"/>
      <c r="AU7" s="353"/>
      <c r="AV7" s="353"/>
      <c r="AW7" s="353"/>
      <c r="AX7" s="353"/>
      <c r="AY7" s="353" t="s">
        <v>1197</v>
      </c>
      <c r="AZ7" s="353"/>
      <c r="BA7" s="353"/>
      <c r="BB7" s="353"/>
      <c r="BC7" s="353"/>
      <c r="BD7" s="353"/>
      <c r="BE7" s="353"/>
      <c r="BF7" s="353"/>
      <c r="BG7" s="353"/>
      <c r="BH7" s="353"/>
      <c r="BI7" s="353"/>
      <c r="BJ7" s="353"/>
      <c r="BK7" s="353"/>
      <c r="BL7" s="353"/>
      <c r="BM7" s="353"/>
      <c r="BN7" s="353"/>
    </row>
    <row r="8" spans="1:66" ht="10.5" customHeight="1" thickBot="1" x14ac:dyDescent="0.35">
      <c r="A8" s="326"/>
      <c r="B8" s="326"/>
      <c r="C8" s="335"/>
      <c r="D8" s="336"/>
      <c r="E8" s="336"/>
      <c r="F8" s="336"/>
      <c r="G8" s="336"/>
      <c r="H8" s="336"/>
      <c r="I8" s="336"/>
      <c r="J8" s="336"/>
      <c r="K8" s="336"/>
      <c r="L8" s="336"/>
      <c r="M8" s="336"/>
      <c r="N8" s="336"/>
      <c r="O8" s="336"/>
      <c r="P8" s="336"/>
      <c r="Q8" s="336"/>
      <c r="R8" s="336"/>
      <c r="S8" s="352"/>
      <c r="T8" s="352"/>
      <c r="U8" s="352"/>
      <c r="V8" s="352"/>
      <c r="W8" s="352"/>
      <c r="X8" s="352"/>
      <c r="Y8" s="352"/>
      <c r="Z8" s="352"/>
      <c r="AA8" s="352"/>
      <c r="AB8" s="352"/>
      <c r="AC8" s="352"/>
      <c r="AD8" s="352"/>
      <c r="AE8" s="352"/>
      <c r="AF8" s="352"/>
      <c r="AG8" s="352"/>
      <c r="AH8" s="352"/>
      <c r="AI8" s="353"/>
      <c r="AJ8" s="353"/>
      <c r="AK8" s="353"/>
      <c r="AL8" s="353"/>
      <c r="AM8" s="353"/>
      <c r="AN8" s="353"/>
      <c r="AO8" s="353"/>
      <c r="AP8" s="353"/>
      <c r="AQ8" s="353"/>
      <c r="AR8" s="353"/>
      <c r="AS8" s="353"/>
      <c r="AT8" s="353"/>
      <c r="AU8" s="353"/>
      <c r="AV8" s="353"/>
      <c r="AW8" s="353"/>
      <c r="AX8" s="353"/>
      <c r="AY8" s="353"/>
      <c r="AZ8" s="353"/>
      <c r="BA8" s="353"/>
      <c r="BB8" s="353"/>
      <c r="BC8" s="353"/>
      <c r="BD8" s="353"/>
      <c r="BE8" s="353"/>
      <c r="BF8" s="353"/>
      <c r="BG8" s="353"/>
      <c r="BH8" s="353"/>
      <c r="BI8" s="353"/>
      <c r="BJ8" s="353"/>
      <c r="BK8" s="353"/>
      <c r="BL8" s="353"/>
      <c r="BM8" s="353"/>
      <c r="BN8" s="353"/>
    </row>
    <row r="9" spans="1:66" ht="15" customHeight="1" x14ac:dyDescent="0.3">
      <c r="A9" s="326"/>
      <c r="B9" s="326"/>
      <c r="C9" s="301" t="s">
        <v>1052</v>
      </c>
      <c r="D9" s="316" t="s">
        <v>1053</v>
      </c>
      <c r="E9" s="316" t="s">
        <v>287</v>
      </c>
      <c r="F9" s="316"/>
      <c r="G9" s="316"/>
      <c r="H9" s="316" t="s">
        <v>312</v>
      </c>
      <c r="I9" s="316" t="s">
        <v>262</v>
      </c>
      <c r="J9" s="316" t="s">
        <v>288</v>
      </c>
      <c r="K9" s="316"/>
      <c r="L9" s="316"/>
      <c r="M9" s="316"/>
      <c r="N9" s="331" t="s">
        <v>289</v>
      </c>
      <c r="O9" s="331"/>
      <c r="P9" s="316" t="s">
        <v>290</v>
      </c>
      <c r="Q9" s="316" t="s">
        <v>266</v>
      </c>
      <c r="R9" s="316" t="s">
        <v>291</v>
      </c>
      <c r="S9" s="301" t="s">
        <v>1052</v>
      </c>
      <c r="T9" s="302" t="s">
        <v>1053</v>
      </c>
      <c r="U9" s="302" t="s">
        <v>287</v>
      </c>
      <c r="V9" s="302"/>
      <c r="W9" s="302"/>
      <c r="X9" s="302" t="s">
        <v>312</v>
      </c>
      <c r="Y9" s="302" t="s">
        <v>262</v>
      </c>
      <c r="Z9" s="302" t="s">
        <v>288</v>
      </c>
      <c r="AA9" s="302"/>
      <c r="AB9" s="302"/>
      <c r="AC9" s="302"/>
      <c r="AD9" s="317" t="s">
        <v>289</v>
      </c>
      <c r="AE9" s="317"/>
      <c r="AF9" s="302" t="s">
        <v>290</v>
      </c>
      <c r="AG9" s="302" t="s">
        <v>266</v>
      </c>
      <c r="AH9" s="302" t="s">
        <v>291</v>
      </c>
      <c r="AI9" s="301" t="s">
        <v>1052</v>
      </c>
      <c r="AJ9" s="302" t="s">
        <v>1053</v>
      </c>
      <c r="AK9" s="302" t="s">
        <v>287</v>
      </c>
      <c r="AL9" s="302"/>
      <c r="AM9" s="302"/>
      <c r="AN9" s="302" t="s">
        <v>312</v>
      </c>
      <c r="AO9" s="302" t="s">
        <v>262</v>
      </c>
      <c r="AP9" s="302" t="s">
        <v>288</v>
      </c>
      <c r="AQ9" s="302"/>
      <c r="AR9" s="302"/>
      <c r="AS9" s="302"/>
      <c r="AT9" s="317" t="s">
        <v>289</v>
      </c>
      <c r="AU9" s="317"/>
      <c r="AV9" s="302" t="s">
        <v>290</v>
      </c>
      <c r="AW9" s="302" t="s">
        <v>266</v>
      </c>
      <c r="AX9" s="302" t="s">
        <v>291</v>
      </c>
      <c r="AY9" s="301" t="s">
        <v>1052</v>
      </c>
      <c r="AZ9" s="302" t="s">
        <v>1053</v>
      </c>
      <c r="BA9" s="302" t="s">
        <v>287</v>
      </c>
      <c r="BB9" s="302"/>
      <c r="BC9" s="302"/>
      <c r="BD9" s="302" t="s">
        <v>312</v>
      </c>
      <c r="BE9" s="302" t="s">
        <v>262</v>
      </c>
      <c r="BF9" s="302" t="s">
        <v>288</v>
      </c>
      <c r="BG9" s="302"/>
      <c r="BH9" s="302"/>
      <c r="BI9" s="302"/>
      <c r="BJ9" s="317" t="s">
        <v>289</v>
      </c>
      <c r="BK9" s="317"/>
      <c r="BL9" s="302" t="s">
        <v>290</v>
      </c>
      <c r="BM9" s="302" t="s">
        <v>266</v>
      </c>
      <c r="BN9" s="302" t="s">
        <v>291</v>
      </c>
    </row>
    <row r="10" spans="1:66" ht="15" customHeight="1" x14ac:dyDescent="0.3">
      <c r="A10" s="326"/>
      <c r="B10" s="326"/>
      <c r="C10" s="265"/>
      <c r="D10" s="269"/>
      <c r="E10" s="269" t="s">
        <v>292</v>
      </c>
      <c r="F10" s="269" t="s">
        <v>293</v>
      </c>
      <c r="G10" s="269"/>
      <c r="H10" s="269"/>
      <c r="I10" s="269"/>
      <c r="J10" s="269" t="s">
        <v>292</v>
      </c>
      <c r="K10" s="269" t="s">
        <v>294</v>
      </c>
      <c r="L10" s="269"/>
      <c r="M10" s="269"/>
      <c r="N10" s="318"/>
      <c r="O10" s="318"/>
      <c r="P10" s="269"/>
      <c r="Q10" s="269"/>
      <c r="R10" s="269"/>
      <c r="S10" s="265"/>
      <c r="T10" s="269"/>
      <c r="U10" s="269" t="s">
        <v>292</v>
      </c>
      <c r="V10" s="269" t="s">
        <v>293</v>
      </c>
      <c r="W10" s="269"/>
      <c r="X10" s="269"/>
      <c r="Y10" s="269"/>
      <c r="Z10" s="269" t="s">
        <v>292</v>
      </c>
      <c r="AA10" s="269" t="s">
        <v>294</v>
      </c>
      <c r="AB10" s="269"/>
      <c r="AC10" s="269"/>
      <c r="AD10" s="318"/>
      <c r="AE10" s="318"/>
      <c r="AF10" s="269"/>
      <c r="AG10" s="269"/>
      <c r="AH10" s="269"/>
      <c r="AI10" s="265"/>
      <c r="AJ10" s="269"/>
      <c r="AK10" s="269" t="s">
        <v>292</v>
      </c>
      <c r="AL10" s="269" t="s">
        <v>293</v>
      </c>
      <c r="AM10" s="269"/>
      <c r="AN10" s="269"/>
      <c r="AO10" s="269"/>
      <c r="AP10" s="269" t="s">
        <v>292</v>
      </c>
      <c r="AQ10" s="269" t="s">
        <v>294</v>
      </c>
      <c r="AR10" s="269"/>
      <c r="AS10" s="269"/>
      <c r="AT10" s="318"/>
      <c r="AU10" s="318"/>
      <c r="AV10" s="269"/>
      <c r="AW10" s="269"/>
      <c r="AX10" s="269"/>
      <c r="AY10" s="265"/>
      <c r="AZ10" s="269"/>
      <c r="BA10" s="269" t="s">
        <v>292</v>
      </c>
      <c r="BB10" s="269" t="s">
        <v>293</v>
      </c>
      <c r="BC10" s="269"/>
      <c r="BD10" s="269"/>
      <c r="BE10" s="269"/>
      <c r="BF10" s="269" t="s">
        <v>292</v>
      </c>
      <c r="BG10" s="269" t="s">
        <v>294</v>
      </c>
      <c r="BH10" s="269"/>
      <c r="BI10" s="269"/>
      <c r="BJ10" s="318"/>
      <c r="BK10" s="318"/>
      <c r="BL10" s="269"/>
      <c r="BM10" s="269"/>
      <c r="BN10" s="269"/>
    </row>
    <row r="11" spans="1:66" ht="96.6" x14ac:dyDescent="0.3">
      <c r="A11" s="326"/>
      <c r="B11" s="326"/>
      <c r="C11" s="302"/>
      <c r="D11" s="269"/>
      <c r="E11" s="269"/>
      <c r="F11" s="195" t="s">
        <v>259</v>
      </c>
      <c r="G11" s="195" t="s">
        <v>260</v>
      </c>
      <c r="H11" s="269"/>
      <c r="I11" s="269"/>
      <c r="J11" s="269"/>
      <c r="K11" s="195" t="s">
        <v>264</v>
      </c>
      <c r="L11" s="195" t="s">
        <v>303</v>
      </c>
      <c r="M11" s="195" t="s">
        <v>260</v>
      </c>
      <c r="N11" s="195" t="s">
        <v>911</v>
      </c>
      <c r="O11" s="195" t="s">
        <v>295</v>
      </c>
      <c r="P11" s="269"/>
      <c r="Q11" s="269"/>
      <c r="R11" s="269"/>
      <c r="S11" s="302"/>
      <c r="T11" s="269"/>
      <c r="U11" s="269"/>
      <c r="V11" s="195" t="s">
        <v>259</v>
      </c>
      <c r="W11" s="195" t="s">
        <v>260</v>
      </c>
      <c r="X11" s="269"/>
      <c r="Y11" s="269"/>
      <c r="Z11" s="269"/>
      <c r="AA11" s="195" t="s">
        <v>264</v>
      </c>
      <c r="AB11" s="195" t="s">
        <v>303</v>
      </c>
      <c r="AC11" s="195" t="s">
        <v>260</v>
      </c>
      <c r="AD11" s="195" t="s">
        <v>911</v>
      </c>
      <c r="AE11" s="195" t="s">
        <v>295</v>
      </c>
      <c r="AF11" s="269"/>
      <c r="AG11" s="269"/>
      <c r="AH11" s="269"/>
      <c r="AI11" s="302"/>
      <c r="AJ11" s="269"/>
      <c r="AK11" s="269"/>
      <c r="AL11" s="195" t="s">
        <v>259</v>
      </c>
      <c r="AM11" s="195" t="s">
        <v>260</v>
      </c>
      <c r="AN11" s="269"/>
      <c r="AO11" s="269"/>
      <c r="AP11" s="269"/>
      <c r="AQ11" s="195" t="s">
        <v>264</v>
      </c>
      <c r="AR11" s="195" t="s">
        <v>303</v>
      </c>
      <c r="AS11" s="195" t="s">
        <v>260</v>
      </c>
      <c r="AT11" s="195" t="s">
        <v>911</v>
      </c>
      <c r="AU11" s="195" t="s">
        <v>295</v>
      </c>
      <c r="AV11" s="269"/>
      <c r="AW11" s="269"/>
      <c r="AX11" s="269"/>
      <c r="AY11" s="302"/>
      <c r="AZ11" s="269"/>
      <c r="BA11" s="269"/>
      <c r="BB11" s="248" t="s">
        <v>259</v>
      </c>
      <c r="BC11" s="248" t="s">
        <v>260</v>
      </c>
      <c r="BD11" s="269"/>
      <c r="BE11" s="269"/>
      <c r="BF11" s="269"/>
      <c r="BG11" s="248" t="s">
        <v>264</v>
      </c>
      <c r="BH11" s="248" t="s">
        <v>303</v>
      </c>
      <c r="BI11" s="248" t="s">
        <v>260</v>
      </c>
      <c r="BJ11" s="248" t="s">
        <v>911</v>
      </c>
      <c r="BK11" s="248" t="s">
        <v>295</v>
      </c>
      <c r="BL11" s="269"/>
      <c r="BM11" s="269"/>
      <c r="BN11" s="269"/>
    </row>
    <row r="12" spans="1:66" ht="25.8" customHeight="1" x14ac:dyDescent="0.3">
      <c r="A12" s="199" t="s">
        <v>2</v>
      </c>
      <c r="B12" s="200" t="s">
        <v>3</v>
      </c>
      <c r="C12" s="53">
        <v>0</v>
      </c>
      <c r="D12" s="53">
        <v>0</v>
      </c>
      <c r="E12" s="53">
        <v>0</v>
      </c>
      <c r="F12" s="53">
        <v>0</v>
      </c>
      <c r="G12" s="53">
        <v>0</v>
      </c>
      <c r="H12" s="53">
        <v>0</v>
      </c>
      <c r="I12" s="53">
        <v>1183.1216638299998</v>
      </c>
      <c r="J12" s="53">
        <v>0</v>
      </c>
      <c r="K12" s="53">
        <v>0</v>
      </c>
      <c r="L12" s="53">
        <v>0</v>
      </c>
      <c r="M12" s="53">
        <v>0</v>
      </c>
      <c r="N12" s="53" t="s">
        <v>1230</v>
      </c>
      <c r="O12" s="53" t="s">
        <v>1230</v>
      </c>
      <c r="P12" s="53">
        <v>0</v>
      </c>
      <c r="Q12" s="53">
        <v>1179.76071114</v>
      </c>
      <c r="R12" s="53">
        <v>3.3609526900000075</v>
      </c>
      <c r="S12" s="53">
        <v>0</v>
      </c>
      <c r="T12" s="53">
        <v>0</v>
      </c>
      <c r="U12" s="53">
        <v>0</v>
      </c>
      <c r="V12" s="53">
        <v>0</v>
      </c>
      <c r="W12" s="53">
        <v>0</v>
      </c>
      <c r="X12" s="53">
        <v>0</v>
      </c>
      <c r="Y12" s="53">
        <v>397.96601089999996</v>
      </c>
      <c r="Z12" s="53">
        <v>0</v>
      </c>
      <c r="AA12" s="53">
        <v>0</v>
      </c>
      <c r="AB12" s="53">
        <v>0</v>
      </c>
      <c r="AC12" s="53">
        <v>0</v>
      </c>
      <c r="AD12" s="53" t="s">
        <v>1230</v>
      </c>
      <c r="AE12" s="53" t="s">
        <v>1230</v>
      </c>
      <c r="AF12" s="53">
        <v>0</v>
      </c>
      <c r="AG12" s="53">
        <v>394.63047174999997</v>
      </c>
      <c r="AH12" s="53">
        <v>3.3355391500000016</v>
      </c>
      <c r="AI12" s="53">
        <v>0</v>
      </c>
      <c r="AJ12" s="53">
        <v>0</v>
      </c>
      <c r="AK12" s="53">
        <v>0</v>
      </c>
      <c r="AL12" s="53">
        <v>0</v>
      </c>
      <c r="AM12" s="53">
        <v>0</v>
      </c>
      <c r="AN12" s="53">
        <v>0</v>
      </c>
      <c r="AO12" s="53">
        <v>270.06285359000003</v>
      </c>
      <c r="AP12" s="53">
        <v>0</v>
      </c>
      <c r="AQ12" s="53">
        <v>0</v>
      </c>
      <c r="AR12" s="53">
        <v>0</v>
      </c>
      <c r="AS12" s="53">
        <v>0</v>
      </c>
      <c r="AT12" s="53" t="s">
        <v>1230</v>
      </c>
      <c r="AU12" s="53" t="s">
        <v>1230</v>
      </c>
      <c r="AV12" s="53">
        <v>0</v>
      </c>
      <c r="AW12" s="53">
        <v>270.06285359000003</v>
      </c>
      <c r="AX12" s="53">
        <v>0</v>
      </c>
      <c r="AY12" s="53">
        <v>0</v>
      </c>
      <c r="AZ12" s="53">
        <v>0</v>
      </c>
      <c r="BA12" s="53">
        <v>0</v>
      </c>
      <c r="BB12" s="53">
        <v>0</v>
      </c>
      <c r="BC12" s="53">
        <v>0</v>
      </c>
      <c r="BD12" s="53">
        <v>0</v>
      </c>
      <c r="BE12" s="53">
        <v>515.09279934000006</v>
      </c>
      <c r="BF12" s="53">
        <v>0</v>
      </c>
      <c r="BG12" s="53">
        <v>0</v>
      </c>
      <c r="BH12" s="53">
        <v>0</v>
      </c>
      <c r="BI12" s="53">
        <v>0</v>
      </c>
      <c r="BJ12" s="53" t="s">
        <v>1230</v>
      </c>
      <c r="BK12" s="53" t="s">
        <v>1230</v>
      </c>
      <c r="BL12" s="53">
        <v>0</v>
      </c>
      <c r="BM12" s="53">
        <v>515.06738580000001</v>
      </c>
      <c r="BN12" s="53">
        <v>2.5413540000000012E-2</v>
      </c>
    </row>
    <row r="13" spans="1:66" ht="15.6" hidden="1" x14ac:dyDescent="0.3">
      <c r="A13" s="199"/>
      <c r="B13" s="55" t="s">
        <v>296</v>
      </c>
      <c r="C13" s="80"/>
      <c r="D13" s="53"/>
      <c r="E13" s="53"/>
      <c r="F13" s="8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80"/>
      <c r="T13" s="53"/>
      <c r="U13" s="53"/>
      <c r="V13" s="83"/>
      <c r="W13" s="53"/>
      <c r="X13" s="53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80"/>
      <c r="AJ13" s="53"/>
      <c r="AK13" s="53"/>
      <c r="AL13" s="83"/>
      <c r="AM13" s="53"/>
      <c r="AN13" s="53"/>
      <c r="AO13" s="53"/>
      <c r="AP13" s="53"/>
      <c r="AQ13" s="53"/>
      <c r="AR13" s="53"/>
      <c r="AS13" s="53"/>
      <c r="AT13" s="53"/>
      <c r="AU13" s="53"/>
      <c r="AV13" s="53"/>
      <c r="AW13" s="53"/>
      <c r="AX13" s="53"/>
      <c r="AY13" s="80"/>
      <c r="AZ13" s="53"/>
      <c r="BA13" s="53"/>
      <c r="BB13" s="83"/>
      <c r="BC13" s="53"/>
      <c r="BD13" s="53"/>
      <c r="BE13" s="53"/>
      <c r="BF13" s="53"/>
      <c r="BG13" s="53"/>
      <c r="BH13" s="53"/>
      <c r="BI13" s="53"/>
      <c r="BJ13" s="53"/>
      <c r="BK13" s="53"/>
      <c r="BL13" s="53"/>
      <c r="BM13" s="53"/>
      <c r="BN13" s="53"/>
    </row>
    <row r="14" spans="1:66" ht="15.6" x14ac:dyDescent="0.3">
      <c r="A14" s="202" t="s">
        <v>6</v>
      </c>
      <c r="B14" s="203" t="s">
        <v>7</v>
      </c>
      <c r="C14" s="61">
        <v>0</v>
      </c>
      <c r="D14" s="61">
        <v>0</v>
      </c>
      <c r="E14" s="61">
        <v>0</v>
      </c>
      <c r="F14" s="61">
        <v>0</v>
      </c>
      <c r="G14" s="61">
        <v>0</v>
      </c>
      <c r="H14" s="61">
        <v>0</v>
      </c>
      <c r="I14" s="61">
        <v>407.97025561000004</v>
      </c>
      <c r="J14" s="61">
        <v>0</v>
      </c>
      <c r="K14" s="61">
        <v>0</v>
      </c>
      <c r="L14" s="61">
        <v>0</v>
      </c>
      <c r="M14" s="61">
        <v>0</v>
      </c>
      <c r="N14" s="61" t="s">
        <v>1230</v>
      </c>
      <c r="O14" s="61" t="s">
        <v>1230</v>
      </c>
      <c r="P14" s="61">
        <v>0</v>
      </c>
      <c r="Q14" s="61">
        <v>407.94484207000005</v>
      </c>
      <c r="R14" s="61">
        <v>2.5413539999999735E-2</v>
      </c>
      <c r="S14" s="61">
        <v>0</v>
      </c>
      <c r="T14" s="61">
        <v>0</v>
      </c>
      <c r="U14" s="61">
        <v>0</v>
      </c>
      <c r="V14" s="61">
        <v>0</v>
      </c>
      <c r="W14" s="61">
        <v>0</v>
      </c>
      <c r="X14" s="61">
        <v>0</v>
      </c>
      <c r="Y14" s="61">
        <v>147.00770159999999</v>
      </c>
      <c r="Z14" s="61">
        <v>0</v>
      </c>
      <c r="AA14" s="61">
        <v>0</v>
      </c>
      <c r="AB14" s="61">
        <v>0</v>
      </c>
      <c r="AC14" s="61">
        <v>0</v>
      </c>
      <c r="AD14" s="61" t="s">
        <v>1230</v>
      </c>
      <c r="AE14" s="61" t="s">
        <v>1230</v>
      </c>
      <c r="AF14" s="61">
        <v>0</v>
      </c>
      <c r="AG14" s="61">
        <v>147.00770159999999</v>
      </c>
      <c r="AH14" s="61">
        <v>0</v>
      </c>
      <c r="AI14" s="61">
        <v>0</v>
      </c>
      <c r="AJ14" s="61">
        <v>0</v>
      </c>
      <c r="AK14" s="61">
        <v>0</v>
      </c>
      <c r="AL14" s="61">
        <v>0</v>
      </c>
      <c r="AM14" s="61">
        <v>0</v>
      </c>
      <c r="AN14" s="61">
        <v>0</v>
      </c>
      <c r="AO14" s="61">
        <v>69.293489520000008</v>
      </c>
      <c r="AP14" s="61">
        <v>0</v>
      </c>
      <c r="AQ14" s="61">
        <v>0</v>
      </c>
      <c r="AR14" s="61">
        <v>0</v>
      </c>
      <c r="AS14" s="61">
        <v>0</v>
      </c>
      <c r="AT14" s="61" t="s">
        <v>1230</v>
      </c>
      <c r="AU14" s="61" t="s">
        <v>1230</v>
      </c>
      <c r="AV14" s="61">
        <v>0</v>
      </c>
      <c r="AW14" s="61">
        <v>69.293489520000008</v>
      </c>
      <c r="AX14" s="61">
        <v>0</v>
      </c>
      <c r="AY14" s="61">
        <v>0</v>
      </c>
      <c r="AZ14" s="61">
        <v>0</v>
      </c>
      <c r="BA14" s="61">
        <v>0</v>
      </c>
      <c r="BB14" s="61">
        <v>0</v>
      </c>
      <c r="BC14" s="61">
        <v>0</v>
      </c>
      <c r="BD14" s="61">
        <v>0</v>
      </c>
      <c r="BE14" s="61">
        <v>191.66906449000004</v>
      </c>
      <c r="BF14" s="61">
        <v>0</v>
      </c>
      <c r="BG14" s="61">
        <v>0</v>
      </c>
      <c r="BH14" s="61">
        <v>0</v>
      </c>
      <c r="BI14" s="61">
        <v>0</v>
      </c>
      <c r="BJ14" s="61" t="s">
        <v>1230</v>
      </c>
      <c r="BK14" s="61" t="s">
        <v>1230</v>
      </c>
      <c r="BL14" s="61">
        <v>0</v>
      </c>
      <c r="BM14" s="61">
        <v>191.64365095000002</v>
      </c>
      <c r="BN14" s="61">
        <v>2.5413540000000012E-2</v>
      </c>
    </row>
    <row r="15" spans="1:66" ht="15.6" x14ac:dyDescent="0.3">
      <c r="A15" s="169" t="s">
        <v>9</v>
      </c>
      <c r="B15" s="205" t="s">
        <v>10</v>
      </c>
      <c r="C15" s="66">
        <v>0</v>
      </c>
      <c r="D15" s="66">
        <v>0</v>
      </c>
      <c r="E15" s="66">
        <v>0</v>
      </c>
      <c r="F15" s="66">
        <v>0</v>
      </c>
      <c r="G15" s="66">
        <v>0</v>
      </c>
      <c r="H15" s="66">
        <v>0</v>
      </c>
      <c r="I15" s="66">
        <v>1.8001912199999999</v>
      </c>
      <c r="J15" s="66">
        <v>0</v>
      </c>
      <c r="K15" s="66">
        <v>0</v>
      </c>
      <c r="L15" s="66">
        <v>0</v>
      </c>
      <c r="M15" s="66">
        <v>0</v>
      </c>
      <c r="N15" s="67" t="s">
        <v>1230</v>
      </c>
      <c r="O15" s="67" t="s">
        <v>1230</v>
      </c>
      <c r="P15" s="67">
        <v>0</v>
      </c>
      <c r="Q15" s="66">
        <v>1.8001912199999999</v>
      </c>
      <c r="R15" s="67">
        <v>0</v>
      </c>
      <c r="S15" s="66">
        <v>0</v>
      </c>
      <c r="T15" s="66">
        <v>0</v>
      </c>
      <c r="U15" s="66">
        <v>0</v>
      </c>
      <c r="V15" s="66">
        <v>0</v>
      </c>
      <c r="W15" s="66">
        <v>0</v>
      </c>
      <c r="X15" s="66">
        <v>0</v>
      </c>
      <c r="Y15" s="66">
        <v>0</v>
      </c>
      <c r="Z15" s="66">
        <v>0</v>
      </c>
      <c r="AA15" s="66">
        <v>0</v>
      </c>
      <c r="AB15" s="66">
        <v>0</v>
      </c>
      <c r="AC15" s="66">
        <v>0</v>
      </c>
      <c r="AD15" s="67" t="s">
        <v>1230</v>
      </c>
      <c r="AE15" s="67" t="s">
        <v>1230</v>
      </c>
      <c r="AF15" s="67">
        <v>0</v>
      </c>
      <c r="AG15" s="187">
        <v>0</v>
      </c>
      <c r="AH15" s="67">
        <v>0</v>
      </c>
      <c r="AI15" s="66">
        <v>0</v>
      </c>
      <c r="AJ15" s="66">
        <v>0</v>
      </c>
      <c r="AK15" s="66">
        <v>0</v>
      </c>
      <c r="AL15" s="66">
        <v>0</v>
      </c>
      <c r="AM15" s="66">
        <v>0</v>
      </c>
      <c r="AN15" s="66">
        <v>0</v>
      </c>
      <c r="AO15" s="66">
        <v>0</v>
      </c>
      <c r="AP15" s="66">
        <v>0</v>
      </c>
      <c r="AQ15" s="66">
        <v>0</v>
      </c>
      <c r="AR15" s="66">
        <v>0</v>
      </c>
      <c r="AS15" s="66">
        <v>0</v>
      </c>
      <c r="AT15" s="67" t="s">
        <v>1230</v>
      </c>
      <c r="AU15" s="67" t="s">
        <v>1230</v>
      </c>
      <c r="AV15" s="67">
        <v>0</v>
      </c>
      <c r="AW15" s="187">
        <v>0</v>
      </c>
      <c r="AX15" s="67">
        <v>0</v>
      </c>
      <c r="AY15" s="66">
        <v>0</v>
      </c>
      <c r="AZ15" s="66">
        <v>0</v>
      </c>
      <c r="BA15" s="66">
        <v>0</v>
      </c>
      <c r="BB15" s="66">
        <v>0</v>
      </c>
      <c r="BC15" s="66">
        <v>0</v>
      </c>
      <c r="BD15" s="66">
        <v>0</v>
      </c>
      <c r="BE15" s="66">
        <v>1.8001912199999999</v>
      </c>
      <c r="BF15" s="66">
        <v>0</v>
      </c>
      <c r="BG15" s="66">
        <v>0</v>
      </c>
      <c r="BH15" s="66">
        <v>0</v>
      </c>
      <c r="BI15" s="66">
        <v>0</v>
      </c>
      <c r="BJ15" s="67" t="s">
        <v>1230</v>
      </c>
      <c r="BK15" s="67" t="s">
        <v>1230</v>
      </c>
      <c r="BL15" s="67">
        <v>0</v>
      </c>
      <c r="BM15" s="187">
        <v>1.8001912199999999</v>
      </c>
      <c r="BN15" s="67">
        <v>0</v>
      </c>
    </row>
    <row r="16" spans="1:66" ht="15.6" x14ac:dyDescent="0.3">
      <c r="A16" s="169" t="s">
        <v>12</v>
      </c>
      <c r="B16" s="205" t="s">
        <v>13</v>
      </c>
      <c r="C16" s="66">
        <v>0</v>
      </c>
      <c r="D16" s="66">
        <v>0</v>
      </c>
      <c r="E16" s="66">
        <v>0</v>
      </c>
      <c r="F16" s="66">
        <v>0</v>
      </c>
      <c r="G16" s="66">
        <v>0</v>
      </c>
      <c r="H16" s="66">
        <v>0</v>
      </c>
      <c r="I16" s="66">
        <v>1.3966680900000001</v>
      </c>
      <c r="J16" s="66">
        <v>0</v>
      </c>
      <c r="K16" s="66">
        <v>0</v>
      </c>
      <c r="L16" s="66">
        <v>0</v>
      </c>
      <c r="M16" s="66">
        <v>0</v>
      </c>
      <c r="N16" s="67" t="s">
        <v>1230</v>
      </c>
      <c r="O16" s="67" t="s">
        <v>1230</v>
      </c>
      <c r="P16" s="67">
        <v>0</v>
      </c>
      <c r="Q16" s="66">
        <v>1.3966680900000001</v>
      </c>
      <c r="R16" s="67">
        <v>0</v>
      </c>
      <c r="S16" s="66">
        <v>0</v>
      </c>
      <c r="T16" s="66">
        <v>0</v>
      </c>
      <c r="U16" s="66">
        <v>0</v>
      </c>
      <c r="V16" s="66">
        <v>0</v>
      </c>
      <c r="W16" s="66">
        <v>0</v>
      </c>
      <c r="X16" s="66">
        <v>0</v>
      </c>
      <c r="Y16" s="66">
        <v>1.3966680900000001</v>
      </c>
      <c r="Z16" s="66">
        <v>0</v>
      </c>
      <c r="AA16" s="66">
        <v>0</v>
      </c>
      <c r="AB16" s="66">
        <v>0</v>
      </c>
      <c r="AC16" s="66">
        <v>0</v>
      </c>
      <c r="AD16" s="67" t="s">
        <v>1230</v>
      </c>
      <c r="AE16" s="67" t="s">
        <v>1230</v>
      </c>
      <c r="AF16" s="67">
        <v>0</v>
      </c>
      <c r="AG16" s="187">
        <v>1.3966680900000001</v>
      </c>
      <c r="AH16" s="67">
        <v>0</v>
      </c>
      <c r="AI16" s="66">
        <v>0</v>
      </c>
      <c r="AJ16" s="66">
        <v>0</v>
      </c>
      <c r="AK16" s="66">
        <v>0</v>
      </c>
      <c r="AL16" s="66">
        <v>0</v>
      </c>
      <c r="AM16" s="66">
        <v>0</v>
      </c>
      <c r="AN16" s="66">
        <v>0</v>
      </c>
      <c r="AO16" s="66">
        <v>0</v>
      </c>
      <c r="AP16" s="66">
        <v>0</v>
      </c>
      <c r="AQ16" s="66">
        <v>0</v>
      </c>
      <c r="AR16" s="66">
        <v>0</v>
      </c>
      <c r="AS16" s="66">
        <v>0</v>
      </c>
      <c r="AT16" s="67" t="s">
        <v>1230</v>
      </c>
      <c r="AU16" s="67" t="s">
        <v>1230</v>
      </c>
      <c r="AV16" s="67">
        <v>0</v>
      </c>
      <c r="AW16" s="187">
        <v>0</v>
      </c>
      <c r="AX16" s="67">
        <v>0</v>
      </c>
      <c r="AY16" s="66">
        <v>0</v>
      </c>
      <c r="AZ16" s="66">
        <v>0</v>
      </c>
      <c r="BA16" s="66">
        <v>0</v>
      </c>
      <c r="BB16" s="66">
        <v>0</v>
      </c>
      <c r="BC16" s="66">
        <v>0</v>
      </c>
      <c r="BD16" s="66">
        <v>0</v>
      </c>
      <c r="BE16" s="66">
        <v>0</v>
      </c>
      <c r="BF16" s="66">
        <v>0</v>
      </c>
      <c r="BG16" s="66">
        <v>0</v>
      </c>
      <c r="BH16" s="66">
        <v>0</v>
      </c>
      <c r="BI16" s="66">
        <v>0</v>
      </c>
      <c r="BJ16" s="67" t="s">
        <v>1230</v>
      </c>
      <c r="BK16" s="67" t="s">
        <v>1230</v>
      </c>
      <c r="BL16" s="67">
        <v>0</v>
      </c>
      <c r="BM16" s="187">
        <v>0</v>
      </c>
      <c r="BN16" s="67">
        <v>0</v>
      </c>
    </row>
    <row r="17" spans="1:66" ht="15.6" x14ac:dyDescent="0.3">
      <c r="A17" s="169" t="s">
        <v>15</v>
      </c>
      <c r="B17" s="205" t="s">
        <v>16</v>
      </c>
      <c r="C17" s="66">
        <v>0</v>
      </c>
      <c r="D17" s="66">
        <v>0</v>
      </c>
      <c r="E17" s="66">
        <v>0</v>
      </c>
      <c r="F17" s="66">
        <v>0</v>
      </c>
      <c r="G17" s="66">
        <v>0</v>
      </c>
      <c r="H17" s="66">
        <v>0</v>
      </c>
      <c r="I17" s="66">
        <v>0</v>
      </c>
      <c r="J17" s="66">
        <v>0</v>
      </c>
      <c r="K17" s="66">
        <v>0</v>
      </c>
      <c r="L17" s="66">
        <v>0</v>
      </c>
      <c r="M17" s="66">
        <v>0</v>
      </c>
      <c r="N17" s="67" t="s">
        <v>1230</v>
      </c>
      <c r="O17" s="67" t="s">
        <v>1230</v>
      </c>
      <c r="P17" s="67">
        <v>0</v>
      </c>
      <c r="Q17" s="66">
        <v>0</v>
      </c>
      <c r="R17" s="67">
        <v>0</v>
      </c>
      <c r="S17" s="66">
        <v>0</v>
      </c>
      <c r="T17" s="66">
        <v>0</v>
      </c>
      <c r="U17" s="66">
        <v>0</v>
      </c>
      <c r="V17" s="66">
        <v>0</v>
      </c>
      <c r="W17" s="66">
        <v>0</v>
      </c>
      <c r="X17" s="66">
        <v>0</v>
      </c>
      <c r="Y17" s="66">
        <v>0</v>
      </c>
      <c r="Z17" s="66">
        <v>0</v>
      </c>
      <c r="AA17" s="66">
        <v>0</v>
      </c>
      <c r="AB17" s="66">
        <v>0</v>
      </c>
      <c r="AC17" s="66">
        <v>0</v>
      </c>
      <c r="AD17" s="67" t="s">
        <v>1230</v>
      </c>
      <c r="AE17" s="67" t="s">
        <v>1230</v>
      </c>
      <c r="AF17" s="67">
        <v>0</v>
      </c>
      <c r="AG17" s="187">
        <v>0</v>
      </c>
      <c r="AH17" s="67">
        <v>0</v>
      </c>
      <c r="AI17" s="66">
        <v>0</v>
      </c>
      <c r="AJ17" s="66">
        <v>0</v>
      </c>
      <c r="AK17" s="66">
        <v>0</v>
      </c>
      <c r="AL17" s="66">
        <v>0</v>
      </c>
      <c r="AM17" s="66">
        <v>0</v>
      </c>
      <c r="AN17" s="66">
        <v>0</v>
      </c>
      <c r="AO17" s="66">
        <v>0</v>
      </c>
      <c r="AP17" s="66">
        <v>0</v>
      </c>
      <c r="AQ17" s="66">
        <v>0</v>
      </c>
      <c r="AR17" s="66">
        <v>0</v>
      </c>
      <c r="AS17" s="66">
        <v>0</v>
      </c>
      <c r="AT17" s="67" t="s">
        <v>1230</v>
      </c>
      <c r="AU17" s="67" t="s">
        <v>1230</v>
      </c>
      <c r="AV17" s="67">
        <v>0</v>
      </c>
      <c r="AW17" s="187">
        <v>0</v>
      </c>
      <c r="AX17" s="67">
        <v>0</v>
      </c>
      <c r="AY17" s="66">
        <v>0</v>
      </c>
      <c r="AZ17" s="66">
        <v>0</v>
      </c>
      <c r="BA17" s="66">
        <v>0</v>
      </c>
      <c r="BB17" s="66">
        <v>0</v>
      </c>
      <c r="BC17" s="66">
        <v>0</v>
      </c>
      <c r="BD17" s="66">
        <v>0</v>
      </c>
      <c r="BE17" s="66">
        <v>0</v>
      </c>
      <c r="BF17" s="66">
        <v>0</v>
      </c>
      <c r="BG17" s="66">
        <v>0</v>
      </c>
      <c r="BH17" s="66">
        <v>0</v>
      </c>
      <c r="BI17" s="66">
        <v>0</v>
      </c>
      <c r="BJ17" s="67" t="s">
        <v>1230</v>
      </c>
      <c r="BK17" s="67" t="s">
        <v>1230</v>
      </c>
      <c r="BL17" s="67">
        <v>0</v>
      </c>
      <c r="BM17" s="187">
        <v>0</v>
      </c>
      <c r="BN17" s="67">
        <v>0</v>
      </c>
    </row>
    <row r="18" spans="1:66" ht="15.6" x14ac:dyDescent="0.3">
      <c r="A18" s="169" t="s">
        <v>18</v>
      </c>
      <c r="B18" s="205" t="s">
        <v>19</v>
      </c>
      <c r="C18" s="66">
        <v>0</v>
      </c>
      <c r="D18" s="66">
        <v>0</v>
      </c>
      <c r="E18" s="66">
        <v>0</v>
      </c>
      <c r="F18" s="66">
        <v>0</v>
      </c>
      <c r="G18" s="66">
        <v>0</v>
      </c>
      <c r="H18" s="66">
        <v>0</v>
      </c>
      <c r="I18" s="66">
        <v>8.7654197299999996</v>
      </c>
      <c r="J18" s="66">
        <v>0</v>
      </c>
      <c r="K18" s="66">
        <v>0</v>
      </c>
      <c r="L18" s="66">
        <v>0</v>
      </c>
      <c r="M18" s="66">
        <v>0</v>
      </c>
      <c r="N18" s="67" t="s">
        <v>1230</v>
      </c>
      <c r="O18" s="67" t="s">
        <v>1230</v>
      </c>
      <c r="P18" s="67">
        <v>0</v>
      </c>
      <c r="Q18" s="66">
        <v>8.7654197299999996</v>
      </c>
      <c r="R18" s="67">
        <v>0</v>
      </c>
      <c r="S18" s="66">
        <v>0</v>
      </c>
      <c r="T18" s="66">
        <v>0</v>
      </c>
      <c r="U18" s="66">
        <v>0</v>
      </c>
      <c r="V18" s="66">
        <v>0</v>
      </c>
      <c r="W18" s="66">
        <v>0</v>
      </c>
      <c r="X18" s="66">
        <v>0</v>
      </c>
      <c r="Y18" s="66">
        <v>7.6760222100000002</v>
      </c>
      <c r="Z18" s="66">
        <v>0</v>
      </c>
      <c r="AA18" s="66">
        <v>0</v>
      </c>
      <c r="AB18" s="66">
        <v>0</v>
      </c>
      <c r="AC18" s="66">
        <v>0</v>
      </c>
      <c r="AD18" s="67" t="s">
        <v>1230</v>
      </c>
      <c r="AE18" s="67" t="s">
        <v>1230</v>
      </c>
      <c r="AF18" s="67">
        <v>0</v>
      </c>
      <c r="AG18" s="187">
        <v>7.6760222100000002</v>
      </c>
      <c r="AH18" s="67">
        <v>0</v>
      </c>
      <c r="AI18" s="66">
        <v>0</v>
      </c>
      <c r="AJ18" s="66">
        <v>0</v>
      </c>
      <c r="AK18" s="66">
        <v>0</v>
      </c>
      <c r="AL18" s="66">
        <v>0</v>
      </c>
      <c r="AM18" s="66">
        <v>0</v>
      </c>
      <c r="AN18" s="66">
        <v>0</v>
      </c>
      <c r="AO18" s="66">
        <v>0</v>
      </c>
      <c r="AP18" s="66">
        <v>0</v>
      </c>
      <c r="AQ18" s="66">
        <v>0</v>
      </c>
      <c r="AR18" s="66">
        <v>0</v>
      </c>
      <c r="AS18" s="66">
        <v>0</v>
      </c>
      <c r="AT18" s="67" t="s">
        <v>1230</v>
      </c>
      <c r="AU18" s="67" t="s">
        <v>1230</v>
      </c>
      <c r="AV18" s="67">
        <v>0</v>
      </c>
      <c r="AW18" s="187">
        <v>0</v>
      </c>
      <c r="AX18" s="67">
        <v>0</v>
      </c>
      <c r="AY18" s="66">
        <v>0</v>
      </c>
      <c r="AZ18" s="66">
        <v>0</v>
      </c>
      <c r="BA18" s="66">
        <v>0</v>
      </c>
      <c r="BB18" s="66">
        <v>0</v>
      </c>
      <c r="BC18" s="66">
        <v>0</v>
      </c>
      <c r="BD18" s="66">
        <v>0</v>
      </c>
      <c r="BE18" s="66">
        <v>1.0893975200000001</v>
      </c>
      <c r="BF18" s="66">
        <v>0</v>
      </c>
      <c r="BG18" s="66">
        <v>0</v>
      </c>
      <c r="BH18" s="66">
        <v>0</v>
      </c>
      <c r="BI18" s="66">
        <v>0</v>
      </c>
      <c r="BJ18" s="67" t="s">
        <v>1230</v>
      </c>
      <c r="BK18" s="67" t="s">
        <v>1230</v>
      </c>
      <c r="BL18" s="67">
        <v>0</v>
      </c>
      <c r="BM18" s="187">
        <v>1.0893975200000001</v>
      </c>
      <c r="BN18" s="67">
        <v>0</v>
      </c>
    </row>
    <row r="19" spans="1:66" ht="15.6" x14ac:dyDescent="0.3">
      <c r="A19" s="169" t="s">
        <v>21</v>
      </c>
      <c r="B19" s="205" t="s">
        <v>22</v>
      </c>
      <c r="C19" s="66">
        <v>0</v>
      </c>
      <c r="D19" s="66">
        <v>0</v>
      </c>
      <c r="E19" s="66">
        <v>0</v>
      </c>
      <c r="F19" s="66">
        <v>0</v>
      </c>
      <c r="G19" s="66">
        <v>0</v>
      </c>
      <c r="H19" s="66">
        <v>0</v>
      </c>
      <c r="I19" s="66">
        <v>4.5262078599999995</v>
      </c>
      <c r="J19" s="66">
        <v>0</v>
      </c>
      <c r="K19" s="66">
        <v>0</v>
      </c>
      <c r="L19" s="66">
        <v>0</v>
      </c>
      <c r="M19" s="66">
        <v>0</v>
      </c>
      <c r="N19" s="67" t="s">
        <v>1230</v>
      </c>
      <c r="O19" s="67" t="s">
        <v>1230</v>
      </c>
      <c r="P19" s="67">
        <v>0</v>
      </c>
      <c r="Q19" s="66">
        <v>4.5007943199999998</v>
      </c>
      <c r="R19" s="67">
        <v>2.5413539999999735E-2</v>
      </c>
      <c r="S19" s="66">
        <v>0</v>
      </c>
      <c r="T19" s="66">
        <v>0</v>
      </c>
      <c r="U19" s="66">
        <v>0</v>
      </c>
      <c r="V19" s="66">
        <v>0</v>
      </c>
      <c r="W19" s="66">
        <v>0</v>
      </c>
      <c r="X19" s="66">
        <v>0</v>
      </c>
      <c r="Y19" s="66">
        <v>4.4316771699999995</v>
      </c>
      <c r="Z19" s="66">
        <v>0</v>
      </c>
      <c r="AA19" s="66">
        <v>0</v>
      </c>
      <c r="AB19" s="66">
        <v>0</v>
      </c>
      <c r="AC19" s="66">
        <v>0</v>
      </c>
      <c r="AD19" s="67" t="s">
        <v>1230</v>
      </c>
      <c r="AE19" s="67" t="s">
        <v>1230</v>
      </c>
      <c r="AF19" s="67">
        <v>0</v>
      </c>
      <c r="AG19" s="187">
        <v>4.4316771699999995</v>
      </c>
      <c r="AH19" s="67">
        <v>0</v>
      </c>
      <c r="AI19" s="66">
        <v>0</v>
      </c>
      <c r="AJ19" s="66">
        <v>0</v>
      </c>
      <c r="AK19" s="66">
        <v>0</v>
      </c>
      <c r="AL19" s="66">
        <v>0</v>
      </c>
      <c r="AM19" s="66">
        <v>0</v>
      </c>
      <c r="AN19" s="66">
        <v>0</v>
      </c>
      <c r="AO19" s="66">
        <v>0</v>
      </c>
      <c r="AP19" s="66">
        <v>0</v>
      </c>
      <c r="AQ19" s="66">
        <v>0</v>
      </c>
      <c r="AR19" s="66">
        <v>0</v>
      </c>
      <c r="AS19" s="66">
        <v>0</v>
      </c>
      <c r="AT19" s="67" t="s">
        <v>1230</v>
      </c>
      <c r="AU19" s="67" t="s">
        <v>1230</v>
      </c>
      <c r="AV19" s="67">
        <v>0</v>
      </c>
      <c r="AW19" s="187">
        <v>0</v>
      </c>
      <c r="AX19" s="67">
        <v>0</v>
      </c>
      <c r="AY19" s="66">
        <v>0</v>
      </c>
      <c r="AZ19" s="66">
        <v>0</v>
      </c>
      <c r="BA19" s="66">
        <v>0</v>
      </c>
      <c r="BB19" s="66">
        <v>0</v>
      </c>
      <c r="BC19" s="66">
        <v>0</v>
      </c>
      <c r="BD19" s="66">
        <v>0</v>
      </c>
      <c r="BE19" s="66">
        <v>9.4530690000000001E-2</v>
      </c>
      <c r="BF19" s="66">
        <v>0</v>
      </c>
      <c r="BG19" s="66">
        <v>0</v>
      </c>
      <c r="BH19" s="66">
        <v>0</v>
      </c>
      <c r="BI19" s="66">
        <v>0</v>
      </c>
      <c r="BJ19" s="67" t="s">
        <v>1230</v>
      </c>
      <c r="BK19" s="67" t="s">
        <v>1230</v>
      </c>
      <c r="BL19" s="67">
        <v>0</v>
      </c>
      <c r="BM19" s="187">
        <v>6.9117149999999988E-2</v>
      </c>
      <c r="BN19" s="67">
        <v>2.5413540000000012E-2</v>
      </c>
    </row>
    <row r="20" spans="1:66" ht="15.6" x14ac:dyDescent="0.3">
      <c r="A20" s="169" t="s">
        <v>24</v>
      </c>
      <c r="B20" s="205" t="s">
        <v>25</v>
      </c>
      <c r="C20" s="66">
        <v>0</v>
      </c>
      <c r="D20" s="66">
        <v>0</v>
      </c>
      <c r="E20" s="66">
        <v>0</v>
      </c>
      <c r="F20" s="66">
        <v>0</v>
      </c>
      <c r="G20" s="66">
        <v>0</v>
      </c>
      <c r="H20" s="66">
        <v>0</v>
      </c>
      <c r="I20" s="66">
        <v>0.379054</v>
      </c>
      <c r="J20" s="66">
        <v>0</v>
      </c>
      <c r="K20" s="66">
        <v>0</v>
      </c>
      <c r="L20" s="66">
        <v>0</v>
      </c>
      <c r="M20" s="66">
        <v>0</v>
      </c>
      <c r="N20" s="67" t="s">
        <v>1230</v>
      </c>
      <c r="O20" s="67" t="s">
        <v>1230</v>
      </c>
      <c r="P20" s="67">
        <v>0</v>
      </c>
      <c r="Q20" s="66">
        <v>0.379054</v>
      </c>
      <c r="R20" s="67">
        <v>0</v>
      </c>
      <c r="S20" s="66">
        <v>0</v>
      </c>
      <c r="T20" s="66">
        <v>0</v>
      </c>
      <c r="U20" s="66">
        <v>0</v>
      </c>
      <c r="V20" s="66">
        <v>0</v>
      </c>
      <c r="W20" s="66">
        <v>0</v>
      </c>
      <c r="X20" s="66">
        <v>0</v>
      </c>
      <c r="Y20" s="66">
        <v>0.379054</v>
      </c>
      <c r="Z20" s="66">
        <v>0</v>
      </c>
      <c r="AA20" s="66">
        <v>0</v>
      </c>
      <c r="AB20" s="66">
        <v>0</v>
      </c>
      <c r="AC20" s="66">
        <v>0</v>
      </c>
      <c r="AD20" s="67" t="s">
        <v>1230</v>
      </c>
      <c r="AE20" s="67" t="s">
        <v>1230</v>
      </c>
      <c r="AF20" s="67">
        <v>0</v>
      </c>
      <c r="AG20" s="187">
        <v>0.379054</v>
      </c>
      <c r="AH20" s="67">
        <v>0</v>
      </c>
      <c r="AI20" s="66">
        <v>0</v>
      </c>
      <c r="AJ20" s="66">
        <v>0</v>
      </c>
      <c r="AK20" s="66">
        <v>0</v>
      </c>
      <c r="AL20" s="66">
        <v>0</v>
      </c>
      <c r="AM20" s="66">
        <v>0</v>
      </c>
      <c r="AN20" s="66">
        <v>0</v>
      </c>
      <c r="AO20" s="66">
        <v>0</v>
      </c>
      <c r="AP20" s="66">
        <v>0</v>
      </c>
      <c r="AQ20" s="66">
        <v>0</v>
      </c>
      <c r="AR20" s="66">
        <v>0</v>
      </c>
      <c r="AS20" s="66">
        <v>0</v>
      </c>
      <c r="AT20" s="67" t="s">
        <v>1230</v>
      </c>
      <c r="AU20" s="67" t="s">
        <v>1230</v>
      </c>
      <c r="AV20" s="67">
        <v>0</v>
      </c>
      <c r="AW20" s="187">
        <v>0</v>
      </c>
      <c r="AX20" s="67">
        <v>0</v>
      </c>
      <c r="AY20" s="66">
        <v>0</v>
      </c>
      <c r="AZ20" s="66">
        <v>0</v>
      </c>
      <c r="BA20" s="66">
        <v>0</v>
      </c>
      <c r="BB20" s="66">
        <v>0</v>
      </c>
      <c r="BC20" s="66">
        <v>0</v>
      </c>
      <c r="BD20" s="66">
        <v>0</v>
      </c>
      <c r="BE20" s="66">
        <v>0</v>
      </c>
      <c r="BF20" s="66">
        <v>0</v>
      </c>
      <c r="BG20" s="66">
        <v>0</v>
      </c>
      <c r="BH20" s="66">
        <v>0</v>
      </c>
      <c r="BI20" s="66">
        <v>0</v>
      </c>
      <c r="BJ20" s="67" t="s">
        <v>1230</v>
      </c>
      <c r="BK20" s="67" t="s">
        <v>1230</v>
      </c>
      <c r="BL20" s="67">
        <v>0</v>
      </c>
      <c r="BM20" s="187">
        <v>0</v>
      </c>
      <c r="BN20" s="67">
        <v>0</v>
      </c>
    </row>
    <row r="21" spans="1:66" ht="15.6" x14ac:dyDescent="0.3">
      <c r="A21" s="169" t="s">
        <v>27</v>
      </c>
      <c r="B21" s="205" t="s">
        <v>28</v>
      </c>
      <c r="C21" s="66">
        <v>0</v>
      </c>
      <c r="D21" s="66">
        <v>0</v>
      </c>
      <c r="E21" s="66">
        <v>0</v>
      </c>
      <c r="F21" s="66">
        <v>0</v>
      </c>
      <c r="G21" s="66">
        <v>0</v>
      </c>
      <c r="H21" s="66">
        <v>0</v>
      </c>
      <c r="I21" s="66">
        <v>0.78554003999999988</v>
      </c>
      <c r="J21" s="66">
        <v>0</v>
      </c>
      <c r="K21" s="66">
        <v>0</v>
      </c>
      <c r="L21" s="66">
        <v>0</v>
      </c>
      <c r="M21" s="66">
        <v>0</v>
      </c>
      <c r="N21" s="67" t="s">
        <v>1230</v>
      </c>
      <c r="O21" s="67" t="s">
        <v>1230</v>
      </c>
      <c r="P21" s="67">
        <v>0</v>
      </c>
      <c r="Q21" s="66">
        <v>0.78554003999999988</v>
      </c>
      <c r="R21" s="67">
        <v>0</v>
      </c>
      <c r="S21" s="66">
        <v>0</v>
      </c>
      <c r="T21" s="66">
        <v>0</v>
      </c>
      <c r="U21" s="66">
        <v>0</v>
      </c>
      <c r="V21" s="66">
        <v>0</v>
      </c>
      <c r="W21" s="66">
        <v>0</v>
      </c>
      <c r="X21" s="66">
        <v>0</v>
      </c>
      <c r="Y21" s="66">
        <v>0.72040233999999992</v>
      </c>
      <c r="Z21" s="66">
        <v>0</v>
      </c>
      <c r="AA21" s="66">
        <v>0</v>
      </c>
      <c r="AB21" s="66">
        <v>0</v>
      </c>
      <c r="AC21" s="66">
        <v>0</v>
      </c>
      <c r="AD21" s="67" t="s">
        <v>1230</v>
      </c>
      <c r="AE21" s="67" t="s">
        <v>1230</v>
      </c>
      <c r="AF21" s="67">
        <v>0</v>
      </c>
      <c r="AG21" s="187">
        <v>0.72040233999999992</v>
      </c>
      <c r="AH21" s="67">
        <v>0</v>
      </c>
      <c r="AI21" s="66">
        <v>0</v>
      </c>
      <c r="AJ21" s="66">
        <v>0</v>
      </c>
      <c r="AK21" s="66">
        <v>0</v>
      </c>
      <c r="AL21" s="66">
        <v>0</v>
      </c>
      <c r="AM21" s="66">
        <v>0</v>
      </c>
      <c r="AN21" s="66">
        <v>0</v>
      </c>
      <c r="AO21" s="66">
        <v>0</v>
      </c>
      <c r="AP21" s="66">
        <v>0</v>
      </c>
      <c r="AQ21" s="66">
        <v>0</v>
      </c>
      <c r="AR21" s="66">
        <v>0</v>
      </c>
      <c r="AS21" s="66">
        <v>0</v>
      </c>
      <c r="AT21" s="67" t="s">
        <v>1230</v>
      </c>
      <c r="AU21" s="67" t="s">
        <v>1230</v>
      </c>
      <c r="AV21" s="67">
        <v>0</v>
      </c>
      <c r="AW21" s="187">
        <v>0</v>
      </c>
      <c r="AX21" s="67">
        <v>0</v>
      </c>
      <c r="AY21" s="66">
        <v>0</v>
      </c>
      <c r="AZ21" s="66">
        <v>0</v>
      </c>
      <c r="BA21" s="66">
        <v>0</v>
      </c>
      <c r="BB21" s="66">
        <v>0</v>
      </c>
      <c r="BC21" s="66">
        <v>0</v>
      </c>
      <c r="BD21" s="66">
        <v>0</v>
      </c>
      <c r="BE21" s="66">
        <v>6.5137699999999993E-2</v>
      </c>
      <c r="BF21" s="66">
        <v>0</v>
      </c>
      <c r="BG21" s="66">
        <v>0</v>
      </c>
      <c r="BH21" s="66">
        <v>0</v>
      </c>
      <c r="BI21" s="66">
        <v>0</v>
      </c>
      <c r="BJ21" s="67" t="s">
        <v>1230</v>
      </c>
      <c r="BK21" s="67" t="s">
        <v>1230</v>
      </c>
      <c r="BL21" s="67">
        <v>0</v>
      </c>
      <c r="BM21" s="187">
        <v>6.5137699999999993E-2</v>
      </c>
      <c r="BN21" s="67">
        <v>0</v>
      </c>
    </row>
    <row r="22" spans="1:66" ht="15.6" x14ac:dyDescent="0.3">
      <c r="A22" s="169" t="s">
        <v>30</v>
      </c>
      <c r="B22" s="205" t="s">
        <v>31</v>
      </c>
      <c r="C22" s="66">
        <v>0</v>
      </c>
      <c r="D22" s="66">
        <v>0</v>
      </c>
      <c r="E22" s="66">
        <v>0</v>
      </c>
      <c r="F22" s="66">
        <v>0</v>
      </c>
      <c r="G22" s="66">
        <v>0</v>
      </c>
      <c r="H22" s="66">
        <v>0</v>
      </c>
      <c r="I22" s="66">
        <v>1.45061588</v>
      </c>
      <c r="J22" s="66">
        <v>0</v>
      </c>
      <c r="K22" s="66">
        <v>0</v>
      </c>
      <c r="L22" s="66">
        <v>0</v>
      </c>
      <c r="M22" s="66">
        <v>0</v>
      </c>
      <c r="N22" s="67" t="s">
        <v>1230</v>
      </c>
      <c r="O22" s="67" t="s">
        <v>1230</v>
      </c>
      <c r="P22" s="67">
        <v>0</v>
      </c>
      <c r="Q22" s="66">
        <v>1.45061588</v>
      </c>
      <c r="R22" s="67">
        <v>0</v>
      </c>
      <c r="S22" s="66">
        <v>0</v>
      </c>
      <c r="T22" s="66">
        <v>0</v>
      </c>
      <c r="U22" s="66">
        <v>0</v>
      </c>
      <c r="V22" s="66">
        <v>0</v>
      </c>
      <c r="W22" s="66">
        <v>0</v>
      </c>
      <c r="X22" s="66">
        <v>0</v>
      </c>
      <c r="Y22" s="66">
        <v>1.2173301999999999</v>
      </c>
      <c r="Z22" s="66">
        <v>0</v>
      </c>
      <c r="AA22" s="66">
        <v>0</v>
      </c>
      <c r="AB22" s="66">
        <v>0</v>
      </c>
      <c r="AC22" s="66">
        <v>0</v>
      </c>
      <c r="AD22" s="67" t="s">
        <v>1230</v>
      </c>
      <c r="AE22" s="67" t="s">
        <v>1230</v>
      </c>
      <c r="AF22" s="67">
        <v>0</v>
      </c>
      <c r="AG22" s="187">
        <v>1.2173301999999999</v>
      </c>
      <c r="AH22" s="67">
        <v>0</v>
      </c>
      <c r="AI22" s="66">
        <v>0</v>
      </c>
      <c r="AJ22" s="66">
        <v>0</v>
      </c>
      <c r="AK22" s="66">
        <v>0</v>
      </c>
      <c r="AL22" s="66">
        <v>0</v>
      </c>
      <c r="AM22" s="66">
        <v>0</v>
      </c>
      <c r="AN22" s="66">
        <v>0</v>
      </c>
      <c r="AO22" s="66">
        <v>0</v>
      </c>
      <c r="AP22" s="66">
        <v>0</v>
      </c>
      <c r="AQ22" s="66">
        <v>0</v>
      </c>
      <c r="AR22" s="66">
        <v>0</v>
      </c>
      <c r="AS22" s="66">
        <v>0</v>
      </c>
      <c r="AT22" s="67" t="s">
        <v>1230</v>
      </c>
      <c r="AU22" s="67" t="s">
        <v>1230</v>
      </c>
      <c r="AV22" s="67">
        <v>0</v>
      </c>
      <c r="AW22" s="187">
        <v>0</v>
      </c>
      <c r="AX22" s="67">
        <v>0</v>
      </c>
      <c r="AY22" s="66">
        <v>0</v>
      </c>
      <c r="AZ22" s="66">
        <v>0</v>
      </c>
      <c r="BA22" s="66">
        <v>0</v>
      </c>
      <c r="BB22" s="66">
        <v>0</v>
      </c>
      <c r="BC22" s="66">
        <v>0</v>
      </c>
      <c r="BD22" s="66">
        <v>0</v>
      </c>
      <c r="BE22" s="66">
        <v>0.23328568</v>
      </c>
      <c r="BF22" s="66">
        <v>0</v>
      </c>
      <c r="BG22" s="66">
        <v>0</v>
      </c>
      <c r="BH22" s="66">
        <v>0</v>
      </c>
      <c r="BI22" s="66">
        <v>0</v>
      </c>
      <c r="BJ22" s="67" t="s">
        <v>1230</v>
      </c>
      <c r="BK22" s="67" t="s">
        <v>1230</v>
      </c>
      <c r="BL22" s="67">
        <v>0</v>
      </c>
      <c r="BM22" s="187">
        <v>0.23328568</v>
      </c>
      <c r="BN22" s="67">
        <v>0</v>
      </c>
    </row>
    <row r="23" spans="1:66" ht="15.6" x14ac:dyDescent="0.3">
      <c r="A23" s="169" t="s">
        <v>33</v>
      </c>
      <c r="B23" s="205" t="s">
        <v>34</v>
      </c>
      <c r="C23" s="66">
        <v>0</v>
      </c>
      <c r="D23" s="66">
        <v>0</v>
      </c>
      <c r="E23" s="66">
        <v>0</v>
      </c>
      <c r="F23" s="66">
        <v>0</v>
      </c>
      <c r="G23" s="66">
        <v>0</v>
      </c>
      <c r="H23" s="66">
        <v>0</v>
      </c>
      <c r="I23" s="66">
        <v>38.855775139999999</v>
      </c>
      <c r="J23" s="66">
        <v>0</v>
      </c>
      <c r="K23" s="66">
        <v>0</v>
      </c>
      <c r="L23" s="66">
        <v>0</v>
      </c>
      <c r="M23" s="66">
        <v>0</v>
      </c>
      <c r="N23" s="67" t="s">
        <v>1230</v>
      </c>
      <c r="O23" s="67" t="s">
        <v>1230</v>
      </c>
      <c r="P23" s="67">
        <v>0</v>
      </c>
      <c r="Q23" s="66">
        <v>38.855775139999999</v>
      </c>
      <c r="R23" s="67">
        <v>0</v>
      </c>
      <c r="S23" s="66">
        <v>0</v>
      </c>
      <c r="T23" s="66">
        <v>0</v>
      </c>
      <c r="U23" s="66">
        <v>0</v>
      </c>
      <c r="V23" s="66">
        <v>0</v>
      </c>
      <c r="W23" s="66">
        <v>0</v>
      </c>
      <c r="X23" s="66">
        <v>0</v>
      </c>
      <c r="Y23" s="66">
        <v>2.0451506699999999</v>
      </c>
      <c r="Z23" s="66">
        <v>0</v>
      </c>
      <c r="AA23" s="66">
        <v>0</v>
      </c>
      <c r="AB23" s="66">
        <v>0</v>
      </c>
      <c r="AC23" s="66">
        <v>0</v>
      </c>
      <c r="AD23" s="67" t="s">
        <v>1230</v>
      </c>
      <c r="AE23" s="67" t="s">
        <v>1230</v>
      </c>
      <c r="AF23" s="67">
        <v>0</v>
      </c>
      <c r="AG23" s="187">
        <v>2.0451506699999999</v>
      </c>
      <c r="AH23" s="67">
        <v>0</v>
      </c>
      <c r="AI23" s="66">
        <v>0</v>
      </c>
      <c r="AJ23" s="66">
        <v>0</v>
      </c>
      <c r="AK23" s="66">
        <v>0</v>
      </c>
      <c r="AL23" s="66">
        <v>0</v>
      </c>
      <c r="AM23" s="66">
        <v>0</v>
      </c>
      <c r="AN23" s="66">
        <v>0</v>
      </c>
      <c r="AO23" s="66">
        <v>0</v>
      </c>
      <c r="AP23" s="66">
        <v>0</v>
      </c>
      <c r="AQ23" s="66">
        <v>0</v>
      </c>
      <c r="AR23" s="66">
        <v>0</v>
      </c>
      <c r="AS23" s="66">
        <v>0</v>
      </c>
      <c r="AT23" s="67" t="s">
        <v>1230</v>
      </c>
      <c r="AU23" s="67" t="s">
        <v>1230</v>
      </c>
      <c r="AV23" s="67">
        <v>0</v>
      </c>
      <c r="AW23" s="187">
        <v>0</v>
      </c>
      <c r="AX23" s="67">
        <v>0</v>
      </c>
      <c r="AY23" s="66">
        <v>0</v>
      </c>
      <c r="AZ23" s="66">
        <v>0</v>
      </c>
      <c r="BA23" s="66">
        <v>0</v>
      </c>
      <c r="BB23" s="66">
        <v>0</v>
      </c>
      <c r="BC23" s="66">
        <v>0</v>
      </c>
      <c r="BD23" s="66">
        <v>0</v>
      </c>
      <c r="BE23" s="66">
        <v>36.81062447</v>
      </c>
      <c r="BF23" s="66">
        <v>0</v>
      </c>
      <c r="BG23" s="66">
        <v>0</v>
      </c>
      <c r="BH23" s="66">
        <v>0</v>
      </c>
      <c r="BI23" s="66">
        <v>0</v>
      </c>
      <c r="BJ23" s="67" t="s">
        <v>1230</v>
      </c>
      <c r="BK23" s="67" t="s">
        <v>1230</v>
      </c>
      <c r="BL23" s="67">
        <v>0</v>
      </c>
      <c r="BM23" s="187">
        <v>36.81062447</v>
      </c>
      <c r="BN23" s="67">
        <v>0</v>
      </c>
    </row>
    <row r="24" spans="1:66" ht="15.6" x14ac:dyDescent="0.3">
      <c r="A24" s="169" t="s">
        <v>36</v>
      </c>
      <c r="B24" s="205" t="s">
        <v>37</v>
      </c>
      <c r="C24" s="66">
        <v>0</v>
      </c>
      <c r="D24" s="66">
        <v>0</v>
      </c>
      <c r="E24" s="66">
        <v>0</v>
      </c>
      <c r="F24" s="66">
        <v>0</v>
      </c>
      <c r="G24" s="66">
        <v>0</v>
      </c>
      <c r="H24" s="66">
        <v>0</v>
      </c>
      <c r="I24" s="66">
        <v>190.68183715000001</v>
      </c>
      <c r="J24" s="66">
        <v>0</v>
      </c>
      <c r="K24" s="66">
        <v>0</v>
      </c>
      <c r="L24" s="66">
        <v>0</v>
      </c>
      <c r="M24" s="66">
        <v>0</v>
      </c>
      <c r="N24" s="67" t="s">
        <v>1230</v>
      </c>
      <c r="O24" s="67" t="s">
        <v>1230</v>
      </c>
      <c r="P24" s="67">
        <v>0</v>
      </c>
      <c r="Q24" s="66">
        <v>190.68183715000001</v>
      </c>
      <c r="R24" s="67">
        <v>0</v>
      </c>
      <c r="S24" s="66">
        <v>0</v>
      </c>
      <c r="T24" s="66">
        <v>0</v>
      </c>
      <c r="U24" s="66">
        <v>0</v>
      </c>
      <c r="V24" s="66">
        <v>0</v>
      </c>
      <c r="W24" s="66">
        <v>0</v>
      </c>
      <c r="X24" s="66">
        <v>0</v>
      </c>
      <c r="Y24" s="66">
        <v>117.66604164</v>
      </c>
      <c r="Z24" s="66">
        <v>0</v>
      </c>
      <c r="AA24" s="66">
        <v>0</v>
      </c>
      <c r="AB24" s="66">
        <v>0</v>
      </c>
      <c r="AC24" s="66">
        <v>0</v>
      </c>
      <c r="AD24" s="67" t="s">
        <v>1230</v>
      </c>
      <c r="AE24" s="67" t="s">
        <v>1230</v>
      </c>
      <c r="AF24" s="67">
        <v>0</v>
      </c>
      <c r="AG24" s="187">
        <v>117.66604164</v>
      </c>
      <c r="AH24" s="67">
        <v>0</v>
      </c>
      <c r="AI24" s="66">
        <v>0</v>
      </c>
      <c r="AJ24" s="66">
        <v>0</v>
      </c>
      <c r="AK24" s="66">
        <v>0</v>
      </c>
      <c r="AL24" s="66">
        <v>0</v>
      </c>
      <c r="AM24" s="66">
        <v>0</v>
      </c>
      <c r="AN24" s="66">
        <v>0</v>
      </c>
      <c r="AO24" s="66">
        <v>68.902495520000002</v>
      </c>
      <c r="AP24" s="66">
        <v>0</v>
      </c>
      <c r="AQ24" s="66">
        <v>0</v>
      </c>
      <c r="AR24" s="66">
        <v>0</v>
      </c>
      <c r="AS24" s="66">
        <v>0</v>
      </c>
      <c r="AT24" s="67" t="s">
        <v>1230</v>
      </c>
      <c r="AU24" s="67" t="s">
        <v>1230</v>
      </c>
      <c r="AV24" s="67">
        <v>0</v>
      </c>
      <c r="AW24" s="187">
        <v>68.902495520000002</v>
      </c>
      <c r="AX24" s="67">
        <v>0</v>
      </c>
      <c r="AY24" s="66">
        <v>0</v>
      </c>
      <c r="AZ24" s="66">
        <v>0</v>
      </c>
      <c r="BA24" s="66">
        <v>0</v>
      </c>
      <c r="BB24" s="66">
        <v>0</v>
      </c>
      <c r="BC24" s="66">
        <v>0</v>
      </c>
      <c r="BD24" s="66">
        <v>0</v>
      </c>
      <c r="BE24" s="66">
        <v>4.1132999899999998</v>
      </c>
      <c r="BF24" s="66">
        <v>0</v>
      </c>
      <c r="BG24" s="66">
        <v>0</v>
      </c>
      <c r="BH24" s="66">
        <v>0</v>
      </c>
      <c r="BI24" s="66">
        <v>0</v>
      </c>
      <c r="BJ24" s="67" t="s">
        <v>1230</v>
      </c>
      <c r="BK24" s="67" t="s">
        <v>1230</v>
      </c>
      <c r="BL24" s="67">
        <v>0</v>
      </c>
      <c r="BM24" s="187">
        <v>4.1132999899999998</v>
      </c>
      <c r="BN24" s="67">
        <v>0</v>
      </c>
    </row>
    <row r="25" spans="1:66" ht="15.6" x14ac:dyDescent="0.3">
      <c r="A25" s="169" t="s">
        <v>39</v>
      </c>
      <c r="B25" s="205" t="s">
        <v>297</v>
      </c>
      <c r="C25" s="66">
        <v>0</v>
      </c>
      <c r="D25" s="66">
        <v>0</v>
      </c>
      <c r="E25" s="66">
        <v>0</v>
      </c>
      <c r="F25" s="66">
        <v>0</v>
      </c>
      <c r="G25" s="66">
        <v>0</v>
      </c>
      <c r="H25" s="66">
        <v>0</v>
      </c>
      <c r="I25" s="66">
        <v>0</v>
      </c>
      <c r="J25" s="66">
        <v>0</v>
      </c>
      <c r="K25" s="66">
        <v>0</v>
      </c>
      <c r="L25" s="66">
        <v>0</v>
      </c>
      <c r="M25" s="66">
        <v>0</v>
      </c>
      <c r="N25" s="67" t="s">
        <v>1230</v>
      </c>
      <c r="O25" s="67" t="s">
        <v>1230</v>
      </c>
      <c r="P25" s="67">
        <v>0</v>
      </c>
      <c r="Q25" s="66">
        <v>0</v>
      </c>
      <c r="R25" s="67">
        <v>0</v>
      </c>
      <c r="S25" s="66">
        <v>0</v>
      </c>
      <c r="T25" s="66">
        <v>0</v>
      </c>
      <c r="U25" s="66">
        <v>0</v>
      </c>
      <c r="V25" s="66">
        <v>0</v>
      </c>
      <c r="W25" s="66">
        <v>0</v>
      </c>
      <c r="X25" s="66">
        <v>0</v>
      </c>
      <c r="Y25" s="66">
        <v>0</v>
      </c>
      <c r="Z25" s="66">
        <v>0</v>
      </c>
      <c r="AA25" s="66">
        <v>0</v>
      </c>
      <c r="AB25" s="66">
        <v>0</v>
      </c>
      <c r="AC25" s="66">
        <v>0</v>
      </c>
      <c r="AD25" s="67" t="s">
        <v>1230</v>
      </c>
      <c r="AE25" s="67" t="s">
        <v>1230</v>
      </c>
      <c r="AF25" s="67">
        <v>0</v>
      </c>
      <c r="AG25" s="187">
        <v>0</v>
      </c>
      <c r="AH25" s="67">
        <v>0</v>
      </c>
      <c r="AI25" s="66">
        <v>0</v>
      </c>
      <c r="AJ25" s="66">
        <v>0</v>
      </c>
      <c r="AK25" s="66">
        <v>0</v>
      </c>
      <c r="AL25" s="66">
        <v>0</v>
      </c>
      <c r="AM25" s="66">
        <v>0</v>
      </c>
      <c r="AN25" s="66">
        <v>0</v>
      </c>
      <c r="AO25" s="66">
        <v>0</v>
      </c>
      <c r="AP25" s="66">
        <v>0</v>
      </c>
      <c r="AQ25" s="66">
        <v>0</v>
      </c>
      <c r="AR25" s="66">
        <v>0</v>
      </c>
      <c r="AS25" s="66">
        <v>0</v>
      </c>
      <c r="AT25" s="67" t="s">
        <v>1230</v>
      </c>
      <c r="AU25" s="67" t="s">
        <v>1230</v>
      </c>
      <c r="AV25" s="67">
        <v>0</v>
      </c>
      <c r="AW25" s="187">
        <v>0</v>
      </c>
      <c r="AX25" s="67">
        <v>0</v>
      </c>
      <c r="AY25" s="66">
        <v>0</v>
      </c>
      <c r="AZ25" s="66">
        <v>0</v>
      </c>
      <c r="BA25" s="66">
        <v>0</v>
      </c>
      <c r="BB25" s="66">
        <v>0</v>
      </c>
      <c r="BC25" s="66">
        <v>0</v>
      </c>
      <c r="BD25" s="66">
        <v>0</v>
      </c>
      <c r="BE25" s="66">
        <v>0</v>
      </c>
      <c r="BF25" s="66">
        <v>0</v>
      </c>
      <c r="BG25" s="66">
        <v>0</v>
      </c>
      <c r="BH25" s="66">
        <v>0</v>
      </c>
      <c r="BI25" s="66">
        <v>0</v>
      </c>
      <c r="BJ25" s="67" t="s">
        <v>1230</v>
      </c>
      <c r="BK25" s="67" t="s">
        <v>1230</v>
      </c>
      <c r="BL25" s="67">
        <v>0</v>
      </c>
      <c r="BM25" s="187">
        <v>0</v>
      </c>
      <c r="BN25" s="67">
        <v>0</v>
      </c>
    </row>
    <row r="26" spans="1:66" ht="15.6" x14ac:dyDescent="0.3">
      <c r="A26" s="169" t="s">
        <v>41</v>
      </c>
      <c r="B26" s="205" t="s">
        <v>42</v>
      </c>
      <c r="C26" s="66">
        <v>0</v>
      </c>
      <c r="D26" s="66">
        <v>0</v>
      </c>
      <c r="E26" s="66">
        <v>0</v>
      </c>
      <c r="F26" s="66">
        <v>0</v>
      </c>
      <c r="G26" s="66">
        <v>0</v>
      </c>
      <c r="H26" s="66">
        <v>0</v>
      </c>
      <c r="I26" s="66">
        <v>6.710817999999999E-2</v>
      </c>
      <c r="J26" s="66">
        <v>0</v>
      </c>
      <c r="K26" s="66">
        <v>0</v>
      </c>
      <c r="L26" s="66">
        <v>0</v>
      </c>
      <c r="M26" s="66">
        <v>0</v>
      </c>
      <c r="N26" s="67" t="s">
        <v>1230</v>
      </c>
      <c r="O26" s="67" t="s">
        <v>1230</v>
      </c>
      <c r="P26" s="67">
        <v>0</v>
      </c>
      <c r="Q26" s="66">
        <v>6.710817999999999E-2</v>
      </c>
      <c r="R26" s="67">
        <v>0</v>
      </c>
      <c r="S26" s="66">
        <v>0</v>
      </c>
      <c r="T26" s="66">
        <v>0</v>
      </c>
      <c r="U26" s="66">
        <v>0</v>
      </c>
      <c r="V26" s="66">
        <v>0</v>
      </c>
      <c r="W26" s="66">
        <v>0</v>
      </c>
      <c r="X26" s="66">
        <v>0</v>
      </c>
      <c r="Y26" s="66">
        <v>6.710817999999999E-2</v>
      </c>
      <c r="Z26" s="66">
        <v>0</v>
      </c>
      <c r="AA26" s="66">
        <v>0</v>
      </c>
      <c r="AB26" s="66">
        <v>0</v>
      </c>
      <c r="AC26" s="66">
        <v>0</v>
      </c>
      <c r="AD26" s="67" t="s">
        <v>1230</v>
      </c>
      <c r="AE26" s="67" t="s">
        <v>1230</v>
      </c>
      <c r="AF26" s="67">
        <v>0</v>
      </c>
      <c r="AG26" s="187">
        <v>6.710817999999999E-2</v>
      </c>
      <c r="AH26" s="67">
        <v>0</v>
      </c>
      <c r="AI26" s="66">
        <v>0</v>
      </c>
      <c r="AJ26" s="66">
        <v>0</v>
      </c>
      <c r="AK26" s="66">
        <v>0</v>
      </c>
      <c r="AL26" s="66">
        <v>0</v>
      </c>
      <c r="AM26" s="66">
        <v>0</v>
      </c>
      <c r="AN26" s="66">
        <v>0</v>
      </c>
      <c r="AO26" s="66">
        <v>0</v>
      </c>
      <c r="AP26" s="66">
        <v>0</v>
      </c>
      <c r="AQ26" s="66">
        <v>0</v>
      </c>
      <c r="AR26" s="66">
        <v>0</v>
      </c>
      <c r="AS26" s="66">
        <v>0</v>
      </c>
      <c r="AT26" s="67" t="s">
        <v>1230</v>
      </c>
      <c r="AU26" s="67" t="s">
        <v>1230</v>
      </c>
      <c r="AV26" s="67">
        <v>0</v>
      </c>
      <c r="AW26" s="187">
        <v>0</v>
      </c>
      <c r="AX26" s="67">
        <v>0</v>
      </c>
      <c r="AY26" s="66">
        <v>0</v>
      </c>
      <c r="AZ26" s="66">
        <v>0</v>
      </c>
      <c r="BA26" s="66">
        <v>0</v>
      </c>
      <c r="BB26" s="66">
        <v>0</v>
      </c>
      <c r="BC26" s="66">
        <v>0</v>
      </c>
      <c r="BD26" s="66">
        <v>0</v>
      </c>
      <c r="BE26" s="66">
        <v>0</v>
      </c>
      <c r="BF26" s="66">
        <v>0</v>
      </c>
      <c r="BG26" s="66">
        <v>0</v>
      </c>
      <c r="BH26" s="66">
        <v>0</v>
      </c>
      <c r="BI26" s="66">
        <v>0</v>
      </c>
      <c r="BJ26" s="67" t="s">
        <v>1230</v>
      </c>
      <c r="BK26" s="67" t="s">
        <v>1230</v>
      </c>
      <c r="BL26" s="67">
        <v>0</v>
      </c>
      <c r="BM26" s="187">
        <v>0</v>
      </c>
      <c r="BN26" s="67">
        <v>0</v>
      </c>
    </row>
    <row r="27" spans="1:66" ht="15.6" x14ac:dyDescent="0.3">
      <c r="A27" s="169" t="s">
        <v>44</v>
      </c>
      <c r="B27" s="205" t="s">
        <v>45</v>
      </c>
      <c r="C27" s="66">
        <v>0</v>
      </c>
      <c r="D27" s="66">
        <v>0</v>
      </c>
      <c r="E27" s="66">
        <v>0</v>
      </c>
      <c r="F27" s="66">
        <v>0</v>
      </c>
      <c r="G27" s="66">
        <v>0</v>
      </c>
      <c r="H27" s="66">
        <v>0</v>
      </c>
      <c r="I27" s="66">
        <v>1.91575904</v>
      </c>
      <c r="J27" s="66">
        <v>0</v>
      </c>
      <c r="K27" s="66">
        <v>0</v>
      </c>
      <c r="L27" s="66">
        <v>0</v>
      </c>
      <c r="M27" s="66">
        <v>0</v>
      </c>
      <c r="N27" s="67" t="s">
        <v>1230</v>
      </c>
      <c r="O27" s="67" t="s">
        <v>1230</v>
      </c>
      <c r="P27" s="67">
        <v>0</v>
      </c>
      <c r="Q27" s="66">
        <v>1.91575904</v>
      </c>
      <c r="R27" s="67">
        <v>0</v>
      </c>
      <c r="S27" s="66">
        <v>0</v>
      </c>
      <c r="T27" s="66">
        <v>0</v>
      </c>
      <c r="U27" s="66">
        <v>0</v>
      </c>
      <c r="V27" s="66">
        <v>0</v>
      </c>
      <c r="W27" s="66">
        <v>0</v>
      </c>
      <c r="X27" s="66">
        <v>0</v>
      </c>
      <c r="Y27" s="66">
        <v>0.13840762000000001</v>
      </c>
      <c r="Z27" s="66">
        <v>0</v>
      </c>
      <c r="AA27" s="66">
        <v>0</v>
      </c>
      <c r="AB27" s="66">
        <v>0</v>
      </c>
      <c r="AC27" s="66">
        <v>0</v>
      </c>
      <c r="AD27" s="67" t="s">
        <v>1230</v>
      </c>
      <c r="AE27" s="67" t="s">
        <v>1230</v>
      </c>
      <c r="AF27" s="67">
        <v>0</v>
      </c>
      <c r="AG27" s="187">
        <v>0.13840762000000001</v>
      </c>
      <c r="AH27" s="67">
        <v>0</v>
      </c>
      <c r="AI27" s="66">
        <v>0</v>
      </c>
      <c r="AJ27" s="66">
        <v>0</v>
      </c>
      <c r="AK27" s="66">
        <v>0</v>
      </c>
      <c r="AL27" s="66">
        <v>0</v>
      </c>
      <c r="AM27" s="66">
        <v>0</v>
      </c>
      <c r="AN27" s="66">
        <v>0</v>
      </c>
      <c r="AO27" s="66">
        <v>0</v>
      </c>
      <c r="AP27" s="66">
        <v>0</v>
      </c>
      <c r="AQ27" s="66">
        <v>0</v>
      </c>
      <c r="AR27" s="66">
        <v>0</v>
      </c>
      <c r="AS27" s="66">
        <v>0</v>
      </c>
      <c r="AT27" s="67" t="s">
        <v>1230</v>
      </c>
      <c r="AU27" s="67" t="s">
        <v>1230</v>
      </c>
      <c r="AV27" s="67">
        <v>0</v>
      </c>
      <c r="AW27" s="187">
        <v>0</v>
      </c>
      <c r="AX27" s="67">
        <v>0</v>
      </c>
      <c r="AY27" s="66">
        <v>0</v>
      </c>
      <c r="AZ27" s="66">
        <v>0</v>
      </c>
      <c r="BA27" s="66">
        <v>0</v>
      </c>
      <c r="BB27" s="66">
        <v>0</v>
      </c>
      <c r="BC27" s="66">
        <v>0</v>
      </c>
      <c r="BD27" s="66">
        <v>0</v>
      </c>
      <c r="BE27" s="66">
        <v>1.77735142</v>
      </c>
      <c r="BF27" s="66">
        <v>0</v>
      </c>
      <c r="BG27" s="66">
        <v>0</v>
      </c>
      <c r="BH27" s="66">
        <v>0</v>
      </c>
      <c r="BI27" s="66">
        <v>0</v>
      </c>
      <c r="BJ27" s="67" t="s">
        <v>1230</v>
      </c>
      <c r="BK27" s="67" t="s">
        <v>1230</v>
      </c>
      <c r="BL27" s="67">
        <v>0</v>
      </c>
      <c r="BM27" s="187">
        <v>1.77735142</v>
      </c>
      <c r="BN27" s="67">
        <v>0</v>
      </c>
    </row>
    <row r="28" spans="1:66" ht="15.6" x14ac:dyDescent="0.3">
      <c r="A28" s="169" t="s">
        <v>47</v>
      </c>
      <c r="B28" s="205" t="s">
        <v>48</v>
      </c>
      <c r="C28" s="66">
        <v>0</v>
      </c>
      <c r="D28" s="66">
        <v>0</v>
      </c>
      <c r="E28" s="66">
        <v>0</v>
      </c>
      <c r="F28" s="66">
        <v>0</v>
      </c>
      <c r="G28" s="66">
        <v>0</v>
      </c>
      <c r="H28" s="66">
        <v>0</v>
      </c>
      <c r="I28" s="66">
        <v>8.5622626799999999</v>
      </c>
      <c r="J28" s="66">
        <v>0</v>
      </c>
      <c r="K28" s="66">
        <v>0</v>
      </c>
      <c r="L28" s="66">
        <v>0</v>
      </c>
      <c r="M28" s="66">
        <v>0</v>
      </c>
      <c r="N28" s="67" t="s">
        <v>1230</v>
      </c>
      <c r="O28" s="67" t="s">
        <v>1230</v>
      </c>
      <c r="P28" s="67">
        <v>0</v>
      </c>
      <c r="Q28" s="66">
        <v>8.5622626799999999</v>
      </c>
      <c r="R28" s="67">
        <v>0</v>
      </c>
      <c r="S28" s="66">
        <v>0</v>
      </c>
      <c r="T28" s="66">
        <v>0</v>
      </c>
      <c r="U28" s="66">
        <v>0</v>
      </c>
      <c r="V28" s="66">
        <v>0</v>
      </c>
      <c r="W28" s="66">
        <v>0</v>
      </c>
      <c r="X28" s="66">
        <v>0</v>
      </c>
      <c r="Y28" s="66">
        <v>8.5622626799999999</v>
      </c>
      <c r="Z28" s="66">
        <v>0</v>
      </c>
      <c r="AA28" s="66">
        <v>0</v>
      </c>
      <c r="AB28" s="66">
        <v>0</v>
      </c>
      <c r="AC28" s="66">
        <v>0</v>
      </c>
      <c r="AD28" s="67" t="s">
        <v>1230</v>
      </c>
      <c r="AE28" s="67" t="s">
        <v>1230</v>
      </c>
      <c r="AF28" s="67">
        <v>0</v>
      </c>
      <c r="AG28" s="187">
        <v>8.5622626799999999</v>
      </c>
      <c r="AH28" s="67">
        <v>0</v>
      </c>
      <c r="AI28" s="66">
        <v>0</v>
      </c>
      <c r="AJ28" s="66">
        <v>0</v>
      </c>
      <c r="AK28" s="66">
        <v>0</v>
      </c>
      <c r="AL28" s="66">
        <v>0</v>
      </c>
      <c r="AM28" s="66">
        <v>0</v>
      </c>
      <c r="AN28" s="66">
        <v>0</v>
      </c>
      <c r="AO28" s="66">
        <v>0</v>
      </c>
      <c r="AP28" s="66">
        <v>0</v>
      </c>
      <c r="AQ28" s="66">
        <v>0</v>
      </c>
      <c r="AR28" s="66">
        <v>0</v>
      </c>
      <c r="AS28" s="66">
        <v>0</v>
      </c>
      <c r="AT28" s="67" t="s">
        <v>1230</v>
      </c>
      <c r="AU28" s="67" t="s">
        <v>1230</v>
      </c>
      <c r="AV28" s="67">
        <v>0</v>
      </c>
      <c r="AW28" s="187">
        <v>0</v>
      </c>
      <c r="AX28" s="67">
        <v>0</v>
      </c>
      <c r="AY28" s="66">
        <v>0</v>
      </c>
      <c r="AZ28" s="66">
        <v>0</v>
      </c>
      <c r="BA28" s="66">
        <v>0</v>
      </c>
      <c r="BB28" s="66">
        <v>0</v>
      </c>
      <c r="BC28" s="66">
        <v>0</v>
      </c>
      <c r="BD28" s="66">
        <v>0</v>
      </c>
      <c r="BE28" s="66">
        <v>0</v>
      </c>
      <c r="BF28" s="66">
        <v>0</v>
      </c>
      <c r="BG28" s="66">
        <v>0</v>
      </c>
      <c r="BH28" s="66">
        <v>0</v>
      </c>
      <c r="BI28" s="66">
        <v>0</v>
      </c>
      <c r="BJ28" s="67" t="s">
        <v>1230</v>
      </c>
      <c r="BK28" s="67" t="s">
        <v>1230</v>
      </c>
      <c r="BL28" s="67">
        <v>0</v>
      </c>
      <c r="BM28" s="187">
        <v>0</v>
      </c>
      <c r="BN28" s="67">
        <v>0</v>
      </c>
    </row>
    <row r="29" spans="1:66" ht="15.6" x14ac:dyDescent="0.3">
      <c r="A29" s="169" t="s">
        <v>50</v>
      </c>
      <c r="B29" s="205" t="s">
        <v>51</v>
      </c>
      <c r="C29" s="66">
        <v>0</v>
      </c>
      <c r="D29" s="66">
        <v>0</v>
      </c>
      <c r="E29" s="66">
        <v>0</v>
      </c>
      <c r="F29" s="66">
        <v>0</v>
      </c>
      <c r="G29" s="66">
        <v>0</v>
      </c>
      <c r="H29" s="66">
        <v>0</v>
      </c>
      <c r="I29" s="66">
        <v>147.30894532000002</v>
      </c>
      <c r="J29" s="66">
        <v>0</v>
      </c>
      <c r="K29" s="66">
        <v>0</v>
      </c>
      <c r="L29" s="66">
        <v>0</v>
      </c>
      <c r="M29" s="66">
        <v>0</v>
      </c>
      <c r="N29" s="67" t="s">
        <v>1230</v>
      </c>
      <c r="O29" s="67" t="s">
        <v>1230</v>
      </c>
      <c r="P29" s="67">
        <v>0</v>
      </c>
      <c r="Q29" s="66">
        <v>147.30894532000002</v>
      </c>
      <c r="R29" s="67">
        <v>0</v>
      </c>
      <c r="S29" s="66">
        <v>0</v>
      </c>
      <c r="T29" s="66">
        <v>0</v>
      </c>
      <c r="U29" s="66">
        <v>0</v>
      </c>
      <c r="V29" s="66">
        <v>0</v>
      </c>
      <c r="W29" s="66">
        <v>0</v>
      </c>
      <c r="X29" s="66">
        <v>0</v>
      </c>
      <c r="Y29" s="66">
        <v>1.62369952</v>
      </c>
      <c r="Z29" s="66">
        <v>0</v>
      </c>
      <c r="AA29" s="66">
        <v>0</v>
      </c>
      <c r="AB29" s="66">
        <v>0</v>
      </c>
      <c r="AC29" s="66">
        <v>0</v>
      </c>
      <c r="AD29" s="67" t="s">
        <v>1230</v>
      </c>
      <c r="AE29" s="67" t="s">
        <v>1230</v>
      </c>
      <c r="AF29" s="67">
        <v>0</v>
      </c>
      <c r="AG29" s="187">
        <v>1.62369952</v>
      </c>
      <c r="AH29" s="67">
        <v>0</v>
      </c>
      <c r="AI29" s="66">
        <v>0</v>
      </c>
      <c r="AJ29" s="66">
        <v>0</v>
      </c>
      <c r="AK29" s="66">
        <v>0</v>
      </c>
      <c r="AL29" s="66">
        <v>0</v>
      </c>
      <c r="AM29" s="66">
        <v>0</v>
      </c>
      <c r="AN29" s="66">
        <v>0</v>
      </c>
      <c r="AO29" s="66">
        <v>0</v>
      </c>
      <c r="AP29" s="66">
        <v>0</v>
      </c>
      <c r="AQ29" s="66">
        <v>0</v>
      </c>
      <c r="AR29" s="66">
        <v>0</v>
      </c>
      <c r="AS29" s="66">
        <v>0</v>
      </c>
      <c r="AT29" s="67" t="s">
        <v>1230</v>
      </c>
      <c r="AU29" s="67" t="s">
        <v>1230</v>
      </c>
      <c r="AV29" s="67">
        <v>0</v>
      </c>
      <c r="AW29" s="187">
        <v>0</v>
      </c>
      <c r="AX29" s="67">
        <v>0</v>
      </c>
      <c r="AY29" s="66">
        <v>0</v>
      </c>
      <c r="AZ29" s="66">
        <v>0</v>
      </c>
      <c r="BA29" s="66">
        <v>0</v>
      </c>
      <c r="BB29" s="66">
        <v>0</v>
      </c>
      <c r="BC29" s="66">
        <v>0</v>
      </c>
      <c r="BD29" s="66">
        <v>0</v>
      </c>
      <c r="BE29" s="66">
        <v>145.68524580000002</v>
      </c>
      <c r="BF29" s="66">
        <v>0</v>
      </c>
      <c r="BG29" s="66">
        <v>0</v>
      </c>
      <c r="BH29" s="66">
        <v>0</v>
      </c>
      <c r="BI29" s="66">
        <v>0</v>
      </c>
      <c r="BJ29" s="67" t="s">
        <v>1230</v>
      </c>
      <c r="BK29" s="67" t="s">
        <v>1230</v>
      </c>
      <c r="BL29" s="67">
        <v>0</v>
      </c>
      <c r="BM29" s="187">
        <v>145.68524580000002</v>
      </c>
      <c r="BN29" s="67">
        <v>0</v>
      </c>
    </row>
    <row r="30" spans="1:66" ht="15.6" x14ac:dyDescent="0.3">
      <c r="A30" s="169" t="s">
        <v>53</v>
      </c>
      <c r="B30" s="205" t="s">
        <v>54</v>
      </c>
      <c r="C30" s="66">
        <v>0</v>
      </c>
      <c r="D30" s="66">
        <v>0</v>
      </c>
      <c r="E30" s="66">
        <v>0</v>
      </c>
      <c r="F30" s="66">
        <v>0</v>
      </c>
      <c r="G30" s="66">
        <v>0</v>
      </c>
      <c r="H30" s="66">
        <v>0</v>
      </c>
      <c r="I30" s="66">
        <v>0.18670942999999998</v>
      </c>
      <c r="J30" s="66">
        <v>0</v>
      </c>
      <c r="K30" s="66">
        <v>0</v>
      </c>
      <c r="L30" s="66">
        <v>0</v>
      </c>
      <c r="M30" s="66">
        <v>0</v>
      </c>
      <c r="N30" s="67" t="s">
        <v>1230</v>
      </c>
      <c r="O30" s="67" t="s">
        <v>1230</v>
      </c>
      <c r="P30" s="67">
        <v>0</v>
      </c>
      <c r="Q30" s="66">
        <v>0.18670942999999998</v>
      </c>
      <c r="R30" s="67">
        <v>0</v>
      </c>
      <c r="S30" s="66">
        <v>0</v>
      </c>
      <c r="T30" s="66">
        <v>0</v>
      </c>
      <c r="U30" s="66">
        <v>0</v>
      </c>
      <c r="V30" s="66">
        <v>0</v>
      </c>
      <c r="W30" s="66">
        <v>0</v>
      </c>
      <c r="X30" s="66">
        <v>0</v>
      </c>
      <c r="Y30" s="66">
        <v>0.18670942999999998</v>
      </c>
      <c r="Z30" s="66">
        <v>0</v>
      </c>
      <c r="AA30" s="66">
        <v>0</v>
      </c>
      <c r="AB30" s="66">
        <v>0</v>
      </c>
      <c r="AC30" s="66">
        <v>0</v>
      </c>
      <c r="AD30" s="67" t="s">
        <v>1230</v>
      </c>
      <c r="AE30" s="67" t="s">
        <v>1230</v>
      </c>
      <c r="AF30" s="67">
        <v>0</v>
      </c>
      <c r="AG30" s="187">
        <v>0.18670942999999998</v>
      </c>
      <c r="AH30" s="67">
        <v>0</v>
      </c>
      <c r="AI30" s="66">
        <v>0</v>
      </c>
      <c r="AJ30" s="66">
        <v>0</v>
      </c>
      <c r="AK30" s="66">
        <v>0</v>
      </c>
      <c r="AL30" s="66">
        <v>0</v>
      </c>
      <c r="AM30" s="66">
        <v>0</v>
      </c>
      <c r="AN30" s="66">
        <v>0</v>
      </c>
      <c r="AO30" s="66">
        <v>0</v>
      </c>
      <c r="AP30" s="66">
        <v>0</v>
      </c>
      <c r="AQ30" s="66">
        <v>0</v>
      </c>
      <c r="AR30" s="66">
        <v>0</v>
      </c>
      <c r="AS30" s="66">
        <v>0</v>
      </c>
      <c r="AT30" s="67" t="s">
        <v>1230</v>
      </c>
      <c r="AU30" s="67" t="s">
        <v>1230</v>
      </c>
      <c r="AV30" s="67">
        <v>0</v>
      </c>
      <c r="AW30" s="187">
        <v>0</v>
      </c>
      <c r="AX30" s="67">
        <v>0</v>
      </c>
      <c r="AY30" s="66">
        <v>0</v>
      </c>
      <c r="AZ30" s="66">
        <v>0</v>
      </c>
      <c r="BA30" s="66">
        <v>0</v>
      </c>
      <c r="BB30" s="66">
        <v>0</v>
      </c>
      <c r="BC30" s="66">
        <v>0</v>
      </c>
      <c r="BD30" s="66">
        <v>0</v>
      </c>
      <c r="BE30" s="66">
        <v>0</v>
      </c>
      <c r="BF30" s="66">
        <v>0</v>
      </c>
      <c r="BG30" s="66">
        <v>0</v>
      </c>
      <c r="BH30" s="66">
        <v>0</v>
      </c>
      <c r="BI30" s="66">
        <v>0</v>
      </c>
      <c r="BJ30" s="67" t="s">
        <v>1230</v>
      </c>
      <c r="BK30" s="67" t="s">
        <v>1230</v>
      </c>
      <c r="BL30" s="67">
        <v>0</v>
      </c>
      <c r="BM30" s="187">
        <v>0</v>
      </c>
      <c r="BN30" s="67">
        <v>0</v>
      </c>
    </row>
    <row r="31" spans="1:66" ht="15.6" x14ac:dyDescent="0.3">
      <c r="A31" s="169" t="s">
        <v>56</v>
      </c>
      <c r="B31" s="205" t="s">
        <v>57</v>
      </c>
      <c r="C31" s="66">
        <v>0</v>
      </c>
      <c r="D31" s="66">
        <v>0</v>
      </c>
      <c r="E31" s="66">
        <v>0</v>
      </c>
      <c r="F31" s="66">
        <v>0</v>
      </c>
      <c r="G31" s="66">
        <v>0</v>
      </c>
      <c r="H31" s="66">
        <v>0</v>
      </c>
      <c r="I31" s="66">
        <v>0.753</v>
      </c>
      <c r="J31" s="66">
        <v>0</v>
      </c>
      <c r="K31" s="66">
        <v>0</v>
      </c>
      <c r="L31" s="66">
        <v>0</v>
      </c>
      <c r="M31" s="66">
        <v>0</v>
      </c>
      <c r="N31" s="67" t="s">
        <v>1230</v>
      </c>
      <c r="O31" s="67" t="s">
        <v>1230</v>
      </c>
      <c r="P31" s="67">
        <v>0</v>
      </c>
      <c r="Q31" s="66">
        <v>0.753</v>
      </c>
      <c r="R31" s="67">
        <v>0</v>
      </c>
      <c r="S31" s="66">
        <v>0</v>
      </c>
      <c r="T31" s="66">
        <v>0</v>
      </c>
      <c r="U31" s="66">
        <v>0</v>
      </c>
      <c r="V31" s="66">
        <v>0</v>
      </c>
      <c r="W31" s="66">
        <v>0</v>
      </c>
      <c r="X31" s="66">
        <v>0</v>
      </c>
      <c r="Y31" s="66">
        <v>0.753</v>
      </c>
      <c r="Z31" s="66">
        <v>0</v>
      </c>
      <c r="AA31" s="66">
        <v>0</v>
      </c>
      <c r="AB31" s="66">
        <v>0</v>
      </c>
      <c r="AC31" s="66">
        <v>0</v>
      </c>
      <c r="AD31" s="67" t="s">
        <v>1230</v>
      </c>
      <c r="AE31" s="67" t="s">
        <v>1230</v>
      </c>
      <c r="AF31" s="67">
        <v>0</v>
      </c>
      <c r="AG31" s="187">
        <v>0.753</v>
      </c>
      <c r="AH31" s="67">
        <v>0</v>
      </c>
      <c r="AI31" s="66">
        <v>0</v>
      </c>
      <c r="AJ31" s="66">
        <v>0</v>
      </c>
      <c r="AK31" s="66">
        <v>0</v>
      </c>
      <c r="AL31" s="66">
        <v>0</v>
      </c>
      <c r="AM31" s="66">
        <v>0</v>
      </c>
      <c r="AN31" s="66">
        <v>0</v>
      </c>
      <c r="AO31" s="66">
        <v>0</v>
      </c>
      <c r="AP31" s="66">
        <v>0</v>
      </c>
      <c r="AQ31" s="66">
        <v>0</v>
      </c>
      <c r="AR31" s="66">
        <v>0</v>
      </c>
      <c r="AS31" s="66">
        <v>0</v>
      </c>
      <c r="AT31" s="67" t="s">
        <v>1230</v>
      </c>
      <c r="AU31" s="67" t="s">
        <v>1230</v>
      </c>
      <c r="AV31" s="67">
        <v>0</v>
      </c>
      <c r="AW31" s="187">
        <v>0</v>
      </c>
      <c r="AX31" s="67">
        <v>0</v>
      </c>
      <c r="AY31" s="66">
        <v>0</v>
      </c>
      <c r="AZ31" s="66">
        <v>0</v>
      </c>
      <c r="BA31" s="66">
        <v>0</v>
      </c>
      <c r="BB31" s="66">
        <v>0</v>
      </c>
      <c r="BC31" s="66">
        <v>0</v>
      </c>
      <c r="BD31" s="66">
        <v>0</v>
      </c>
      <c r="BE31" s="66">
        <v>0</v>
      </c>
      <c r="BF31" s="66">
        <v>0</v>
      </c>
      <c r="BG31" s="66">
        <v>0</v>
      </c>
      <c r="BH31" s="66">
        <v>0</v>
      </c>
      <c r="BI31" s="66">
        <v>0</v>
      </c>
      <c r="BJ31" s="67" t="s">
        <v>1230</v>
      </c>
      <c r="BK31" s="67" t="s">
        <v>1230</v>
      </c>
      <c r="BL31" s="67">
        <v>0</v>
      </c>
      <c r="BM31" s="187">
        <v>0</v>
      </c>
      <c r="BN31" s="67">
        <v>0</v>
      </c>
    </row>
    <row r="32" spans="1:66" ht="15.6" x14ac:dyDescent="0.3">
      <c r="A32" s="169" t="s">
        <v>59</v>
      </c>
      <c r="B32" s="205" t="s">
        <v>60</v>
      </c>
      <c r="C32" s="66">
        <v>0</v>
      </c>
      <c r="D32" s="66">
        <v>0</v>
      </c>
      <c r="E32" s="66">
        <v>0</v>
      </c>
      <c r="F32" s="66">
        <v>0</v>
      </c>
      <c r="G32" s="66">
        <v>0</v>
      </c>
      <c r="H32" s="66">
        <v>0</v>
      </c>
      <c r="I32" s="66">
        <v>0.53516185000000005</v>
      </c>
      <c r="J32" s="66">
        <v>0</v>
      </c>
      <c r="K32" s="66">
        <v>0</v>
      </c>
      <c r="L32" s="66">
        <v>0</v>
      </c>
      <c r="M32" s="66">
        <v>0</v>
      </c>
      <c r="N32" s="67" t="s">
        <v>1230</v>
      </c>
      <c r="O32" s="67" t="s">
        <v>1230</v>
      </c>
      <c r="P32" s="67">
        <v>0</v>
      </c>
      <c r="Q32" s="66">
        <v>0.53516185000000005</v>
      </c>
      <c r="R32" s="67">
        <v>0</v>
      </c>
      <c r="S32" s="66">
        <v>0</v>
      </c>
      <c r="T32" s="66">
        <v>0</v>
      </c>
      <c r="U32" s="66">
        <v>0</v>
      </c>
      <c r="V32" s="66">
        <v>0</v>
      </c>
      <c r="W32" s="66">
        <v>0</v>
      </c>
      <c r="X32" s="66">
        <v>0</v>
      </c>
      <c r="Y32" s="66">
        <v>0.14416785000000001</v>
      </c>
      <c r="Z32" s="66">
        <v>0</v>
      </c>
      <c r="AA32" s="66">
        <v>0</v>
      </c>
      <c r="AB32" s="66">
        <v>0</v>
      </c>
      <c r="AC32" s="66">
        <v>0</v>
      </c>
      <c r="AD32" s="67" t="s">
        <v>1230</v>
      </c>
      <c r="AE32" s="67" t="s">
        <v>1230</v>
      </c>
      <c r="AF32" s="67">
        <v>0</v>
      </c>
      <c r="AG32" s="187">
        <v>0.14416785000000001</v>
      </c>
      <c r="AH32" s="67">
        <v>0</v>
      </c>
      <c r="AI32" s="66">
        <v>0</v>
      </c>
      <c r="AJ32" s="66">
        <v>0</v>
      </c>
      <c r="AK32" s="66">
        <v>0</v>
      </c>
      <c r="AL32" s="66">
        <v>0</v>
      </c>
      <c r="AM32" s="66">
        <v>0</v>
      </c>
      <c r="AN32" s="66">
        <v>0</v>
      </c>
      <c r="AO32" s="66">
        <v>0.39099400000000001</v>
      </c>
      <c r="AP32" s="66">
        <v>0</v>
      </c>
      <c r="AQ32" s="66">
        <v>0</v>
      </c>
      <c r="AR32" s="66">
        <v>0</v>
      </c>
      <c r="AS32" s="66">
        <v>0</v>
      </c>
      <c r="AT32" s="67" t="s">
        <v>1230</v>
      </c>
      <c r="AU32" s="67" t="s">
        <v>1230</v>
      </c>
      <c r="AV32" s="67">
        <v>0</v>
      </c>
      <c r="AW32" s="187">
        <v>0.39099400000000001</v>
      </c>
      <c r="AX32" s="67">
        <v>0</v>
      </c>
      <c r="AY32" s="66">
        <v>0</v>
      </c>
      <c r="AZ32" s="66">
        <v>0</v>
      </c>
      <c r="BA32" s="66">
        <v>0</v>
      </c>
      <c r="BB32" s="66">
        <v>0</v>
      </c>
      <c r="BC32" s="66">
        <v>0</v>
      </c>
      <c r="BD32" s="66">
        <v>0</v>
      </c>
      <c r="BE32" s="66">
        <v>0</v>
      </c>
      <c r="BF32" s="66">
        <v>0</v>
      </c>
      <c r="BG32" s="66">
        <v>0</v>
      </c>
      <c r="BH32" s="66">
        <v>0</v>
      </c>
      <c r="BI32" s="66">
        <v>0</v>
      </c>
      <c r="BJ32" s="67" t="s">
        <v>1230</v>
      </c>
      <c r="BK32" s="67" t="s">
        <v>1230</v>
      </c>
      <c r="BL32" s="67">
        <v>0</v>
      </c>
      <c r="BM32" s="187">
        <v>0</v>
      </c>
      <c r="BN32" s="67">
        <v>0</v>
      </c>
    </row>
    <row r="33" spans="1:66" ht="15.6" x14ac:dyDescent="0.3">
      <c r="A33" s="202" t="s">
        <v>62</v>
      </c>
      <c r="B33" s="203" t="s">
        <v>63</v>
      </c>
      <c r="C33" s="61">
        <v>0</v>
      </c>
      <c r="D33" s="61">
        <v>0</v>
      </c>
      <c r="E33" s="61">
        <v>0</v>
      </c>
      <c r="F33" s="61">
        <v>0</v>
      </c>
      <c r="G33" s="61">
        <v>0</v>
      </c>
      <c r="H33" s="61">
        <v>0</v>
      </c>
      <c r="I33" s="61">
        <v>4.6747192300000009</v>
      </c>
      <c r="J33" s="61">
        <v>0</v>
      </c>
      <c r="K33" s="61">
        <v>0</v>
      </c>
      <c r="L33" s="61">
        <v>0</v>
      </c>
      <c r="M33" s="61">
        <v>0</v>
      </c>
      <c r="N33" s="61" t="s">
        <v>1230</v>
      </c>
      <c r="O33" s="61" t="s">
        <v>1230</v>
      </c>
      <c r="P33" s="61">
        <v>0</v>
      </c>
      <c r="Q33" s="61">
        <v>4.6747192300000009</v>
      </c>
      <c r="R33" s="61">
        <v>0</v>
      </c>
      <c r="S33" s="61">
        <v>0</v>
      </c>
      <c r="T33" s="61">
        <v>0</v>
      </c>
      <c r="U33" s="61">
        <v>0</v>
      </c>
      <c r="V33" s="61">
        <v>0</v>
      </c>
      <c r="W33" s="61">
        <v>0</v>
      </c>
      <c r="X33" s="61">
        <v>0</v>
      </c>
      <c r="Y33" s="61">
        <v>4.1645058500000003</v>
      </c>
      <c r="Z33" s="61">
        <v>0</v>
      </c>
      <c r="AA33" s="61">
        <v>0</v>
      </c>
      <c r="AB33" s="61">
        <v>0</v>
      </c>
      <c r="AC33" s="61">
        <v>0</v>
      </c>
      <c r="AD33" s="61" t="s">
        <v>1230</v>
      </c>
      <c r="AE33" s="61" t="s">
        <v>1230</v>
      </c>
      <c r="AF33" s="61">
        <v>0</v>
      </c>
      <c r="AG33" s="61">
        <v>4.1645058500000003</v>
      </c>
      <c r="AH33" s="61">
        <v>0</v>
      </c>
      <c r="AI33" s="61">
        <v>0</v>
      </c>
      <c r="AJ33" s="61">
        <v>0</v>
      </c>
      <c r="AK33" s="61">
        <v>0</v>
      </c>
      <c r="AL33" s="61">
        <v>0</v>
      </c>
      <c r="AM33" s="61">
        <v>0</v>
      </c>
      <c r="AN33" s="61">
        <v>0</v>
      </c>
      <c r="AO33" s="61">
        <v>4.6664700000000007E-3</v>
      </c>
      <c r="AP33" s="61">
        <v>0</v>
      </c>
      <c r="AQ33" s="61">
        <v>0</v>
      </c>
      <c r="AR33" s="61">
        <v>0</v>
      </c>
      <c r="AS33" s="61">
        <v>0</v>
      </c>
      <c r="AT33" s="61" t="s">
        <v>1230</v>
      </c>
      <c r="AU33" s="61" t="s">
        <v>1230</v>
      </c>
      <c r="AV33" s="61">
        <v>0</v>
      </c>
      <c r="AW33" s="61">
        <v>4.6664700000000007E-3</v>
      </c>
      <c r="AX33" s="61">
        <v>0</v>
      </c>
      <c r="AY33" s="61">
        <v>0</v>
      </c>
      <c r="AZ33" s="61">
        <v>0</v>
      </c>
      <c r="BA33" s="61">
        <v>0</v>
      </c>
      <c r="BB33" s="61">
        <v>0</v>
      </c>
      <c r="BC33" s="61">
        <v>0</v>
      </c>
      <c r="BD33" s="61">
        <v>0</v>
      </c>
      <c r="BE33" s="61">
        <v>0.50554691000000007</v>
      </c>
      <c r="BF33" s="61">
        <v>0</v>
      </c>
      <c r="BG33" s="61">
        <v>0</v>
      </c>
      <c r="BH33" s="61">
        <v>0</v>
      </c>
      <c r="BI33" s="61">
        <v>0</v>
      </c>
      <c r="BJ33" s="61" t="s">
        <v>1230</v>
      </c>
      <c r="BK33" s="61" t="s">
        <v>1230</v>
      </c>
      <c r="BL33" s="61">
        <v>0</v>
      </c>
      <c r="BM33" s="61">
        <v>0.50554691000000007</v>
      </c>
      <c r="BN33" s="61">
        <v>0</v>
      </c>
    </row>
    <row r="34" spans="1:66" ht="15.6" x14ac:dyDescent="0.3">
      <c r="A34" s="169" t="s">
        <v>65</v>
      </c>
      <c r="B34" s="205" t="s">
        <v>66</v>
      </c>
      <c r="C34" s="66">
        <v>0</v>
      </c>
      <c r="D34" s="66">
        <v>0</v>
      </c>
      <c r="E34" s="66">
        <v>0</v>
      </c>
      <c r="F34" s="66">
        <v>0</v>
      </c>
      <c r="G34" s="66">
        <v>0</v>
      </c>
      <c r="H34" s="66">
        <v>0</v>
      </c>
      <c r="I34" s="66">
        <v>0.18739296</v>
      </c>
      <c r="J34" s="66">
        <v>0</v>
      </c>
      <c r="K34" s="66">
        <v>0</v>
      </c>
      <c r="L34" s="66">
        <v>0</v>
      </c>
      <c r="M34" s="66">
        <v>0</v>
      </c>
      <c r="N34" s="67" t="s">
        <v>1230</v>
      </c>
      <c r="O34" s="67" t="s">
        <v>1230</v>
      </c>
      <c r="P34" s="67">
        <v>0</v>
      </c>
      <c r="Q34" s="66">
        <v>0.18739296</v>
      </c>
      <c r="R34" s="67">
        <v>0</v>
      </c>
      <c r="S34" s="66">
        <v>0</v>
      </c>
      <c r="T34" s="66">
        <v>0</v>
      </c>
      <c r="U34" s="66">
        <v>0</v>
      </c>
      <c r="V34" s="66">
        <v>0</v>
      </c>
      <c r="W34" s="66">
        <v>0</v>
      </c>
      <c r="X34" s="66">
        <v>0</v>
      </c>
      <c r="Y34" s="66">
        <v>6.2737000000000001E-2</v>
      </c>
      <c r="Z34" s="66">
        <v>0</v>
      </c>
      <c r="AA34" s="66">
        <v>0</v>
      </c>
      <c r="AB34" s="66">
        <v>0</v>
      </c>
      <c r="AC34" s="66">
        <v>0</v>
      </c>
      <c r="AD34" s="67" t="s">
        <v>1230</v>
      </c>
      <c r="AE34" s="67" t="s">
        <v>1230</v>
      </c>
      <c r="AF34" s="67">
        <v>0</v>
      </c>
      <c r="AG34" s="187">
        <v>6.2737000000000001E-2</v>
      </c>
      <c r="AH34" s="67">
        <v>0</v>
      </c>
      <c r="AI34" s="66">
        <v>0</v>
      </c>
      <c r="AJ34" s="66">
        <v>0</v>
      </c>
      <c r="AK34" s="66">
        <v>0</v>
      </c>
      <c r="AL34" s="66">
        <v>0</v>
      </c>
      <c r="AM34" s="66">
        <v>0</v>
      </c>
      <c r="AN34" s="66">
        <v>0</v>
      </c>
      <c r="AO34" s="66">
        <v>4.6664700000000007E-3</v>
      </c>
      <c r="AP34" s="66">
        <v>0</v>
      </c>
      <c r="AQ34" s="66">
        <v>0</v>
      </c>
      <c r="AR34" s="66">
        <v>0</v>
      </c>
      <c r="AS34" s="66">
        <v>0</v>
      </c>
      <c r="AT34" s="67" t="s">
        <v>1230</v>
      </c>
      <c r="AU34" s="67" t="s">
        <v>1230</v>
      </c>
      <c r="AV34" s="67">
        <v>0</v>
      </c>
      <c r="AW34" s="187">
        <v>4.6664700000000007E-3</v>
      </c>
      <c r="AX34" s="67">
        <v>0</v>
      </c>
      <c r="AY34" s="66">
        <v>0</v>
      </c>
      <c r="AZ34" s="66">
        <v>0</v>
      </c>
      <c r="BA34" s="66">
        <v>0</v>
      </c>
      <c r="BB34" s="66">
        <v>0</v>
      </c>
      <c r="BC34" s="66">
        <v>0</v>
      </c>
      <c r="BD34" s="66">
        <v>0</v>
      </c>
      <c r="BE34" s="66">
        <v>0.11998949</v>
      </c>
      <c r="BF34" s="66">
        <v>0</v>
      </c>
      <c r="BG34" s="66">
        <v>0</v>
      </c>
      <c r="BH34" s="66">
        <v>0</v>
      </c>
      <c r="BI34" s="66">
        <v>0</v>
      </c>
      <c r="BJ34" s="67" t="s">
        <v>1230</v>
      </c>
      <c r="BK34" s="67" t="s">
        <v>1230</v>
      </c>
      <c r="BL34" s="67">
        <v>0</v>
      </c>
      <c r="BM34" s="187">
        <v>0.11998949</v>
      </c>
      <c r="BN34" s="67">
        <v>0</v>
      </c>
    </row>
    <row r="35" spans="1:66" ht="15.6" x14ac:dyDescent="0.3">
      <c r="A35" s="169" t="s">
        <v>68</v>
      </c>
      <c r="B35" s="205" t="s">
        <v>69</v>
      </c>
      <c r="C35" s="66">
        <v>0</v>
      </c>
      <c r="D35" s="66">
        <v>0</v>
      </c>
      <c r="E35" s="66">
        <v>0</v>
      </c>
      <c r="F35" s="66">
        <v>0</v>
      </c>
      <c r="G35" s="66">
        <v>0</v>
      </c>
      <c r="H35" s="66">
        <v>0</v>
      </c>
      <c r="I35" s="66">
        <v>2.1908130000000001E-2</v>
      </c>
      <c r="J35" s="66">
        <v>0</v>
      </c>
      <c r="K35" s="66">
        <v>0</v>
      </c>
      <c r="L35" s="66">
        <v>0</v>
      </c>
      <c r="M35" s="66">
        <v>0</v>
      </c>
      <c r="N35" s="67" t="s">
        <v>1230</v>
      </c>
      <c r="O35" s="67" t="s">
        <v>1230</v>
      </c>
      <c r="P35" s="67">
        <v>0</v>
      </c>
      <c r="Q35" s="66">
        <v>2.1908130000000001E-2</v>
      </c>
      <c r="R35" s="67">
        <v>0</v>
      </c>
      <c r="S35" s="66">
        <v>0</v>
      </c>
      <c r="T35" s="66">
        <v>0</v>
      </c>
      <c r="U35" s="66">
        <v>0</v>
      </c>
      <c r="V35" s="66">
        <v>0</v>
      </c>
      <c r="W35" s="66">
        <v>0</v>
      </c>
      <c r="X35" s="66">
        <v>0</v>
      </c>
      <c r="Y35" s="66">
        <v>2.1908130000000001E-2</v>
      </c>
      <c r="Z35" s="66">
        <v>0</v>
      </c>
      <c r="AA35" s="66">
        <v>0</v>
      </c>
      <c r="AB35" s="66">
        <v>0</v>
      </c>
      <c r="AC35" s="66">
        <v>0</v>
      </c>
      <c r="AD35" s="67" t="s">
        <v>1230</v>
      </c>
      <c r="AE35" s="67" t="s">
        <v>1230</v>
      </c>
      <c r="AF35" s="67">
        <v>0</v>
      </c>
      <c r="AG35" s="187">
        <v>2.1908130000000001E-2</v>
      </c>
      <c r="AH35" s="67">
        <v>0</v>
      </c>
      <c r="AI35" s="66">
        <v>0</v>
      </c>
      <c r="AJ35" s="66">
        <v>0</v>
      </c>
      <c r="AK35" s="66">
        <v>0</v>
      </c>
      <c r="AL35" s="66">
        <v>0</v>
      </c>
      <c r="AM35" s="66">
        <v>0</v>
      </c>
      <c r="AN35" s="66">
        <v>0</v>
      </c>
      <c r="AO35" s="66">
        <v>0</v>
      </c>
      <c r="AP35" s="66">
        <v>0</v>
      </c>
      <c r="AQ35" s="66">
        <v>0</v>
      </c>
      <c r="AR35" s="66">
        <v>0</v>
      </c>
      <c r="AS35" s="66">
        <v>0</v>
      </c>
      <c r="AT35" s="67" t="s">
        <v>1230</v>
      </c>
      <c r="AU35" s="67" t="s">
        <v>1230</v>
      </c>
      <c r="AV35" s="67">
        <v>0</v>
      </c>
      <c r="AW35" s="187">
        <v>0</v>
      </c>
      <c r="AX35" s="67">
        <v>0</v>
      </c>
      <c r="AY35" s="66">
        <v>0</v>
      </c>
      <c r="AZ35" s="66">
        <v>0</v>
      </c>
      <c r="BA35" s="66">
        <v>0</v>
      </c>
      <c r="BB35" s="66">
        <v>0</v>
      </c>
      <c r="BC35" s="66">
        <v>0</v>
      </c>
      <c r="BD35" s="66">
        <v>0</v>
      </c>
      <c r="BE35" s="66">
        <v>0</v>
      </c>
      <c r="BF35" s="66">
        <v>0</v>
      </c>
      <c r="BG35" s="66">
        <v>0</v>
      </c>
      <c r="BH35" s="66">
        <v>0</v>
      </c>
      <c r="BI35" s="66">
        <v>0</v>
      </c>
      <c r="BJ35" s="67" t="s">
        <v>1230</v>
      </c>
      <c r="BK35" s="67" t="s">
        <v>1230</v>
      </c>
      <c r="BL35" s="67">
        <v>0</v>
      </c>
      <c r="BM35" s="187">
        <v>0</v>
      </c>
      <c r="BN35" s="67">
        <v>0</v>
      </c>
    </row>
    <row r="36" spans="1:66" ht="15.6" x14ac:dyDescent="0.3">
      <c r="A36" s="169" t="s">
        <v>71</v>
      </c>
      <c r="B36" s="205" t="s">
        <v>72</v>
      </c>
      <c r="C36" s="66">
        <v>0</v>
      </c>
      <c r="D36" s="66">
        <v>0</v>
      </c>
      <c r="E36" s="66">
        <v>0</v>
      </c>
      <c r="F36" s="66">
        <v>0</v>
      </c>
      <c r="G36" s="66">
        <v>0</v>
      </c>
      <c r="H36" s="66">
        <v>0</v>
      </c>
      <c r="I36" s="66">
        <v>1.0159739000000001</v>
      </c>
      <c r="J36" s="66">
        <v>0</v>
      </c>
      <c r="K36" s="66">
        <v>0</v>
      </c>
      <c r="L36" s="66">
        <v>0</v>
      </c>
      <c r="M36" s="66">
        <v>0</v>
      </c>
      <c r="N36" s="67" t="s">
        <v>1230</v>
      </c>
      <c r="O36" s="67" t="s">
        <v>1230</v>
      </c>
      <c r="P36" s="67">
        <v>0</v>
      </c>
      <c r="Q36" s="66">
        <v>1.0159739000000001</v>
      </c>
      <c r="R36" s="67">
        <v>0</v>
      </c>
      <c r="S36" s="66">
        <v>0</v>
      </c>
      <c r="T36" s="66">
        <v>0</v>
      </c>
      <c r="U36" s="66">
        <v>0</v>
      </c>
      <c r="V36" s="66">
        <v>0</v>
      </c>
      <c r="W36" s="66">
        <v>0</v>
      </c>
      <c r="X36" s="66">
        <v>0</v>
      </c>
      <c r="Y36" s="66">
        <v>0.91549668000000006</v>
      </c>
      <c r="Z36" s="66">
        <v>0</v>
      </c>
      <c r="AA36" s="66">
        <v>0</v>
      </c>
      <c r="AB36" s="66">
        <v>0</v>
      </c>
      <c r="AC36" s="66">
        <v>0</v>
      </c>
      <c r="AD36" s="67" t="s">
        <v>1230</v>
      </c>
      <c r="AE36" s="67" t="s">
        <v>1230</v>
      </c>
      <c r="AF36" s="67">
        <v>0</v>
      </c>
      <c r="AG36" s="187">
        <v>0.91549668000000006</v>
      </c>
      <c r="AH36" s="67">
        <v>0</v>
      </c>
      <c r="AI36" s="66">
        <v>0</v>
      </c>
      <c r="AJ36" s="66">
        <v>0</v>
      </c>
      <c r="AK36" s="66">
        <v>0</v>
      </c>
      <c r="AL36" s="66">
        <v>0</v>
      </c>
      <c r="AM36" s="66">
        <v>0</v>
      </c>
      <c r="AN36" s="66">
        <v>0</v>
      </c>
      <c r="AO36" s="66">
        <v>0</v>
      </c>
      <c r="AP36" s="66">
        <v>0</v>
      </c>
      <c r="AQ36" s="66">
        <v>0</v>
      </c>
      <c r="AR36" s="66">
        <v>0</v>
      </c>
      <c r="AS36" s="66">
        <v>0</v>
      </c>
      <c r="AT36" s="67" t="s">
        <v>1230</v>
      </c>
      <c r="AU36" s="67" t="s">
        <v>1230</v>
      </c>
      <c r="AV36" s="67">
        <v>0</v>
      </c>
      <c r="AW36" s="187">
        <v>0</v>
      </c>
      <c r="AX36" s="67">
        <v>0</v>
      </c>
      <c r="AY36" s="66">
        <v>0</v>
      </c>
      <c r="AZ36" s="66">
        <v>0</v>
      </c>
      <c r="BA36" s="66">
        <v>0</v>
      </c>
      <c r="BB36" s="66">
        <v>0</v>
      </c>
      <c r="BC36" s="66">
        <v>0</v>
      </c>
      <c r="BD36" s="66">
        <v>0</v>
      </c>
      <c r="BE36" s="66">
        <v>0.10047722000000001</v>
      </c>
      <c r="BF36" s="66">
        <v>0</v>
      </c>
      <c r="BG36" s="66">
        <v>0</v>
      </c>
      <c r="BH36" s="66">
        <v>0</v>
      </c>
      <c r="BI36" s="66">
        <v>0</v>
      </c>
      <c r="BJ36" s="67" t="s">
        <v>1230</v>
      </c>
      <c r="BK36" s="67" t="s">
        <v>1230</v>
      </c>
      <c r="BL36" s="67">
        <v>0</v>
      </c>
      <c r="BM36" s="187">
        <v>0.10047722000000001</v>
      </c>
      <c r="BN36" s="67">
        <v>0</v>
      </c>
    </row>
    <row r="37" spans="1:66" ht="15.6" x14ac:dyDescent="0.3">
      <c r="A37" s="169" t="s">
        <v>74</v>
      </c>
      <c r="B37" s="205" t="s">
        <v>1078</v>
      </c>
      <c r="C37" s="66">
        <v>0</v>
      </c>
      <c r="D37" s="66">
        <v>0</v>
      </c>
      <c r="E37" s="66">
        <v>0</v>
      </c>
      <c r="F37" s="66">
        <v>0</v>
      </c>
      <c r="G37" s="66">
        <v>0</v>
      </c>
      <c r="H37" s="66">
        <v>0</v>
      </c>
      <c r="I37" s="66">
        <v>0</v>
      </c>
      <c r="J37" s="66">
        <v>0</v>
      </c>
      <c r="K37" s="66">
        <v>0</v>
      </c>
      <c r="L37" s="66">
        <v>0</v>
      </c>
      <c r="M37" s="66">
        <v>0</v>
      </c>
      <c r="N37" s="67" t="s">
        <v>1230</v>
      </c>
      <c r="O37" s="67" t="s">
        <v>1230</v>
      </c>
      <c r="P37" s="67">
        <v>0</v>
      </c>
      <c r="Q37" s="66">
        <v>0</v>
      </c>
      <c r="R37" s="67">
        <v>0</v>
      </c>
      <c r="S37" s="66">
        <v>0</v>
      </c>
      <c r="T37" s="66">
        <v>0</v>
      </c>
      <c r="U37" s="66">
        <v>0</v>
      </c>
      <c r="V37" s="66">
        <v>0</v>
      </c>
      <c r="W37" s="66">
        <v>0</v>
      </c>
      <c r="X37" s="66">
        <v>0</v>
      </c>
      <c r="Y37" s="66">
        <v>0</v>
      </c>
      <c r="Z37" s="66">
        <v>0</v>
      </c>
      <c r="AA37" s="66">
        <v>0</v>
      </c>
      <c r="AB37" s="66">
        <v>0</v>
      </c>
      <c r="AC37" s="66">
        <v>0</v>
      </c>
      <c r="AD37" s="67" t="s">
        <v>1230</v>
      </c>
      <c r="AE37" s="67" t="s">
        <v>1230</v>
      </c>
      <c r="AF37" s="67">
        <v>0</v>
      </c>
      <c r="AG37" s="187">
        <v>0</v>
      </c>
      <c r="AH37" s="67">
        <v>0</v>
      </c>
      <c r="AI37" s="66">
        <v>0</v>
      </c>
      <c r="AJ37" s="66">
        <v>0</v>
      </c>
      <c r="AK37" s="66">
        <v>0</v>
      </c>
      <c r="AL37" s="66">
        <v>0</v>
      </c>
      <c r="AM37" s="66">
        <v>0</v>
      </c>
      <c r="AN37" s="66">
        <v>0</v>
      </c>
      <c r="AO37" s="66">
        <v>0</v>
      </c>
      <c r="AP37" s="66">
        <v>0</v>
      </c>
      <c r="AQ37" s="66">
        <v>0</v>
      </c>
      <c r="AR37" s="66">
        <v>0</v>
      </c>
      <c r="AS37" s="66">
        <v>0</v>
      </c>
      <c r="AT37" s="67" t="s">
        <v>1230</v>
      </c>
      <c r="AU37" s="67" t="s">
        <v>1230</v>
      </c>
      <c r="AV37" s="67">
        <v>0</v>
      </c>
      <c r="AW37" s="187">
        <v>0</v>
      </c>
      <c r="AX37" s="67">
        <v>0</v>
      </c>
      <c r="AY37" s="66">
        <v>0</v>
      </c>
      <c r="AZ37" s="66">
        <v>0</v>
      </c>
      <c r="BA37" s="66">
        <v>0</v>
      </c>
      <c r="BB37" s="66">
        <v>0</v>
      </c>
      <c r="BC37" s="66">
        <v>0</v>
      </c>
      <c r="BD37" s="66">
        <v>0</v>
      </c>
      <c r="BE37" s="66">
        <v>0</v>
      </c>
      <c r="BF37" s="66">
        <v>0</v>
      </c>
      <c r="BG37" s="66">
        <v>0</v>
      </c>
      <c r="BH37" s="66">
        <v>0</v>
      </c>
      <c r="BI37" s="66">
        <v>0</v>
      </c>
      <c r="BJ37" s="67" t="s">
        <v>1230</v>
      </c>
      <c r="BK37" s="67" t="s">
        <v>1230</v>
      </c>
      <c r="BL37" s="67">
        <v>0</v>
      </c>
      <c r="BM37" s="187">
        <v>0</v>
      </c>
      <c r="BN37" s="67">
        <v>0</v>
      </c>
    </row>
    <row r="38" spans="1:66" ht="15.6" x14ac:dyDescent="0.3">
      <c r="A38" s="169" t="s">
        <v>76</v>
      </c>
      <c r="B38" s="205" t="s">
        <v>77</v>
      </c>
      <c r="C38" s="66">
        <v>0</v>
      </c>
      <c r="D38" s="66">
        <v>0</v>
      </c>
      <c r="E38" s="66">
        <v>0</v>
      </c>
      <c r="F38" s="66">
        <v>0</v>
      </c>
      <c r="G38" s="66">
        <v>0</v>
      </c>
      <c r="H38" s="66">
        <v>0</v>
      </c>
      <c r="I38" s="66">
        <v>0.24026661999999999</v>
      </c>
      <c r="J38" s="66">
        <v>0</v>
      </c>
      <c r="K38" s="66">
        <v>0</v>
      </c>
      <c r="L38" s="66">
        <v>0</v>
      </c>
      <c r="M38" s="66">
        <v>0</v>
      </c>
      <c r="N38" s="67" t="s">
        <v>1230</v>
      </c>
      <c r="O38" s="67" t="s">
        <v>1230</v>
      </c>
      <c r="P38" s="67">
        <v>0</v>
      </c>
      <c r="Q38" s="66">
        <v>0.24026661999999999</v>
      </c>
      <c r="R38" s="67">
        <v>0</v>
      </c>
      <c r="S38" s="66">
        <v>0</v>
      </c>
      <c r="T38" s="66">
        <v>0</v>
      </c>
      <c r="U38" s="66">
        <v>0</v>
      </c>
      <c r="V38" s="66">
        <v>0</v>
      </c>
      <c r="W38" s="66">
        <v>0</v>
      </c>
      <c r="X38" s="66">
        <v>0</v>
      </c>
      <c r="Y38" s="66">
        <v>0.24026661999999999</v>
      </c>
      <c r="Z38" s="66">
        <v>0</v>
      </c>
      <c r="AA38" s="66">
        <v>0</v>
      </c>
      <c r="AB38" s="66">
        <v>0</v>
      </c>
      <c r="AC38" s="66">
        <v>0</v>
      </c>
      <c r="AD38" s="67" t="s">
        <v>1230</v>
      </c>
      <c r="AE38" s="67" t="s">
        <v>1230</v>
      </c>
      <c r="AF38" s="67">
        <v>0</v>
      </c>
      <c r="AG38" s="187">
        <v>0.24026661999999999</v>
      </c>
      <c r="AH38" s="67">
        <v>0</v>
      </c>
      <c r="AI38" s="66">
        <v>0</v>
      </c>
      <c r="AJ38" s="66">
        <v>0</v>
      </c>
      <c r="AK38" s="66">
        <v>0</v>
      </c>
      <c r="AL38" s="66">
        <v>0</v>
      </c>
      <c r="AM38" s="66">
        <v>0</v>
      </c>
      <c r="AN38" s="66">
        <v>0</v>
      </c>
      <c r="AO38" s="66">
        <v>0</v>
      </c>
      <c r="AP38" s="66">
        <v>0</v>
      </c>
      <c r="AQ38" s="66">
        <v>0</v>
      </c>
      <c r="AR38" s="66">
        <v>0</v>
      </c>
      <c r="AS38" s="66">
        <v>0</v>
      </c>
      <c r="AT38" s="67" t="s">
        <v>1230</v>
      </c>
      <c r="AU38" s="67" t="s">
        <v>1230</v>
      </c>
      <c r="AV38" s="67">
        <v>0</v>
      </c>
      <c r="AW38" s="187">
        <v>0</v>
      </c>
      <c r="AX38" s="67">
        <v>0</v>
      </c>
      <c r="AY38" s="66">
        <v>0</v>
      </c>
      <c r="AZ38" s="66">
        <v>0</v>
      </c>
      <c r="BA38" s="66">
        <v>0</v>
      </c>
      <c r="BB38" s="66">
        <v>0</v>
      </c>
      <c r="BC38" s="66">
        <v>0</v>
      </c>
      <c r="BD38" s="66">
        <v>0</v>
      </c>
      <c r="BE38" s="66">
        <v>0</v>
      </c>
      <c r="BF38" s="66">
        <v>0</v>
      </c>
      <c r="BG38" s="66">
        <v>0</v>
      </c>
      <c r="BH38" s="66">
        <v>0</v>
      </c>
      <c r="BI38" s="66">
        <v>0</v>
      </c>
      <c r="BJ38" s="67" t="s">
        <v>1230</v>
      </c>
      <c r="BK38" s="67" t="s">
        <v>1230</v>
      </c>
      <c r="BL38" s="67">
        <v>0</v>
      </c>
      <c r="BM38" s="187">
        <v>0</v>
      </c>
      <c r="BN38" s="67">
        <v>0</v>
      </c>
    </row>
    <row r="39" spans="1:66" ht="15.6" x14ac:dyDescent="0.3">
      <c r="A39" s="169" t="s">
        <v>79</v>
      </c>
      <c r="B39" s="205" t="s">
        <v>80</v>
      </c>
      <c r="C39" s="66">
        <v>0</v>
      </c>
      <c r="D39" s="66">
        <v>0</v>
      </c>
      <c r="E39" s="66">
        <v>0</v>
      </c>
      <c r="F39" s="66">
        <v>0</v>
      </c>
      <c r="G39" s="66">
        <v>0</v>
      </c>
      <c r="H39" s="66">
        <v>0</v>
      </c>
      <c r="I39" s="66">
        <v>2.6244999999999997E-2</v>
      </c>
      <c r="J39" s="66">
        <v>0</v>
      </c>
      <c r="K39" s="66">
        <v>0</v>
      </c>
      <c r="L39" s="66">
        <v>0</v>
      </c>
      <c r="M39" s="66">
        <v>0</v>
      </c>
      <c r="N39" s="67" t="s">
        <v>1230</v>
      </c>
      <c r="O39" s="67" t="s">
        <v>1230</v>
      </c>
      <c r="P39" s="67">
        <v>0</v>
      </c>
      <c r="Q39" s="66">
        <v>2.6244999999999997E-2</v>
      </c>
      <c r="R39" s="67">
        <v>0</v>
      </c>
      <c r="S39" s="66">
        <v>0</v>
      </c>
      <c r="T39" s="66">
        <v>0</v>
      </c>
      <c r="U39" s="66">
        <v>0</v>
      </c>
      <c r="V39" s="66">
        <v>0</v>
      </c>
      <c r="W39" s="66">
        <v>0</v>
      </c>
      <c r="X39" s="66">
        <v>0</v>
      </c>
      <c r="Y39" s="66">
        <v>2.1919999999999999E-2</v>
      </c>
      <c r="Z39" s="66">
        <v>0</v>
      </c>
      <c r="AA39" s="66">
        <v>0</v>
      </c>
      <c r="AB39" s="66">
        <v>0</v>
      </c>
      <c r="AC39" s="66">
        <v>0</v>
      </c>
      <c r="AD39" s="67" t="s">
        <v>1230</v>
      </c>
      <c r="AE39" s="67" t="s">
        <v>1230</v>
      </c>
      <c r="AF39" s="67">
        <v>0</v>
      </c>
      <c r="AG39" s="187">
        <v>2.1919999999999999E-2</v>
      </c>
      <c r="AH39" s="67">
        <v>0</v>
      </c>
      <c r="AI39" s="66">
        <v>0</v>
      </c>
      <c r="AJ39" s="66">
        <v>0</v>
      </c>
      <c r="AK39" s="66">
        <v>0</v>
      </c>
      <c r="AL39" s="66">
        <v>0</v>
      </c>
      <c r="AM39" s="66">
        <v>0</v>
      </c>
      <c r="AN39" s="66">
        <v>0</v>
      </c>
      <c r="AO39" s="66">
        <v>0</v>
      </c>
      <c r="AP39" s="66">
        <v>0</v>
      </c>
      <c r="AQ39" s="66">
        <v>0</v>
      </c>
      <c r="AR39" s="66">
        <v>0</v>
      </c>
      <c r="AS39" s="66">
        <v>0</v>
      </c>
      <c r="AT39" s="67" t="s">
        <v>1230</v>
      </c>
      <c r="AU39" s="67" t="s">
        <v>1230</v>
      </c>
      <c r="AV39" s="67">
        <v>0</v>
      </c>
      <c r="AW39" s="187">
        <v>0</v>
      </c>
      <c r="AX39" s="67">
        <v>0</v>
      </c>
      <c r="AY39" s="66">
        <v>0</v>
      </c>
      <c r="AZ39" s="66">
        <v>0</v>
      </c>
      <c r="BA39" s="66">
        <v>0</v>
      </c>
      <c r="BB39" s="66">
        <v>0</v>
      </c>
      <c r="BC39" s="66">
        <v>0</v>
      </c>
      <c r="BD39" s="66">
        <v>0</v>
      </c>
      <c r="BE39" s="66">
        <v>4.3249999999999999E-3</v>
      </c>
      <c r="BF39" s="66">
        <v>0</v>
      </c>
      <c r="BG39" s="66">
        <v>0</v>
      </c>
      <c r="BH39" s="66">
        <v>0</v>
      </c>
      <c r="BI39" s="66">
        <v>0</v>
      </c>
      <c r="BJ39" s="67" t="s">
        <v>1230</v>
      </c>
      <c r="BK39" s="67" t="s">
        <v>1230</v>
      </c>
      <c r="BL39" s="67">
        <v>0</v>
      </c>
      <c r="BM39" s="187">
        <v>4.3249999999999999E-3</v>
      </c>
      <c r="BN39" s="67">
        <v>0</v>
      </c>
    </row>
    <row r="40" spans="1:66" ht="15.6" x14ac:dyDescent="0.3">
      <c r="A40" s="169" t="s">
        <v>82</v>
      </c>
      <c r="B40" s="205" t="s">
        <v>83</v>
      </c>
      <c r="C40" s="66">
        <v>0</v>
      </c>
      <c r="D40" s="66">
        <v>0</v>
      </c>
      <c r="E40" s="66">
        <v>0</v>
      </c>
      <c r="F40" s="66">
        <v>0</v>
      </c>
      <c r="G40" s="66">
        <v>0</v>
      </c>
      <c r="H40" s="66">
        <v>0</v>
      </c>
      <c r="I40" s="66">
        <v>2.8485684500000001</v>
      </c>
      <c r="J40" s="66">
        <v>0</v>
      </c>
      <c r="K40" s="66">
        <v>0</v>
      </c>
      <c r="L40" s="66">
        <v>0</v>
      </c>
      <c r="M40" s="66">
        <v>0</v>
      </c>
      <c r="N40" s="67" t="s">
        <v>1230</v>
      </c>
      <c r="O40" s="67" t="s">
        <v>1230</v>
      </c>
      <c r="P40" s="67">
        <v>0</v>
      </c>
      <c r="Q40" s="66">
        <v>2.8485684500000001</v>
      </c>
      <c r="R40" s="67">
        <v>0</v>
      </c>
      <c r="S40" s="66">
        <v>0</v>
      </c>
      <c r="T40" s="66">
        <v>0</v>
      </c>
      <c r="U40" s="66">
        <v>0</v>
      </c>
      <c r="V40" s="66">
        <v>0</v>
      </c>
      <c r="W40" s="66">
        <v>0</v>
      </c>
      <c r="X40" s="66">
        <v>0</v>
      </c>
      <c r="Y40" s="66">
        <v>2.77046978</v>
      </c>
      <c r="Z40" s="66">
        <v>0</v>
      </c>
      <c r="AA40" s="66">
        <v>0</v>
      </c>
      <c r="AB40" s="66">
        <v>0</v>
      </c>
      <c r="AC40" s="66">
        <v>0</v>
      </c>
      <c r="AD40" s="67" t="s">
        <v>1230</v>
      </c>
      <c r="AE40" s="67" t="s">
        <v>1230</v>
      </c>
      <c r="AF40" s="67">
        <v>0</v>
      </c>
      <c r="AG40" s="187">
        <v>2.77046978</v>
      </c>
      <c r="AH40" s="67">
        <v>0</v>
      </c>
      <c r="AI40" s="66">
        <v>0</v>
      </c>
      <c r="AJ40" s="66">
        <v>0</v>
      </c>
      <c r="AK40" s="66">
        <v>0</v>
      </c>
      <c r="AL40" s="66">
        <v>0</v>
      </c>
      <c r="AM40" s="66">
        <v>0</v>
      </c>
      <c r="AN40" s="66">
        <v>0</v>
      </c>
      <c r="AO40" s="66">
        <v>0</v>
      </c>
      <c r="AP40" s="66">
        <v>0</v>
      </c>
      <c r="AQ40" s="66">
        <v>0</v>
      </c>
      <c r="AR40" s="66">
        <v>0</v>
      </c>
      <c r="AS40" s="66">
        <v>0</v>
      </c>
      <c r="AT40" s="67" t="s">
        <v>1230</v>
      </c>
      <c r="AU40" s="67" t="s">
        <v>1230</v>
      </c>
      <c r="AV40" s="67">
        <v>0</v>
      </c>
      <c r="AW40" s="187">
        <v>0</v>
      </c>
      <c r="AX40" s="67">
        <v>0</v>
      </c>
      <c r="AY40" s="66">
        <v>0</v>
      </c>
      <c r="AZ40" s="66">
        <v>0</v>
      </c>
      <c r="BA40" s="66">
        <v>0</v>
      </c>
      <c r="BB40" s="66">
        <v>0</v>
      </c>
      <c r="BC40" s="66">
        <v>0</v>
      </c>
      <c r="BD40" s="66">
        <v>0</v>
      </c>
      <c r="BE40" s="66">
        <v>7.8098669999999995E-2</v>
      </c>
      <c r="BF40" s="66">
        <v>0</v>
      </c>
      <c r="BG40" s="66">
        <v>0</v>
      </c>
      <c r="BH40" s="66">
        <v>0</v>
      </c>
      <c r="BI40" s="66">
        <v>0</v>
      </c>
      <c r="BJ40" s="67" t="s">
        <v>1230</v>
      </c>
      <c r="BK40" s="67" t="s">
        <v>1230</v>
      </c>
      <c r="BL40" s="67">
        <v>0</v>
      </c>
      <c r="BM40" s="187">
        <v>7.8098669999999995E-2</v>
      </c>
      <c r="BN40" s="67">
        <v>0</v>
      </c>
    </row>
    <row r="41" spans="1:66" ht="15.6" x14ac:dyDescent="0.3">
      <c r="A41" s="169" t="s">
        <v>85</v>
      </c>
      <c r="B41" s="205" t="s">
        <v>299</v>
      </c>
      <c r="C41" s="66">
        <v>0</v>
      </c>
      <c r="D41" s="66">
        <v>0</v>
      </c>
      <c r="E41" s="66">
        <v>0</v>
      </c>
      <c r="F41" s="66">
        <v>0</v>
      </c>
      <c r="G41" s="66">
        <v>0</v>
      </c>
      <c r="H41" s="66">
        <v>0</v>
      </c>
      <c r="I41" s="66">
        <v>0</v>
      </c>
      <c r="J41" s="66">
        <v>0</v>
      </c>
      <c r="K41" s="66">
        <v>0</v>
      </c>
      <c r="L41" s="66">
        <v>0</v>
      </c>
      <c r="M41" s="66">
        <v>0</v>
      </c>
      <c r="N41" s="67" t="s">
        <v>1230</v>
      </c>
      <c r="O41" s="67" t="s">
        <v>1230</v>
      </c>
      <c r="P41" s="67">
        <v>0</v>
      </c>
      <c r="Q41" s="66">
        <v>0</v>
      </c>
      <c r="R41" s="67">
        <v>0</v>
      </c>
      <c r="S41" s="66">
        <v>0</v>
      </c>
      <c r="T41" s="66">
        <v>0</v>
      </c>
      <c r="U41" s="66">
        <v>0</v>
      </c>
      <c r="V41" s="66">
        <v>0</v>
      </c>
      <c r="W41" s="66">
        <v>0</v>
      </c>
      <c r="X41" s="66">
        <v>0</v>
      </c>
      <c r="Y41" s="66">
        <v>0</v>
      </c>
      <c r="Z41" s="66">
        <v>0</v>
      </c>
      <c r="AA41" s="66">
        <v>0</v>
      </c>
      <c r="AB41" s="66">
        <v>0</v>
      </c>
      <c r="AC41" s="66">
        <v>0</v>
      </c>
      <c r="AD41" s="67" t="s">
        <v>1230</v>
      </c>
      <c r="AE41" s="67" t="s">
        <v>1230</v>
      </c>
      <c r="AF41" s="67">
        <v>0</v>
      </c>
      <c r="AG41" s="187">
        <v>0</v>
      </c>
      <c r="AH41" s="67">
        <v>0</v>
      </c>
      <c r="AI41" s="66">
        <v>0</v>
      </c>
      <c r="AJ41" s="66">
        <v>0</v>
      </c>
      <c r="AK41" s="66">
        <v>0</v>
      </c>
      <c r="AL41" s="66">
        <v>0</v>
      </c>
      <c r="AM41" s="66">
        <v>0</v>
      </c>
      <c r="AN41" s="66">
        <v>0</v>
      </c>
      <c r="AO41" s="66">
        <v>0</v>
      </c>
      <c r="AP41" s="66">
        <v>0</v>
      </c>
      <c r="AQ41" s="66">
        <v>0</v>
      </c>
      <c r="AR41" s="66">
        <v>0</v>
      </c>
      <c r="AS41" s="66">
        <v>0</v>
      </c>
      <c r="AT41" s="67" t="s">
        <v>1230</v>
      </c>
      <c r="AU41" s="67" t="s">
        <v>1230</v>
      </c>
      <c r="AV41" s="67">
        <v>0</v>
      </c>
      <c r="AW41" s="187">
        <v>0</v>
      </c>
      <c r="AX41" s="67">
        <v>0</v>
      </c>
      <c r="AY41" s="66">
        <v>0</v>
      </c>
      <c r="AZ41" s="66">
        <v>0</v>
      </c>
      <c r="BA41" s="66">
        <v>0</v>
      </c>
      <c r="BB41" s="66">
        <v>0</v>
      </c>
      <c r="BC41" s="66">
        <v>0</v>
      </c>
      <c r="BD41" s="66">
        <v>0</v>
      </c>
      <c r="BE41" s="66">
        <v>0</v>
      </c>
      <c r="BF41" s="66">
        <v>0</v>
      </c>
      <c r="BG41" s="66">
        <v>0</v>
      </c>
      <c r="BH41" s="66">
        <v>0</v>
      </c>
      <c r="BI41" s="66">
        <v>0</v>
      </c>
      <c r="BJ41" s="67" t="s">
        <v>1230</v>
      </c>
      <c r="BK41" s="67" t="s">
        <v>1230</v>
      </c>
      <c r="BL41" s="67">
        <v>0</v>
      </c>
      <c r="BM41" s="187">
        <v>0</v>
      </c>
      <c r="BN41" s="67">
        <v>0</v>
      </c>
    </row>
    <row r="42" spans="1:66" ht="15.6" x14ac:dyDescent="0.3">
      <c r="A42" s="169" t="s">
        <v>87</v>
      </c>
      <c r="B42" s="205" t="s">
        <v>88</v>
      </c>
      <c r="C42" s="66">
        <v>0</v>
      </c>
      <c r="D42" s="66">
        <v>0</v>
      </c>
      <c r="E42" s="66">
        <v>0</v>
      </c>
      <c r="F42" s="66">
        <v>0</v>
      </c>
      <c r="G42" s="66">
        <v>0</v>
      </c>
      <c r="H42" s="66">
        <v>0</v>
      </c>
      <c r="I42" s="66">
        <v>0</v>
      </c>
      <c r="J42" s="66">
        <v>0</v>
      </c>
      <c r="K42" s="66">
        <v>0</v>
      </c>
      <c r="L42" s="66">
        <v>0</v>
      </c>
      <c r="M42" s="66">
        <v>0</v>
      </c>
      <c r="N42" s="67" t="s">
        <v>1230</v>
      </c>
      <c r="O42" s="67" t="s">
        <v>1230</v>
      </c>
      <c r="P42" s="67">
        <v>0</v>
      </c>
      <c r="Q42" s="66">
        <v>0</v>
      </c>
      <c r="R42" s="67">
        <v>0</v>
      </c>
      <c r="S42" s="66">
        <v>0</v>
      </c>
      <c r="T42" s="66">
        <v>0</v>
      </c>
      <c r="U42" s="66">
        <v>0</v>
      </c>
      <c r="V42" s="66">
        <v>0</v>
      </c>
      <c r="W42" s="66">
        <v>0</v>
      </c>
      <c r="X42" s="66">
        <v>0</v>
      </c>
      <c r="Y42" s="66">
        <v>0</v>
      </c>
      <c r="Z42" s="66">
        <v>0</v>
      </c>
      <c r="AA42" s="66">
        <v>0</v>
      </c>
      <c r="AB42" s="66">
        <v>0</v>
      </c>
      <c r="AC42" s="66">
        <v>0</v>
      </c>
      <c r="AD42" s="67" t="s">
        <v>1230</v>
      </c>
      <c r="AE42" s="67" t="s">
        <v>1230</v>
      </c>
      <c r="AF42" s="67">
        <v>0</v>
      </c>
      <c r="AG42" s="187">
        <v>0</v>
      </c>
      <c r="AH42" s="67">
        <v>0</v>
      </c>
      <c r="AI42" s="66">
        <v>0</v>
      </c>
      <c r="AJ42" s="66">
        <v>0</v>
      </c>
      <c r="AK42" s="66">
        <v>0</v>
      </c>
      <c r="AL42" s="66">
        <v>0</v>
      </c>
      <c r="AM42" s="66">
        <v>0</v>
      </c>
      <c r="AN42" s="66">
        <v>0</v>
      </c>
      <c r="AO42" s="66">
        <v>0</v>
      </c>
      <c r="AP42" s="66">
        <v>0</v>
      </c>
      <c r="AQ42" s="66">
        <v>0</v>
      </c>
      <c r="AR42" s="66">
        <v>0</v>
      </c>
      <c r="AS42" s="66">
        <v>0</v>
      </c>
      <c r="AT42" s="67" t="s">
        <v>1230</v>
      </c>
      <c r="AU42" s="67" t="s">
        <v>1230</v>
      </c>
      <c r="AV42" s="67">
        <v>0</v>
      </c>
      <c r="AW42" s="187">
        <v>0</v>
      </c>
      <c r="AX42" s="67">
        <v>0</v>
      </c>
      <c r="AY42" s="66">
        <v>0</v>
      </c>
      <c r="AZ42" s="66">
        <v>0</v>
      </c>
      <c r="BA42" s="66">
        <v>0</v>
      </c>
      <c r="BB42" s="66">
        <v>0</v>
      </c>
      <c r="BC42" s="66">
        <v>0</v>
      </c>
      <c r="BD42" s="66">
        <v>0</v>
      </c>
      <c r="BE42" s="66">
        <v>0</v>
      </c>
      <c r="BF42" s="66">
        <v>0</v>
      </c>
      <c r="BG42" s="66">
        <v>0</v>
      </c>
      <c r="BH42" s="66">
        <v>0</v>
      </c>
      <c r="BI42" s="66">
        <v>0</v>
      </c>
      <c r="BJ42" s="67" t="s">
        <v>1230</v>
      </c>
      <c r="BK42" s="67" t="s">
        <v>1230</v>
      </c>
      <c r="BL42" s="67">
        <v>0</v>
      </c>
      <c r="BM42" s="187">
        <v>0</v>
      </c>
      <c r="BN42" s="67">
        <v>0</v>
      </c>
    </row>
    <row r="43" spans="1:66" ht="15.6" x14ac:dyDescent="0.3">
      <c r="A43" s="169" t="s">
        <v>90</v>
      </c>
      <c r="B43" s="205" t="s">
        <v>91</v>
      </c>
      <c r="C43" s="66">
        <v>0</v>
      </c>
      <c r="D43" s="66">
        <v>0</v>
      </c>
      <c r="E43" s="66">
        <v>0</v>
      </c>
      <c r="F43" s="66">
        <v>0</v>
      </c>
      <c r="G43" s="66">
        <v>0</v>
      </c>
      <c r="H43" s="66">
        <v>0</v>
      </c>
      <c r="I43" s="66">
        <v>1.47455E-3</v>
      </c>
      <c r="J43" s="66">
        <v>0</v>
      </c>
      <c r="K43" s="66">
        <v>0</v>
      </c>
      <c r="L43" s="66">
        <v>0</v>
      </c>
      <c r="M43" s="66">
        <v>0</v>
      </c>
      <c r="N43" s="67" t="s">
        <v>1230</v>
      </c>
      <c r="O43" s="67" t="s">
        <v>1230</v>
      </c>
      <c r="P43" s="67">
        <v>0</v>
      </c>
      <c r="Q43" s="66">
        <v>1.47455E-3</v>
      </c>
      <c r="R43" s="67">
        <v>0</v>
      </c>
      <c r="S43" s="66">
        <v>0</v>
      </c>
      <c r="T43" s="66">
        <v>0</v>
      </c>
      <c r="U43" s="66">
        <v>0</v>
      </c>
      <c r="V43" s="66">
        <v>0</v>
      </c>
      <c r="W43" s="66">
        <v>0</v>
      </c>
      <c r="X43" s="66">
        <v>0</v>
      </c>
      <c r="Y43" s="66">
        <v>1.47455E-3</v>
      </c>
      <c r="Z43" s="66">
        <v>0</v>
      </c>
      <c r="AA43" s="66">
        <v>0</v>
      </c>
      <c r="AB43" s="66">
        <v>0</v>
      </c>
      <c r="AC43" s="66">
        <v>0</v>
      </c>
      <c r="AD43" s="67" t="s">
        <v>1230</v>
      </c>
      <c r="AE43" s="67" t="s">
        <v>1230</v>
      </c>
      <c r="AF43" s="67">
        <v>0</v>
      </c>
      <c r="AG43" s="187">
        <v>1.47455E-3</v>
      </c>
      <c r="AH43" s="67">
        <v>0</v>
      </c>
      <c r="AI43" s="66">
        <v>0</v>
      </c>
      <c r="AJ43" s="66">
        <v>0</v>
      </c>
      <c r="AK43" s="66">
        <v>0</v>
      </c>
      <c r="AL43" s="66">
        <v>0</v>
      </c>
      <c r="AM43" s="66">
        <v>0</v>
      </c>
      <c r="AN43" s="66">
        <v>0</v>
      </c>
      <c r="AO43" s="66">
        <v>0</v>
      </c>
      <c r="AP43" s="66">
        <v>0</v>
      </c>
      <c r="AQ43" s="66">
        <v>0</v>
      </c>
      <c r="AR43" s="66">
        <v>0</v>
      </c>
      <c r="AS43" s="66">
        <v>0</v>
      </c>
      <c r="AT43" s="67" t="s">
        <v>1230</v>
      </c>
      <c r="AU43" s="67" t="s">
        <v>1230</v>
      </c>
      <c r="AV43" s="67">
        <v>0</v>
      </c>
      <c r="AW43" s="187">
        <v>0</v>
      </c>
      <c r="AX43" s="67">
        <v>0</v>
      </c>
      <c r="AY43" s="66">
        <v>0</v>
      </c>
      <c r="AZ43" s="66">
        <v>0</v>
      </c>
      <c r="BA43" s="66">
        <v>0</v>
      </c>
      <c r="BB43" s="66">
        <v>0</v>
      </c>
      <c r="BC43" s="66">
        <v>0</v>
      </c>
      <c r="BD43" s="66">
        <v>0</v>
      </c>
      <c r="BE43" s="66">
        <v>0</v>
      </c>
      <c r="BF43" s="66">
        <v>0</v>
      </c>
      <c r="BG43" s="66">
        <v>0</v>
      </c>
      <c r="BH43" s="66">
        <v>0</v>
      </c>
      <c r="BI43" s="66">
        <v>0</v>
      </c>
      <c r="BJ43" s="67" t="s">
        <v>1230</v>
      </c>
      <c r="BK43" s="67" t="s">
        <v>1230</v>
      </c>
      <c r="BL43" s="67">
        <v>0</v>
      </c>
      <c r="BM43" s="187">
        <v>0</v>
      </c>
      <c r="BN43" s="67">
        <v>0</v>
      </c>
    </row>
    <row r="44" spans="1:66" ht="15.6" x14ac:dyDescent="0.3">
      <c r="A44" s="206">
        <v>32</v>
      </c>
      <c r="B44" s="205" t="s">
        <v>93</v>
      </c>
      <c r="C44" s="66">
        <v>0</v>
      </c>
      <c r="D44" s="66">
        <v>0</v>
      </c>
      <c r="E44" s="66">
        <v>0</v>
      </c>
      <c r="F44" s="66">
        <v>0</v>
      </c>
      <c r="G44" s="66">
        <v>0</v>
      </c>
      <c r="H44" s="66">
        <v>0</v>
      </c>
      <c r="I44" s="66">
        <v>0.33288962</v>
      </c>
      <c r="J44" s="66">
        <v>0</v>
      </c>
      <c r="K44" s="66">
        <v>0</v>
      </c>
      <c r="L44" s="66">
        <v>0</v>
      </c>
      <c r="M44" s="66">
        <v>0</v>
      </c>
      <c r="N44" s="67" t="s">
        <v>1230</v>
      </c>
      <c r="O44" s="67" t="s">
        <v>1230</v>
      </c>
      <c r="P44" s="67">
        <v>0</v>
      </c>
      <c r="Q44" s="66">
        <v>0.33288962</v>
      </c>
      <c r="R44" s="67">
        <v>0</v>
      </c>
      <c r="S44" s="66">
        <v>0</v>
      </c>
      <c r="T44" s="66">
        <v>0</v>
      </c>
      <c r="U44" s="66">
        <v>0</v>
      </c>
      <c r="V44" s="66">
        <v>0</v>
      </c>
      <c r="W44" s="66">
        <v>0</v>
      </c>
      <c r="X44" s="66">
        <v>0</v>
      </c>
      <c r="Y44" s="66">
        <v>0.13023309</v>
      </c>
      <c r="Z44" s="66">
        <v>0</v>
      </c>
      <c r="AA44" s="66">
        <v>0</v>
      </c>
      <c r="AB44" s="66">
        <v>0</v>
      </c>
      <c r="AC44" s="66">
        <v>0</v>
      </c>
      <c r="AD44" s="67" t="s">
        <v>1230</v>
      </c>
      <c r="AE44" s="67" t="s">
        <v>1230</v>
      </c>
      <c r="AF44" s="67">
        <v>0</v>
      </c>
      <c r="AG44" s="187">
        <v>0.13023309</v>
      </c>
      <c r="AH44" s="67">
        <v>0</v>
      </c>
      <c r="AI44" s="66">
        <v>0</v>
      </c>
      <c r="AJ44" s="66">
        <v>0</v>
      </c>
      <c r="AK44" s="66">
        <v>0</v>
      </c>
      <c r="AL44" s="66">
        <v>0</v>
      </c>
      <c r="AM44" s="66">
        <v>0</v>
      </c>
      <c r="AN44" s="66">
        <v>0</v>
      </c>
      <c r="AO44" s="66">
        <v>0</v>
      </c>
      <c r="AP44" s="66">
        <v>0</v>
      </c>
      <c r="AQ44" s="66">
        <v>0</v>
      </c>
      <c r="AR44" s="66">
        <v>0</v>
      </c>
      <c r="AS44" s="66">
        <v>0</v>
      </c>
      <c r="AT44" s="67" t="s">
        <v>1230</v>
      </c>
      <c r="AU44" s="67" t="s">
        <v>1230</v>
      </c>
      <c r="AV44" s="67">
        <v>0</v>
      </c>
      <c r="AW44" s="187">
        <v>0</v>
      </c>
      <c r="AX44" s="67">
        <v>0</v>
      </c>
      <c r="AY44" s="66">
        <v>0</v>
      </c>
      <c r="AZ44" s="66">
        <v>0</v>
      </c>
      <c r="BA44" s="66">
        <v>0</v>
      </c>
      <c r="BB44" s="66">
        <v>0</v>
      </c>
      <c r="BC44" s="66">
        <v>0</v>
      </c>
      <c r="BD44" s="66">
        <v>0</v>
      </c>
      <c r="BE44" s="66">
        <v>0.20265653</v>
      </c>
      <c r="BF44" s="66">
        <v>0</v>
      </c>
      <c r="BG44" s="66">
        <v>0</v>
      </c>
      <c r="BH44" s="66">
        <v>0</v>
      </c>
      <c r="BI44" s="66">
        <v>0</v>
      </c>
      <c r="BJ44" s="67" t="s">
        <v>1230</v>
      </c>
      <c r="BK44" s="67" t="s">
        <v>1230</v>
      </c>
      <c r="BL44" s="67">
        <v>0</v>
      </c>
      <c r="BM44" s="187">
        <v>0.20265653</v>
      </c>
      <c r="BN44" s="67">
        <v>0</v>
      </c>
    </row>
    <row r="45" spans="1:66" ht="15.6" x14ac:dyDescent="0.3">
      <c r="A45" s="208">
        <v>33</v>
      </c>
      <c r="B45" s="209" t="s">
        <v>95</v>
      </c>
      <c r="C45" s="61">
        <v>0</v>
      </c>
      <c r="D45" s="61">
        <v>0</v>
      </c>
      <c r="E45" s="61">
        <v>0</v>
      </c>
      <c r="F45" s="61">
        <v>0</v>
      </c>
      <c r="G45" s="61">
        <v>0</v>
      </c>
      <c r="H45" s="61">
        <v>0</v>
      </c>
      <c r="I45" s="61">
        <v>336.15702681000005</v>
      </c>
      <c r="J45" s="61">
        <v>0</v>
      </c>
      <c r="K45" s="61">
        <v>0</v>
      </c>
      <c r="L45" s="61">
        <v>0</v>
      </c>
      <c r="M45" s="61">
        <v>0</v>
      </c>
      <c r="N45" s="61" t="s">
        <v>1230</v>
      </c>
      <c r="O45" s="61" t="s">
        <v>1230</v>
      </c>
      <c r="P45" s="61">
        <v>0</v>
      </c>
      <c r="Q45" s="61">
        <v>336.15702681000005</v>
      </c>
      <c r="R45" s="61">
        <v>0</v>
      </c>
      <c r="S45" s="61">
        <v>0</v>
      </c>
      <c r="T45" s="61">
        <v>0</v>
      </c>
      <c r="U45" s="61">
        <v>0</v>
      </c>
      <c r="V45" s="61">
        <v>0</v>
      </c>
      <c r="W45" s="61">
        <v>0</v>
      </c>
      <c r="X45" s="61">
        <v>0</v>
      </c>
      <c r="Y45" s="61">
        <v>132.56708968999999</v>
      </c>
      <c r="Z45" s="61">
        <v>0</v>
      </c>
      <c r="AA45" s="61">
        <v>0</v>
      </c>
      <c r="AB45" s="61">
        <v>0</v>
      </c>
      <c r="AC45" s="61">
        <v>0</v>
      </c>
      <c r="AD45" s="61" t="s">
        <v>1230</v>
      </c>
      <c r="AE45" s="61" t="s">
        <v>1230</v>
      </c>
      <c r="AF45" s="61">
        <v>0</v>
      </c>
      <c r="AG45" s="61">
        <v>132.56708968999999</v>
      </c>
      <c r="AH45" s="61">
        <v>0</v>
      </c>
      <c r="AI45" s="61">
        <v>0</v>
      </c>
      <c r="AJ45" s="61">
        <v>0</v>
      </c>
      <c r="AK45" s="61">
        <v>0</v>
      </c>
      <c r="AL45" s="61">
        <v>0</v>
      </c>
      <c r="AM45" s="61">
        <v>0</v>
      </c>
      <c r="AN45" s="61">
        <v>0</v>
      </c>
      <c r="AO45" s="61">
        <v>192.94929327000003</v>
      </c>
      <c r="AP45" s="61">
        <v>0</v>
      </c>
      <c r="AQ45" s="61">
        <v>0</v>
      </c>
      <c r="AR45" s="61">
        <v>0</v>
      </c>
      <c r="AS45" s="61">
        <v>0</v>
      </c>
      <c r="AT45" s="61" t="s">
        <v>1230</v>
      </c>
      <c r="AU45" s="61" t="s">
        <v>1230</v>
      </c>
      <c r="AV45" s="61">
        <v>0</v>
      </c>
      <c r="AW45" s="61">
        <v>192.94929327000003</v>
      </c>
      <c r="AX45" s="61">
        <v>0</v>
      </c>
      <c r="AY45" s="61">
        <v>0</v>
      </c>
      <c r="AZ45" s="61">
        <v>0</v>
      </c>
      <c r="BA45" s="61">
        <v>0</v>
      </c>
      <c r="BB45" s="61">
        <v>0</v>
      </c>
      <c r="BC45" s="61">
        <v>0</v>
      </c>
      <c r="BD45" s="61">
        <v>0</v>
      </c>
      <c r="BE45" s="61">
        <v>10.64064385</v>
      </c>
      <c r="BF45" s="61">
        <v>0</v>
      </c>
      <c r="BG45" s="61">
        <v>0</v>
      </c>
      <c r="BH45" s="61">
        <v>0</v>
      </c>
      <c r="BI45" s="61">
        <v>0</v>
      </c>
      <c r="BJ45" s="61" t="s">
        <v>1230</v>
      </c>
      <c r="BK45" s="61" t="s">
        <v>1230</v>
      </c>
      <c r="BL45" s="61">
        <v>0</v>
      </c>
      <c r="BM45" s="61">
        <v>10.64064385</v>
      </c>
      <c r="BN45" s="61">
        <v>0</v>
      </c>
    </row>
    <row r="46" spans="1:66" ht="15.6" x14ac:dyDescent="0.3">
      <c r="A46" s="171">
        <v>34</v>
      </c>
      <c r="B46" s="211" t="s">
        <v>97</v>
      </c>
      <c r="C46" s="66">
        <v>0</v>
      </c>
      <c r="D46" s="66">
        <v>0</v>
      </c>
      <c r="E46" s="66">
        <v>0</v>
      </c>
      <c r="F46" s="66">
        <v>0</v>
      </c>
      <c r="G46" s="66">
        <v>0</v>
      </c>
      <c r="H46" s="66">
        <v>0</v>
      </c>
      <c r="I46" s="66">
        <v>8.2521972100000003</v>
      </c>
      <c r="J46" s="66">
        <v>0</v>
      </c>
      <c r="K46" s="66">
        <v>0</v>
      </c>
      <c r="L46" s="66">
        <v>0</v>
      </c>
      <c r="M46" s="66">
        <v>0</v>
      </c>
      <c r="N46" s="67" t="s">
        <v>1230</v>
      </c>
      <c r="O46" s="67" t="s">
        <v>1230</v>
      </c>
      <c r="P46" s="67">
        <v>0</v>
      </c>
      <c r="Q46" s="66">
        <v>8.2521972100000003</v>
      </c>
      <c r="R46" s="67">
        <v>0</v>
      </c>
      <c r="S46" s="66">
        <v>0</v>
      </c>
      <c r="T46" s="66">
        <v>0</v>
      </c>
      <c r="U46" s="66">
        <v>0</v>
      </c>
      <c r="V46" s="66">
        <v>0</v>
      </c>
      <c r="W46" s="66">
        <v>0</v>
      </c>
      <c r="X46" s="66">
        <v>0</v>
      </c>
      <c r="Y46" s="66">
        <v>8.2521972100000003</v>
      </c>
      <c r="Z46" s="66">
        <v>0</v>
      </c>
      <c r="AA46" s="66">
        <v>0</v>
      </c>
      <c r="AB46" s="66">
        <v>0</v>
      </c>
      <c r="AC46" s="66">
        <v>0</v>
      </c>
      <c r="AD46" s="67" t="s">
        <v>1230</v>
      </c>
      <c r="AE46" s="67" t="s">
        <v>1230</v>
      </c>
      <c r="AF46" s="67">
        <v>0</v>
      </c>
      <c r="AG46" s="187">
        <v>8.2521972100000003</v>
      </c>
      <c r="AH46" s="67">
        <v>0</v>
      </c>
      <c r="AI46" s="66">
        <v>0</v>
      </c>
      <c r="AJ46" s="66">
        <v>0</v>
      </c>
      <c r="AK46" s="66">
        <v>0</v>
      </c>
      <c r="AL46" s="66">
        <v>0</v>
      </c>
      <c r="AM46" s="66">
        <v>0</v>
      </c>
      <c r="AN46" s="66">
        <v>0</v>
      </c>
      <c r="AO46" s="66">
        <v>0</v>
      </c>
      <c r="AP46" s="66">
        <v>0</v>
      </c>
      <c r="AQ46" s="66">
        <v>0</v>
      </c>
      <c r="AR46" s="66">
        <v>0</v>
      </c>
      <c r="AS46" s="66">
        <v>0</v>
      </c>
      <c r="AT46" s="67" t="s">
        <v>1230</v>
      </c>
      <c r="AU46" s="67" t="s">
        <v>1230</v>
      </c>
      <c r="AV46" s="67">
        <v>0</v>
      </c>
      <c r="AW46" s="187">
        <v>0</v>
      </c>
      <c r="AX46" s="67">
        <v>0</v>
      </c>
      <c r="AY46" s="66">
        <v>0</v>
      </c>
      <c r="AZ46" s="66">
        <v>0</v>
      </c>
      <c r="BA46" s="66">
        <v>0</v>
      </c>
      <c r="BB46" s="66">
        <v>0</v>
      </c>
      <c r="BC46" s="66">
        <v>0</v>
      </c>
      <c r="BD46" s="66">
        <v>0</v>
      </c>
      <c r="BE46" s="66">
        <v>0</v>
      </c>
      <c r="BF46" s="66">
        <v>0</v>
      </c>
      <c r="BG46" s="66">
        <v>0</v>
      </c>
      <c r="BH46" s="66">
        <v>0</v>
      </c>
      <c r="BI46" s="66">
        <v>0</v>
      </c>
      <c r="BJ46" s="67" t="s">
        <v>1230</v>
      </c>
      <c r="BK46" s="67" t="s">
        <v>1230</v>
      </c>
      <c r="BL46" s="67">
        <v>0</v>
      </c>
      <c r="BM46" s="187">
        <v>0</v>
      </c>
      <c r="BN46" s="67">
        <v>0</v>
      </c>
    </row>
    <row r="47" spans="1:66" ht="15.6" x14ac:dyDescent="0.3">
      <c r="A47" s="171">
        <v>35</v>
      </c>
      <c r="B47" s="211" t="s">
        <v>99</v>
      </c>
      <c r="C47" s="66">
        <v>0</v>
      </c>
      <c r="D47" s="66">
        <v>0</v>
      </c>
      <c r="E47" s="66">
        <v>0</v>
      </c>
      <c r="F47" s="66">
        <v>0</v>
      </c>
      <c r="G47" s="66">
        <v>0</v>
      </c>
      <c r="H47" s="66">
        <v>0</v>
      </c>
      <c r="I47" s="66">
        <v>82.681607010000008</v>
      </c>
      <c r="J47" s="66">
        <v>0</v>
      </c>
      <c r="K47" s="66">
        <v>0</v>
      </c>
      <c r="L47" s="66">
        <v>0</v>
      </c>
      <c r="M47" s="66">
        <v>0</v>
      </c>
      <c r="N47" s="67" t="s">
        <v>1230</v>
      </c>
      <c r="O47" s="67" t="s">
        <v>1230</v>
      </c>
      <c r="P47" s="67">
        <v>0</v>
      </c>
      <c r="Q47" s="66">
        <v>82.681607010000008</v>
      </c>
      <c r="R47" s="67">
        <v>0</v>
      </c>
      <c r="S47" s="66">
        <v>0</v>
      </c>
      <c r="T47" s="66">
        <v>0</v>
      </c>
      <c r="U47" s="66">
        <v>0</v>
      </c>
      <c r="V47" s="66">
        <v>0</v>
      </c>
      <c r="W47" s="66">
        <v>0</v>
      </c>
      <c r="X47" s="66">
        <v>0</v>
      </c>
      <c r="Y47" s="66">
        <v>78.530001010000007</v>
      </c>
      <c r="Z47" s="66">
        <v>0</v>
      </c>
      <c r="AA47" s="66">
        <v>0</v>
      </c>
      <c r="AB47" s="66">
        <v>0</v>
      </c>
      <c r="AC47" s="66">
        <v>0</v>
      </c>
      <c r="AD47" s="67" t="s">
        <v>1230</v>
      </c>
      <c r="AE47" s="67" t="s">
        <v>1230</v>
      </c>
      <c r="AF47" s="67">
        <v>0</v>
      </c>
      <c r="AG47" s="187">
        <v>78.530001010000007</v>
      </c>
      <c r="AH47" s="67">
        <v>0</v>
      </c>
      <c r="AI47" s="66">
        <v>0</v>
      </c>
      <c r="AJ47" s="66">
        <v>0</v>
      </c>
      <c r="AK47" s="66">
        <v>0</v>
      </c>
      <c r="AL47" s="66">
        <v>0</v>
      </c>
      <c r="AM47" s="66">
        <v>0</v>
      </c>
      <c r="AN47" s="66">
        <v>0</v>
      </c>
      <c r="AO47" s="66">
        <v>0.56000000000000005</v>
      </c>
      <c r="AP47" s="66">
        <v>0</v>
      </c>
      <c r="AQ47" s="66">
        <v>0</v>
      </c>
      <c r="AR47" s="66">
        <v>0</v>
      </c>
      <c r="AS47" s="66">
        <v>0</v>
      </c>
      <c r="AT47" s="67" t="s">
        <v>1230</v>
      </c>
      <c r="AU47" s="67" t="s">
        <v>1230</v>
      </c>
      <c r="AV47" s="67">
        <v>0</v>
      </c>
      <c r="AW47" s="187">
        <v>0.56000000000000005</v>
      </c>
      <c r="AX47" s="67">
        <v>0</v>
      </c>
      <c r="AY47" s="66">
        <v>0</v>
      </c>
      <c r="AZ47" s="66">
        <v>0</v>
      </c>
      <c r="BA47" s="66">
        <v>0</v>
      </c>
      <c r="BB47" s="66">
        <v>0</v>
      </c>
      <c r="BC47" s="66">
        <v>0</v>
      </c>
      <c r="BD47" s="66">
        <v>0</v>
      </c>
      <c r="BE47" s="66">
        <v>3.5916060000000001</v>
      </c>
      <c r="BF47" s="66">
        <v>0</v>
      </c>
      <c r="BG47" s="66">
        <v>0</v>
      </c>
      <c r="BH47" s="66">
        <v>0</v>
      </c>
      <c r="BI47" s="66">
        <v>0</v>
      </c>
      <c r="BJ47" s="67" t="s">
        <v>1230</v>
      </c>
      <c r="BK47" s="67" t="s">
        <v>1230</v>
      </c>
      <c r="BL47" s="67">
        <v>0</v>
      </c>
      <c r="BM47" s="187">
        <v>3.5916060000000001</v>
      </c>
      <c r="BN47" s="67">
        <v>0</v>
      </c>
    </row>
    <row r="48" spans="1:66" ht="15.6" x14ac:dyDescent="0.3">
      <c r="A48" s="169">
        <v>36</v>
      </c>
      <c r="B48" s="205" t="s">
        <v>318</v>
      </c>
      <c r="C48" s="66">
        <v>0</v>
      </c>
      <c r="D48" s="66">
        <v>0</v>
      </c>
      <c r="E48" s="66">
        <v>0</v>
      </c>
      <c r="F48" s="66">
        <v>0</v>
      </c>
      <c r="G48" s="66">
        <v>0</v>
      </c>
      <c r="H48" s="66">
        <v>0</v>
      </c>
      <c r="I48" s="66">
        <v>0.82863620000000004</v>
      </c>
      <c r="J48" s="66">
        <v>0</v>
      </c>
      <c r="K48" s="66">
        <v>0</v>
      </c>
      <c r="L48" s="66">
        <v>0</v>
      </c>
      <c r="M48" s="66">
        <v>0</v>
      </c>
      <c r="N48" s="67" t="s">
        <v>1230</v>
      </c>
      <c r="O48" s="67" t="s">
        <v>1230</v>
      </c>
      <c r="P48" s="67">
        <v>0</v>
      </c>
      <c r="Q48" s="66">
        <v>0.82863620000000004</v>
      </c>
      <c r="R48" s="67">
        <v>0</v>
      </c>
      <c r="S48" s="66">
        <v>0</v>
      </c>
      <c r="T48" s="66">
        <v>0</v>
      </c>
      <c r="U48" s="66">
        <v>0</v>
      </c>
      <c r="V48" s="66">
        <v>0</v>
      </c>
      <c r="W48" s="66">
        <v>0</v>
      </c>
      <c r="X48" s="66">
        <v>0</v>
      </c>
      <c r="Y48" s="66">
        <v>0.19877265999999999</v>
      </c>
      <c r="Z48" s="66">
        <v>0</v>
      </c>
      <c r="AA48" s="66">
        <v>0</v>
      </c>
      <c r="AB48" s="66">
        <v>0</v>
      </c>
      <c r="AC48" s="66">
        <v>0</v>
      </c>
      <c r="AD48" s="67" t="s">
        <v>1230</v>
      </c>
      <c r="AE48" s="67" t="s">
        <v>1230</v>
      </c>
      <c r="AF48" s="67">
        <v>0</v>
      </c>
      <c r="AG48" s="187">
        <v>0.19877265999999999</v>
      </c>
      <c r="AH48" s="67">
        <v>0</v>
      </c>
      <c r="AI48" s="66">
        <v>0</v>
      </c>
      <c r="AJ48" s="66">
        <v>0</v>
      </c>
      <c r="AK48" s="66">
        <v>0</v>
      </c>
      <c r="AL48" s="66">
        <v>0</v>
      </c>
      <c r="AM48" s="66">
        <v>0</v>
      </c>
      <c r="AN48" s="66">
        <v>0</v>
      </c>
      <c r="AO48" s="66">
        <v>0</v>
      </c>
      <c r="AP48" s="66">
        <v>0</v>
      </c>
      <c r="AQ48" s="66">
        <v>0</v>
      </c>
      <c r="AR48" s="66">
        <v>0</v>
      </c>
      <c r="AS48" s="66">
        <v>0</v>
      </c>
      <c r="AT48" s="67" t="s">
        <v>1230</v>
      </c>
      <c r="AU48" s="67" t="s">
        <v>1230</v>
      </c>
      <c r="AV48" s="67">
        <v>0</v>
      </c>
      <c r="AW48" s="187">
        <v>0</v>
      </c>
      <c r="AX48" s="67">
        <v>0</v>
      </c>
      <c r="AY48" s="66">
        <v>0</v>
      </c>
      <c r="AZ48" s="66">
        <v>0</v>
      </c>
      <c r="BA48" s="66">
        <v>0</v>
      </c>
      <c r="BB48" s="66">
        <v>0</v>
      </c>
      <c r="BC48" s="66">
        <v>0</v>
      </c>
      <c r="BD48" s="66">
        <v>0</v>
      </c>
      <c r="BE48" s="66">
        <v>0.62986354</v>
      </c>
      <c r="BF48" s="66">
        <v>0</v>
      </c>
      <c r="BG48" s="66">
        <v>0</v>
      </c>
      <c r="BH48" s="66">
        <v>0</v>
      </c>
      <c r="BI48" s="66">
        <v>0</v>
      </c>
      <c r="BJ48" s="67" t="s">
        <v>1230</v>
      </c>
      <c r="BK48" s="67" t="s">
        <v>1230</v>
      </c>
      <c r="BL48" s="67">
        <v>0</v>
      </c>
      <c r="BM48" s="187">
        <v>0.62986354</v>
      </c>
      <c r="BN48" s="67">
        <v>0</v>
      </c>
    </row>
    <row r="49" spans="1:66" ht="15.6" x14ac:dyDescent="0.3">
      <c r="A49" s="171">
        <v>37</v>
      </c>
      <c r="B49" s="211" t="s">
        <v>101</v>
      </c>
      <c r="C49" s="66">
        <v>0</v>
      </c>
      <c r="D49" s="66">
        <v>0</v>
      </c>
      <c r="E49" s="66">
        <v>0</v>
      </c>
      <c r="F49" s="66">
        <v>0</v>
      </c>
      <c r="G49" s="66">
        <v>0</v>
      </c>
      <c r="H49" s="66">
        <v>0</v>
      </c>
      <c r="I49" s="66">
        <v>0.19425844</v>
      </c>
      <c r="J49" s="66">
        <v>0</v>
      </c>
      <c r="K49" s="66">
        <v>0</v>
      </c>
      <c r="L49" s="66">
        <v>0</v>
      </c>
      <c r="M49" s="66">
        <v>0</v>
      </c>
      <c r="N49" s="67" t="s">
        <v>1230</v>
      </c>
      <c r="O49" s="67" t="s">
        <v>1230</v>
      </c>
      <c r="P49" s="67">
        <v>0</v>
      </c>
      <c r="Q49" s="66">
        <v>0.19425844</v>
      </c>
      <c r="R49" s="67">
        <v>0</v>
      </c>
      <c r="S49" s="66">
        <v>0</v>
      </c>
      <c r="T49" s="66">
        <v>0</v>
      </c>
      <c r="U49" s="66">
        <v>0</v>
      </c>
      <c r="V49" s="66">
        <v>0</v>
      </c>
      <c r="W49" s="66">
        <v>0</v>
      </c>
      <c r="X49" s="66">
        <v>0</v>
      </c>
      <c r="Y49" s="66">
        <v>0.14244681000000001</v>
      </c>
      <c r="Z49" s="66">
        <v>0</v>
      </c>
      <c r="AA49" s="66">
        <v>0</v>
      </c>
      <c r="AB49" s="66">
        <v>0</v>
      </c>
      <c r="AC49" s="66">
        <v>0</v>
      </c>
      <c r="AD49" s="67" t="s">
        <v>1230</v>
      </c>
      <c r="AE49" s="67" t="s">
        <v>1230</v>
      </c>
      <c r="AF49" s="67">
        <v>0</v>
      </c>
      <c r="AG49" s="187">
        <v>0.14244681000000001</v>
      </c>
      <c r="AH49" s="67">
        <v>0</v>
      </c>
      <c r="AI49" s="66">
        <v>0</v>
      </c>
      <c r="AJ49" s="66">
        <v>0</v>
      </c>
      <c r="AK49" s="66">
        <v>0</v>
      </c>
      <c r="AL49" s="66">
        <v>0</v>
      </c>
      <c r="AM49" s="66">
        <v>0</v>
      </c>
      <c r="AN49" s="66">
        <v>0</v>
      </c>
      <c r="AO49" s="66">
        <v>0</v>
      </c>
      <c r="AP49" s="66">
        <v>0</v>
      </c>
      <c r="AQ49" s="66">
        <v>0</v>
      </c>
      <c r="AR49" s="66">
        <v>0</v>
      </c>
      <c r="AS49" s="66">
        <v>0</v>
      </c>
      <c r="AT49" s="67" t="s">
        <v>1230</v>
      </c>
      <c r="AU49" s="67" t="s">
        <v>1230</v>
      </c>
      <c r="AV49" s="67">
        <v>0</v>
      </c>
      <c r="AW49" s="187">
        <v>0</v>
      </c>
      <c r="AX49" s="67">
        <v>0</v>
      </c>
      <c r="AY49" s="66">
        <v>0</v>
      </c>
      <c r="AZ49" s="66">
        <v>0</v>
      </c>
      <c r="BA49" s="66">
        <v>0</v>
      </c>
      <c r="BB49" s="66">
        <v>0</v>
      </c>
      <c r="BC49" s="66">
        <v>0</v>
      </c>
      <c r="BD49" s="66">
        <v>0</v>
      </c>
      <c r="BE49" s="66">
        <v>5.1811629999999997E-2</v>
      </c>
      <c r="BF49" s="66">
        <v>0</v>
      </c>
      <c r="BG49" s="66">
        <v>0</v>
      </c>
      <c r="BH49" s="66">
        <v>0</v>
      </c>
      <c r="BI49" s="66">
        <v>0</v>
      </c>
      <c r="BJ49" s="67" t="s">
        <v>1230</v>
      </c>
      <c r="BK49" s="67" t="s">
        <v>1230</v>
      </c>
      <c r="BL49" s="67">
        <v>0</v>
      </c>
      <c r="BM49" s="187">
        <v>5.1811629999999997E-2</v>
      </c>
      <c r="BN49" s="67">
        <v>0</v>
      </c>
    </row>
    <row r="50" spans="1:66" ht="15.6" x14ac:dyDescent="0.3">
      <c r="A50" s="171">
        <v>38</v>
      </c>
      <c r="B50" s="211" t="s">
        <v>103</v>
      </c>
      <c r="C50" s="66">
        <v>0</v>
      </c>
      <c r="D50" s="66">
        <v>0</v>
      </c>
      <c r="E50" s="66">
        <v>0</v>
      </c>
      <c r="F50" s="66">
        <v>0</v>
      </c>
      <c r="G50" s="66">
        <v>0</v>
      </c>
      <c r="H50" s="66">
        <v>0</v>
      </c>
      <c r="I50" s="66">
        <v>4.9878319699999993</v>
      </c>
      <c r="J50" s="66">
        <v>0</v>
      </c>
      <c r="K50" s="66">
        <v>0</v>
      </c>
      <c r="L50" s="66">
        <v>0</v>
      </c>
      <c r="M50" s="66">
        <v>0</v>
      </c>
      <c r="N50" s="67" t="s">
        <v>1230</v>
      </c>
      <c r="O50" s="67" t="s">
        <v>1230</v>
      </c>
      <c r="P50" s="67">
        <v>0</v>
      </c>
      <c r="Q50" s="66">
        <v>4.9878319699999993</v>
      </c>
      <c r="R50" s="67">
        <v>0</v>
      </c>
      <c r="S50" s="66">
        <v>0</v>
      </c>
      <c r="T50" s="66">
        <v>0</v>
      </c>
      <c r="U50" s="66">
        <v>0</v>
      </c>
      <c r="V50" s="66">
        <v>0</v>
      </c>
      <c r="W50" s="66">
        <v>0</v>
      </c>
      <c r="X50" s="66">
        <v>0</v>
      </c>
      <c r="Y50" s="66">
        <v>4.9878319699999993</v>
      </c>
      <c r="Z50" s="66">
        <v>0</v>
      </c>
      <c r="AA50" s="66">
        <v>0</v>
      </c>
      <c r="AB50" s="66">
        <v>0</v>
      </c>
      <c r="AC50" s="66">
        <v>0</v>
      </c>
      <c r="AD50" s="67" t="s">
        <v>1230</v>
      </c>
      <c r="AE50" s="67" t="s">
        <v>1230</v>
      </c>
      <c r="AF50" s="67">
        <v>0</v>
      </c>
      <c r="AG50" s="187">
        <v>4.9878319699999993</v>
      </c>
      <c r="AH50" s="67">
        <v>0</v>
      </c>
      <c r="AI50" s="66">
        <v>0</v>
      </c>
      <c r="AJ50" s="66">
        <v>0</v>
      </c>
      <c r="AK50" s="66">
        <v>0</v>
      </c>
      <c r="AL50" s="66">
        <v>0</v>
      </c>
      <c r="AM50" s="66">
        <v>0</v>
      </c>
      <c r="AN50" s="66">
        <v>0</v>
      </c>
      <c r="AO50" s="66">
        <v>0</v>
      </c>
      <c r="AP50" s="66">
        <v>0</v>
      </c>
      <c r="AQ50" s="66">
        <v>0</v>
      </c>
      <c r="AR50" s="66">
        <v>0</v>
      </c>
      <c r="AS50" s="66">
        <v>0</v>
      </c>
      <c r="AT50" s="67" t="s">
        <v>1230</v>
      </c>
      <c r="AU50" s="67" t="s">
        <v>1230</v>
      </c>
      <c r="AV50" s="67">
        <v>0</v>
      </c>
      <c r="AW50" s="187">
        <v>0</v>
      </c>
      <c r="AX50" s="67">
        <v>0</v>
      </c>
      <c r="AY50" s="66">
        <v>0</v>
      </c>
      <c r="AZ50" s="66">
        <v>0</v>
      </c>
      <c r="BA50" s="66">
        <v>0</v>
      </c>
      <c r="BB50" s="66">
        <v>0</v>
      </c>
      <c r="BC50" s="66">
        <v>0</v>
      </c>
      <c r="BD50" s="66">
        <v>0</v>
      </c>
      <c r="BE50" s="66">
        <v>0</v>
      </c>
      <c r="BF50" s="66">
        <v>0</v>
      </c>
      <c r="BG50" s="66">
        <v>0</v>
      </c>
      <c r="BH50" s="66">
        <v>0</v>
      </c>
      <c r="BI50" s="66">
        <v>0</v>
      </c>
      <c r="BJ50" s="67" t="s">
        <v>1230</v>
      </c>
      <c r="BK50" s="67" t="s">
        <v>1230</v>
      </c>
      <c r="BL50" s="67">
        <v>0</v>
      </c>
      <c r="BM50" s="187">
        <v>0</v>
      </c>
      <c r="BN50" s="67">
        <v>0</v>
      </c>
    </row>
    <row r="51" spans="1:66" ht="15.6" x14ac:dyDescent="0.3">
      <c r="A51" s="171">
        <v>39</v>
      </c>
      <c r="B51" s="211" t="s">
        <v>105</v>
      </c>
      <c r="C51" s="66">
        <v>0</v>
      </c>
      <c r="D51" s="66">
        <v>0</v>
      </c>
      <c r="E51" s="66">
        <v>0</v>
      </c>
      <c r="F51" s="66">
        <v>0</v>
      </c>
      <c r="G51" s="66">
        <v>0</v>
      </c>
      <c r="H51" s="66">
        <v>0</v>
      </c>
      <c r="I51" s="66">
        <v>1.1713676000000002</v>
      </c>
      <c r="J51" s="66">
        <v>0</v>
      </c>
      <c r="K51" s="66">
        <v>0</v>
      </c>
      <c r="L51" s="66">
        <v>0</v>
      </c>
      <c r="M51" s="66">
        <v>0</v>
      </c>
      <c r="N51" s="67" t="s">
        <v>1230</v>
      </c>
      <c r="O51" s="67" t="s">
        <v>1230</v>
      </c>
      <c r="P51" s="67">
        <v>0</v>
      </c>
      <c r="Q51" s="66">
        <v>1.1713676000000002</v>
      </c>
      <c r="R51" s="67">
        <v>0</v>
      </c>
      <c r="S51" s="66">
        <v>0</v>
      </c>
      <c r="T51" s="66">
        <v>0</v>
      </c>
      <c r="U51" s="66">
        <v>0</v>
      </c>
      <c r="V51" s="66">
        <v>0</v>
      </c>
      <c r="W51" s="66">
        <v>0</v>
      </c>
      <c r="X51" s="66">
        <v>0</v>
      </c>
      <c r="Y51" s="66">
        <v>1.1713676000000002</v>
      </c>
      <c r="Z51" s="66">
        <v>0</v>
      </c>
      <c r="AA51" s="66">
        <v>0</v>
      </c>
      <c r="AB51" s="66">
        <v>0</v>
      </c>
      <c r="AC51" s="66">
        <v>0</v>
      </c>
      <c r="AD51" s="67" t="s">
        <v>1230</v>
      </c>
      <c r="AE51" s="67" t="s">
        <v>1230</v>
      </c>
      <c r="AF51" s="67">
        <v>0</v>
      </c>
      <c r="AG51" s="187">
        <v>1.1713676000000002</v>
      </c>
      <c r="AH51" s="67">
        <v>0</v>
      </c>
      <c r="AI51" s="66">
        <v>0</v>
      </c>
      <c r="AJ51" s="66">
        <v>0</v>
      </c>
      <c r="AK51" s="66">
        <v>0</v>
      </c>
      <c r="AL51" s="66">
        <v>0</v>
      </c>
      <c r="AM51" s="66">
        <v>0</v>
      </c>
      <c r="AN51" s="66">
        <v>0</v>
      </c>
      <c r="AO51" s="66">
        <v>0</v>
      </c>
      <c r="AP51" s="66">
        <v>0</v>
      </c>
      <c r="AQ51" s="66">
        <v>0</v>
      </c>
      <c r="AR51" s="66">
        <v>0</v>
      </c>
      <c r="AS51" s="66">
        <v>0</v>
      </c>
      <c r="AT51" s="67" t="s">
        <v>1230</v>
      </c>
      <c r="AU51" s="67" t="s">
        <v>1230</v>
      </c>
      <c r="AV51" s="67">
        <v>0</v>
      </c>
      <c r="AW51" s="187">
        <v>0</v>
      </c>
      <c r="AX51" s="67">
        <v>0</v>
      </c>
      <c r="AY51" s="66">
        <v>0</v>
      </c>
      <c r="AZ51" s="66">
        <v>0</v>
      </c>
      <c r="BA51" s="66">
        <v>0</v>
      </c>
      <c r="BB51" s="66">
        <v>0</v>
      </c>
      <c r="BC51" s="66">
        <v>0</v>
      </c>
      <c r="BD51" s="66">
        <v>0</v>
      </c>
      <c r="BE51" s="66">
        <v>0</v>
      </c>
      <c r="BF51" s="66">
        <v>0</v>
      </c>
      <c r="BG51" s="66">
        <v>0</v>
      </c>
      <c r="BH51" s="66">
        <v>0</v>
      </c>
      <c r="BI51" s="66">
        <v>0</v>
      </c>
      <c r="BJ51" s="67" t="s">
        <v>1230</v>
      </c>
      <c r="BK51" s="67" t="s">
        <v>1230</v>
      </c>
      <c r="BL51" s="67">
        <v>0</v>
      </c>
      <c r="BM51" s="187">
        <v>0</v>
      </c>
      <c r="BN51" s="67">
        <v>0</v>
      </c>
    </row>
    <row r="52" spans="1:66" ht="15.6" x14ac:dyDescent="0.3">
      <c r="A52" s="206">
        <v>40</v>
      </c>
      <c r="B52" s="211" t="s">
        <v>107</v>
      </c>
      <c r="C52" s="66">
        <v>0</v>
      </c>
      <c r="D52" s="66">
        <v>0</v>
      </c>
      <c r="E52" s="66">
        <v>0</v>
      </c>
      <c r="F52" s="66">
        <v>0</v>
      </c>
      <c r="G52" s="66">
        <v>0</v>
      </c>
      <c r="H52" s="66">
        <v>0</v>
      </c>
      <c r="I52" s="66">
        <v>237.93211568000004</v>
      </c>
      <c r="J52" s="66">
        <v>0</v>
      </c>
      <c r="K52" s="66">
        <v>0</v>
      </c>
      <c r="L52" s="66">
        <v>0</v>
      </c>
      <c r="M52" s="66">
        <v>0</v>
      </c>
      <c r="N52" s="67" t="s">
        <v>1230</v>
      </c>
      <c r="O52" s="67" t="s">
        <v>1230</v>
      </c>
      <c r="P52" s="67">
        <v>0</v>
      </c>
      <c r="Q52" s="66">
        <v>237.93211568000004</v>
      </c>
      <c r="R52" s="67">
        <v>0</v>
      </c>
      <c r="S52" s="66">
        <v>0</v>
      </c>
      <c r="T52" s="66">
        <v>0</v>
      </c>
      <c r="U52" s="66">
        <v>0</v>
      </c>
      <c r="V52" s="66">
        <v>0</v>
      </c>
      <c r="W52" s="66">
        <v>0</v>
      </c>
      <c r="X52" s="66">
        <v>0</v>
      </c>
      <c r="Y52" s="66">
        <v>39.17545973</v>
      </c>
      <c r="Z52" s="66">
        <v>0</v>
      </c>
      <c r="AA52" s="66">
        <v>0</v>
      </c>
      <c r="AB52" s="66">
        <v>0</v>
      </c>
      <c r="AC52" s="66">
        <v>0</v>
      </c>
      <c r="AD52" s="67" t="s">
        <v>1230</v>
      </c>
      <c r="AE52" s="67" t="s">
        <v>1230</v>
      </c>
      <c r="AF52" s="67">
        <v>0</v>
      </c>
      <c r="AG52" s="187">
        <v>39.17545973</v>
      </c>
      <c r="AH52" s="67">
        <v>0</v>
      </c>
      <c r="AI52" s="66">
        <v>0</v>
      </c>
      <c r="AJ52" s="66">
        <v>0</v>
      </c>
      <c r="AK52" s="66">
        <v>0</v>
      </c>
      <c r="AL52" s="66">
        <v>0</v>
      </c>
      <c r="AM52" s="66">
        <v>0</v>
      </c>
      <c r="AN52" s="66">
        <v>0</v>
      </c>
      <c r="AO52" s="66">
        <v>192.38929327000002</v>
      </c>
      <c r="AP52" s="66">
        <v>0</v>
      </c>
      <c r="AQ52" s="66">
        <v>0</v>
      </c>
      <c r="AR52" s="66">
        <v>0</v>
      </c>
      <c r="AS52" s="66">
        <v>0</v>
      </c>
      <c r="AT52" s="67" t="s">
        <v>1230</v>
      </c>
      <c r="AU52" s="67" t="s">
        <v>1230</v>
      </c>
      <c r="AV52" s="67">
        <v>0</v>
      </c>
      <c r="AW52" s="187">
        <v>192.38929327000002</v>
      </c>
      <c r="AX52" s="67">
        <v>0</v>
      </c>
      <c r="AY52" s="66">
        <v>0</v>
      </c>
      <c r="AZ52" s="66">
        <v>0</v>
      </c>
      <c r="BA52" s="66">
        <v>0</v>
      </c>
      <c r="BB52" s="66">
        <v>0</v>
      </c>
      <c r="BC52" s="66">
        <v>0</v>
      </c>
      <c r="BD52" s="66">
        <v>0</v>
      </c>
      <c r="BE52" s="66">
        <v>6.3673626799999994</v>
      </c>
      <c r="BF52" s="66">
        <v>0</v>
      </c>
      <c r="BG52" s="66">
        <v>0</v>
      </c>
      <c r="BH52" s="66">
        <v>0</v>
      </c>
      <c r="BI52" s="66">
        <v>0</v>
      </c>
      <c r="BJ52" s="67" t="s">
        <v>1230</v>
      </c>
      <c r="BK52" s="67" t="s">
        <v>1230</v>
      </c>
      <c r="BL52" s="67">
        <v>0</v>
      </c>
      <c r="BM52" s="187">
        <v>6.3673626799999994</v>
      </c>
      <c r="BN52" s="67">
        <v>0</v>
      </c>
    </row>
    <row r="53" spans="1:66" ht="15.6" x14ac:dyDescent="0.3">
      <c r="A53" s="169">
        <v>41</v>
      </c>
      <c r="B53" s="205" t="s">
        <v>319</v>
      </c>
      <c r="C53" s="66">
        <v>0</v>
      </c>
      <c r="D53" s="66">
        <v>0</v>
      </c>
      <c r="E53" s="66">
        <v>0</v>
      </c>
      <c r="F53" s="66">
        <v>0</v>
      </c>
      <c r="G53" s="66">
        <v>0</v>
      </c>
      <c r="H53" s="66">
        <v>0</v>
      </c>
      <c r="I53" s="66">
        <v>0.10901269999999999</v>
      </c>
      <c r="J53" s="66">
        <v>0</v>
      </c>
      <c r="K53" s="66">
        <v>0</v>
      </c>
      <c r="L53" s="66">
        <v>0</v>
      </c>
      <c r="M53" s="66">
        <v>0</v>
      </c>
      <c r="N53" s="67" t="s">
        <v>1230</v>
      </c>
      <c r="O53" s="67" t="s">
        <v>1230</v>
      </c>
      <c r="P53" s="67">
        <v>0</v>
      </c>
      <c r="Q53" s="66">
        <v>0.10901269999999999</v>
      </c>
      <c r="R53" s="67">
        <v>0</v>
      </c>
      <c r="S53" s="66">
        <v>0</v>
      </c>
      <c r="T53" s="66">
        <v>0</v>
      </c>
      <c r="U53" s="66">
        <v>0</v>
      </c>
      <c r="V53" s="66">
        <v>0</v>
      </c>
      <c r="W53" s="66">
        <v>0</v>
      </c>
      <c r="X53" s="66">
        <v>0</v>
      </c>
      <c r="Y53" s="66">
        <v>0.10901269999999999</v>
      </c>
      <c r="Z53" s="66">
        <v>0</v>
      </c>
      <c r="AA53" s="66">
        <v>0</v>
      </c>
      <c r="AB53" s="66">
        <v>0</v>
      </c>
      <c r="AC53" s="66">
        <v>0</v>
      </c>
      <c r="AD53" s="67" t="s">
        <v>1230</v>
      </c>
      <c r="AE53" s="67" t="s">
        <v>1230</v>
      </c>
      <c r="AF53" s="67">
        <v>0</v>
      </c>
      <c r="AG53" s="187">
        <v>0.10901269999999999</v>
      </c>
      <c r="AH53" s="67">
        <v>0</v>
      </c>
      <c r="AI53" s="66">
        <v>0</v>
      </c>
      <c r="AJ53" s="66">
        <v>0</v>
      </c>
      <c r="AK53" s="66">
        <v>0</v>
      </c>
      <c r="AL53" s="66">
        <v>0</v>
      </c>
      <c r="AM53" s="66">
        <v>0</v>
      </c>
      <c r="AN53" s="66">
        <v>0</v>
      </c>
      <c r="AO53" s="66">
        <v>0</v>
      </c>
      <c r="AP53" s="66">
        <v>0</v>
      </c>
      <c r="AQ53" s="66">
        <v>0</v>
      </c>
      <c r="AR53" s="66">
        <v>0</v>
      </c>
      <c r="AS53" s="66">
        <v>0</v>
      </c>
      <c r="AT53" s="67" t="s">
        <v>1230</v>
      </c>
      <c r="AU53" s="67" t="s">
        <v>1230</v>
      </c>
      <c r="AV53" s="67">
        <v>0</v>
      </c>
      <c r="AW53" s="187">
        <v>0</v>
      </c>
      <c r="AX53" s="67">
        <v>0</v>
      </c>
      <c r="AY53" s="66">
        <v>0</v>
      </c>
      <c r="AZ53" s="66">
        <v>0</v>
      </c>
      <c r="BA53" s="66">
        <v>0</v>
      </c>
      <c r="BB53" s="66">
        <v>0</v>
      </c>
      <c r="BC53" s="66">
        <v>0</v>
      </c>
      <c r="BD53" s="66">
        <v>0</v>
      </c>
      <c r="BE53" s="66">
        <v>0</v>
      </c>
      <c r="BF53" s="66">
        <v>0</v>
      </c>
      <c r="BG53" s="66">
        <v>0</v>
      </c>
      <c r="BH53" s="66">
        <v>0</v>
      </c>
      <c r="BI53" s="66">
        <v>0</v>
      </c>
      <c r="BJ53" s="67" t="s">
        <v>1230</v>
      </c>
      <c r="BK53" s="67" t="s">
        <v>1230</v>
      </c>
      <c r="BL53" s="67">
        <v>0</v>
      </c>
      <c r="BM53" s="187">
        <v>0</v>
      </c>
      <c r="BN53" s="67">
        <v>0</v>
      </c>
    </row>
    <row r="54" spans="1:66" ht="15.6" x14ac:dyDescent="0.3">
      <c r="A54" s="208">
        <v>42</v>
      </c>
      <c r="B54" s="212" t="s">
        <v>109</v>
      </c>
      <c r="C54" s="61">
        <v>0</v>
      </c>
      <c r="D54" s="61">
        <v>0</v>
      </c>
      <c r="E54" s="61">
        <v>0</v>
      </c>
      <c r="F54" s="61">
        <v>0</v>
      </c>
      <c r="G54" s="61">
        <v>0</v>
      </c>
      <c r="H54" s="61">
        <v>0</v>
      </c>
      <c r="I54" s="61">
        <v>69.578342500000005</v>
      </c>
      <c r="J54" s="61">
        <v>0</v>
      </c>
      <c r="K54" s="61">
        <v>0</v>
      </c>
      <c r="L54" s="61">
        <v>0</v>
      </c>
      <c r="M54" s="61">
        <v>0</v>
      </c>
      <c r="N54" s="61" t="s">
        <v>1230</v>
      </c>
      <c r="O54" s="61" t="s">
        <v>1230</v>
      </c>
      <c r="P54" s="61">
        <v>0</v>
      </c>
      <c r="Q54" s="61">
        <v>69.562816479999995</v>
      </c>
      <c r="R54" s="61">
        <v>1.5526020000007357E-2</v>
      </c>
      <c r="S54" s="61">
        <v>0</v>
      </c>
      <c r="T54" s="61">
        <v>0</v>
      </c>
      <c r="U54" s="61">
        <v>0</v>
      </c>
      <c r="V54" s="61">
        <v>0</v>
      </c>
      <c r="W54" s="61">
        <v>0</v>
      </c>
      <c r="X54" s="61">
        <v>0</v>
      </c>
      <c r="Y54" s="61">
        <v>11.858309900000002</v>
      </c>
      <c r="Z54" s="61">
        <v>0</v>
      </c>
      <c r="AA54" s="61">
        <v>0</v>
      </c>
      <c r="AB54" s="61">
        <v>0</v>
      </c>
      <c r="AC54" s="61">
        <v>0</v>
      </c>
      <c r="AD54" s="61" t="s">
        <v>1230</v>
      </c>
      <c r="AE54" s="61" t="s">
        <v>1230</v>
      </c>
      <c r="AF54" s="61">
        <v>0</v>
      </c>
      <c r="AG54" s="61">
        <v>11.842783879999999</v>
      </c>
      <c r="AH54" s="61">
        <v>1.5526020000001139E-2</v>
      </c>
      <c r="AI54" s="61">
        <v>0</v>
      </c>
      <c r="AJ54" s="61">
        <v>0</v>
      </c>
      <c r="AK54" s="61">
        <v>0</v>
      </c>
      <c r="AL54" s="61">
        <v>0</v>
      </c>
      <c r="AM54" s="61">
        <v>0</v>
      </c>
      <c r="AN54" s="61">
        <v>0</v>
      </c>
      <c r="AO54" s="61">
        <v>7.8026499999999999</v>
      </c>
      <c r="AP54" s="61">
        <v>0</v>
      </c>
      <c r="AQ54" s="61">
        <v>0</v>
      </c>
      <c r="AR54" s="61">
        <v>0</v>
      </c>
      <c r="AS54" s="61">
        <v>0</v>
      </c>
      <c r="AT54" s="61" t="s">
        <v>1230</v>
      </c>
      <c r="AU54" s="61" t="s">
        <v>1230</v>
      </c>
      <c r="AV54" s="61">
        <v>0</v>
      </c>
      <c r="AW54" s="61">
        <v>7.8026499999999999</v>
      </c>
      <c r="AX54" s="61">
        <v>0</v>
      </c>
      <c r="AY54" s="61">
        <v>0</v>
      </c>
      <c r="AZ54" s="61">
        <v>0</v>
      </c>
      <c r="BA54" s="61">
        <v>0</v>
      </c>
      <c r="BB54" s="61">
        <v>0</v>
      </c>
      <c r="BC54" s="61">
        <v>0</v>
      </c>
      <c r="BD54" s="61">
        <v>0</v>
      </c>
      <c r="BE54" s="61">
        <v>49.917382600000003</v>
      </c>
      <c r="BF54" s="61">
        <v>0</v>
      </c>
      <c r="BG54" s="61">
        <v>0</v>
      </c>
      <c r="BH54" s="61">
        <v>0</v>
      </c>
      <c r="BI54" s="61">
        <v>0</v>
      </c>
      <c r="BJ54" s="61" t="s">
        <v>1230</v>
      </c>
      <c r="BK54" s="61" t="s">
        <v>1230</v>
      </c>
      <c r="BL54" s="61">
        <v>0</v>
      </c>
      <c r="BM54" s="61">
        <v>49.917382600000003</v>
      </c>
      <c r="BN54" s="61">
        <v>0</v>
      </c>
    </row>
    <row r="55" spans="1:66" ht="15.6" x14ac:dyDescent="0.3">
      <c r="A55" s="171">
        <v>43</v>
      </c>
      <c r="B55" s="211" t="s">
        <v>111</v>
      </c>
      <c r="C55" s="66">
        <v>0</v>
      </c>
      <c r="D55" s="66">
        <v>0</v>
      </c>
      <c r="E55" s="66">
        <v>0</v>
      </c>
      <c r="F55" s="66">
        <v>0</v>
      </c>
      <c r="G55" s="66">
        <v>0</v>
      </c>
      <c r="H55" s="66">
        <v>0</v>
      </c>
      <c r="I55" s="66">
        <v>0</v>
      </c>
      <c r="J55" s="66">
        <v>0</v>
      </c>
      <c r="K55" s="66">
        <v>0</v>
      </c>
      <c r="L55" s="66">
        <v>0</v>
      </c>
      <c r="M55" s="66">
        <v>0</v>
      </c>
      <c r="N55" s="67" t="s">
        <v>1230</v>
      </c>
      <c r="O55" s="67" t="s">
        <v>1230</v>
      </c>
      <c r="P55" s="67">
        <v>0</v>
      </c>
      <c r="Q55" s="66">
        <v>0</v>
      </c>
      <c r="R55" s="67">
        <v>0</v>
      </c>
      <c r="S55" s="66">
        <v>0</v>
      </c>
      <c r="T55" s="66">
        <v>0</v>
      </c>
      <c r="U55" s="66">
        <v>0</v>
      </c>
      <c r="V55" s="66">
        <v>0</v>
      </c>
      <c r="W55" s="66">
        <v>0</v>
      </c>
      <c r="X55" s="66">
        <v>0</v>
      </c>
      <c r="Y55" s="66">
        <v>0</v>
      </c>
      <c r="Z55" s="66">
        <v>0</v>
      </c>
      <c r="AA55" s="66">
        <v>0</v>
      </c>
      <c r="AB55" s="66">
        <v>0</v>
      </c>
      <c r="AC55" s="66">
        <v>0</v>
      </c>
      <c r="AD55" s="67" t="s">
        <v>1230</v>
      </c>
      <c r="AE55" s="67" t="s">
        <v>1230</v>
      </c>
      <c r="AF55" s="67">
        <v>0</v>
      </c>
      <c r="AG55" s="187">
        <v>0</v>
      </c>
      <c r="AH55" s="67">
        <v>0</v>
      </c>
      <c r="AI55" s="66">
        <v>0</v>
      </c>
      <c r="AJ55" s="66">
        <v>0</v>
      </c>
      <c r="AK55" s="66">
        <v>0</v>
      </c>
      <c r="AL55" s="66">
        <v>0</v>
      </c>
      <c r="AM55" s="66">
        <v>0</v>
      </c>
      <c r="AN55" s="66">
        <v>0</v>
      </c>
      <c r="AO55" s="66">
        <v>0</v>
      </c>
      <c r="AP55" s="66">
        <v>0</v>
      </c>
      <c r="AQ55" s="66">
        <v>0</v>
      </c>
      <c r="AR55" s="66">
        <v>0</v>
      </c>
      <c r="AS55" s="66">
        <v>0</v>
      </c>
      <c r="AT55" s="67" t="s">
        <v>1230</v>
      </c>
      <c r="AU55" s="67" t="s">
        <v>1230</v>
      </c>
      <c r="AV55" s="67">
        <v>0</v>
      </c>
      <c r="AW55" s="187">
        <v>0</v>
      </c>
      <c r="AX55" s="67">
        <v>0</v>
      </c>
      <c r="AY55" s="66">
        <v>0</v>
      </c>
      <c r="AZ55" s="66">
        <v>0</v>
      </c>
      <c r="BA55" s="66">
        <v>0</v>
      </c>
      <c r="BB55" s="66">
        <v>0</v>
      </c>
      <c r="BC55" s="66">
        <v>0</v>
      </c>
      <c r="BD55" s="66">
        <v>0</v>
      </c>
      <c r="BE55" s="66">
        <v>0</v>
      </c>
      <c r="BF55" s="66">
        <v>0</v>
      </c>
      <c r="BG55" s="66">
        <v>0</v>
      </c>
      <c r="BH55" s="66">
        <v>0</v>
      </c>
      <c r="BI55" s="66">
        <v>0</v>
      </c>
      <c r="BJ55" s="67" t="s">
        <v>1230</v>
      </c>
      <c r="BK55" s="67" t="s">
        <v>1230</v>
      </c>
      <c r="BL55" s="67">
        <v>0</v>
      </c>
      <c r="BM55" s="187">
        <v>0</v>
      </c>
      <c r="BN55" s="67">
        <v>0</v>
      </c>
    </row>
    <row r="56" spans="1:66" ht="15.6" x14ac:dyDescent="0.3">
      <c r="A56" s="171">
        <v>44</v>
      </c>
      <c r="B56" s="211" t="s">
        <v>113</v>
      </c>
      <c r="C56" s="66">
        <v>0</v>
      </c>
      <c r="D56" s="66">
        <v>0</v>
      </c>
      <c r="E56" s="66">
        <v>0</v>
      </c>
      <c r="F56" s="66">
        <v>0</v>
      </c>
      <c r="G56" s="66">
        <v>0</v>
      </c>
      <c r="H56" s="66">
        <v>0</v>
      </c>
      <c r="I56" s="66">
        <v>0.85079400000000005</v>
      </c>
      <c r="J56" s="66">
        <v>0</v>
      </c>
      <c r="K56" s="66">
        <v>0</v>
      </c>
      <c r="L56" s="66">
        <v>0</v>
      </c>
      <c r="M56" s="66">
        <v>0</v>
      </c>
      <c r="N56" s="67" t="s">
        <v>1230</v>
      </c>
      <c r="O56" s="67" t="s">
        <v>1230</v>
      </c>
      <c r="P56" s="67">
        <v>0</v>
      </c>
      <c r="Q56" s="66">
        <v>0.85079400000000005</v>
      </c>
      <c r="R56" s="67">
        <v>0</v>
      </c>
      <c r="S56" s="66">
        <v>0</v>
      </c>
      <c r="T56" s="66">
        <v>0</v>
      </c>
      <c r="U56" s="66">
        <v>0</v>
      </c>
      <c r="V56" s="66">
        <v>0</v>
      </c>
      <c r="W56" s="66">
        <v>0</v>
      </c>
      <c r="X56" s="66">
        <v>0</v>
      </c>
      <c r="Y56" s="66">
        <v>0.85079400000000005</v>
      </c>
      <c r="Z56" s="66">
        <v>0</v>
      </c>
      <c r="AA56" s="66">
        <v>0</v>
      </c>
      <c r="AB56" s="66">
        <v>0</v>
      </c>
      <c r="AC56" s="66">
        <v>0</v>
      </c>
      <c r="AD56" s="67" t="s">
        <v>1230</v>
      </c>
      <c r="AE56" s="67" t="s">
        <v>1230</v>
      </c>
      <c r="AF56" s="67">
        <v>0</v>
      </c>
      <c r="AG56" s="187">
        <v>0.85079400000000005</v>
      </c>
      <c r="AH56" s="67">
        <v>0</v>
      </c>
      <c r="AI56" s="66">
        <v>0</v>
      </c>
      <c r="AJ56" s="66">
        <v>0</v>
      </c>
      <c r="AK56" s="66">
        <v>0</v>
      </c>
      <c r="AL56" s="66">
        <v>0</v>
      </c>
      <c r="AM56" s="66">
        <v>0</v>
      </c>
      <c r="AN56" s="66">
        <v>0</v>
      </c>
      <c r="AO56" s="66">
        <v>0</v>
      </c>
      <c r="AP56" s="66">
        <v>0</v>
      </c>
      <c r="AQ56" s="66">
        <v>0</v>
      </c>
      <c r="AR56" s="66">
        <v>0</v>
      </c>
      <c r="AS56" s="66">
        <v>0</v>
      </c>
      <c r="AT56" s="67" t="s">
        <v>1230</v>
      </c>
      <c r="AU56" s="67" t="s">
        <v>1230</v>
      </c>
      <c r="AV56" s="67">
        <v>0</v>
      </c>
      <c r="AW56" s="187">
        <v>0</v>
      </c>
      <c r="AX56" s="67">
        <v>0</v>
      </c>
      <c r="AY56" s="66">
        <v>0</v>
      </c>
      <c r="AZ56" s="66">
        <v>0</v>
      </c>
      <c r="BA56" s="66">
        <v>0</v>
      </c>
      <c r="BB56" s="66">
        <v>0</v>
      </c>
      <c r="BC56" s="66">
        <v>0</v>
      </c>
      <c r="BD56" s="66">
        <v>0</v>
      </c>
      <c r="BE56" s="66">
        <v>0</v>
      </c>
      <c r="BF56" s="66">
        <v>0</v>
      </c>
      <c r="BG56" s="66">
        <v>0</v>
      </c>
      <c r="BH56" s="66">
        <v>0</v>
      </c>
      <c r="BI56" s="66">
        <v>0</v>
      </c>
      <c r="BJ56" s="67" t="s">
        <v>1230</v>
      </c>
      <c r="BK56" s="67" t="s">
        <v>1230</v>
      </c>
      <c r="BL56" s="67">
        <v>0</v>
      </c>
      <c r="BM56" s="187">
        <v>0</v>
      </c>
      <c r="BN56" s="67">
        <v>0</v>
      </c>
    </row>
    <row r="57" spans="1:66" ht="15.6" x14ac:dyDescent="0.3">
      <c r="A57" s="171">
        <v>45</v>
      </c>
      <c r="B57" s="211" t="s">
        <v>115</v>
      </c>
      <c r="C57" s="66">
        <v>0</v>
      </c>
      <c r="D57" s="66">
        <v>0</v>
      </c>
      <c r="E57" s="66">
        <v>0</v>
      </c>
      <c r="F57" s="66">
        <v>0</v>
      </c>
      <c r="G57" s="66">
        <v>0</v>
      </c>
      <c r="H57" s="66">
        <v>0</v>
      </c>
      <c r="I57" s="66">
        <v>2.2120832999999998</v>
      </c>
      <c r="J57" s="66">
        <v>0</v>
      </c>
      <c r="K57" s="66">
        <v>0</v>
      </c>
      <c r="L57" s="66">
        <v>0</v>
      </c>
      <c r="M57" s="66">
        <v>0</v>
      </c>
      <c r="N57" s="67" t="s">
        <v>1230</v>
      </c>
      <c r="O57" s="67" t="s">
        <v>1230</v>
      </c>
      <c r="P57" s="67">
        <v>0</v>
      </c>
      <c r="Q57" s="66">
        <v>2.2120832999999998</v>
      </c>
      <c r="R57" s="67">
        <v>0</v>
      </c>
      <c r="S57" s="66">
        <v>0</v>
      </c>
      <c r="T57" s="66">
        <v>0</v>
      </c>
      <c r="U57" s="66">
        <v>0</v>
      </c>
      <c r="V57" s="66">
        <v>0</v>
      </c>
      <c r="W57" s="66">
        <v>0</v>
      </c>
      <c r="X57" s="66">
        <v>0</v>
      </c>
      <c r="Y57" s="66">
        <v>2.2120832999999998</v>
      </c>
      <c r="Z57" s="66">
        <v>0</v>
      </c>
      <c r="AA57" s="66">
        <v>0</v>
      </c>
      <c r="AB57" s="66">
        <v>0</v>
      </c>
      <c r="AC57" s="66">
        <v>0</v>
      </c>
      <c r="AD57" s="67" t="s">
        <v>1230</v>
      </c>
      <c r="AE57" s="67" t="s">
        <v>1230</v>
      </c>
      <c r="AF57" s="67">
        <v>0</v>
      </c>
      <c r="AG57" s="187">
        <v>2.2120832999999998</v>
      </c>
      <c r="AH57" s="67">
        <v>0</v>
      </c>
      <c r="AI57" s="66">
        <v>0</v>
      </c>
      <c r="AJ57" s="66">
        <v>0</v>
      </c>
      <c r="AK57" s="66">
        <v>0</v>
      </c>
      <c r="AL57" s="66">
        <v>0</v>
      </c>
      <c r="AM57" s="66">
        <v>0</v>
      </c>
      <c r="AN57" s="66">
        <v>0</v>
      </c>
      <c r="AO57" s="66">
        <v>0</v>
      </c>
      <c r="AP57" s="66">
        <v>0</v>
      </c>
      <c r="AQ57" s="66">
        <v>0</v>
      </c>
      <c r="AR57" s="66">
        <v>0</v>
      </c>
      <c r="AS57" s="66">
        <v>0</v>
      </c>
      <c r="AT57" s="67" t="s">
        <v>1230</v>
      </c>
      <c r="AU57" s="67" t="s">
        <v>1230</v>
      </c>
      <c r="AV57" s="67">
        <v>0</v>
      </c>
      <c r="AW57" s="187">
        <v>0</v>
      </c>
      <c r="AX57" s="67">
        <v>0</v>
      </c>
      <c r="AY57" s="66">
        <v>0</v>
      </c>
      <c r="AZ57" s="66">
        <v>0</v>
      </c>
      <c r="BA57" s="66">
        <v>0</v>
      </c>
      <c r="BB57" s="66">
        <v>0</v>
      </c>
      <c r="BC57" s="66">
        <v>0</v>
      </c>
      <c r="BD57" s="66">
        <v>0</v>
      </c>
      <c r="BE57" s="66">
        <v>0</v>
      </c>
      <c r="BF57" s="66">
        <v>0</v>
      </c>
      <c r="BG57" s="66">
        <v>0</v>
      </c>
      <c r="BH57" s="66">
        <v>0</v>
      </c>
      <c r="BI57" s="66">
        <v>0</v>
      </c>
      <c r="BJ57" s="67" t="s">
        <v>1230</v>
      </c>
      <c r="BK57" s="67" t="s">
        <v>1230</v>
      </c>
      <c r="BL57" s="67">
        <v>0</v>
      </c>
      <c r="BM57" s="187">
        <v>0</v>
      </c>
      <c r="BN57" s="67">
        <v>0</v>
      </c>
    </row>
    <row r="58" spans="1:66" ht="15.6" x14ac:dyDescent="0.3">
      <c r="A58" s="171">
        <v>46</v>
      </c>
      <c r="B58" s="211" t="s">
        <v>117</v>
      </c>
      <c r="C58" s="66">
        <v>0</v>
      </c>
      <c r="D58" s="66">
        <v>0</v>
      </c>
      <c r="E58" s="66">
        <v>0</v>
      </c>
      <c r="F58" s="66">
        <v>0</v>
      </c>
      <c r="G58" s="66">
        <v>0</v>
      </c>
      <c r="H58" s="66">
        <v>0</v>
      </c>
      <c r="I58" s="66">
        <v>52.518962120000005</v>
      </c>
      <c r="J58" s="66">
        <v>0</v>
      </c>
      <c r="K58" s="66">
        <v>0</v>
      </c>
      <c r="L58" s="66">
        <v>0</v>
      </c>
      <c r="M58" s="66">
        <v>0</v>
      </c>
      <c r="N58" s="67" t="s">
        <v>1230</v>
      </c>
      <c r="O58" s="67" t="s">
        <v>1230</v>
      </c>
      <c r="P58" s="67">
        <v>0</v>
      </c>
      <c r="Q58" s="66">
        <v>52.518958259999998</v>
      </c>
      <c r="R58" s="67">
        <v>3.8600000067390283E-6</v>
      </c>
      <c r="S58" s="66">
        <v>0</v>
      </c>
      <c r="T58" s="66">
        <v>0</v>
      </c>
      <c r="U58" s="66">
        <v>0</v>
      </c>
      <c r="V58" s="66">
        <v>0</v>
      </c>
      <c r="W58" s="66">
        <v>0</v>
      </c>
      <c r="X58" s="66">
        <v>0</v>
      </c>
      <c r="Y58" s="66">
        <v>3.9189621200000002</v>
      </c>
      <c r="Z58" s="66">
        <v>0</v>
      </c>
      <c r="AA58" s="66">
        <v>0</v>
      </c>
      <c r="AB58" s="66">
        <v>0</v>
      </c>
      <c r="AC58" s="66">
        <v>0</v>
      </c>
      <c r="AD58" s="67" t="s">
        <v>1230</v>
      </c>
      <c r="AE58" s="67" t="s">
        <v>1230</v>
      </c>
      <c r="AF58" s="67">
        <v>0</v>
      </c>
      <c r="AG58" s="187">
        <v>3.9189582599999997</v>
      </c>
      <c r="AH58" s="67">
        <v>3.8600000005217794E-6</v>
      </c>
      <c r="AI58" s="66">
        <v>0</v>
      </c>
      <c r="AJ58" s="66">
        <v>0</v>
      </c>
      <c r="AK58" s="66">
        <v>0</v>
      </c>
      <c r="AL58" s="66">
        <v>0</v>
      </c>
      <c r="AM58" s="66">
        <v>0</v>
      </c>
      <c r="AN58" s="66">
        <v>0</v>
      </c>
      <c r="AO58" s="66">
        <v>0</v>
      </c>
      <c r="AP58" s="66">
        <v>0</v>
      </c>
      <c r="AQ58" s="66">
        <v>0</v>
      </c>
      <c r="AR58" s="66">
        <v>0</v>
      </c>
      <c r="AS58" s="66">
        <v>0</v>
      </c>
      <c r="AT58" s="67" t="s">
        <v>1230</v>
      </c>
      <c r="AU58" s="67" t="s">
        <v>1230</v>
      </c>
      <c r="AV58" s="67">
        <v>0</v>
      </c>
      <c r="AW58" s="187">
        <v>0</v>
      </c>
      <c r="AX58" s="67">
        <v>0</v>
      </c>
      <c r="AY58" s="66">
        <v>0</v>
      </c>
      <c r="AZ58" s="66">
        <v>0</v>
      </c>
      <c r="BA58" s="66">
        <v>0</v>
      </c>
      <c r="BB58" s="66">
        <v>0</v>
      </c>
      <c r="BC58" s="66">
        <v>0</v>
      </c>
      <c r="BD58" s="66">
        <v>0</v>
      </c>
      <c r="BE58" s="66">
        <v>48.6</v>
      </c>
      <c r="BF58" s="66">
        <v>0</v>
      </c>
      <c r="BG58" s="66">
        <v>0</v>
      </c>
      <c r="BH58" s="66">
        <v>0</v>
      </c>
      <c r="BI58" s="66">
        <v>0</v>
      </c>
      <c r="BJ58" s="67" t="s">
        <v>1230</v>
      </c>
      <c r="BK58" s="67" t="s">
        <v>1230</v>
      </c>
      <c r="BL58" s="67">
        <v>0</v>
      </c>
      <c r="BM58" s="187">
        <v>48.6</v>
      </c>
      <c r="BN58" s="67">
        <v>0</v>
      </c>
    </row>
    <row r="59" spans="1:66" ht="31.2" x14ac:dyDescent="0.3">
      <c r="A59" s="171">
        <v>47</v>
      </c>
      <c r="B59" s="211" t="s">
        <v>119</v>
      </c>
      <c r="C59" s="66">
        <v>0</v>
      </c>
      <c r="D59" s="66">
        <v>0</v>
      </c>
      <c r="E59" s="66">
        <v>0</v>
      </c>
      <c r="F59" s="66">
        <v>0</v>
      </c>
      <c r="G59" s="66">
        <v>0</v>
      </c>
      <c r="H59" s="66">
        <v>0</v>
      </c>
      <c r="I59" s="66">
        <v>0.27587600000000001</v>
      </c>
      <c r="J59" s="66">
        <v>0</v>
      </c>
      <c r="K59" s="66">
        <v>0</v>
      </c>
      <c r="L59" s="66">
        <v>0</v>
      </c>
      <c r="M59" s="66">
        <v>0</v>
      </c>
      <c r="N59" s="67" t="s">
        <v>1230</v>
      </c>
      <c r="O59" s="67" t="s">
        <v>1230</v>
      </c>
      <c r="P59" s="67">
        <v>0</v>
      </c>
      <c r="Q59" s="66">
        <v>0.27587600000000001</v>
      </c>
      <c r="R59" s="67">
        <v>0</v>
      </c>
      <c r="S59" s="66">
        <v>0</v>
      </c>
      <c r="T59" s="66">
        <v>0</v>
      </c>
      <c r="U59" s="66">
        <v>0</v>
      </c>
      <c r="V59" s="66">
        <v>0</v>
      </c>
      <c r="W59" s="66">
        <v>0</v>
      </c>
      <c r="X59" s="66">
        <v>0</v>
      </c>
      <c r="Y59" s="66">
        <v>0.27587600000000001</v>
      </c>
      <c r="Z59" s="66">
        <v>0</v>
      </c>
      <c r="AA59" s="66">
        <v>0</v>
      </c>
      <c r="AB59" s="66">
        <v>0</v>
      </c>
      <c r="AC59" s="66">
        <v>0</v>
      </c>
      <c r="AD59" s="67" t="s">
        <v>1230</v>
      </c>
      <c r="AE59" s="67" t="s">
        <v>1230</v>
      </c>
      <c r="AF59" s="67">
        <v>0</v>
      </c>
      <c r="AG59" s="187">
        <v>0.27587600000000001</v>
      </c>
      <c r="AH59" s="67">
        <v>0</v>
      </c>
      <c r="AI59" s="66">
        <v>0</v>
      </c>
      <c r="AJ59" s="66">
        <v>0</v>
      </c>
      <c r="AK59" s="66">
        <v>0</v>
      </c>
      <c r="AL59" s="66">
        <v>0</v>
      </c>
      <c r="AM59" s="66">
        <v>0</v>
      </c>
      <c r="AN59" s="66">
        <v>0</v>
      </c>
      <c r="AO59" s="66">
        <v>0</v>
      </c>
      <c r="AP59" s="66">
        <v>0</v>
      </c>
      <c r="AQ59" s="66">
        <v>0</v>
      </c>
      <c r="AR59" s="66">
        <v>0</v>
      </c>
      <c r="AS59" s="66">
        <v>0</v>
      </c>
      <c r="AT59" s="67" t="s">
        <v>1230</v>
      </c>
      <c r="AU59" s="67" t="s">
        <v>1230</v>
      </c>
      <c r="AV59" s="67">
        <v>0</v>
      </c>
      <c r="AW59" s="187">
        <v>0</v>
      </c>
      <c r="AX59" s="67">
        <v>0</v>
      </c>
      <c r="AY59" s="66">
        <v>0</v>
      </c>
      <c r="AZ59" s="66">
        <v>0</v>
      </c>
      <c r="BA59" s="66">
        <v>0</v>
      </c>
      <c r="BB59" s="66">
        <v>0</v>
      </c>
      <c r="BC59" s="66">
        <v>0</v>
      </c>
      <c r="BD59" s="66">
        <v>0</v>
      </c>
      <c r="BE59" s="66">
        <v>0</v>
      </c>
      <c r="BF59" s="66">
        <v>0</v>
      </c>
      <c r="BG59" s="66">
        <v>0</v>
      </c>
      <c r="BH59" s="66">
        <v>0</v>
      </c>
      <c r="BI59" s="66">
        <v>0</v>
      </c>
      <c r="BJ59" s="67" t="s">
        <v>1230</v>
      </c>
      <c r="BK59" s="67" t="s">
        <v>1230</v>
      </c>
      <c r="BL59" s="67">
        <v>0</v>
      </c>
      <c r="BM59" s="187">
        <v>0</v>
      </c>
      <c r="BN59" s="67">
        <v>0</v>
      </c>
    </row>
    <row r="60" spans="1:66" ht="15.6" x14ac:dyDescent="0.3">
      <c r="A60" s="169">
        <v>48</v>
      </c>
      <c r="B60" s="211" t="s">
        <v>122</v>
      </c>
      <c r="C60" s="66">
        <v>0</v>
      </c>
      <c r="D60" s="66">
        <v>0</v>
      </c>
      <c r="E60" s="66">
        <v>0</v>
      </c>
      <c r="F60" s="66">
        <v>0</v>
      </c>
      <c r="G60" s="66">
        <v>0</v>
      </c>
      <c r="H60" s="66">
        <v>0</v>
      </c>
      <c r="I60" s="66">
        <v>7.8026499999999999</v>
      </c>
      <c r="J60" s="66">
        <v>0</v>
      </c>
      <c r="K60" s="66">
        <v>0</v>
      </c>
      <c r="L60" s="66">
        <v>0</v>
      </c>
      <c r="M60" s="66">
        <v>0</v>
      </c>
      <c r="N60" s="67" t="s">
        <v>1230</v>
      </c>
      <c r="O60" s="67" t="s">
        <v>1230</v>
      </c>
      <c r="P60" s="67">
        <v>0</v>
      </c>
      <c r="Q60" s="66">
        <v>7.8026499999999999</v>
      </c>
      <c r="R60" s="67">
        <v>0</v>
      </c>
      <c r="S60" s="66">
        <v>0</v>
      </c>
      <c r="T60" s="66">
        <v>0</v>
      </c>
      <c r="U60" s="66">
        <v>0</v>
      </c>
      <c r="V60" s="66">
        <v>0</v>
      </c>
      <c r="W60" s="66">
        <v>0</v>
      </c>
      <c r="X60" s="66">
        <v>0</v>
      </c>
      <c r="Y60" s="66">
        <v>0</v>
      </c>
      <c r="Z60" s="66">
        <v>0</v>
      </c>
      <c r="AA60" s="66">
        <v>0</v>
      </c>
      <c r="AB60" s="66">
        <v>0</v>
      </c>
      <c r="AC60" s="66">
        <v>0</v>
      </c>
      <c r="AD60" s="67" t="s">
        <v>1230</v>
      </c>
      <c r="AE60" s="67" t="s">
        <v>1230</v>
      </c>
      <c r="AF60" s="67">
        <v>0</v>
      </c>
      <c r="AG60" s="187">
        <v>0</v>
      </c>
      <c r="AH60" s="67">
        <v>0</v>
      </c>
      <c r="AI60" s="66">
        <v>0</v>
      </c>
      <c r="AJ60" s="66">
        <v>0</v>
      </c>
      <c r="AK60" s="66">
        <v>0</v>
      </c>
      <c r="AL60" s="66">
        <v>0</v>
      </c>
      <c r="AM60" s="66">
        <v>0</v>
      </c>
      <c r="AN60" s="66">
        <v>0</v>
      </c>
      <c r="AO60" s="66">
        <v>7.8026499999999999</v>
      </c>
      <c r="AP60" s="66">
        <v>0</v>
      </c>
      <c r="AQ60" s="66">
        <v>0</v>
      </c>
      <c r="AR60" s="66">
        <v>0</v>
      </c>
      <c r="AS60" s="66">
        <v>0</v>
      </c>
      <c r="AT60" s="67" t="s">
        <v>1230</v>
      </c>
      <c r="AU60" s="67" t="s">
        <v>1230</v>
      </c>
      <c r="AV60" s="67">
        <v>0</v>
      </c>
      <c r="AW60" s="187">
        <v>7.8026499999999999</v>
      </c>
      <c r="AX60" s="67">
        <v>0</v>
      </c>
      <c r="AY60" s="66">
        <v>0</v>
      </c>
      <c r="AZ60" s="66">
        <v>0</v>
      </c>
      <c r="BA60" s="66">
        <v>0</v>
      </c>
      <c r="BB60" s="66">
        <v>0</v>
      </c>
      <c r="BC60" s="66">
        <v>0</v>
      </c>
      <c r="BD60" s="66">
        <v>0</v>
      </c>
      <c r="BE60" s="66">
        <v>0</v>
      </c>
      <c r="BF60" s="66">
        <v>0</v>
      </c>
      <c r="BG60" s="66">
        <v>0</v>
      </c>
      <c r="BH60" s="66">
        <v>0</v>
      </c>
      <c r="BI60" s="66">
        <v>0</v>
      </c>
      <c r="BJ60" s="67" t="s">
        <v>1230</v>
      </c>
      <c r="BK60" s="67" t="s">
        <v>1230</v>
      </c>
      <c r="BL60" s="67">
        <v>0</v>
      </c>
      <c r="BM60" s="187">
        <v>0</v>
      </c>
      <c r="BN60" s="67">
        <v>0</v>
      </c>
    </row>
    <row r="61" spans="1:66" ht="15.6" x14ac:dyDescent="0.3">
      <c r="A61" s="215">
        <v>49</v>
      </c>
      <c r="B61" s="211" t="s">
        <v>125</v>
      </c>
      <c r="C61" s="66">
        <v>0</v>
      </c>
      <c r="D61" s="66">
        <v>0</v>
      </c>
      <c r="E61" s="66">
        <v>0</v>
      </c>
      <c r="F61" s="66">
        <v>0</v>
      </c>
      <c r="G61" s="66">
        <v>0</v>
      </c>
      <c r="H61" s="66">
        <v>0</v>
      </c>
      <c r="I61" s="66">
        <v>5.9179770800000009</v>
      </c>
      <c r="J61" s="66">
        <v>0</v>
      </c>
      <c r="K61" s="66">
        <v>0</v>
      </c>
      <c r="L61" s="66">
        <v>0</v>
      </c>
      <c r="M61" s="66">
        <v>0</v>
      </c>
      <c r="N61" s="67" t="s">
        <v>1230</v>
      </c>
      <c r="O61" s="67" t="s">
        <v>1230</v>
      </c>
      <c r="P61" s="67">
        <v>0</v>
      </c>
      <c r="Q61" s="66">
        <v>5.9024549200000003</v>
      </c>
      <c r="R61" s="67">
        <v>1.5522160000000618E-2</v>
      </c>
      <c r="S61" s="66">
        <v>0</v>
      </c>
      <c r="T61" s="66">
        <v>0</v>
      </c>
      <c r="U61" s="66">
        <v>0</v>
      </c>
      <c r="V61" s="66">
        <v>0</v>
      </c>
      <c r="W61" s="66">
        <v>0</v>
      </c>
      <c r="X61" s="66">
        <v>0</v>
      </c>
      <c r="Y61" s="66">
        <v>4.6005944800000007</v>
      </c>
      <c r="Z61" s="66">
        <v>0</v>
      </c>
      <c r="AA61" s="66">
        <v>0</v>
      </c>
      <c r="AB61" s="66">
        <v>0</v>
      </c>
      <c r="AC61" s="66">
        <v>0</v>
      </c>
      <c r="AD61" s="67" t="s">
        <v>1230</v>
      </c>
      <c r="AE61" s="67" t="s">
        <v>1230</v>
      </c>
      <c r="AF61" s="67">
        <v>0</v>
      </c>
      <c r="AG61" s="187">
        <v>4.5850723200000001</v>
      </c>
      <c r="AH61" s="67">
        <v>1.5522160000000618E-2</v>
      </c>
      <c r="AI61" s="66">
        <v>0</v>
      </c>
      <c r="AJ61" s="66">
        <v>0</v>
      </c>
      <c r="AK61" s="66">
        <v>0</v>
      </c>
      <c r="AL61" s="66">
        <v>0</v>
      </c>
      <c r="AM61" s="66">
        <v>0</v>
      </c>
      <c r="AN61" s="66">
        <v>0</v>
      </c>
      <c r="AO61" s="66">
        <v>0</v>
      </c>
      <c r="AP61" s="66">
        <v>0</v>
      </c>
      <c r="AQ61" s="66">
        <v>0</v>
      </c>
      <c r="AR61" s="66">
        <v>0</v>
      </c>
      <c r="AS61" s="66">
        <v>0</v>
      </c>
      <c r="AT61" s="67" t="s">
        <v>1230</v>
      </c>
      <c r="AU61" s="67" t="s">
        <v>1230</v>
      </c>
      <c r="AV61" s="67">
        <v>0</v>
      </c>
      <c r="AW61" s="187">
        <v>0</v>
      </c>
      <c r="AX61" s="67">
        <v>0</v>
      </c>
      <c r="AY61" s="66">
        <v>0</v>
      </c>
      <c r="AZ61" s="66">
        <v>0</v>
      </c>
      <c r="BA61" s="66">
        <v>0</v>
      </c>
      <c r="BB61" s="66">
        <v>0</v>
      </c>
      <c r="BC61" s="66">
        <v>0</v>
      </c>
      <c r="BD61" s="66">
        <v>0</v>
      </c>
      <c r="BE61" s="66">
        <v>1.3173826000000002</v>
      </c>
      <c r="BF61" s="66">
        <v>0</v>
      </c>
      <c r="BG61" s="66">
        <v>0</v>
      </c>
      <c r="BH61" s="66">
        <v>0</v>
      </c>
      <c r="BI61" s="66">
        <v>0</v>
      </c>
      <c r="BJ61" s="67" t="s">
        <v>1230</v>
      </c>
      <c r="BK61" s="67" t="s">
        <v>1230</v>
      </c>
      <c r="BL61" s="67">
        <v>0</v>
      </c>
      <c r="BM61" s="187">
        <v>1.3173826000000002</v>
      </c>
      <c r="BN61" s="67">
        <v>0</v>
      </c>
    </row>
    <row r="62" spans="1:66" ht="15.6" x14ac:dyDescent="0.3">
      <c r="A62" s="202">
        <v>50</v>
      </c>
      <c r="B62" s="203" t="s">
        <v>128</v>
      </c>
      <c r="C62" s="61">
        <v>0</v>
      </c>
      <c r="D62" s="61">
        <v>0</v>
      </c>
      <c r="E62" s="61">
        <v>0</v>
      </c>
      <c r="F62" s="61">
        <v>0</v>
      </c>
      <c r="G62" s="61">
        <v>0</v>
      </c>
      <c r="H62" s="61">
        <v>0</v>
      </c>
      <c r="I62" s="61">
        <v>305.22150633000001</v>
      </c>
      <c r="J62" s="61">
        <v>0</v>
      </c>
      <c r="K62" s="61">
        <v>0</v>
      </c>
      <c r="L62" s="61">
        <v>0</v>
      </c>
      <c r="M62" s="61">
        <v>0</v>
      </c>
      <c r="N62" s="61" t="s">
        <v>1230</v>
      </c>
      <c r="O62" s="61" t="s">
        <v>1230</v>
      </c>
      <c r="P62" s="61">
        <v>0</v>
      </c>
      <c r="Q62" s="61">
        <v>304.49886162999996</v>
      </c>
      <c r="R62" s="61">
        <v>0.72264470000000303</v>
      </c>
      <c r="S62" s="61">
        <v>0</v>
      </c>
      <c r="T62" s="61">
        <v>0</v>
      </c>
      <c r="U62" s="61">
        <v>0</v>
      </c>
      <c r="V62" s="61">
        <v>0</v>
      </c>
      <c r="W62" s="61">
        <v>0</v>
      </c>
      <c r="X62" s="61">
        <v>0</v>
      </c>
      <c r="Y62" s="61">
        <v>67.027387239999996</v>
      </c>
      <c r="Z62" s="61">
        <v>0</v>
      </c>
      <c r="AA62" s="61">
        <v>0</v>
      </c>
      <c r="AB62" s="61">
        <v>0</v>
      </c>
      <c r="AC62" s="61">
        <v>0</v>
      </c>
      <c r="AD62" s="61" t="s">
        <v>1230</v>
      </c>
      <c r="AE62" s="61" t="s">
        <v>1230</v>
      </c>
      <c r="AF62" s="61">
        <v>0</v>
      </c>
      <c r="AG62" s="61">
        <v>66.304742539999992</v>
      </c>
      <c r="AH62" s="61">
        <v>0.72264470000000303</v>
      </c>
      <c r="AI62" s="61">
        <v>0</v>
      </c>
      <c r="AJ62" s="61">
        <v>0</v>
      </c>
      <c r="AK62" s="61">
        <v>0</v>
      </c>
      <c r="AL62" s="61">
        <v>0</v>
      </c>
      <c r="AM62" s="61">
        <v>0</v>
      </c>
      <c r="AN62" s="61">
        <v>0</v>
      </c>
      <c r="AO62" s="61">
        <v>0</v>
      </c>
      <c r="AP62" s="61">
        <v>0</v>
      </c>
      <c r="AQ62" s="61">
        <v>0</v>
      </c>
      <c r="AR62" s="61">
        <v>0</v>
      </c>
      <c r="AS62" s="61">
        <v>0</v>
      </c>
      <c r="AT62" s="61" t="s">
        <v>1230</v>
      </c>
      <c r="AU62" s="61" t="s">
        <v>1230</v>
      </c>
      <c r="AV62" s="61">
        <v>0</v>
      </c>
      <c r="AW62" s="61">
        <v>0</v>
      </c>
      <c r="AX62" s="61">
        <v>0</v>
      </c>
      <c r="AY62" s="61">
        <v>0</v>
      </c>
      <c r="AZ62" s="61">
        <v>0</v>
      </c>
      <c r="BA62" s="61">
        <v>0</v>
      </c>
      <c r="BB62" s="61">
        <v>0</v>
      </c>
      <c r="BC62" s="61">
        <v>0</v>
      </c>
      <c r="BD62" s="61">
        <v>0</v>
      </c>
      <c r="BE62" s="61">
        <v>238.19411908999999</v>
      </c>
      <c r="BF62" s="61">
        <v>0</v>
      </c>
      <c r="BG62" s="61">
        <v>0</v>
      </c>
      <c r="BH62" s="61">
        <v>0</v>
      </c>
      <c r="BI62" s="61">
        <v>0</v>
      </c>
      <c r="BJ62" s="61" t="s">
        <v>1230</v>
      </c>
      <c r="BK62" s="61" t="s">
        <v>1230</v>
      </c>
      <c r="BL62" s="61">
        <v>0</v>
      </c>
      <c r="BM62" s="61">
        <v>238.19411908999999</v>
      </c>
      <c r="BN62" s="61">
        <v>0</v>
      </c>
    </row>
    <row r="63" spans="1:66" ht="15.6" x14ac:dyDescent="0.3">
      <c r="A63" s="169">
        <v>51</v>
      </c>
      <c r="B63" s="205" t="s">
        <v>131</v>
      </c>
      <c r="C63" s="66">
        <v>0</v>
      </c>
      <c r="D63" s="66">
        <v>0</v>
      </c>
      <c r="E63" s="66">
        <v>0</v>
      </c>
      <c r="F63" s="66">
        <v>0</v>
      </c>
      <c r="G63" s="66">
        <v>0</v>
      </c>
      <c r="H63" s="66">
        <v>0</v>
      </c>
      <c r="I63" s="66">
        <v>85.470182499999993</v>
      </c>
      <c r="J63" s="66">
        <v>0</v>
      </c>
      <c r="K63" s="66">
        <v>0</v>
      </c>
      <c r="L63" s="66">
        <v>0</v>
      </c>
      <c r="M63" s="66">
        <v>0</v>
      </c>
      <c r="N63" s="67" t="s">
        <v>1230</v>
      </c>
      <c r="O63" s="67" t="s">
        <v>1230</v>
      </c>
      <c r="P63" s="67">
        <v>0</v>
      </c>
      <c r="Q63" s="66">
        <v>85.470182499999993</v>
      </c>
      <c r="R63" s="67">
        <v>0</v>
      </c>
      <c r="S63" s="66">
        <v>0</v>
      </c>
      <c r="T63" s="66">
        <v>0</v>
      </c>
      <c r="U63" s="66">
        <v>0</v>
      </c>
      <c r="V63" s="66">
        <v>0</v>
      </c>
      <c r="W63" s="66">
        <v>0</v>
      </c>
      <c r="X63" s="66">
        <v>0</v>
      </c>
      <c r="Y63" s="66">
        <v>33.004478329999998</v>
      </c>
      <c r="Z63" s="66">
        <v>0</v>
      </c>
      <c r="AA63" s="66">
        <v>0</v>
      </c>
      <c r="AB63" s="66">
        <v>0</v>
      </c>
      <c r="AC63" s="66">
        <v>0</v>
      </c>
      <c r="AD63" s="67" t="s">
        <v>1230</v>
      </c>
      <c r="AE63" s="67" t="s">
        <v>1230</v>
      </c>
      <c r="AF63" s="67">
        <v>0</v>
      </c>
      <c r="AG63" s="187">
        <v>33.004478329999998</v>
      </c>
      <c r="AH63" s="67">
        <v>0</v>
      </c>
      <c r="AI63" s="66">
        <v>0</v>
      </c>
      <c r="AJ63" s="66">
        <v>0</v>
      </c>
      <c r="AK63" s="66">
        <v>0</v>
      </c>
      <c r="AL63" s="66">
        <v>0</v>
      </c>
      <c r="AM63" s="66">
        <v>0</v>
      </c>
      <c r="AN63" s="66">
        <v>0</v>
      </c>
      <c r="AO63" s="66">
        <v>0</v>
      </c>
      <c r="AP63" s="66">
        <v>0</v>
      </c>
      <c r="AQ63" s="66">
        <v>0</v>
      </c>
      <c r="AR63" s="66">
        <v>0</v>
      </c>
      <c r="AS63" s="66">
        <v>0</v>
      </c>
      <c r="AT63" s="67" t="s">
        <v>1230</v>
      </c>
      <c r="AU63" s="67" t="s">
        <v>1230</v>
      </c>
      <c r="AV63" s="67">
        <v>0</v>
      </c>
      <c r="AW63" s="187">
        <v>0</v>
      </c>
      <c r="AX63" s="67">
        <v>0</v>
      </c>
      <c r="AY63" s="66">
        <v>0</v>
      </c>
      <c r="AZ63" s="66">
        <v>0</v>
      </c>
      <c r="BA63" s="66">
        <v>0</v>
      </c>
      <c r="BB63" s="66">
        <v>0</v>
      </c>
      <c r="BC63" s="66">
        <v>0</v>
      </c>
      <c r="BD63" s="66">
        <v>0</v>
      </c>
      <c r="BE63" s="66">
        <v>52.465704170000002</v>
      </c>
      <c r="BF63" s="66">
        <v>0</v>
      </c>
      <c r="BG63" s="66">
        <v>0</v>
      </c>
      <c r="BH63" s="66">
        <v>0</v>
      </c>
      <c r="BI63" s="66">
        <v>0</v>
      </c>
      <c r="BJ63" s="67" t="s">
        <v>1230</v>
      </c>
      <c r="BK63" s="67" t="s">
        <v>1230</v>
      </c>
      <c r="BL63" s="67">
        <v>0</v>
      </c>
      <c r="BM63" s="187">
        <v>52.465704170000002</v>
      </c>
      <c r="BN63" s="67">
        <v>0</v>
      </c>
    </row>
    <row r="64" spans="1:66" ht="15.6" x14ac:dyDescent="0.3">
      <c r="A64" s="169">
        <v>52</v>
      </c>
      <c r="B64" s="205" t="s">
        <v>134</v>
      </c>
      <c r="C64" s="66">
        <v>0</v>
      </c>
      <c r="D64" s="66">
        <v>0</v>
      </c>
      <c r="E64" s="66">
        <v>0</v>
      </c>
      <c r="F64" s="66">
        <v>0</v>
      </c>
      <c r="G64" s="66">
        <v>0</v>
      </c>
      <c r="H64" s="66">
        <v>0</v>
      </c>
      <c r="I64" s="66">
        <v>164.60971448000001</v>
      </c>
      <c r="J64" s="66">
        <v>0</v>
      </c>
      <c r="K64" s="66">
        <v>0</v>
      </c>
      <c r="L64" s="66">
        <v>0</v>
      </c>
      <c r="M64" s="66">
        <v>0</v>
      </c>
      <c r="N64" s="67" t="s">
        <v>1230</v>
      </c>
      <c r="O64" s="67" t="s">
        <v>1230</v>
      </c>
      <c r="P64" s="67">
        <v>0</v>
      </c>
      <c r="Q64" s="66">
        <v>164.60971448000001</v>
      </c>
      <c r="R64" s="67">
        <v>0</v>
      </c>
      <c r="S64" s="66">
        <v>0</v>
      </c>
      <c r="T64" s="66">
        <v>0</v>
      </c>
      <c r="U64" s="66">
        <v>0</v>
      </c>
      <c r="V64" s="66">
        <v>0</v>
      </c>
      <c r="W64" s="66">
        <v>0</v>
      </c>
      <c r="X64" s="66">
        <v>0</v>
      </c>
      <c r="Y64" s="66">
        <v>0.11191642</v>
      </c>
      <c r="Z64" s="66">
        <v>0</v>
      </c>
      <c r="AA64" s="66">
        <v>0</v>
      </c>
      <c r="AB64" s="66">
        <v>0</v>
      </c>
      <c r="AC64" s="66">
        <v>0</v>
      </c>
      <c r="AD64" s="67" t="s">
        <v>1230</v>
      </c>
      <c r="AE64" s="67" t="s">
        <v>1230</v>
      </c>
      <c r="AF64" s="67">
        <v>0</v>
      </c>
      <c r="AG64" s="187">
        <v>0.11191642</v>
      </c>
      <c r="AH64" s="67">
        <v>0</v>
      </c>
      <c r="AI64" s="66">
        <v>0</v>
      </c>
      <c r="AJ64" s="66">
        <v>0</v>
      </c>
      <c r="AK64" s="66">
        <v>0</v>
      </c>
      <c r="AL64" s="66">
        <v>0</v>
      </c>
      <c r="AM64" s="66">
        <v>0</v>
      </c>
      <c r="AN64" s="66">
        <v>0</v>
      </c>
      <c r="AO64" s="66">
        <v>0</v>
      </c>
      <c r="AP64" s="66">
        <v>0</v>
      </c>
      <c r="AQ64" s="66">
        <v>0</v>
      </c>
      <c r="AR64" s="66">
        <v>0</v>
      </c>
      <c r="AS64" s="66">
        <v>0</v>
      </c>
      <c r="AT64" s="67" t="s">
        <v>1230</v>
      </c>
      <c r="AU64" s="67" t="s">
        <v>1230</v>
      </c>
      <c r="AV64" s="67">
        <v>0</v>
      </c>
      <c r="AW64" s="187">
        <v>0</v>
      </c>
      <c r="AX64" s="67">
        <v>0</v>
      </c>
      <c r="AY64" s="66">
        <v>0</v>
      </c>
      <c r="AZ64" s="66">
        <v>0</v>
      </c>
      <c r="BA64" s="66">
        <v>0</v>
      </c>
      <c r="BB64" s="66">
        <v>0</v>
      </c>
      <c r="BC64" s="66">
        <v>0</v>
      </c>
      <c r="BD64" s="66">
        <v>0</v>
      </c>
      <c r="BE64" s="66">
        <v>164.49779806000001</v>
      </c>
      <c r="BF64" s="66">
        <v>0</v>
      </c>
      <c r="BG64" s="66">
        <v>0</v>
      </c>
      <c r="BH64" s="66">
        <v>0</v>
      </c>
      <c r="BI64" s="66">
        <v>0</v>
      </c>
      <c r="BJ64" s="67" t="s">
        <v>1230</v>
      </c>
      <c r="BK64" s="67" t="s">
        <v>1230</v>
      </c>
      <c r="BL64" s="67">
        <v>0</v>
      </c>
      <c r="BM64" s="187">
        <v>164.49779806000001</v>
      </c>
      <c r="BN64" s="67">
        <v>0</v>
      </c>
    </row>
    <row r="65" spans="1:66" ht="15.6" x14ac:dyDescent="0.3">
      <c r="A65" s="169">
        <v>53</v>
      </c>
      <c r="B65" s="205" t="s">
        <v>137</v>
      </c>
      <c r="C65" s="66">
        <v>0</v>
      </c>
      <c r="D65" s="66">
        <v>0</v>
      </c>
      <c r="E65" s="66">
        <v>0</v>
      </c>
      <c r="F65" s="66">
        <v>0</v>
      </c>
      <c r="G65" s="66">
        <v>0</v>
      </c>
      <c r="H65" s="66">
        <v>0</v>
      </c>
      <c r="I65" s="66">
        <v>7.5161438</v>
      </c>
      <c r="J65" s="66">
        <v>0</v>
      </c>
      <c r="K65" s="66">
        <v>0</v>
      </c>
      <c r="L65" s="66">
        <v>0</v>
      </c>
      <c r="M65" s="66">
        <v>0</v>
      </c>
      <c r="N65" s="67" t="s">
        <v>1230</v>
      </c>
      <c r="O65" s="67" t="s">
        <v>1230</v>
      </c>
      <c r="P65" s="67">
        <v>0</v>
      </c>
      <c r="Q65" s="66">
        <v>7.5161438</v>
      </c>
      <c r="R65" s="67">
        <v>0</v>
      </c>
      <c r="S65" s="66">
        <v>0</v>
      </c>
      <c r="T65" s="66">
        <v>0</v>
      </c>
      <c r="U65" s="66">
        <v>0</v>
      </c>
      <c r="V65" s="66">
        <v>0</v>
      </c>
      <c r="W65" s="66">
        <v>0</v>
      </c>
      <c r="X65" s="66">
        <v>0</v>
      </c>
      <c r="Y65" s="66">
        <v>0</v>
      </c>
      <c r="Z65" s="66">
        <v>0</v>
      </c>
      <c r="AA65" s="66">
        <v>0</v>
      </c>
      <c r="AB65" s="66">
        <v>0</v>
      </c>
      <c r="AC65" s="66">
        <v>0</v>
      </c>
      <c r="AD65" s="67" t="s">
        <v>1230</v>
      </c>
      <c r="AE65" s="67" t="s">
        <v>1230</v>
      </c>
      <c r="AF65" s="67">
        <v>0</v>
      </c>
      <c r="AG65" s="187">
        <v>0</v>
      </c>
      <c r="AH65" s="67">
        <v>0</v>
      </c>
      <c r="AI65" s="66">
        <v>0</v>
      </c>
      <c r="AJ65" s="66">
        <v>0</v>
      </c>
      <c r="AK65" s="66">
        <v>0</v>
      </c>
      <c r="AL65" s="66">
        <v>0</v>
      </c>
      <c r="AM65" s="66">
        <v>0</v>
      </c>
      <c r="AN65" s="66">
        <v>0</v>
      </c>
      <c r="AO65" s="66">
        <v>0</v>
      </c>
      <c r="AP65" s="66">
        <v>0</v>
      </c>
      <c r="AQ65" s="66">
        <v>0</v>
      </c>
      <c r="AR65" s="66">
        <v>0</v>
      </c>
      <c r="AS65" s="66">
        <v>0</v>
      </c>
      <c r="AT65" s="67" t="s">
        <v>1230</v>
      </c>
      <c r="AU65" s="67" t="s">
        <v>1230</v>
      </c>
      <c r="AV65" s="67">
        <v>0</v>
      </c>
      <c r="AW65" s="187">
        <v>0</v>
      </c>
      <c r="AX65" s="67">
        <v>0</v>
      </c>
      <c r="AY65" s="66">
        <v>0</v>
      </c>
      <c r="AZ65" s="66">
        <v>0</v>
      </c>
      <c r="BA65" s="66">
        <v>0</v>
      </c>
      <c r="BB65" s="66">
        <v>0</v>
      </c>
      <c r="BC65" s="66">
        <v>0</v>
      </c>
      <c r="BD65" s="66">
        <v>0</v>
      </c>
      <c r="BE65" s="66">
        <v>7.5161438</v>
      </c>
      <c r="BF65" s="66">
        <v>0</v>
      </c>
      <c r="BG65" s="66">
        <v>0</v>
      </c>
      <c r="BH65" s="66">
        <v>0</v>
      </c>
      <c r="BI65" s="66">
        <v>0</v>
      </c>
      <c r="BJ65" s="67" t="s">
        <v>1230</v>
      </c>
      <c r="BK65" s="67" t="s">
        <v>1230</v>
      </c>
      <c r="BL65" s="67">
        <v>0</v>
      </c>
      <c r="BM65" s="187">
        <v>7.5161438</v>
      </c>
      <c r="BN65" s="67">
        <v>0</v>
      </c>
    </row>
    <row r="66" spans="1:66" ht="15.6" x14ac:dyDescent="0.3">
      <c r="A66" s="169">
        <v>54</v>
      </c>
      <c r="B66" s="205" t="s">
        <v>140</v>
      </c>
      <c r="C66" s="66">
        <v>0</v>
      </c>
      <c r="D66" s="66">
        <v>0</v>
      </c>
      <c r="E66" s="66">
        <v>0</v>
      </c>
      <c r="F66" s="66">
        <v>0</v>
      </c>
      <c r="G66" s="66">
        <v>0</v>
      </c>
      <c r="H66" s="66">
        <v>0</v>
      </c>
      <c r="I66" s="66">
        <v>3.5000000000000001E-3</v>
      </c>
      <c r="J66" s="66">
        <v>0</v>
      </c>
      <c r="K66" s="66">
        <v>0</v>
      </c>
      <c r="L66" s="66">
        <v>0</v>
      </c>
      <c r="M66" s="66">
        <v>0</v>
      </c>
      <c r="N66" s="67" t="s">
        <v>1230</v>
      </c>
      <c r="O66" s="67" t="s">
        <v>1230</v>
      </c>
      <c r="P66" s="67">
        <v>0</v>
      </c>
      <c r="Q66" s="66">
        <v>3.5000000000000001E-3</v>
      </c>
      <c r="R66" s="67">
        <v>0</v>
      </c>
      <c r="S66" s="66">
        <v>0</v>
      </c>
      <c r="T66" s="66">
        <v>0</v>
      </c>
      <c r="U66" s="66">
        <v>0</v>
      </c>
      <c r="V66" s="66">
        <v>0</v>
      </c>
      <c r="W66" s="66">
        <v>0</v>
      </c>
      <c r="X66" s="66">
        <v>0</v>
      </c>
      <c r="Y66" s="66">
        <v>3.5000000000000001E-3</v>
      </c>
      <c r="Z66" s="66">
        <v>0</v>
      </c>
      <c r="AA66" s="66">
        <v>0</v>
      </c>
      <c r="AB66" s="66">
        <v>0</v>
      </c>
      <c r="AC66" s="66">
        <v>0</v>
      </c>
      <c r="AD66" s="67" t="s">
        <v>1230</v>
      </c>
      <c r="AE66" s="67" t="s">
        <v>1230</v>
      </c>
      <c r="AF66" s="67">
        <v>0</v>
      </c>
      <c r="AG66" s="187">
        <v>3.5000000000000001E-3</v>
      </c>
      <c r="AH66" s="67">
        <v>0</v>
      </c>
      <c r="AI66" s="66">
        <v>0</v>
      </c>
      <c r="AJ66" s="66">
        <v>0</v>
      </c>
      <c r="AK66" s="66">
        <v>0</v>
      </c>
      <c r="AL66" s="66">
        <v>0</v>
      </c>
      <c r="AM66" s="66">
        <v>0</v>
      </c>
      <c r="AN66" s="66">
        <v>0</v>
      </c>
      <c r="AO66" s="66">
        <v>0</v>
      </c>
      <c r="AP66" s="66">
        <v>0</v>
      </c>
      <c r="AQ66" s="66">
        <v>0</v>
      </c>
      <c r="AR66" s="66">
        <v>0</v>
      </c>
      <c r="AS66" s="66">
        <v>0</v>
      </c>
      <c r="AT66" s="67" t="s">
        <v>1230</v>
      </c>
      <c r="AU66" s="67" t="s">
        <v>1230</v>
      </c>
      <c r="AV66" s="67">
        <v>0</v>
      </c>
      <c r="AW66" s="187">
        <v>0</v>
      </c>
      <c r="AX66" s="67">
        <v>0</v>
      </c>
      <c r="AY66" s="66">
        <v>0</v>
      </c>
      <c r="AZ66" s="66">
        <v>0</v>
      </c>
      <c r="BA66" s="66">
        <v>0</v>
      </c>
      <c r="BB66" s="66">
        <v>0</v>
      </c>
      <c r="BC66" s="66">
        <v>0</v>
      </c>
      <c r="BD66" s="66">
        <v>0</v>
      </c>
      <c r="BE66" s="66">
        <v>0</v>
      </c>
      <c r="BF66" s="66">
        <v>0</v>
      </c>
      <c r="BG66" s="66">
        <v>0</v>
      </c>
      <c r="BH66" s="66">
        <v>0</v>
      </c>
      <c r="BI66" s="66">
        <v>0</v>
      </c>
      <c r="BJ66" s="67" t="s">
        <v>1230</v>
      </c>
      <c r="BK66" s="67" t="s">
        <v>1230</v>
      </c>
      <c r="BL66" s="67">
        <v>0</v>
      </c>
      <c r="BM66" s="187">
        <v>0</v>
      </c>
      <c r="BN66" s="67">
        <v>0</v>
      </c>
    </row>
    <row r="67" spans="1:66" ht="15.6" x14ac:dyDescent="0.3">
      <c r="A67" s="169">
        <v>55</v>
      </c>
      <c r="B67" s="205" t="s">
        <v>143</v>
      </c>
      <c r="C67" s="66">
        <v>0</v>
      </c>
      <c r="D67" s="66">
        <v>0</v>
      </c>
      <c r="E67" s="66">
        <v>0</v>
      </c>
      <c r="F67" s="66">
        <v>0</v>
      </c>
      <c r="G67" s="66">
        <v>0</v>
      </c>
      <c r="H67" s="66">
        <v>0</v>
      </c>
      <c r="I67" s="66">
        <v>5.8310000000000002E-3</v>
      </c>
      <c r="J67" s="66">
        <v>0</v>
      </c>
      <c r="K67" s="66">
        <v>0</v>
      </c>
      <c r="L67" s="66">
        <v>0</v>
      </c>
      <c r="M67" s="66">
        <v>0</v>
      </c>
      <c r="N67" s="67" t="s">
        <v>1230</v>
      </c>
      <c r="O67" s="67" t="s">
        <v>1230</v>
      </c>
      <c r="P67" s="67">
        <v>0</v>
      </c>
      <c r="Q67" s="66">
        <v>5.8310000000000002E-3</v>
      </c>
      <c r="R67" s="67">
        <v>0</v>
      </c>
      <c r="S67" s="66">
        <v>0</v>
      </c>
      <c r="T67" s="66">
        <v>0</v>
      </c>
      <c r="U67" s="66">
        <v>0</v>
      </c>
      <c r="V67" s="66">
        <v>0</v>
      </c>
      <c r="W67" s="66">
        <v>0</v>
      </c>
      <c r="X67" s="66">
        <v>0</v>
      </c>
      <c r="Y67" s="66">
        <v>0</v>
      </c>
      <c r="Z67" s="66">
        <v>0</v>
      </c>
      <c r="AA67" s="66">
        <v>0</v>
      </c>
      <c r="AB67" s="66">
        <v>0</v>
      </c>
      <c r="AC67" s="66">
        <v>0</v>
      </c>
      <c r="AD67" s="67" t="s">
        <v>1230</v>
      </c>
      <c r="AE67" s="67" t="s">
        <v>1230</v>
      </c>
      <c r="AF67" s="67">
        <v>0</v>
      </c>
      <c r="AG67" s="187">
        <v>0</v>
      </c>
      <c r="AH67" s="67">
        <v>0</v>
      </c>
      <c r="AI67" s="66">
        <v>0</v>
      </c>
      <c r="AJ67" s="66">
        <v>0</v>
      </c>
      <c r="AK67" s="66">
        <v>0</v>
      </c>
      <c r="AL67" s="66">
        <v>0</v>
      </c>
      <c r="AM67" s="66">
        <v>0</v>
      </c>
      <c r="AN67" s="66">
        <v>0</v>
      </c>
      <c r="AO67" s="66">
        <v>0</v>
      </c>
      <c r="AP67" s="66">
        <v>0</v>
      </c>
      <c r="AQ67" s="66">
        <v>0</v>
      </c>
      <c r="AR67" s="66">
        <v>0</v>
      </c>
      <c r="AS67" s="66">
        <v>0</v>
      </c>
      <c r="AT67" s="67" t="s">
        <v>1230</v>
      </c>
      <c r="AU67" s="67" t="s">
        <v>1230</v>
      </c>
      <c r="AV67" s="67">
        <v>0</v>
      </c>
      <c r="AW67" s="187">
        <v>0</v>
      </c>
      <c r="AX67" s="67">
        <v>0</v>
      </c>
      <c r="AY67" s="66">
        <v>0</v>
      </c>
      <c r="AZ67" s="66">
        <v>0</v>
      </c>
      <c r="BA67" s="66">
        <v>0</v>
      </c>
      <c r="BB67" s="66">
        <v>0</v>
      </c>
      <c r="BC67" s="66">
        <v>0</v>
      </c>
      <c r="BD67" s="66">
        <v>0</v>
      </c>
      <c r="BE67" s="66">
        <v>5.8310000000000002E-3</v>
      </c>
      <c r="BF67" s="66">
        <v>0</v>
      </c>
      <c r="BG67" s="66">
        <v>0</v>
      </c>
      <c r="BH67" s="66">
        <v>0</v>
      </c>
      <c r="BI67" s="66">
        <v>0</v>
      </c>
      <c r="BJ67" s="67" t="s">
        <v>1230</v>
      </c>
      <c r="BK67" s="67" t="s">
        <v>1230</v>
      </c>
      <c r="BL67" s="67">
        <v>0</v>
      </c>
      <c r="BM67" s="187">
        <v>5.8310000000000002E-3</v>
      </c>
      <c r="BN67" s="67">
        <v>0</v>
      </c>
    </row>
    <row r="68" spans="1:66" ht="15.6" x14ac:dyDescent="0.3">
      <c r="A68" s="169">
        <v>56</v>
      </c>
      <c r="B68" s="205" t="s">
        <v>146</v>
      </c>
      <c r="C68" s="66">
        <v>0</v>
      </c>
      <c r="D68" s="66">
        <v>0</v>
      </c>
      <c r="E68" s="66">
        <v>0</v>
      </c>
      <c r="F68" s="66">
        <v>0</v>
      </c>
      <c r="G68" s="66">
        <v>0</v>
      </c>
      <c r="H68" s="66">
        <v>0</v>
      </c>
      <c r="I68" s="66">
        <v>13.797546329999999</v>
      </c>
      <c r="J68" s="66">
        <v>0</v>
      </c>
      <c r="K68" s="66">
        <v>0</v>
      </c>
      <c r="L68" s="66">
        <v>0</v>
      </c>
      <c r="M68" s="66">
        <v>0</v>
      </c>
      <c r="N68" s="67" t="s">
        <v>1230</v>
      </c>
      <c r="O68" s="67" t="s">
        <v>1230</v>
      </c>
      <c r="P68" s="67">
        <v>0</v>
      </c>
      <c r="Q68" s="66">
        <v>13.797546329999999</v>
      </c>
      <c r="R68" s="67">
        <v>0</v>
      </c>
      <c r="S68" s="66">
        <v>0</v>
      </c>
      <c r="T68" s="66">
        <v>0</v>
      </c>
      <c r="U68" s="66">
        <v>0</v>
      </c>
      <c r="V68" s="66">
        <v>0</v>
      </c>
      <c r="W68" s="66">
        <v>0</v>
      </c>
      <c r="X68" s="66">
        <v>0</v>
      </c>
      <c r="Y68" s="66">
        <v>5.27033314</v>
      </c>
      <c r="Z68" s="66">
        <v>0</v>
      </c>
      <c r="AA68" s="66">
        <v>0</v>
      </c>
      <c r="AB68" s="66">
        <v>0</v>
      </c>
      <c r="AC68" s="66">
        <v>0</v>
      </c>
      <c r="AD68" s="67" t="s">
        <v>1230</v>
      </c>
      <c r="AE68" s="67" t="s">
        <v>1230</v>
      </c>
      <c r="AF68" s="67">
        <v>0</v>
      </c>
      <c r="AG68" s="187">
        <v>5.27033314</v>
      </c>
      <c r="AH68" s="67">
        <v>0</v>
      </c>
      <c r="AI68" s="66">
        <v>0</v>
      </c>
      <c r="AJ68" s="66">
        <v>0</v>
      </c>
      <c r="AK68" s="66">
        <v>0</v>
      </c>
      <c r="AL68" s="66">
        <v>0</v>
      </c>
      <c r="AM68" s="66">
        <v>0</v>
      </c>
      <c r="AN68" s="66">
        <v>0</v>
      </c>
      <c r="AO68" s="66">
        <v>0</v>
      </c>
      <c r="AP68" s="66">
        <v>0</v>
      </c>
      <c r="AQ68" s="66">
        <v>0</v>
      </c>
      <c r="AR68" s="66">
        <v>0</v>
      </c>
      <c r="AS68" s="66">
        <v>0</v>
      </c>
      <c r="AT68" s="67" t="s">
        <v>1230</v>
      </c>
      <c r="AU68" s="67" t="s">
        <v>1230</v>
      </c>
      <c r="AV68" s="67">
        <v>0</v>
      </c>
      <c r="AW68" s="187">
        <v>0</v>
      </c>
      <c r="AX68" s="67">
        <v>0</v>
      </c>
      <c r="AY68" s="66">
        <v>0</v>
      </c>
      <c r="AZ68" s="66">
        <v>0</v>
      </c>
      <c r="BA68" s="66">
        <v>0</v>
      </c>
      <c r="BB68" s="66">
        <v>0</v>
      </c>
      <c r="BC68" s="66">
        <v>0</v>
      </c>
      <c r="BD68" s="66">
        <v>0</v>
      </c>
      <c r="BE68" s="66">
        <v>8.5272131899999994</v>
      </c>
      <c r="BF68" s="66">
        <v>0</v>
      </c>
      <c r="BG68" s="66">
        <v>0</v>
      </c>
      <c r="BH68" s="66">
        <v>0</v>
      </c>
      <c r="BI68" s="66">
        <v>0</v>
      </c>
      <c r="BJ68" s="67" t="s">
        <v>1230</v>
      </c>
      <c r="BK68" s="67" t="s">
        <v>1230</v>
      </c>
      <c r="BL68" s="67">
        <v>0</v>
      </c>
      <c r="BM68" s="187">
        <v>8.5272131899999994</v>
      </c>
      <c r="BN68" s="67">
        <v>0</v>
      </c>
    </row>
    <row r="69" spans="1:66" ht="15.6" x14ac:dyDescent="0.3">
      <c r="A69" s="169">
        <v>57</v>
      </c>
      <c r="B69" s="205" t="s">
        <v>149</v>
      </c>
      <c r="C69" s="66">
        <v>0</v>
      </c>
      <c r="D69" s="66">
        <v>0</v>
      </c>
      <c r="E69" s="66">
        <v>0</v>
      </c>
      <c r="F69" s="66">
        <v>0</v>
      </c>
      <c r="G69" s="66">
        <v>0</v>
      </c>
      <c r="H69" s="66">
        <v>0</v>
      </c>
      <c r="I69" s="66">
        <v>1.3722744199999999</v>
      </c>
      <c r="J69" s="66">
        <v>0</v>
      </c>
      <c r="K69" s="66">
        <v>0</v>
      </c>
      <c r="L69" s="66">
        <v>0</v>
      </c>
      <c r="M69" s="66">
        <v>0</v>
      </c>
      <c r="N69" s="67" t="s">
        <v>1230</v>
      </c>
      <c r="O69" s="67" t="s">
        <v>1230</v>
      </c>
      <c r="P69" s="67">
        <v>0</v>
      </c>
      <c r="Q69" s="66">
        <v>0.96312326999999998</v>
      </c>
      <c r="R69" s="67">
        <v>0.40915114999999991</v>
      </c>
      <c r="S69" s="66">
        <v>0</v>
      </c>
      <c r="T69" s="66">
        <v>0</v>
      </c>
      <c r="U69" s="66">
        <v>0</v>
      </c>
      <c r="V69" s="66">
        <v>0</v>
      </c>
      <c r="W69" s="66">
        <v>0</v>
      </c>
      <c r="X69" s="66">
        <v>0</v>
      </c>
      <c r="Y69" s="66">
        <v>1.3722744199999999</v>
      </c>
      <c r="Z69" s="66">
        <v>0</v>
      </c>
      <c r="AA69" s="66">
        <v>0</v>
      </c>
      <c r="AB69" s="66">
        <v>0</v>
      </c>
      <c r="AC69" s="66">
        <v>0</v>
      </c>
      <c r="AD69" s="67" t="s">
        <v>1230</v>
      </c>
      <c r="AE69" s="67" t="s">
        <v>1230</v>
      </c>
      <c r="AF69" s="67">
        <v>0</v>
      </c>
      <c r="AG69" s="187">
        <v>0.96312326999999998</v>
      </c>
      <c r="AH69" s="67">
        <v>0.40915114999999991</v>
      </c>
      <c r="AI69" s="66">
        <v>0</v>
      </c>
      <c r="AJ69" s="66">
        <v>0</v>
      </c>
      <c r="AK69" s="66">
        <v>0</v>
      </c>
      <c r="AL69" s="66">
        <v>0</v>
      </c>
      <c r="AM69" s="66">
        <v>0</v>
      </c>
      <c r="AN69" s="66">
        <v>0</v>
      </c>
      <c r="AO69" s="66">
        <v>0</v>
      </c>
      <c r="AP69" s="66">
        <v>0</v>
      </c>
      <c r="AQ69" s="66">
        <v>0</v>
      </c>
      <c r="AR69" s="66">
        <v>0</v>
      </c>
      <c r="AS69" s="66">
        <v>0</v>
      </c>
      <c r="AT69" s="67" t="s">
        <v>1230</v>
      </c>
      <c r="AU69" s="67" t="s">
        <v>1230</v>
      </c>
      <c r="AV69" s="67">
        <v>0</v>
      </c>
      <c r="AW69" s="187">
        <v>0</v>
      </c>
      <c r="AX69" s="67">
        <v>0</v>
      </c>
      <c r="AY69" s="66">
        <v>0</v>
      </c>
      <c r="AZ69" s="66">
        <v>0</v>
      </c>
      <c r="BA69" s="66">
        <v>0</v>
      </c>
      <c r="BB69" s="66">
        <v>0</v>
      </c>
      <c r="BC69" s="66">
        <v>0</v>
      </c>
      <c r="BD69" s="66">
        <v>0</v>
      </c>
      <c r="BE69" s="66">
        <v>0</v>
      </c>
      <c r="BF69" s="66">
        <v>0</v>
      </c>
      <c r="BG69" s="66">
        <v>0</v>
      </c>
      <c r="BH69" s="66">
        <v>0</v>
      </c>
      <c r="BI69" s="66">
        <v>0</v>
      </c>
      <c r="BJ69" s="67" t="s">
        <v>1230</v>
      </c>
      <c r="BK69" s="67" t="s">
        <v>1230</v>
      </c>
      <c r="BL69" s="67">
        <v>0</v>
      </c>
      <c r="BM69" s="187">
        <v>0</v>
      </c>
      <c r="BN69" s="67">
        <v>0</v>
      </c>
    </row>
    <row r="70" spans="1:66" ht="15.6" x14ac:dyDescent="0.3">
      <c r="A70" s="169">
        <v>58</v>
      </c>
      <c r="B70" s="205" t="s">
        <v>152</v>
      </c>
      <c r="C70" s="66">
        <v>0</v>
      </c>
      <c r="D70" s="66">
        <v>0</v>
      </c>
      <c r="E70" s="66">
        <v>0</v>
      </c>
      <c r="F70" s="66">
        <v>0</v>
      </c>
      <c r="G70" s="66">
        <v>0</v>
      </c>
      <c r="H70" s="66">
        <v>0</v>
      </c>
      <c r="I70" s="66">
        <v>7.2286110000000015E-2</v>
      </c>
      <c r="J70" s="66">
        <v>0</v>
      </c>
      <c r="K70" s="66">
        <v>0</v>
      </c>
      <c r="L70" s="66">
        <v>0</v>
      </c>
      <c r="M70" s="66">
        <v>0</v>
      </c>
      <c r="N70" s="67" t="s">
        <v>1230</v>
      </c>
      <c r="O70" s="67" t="s">
        <v>1230</v>
      </c>
      <c r="P70" s="67">
        <v>0</v>
      </c>
      <c r="Q70" s="66">
        <v>7.2286110000000015E-2</v>
      </c>
      <c r="R70" s="67">
        <v>0</v>
      </c>
      <c r="S70" s="66">
        <v>0</v>
      </c>
      <c r="T70" s="66">
        <v>0</v>
      </c>
      <c r="U70" s="66">
        <v>0</v>
      </c>
      <c r="V70" s="66">
        <v>0</v>
      </c>
      <c r="W70" s="66">
        <v>0</v>
      </c>
      <c r="X70" s="66">
        <v>0</v>
      </c>
      <c r="Y70" s="66">
        <v>4.5202910000000006E-2</v>
      </c>
      <c r="Z70" s="66">
        <v>0</v>
      </c>
      <c r="AA70" s="66">
        <v>0</v>
      </c>
      <c r="AB70" s="66">
        <v>0</v>
      </c>
      <c r="AC70" s="66">
        <v>0</v>
      </c>
      <c r="AD70" s="67" t="s">
        <v>1230</v>
      </c>
      <c r="AE70" s="67" t="s">
        <v>1230</v>
      </c>
      <c r="AF70" s="67">
        <v>0</v>
      </c>
      <c r="AG70" s="187">
        <v>4.5202910000000006E-2</v>
      </c>
      <c r="AH70" s="67">
        <v>0</v>
      </c>
      <c r="AI70" s="66">
        <v>0</v>
      </c>
      <c r="AJ70" s="66">
        <v>0</v>
      </c>
      <c r="AK70" s="66">
        <v>0</v>
      </c>
      <c r="AL70" s="66">
        <v>0</v>
      </c>
      <c r="AM70" s="66">
        <v>0</v>
      </c>
      <c r="AN70" s="66">
        <v>0</v>
      </c>
      <c r="AO70" s="66">
        <v>0</v>
      </c>
      <c r="AP70" s="66">
        <v>0</v>
      </c>
      <c r="AQ70" s="66">
        <v>0</v>
      </c>
      <c r="AR70" s="66">
        <v>0</v>
      </c>
      <c r="AS70" s="66">
        <v>0</v>
      </c>
      <c r="AT70" s="67" t="s">
        <v>1230</v>
      </c>
      <c r="AU70" s="67" t="s">
        <v>1230</v>
      </c>
      <c r="AV70" s="67">
        <v>0</v>
      </c>
      <c r="AW70" s="187">
        <v>0</v>
      </c>
      <c r="AX70" s="67">
        <v>0</v>
      </c>
      <c r="AY70" s="66">
        <v>0</v>
      </c>
      <c r="AZ70" s="66">
        <v>0</v>
      </c>
      <c r="BA70" s="66">
        <v>0</v>
      </c>
      <c r="BB70" s="66">
        <v>0</v>
      </c>
      <c r="BC70" s="66">
        <v>0</v>
      </c>
      <c r="BD70" s="66">
        <v>0</v>
      </c>
      <c r="BE70" s="66">
        <v>2.7083200000000002E-2</v>
      </c>
      <c r="BF70" s="66">
        <v>0</v>
      </c>
      <c r="BG70" s="66">
        <v>0</v>
      </c>
      <c r="BH70" s="66">
        <v>0</v>
      </c>
      <c r="BI70" s="66">
        <v>0</v>
      </c>
      <c r="BJ70" s="67" t="s">
        <v>1230</v>
      </c>
      <c r="BK70" s="67" t="s">
        <v>1230</v>
      </c>
      <c r="BL70" s="67">
        <v>0</v>
      </c>
      <c r="BM70" s="187">
        <v>2.7083200000000002E-2</v>
      </c>
      <c r="BN70" s="67">
        <v>0</v>
      </c>
    </row>
    <row r="71" spans="1:66" ht="15.6" x14ac:dyDescent="0.3">
      <c r="A71" s="169">
        <v>59</v>
      </c>
      <c r="B71" s="205" t="s">
        <v>155</v>
      </c>
      <c r="C71" s="66">
        <v>0</v>
      </c>
      <c r="D71" s="66">
        <v>0</v>
      </c>
      <c r="E71" s="66">
        <v>0</v>
      </c>
      <c r="F71" s="66">
        <v>0</v>
      </c>
      <c r="G71" s="66">
        <v>0</v>
      </c>
      <c r="H71" s="66">
        <v>0</v>
      </c>
      <c r="I71" s="66">
        <v>4.0161612499999997</v>
      </c>
      <c r="J71" s="66">
        <v>0</v>
      </c>
      <c r="K71" s="66">
        <v>0</v>
      </c>
      <c r="L71" s="66">
        <v>0</v>
      </c>
      <c r="M71" s="66">
        <v>0</v>
      </c>
      <c r="N71" s="67" t="s">
        <v>1230</v>
      </c>
      <c r="O71" s="67" t="s">
        <v>1230</v>
      </c>
      <c r="P71" s="67">
        <v>0</v>
      </c>
      <c r="Q71" s="66">
        <v>4.0161612499999997</v>
      </c>
      <c r="R71" s="67">
        <v>0</v>
      </c>
      <c r="S71" s="66">
        <v>0</v>
      </c>
      <c r="T71" s="66">
        <v>0</v>
      </c>
      <c r="U71" s="66">
        <v>0</v>
      </c>
      <c r="V71" s="66">
        <v>0</v>
      </c>
      <c r="W71" s="66">
        <v>0</v>
      </c>
      <c r="X71" s="66">
        <v>0</v>
      </c>
      <c r="Y71" s="66">
        <v>0.17757435000000002</v>
      </c>
      <c r="Z71" s="66">
        <v>0</v>
      </c>
      <c r="AA71" s="66">
        <v>0</v>
      </c>
      <c r="AB71" s="66">
        <v>0</v>
      </c>
      <c r="AC71" s="66">
        <v>0</v>
      </c>
      <c r="AD71" s="67" t="s">
        <v>1230</v>
      </c>
      <c r="AE71" s="67" t="s">
        <v>1230</v>
      </c>
      <c r="AF71" s="67">
        <v>0</v>
      </c>
      <c r="AG71" s="187">
        <v>0.17757435000000002</v>
      </c>
      <c r="AH71" s="67">
        <v>0</v>
      </c>
      <c r="AI71" s="66">
        <v>0</v>
      </c>
      <c r="AJ71" s="66">
        <v>0</v>
      </c>
      <c r="AK71" s="66">
        <v>0</v>
      </c>
      <c r="AL71" s="66">
        <v>0</v>
      </c>
      <c r="AM71" s="66">
        <v>0</v>
      </c>
      <c r="AN71" s="66">
        <v>0</v>
      </c>
      <c r="AO71" s="66">
        <v>0</v>
      </c>
      <c r="AP71" s="66">
        <v>0</v>
      </c>
      <c r="AQ71" s="66">
        <v>0</v>
      </c>
      <c r="AR71" s="66">
        <v>0</v>
      </c>
      <c r="AS71" s="66">
        <v>0</v>
      </c>
      <c r="AT71" s="67" t="s">
        <v>1230</v>
      </c>
      <c r="AU71" s="67" t="s">
        <v>1230</v>
      </c>
      <c r="AV71" s="67">
        <v>0</v>
      </c>
      <c r="AW71" s="187">
        <v>0</v>
      </c>
      <c r="AX71" s="67">
        <v>0</v>
      </c>
      <c r="AY71" s="66">
        <v>0</v>
      </c>
      <c r="AZ71" s="66">
        <v>0</v>
      </c>
      <c r="BA71" s="66">
        <v>0</v>
      </c>
      <c r="BB71" s="66">
        <v>0</v>
      </c>
      <c r="BC71" s="66">
        <v>0</v>
      </c>
      <c r="BD71" s="66">
        <v>0</v>
      </c>
      <c r="BE71" s="66">
        <v>3.8385868999999997</v>
      </c>
      <c r="BF71" s="66">
        <v>0</v>
      </c>
      <c r="BG71" s="66">
        <v>0</v>
      </c>
      <c r="BH71" s="66">
        <v>0</v>
      </c>
      <c r="BI71" s="66">
        <v>0</v>
      </c>
      <c r="BJ71" s="67" t="s">
        <v>1230</v>
      </c>
      <c r="BK71" s="67" t="s">
        <v>1230</v>
      </c>
      <c r="BL71" s="67">
        <v>0</v>
      </c>
      <c r="BM71" s="187">
        <v>3.8385868999999997</v>
      </c>
      <c r="BN71" s="67">
        <v>0</v>
      </c>
    </row>
    <row r="72" spans="1:66" ht="15.6" x14ac:dyDescent="0.3">
      <c r="A72" s="169">
        <v>60</v>
      </c>
      <c r="B72" s="205" t="s">
        <v>158</v>
      </c>
      <c r="C72" s="66">
        <v>0</v>
      </c>
      <c r="D72" s="66">
        <v>0</v>
      </c>
      <c r="E72" s="66">
        <v>0</v>
      </c>
      <c r="F72" s="66">
        <v>0</v>
      </c>
      <c r="G72" s="66">
        <v>0</v>
      </c>
      <c r="H72" s="66">
        <v>0</v>
      </c>
      <c r="I72" s="66">
        <v>17.56300053</v>
      </c>
      <c r="J72" s="66">
        <v>0</v>
      </c>
      <c r="K72" s="66">
        <v>0</v>
      </c>
      <c r="L72" s="66">
        <v>0</v>
      </c>
      <c r="M72" s="66">
        <v>0</v>
      </c>
      <c r="N72" s="67" t="s">
        <v>1230</v>
      </c>
      <c r="O72" s="67" t="s">
        <v>1230</v>
      </c>
      <c r="P72" s="67">
        <v>0</v>
      </c>
      <c r="Q72" s="66">
        <v>17.537743929999998</v>
      </c>
      <c r="R72" s="67">
        <v>2.5256600000002294E-2</v>
      </c>
      <c r="S72" s="66">
        <v>0</v>
      </c>
      <c r="T72" s="66">
        <v>0</v>
      </c>
      <c r="U72" s="66">
        <v>0</v>
      </c>
      <c r="V72" s="66">
        <v>0</v>
      </c>
      <c r="W72" s="66">
        <v>0</v>
      </c>
      <c r="X72" s="66">
        <v>0</v>
      </c>
      <c r="Y72" s="66">
        <v>16.926559600000001</v>
      </c>
      <c r="Z72" s="66">
        <v>0</v>
      </c>
      <c r="AA72" s="66">
        <v>0</v>
      </c>
      <c r="AB72" s="66">
        <v>0</v>
      </c>
      <c r="AC72" s="66">
        <v>0</v>
      </c>
      <c r="AD72" s="67" t="s">
        <v>1230</v>
      </c>
      <c r="AE72" s="67" t="s">
        <v>1230</v>
      </c>
      <c r="AF72" s="67">
        <v>0</v>
      </c>
      <c r="AG72" s="187">
        <v>16.901302999999999</v>
      </c>
      <c r="AH72" s="67">
        <v>2.5256600000002294E-2</v>
      </c>
      <c r="AI72" s="66">
        <v>0</v>
      </c>
      <c r="AJ72" s="66">
        <v>0</v>
      </c>
      <c r="AK72" s="66">
        <v>0</v>
      </c>
      <c r="AL72" s="66">
        <v>0</v>
      </c>
      <c r="AM72" s="66">
        <v>0</v>
      </c>
      <c r="AN72" s="66">
        <v>0</v>
      </c>
      <c r="AO72" s="66">
        <v>0</v>
      </c>
      <c r="AP72" s="66">
        <v>0</v>
      </c>
      <c r="AQ72" s="66">
        <v>0</v>
      </c>
      <c r="AR72" s="66">
        <v>0</v>
      </c>
      <c r="AS72" s="66">
        <v>0</v>
      </c>
      <c r="AT72" s="67" t="s">
        <v>1230</v>
      </c>
      <c r="AU72" s="67" t="s">
        <v>1230</v>
      </c>
      <c r="AV72" s="67">
        <v>0</v>
      </c>
      <c r="AW72" s="187">
        <v>0</v>
      </c>
      <c r="AX72" s="67">
        <v>0</v>
      </c>
      <c r="AY72" s="66">
        <v>0</v>
      </c>
      <c r="AZ72" s="66">
        <v>0</v>
      </c>
      <c r="BA72" s="66">
        <v>0</v>
      </c>
      <c r="BB72" s="66">
        <v>0</v>
      </c>
      <c r="BC72" s="66">
        <v>0</v>
      </c>
      <c r="BD72" s="66">
        <v>0</v>
      </c>
      <c r="BE72" s="66">
        <v>0.63644093000000002</v>
      </c>
      <c r="BF72" s="66">
        <v>0</v>
      </c>
      <c r="BG72" s="66">
        <v>0</v>
      </c>
      <c r="BH72" s="66">
        <v>0</v>
      </c>
      <c r="BI72" s="66">
        <v>0</v>
      </c>
      <c r="BJ72" s="67" t="s">
        <v>1230</v>
      </c>
      <c r="BK72" s="67" t="s">
        <v>1230</v>
      </c>
      <c r="BL72" s="67">
        <v>0</v>
      </c>
      <c r="BM72" s="187">
        <v>0.63644093000000002</v>
      </c>
      <c r="BN72" s="67">
        <v>0</v>
      </c>
    </row>
    <row r="73" spans="1:66" ht="15.6" x14ac:dyDescent="0.3">
      <c r="A73" s="169">
        <v>61</v>
      </c>
      <c r="B73" s="205" t="s">
        <v>161</v>
      </c>
      <c r="C73" s="66">
        <v>0</v>
      </c>
      <c r="D73" s="66">
        <v>0</v>
      </c>
      <c r="E73" s="66">
        <v>0</v>
      </c>
      <c r="F73" s="66">
        <v>0</v>
      </c>
      <c r="G73" s="66">
        <v>0</v>
      </c>
      <c r="H73" s="66">
        <v>0</v>
      </c>
      <c r="I73" s="66">
        <v>0.4854</v>
      </c>
      <c r="J73" s="66">
        <v>0</v>
      </c>
      <c r="K73" s="66">
        <v>0</v>
      </c>
      <c r="L73" s="66">
        <v>0</v>
      </c>
      <c r="M73" s="66">
        <v>0</v>
      </c>
      <c r="N73" s="67" t="s">
        <v>1230</v>
      </c>
      <c r="O73" s="67" t="s">
        <v>1230</v>
      </c>
      <c r="P73" s="67">
        <v>0</v>
      </c>
      <c r="Q73" s="66">
        <v>0.4854</v>
      </c>
      <c r="R73" s="67">
        <v>0</v>
      </c>
      <c r="S73" s="66">
        <v>0</v>
      </c>
      <c r="T73" s="66">
        <v>0</v>
      </c>
      <c r="U73" s="66">
        <v>0</v>
      </c>
      <c r="V73" s="66">
        <v>0</v>
      </c>
      <c r="W73" s="66">
        <v>0</v>
      </c>
      <c r="X73" s="66">
        <v>0</v>
      </c>
      <c r="Y73" s="66">
        <v>0.4854</v>
      </c>
      <c r="Z73" s="66">
        <v>0</v>
      </c>
      <c r="AA73" s="66">
        <v>0</v>
      </c>
      <c r="AB73" s="66">
        <v>0</v>
      </c>
      <c r="AC73" s="66">
        <v>0</v>
      </c>
      <c r="AD73" s="67" t="s">
        <v>1230</v>
      </c>
      <c r="AE73" s="67" t="s">
        <v>1230</v>
      </c>
      <c r="AF73" s="67">
        <v>0</v>
      </c>
      <c r="AG73" s="187">
        <v>0.4854</v>
      </c>
      <c r="AH73" s="67">
        <v>0</v>
      </c>
      <c r="AI73" s="66">
        <v>0</v>
      </c>
      <c r="AJ73" s="66">
        <v>0</v>
      </c>
      <c r="AK73" s="66">
        <v>0</v>
      </c>
      <c r="AL73" s="66">
        <v>0</v>
      </c>
      <c r="AM73" s="66">
        <v>0</v>
      </c>
      <c r="AN73" s="66">
        <v>0</v>
      </c>
      <c r="AO73" s="66">
        <v>0</v>
      </c>
      <c r="AP73" s="66">
        <v>0</v>
      </c>
      <c r="AQ73" s="66">
        <v>0</v>
      </c>
      <c r="AR73" s="66">
        <v>0</v>
      </c>
      <c r="AS73" s="66">
        <v>0</v>
      </c>
      <c r="AT73" s="67" t="s">
        <v>1230</v>
      </c>
      <c r="AU73" s="67" t="s">
        <v>1230</v>
      </c>
      <c r="AV73" s="67">
        <v>0</v>
      </c>
      <c r="AW73" s="187">
        <v>0</v>
      </c>
      <c r="AX73" s="67">
        <v>0</v>
      </c>
      <c r="AY73" s="66">
        <v>0</v>
      </c>
      <c r="AZ73" s="66">
        <v>0</v>
      </c>
      <c r="BA73" s="66">
        <v>0</v>
      </c>
      <c r="BB73" s="66">
        <v>0</v>
      </c>
      <c r="BC73" s="66">
        <v>0</v>
      </c>
      <c r="BD73" s="66">
        <v>0</v>
      </c>
      <c r="BE73" s="66">
        <v>0</v>
      </c>
      <c r="BF73" s="66">
        <v>0</v>
      </c>
      <c r="BG73" s="66">
        <v>0</v>
      </c>
      <c r="BH73" s="66">
        <v>0</v>
      </c>
      <c r="BI73" s="66">
        <v>0</v>
      </c>
      <c r="BJ73" s="67" t="s">
        <v>1230</v>
      </c>
      <c r="BK73" s="67" t="s">
        <v>1230</v>
      </c>
      <c r="BL73" s="67">
        <v>0</v>
      </c>
      <c r="BM73" s="187">
        <v>0</v>
      </c>
      <c r="BN73" s="67">
        <v>0</v>
      </c>
    </row>
    <row r="74" spans="1:66" ht="15.6" x14ac:dyDescent="0.3">
      <c r="A74" s="169">
        <v>62</v>
      </c>
      <c r="B74" s="205" t="s">
        <v>164</v>
      </c>
      <c r="C74" s="66">
        <v>0</v>
      </c>
      <c r="D74" s="66">
        <v>0</v>
      </c>
      <c r="E74" s="66">
        <v>0</v>
      </c>
      <c r="F74" s="66">
        <v>0</v>
      </c>
      <c r="G74" s="66">
        <v>0</v>
      </c>
      <c r="H74" s="66">
        <v>0</v>
      </c>
      <c r="I74" s="66">
        <v>7.7942963300000008</v>
      </c>
      <c r="J74" s="66">
        <v>0</v>
      </c>
      <c r="K74" s="66">
        <v>0</v>
      </c>
      <c r="L74" s="66">
        <v>0</v>
      </c>
      <c r="M74" s="66">
        <v>0</v>
      </c>
      <c r="N74" s="67" t="s">
        <v>1230</v>
      </c>
      <c r="O74" s="67" t="s">
        <v>1230</v>
      </c>
      <c r="P74" s="67">
        <v>0</v>
      </c>
      <c r="Q74" s="66">
        <v>7.5060593799999999</v>
      </c>
      <c r="R74" s="67">
        <v>0.28823695000000082</v>
      </c>
      <c r="S74" s="66">
        <v>0</v>
      </c>
      <c r="T74" s="66">
        <v>0</v>
      </c>
      <c r="U74" s="66">
        <v>0</v>
      </c>
      <c r="V74" s="66">
        <v>0</v>
      </c>
      <c r="W74" s="66">
        <v>0</v>
      </c>
      <c r="X74" s="66">
        <v>0</v>
      </c>
      <c r="Y74" s="66">
        <v>7.3471823700000005</v>
      </c>
      <c r="Z74" s="66">
        <v>0</v>
      </c>
      <c r="AA74" s="66">
        <v>0</v>
      </c>
      <c r="AB74" s="66">
        <v>0</v>
      </c>
      <c r="AC74" s="66">
        <v>0</v>
      </c>
      <c r="AD74" s="67" t="s">
        <v>1230</v>
      </c>
      <c r="AE74" s="67" t="s">
        <v>1230</v>
      </c>
      <c r="AF74" s="67">
        <v>0</v>
      </c>
      <c r="AG74" s="187">
        <v>7.0589454199999997</v>
      </c>
      <c r="AH74" s="67">
        <v>0.28823695000000082</v>
      </c>
      <c r="AI74" s="66">
        <v>0</v>
      </c>
      <c r="AJ74" s="66">
        <v>0</v>
      </c>
      <c r="AK74" s="66">
        <v>0</v>
      </c>
      <c r="AL74" s="66">
        <v>0</v>
      </c>
      <c r="AM74" s="66">
        <v>0</v>
      </c>
      <c r="AN74" s="66">
        <v>0</v>
      </c>
      <c r="AO74" s="66">
        <v>0</v>
      </c>
      <c r="AP74" s="66">
        <v>0</v>
      </c>
      <c r="AQ74" s="66">
        <v>0</v>
      </c>
      <c r="AR74" s="66">
        <v>0</v>
      </c>
      <c r="AS74" s="66">
        <v>0</v>
      </c>
      <c r="AT74" s="67" t="s">
        <v>1230</v>
      </c>
      <c r="AU74" s="67" t="s">
        <v>1230</v>
      </c>
      <c r="AV74" s="67">
        <v>0</v>
      </c>
      <c r="AW74" s="187">
        <v>0</v>
      </c>
      <c r="AX74" s="67">
        <v>0</v>
      </c>
      <c r="AY74" s="66">
        <v>0</v>
      </c>
      <c r="AZ74" s="66">
        <v>0</v>
      </c>
      <c r="BA74" s="66">
        <v>0</v>
      </c>
      <c r="BB74" s="66">
        <v>0</v>
      </c>
      <c r="BC74" s="66">
        <v>0</v>
      </c>
      <c r="BD74" s="66">
        <v>0</v>
      </c>
      <c r="BE74" s="66">
        <v>0.44711396000000003</v>
      </c>
      <c r="BF74" s="66">
        <v>0</v>
      </c>
      <c r="BG74" s="66">
        <v>0</v>
      </c>
      <c r="BH74" s="66">
        <v>0</v>
      </c>
      <c r="BI74" s="66">
        <v>0</v>
      </c>
      <c r="BJ74" s="67" t="s">
        <v>1230</v>
      </c>
      <c r="BK74" s="67" t="s">
        <v>1230</v>
      </c>
      <c r="BL74" s="67">
        <v>0</v>
      </c>
      <c r="BM74" s="187">
        <v>0.44711396000000003</v>
      </c>
      <c r="BN74" s="67">
        <v>0</v>
      </c>
    </row>
    <row r="75" spans="1:66" ht="15.6" x14ac:dyDescent="0.3">
      <c r="A75" s="169">
        <v>63</v>
      </c>
      <c r="B75" s="205" t="s">
        <v>167</v>
      </c>
      <c r="C75" s="66">
        <v>0</v>
      </c>
      <c r="D75" s="66">
        <v>0</v>
      </c>
      <c r="E75" s="66">
        <v>0</v>
      </c>
      <c r="F75" s="66">
        <v>0</v>
      </c>
      <c r="G75" s="66">
        <v>0</v>
      </c>
      <c r="H75" s="66">
        <v>0</v>
      </c>
      <c r="I75" s="66">
        <v>2.5151695800000002</v>
      </c>
      <c r="J75" s="66">
        <v>0</v>
      </c>
      <c r="K75" s="66">
        <v>0</v>
      </c>
      <c r="L75" s="66">
        <v>0</v>
      </c>
      <c r="M75" s="66">
        <v>0</v>
      </c>
      <c r="N75" s="67" t="s">
        <v>1230</v>
      </c>
      <c r="O75" s="67" t="s">
        <v>1230</v>
      </c>
      <c r="P75" s="67">
        <v>0</v>
      </c>
      <c r="Q75" s="66">
        <v>2.5151695800000002</v>
      </c>
      <c r="R75" s="67">
        <v>0</v>
      </c>
      <c r="S75" s="66">
        <v>0</v>
      </c>
      <c r="T75" s="66">
        <v>0</v>
      </c>
      <c r="U75" s="66">
        <v>0</v>
      </c>
      <c r="V75" s="66">
        <v>0</v>
      </c>
      <c r="W75" s="66">
        <v>0</v>
      </c>
      <c r="X75" s="66">
        <v>0</v>
      </c>
      <c r="Y75" s="66">
        <v>2.2829657000000001</v>
      </c>
      <c r="Z75" s="66">
        <v>0</v>
      </c>
      <c r="AA75" s="66">
        <v>0</v>
      </c>
      <c r="AB75" s="66">
        <v>0</v>
      </c>
      <c r="AC75" s="66">
        <v>0</v>
      </c>
      <c r="AD75" s="67" t="s">
        <v>1230</v>
      </c>
      <c r="AE75" s="67" t="s">
        <v>1230</v>
      </c>
      <c r="AF75" s="67">
        <v>0</v>
      </c>
      <c r="AG75" s="187">
        <v>2.2829657000000001</v>
      </c>
      <c r="AH75" s="67">
        <v>0</v>
      </c>
      <c r="AI75" s="66">
        <v>0</v>
      </c>
      <c r="AJ75" s="66">
        <v>0</v>
      </c>
      <c r="AK75" s="66">
        <v>0</v>
      </c>
      <c r="AL75" s="66">
        <v>0</v>
      </c>
      <c r="AM75" s="66">
        <v>0</v>
      </c>
      <c r="AN75" s="66">
        <v>0</v>
      </c>
      <c r="AO75" s="66">
        <v>0</v>
      </c>
      <c r="AP75" s="66">
        <v>0</v>
      </c>
      <c r="AQ75" s="66">
        <v>0</v>
      </c>
      <c r="AR75" s="66">
        <v>0</v>
      </c>
      <c r="AS75" s="66">
        <v>0</v>
      </c>
      <c r="AT75" s="67" t="s">
        <v>1230</v>
      </c>
      <c r="AU75" s="67" t="s">
        <v>1230</v>
      </c>
      <c r="AV75" s="67">
        <v>0</v>
      </c>
      <c r="AW75" s="187">
        <v>0</v>
      </c>
      <c r="AX75" s="67">
        <v>0</v>
      </c>
      <c r="AY75" s="66">
        <v>0</v>
      </c>
      <c r="AZ75" s="66">
        <v>0</v>
      </c>
      <c r="BA75" s="66">
        <v>0</v>
      </c>
      <c r="BB75" s="66">
        <v>0</v>
      </c>
      <c r="BC75" s="66">
        <v>0</v>
      </c>
      <c r="BD75" s="66">
        <v>0</v>
      </c>
      <c r="BE75" s="66">
        <v>0.23220388</v>
      </c>
      <c r="BF75" s="66">
        <v>0</v>
      </c>
      <c r="BG75" s="66">
        <v>0</v>
      </c>
      <c r="BH75" s="66">
        <v>0</v>
      </c>
      <c r="BI75" s="66">
        <v>0</v>
      </c>
      <c r="BJ75" s="67" t="s">
        <v>1230</v>
      </c>
      <c r="BK75" s="67" t="s">
        <v>1230</v>
      </c>
      <c r="BL75" s="67">
        <v>0</v>
      </c>
      <c r="BM75" s="187">
        <v>0.23220388</v>
      </c>
      <c r="BN75" s="67">
        <v>0</v>
      </c>
    </row>
    <row r="76" spans="1:66" ht="15.6" x14ac:dyDescent="0.3">
      <c r="A76" s="215">
        <v>64</v>
      </c>
      <c r="B76" s="205" t="s">
        <v>170</v>
      </c>
      <c r="C76" s="66">
        <v>0</v>
      </c>
      <c r="D76" s="66">
        <v>0</v>
      </c>
      <c r="E76" s="66">
        <v>0</v>
      </c>
      <c r="F76" s="66">
        <v>0</v>
      </c>
      <c r="G76" s="66">
        <v>0</v>
      </c>
      <c r="H76" s="66">
        <v>0</v>
      </c>
      <c r="I76" s="66">
        <v>0</v>
      </c>
      <c r="J76" s="66">
        <v>0</v>
      </c>
      <c r="K76" s="66">
        <v>0</v>
      </c>
      <c r="L76" s="66">
        <v>0</v>
      </c>
      <c r="M76" s="66">
        <v>0</v>
      </c>
      <c r="N76" s="67" t="s">
        <v>1230</v>
      </c>
      <c r="O76" s="67" t="s">
        <v>1230</v>
      </c>
      <c r="P76" s="67">
        <v>0</v>
      </c>
      <c r="Q76" s="66">
        <v>0</v>
      </c>
      <c r="R76" s="67">
        <v>0</v>
      </c>
      <c r="S76" s="66">
        <v>0</v>
      </c>
      <c r="T76" s="66">
        <v>0</v>
      </c>
      <c r="U76" s="66">
        <v>0</v>
      </c>
      <c r="V76" s="66">
        <v>0</v>
      </c>
      <c r="W76" s="66">
        <v>0</v>
      </c>
      <c r="X76" s="66">
        <v>0</v>
      </c>
      <c r="Y76" s="66">
        <v>0</v>
      </c>
      <c r="Z76" s="66">
        <v>0</v>
      </c>
      <c r="AA76" s="66">
        <v>0</v>
      </c>
      <c r="AB76" s="66">
        <v>0</v>
      </c>
      <c r="AC76" s="66">
        <v>0</v>
      </c>
      <c r="AD76" s="67" t="s">
        <v>1230</v>
      </c>
      <c r="AE76" s="67" t="s">
        <v>1230</v>
      </c>
      <c r="AF76" s="67">
        <v>0</v>
      </c>
      <c r="AG76" s="187">
        <v>0</v>
      </c>
      <c r="AH76" s="67">
        <v>0</v>
      </c>
      <c r="AI76" s="66">
        <v>0</v>
      </c>
      <c r="AJ76" s="66">
        <v>0</v>
      </c>
      <c r="AK76" s="66">
        <v>0</v>
      </c>
      <c r="AL76" s="66">
        <v>0</v>
      </c>
      <c r="AM76" s="66">
        <v>0</v>
      </c>
      <c r="AN76" s="66">
        <v>0</v>
      </c>
      <c r="AO76" s="66">
        <v>0</v>
      </c>
      <c r="AP76" s="66">
        <v>0</v>
      </c>
      <c r="AQ76" s="66">
        <v>0</v>
      </c>
      <c r="AR76" s="66">
        <v>0</v>
      </c>
      <c r="AS76" s="66">
        <v>0</v>
      </c>
      <c r="AT76" s="67" t="s">
        <v>1230</v>
      </c>
      <c r="AU76" s="67" t="s">
        <v>1230</v>
      </c>
      <c r="AV76" s="67">
        <v>0</v>
      </c>
      <c r="AW76" s="187">
        <v>0</v>
      </c>
      <c r="AX76" s="67">
        <v>0</v>
      </c>
      <c r="AY76" s="66">
        <v>0</v>
      </c>
      <c r="AZ76" s="66">
        <v>0</v>
      </c>
      <c r="BA76" s="66">
        <v>0</v>
      </c>
      <c r="BB76" s="66">
        <v>0</v>
      </c>
      <c r="BC76" s="66">
        <v>0</v>
      </c>
      <c r="BD76" s="66">
        <v>0</v>
      </c>
      <c r="BE76" s="66">
        <v>0</v>
      </c>
      <c r="BF76" s="66">
        <v>0</v>
      </c>
      <c r="BG76" s="66">
        <v>0</v>
      </c>
      <c r="BH76" s="66">
        <v>0</v>
      </c>
      <c r="BI76" s="66">
        <v>0</v>
      </c>
      <c r="BJ76" s="67" t="s">
        <v>1230</v>
      </c>
      <c r="BK76" s="67" t="s">
        <v>1230</v>
      </c>
      <c r="BL76" s="67">
        <v>0</v>
      </c>
      <c r="BM76" s="187">
        <v>0</v>
      </c>
      <c r="BN76" s="67">
        <v>0</v>
      </c>
    </row>
    <row r="77" spans="1:66" ht="15.6" x14ac:dyDescent="0.3">
      <c r="A77" s="202">
        <v>65</v>
      </c>
      <c r="B77" s="203" t="s">
        <v>173</v>
      </c>
      <c r="C77" s="61">
        <v>0</v>
      </c>
      <c r="D77" s="61">
        <v>0</v>
      </c>
      <c r="E77" s="61">
        <v>0</v>
      </c>
      <c r="F77" s="61">
        <v>0</v>
      </c>
      <c r="G77" s="61">
        <v>0</v>
      </c>
      <c r="H77" s="61">
        <v>0</v>
      </c>
      <c r="I77" s="61">
        <v>9.6786804499999981</v>
      </c>
      <c r="J77" s="61">
        <v>0</v>
      </c>
      <c r="K77" s="61">
        <v>0</v>
      </c>
      <c r="L77" s="61">
        <v>0</v>
      </c>
      <c r="M77" s="61">
        <v>0</v>
      </c>
      <c r="N77" s="61" t="s">
        <v>1230</v>
      </c>
      <c r="O77" s="61" t="s">
        <v>1230</v>
      </c>
      <c r="P77" s="61">
        <v>0</v>
      </c>
      <c r="Q77" s="61">
        <v>9.6765626400000002</v>
      </c>
      <c r="R77" s="61">
        <v>2.1178099999987765E-3</v>
      </c>
      <c r="S77" s="61">
        <v>0</v>
      </c>
      <c r="T77" s="61">
        <v>0</v>
      </c>
      <c r="U77" s="61">
        <v>0</v>
      </c>
      <c r="V77" s="61">
        <v>0</v>
      </c>
      <c r="W77" s="61">
        <v>0</v>
      </c>
      <c r="X77" s="61">
        <v>0</v>
      </c>
      <c r="Y77" s="61">
        <v>9.6071548899999986</v>
      </c>
      <c r="Z77" s="61">
        <v>0</v>
      </c>
      <c r="AA77" s="61">
        <v>0</v>
      </c>
      <c r="AB77" s="61">
        <v>0</v>
      </c>
      <c r="AC77" s="61">
        <v>0</v>
      </c>
      <c r="AD77" s="61" t="s">
        <v>1230</v>
      </c>
      <c r="AE77" s="61" t="s">
        <v>1230</v>
      </c>
      <c r="AF77" s="61">
        <v>0</v>
      </c>
      <c r="AG77" s="61">
        <v>9.6050370800000007</v>
      </c>
      <c r="AH77" s="61">
        <v>2.1178099999987765E-3</v>
      </c>
      <c r="AI77" s="61">
        <v>0</v>
      </c>
      <c r="AJ77" s="61">
        <v>0</v>
      </c>
      <c r="AK77" s="61">
        <v>0</v>
      </c>
      <c r="AL77" s="61">
        <v>0</v>
      </c>
      <c r="AM77" s="61">
        <v>0</v>
      </c>
      <c r="AN77" s="61">
        <v>0</v>
      </c>
      <c r="AO77" s="61">
        <v>0</v>
      </c>
      <c r="AP77" s="61">
        <v>0</v>
      </c>
      <c r="AQ77" s="61">
        <v>0</v>
      </c>
      <c r="AR77" s="61">
        <v>0</v>
      </c>
      <c r="AS77" s="61">
        <v>0</v>
      </c>
      <c r="AT77" s="61" t="s">
        <v>1230</v>
      </c>
      <c r="AU77" s="61" t="s">
        <v>1230</v>
      </c>
      <c r="AV77" s="61">
        <v>0</v>
      </c>
      <c r="AW77" s="61">
        <v>0</v>
      </c>
      <c r="AX77" s="61">
        <v>0</v>
      </c>
      <c r="AY77" s="61">
        <v>0</v>
      </c>
      <c r="AZ77" s="61">
        <v>0</v>
      </c>
      <c r="BA77" s="61">
        <v>0</v>
      </c>
      <c r="BB77" s="61">
        <v>0</v>
      </c>
      <c r="BC77" s="61">
        <v>0</v>
      </c>
      <c r="BD77" s="61">
        <v>0</v>
      </c>
      <c r="BE77" s="61">
        <v>7.1525560000000002E-2</v>
      </c>
      <c r="BF77" s="61">
        <v>0</v>
      </c>
      <c r="BG77" s="61">
        <v>0</v>
      </c>
      <c r="BH77" s="61">
        <v>0</v>
      </c>
      <c r="BI77" s="61">
        <v>0</v>
      </c>
      <c r="BJ77" s="61" t="s">
        <v>1230</v>
      </c>
      <c r="BK77" s="61" t="s">
        <v>1230</v>
      </c>
      <c r="BL77" s="61">
        <v>0</v>
      </c>
      <c r="BM77" s="61">
        <v>7.1525560000000002E-2</v>
      </c>
      <c r="BN77" s="61">
        <v>0</v>
      </c>
    </row>
    <row r="78" spans="1:66" ht="15.6" x14ac:dyDescent="0.3">
      <c r="A78" s="169">
        <v>66</v>
      </c>
      <c r="B78" s="205" t="s">
        <v>176</v>
      </c>
      <c r="C78" s="66">
        <v>0</v>
      </c>
      <c r="D78" s="66">
        <v>0</v>
      </c>
      <c r="E78" s="66">
        <v>0</v>
      </c>
      <c r="F78" s="66">
        <v>0</v>
      </c>
      <c r="G78" s="66">
        <v>0</v>
      </c>
      <c r="H78" s="66">
        <v>0</v>
      </c>
      <c r="I78" s="66">
        <v>0.77409295999999994</v>
      </c>
      <c r="J78" s="66">
        <v>0</v>
      </c>
      <c r="K78" s="66">
        <v>0</v>
      </c>
      <c r="L78" s="66">
        <v>0</v>
      </c>
      <c r="M78" s="66">
        <v>0</v>
      </c>
      <c r="N78" s="67" t="s">
        <v>1230</v>
      </c>
      <c r="O78" s="67" t="s">
        <v>1230</v>
      </c>
      <c r="P78" s="67">
        <v>0</v>
      </c>
      <c r="Q78" s="66">
        <v>0.77409295999999994</v>
      </c>
      <c r="R78" s="67">
        <v>0</v>
      </c>
      <c r="S78" s="66">
        <v>0</v>
      </c>
      <c r="T78" s="66">
        <v>0</v>
      </c>
      <c r="U78" s="66">
        <v>0</v>
      </c>
      <c r="V78" s="66">
        <v>0</v>
      </c>
      <c r="W78" s="66">
        <v>0</v>
      </c>
      <c r="X78" s="66">
        <v>0</v>
      </c>
      <c r="Y78" s="66">
        <v>0.74780137999999996</v>
      </c>
      <c r="Z78" s="66">
        <v>0</v>
      </c>
      <c r="AA78" s="66">
        <v>0</v>
      </c>
      <c r="AB78" s="66">
        <v>0</v>
      </c>
      <c r="AC78" s="66">
        <v>0</v>
      </c>
      <c r="AD78" s="67" t="s">
        <v>1230</v>
      </c>
      <c r="AE78" s="67" t="s">
        <v>1230</v>
      </c>
      <c r="AF78" s="67">
        <v>0</v>
      </c>
      <c r="AG78" s="187">
        <v>0.74780137999999996</v>
      </c>
      <c r="AH78" s="67">
        <v>0</v>
      </c>
      <c r="AI78" s="66">
        <v>0</v>
      </c>
      <c r="AJ78" s="66">
        <v>0</v>
      </c>
      <c r="AK78" s="66">
        <v>0</v>
      </c>
      <c r="AL78" s="66">
        <v>0</v>
      </c>
      <c r="AM78" s="66">
        <v>0</v>
      </c>
      <c r="AN78" s="66">
        <v>0</v>
      </c>
      <c r="AO78" s="66">
        <v>0</v>
      </c>
      <c r="AP78" s="66">
        <v>0</v>
      </c>
      <c r="AQ78" s="66">
        <v>0</v>
      </c>
      <c r="AR78" s="66">
        <v>0</v>
      </c>
      <c r="AS78" s="66">
        <v>0</v>
      </c>
      <c r="AT78" s="67" t="s">
        <v>1230</v>
      </c>
      <c r="AU78" s="67" t="s">
        <v>1230</v>
      </c>
      <c r="AV78" s="67">
        <v>0</v>
      </c>
      <c r="AW78" s="187">
        <v>0</v>
      </c>
      <c r="AX78" s="67">
        <v>0</v>
      </c>
      <c r="AY78" s="66">
        <v>0</v>
      </c>
      <c r="AZ78" s="66">
        <v>0</v>
      </c>
      <c r="BA78" s="66">
        <v>0</v>
      </c>
      <c r="BB78" s="66">
        <v>0</v>
      </c>
      <c r="BC78" s="66">
        <v>0</v>
      </c>
      <c r="BD78" s="66">
        <v>0</v>
      </c>
      <c r="BE78" s="66">
        <v>2.6291580000000002E-2</v>
      </c>
      <c r="BF78" s="66">
        <v>0</v>
      </c>
      <c r="BG78" s="66">
        <v>0</v>
      </c>
      <c r="BH78" s="66">
        <v>0</v>
      </c>
      <c r="BI78" s="66">
        <v>0</v>
      </c>
      <c r="BJ78" s="67" t="s">
        <v>1230</v>
      </c>
      <c r="BK78" s="67" t="s">
        <v>1230</v>
      </c>
      <c r="BL78" s="67">
        <v>0</v>
      </c>
      <c r="BM78" s="187">
        <v>2.6291580000000002E-2</v>
      </c>
      <c r="BN78" s="67">
        <v>0</v>
      </c>
    </row>
    <row r="79" spans="1:66" ht="15.6" x14ac:dyDescent="0.3">
      <c r="A79" s="169">
        <v>67</v>
      </c>
      <c r="B79" s="205" t="s">
        <v>179</v>
      </c>
      <c r="C79" s="66">
        <v>0</v>
      </c>
      <c r="D79" s="66">
        <v>0</v>
      </c>
      <c r="E79" s="66">
        <v>0</v>
      </c>
      <c r="F79" s="66">
        <v>0</v>
      </c>
      <c r="G79" s="66">
        <v>0</v>
      </c>
      <c r="H79" s="66">
        <v>0</v>
      </c>
      <c r="I79" s="66">
        <v>0</v>
      </c>
      <c r="J79" s="66">
        <v>0</v>
      </c>
      <c r="K79" s="66">
        <v>0</v>
      </c>
      <c r="L79" s="66">
        <v>0</v>
      </c>
      <c r="M79" s="66">
        <v>0</v>
      </c>
      <c r="N79" s="67" t="s">
        <v>1230</v>
      </c>
      <c r="O79" s="67" t="s">
        <v>1230</v>
      </c>
      <c r="P79" s="67">
        <v>0</v>
      </c>
      <c r="Q79" s="66">
        <v>0</v>
      </c>
      <c r="R79" s="67">
        <v>0</v>
      </c>
      <c r="S79" s="66">
        <v>0</v>
      </c>
      <c r="T79" s="66">
        <v>0</v>
      </c>
      <c r="U79" s="66">
        <v>0</v>
      </c>
      <c r="V79" s="66">
        <v>0</v>
      </c>
      <c r="W79" s="66">
        <v>0</v>
      </c>
      <c r="X79" s="66">
        <v>0</v>
      </c>
      <c r="Y79" s="66">
        <v>0</v>
      </c>
      <c r="Z79" s="66">
        <v>0</v>
      </c>
      <c r="AA79" s="66">
        <v>0</v>
      </c>
      <c r="AB79" s="66">
        <v>0</v>
      </c>
      <c r="AC79" s="66">
        <v>0</v>
      </c>
      <c r="AD79" s="67" t="s">
        <v>1230</v>
      </c>
      <c r="AE79" s="67" t="s">
        <v>1230</v>
      </c>
      <c r="AF79" s="67">
        <v>0</v>
      </c>
      <c r="AG79" s="187">
        <v>0</v>
      </c>
      <c r="AH79" s="67">
        <v>0</v>
      </c>
      <c r="AI79" s="66">
        <v>0</v>
      </c>
      <c r="AJ79" s="66">
        <v>0</v>
      </c>
      <c r="AK79" s="66">
        <v>0</v>
      </c>
      <c r="AL79" s="66">
        <v>0</v>
      </c>
      <c r="AM79" s="66">
        <v>0</v>
      </c>
      <c r="AN79" s="66">
        <v>0</v>
      </c>
      <c r="AO79" s="66">
        <v>0</v>
      </c>
      <c r="AP79" s="66">
        <v>0</v>
      </c>
      <c r="AQ79" s="66">
        <v>0</v>
      </c>
      <c r="AR79" s="66">
        <v>0</v>
      </c>
      <c r="AS79" s="66">
        <v>0</v>
      </c>
      <c r="AT79" s="67" t="s">
        <v>1230</v>
      </c>
      <c r="AU79" s="67" t="s">
        <v>1230</v>
      </c>
      <c r="AV79" s="67">
        <v>0</v>
      </c>
      <c r="AW79" s="187">
        <v>0</v>
      </c>
      <c r="AX79" s="67">
        <v>0</v>
      </c>
      <c r="AY79" s="66">
        <v>0</v>
      </c>
      <c r="AZ79" s="66">
        <v>0</v>
      </c>
      <c r="BA79" s="66">
        <v>0</v>
      </c>
      <c r="BB79" s="66">
        <v>0</v>
      </c>
      <c r="BC79" s="66">
        <v>0</v>
      </c>
      <c r="BD79" s="66">
        <v>0</v>
      </c>
      <c r="BE79" s="66">
        <v>0</v>
      </c>
      <c r="BF79" s="66">
        <v>0</v>
      </c>
      <c r="BG79" s="66">
        <v>0</v>
      </c>
      <c r="BH79" s="66">
        <v>0</v>
      </c>
      <c r="BI79" s="66">
        <v>0</v>
      </c>
      <c r="BJ79" s="67" t="s">
        <v>1230</v>
      </c>
      <c r="BK79" s="67" t="s">
        <v>1230</v>
      </c>
      <c r="BL79" s="67">
        <v>0</v>
      </c>
      <c r="BM79" s="187">
        <v>0</v>
      </c>
      <c r="BN79" s="67">
        <v>0</v>
      </c>
    </row>
    <row r="80" spans="1:66" ht="15.6" x14ac:dyDescent="0.3">
      <c r="A80" s="169">
        <v>68</v>
      </c>
      <c r="B80" s="205" t="s">
        <v>182</v>
      </c>
      <c r="C80" s="66">
        <v>0</v>
      </c>
      <c r="D80" s="66">
        <v>0</v>
      </c>
      <c r="E80" s="66">
        <v>0</v>
      </c>
      <c r="F80" s="66">
        <v>0</v>
      </c>
      <c r="G80" s="66">
        <v>0</v>
      </c>
      <c r="H80" s="66">
        <v>0</v>
      </c>
      <c r="I80" s="66">
        <v>5.720905179999999</v>
      </c>
      <c r="J80" s="66">
        <v>0</v>
      </c>
      <c r="K80" s="66">
        <v>0</v>
      </c>
      <c r="L80" s="66">
        <v>0</v>
      </c>
      <c r="M80" s="66">
        <v>0</v>
      </c>
      <c r="N80" s="67" t="s">
        <v>1230</v>
      </c>
      <c r="O80" s="67" t="s">
        <v>1230</v>
      </c>
      <c r="P80" s="67">
        <v>0</v>
      </c>
      <c r="Q80" s="66">
        <v>5.7187873700000003</v>
      </c>
      <c r="R80" s="67">
        <v>2.1178099999987765E-3</v>
      </c>
      <c r="S80" s="66">
        <v>0</v>
      </c>
      <c r="T80" s="66">
        <v>0</v>
      </c>
      <c r="U80" s="66">
        <v>0</v>
      </c>
      <c r="V80" s="66">
        <v>0</v>
      </c>
      <c r="W80" s="66">
        <v>0</v>
      </c>
      <c r="X80" s="66">
        <v>0</v>
      </c>
      <c r="Y80" s="66">
        <v>5.7196470199999991</v>
      </c>
      <c r="Z80" s="66">
        <v>0</v>
      </c>
      <c r="AA80" s="66">
        <v>0</v>
      </c>
      <c r="AB80" s="66">
        <v>0</v>
      </c>
      <c r="AC80" s="66">
        <v>0</v>
      </c>
      <c r="AD80" s="67" t="s">
        <v>1230</v>
      </c>
      <c r="AE80" s="67" t="s">
        <v>1230</v>
      </c>
      <c r="AF80" s="67">
        <v>0</v>
      </c>
      <c r="AG80" s="187">
        <v>5.7175292100000004</v>
      </c>
      <c r="AH80" s="67">
        <v>2.1178099999987765E-3</v>
      </c>
      <c r="AI80" s="66">
        <v>0</v>
      </c>
      <c r="AJ80" s="66">
        <v>0</v>
      </c>
      <c r="AK80" s="66">
        <v>0</v>
      </c>
      <c r="AL80" s="66">
        <v>0</v>
      </c>
      <c r="AM80" s="66">
        <v>0</v>
      </c>
      <c r="AN80" s="66">
        <v>0</v>
      </c>
      <c r="AO80" s="66">
        <v>0</v>
      </c>
      <c r="AP80" s="66">
        <v>0</v>
      </c>
      <c r="AQ80" s="66">
        <v>0</v>
      </c>
      <c r="AR80" s="66">
        <v>0</v>
      </c>
      <c r="AS80" s="66">
        <v>0</v>
      </c>
      <c r="AT80" s="67" t="s">
        <v>1230</v>
      </c>
      <c r="AU80" s="67" t="s">
        <v>1230</v>
      </c>
      <c r="AV80" s="67">
        <v>0</v>
      </c>
      <c r="AW80" s="187">
        <v>0</v>
      </c>
      <c r="AX80" s="67">
        <v>0</v>
      </c>
      <c r="AY80" s="66">
        <v>0</v>
      </c>
      <c r="AZ80" s="66">
        <v>0</v>
      </c>
      <c r="BA80" s="66">
        <v>0</v>
      </c>
      <c r="BB80" s="66">
        <v>0</v>
      </c>
      <c r="BC80" s="66">
        <v>0</v>
      </c>
      <c r="BD80" s="66">
        <v>0</v>
      </c>
      <c r="BE80" s="66">
        <v>1.2581600000000001E-3</v>
      </c>
      <c r="BF80" s="66">
        <v>0</v>
      </c>
      <c r="BG80" s="66">
        <v>0</v>
      </c>
      <c r="BH80" s="66">
        <v>0</v>
      </c>
      <c r="BI80" s="66">
        <v>0</v>
      </c>
      <c r="BJ80" s="67" t="s">
        <v>1230</v>
      </c>
      <c r="BK80" s="67" t="s">
        <v>1230</v>
      </c>
      <c r="BL80" s="67">
        <v>0</v>
      </c>
      <c r="BM80" s="187">
        <v>1.2581600000000001E-3</v>
      </c>
      <c r="BN80" s="67">
        <v>0</v>
      </c>
    </row>
    <row r="81" spans="1:66" ht="31.2" x14ac:dyDescent="0.3">
      <c r="A81" s="169">
        <v>69</v>
      </c>
      <c r="B81" s="213" t="s">
        <v>300</v>
      </c>
      <c r="C81" s="66">
        <v>0</v>
      </c>
      <c r="D81" s="66">
        <v>0</v>
      </c>
      <c r="E81" s="66">
        <v>0</v>
      </c>
      <c r="F81" s="66">
        <v>0</v>
      </c>
      <c r="G81" s="66">
        <v>0</v>
      </c>
      <c r="H81" s="66">
        <v>0</v>
      </c>
      <c r="I81" s="66">
        <v>9.8880849999999992E-2</v>
      </c>
      <c r="J81" s="66">
        <v>0</v>
      </c>
      <c r="K81" s="66">
        <v>0</v>
      </c>
      <c r="L81" s="66">
        <v>0</v>
      </c>
      <c r="M81" s="66">
        <v>0</v>
      </c>
      <c r="N81" s="67" t="s">
        <v>1230</v>
      </c>
      <c r="O81" s="67" t="s">
        <v>1230</v>
      </c>
      <c r="P81" s="67">
        <v>0</v>
      </c>
      <c r="Q81" s="66">
        <v>9.8880849999999992E-2</v>
      </c>
      <c r="R81" s="67">
        <v>0</v>
      </c>
      <c r="S81" s="66">
        <v>0</v>
      </c>
      <c r="T81" s="66">
        <v>0</v>
      </c>
      <c r="U81" s="66">
        <v>0</v>
      </c>
      <c r="V81" s="66">
        <v>0</v>
      </c>
      <c r="W81" s="66">
        <v>0</v>
      </c>
      <c r="X81" s="66">
        <v>0</v>
      </c>
      <c r="Y81" s="66">
        <v>5.4905030000000001E-2</v>
      </c>
      <c r="Z81" s="66">
        <v>0</v>
      </c>
      <c r="AA81" s="66">
        <v>0</v>
      </c>
      <c r="AB81" s="66">
        <v>0</v>
      </c>
      <c r="AC81" s="66">
        <v>0</v>
      </c>
      <c r="AD81" s="67" t="s">
        <v>1230</v>
      </c>
      <c r="AE81" s="67" t="s">
        <v>1230</v>
      </c>
      <c r="AF81" s="67">
        <v>0</v>
      </c>
      <c r="AG81" s="187">
        <v>5.4905030000000001E-2</v>
      </c>
      <c r="AH81" s="67">
        <v>0</v>
      </c>
      <c r="AI81" s="66">
        <v>0</v>
      </c>
      <c r="AJ81" s="66">
        <v>0</v>
      </c>
      <c r="AK81" s="66">
        <v>0</v>
      </c>
      <c r="AL81" s="66">
        <v>0</v>
      </c>
      <c r="AM81" s="66">
        <v>0</v>
      </c>
      <c r="AN81" s="66">
        <v>0</v>
      </c>
      <c r="AO81" s="66">
        <v>0</v>
      </c>
      <c r="AP81" s="66">
        <v>0</v>
      </c>
      <c r="AQ81" s="66">
        <v>0</v>
      </c>
      <c r="AR81" s="66">
        <v>0</v>
      </c>
      <c r="AS81" s="66">
        <v>0</v>
      </c>
      <c r="AT81" s="67" t="s">
        <v>1230</v>
      </c>
      <c r="AU81" s="67" t="s">
        <v>1230</v>
      </c>
      <c r="AV81" s="67">
        <v>0</v>
      </c>
      <c r="AW81" s="187">
        <v>0</v>
      </c>
      <c r="AX81" s="67">
        <v>0</v>
      </c>
      <c r="AY81" s="66">
        <v>0</v>
      </c>
      <c r="AZ81" s="66">
        <v>0</v>
      </c>
      <c r="BA81" s="66">
        <v>0</v>
      </c>
      <c r="BB81" s="66">
        <v>0</v>
      </c>
      <c r="BC81" s="66">
        <v>0</v>
      </c>
      <c r="BD81" s="66">
        <v>0</v>
      </c>
      <c r="BE81" s="66">
        <v>4.3975819999999999E-2</v>
      </c>
      <c r="BF81" s="66">
        <v>0</v>
      </c>
      <c r="BG81" s="66">
        <v>0</v>
      </c>
      <c r="BH81" s="66">
        <v>0</v>
      </c>
      <c r="BI81" s="66">
        <v>0</v>
      </c>
      <c r="BJ81" s="67" t="s">
        <v>1230</v>
      </c>
      <c r="BK81" s="67" t="s">
        <v>1230</v>
      </c>
      <c r="BL81" s="67">
        <v>0</v>
      </c>
      <c r="BM81" s="187">
        <v>4.3975819999999999E-2</v>
      </c>
      <c r="BN81" s="67">
        <v>0</v>
      </c>
    </row>
    <row r="82" spans="1:66" ht="15.6" x14ac:dyDescent="0.3">
      <c r="A82" s="169">
        <v>70</v>
      </c>
      <c r="B82" s="213" t="s">
        <v>301</v>
      </c>
      <c r="C82" s="66">
        <v>0</v>
      </c>
      <c r="D82" s="66">
        <v>0</v>
      </c>
      <c r="E82" s="66">
        <v>0</v>
      </c>
      <c r="F82" s="66">
        <v>0</v>
      </c>
      <c r="G82" s="66">
        <v>0</v>
      </c>
      <c r="H82" s="66">
        <v>0</v>
      </c>
      <c r="I82" s="66">
        <v>0</v>
      </c>
      <c r="J82" s="66">
        <v>0</v>
      </c>
      <c r="K82" s="66">
        <v>0</v>
      </c>
      <c r="L82" s="66">
        <v>0</v>
      </c>
      <c r="M82" s="66">
        <v>0</v>
      </c>
      <c r="N82" s="67" t="s">
        <v>1230</v>
      </c>
      <c r="O82" s="67" t="s">
        <v>1230</v>
      </c>
      <c r="P82" s="67">
        <v>0</v>
      </c>
      <c r="Q82" s="66">
        <v>0</v>
      </c>
      <c r="R82" s="67">
        <v>0</v>
      </c>
      <c r="S82" s="66">
        <v>0</v>
      </c>
      <c r="T82" s="66">
        <v>0</v>
      </c>
      <c r="U82" s="66">
        <v>0</v>
      </c>
      <c r="V82" s="66">
        <v>0</v>
      </c>
      <c r="W82" s="66">
        <v>0</v>
      </c>
      <c r="X82" s="66">
        <v>0</v>
      </c>
      <c r="Y82" s="66">
        <v>0</v>
      </c>
      <c r="Z82" s="66">
        <v>0</v>
      </c>
      <c r="AA82" s="66">
        <v>0</v>
      </c>
      <c r="AB82" s="66">
        <v>0</v>
      </c>
      <c r="AC82" s="66">
        <v>0</v>
      </c>
      <c r="AD82" s="67" t="s">
        <v>1230</v>
      </c>
      <c r="AE82" s="67" t="s">
        <v>1230</v>
      </c>
      <c r="AF82" s="67">
        <v>0</v>
      </c>
      <c r="AG82" s="187">
        <v>0</v>
      </c>
      <c r="AH82" s="67">
        <v>0</v>
      </c>
      <c r="AI82" s="66">
        <v>0</v>
      </c>
      <c r="AJ82" s="66">
        <v>0</v>
      </c>
      <c r="AK82" s="66">
        <v>0</v>
      </c>
      <c r="AL82" s="66">
        <v>0</v>
      </c>
      <c r="AM82" s="66">
        <v>0</v>
      </c>
      <c r="AN82" s="66">
        <v>0</v>
      </c>
      <c r="AO82" s="66">
        <v>0</v>
      </c>
      <c r="AP82" s="66">
        <v>0</v>
      </c>
      <c r="AQ82" s="66">
        <v>0</v>
      </c>
      <c r="AR82" s="66">
        <v>0</v>
      </c>
      <c r="AS82" s="66">
        <v>0</v>
      </c>
      <c r="AT82" s="67" t="s">
        <v>1230</v>
      </c>
      <c r="AU82" s="67" t="s">
        <v>1230</v>
      </c>
      <c r="AV82" s="67">
        <v>0</v>
      </c>
      <c r="AW82" s="187">
        <v>0</v>
      </c>
      <c r="AX82" s="67">
        <v>0</v>
      </c>
      <c r="AY82" s="66">
        <v>0</v>
      </c>
      <c r="AZ82" s="66">
        <v>0</v>
      </c>
      <c r="BA82" s="66">
        <v>0</v>
      </c>
      <c r="BB82" s="66">
        <v>0</v>
      </c>
      <c r="BC82" s="66">
        <v>0</v>
      </c>
      <c r="BD82" s="66">
        <v>0</v>
      </c>
      <c r="BE82" s="66">
        <v>0</v>
      </c>
      <c r="BF82" s="66">
        <v>0</v>
      </c>
      <c r="BG82" s="66">
        <v>0</v>
      </c>
      <c r="BH82" s="66">
        <v>0</v>
      </c>
      <c r="BI82" s="66">
        <v>0</v>
      </c>
      <c r="BJ82" s="67" t="s">
        <v>1230</v>
      </c>
      <c r="BK82" s="67" t="s">
        <v>1230</v>
      </c>
      <c r="BL82" s="67">
        <v>0</v>
      </c>
      <c r="BM82" s="187">
        <v>0</v>
      </c>
      <c r="BN82" s="67">
        <v>0</v>
      </c>
    </row>
    <row r="83" spans="1:66" ht="15.6" x14ac:dyDescent="0.3">
      <c r="A83" s="215">
        <v>71</v>
      </c>
      <c r="B83" s="205" t="s">
        <v>189</v>
      </c>
      <c r="C83" s="66">
        <v>0</v>
      </c>
      <c r="D83" s="66">
        <v>0</v>
      </c>
      <c r="E83" s="66">
        <v>0</v>
      </c>
      <c r="F83" s="66">
        <v>0</v>
      </c>
      <c r="G83" s="66">
        <v>0</v>
      </c>
      <c r="H83" s="66">
        <v>0</v>
      </c>
      <c r="I83" s="66">
        <v>3.08480146</v>
      </c>
      <c r="J83" s="66">
        <v>0</v>
      </c>
      <c r="K83" s="66">
        <v>0</v>
      </c>
      <c r="L83" s="66">
        <v>0</v>
      </c>
      <c r="M83" s="66">
        <v>0</v>
      </c>
      <c r="N83" s="67" t="s">
        <v>1230</v>
      </c>
      <c r="O83" s="67" t="s">
        <v>1230</v>
      </c>
      <c r="P83" s="67">
        <v>0</v>
      </c>
      <c r="Q83" s="66">
        <v>3.08480146</v>
      </c>
      <c r="R83" s="67">
        <v>0</v>
      </c>
      <c r="S83" s="66">
        <v>0</v>
      </c>
      <c r="T83" s="66">
        <v>0</v>
      </c>
      <c r="U83" s="66">
        <v>0</v>
      </c>
      <c r="V83" s="66">
        <v>0</v>
      </c>
      <c r="W83" s="66">
        <v>0</v>
      </c>
      <c r="X83" s="66">
        <v>0</v>
      </c>
      <c r="Y83" s="66">
        <v>3.08480146</v>
      </c>
      <c r="Z83" s="66">
        <v>0</v>
      </c>
      <c r="AA83" s="66">
        <v>0</v>
      </c>
      <c r="AB83" s="66">
        <v>0</v>
      </c>
      <c r="AC83" s="66">
        <v>0</v>
      </c>
      <c r="AD83" s="67" t="s">
        <v>1230</v>
      </c>
      <c r="AE83" s="67" t="s">
        <v>1230</v>
      </c>
      <c r="AF83" s="67">
        <v>0</v>
      </c>
      <c r="AG83" s="187">
        <v>3.08480146</v>
      </c>
      <c r="AH83" s="67">
        <v>0</v>
      </c>
      <c r="AI83" s="66">
        <v>0</v>
      </c>
      <c r="AJ83" s="66">
        <v>0</v>
      </c>
      <c r="AK83" s="66">
        <v>0</v>
      </c>
      <c r="AL83" s="66">
        <v>0</v>
      </c>
      <c r="AM83" s="66">
        <v>0</v>
      </c>
      <c r="AN83" s="66">
        <v>0</v>
      </c>
      <c r="AO83" s="66">
        <v>0</v>
      </c>
      <c r="AP83" s="66">
        <v>0</v>
      </c>
      <c r="AQ83" s="66">
        <v>0</v>
      </c>
      <c r="AR83" s="66">
        <v>0</v>
      </c>
      <c r="AS83" s="66">
        <v>0</v>
      </c>
      <c r="AT83" s="67" t="s">
        <v>1230</v>
      </c>
      <c r="AU83" s="67" t="s">
        <v>1230</v>
      </c>
      <c r="AV83" s="67">
        <v>0</v>
      </c>
      <c r="AW83" s="187">
        <v>0</v>
      </c>
      <c r="AX83" s="67">
        <v>0</v>
      </c>
      <c r="AY83" s="66">
        <v>0</v>
      </c>
      <c r="AZ83" s="66">
        <v>0</v>
      </c>
      <c r="BA83" s="66">
        <v>0</v>
      </c>
      <c r="BB83" s="66">
        <v>0</v>
      </c>
      <c r="BC83" s="66">
        <v>0</v>
      </c>
      <c r="BD83" s="66">
        <v>0</v>
      </c>
      <c r="BE83" s="66">
        <v>0</v>
      </c>
      <c r="BF83" s="66">
        <v>0</v>
      </c>
      <c r="BG83" s="66">
        <v>0</v>
      </c>
      <c r="BH83" s="66">
        <v>0</v>
      </c>
      <c r="BI83" s="66">
        <v>0</v>
      </c>
      <c r="BJ83" s="67" t="s">
        <v>1230</v>
      </c>
      <c r="BK83" s="67" t="s">
        <v>1230</v>
      </c>
      <c r="BL83" s="67">
        <v>0</v>
      </c>
      <c r="BM83" s="187">
        <v>0</v>
      </c>
      <c r="BN83" s="67">
        <v>0</v>
      </c>
    </row>
    <row r="84" spans="1:66" ht="15.6" x14ac:dyDescent="0.3">
      <c r="A84" s="202">
        <v>72</v>
      </c>
      <c r="B84" s="203" t="s">
        <v>192</v>
      </c>
      <c r="C84" s="61">
        <v>0</v>
      </c>
      <c r="D84" s="61">
        <v>0</v>
      </c>
      <c r="E84" s="61">
        <v>0</v>
      </c>
      <c r="F84" s="61">
        <v>0</v>
      </c>
      <c r="G84" s="61">
        <v>0</v>
      </c>
      <c r="H84" s="61">
        <v>0</v>
      </c>
      <c r="I84" s="61">
        <v>44.759106889999998</v>
      </c>
      <c r="J84" s="61">
        <v>0</v>
      </c>
      <c r="K84" s="61">
        <v>0</v>
      </c>
      <c r="L84" s="61">
        <v>0</v>
      </c>
      <c r="M84" s="61">
        <v>0</v>
      </c>
      <c r="N84" s="61" t="s">
        <v>1230</v>
      </c>
      <c r="O84" s="61" t="s">
        <v>1230</v>
      </c>
      <c r="P84" s="61">
        <v>0</v>
      </c>
      <c r="Q84" s="61">
        <v>42.163856270000004</v>
      </c>
      <c r="R84" s="61">
        <v>2.5952506199999985</v>
      </c>
      <c r="S84" s="61">
        <v>0</v>
      </c>
      <c r="T84" s="61">
        <v>0</v>
      </c>
      <c r="U84" s="61">
        <v>0</v>
      </c>
      <c r="V84" s="61">
        <v>0</v>
      </c>
      <c r="W84" s="61">
        <v>0</v>
      </c>
      <c r="X84" s="61">
        <v>0</v>
      </c>
      <c r="Y84" s="61">
        <v>23.866748239999996</v>
      </c>
      <c r="Z84" s="61">
        <v>0</v>
      </c>
      <c r="AA84" s="61">
        <v>0</v>
      </c>
      <c r="AB84" s="61">
        <v>0</v>
      </c>
      <c r="AC84" s="61">
        <v>0</v>
      </c>
      <c r="AD84" s="61" t="s">
        <v>1230</v>
      </c>
      <c r="AE84" s="61" t="s">
        <v>1230</v>
      </c>
      <c r="AF84" s="61">
        <v>0</v>
      </c>
      <c r="AG84" s="61">
        <v>21.271497620000002</v>
      </c>
      <c r="AH84" s="61">
        <v>2.5952506199999985</v>
      </c>
      <c r="AI84" s="61">
        <v>0</v>
      </c>
      <c r="AJ84" s="61">
        <v>0</v>
      </c>
      <c r="AK84" s="61">
        <v>0</v>
      </c>
      <c r="AL84" s="61">
        <v>0</v>
      </c>
      <c r="AM84" s="61">
        <v>0</v>
      </c>
      <c r="AN84" s="61">
        <v>0</v>
      </c>
      <c r="AO84" s="61">
        <v>1.030936E-2</v>
      </c>
      <c r="AP84" s="61">
        <v>0</v>
      </c>
      <c r="AQ84" s="61">
        <v>0</v>
      </c>
      <c r="AR84" s="61">
        <v>0</v>
      </c>
      <c r="AS84" s="61">
        <v>0</v>
      </c>
      <c r="AT84" s="61" t="s">
        <v>1230</v>
      </c>
      <c r="AU84" s="61" t="s">
        <v>1230</v>
      </c>
      <c r="AV84" s="61">
        <v>0</v>
      </c>
      <c r="AW84" s="61">
        <v>1.030936E-2</v>
      </c>
      <c r="AX84" s="61">
        <v>0</v>
      </c>
      <c r="AY84" s="61">
        <v>0</v>
      </c>
      <c r="AZ84" s="61">
        <v>0</v>
      </c>
      <c r="BA84" s="61">
        <v>0</v>
      </c>
      <c r="BB84" s="61">
        <v>0</v>
      </c>
      <c r="BC84" s="61">
        <v>0</v>
      </c>
      <c r="BD84" s="61">
        <v>0</v>
      </c>
      <c r="BE84" s="61">
        <v>20.882049289999998</v>
      </c>
      <c r="BF84" s="61">
        <v>0</v>
      </c>
      <c r="BG84" s="61">
        <v>0</v>
      </c>
      <c r="BH84" s="61">
        <v>0</v>
      </c>
      <c r="BI84" s="61">
        <v>0</v>
      </c>
      <c r="BJ84" s="61" t="s">
        <v>1230</v>
      </c>
      <c r="BK84" s="61" t="s">
        <v>1230</v>
      </c>
      <c r="BL84" s="61">
        <v>0</v>
      </c>
      <c r="BM84" s="61">
        <v>20.882049289999998</v>
      </c>
      <c r="BN84" s="61">
        <v>0</v>
      </c>
    </row>
    <row r="85" spans="1:66" ht="15.6" x14ac:dyDescent="0.3">
      <c r="A85" s="169">
        <v>73</v>
      </c>
      <c r="B85" s="205" t="s">
        <v>195</v>
      </c>
      <c r="C85" s="66">
        <v>0</v>
      </c>
      <c r="D85" s="66">
        <v>0</v>
      </c>
      <c r="E85" s="66">
        <v>0</v>
      </c>
      <c r="F85" s="66">
        <v>0</v>
      </c>
      <c r="G85" s="66">
        <v>0</v>
      </c>
      <c r="H85" s="66">
        <v>0</v>
      </c>
      <c r="I85" s="66">
        <v>1.5800452899999999</v>
      </c>
      <c r="J85" s="66">
        <v>0</v>
      </c>
      <c r="K85" s="66">
        <v>0</v>
      </c>
      <c r="L85" s="66">
        <v>0</v>
      </c>
      <c r="M85" s="66">
        <v>0</v>
      </c>
      <c r="N85" s="67" t="s">
        <v>1230</v>
      </c>
      <c r="O85" s="67" t="s">
        <v>1230</v>
      </c>
      <c r="P85" s="67">
        <v>0</v>
      </c>
      <c r="Q85" s="66">
        <v>1.5800452899999999</v>
      </c>
      <c r="R85" s="67">
        <v>0</v>
      </c>
      <c r="S85" s="66">
        <v>0</v>
      </c>
      <c r="T85" s="66">
        <v>0</v>
      </c>
      <c r="U85" s="66">
        <v>0</v>
      </c>
      <c r="V85" s="66">
        <v>0</v>
      </c>
      <c r="W85" s="66">
        <v>0</v>
      </c>
      <c r="X85" s="66">
        <v>0</v>
      </c>
      <c r="Y85" s="66">
        <v>0</v>
      </c>
      <c r="Z85" s="66">
        <v>0</v>
      </c>
      <c r="AA85" s="66">
        <v>0</v>
      </c>
      <c r="AB85" s="66">
        <v>0</v>
      </c>
      <c r="AC85" s="66">
        <v>0</v>
      </c>
      <c r="AD85" s="67" t="s">
        <v>1230</v>
      </c>
      <c r="AE85" s="67" t="s">
        <v>1230</v>
      </c>
      <c r="AF85" s="67">
        <v>0</v>
      </c>
      <c r="AG85" s="187">
        <v>0</v>
      </c>
      <c r="AH85" s="67">
        <v>0</v>
      </c>
      <c r="AI85" s="66">
        <v>0</v>
      </c>
      <c r="AJ85" s="66">
        <v>0</v>
      </c>
      <c r="AK85" s="66">
        <v>0</v>
      </c>
      <c r="AL85" s="66">
        <v>0</v>
      </c>
      <c r="AM85" s="66">
        <v>0</v>
      </c>
      <c r="AN85" s="66">
        <v>0</v>
      </c>
      <c r="AO85" s="66">
        <v>0</v>
      </c>
      <c r="AP85" s="66">
        <v>0</v>
      </c>
      <c r="AQ85" s="66">
        <v>0</v>
      </c>
      <c r="AR85" s="66">
        <v>0</v>
      </c>
      <c r="AS85" s="66">
        <v>0</v>
      </c>
      <c r="AT85" s="67" t="s">
        <v>1230</v>
      </c>
      <c r="AU85" s="67" t="s">
        <v>1230</v>
      </c>
      <c r="AV85" s="67">
        <v>0</v>
      </c>
      <c r="AW85" s="187">
        <v>0</v>
      </c>
      <c r="AX85" s="67">
        <v>0</v>
      </c>
      <c r="AY85" s="66">
        <v>0</v>
      </c>
      <c r="AZ85" s="66">
        <v>0</v>
      </c>
      <c r="BA85" s="66">
        <v>0</v>
      </c>
      <c r="BB85" s="66">
        <v>0</v>
      </c>
      <c r="BC85" s="66">
        <v>0</v>
      </c>
      <c r="BD85" s="66">
        <v>0</v>
      </c>
      <c r="BE85" s="66">
        <v>1.5800452899999999</v>
      </c>
      <c r="BF85" s="66">
        <v>0</v>
      </c>
      <c r="BG85" s="66">
        <v>0</v>
      </c>
      <c r="BH85" s="66">
        <v>0</v>
      </c>
      <c r="BI85" s="66">
        <v>0</v>
      </c>
      <c r="BJ85" s="67" t="s">
        <v>1230</v>
      </c>
      <c r="BK85" s="67" t="s">
        <v>1230</v>
      </c>
      <c r="BL85" s="67">
        <v>0</v>
      </c>
      <c r="BM85" s="187">
        <v>1.5800452899999999</v>
      </c>
      <c r="BN85" s="67">
        <v>0</v>
      </c>
    </row>
    <row r="86" spans="1:66" ht="15.6" x14ac:dyDescent="0.3">
      <c r="A86" s="169">
        <v>74</v>
      </c>
      <c r="B86" s="205" t="s">
        <v>201</v>
      </c>
      <c r="C86" s="66">
        <v>0</v>
      </c>
      <c r="D86" s="66">
        <v>0</v>
      </c>
      <c r="E86" s="66">
        <v>0</v>
      </c>
      <c r="F86" s="66">
        <v>0</v>
      </c>
      <c r="G86" s="66">
        <v>0</v>
      </c>
      <c r="H86" s="66">
        <v>0</v>
      </c>
      <c r="I86" s="66">
        <v>8.011950839999999</v>
      </c>
      <c r="J86" s="66">
        <v>0</v>
      </c>
      <c r="K86" s="66">
        <v>0</v>
      </c>
      <c r="L86" s="66">
        <v>0</v>
      </c>
      <c r="M86" s="66">
        <v>0</v>
      </c>
      <c r="N86" s="67" t="s">
        <v>1230</v>
      </c>
      <c r="O86" s="67" t="s">
        <v>1230</v>
      </c>
      <c r="P86" s="67">
        <v>0</v>
      </c>
      <c r="Q86" s="66">
        <v>8.011950839999999</v>
      </c>
      <c r="R86" s="67">
        <v>0</v>
      </c>
      <c r="S86" s="66">
        <v>0</v>
      </c>
      <c r="T86" s="66">
        <v>0</v>
      </c>
      <c r="U86" s="66">
        <v>0</v>
      </c>
      <c r="V86" s="66">
        <v>0</v>
      </c>
      <c r="W86" s="66">
        <v>0</v>
      </c>
      <c r="X86" s="66">
        <v>0</v>
      </c>
      <c r="Y86" s="66">
        <v>0</v>
      </c>
      <c r="Z86" s="66">
        <v>0</v>
      </c>
      <c r="AA86" s="66">
        <v>0</v>
      </c>
      <c r="AB86" s="66">
        <v>0</v>
      </c>
      <c r="AC86" s="66">
        <v>0</v>
      </c>
      <c r="AD86" s="67" t="s">
        <v>1230</v>
      </c>
      <c r="AE86" s="67" t="s">
        <v>1230</v>
      </c>
      <c r="AF86" s="67">
        <v>0</v>
      </c>
      <c r="AG86" s="187">
        <v>0</v>
      </c>
      <c r="AH86" s="67">
        <v>0</v>
      </c>
      <c r="AI86" s="66">
        <v>0</v>
      </c>
      <c r="AJ86" s="66">
        <v>0</v>
      </c>
      <c r="AK86" s="66">
        <v>0</v>
      </c>
      <c r="AL86" s="66">
        <v>0</v>
      </c>
      <c r="AM86" s="66">
        <v>0</v>
      </c>
      <c r="AN86" s="66">
        <v>0</v>
      </c>
      <c r="AO86" s="66">
        <v>0</v>
      </c>
      <c r="AP86" s="66">
        <v>0</v>
      </c>
      <c r="AQ86" s="66">
        <v>0</v>
      </c>
      <c r="AR86" s="66">
        <v>0</v>
      </c>
      <c r="AS86" s="66">
        <v>0</v>
      </c>
      <c r="AT86" s="67" t="s">
        <v>1230</v>
      </c>
      <c r="AU86" s="67" t="s">
        <v>1230</v>
      </c>
      <c r="AV86" s="67">
        <v>0</v>
      </c>
      <c r="AW86" s="187">
        <v>0</v>
      </c>
      <c r="AX86" s="67">
        <v>0</v>
      </c>
      <c r="AY86" s="66">
        <v>0</v>
      </c>
      <c r="AZ86" s="66">
        <v>0</v>
      </c>
      <c r="BA86" s="66">
        <v>0</v>
      </c>
      <c r="BB86" s="66">
        <v>0</v>
      </c>
      <c r="BC86" s="66">
        <v>0</v>
      </c>
      <c r="BD86" s="66">
        <v>0</v>
      </c>
      <c r="BE86" s="66">
        <v>8.011950839999999</v>
      </c>
      <c r="BF86" s="66">
        <v>0</v>
      </c>
      <c r="BG86" s="66">
        <v>0</v>
      </c>
      <c r="BH86" s="66">
        <v>0</v>
      </c>
      <c r="BI86" s="66">
        <v>0</v>
      </c>
      <c r="BJ86" s="67" t="s">
        <v>1230</v>
      </c>
      <c r="BK86" s="67" t="s">
        <v>1230</v>
      </c>
      <c r="BL86" s="67">
        <v>0</v>
      </c>
      <c r="BM86" s="187">
        <v>8.011950839999999</v>
      </c>
      <c r="BN86" s="67">
        <v>0</v>
      </c>
    </row>
    <row r="87" spans="1:66" ht="15.6" x14ac:dyDescent="0.3">
      <c r="A87" s="169">
        <v>75</v>
      </c>
      <c r="B87" s="205" t="s">
        <v>204</v>
      </c>
      <c r="C87" s="66">
        <v>0</v>
      </c>
      <c r="D87" s="66">
        <v>0</v>
      </c>
      <c r="E87" s="66">
        <v>0</v>
      </c>
      <c r="F87" s="66">
        <v>0</v>
      </c>
      <c r="G87" s="66">
        <v>0</v>
      </c>
      <c r="H87" s="66">
        <v>0</v>
      </c>
      <c r="I87" s="66">
        <v>4.2848856899999994</v>
      </c>
      <c r="J87" s="66">
        <v>0</v>
      </c>
      <c r="K87" s="66">
        <v>0</v>
      </c>
      <c r="L87" s="66">
        <v>0</v>
      </c>
      <c r="M87" s="66">
        <v>0</v>
      </c>
      <c r="N87" s="67" t="s">
        <v>1230</v>
      </c>
      <c r="O87" s="67" t="s">
        <v>1230</v>
      </c>
      <c r="P87" s="67">
        <v>0</v>
      </c>
      <c r="Q87" s="66">
        <v>4.2848856899999994</v>
      </c>
      <c r="R87" s="67">
        <v>0</v>
      </c>
      <c r="S87" s="66">
        <v>0</v>
      </c>
      <c r="T87" s="66">
        <v>0</v>
      </c>
      <c r="U87" s="66">
        <v>0</v>
      </c>
      <c r="V87" s="66">
        <v>0</v>
      </c>
      <c r="W87" s="66">
        <v>0</v>
      </c>
      <c r="X87" s="66">
        <v>0</v>
      </c>
      <c r="Y87" s="66">
        <v>3.4110415099999996</v>
      </c>
      <c r="Z87" s="66">
        <v>0</v>
      </c>
      <c r="AA87" s="66">
        <v>0</v>
      </c>
      <c r="AB87" s="66">
        <v>0</v>
      </c>
      <c r="AC87" s="66">
        <v>0</v>
      </c>
      <c r="AD87" s="67" t="s">
        <v>1230</v>
      </c>
      <c r="AE87" s="67" t="s">
        <v>1230</v>
      </c>
      <c r="AF87" s="67">
        <v>0</v>
      </c>
      <c r="AG87" s="187">
        <v>3.4110415099999996</v>
      </c>
      <c r="AH87" s="67">
        <v>0</v>
      </c>
      <c r="AI87" s="66">
        <v>0</v>
      </c>
      <c r="AJ87" s="66">
        <v>0</v>
      </c>
      <c r="AK87" s="66">
        <v>0</v>
      </c>
      <c r="AL87" s="66">
        <v>0</v>
      </c>
      <c r="AM87" s="66">
        <v>0</v>
      </c>
      <c r="AN87" s="66">
        <v>0</v>
      </c>
      <c r="AO87" s="66">
        <v>0</v>
      </c>
      <c r="AP87" s="66">
        <v>0</v>
      </c>
      <c r="AQ87" s="66">
        <v>0</v>
      </c>
      <c r="AR87" s="66">
        <v>0</v>
      </c>
      <c r="AS87" s="66">
        <v>0</v>
      </c>
      <c r="AT87" s="67" t="s">
        <v>1230</v>
      </c>
      <c r="AU87" s="67" t="s">
        <v>1230</v>
      </c>
      <c r="AV87" s="67">
        <v>0</v>
      </c>
      <c r="AW87" s="187">
        <v>0</v>
      </c>
      <c r="AX87" s="67">
        <v>0</v>
      </c>
      <c r="AY87" s="66">
        <v>0</v>
      </c>
      <c r="AZ87" s="66">
        <v>0</v>
      </c>
      <c r="BA87" s="66">
        <v>0</v>
      </c>
      <c r="BB87" s="66">
        <v>0</v>
      </c>
      <c r="BC87" s="66">
        <v>0</v>
      </c>
      <c r="BD87" s="66">
        <v>0</v>
      </c>
      <c r="BE87" s="66">
        <v>0.87384418000000008</v>
      </c>
      <c r="BF87" s="66">
        <v>0</v>
      </c>
      <c r="BG87" s="66">
        <v>0</v>
      </c>
      <c r="BH87" s="66">
        <v>0</v>
      </c>
      <c r="BI87" s="66">
        <v>0</v>
      </c>
      <c r="BJ87" s="67" t="s">
        <v>1230</v>
      </c>
      <c r="BK87" s="67" t="s">
        <v>1230</v>
      </c>
      <c r="BL87" s="67">
        <v>0</v>
      </c>
      <c r="BM87" s="187">
        <v>0.87384418000000008</v>
      </c>
      <c r="BN87" s="67">
        <v>0</v>
      </c>
    </row>
    <row r="88" spans="1:66" ht="15.6" x14ac:dyDescent="0.3">
      <c r="A88" s="169">
        <v>76</v>
      </c>
      <c r="B88" s="205" t="s">
        <v>207</v>
      </c>
      <c r="C88" s="66">
        <v>0</v>
      </c>
      <c r="D88" s="66">
        <v>0</v>
      </c>
      <c r="E88" s="66">
        <v>0</v>
      </c>
      <c r="F88" s="66">
        <v>0</v>
      </c>
      <c r="G88" s="66">
        <v>0</v>
      </c>
      <c r="H88" s="66">
        <v>0</v>
      </c>
      <c r="I88" s="66">
        <v>6.8122538499999994</v>
      </c>
      <c r="J88" s="66">
        <v>0</v>
      </c>
      <c r="K88" s="66">
        <v>0</v>
      </c>
      <c r="L88" s="66">
        <v>0</v>
      </c>
      <c r="M88" s="66">
        <v>0</v>
      </c>
      <c r="N88" s="67" t="s">
        <v>1230</v>
      </c>
      <c r="O88" s="67" t="s">
        <v>1230</v>
      </c>
      <c r="P88" s="67">
        <v>0</v>
      </c>
      <c r="Q88" s="66">
        <v>6.3969287300000008</v>
      </c>
      <c r="R88" s="67">
        <v>0.41532511999999855</v>
      </c>
      <c r="S88" s="66">
        <v>0</v>
      </c>
      <c r="T88" s="66">
        <v>0</v>
      </c>
      <c r="U88" s="66">
        <v>0</v>
      </c>
      <c r="V88" s="66">
        <v>0</v>
      </c>
      <c r="W88" s="66">
        <v>0</v>
      </c>
      <c r="X88" s="66">
        <v>0</v>
      </c>
      <c r="Y88" s="66">
        <v>6.8122538499999994</v>
      </c>
      <c r="Z88" s="66">
        <v>0</v>
      </c>
      <c r="AA88" s="66">
        <v>0</v>
      </c>
      <c r="AB88" s="66">
        <v>0</v>
      </c>
      <c r="AC88" s="66">
        <v>0</v>
      </c>
      <c r="AD88" s="67" t="s">
        <v>1230</v>
      </c>
      <c r="AE88" s="67" t="s">
        <v>1230</v>
      </c>
      <c r="AF88" s="67">
        <v>0</v>
      </c>
      <c r="AG88" s="187">
        <v>6.3969287300000008</v>
      </c>
      <c r="AH88" s="67">
        <v>0.41532511999999855</v>
      </c>
      <c r="AI88" s="66">
        <v>0</v>
      </c>
      <c r="AJ88" s="66">
        <v>0</v>
      </c>
      <c r="AK88" s="66">
        <v>0</v>
      </c>
      <c r="AL88" s="66">
        <v>0</v>
      </c>
      <c r="AM88" s="66">
        <v>0</v>
      </c>
      <c r="AN88" s="66">
        <v>0</v>
      </c>
      <c r="AO88" s="66">
        <v>0</v>
      </c>
      <c r="AP88" s="66">
        <v>0</v>
      </c>
      <c r="AQ88" s="66">
        <v>0</v>
      </c>
      <c r="AR88" s="66">
        <v>0</v>
      </c>
      <c r="AS88" s="66">
        <v>0</v>
      </c>
      <c r="AT88" s="67" t="s">
        <v>1230</v>
      </c>
      <c r="AU88" s="67" t="s">
        <v>1230</v>
      </c>
      <c r="AV88" s="67">
        <v>0</v>
      </c>
      <c r="AW88" s="187">
        <v>0</v>
      </c>
      <c r="AX88" s="67">
        <v>0</v>
      </c>
      <c r="AY88" s="66">
        <v>0</v>
      </c>
      <c r="AZ88" s="66">
        <v>0</v>
      </c>
      <c r="BA88" s="66">
        <v>0</v>
      </c>
      <c r="BB88" s="66">
        <v>0</v>
      </c>
      <c r="BC88" s="66">
        <v>0</v>
      </c>
      <c r="BD88" s="66">
        <v>0</v>
      </c>
      <c r="BE88" s="66">
        <v>0</v>
      </c>
      <c r="BF88" s="66">
        <v>0</v>
      </c>
      <c r="BG88" s="66">
        <v>0</v>
      </c>
      <c r="BH88" s="66">
        <v>0</v>
      </c>
      <c r="BI88" s="66">
        <v>0</v>
      </c>
      <c r="BJ88" s="67" t="s">
        <v>1230</v>
      </c>
      <c r="BK88" s="67" t="s">
        <v>1230</v>
      </c>
      <c r="BL88" s="67">
        <v>0</v>
      </c>
      <c r="BM88" s="187">
        <v>0</v>
      </c>
      <c r="BN88" s="67">
        <v>0</v>
      </c>
    </row>
    <row r="89" spans="1:66" ht="15.6" x14ac:dyDescent="0.3">
      <c r="A89" s="169">
        <v>77</v>
      </c>
      <c r="B89" s="205" t="s">
        <v>213</v>
      </c>
      <c r="C89" s="66">
        <v>0</v>
      </c>
      <c r="D89" s="66">
        <v>0</v>
      </c>
      <c r="E89" s="66">
        <v>0</v>
      </c>
      <c r="F89" s="66">
        <v>0</v>
      </c>
      <c r="G89" s="66">
        <v>0</v>
      </c>
      <c r="H89" s="66">
        <v>0</v>
      </c>
      <c r="I89" s="66">
        <v>2.8794861800000002</v>
      </c>
      <c r="J89" s="66">
        <v>0</v>
      </c>
      <c r="K89" s="66">
        <v>0</v>
      </c>
      <c r="L89" s="66">
        <v>0</v>
      </c>
      <c r="M89" s="66">
        <v>0</v>
      </c>
      <c r="N89" s="67" t="s">
        <v>1230</v>
      </c>
      <c r="O89" s="67" t="s">
        <v>1230</v>
      </c>
      <c r="P89" s="67">
        <v>0</v>
      </c>
      <c r="Q89" s="66">
        <v>2.8794861800000002</v>
      </c>
      <c r="R89" s="67">
        <v>0</v>
      </c>
      <c r="S89" s="66">
        <v>0</v>
      </c>
      <c r="T89" s="66">
        <v>0</v>
      </c>
      <c r="U89" s="66">
        <v>0</v>
      </c>
      <c r="V89" s="66">
        <v>0</v>
      </c>
      <c r="W89" s="66">
        <v>0</v>
      </c>
      <c r="X89" s="66">
        <v>0</v>
      </c>
      <c r="Y89" s="66">
        <v>2.8700811800000001</v>
      </c>
      <c r="Z89" s="66">
        <v>0</v>
      </c>
      <c r="AA89" s="66">
        <v>0</v>
      </c>
      <c r="AB89" s="66">
        <v>0</v>
      </c>
      <c r="AC89" s="66">
        <v>0</v>
      </c>
      <c r="AD89" s="67" t="s">
        <v>1230</v>
      </c>
      <c r="AE89" s="67" t="s">
        <v>1230</v>
      </c>
      <c r="AF89" s="67">
        <v>0</v>
      </c>
      <c r="AG89" s="187">
        <v>2.8700811800000001</v>
      </c>
      <c r="AH89" s="67">
        <v>0</v>
      </c>
      <c r="AI89" s="66">
        <v>0</v>
      </c>
      <c r="AJ89" s="66">
        <v>0</v>
      </c>
      <c r="AK89" s="66">
        <v>0</v>
      </c>
      <c r="AL89" s="66">
        <v>0</v>
      </c>
      <c r="AM89" s="66">
        <v>0</v>
      </c>
      <c r="AN89" s="66">
        <v>0</v>
      </c>
      <c r="AO89" s="66">
        <v>0</v>
      </c>
      <c r="AP89" s="66">
        <v>0</v>
      </c>
      <c r="AQ89" s="66">
        <v>0</v>
      </c>
      <c r="AR89" s="66">
        <v>0</v>
      </c>
      <c r="AS89" s="66">
        <v>0</v>
      </c>
      <c r="AT89" s="67" t="s">
        <v>1230</v>
      </c>
      <c r="AU89" s="67" t="s">
        <v>1230</v>
      </c>
      <c r="AV89" s="67">
        <v>0</v>
      </c>
      <c r="AW89" s="187">
        <v>0</v>
      </c>
      <c r="AX89" s="67">
        <v>0</v>
      </c>
      <c r="AY89" s="66">
        <v>0</v>
      </c>
      <c r="AZ89" s="66">
        <v>0</v>
      </c>
      <c r="BA89" s="66">
        <v>0</v>
      </c>
      <c r="BB89" s="66">
        <v>0</v>
      </c>
      <c r="BC89" s="66">
        <v>0</v>
      </c>
      <c r="BD89" s="66">
        <v>0</v>
      </c>
      <c r="BE89" s="66">
        <v>9.4050000000000002E-3</v>
      </c>
      <c r="BF89" s="66">
        <v>0</v>
      </c>
      <c r="BG89" s="66">
        <v>0</v>
      </c>
      <c r="BH89" s="66">
        <v>0</v>
      </c>
      <c r="BI89" s="66">
        <v>0</v>
      </c>
      <c r="BJ89" s="67" t="s">
        <v>1230</v>
      </c>
      <c r="BK89" s="67" t="s">
        <v>1230</v>
      </c>
      <c r="BL89" s="67">
        <v>0</v>
      </c>
      <c r="BM89" s="187">
        <v>9.4050000000000002E-3</v>
      </c>
      <c r="BN89" s="67">
        <v>0</v>
      </c>
    </row>
    <row r="90" spans="1:66" ht="15.6" x14ac:dyDescent="0.3">
      <c r="A90" s="169">
        <v>78</v>
      </c>
      <c r="B90" s="205" t="s">
        <v>216</v>
      </c>
      <c r="C90" s="66">
        <v>0</v>
      </c>
      <c r="D90" s="66">
        <v>0</v>
      </c>
      <c r="E90" s="66">
        <v>0</v>
      </c>
      <c r="F90" s="66">
        <v>0</v>
      </c>
      <c r="G90" s="66">
        <v>0</v>
      </c>
      <c r="H90" s="66">
        <v>0</v>
      </c>
      <c r="I90" s="66">
        <v>2.4458275600000001</v>
      </c>
      <c r="J90" s="66">
        <v>0</v>
      </c>
      <c r="K90" s="66">
        <v>0</v>
      </c>
      <c r="L90" s="66">
        <v>0</v>
      </c>
      <c r="M90" s="66">
        <v>0</v>
      </c>
      <c r="N90" s="67" t="s">
        <v>1230</v>
      </c>
      <c r="O90" s="67" t="s">
        <v>1230</v>
      </c>
      <c r="P90" s="67">
        <v>0</v>
      </c>
      <c r="Q90" s="66">
        <v>0.26590206</v>
      </c>
      <c r="R90" s="67">
        <v>2.1799255</v>
      </c>
      <c r="S90" s="66">
        <v>0</v>
      </c>
      <c r="T90" s="66">
        <v>0</v>
      </c>
      <c r="U90" s="66">
        <v>0</v>
      </c>
      <c r="V90" s="66">
        <v>0</v>
      </c>
      <c r="W90" s="66">
        <v>0</v>
      </c>
      <c r="X90" s="66">
        <v>0</v>
      </c>
      <c r="Y90" s="66">
        <v>2.4458275600000001</v>
      </c>
      <c r="Z90" s="66">
        <v>0</v>
      </c>
      <c r="AA90" s="66">
        <v>0</v>
      </c>
      <c r="AB90" s="66">
        <v>0</v>
      </c>
      <c r="AC90" s="66">
        <v>0</v>
      </c>
      <c r="AD90" s="67" t="s">
        <v>1230</v>
      </c>
      <c r="AE90" s="67" t="s">
        <v>1230</v>
      </c>
      <c r="AF90" s="67">
        <v>0</v>
      </c>
      <c r="AG90" s="187">
        <v>0.26590206</v>
      </c>
      <c r="AH90" s="67">
        <v>2.1799255</v>
      </c>
      <c r="AI90" s="66">
        <v>0</v>
      </c>
      <c r="AJ90" s="66">
        <v>0</v>
      </c>
      <c r="AK90" s="66">
        <v>0</v>
      </c>
      <c r="AL90" s="66">
        <v>0</v>
      </c>
      <c r="AM90" s="66">
        <v>0</v>
      </c>
      <c r="AN90" s="66">
        <v>0</v>
      </c>
      <c r="AO90" s="66">
        <v>0</v>
      </c>
      <c r="AP90" s="66">
        <v>0</v>
      </c>
      <c r="AQ90" s="66">
        <v>0</v>
      </c>
      <c r="AR90" s="66">
        <v>0</v>
      </c>
      <c r="AS90" s="66">
        <v>0</v>
      </c>
      <c r="AT90" s="67" t="s">
        <v>1230</v>
      </c>
      <c r="AU90" s="67" t="s">
        <v>1230</v>
      </c>
      <c r="AV90" s="67">
        <v>0</v>
      </c>
      <c r="AW90" s="187">
        <v>0</v>
      </c>
      <c r="AX90" s="67">
        <v>0</v>
      </c>
      <c r="AY90" s="66">
        <v>0</v>
      </c>
      <c r="AZ90" s="66">
        <v>0</v>
      </c>
      <c r="BA90" s="66">
        <v>0</v>
      </c>
      <c r="BB90" s="66">
        <v>0</v>
      </c>
      <c r="BC90" s="66">
        <v>0</v>
      </c>
      <c r="BD90" s="66">
        <v>0</v>
      </c>
      <c r="BE90" s="66">
        <v>0</v>
      </c>
      <c r="BF90" s="66">
        <v>0</v>
      </c>
      <c r="BG90" s="66">
        <v>0</v>
      </c>
      <c r="BH90" s="66">
        <v>0</v>
      </c>
      <c r="BI90" s="66">
        <v>0</v>
      </c>
      <c r="BJ90" s="67" t="s">
        <v>1230</v>
      </c>
      <c r="BK90" s="67" t="s">
        <v>1230</v>
      </c>
      <c r="BL90" s="67">
        <v>0</v>
      </c>
      <c r="BM90" s="187">
        <v>0</v>
      </c>
      <c r="BN90" s="67">
        <v>0</v>
      </c>
    </row>
    <row r="91" spans="1:66" ht="15.6" x14ac:dyDescent="0.3">
      <c r="A91" s="169">
        <v>79</v>
      </c>
      <c r="B91" s="205" t="s">
        <v>219</v>
      </c>
      <c r="C91" s="66">
        <v>0</v>
      </c>
      <c r="D91" s="66">
        <v>0</v>
      </c>
      <c r="E91" s="66">
        <v>0</v>
      </c>
      <c r="F91" s="66">
        <v>0</v>
      </c>
      <c r="G91" s="66">
        <v>0</v>
      </c>
      <c r="H91" s="66">
        <v>0</v>
      </c>
      <c r="I91" s="66">
        <v>0.45458903000000001</v>
      </c>
      <c r="J91" s="66">
        <v>0</v>
      </c>
      <c r="K91" s="66">
        <v>0</v>
      </c>
      <c r="L91" s="66">
        <v>0</v>
      </c>
      <c r="M91" s="66">
        <v>0</v>
      </c>
      <c r="N91" s="67" t="s">
        <v>1230</v>
      </c>
      <c r="O91" s="67" t="s">
        <v>1230</v>
      </c>
      <c r="P91" s="67">
        <v>0</v>
      </c>
      <c r="Q91" s="66">
        <v>0.45458903000000001</v>
      </c>
      <c r="R91" s="67">
        <v>0</v>
      </c>
      <c r="S91" s="66">
        <v>0</v>
      </c>
      <c r="T91" s="66">
        <v>0</v>
      </c>
      <c r="U91" s="66">
        <v>0</v>
      </c>
      <c r="V91" s="66">
        <v>0</v>
      </c>
      <c r="W91" s="66">
        <v>0</v>
      </c>
      <c r="X91" s="66">
        <v>0</v>
      </c>
      <c r="Y91" s="66">
        <v>0.45458903000000001</v>
      </c>
      <c r="Z91" s="66">
        <v>0</v>
      </c>
      <c r="AA91" s="66">
        <v>0</v>
      </c>
      <c r="AB91" s="66">
        <v>0</v>
      </c>
      <c r="AC91" s="66">
        <v>0</v>
      </c>
      <c r="AD91" s="67" t="s">
        <v>1230</v>
      </c>
      <c r="AE91" s="67" t="s">
        <v>1230</v>
      </c>
      <c r="AF91" s="67">
        <v>0</v>
      </c>
      <c r="AG91" s="187">
        <v>0.45458903000000001</v>
      </c>
      <c r="AH91" s="67">
        <v>0</v>
      </c>
      <c r="AI91" s="66">
        <v>0</v>
      </c>
      <c r="AJ91" s="66">
        <v>0</v>
      </c>
      <c r="AK91" s="66">
        <v>0</v>
      </c>
      <c r="AL91" s="66">
        <v>0</v>
      </c>
      <c r="AM91" s="66">
        <v>0</v>
      </c>
      <c r="AN91" s="66">
        <v>0</v>
      </c>
      <c r="AO91" s="66">
        <v>0</v>
      </c>
      <c r="AP91" s="66">
        <v>0</v>
      </c>
      <c r="AQ91" s="66">
        <v>0</v>
      </c>
      <c r="AR91" s="66">
        <v>0</v>
      </c>
      <c r="AS91" s="66">
        <v>0</v>
      </c>
      <c r="AT91" s="67" t="s">
        <v>1230</v>
      </c>
      <c r="AU91" s="67" t="s">
        <v>1230</v>
      </c>
      <c r="AV91" s="67">
        <v>0</v>
      </c>
      <c r="AW91" s="187">
        <v>0</v>
      </c>
      <c r="AX91" s="67">
        <v>0</v>
      </c>
      <c r="AY91" s="66">
        <v>0</v>
      </c>
      <c r="AZ91" s="66">
        <v>0</v>
      </c>
      <c r="BA91" s="66">
        <v>0</v>
      </c>
      <c r="BB91" s="66">
        <v>0</v>
      </c>
      <c r="BC91" s="66">
        <v>0</v>
      </c>
      <c r="BD91" s="66">
        <v>0</v>
      </c>
      <c r="BE91" s="66">
        <v>0</v>
      </c>
      <c r="BF91" s="66">
        <v>0</v>
      </c>
      <c r="BG91" s="66">
        <v>0</v>
      </c>
      <c r="BH91" s="66">
        <v>0</v>
      </c>
      <c r="BI91" s="66">
        <v>0</v>
      </c>
      <c r="BJ91" s="67" t="s">
        <v>1230</v>
      </c>
      <c r="BK91" s="67" t="s">
        <v>1230</v>
      </c>
      <c r="BL91" s="67">
        <v>0</v>
      </c>
      <c r="BM91" s="187">
        <v>0</v>
      </c>
      <c r="BN91" s="67">
        <v>0</v>
      </c>
    </row>
    <row r="92" spans="1:66" ht="15.6" x14ac:dyDescent="0.3">
      <c r="A92" s="169">
        <v>80</v>
      </c>
      <c r="B92" s="205" t="s">
        <v>222</v>
      </c>
      <c r="C92" s="66">
        <v>0</v>
      </c>
      <c r="D92" s="66">
        <v>0</v>
      </c>
      <c r="E92" s="66">
        <v>0</v>
      </c>
      <c r="F92" s="66">
        <v>0</v>
      </c>
      <c r="G92" s="66">
        <v>0</v>
      </c>
      <c r="H92" s="66">
        <v>0</v>
      </c>
      <c r="I92" s="66">
        <v>4.1156360000000003</v>
      </c>
      <c r="J92" s="66">
        <v>0</v>
      </c>
      <c r="K92" s="66">
        <v>0</v>
      </c>
      <c r="L92" s="66">
        <v>0</v>
      </c>
      <c r="M92" s="66">
        <v>0</v>
      </c>
      <c r="N92" s="67" t="s">
        <v>1230</v>
      </c>
      <c r="O92" s="67" t="s">
        <v>1230</v>
      </c>
      <c r="P92" s="67">
        <v>0</v>
      </c>
      <c r="Q92" s="66">
        <v>4.1156360000000003</v>
      </c>
      <c r="R92" s="67">
        <v>0</v>
      </c>
      <c r="S92" s="66">
        <v>0</v>
      </c>
      <c r="T92" s="66">
        <v>0</v>
      </c>
      <c r="U92" s="66">
        <v>0</v>
      </c>
      <c r="V92" s="66">
        <v>0</v>
      </c>
      <c r="W92" s="66">
        <v>0</v>
      </c>
      <c r="X92" s="66">
        <v>0</v>
      </c>
      <c r="Y92" s="66">
        <v>4.1156360000000003</v>
      </c>
      <c r="Z92" s="66">
        <v>0</v>
      </c>
      <c r="AA92" s="66">
        <v>0</v>
      </c>
      <c r="AB92" s="66">
        <v>0</v>
      </c>
      <c r="AC92" s="66">
        <v>0</v>
      </c>
      <c r="AD92" s="67" t="s">
        <v>1230</v>
      </c>
      <c r="AE92" s="67" t="s">
        <v>1230</v>
      </c>
      <c r="AF92" s="67">
        <v>0</v>
      </c>
      <c r="AG92" s="187">
        <v>4.1156360000000003</v>
      </c>
      <c r="AH92" s="67">
        <v>0</v>
      </c>
      <c r="AI92" s="66">
        <v>0</v>
      </c>
      <c r="AJ92" s="66">
        <v>0</v>
      </c>
      <c r="AK92" s="66">
        <v>0</v>
      </c>
      <c r="AL92" s="66">
        <v>0</v>
      </c>
      <c r="AM92" s="66">
        <v>0</v>
      </c>
      <c r="AN92" s="66">
        <v>0</v>
      </c>
      <c r="AO92" s="66">
        <v>0</v>
      </c>
      <c r="AP92" s="66">
        <v>0</v>
      </c>
      <c r="AQ92" s="66">
        <v>0</v>
      </c>
      <c r="AR92" s="66">
        <v>0</v>
      </c>
      <c r="AS92" s="66">
        <v>0</v>
      </c>
      <c r="AT92" s="67" t="s">
        <v>1230</v>
      </c>
      <c r="AU92" s="67" t="s">
        <v>1230</v>
      </c>
      <c r="AV92" s="67">
        <v>0</v>
      </c>
      <c r="AW92" s="187">
        <v>0</v>
      </c>
      <c r="AX92" s="67">
        <v>0</v>
      </c>
      <c r="AY92" s="66">
        <v>0</v>
      </c>
      <c r="AZ92" s="66">
        <v>0</v>
      </c>
      <c r="BA92" s="66">
        <v>0</v>
      </c>
      <c r="BB92" s="66">
        <v>0</v>
      </c>
      <c r="BC92" s="66">
        <v>0</v>
      </c>
      <c r="BD92" s="66">
        <v>0</v>
      </c>
      <c r="BE92" s="66">
        <v>0</v>
      </c>
      <c r="BF92" s="66">
        <v>0</v>
      </c>
      <c r="BG92" s="66">
        <v>0</v>
      </c>
      <c r="BH92" s="66">
        <v>0</v>
      </c>
      <c r="BI92" s="66">
        <v>0</v>
      </c>
      <c r="BJ92" s="67" t="s">
        <v>1230</v>
      </c>
      <c r="BK92" s="67" t="s">
        <v>1230</v>
      </c>
      <c r="BL92" s="67">
        <v>0</v>
      </c>
      <c r="BM92" s="187">
        <v>0</v>
      </c>
      <c r="BN92" s="67">
        <v>0</v>
      </c>
    </row>
    <row r="93" spans="1:66" ht="15.6" x14ac:dyDescent="0.3">
      <c r="A93" s="169">
        <v>81</v>
      </c>
      <c r="B93" s="205" t="s">
        <v>225</v>
      </c>
      <c r="C93" s="66">
        <v>0</v>
      </c>
      <c r="D93" s="66">
        <v>0</v>
      </c>
      <c r="E93" s="66">
        <v>0</v>
      </c>
      <c r="F93" s="66">
        <v>0</v>
      </c>
      <c r="G93" s="66">
        <v>0</v>
      </c>
      <c r="H93" s="66">
        <v>0</v>
      </c>
      <c r="I93" s="66">
        <v>1.6873143100000001</v>
      </c>
      <c r="J93" s="66">
        <v>0</v>
      </c>
      <c r="K93" s="66">
        <v>0</v>
      </c>
      <c r="L93" s="66">
        <v>0</v>
      </c>
      <c r="M93" s="66">
        <v>0</v>
      </c>
      <c r="N93" s="67" t="s">
        <v>1230</v>
      </c>
      <c r="O93" s="67" t="s">
        <v>1230</v>
      </c>
      <c r="P93" s="67">
        <v>0</v>
      </c>
      <c r="Q93" s="66">
        <v>1.6873143100000001</v>
      </c>
      <c r="R93" s="67">
        <v>0</v>
      </c>
      <c r="S93" s="66">
        <v>0</v>
      </c>
      <c r="T93" s="66">
        <v>0</v>
      </c>
      <c r="U93" s="66">
        <v>0</v>
      </c>
      <c r="V93" s="66">
        <v>0</v>
      </c>
      <c r="W93" s="66">
        <v>0</v>
      </c>
      <c r="X93" s="66">
        <v>0</v>
      </c>
      <c r="Y93" s="66">
        <v>1.6873143100000001</v>
      </c>
      <c r="Z93" s="66">
        <v>0</v>
      </c>
      <c r="AA93" s="66">
        <v>0</v>
      </c>
      <c r="AB93" s="66">
        <v>0</v>
      </c>
      <c r="AC93" s="66">
        <v>0</v>
      </c>
      <c r="AD93" s="67" t="s">
        <v>1230</v>
      </c>
      <c r="AE93" s="67" t="s">
        <v>1230</v>
      </c>
      <c r="AF93" s="67">
        <v>0</v>
      </c>
      <c r="AG93" s="187">
        <v>1.6873143100000001</v>
      </c>
      <c r="AH93" s="67">
        <v>0</v>
      </c>
      <c r="AI93" s="66">
        <v>0</v>
      </c>
      <c r="AJ93" s="66">
        <v>0</v>
      </c>
      <c r="AK93" s="66">
        <v>0</v>
      </c>
      <c r="AL93" s="66">
        <v>0</v>
      </c>
      <c r="AM93" s="66">
        <v>0</v>
      </c>
      <c r="AN93" s="66">
        <v>0</v>
      </c>
      <c r="AO93" s="66">
        <v>0</v>
      </c>
      <c r="AP93" s="66">
        <v>0</v>
      </c>
      <c r="AQ93" s="66">
        <v>0</v>
      </c>
      <c r="AR93" s="66">
        <v>0</v>
      </c>
      <c r="AS93" s="66">
        <v>0</v>
      </c>
      <c r="AT93" s="67" t="s">
        <v>1230</v>
      </c>
      <c r="AU93" s="67" t="s">
        <v>1230</v>
      </c>
      <c r="AV93" s="67">
        <v>0</v>
      </c>
      <c r="AW93" s="187">
        <v>0</v>
      </c>
      <c r="AX93" s="67">
        <v>0</v>
      </c>
      <c r="AY93" s="66">
        <v>0</v>
      </c>
      <c r="AZ93" s="66">
        <v>0</v>
      </c>
      <c r="BA93" s="66">
        <v>0</v>
      </c>
      <c r="BB93" s="66">
        <v>0</v>
      </c>
      <c r="BC93" s="66">
        <v>0</v>
      </c>
      <c r="BD93" s="66">
        <v>0</v>
      </c>
      <c r="BE93" s="66">
        <v>0</v>
      </c>
      <c r="BF93" s="66">
        <v>0</v>
      </c>
      <c r="BG93" s="66">
        <v>0</v>
      </c>
      <c r="BH93" s="66">
        <v>0</v>
      </c>
      <c r="BI93" s="66">
        <v>0</v>
      </c>
      <c r="BJ93" s="67" t="s">
        <v>1230</v>
      </c>
      <c r="BK93" s="67" t="s">
        <v>1230</v>
      </c>
      <c r="BL93" s="67">
        <v>0</v>
      </c>
      <c r="BM93" s="187">
        <v>0</v>
      </c>
      <c r="BN93" s="67">
        <v>0</v>
      </c>
    </row>
    <row r="94" spans="1:66" ht="15.6" x14ac:dyDescent="0.3">
      <c r="A94" s="169">
        <v>82</v>
      </c>
      <c r="B94" s="205" t="s">
        <v>228</v>
      </c>
      <c r="C94" s="66">
        <v>0</v>
      </c>
      <c r="D94" s="66">
        <v>0</v>
      </c>
      <c r="E94" s="66">
        <v>0</v>
      </c>
      <c r="F94" s="66">
        <v>0</v>
      </c>
      <c r="G94" s="66">
        <v>0</v>
      </c>
      <c r="H94" s="66">
        <v>0</v>
      </c>
      <c r="I94" s="66">
        <v>12.487118140000002</v>
      </c>
      <c r="J94" s="66">
        <v>0</v>
      </c>
      <c r="K94" s="66">
        <v>0</v>
      </c>
      <c r="L94" s="66">
        <v>0</v>
      </c>
      <c r="M94" s="66">
        <v>0</v>
      </c>
      <c r="N94" s="67" t="s">
        <v>1230</v>
      </c>
      <c r="O94" s="67" t="s">
        <v>1230</v>
      </c>
      <c r="P94" s="67">
        <v>0</v>
      </c>
      <c r="Q94" s="66">
        <v>12.487118140000002</v>
      </c>
      <c r="R94" s="67">
        <v>0</v>
      </c>
      <c r="S94" s="66">
        <v>0</v>
      </c>
      <c r="T94" s="66">
        <v>0</v>
      </c>
      <c r="U94" s="66">
        <v>0</v>
      </c>
      <c r="V94" s="66">
        <v>0</v>
      </c>
      <c r="W94" s="66">
        <v>0</v>
      </c>
      <c r="X94" s="66">
        <v>0</v>
      </c>
      <c r="Y94" s="66">
        <v>2.0700048</v>
      </c>
      <c r="Z94" s="66">
        <v>0</v>
      </c>
      <c r="AA94" s="66">
        <v>0</v>
      </c>
      <c r="AB94" s="66">
        <v>0</v>
      </c>
      <c r="AC94" s="66">
        <v>0</v>
      </c>
      <c r="AD94" s="67" t="s">
        <v>1230</v>
      </c>
      <c r="AE94" s="67" t="s">
        <v>1230</v>
      </c>
      <c r="AF94" s="67">
        <v>0</v>
      </c>
      <c r="AG94" s="187">
        <v>2.0700048</v>
      </c>
      <c r="AH94" s="67">
        <v>0</v>
      </c>
      <c r="AI94" s="66">
        <v>0</v>
      </c>
      <c r="AJ94" s="66">
        <v>0</v>
      </c>
      <c r="AK94" s="66">
        <v>0</v>
      </c>
      <c r="AL94" s="66">
        <v>0</v>
      </c>
      <c r="AM94" s="66">
        <v>0</v>
      </c>
      <c r="AN94" s="66">
        <v>0</v>
      </c>
      <c r="AO94" s="66">
        <v>1.030936E-2</v>
      </c>
      <c r="AP94" s="66">
        <v>0</v>
      </c>
      <c r="AQ94" s="66">
        <v>0</v>
      </c>
      <c r="AR94" s="66">
        <v>0</v>
      </c>
      <c r="AS94" s="66">
        <v>0</v>
      </c>
      <c r="AT94" s="67" t="s">
        <v>1230</v>
      </c>
      <c r="AU94" s="67" t="s">
        <v>1230</v>
      </c>
      <c r="AV94" s="67">
        <v>0</v>
      </c>
      <c r="AW94" s="187">
        <v>1.030936E-2</v>
      </c>
      <c r="AX94" s="67">
        <v>0</v>
      </c>
      <c r="AY94" s="66">
        <v>0</v>
      </c>
      <c r="AZ94" s="66">
        <v>0</v>
      </c>
      <c r="BA94" s="66">
        <v>0</v>
      </c>
      <c r="BB94" s="66">
        <v>0</v>
      </c>
      <c r="BC94" s="66">
        <v>0</v>
      </c>
      <c r="BD94" s="66">
        <v>0</v>
      </c>
      <c r="BE94" s="66">
        <v>10.406803980000001</v>
      </c>
      <c r="BF94" s="66">
        <v>0</v>
      </c>
      <c r="BG94" s="66">
        <v>0</v>
      </c>
      <c r="BH94" s="66">
        <v>0</v>
      </c>
      <c r="BI94" s="66">
        <v>0</v>
      </c>
      <c r="BJ94" s="67" t="s">
        <v>1230</v>
      </c>
      <c r="BK94" s="67" t="s">
        <v>1230</v>
      </c>
      <c r="BL94" s="67">
        <v>0</v>
      </c>
      <c r="BM94" s="187">
        <v>10.406803980000001</v>
      </c>
      <c r="BN94" s="67">
        <v>0</v>
      </c>
    </row>
    <row r="95" spans="1:66" ht="15.6" x14ac:dyDescent="0.3">
      <c r="A95" s="202">
        <v>83</v>
      </c>
      <c r="B95" s="203" t="s">
        <v>231</v>
      </c>
      <c r="C95" s="61">
        <v>0</v>
      </c>
      <c r="D95" s="61">
        <v>0</v>
      </c>
      <c r="E95" s="61">
        <v>0</v>
      </c>
      <c r="F95" s="61">
        <v>0</v>
      </c>
      <c r="G95" s="61">
        <v>0</v>
      </c>
      <c r="H95" s="61">
        <v>0</v>
      </c>
      <c r="I95" s="61">
        <v>5.082026009999999</v>
      </c>
      <c r="J95" s="61">
        <v>0</v>
      </c>
      <c r="K95" s="61">
        <v>0</v>
      </c>
      <c r="L95" s="61">
        <v>0</v>
      </c>
      <c r="M95" s="61">
        <v>0</v>
      </c>
      <c r="N95" s="61" t="s">
        <v>1230</v>
      </c>
      <c r="O95" s="61" t="s">
        <v>1230</v>
      </c>
      <c r="P95" s="61">
        <v>0</v>
      </c>
      <c r="Q95" s="61">
        <v>5.082026009999999</v>
      </c>
      <c r="R95" s="61">
        <v>0</v>
      </c>
      <c r="S95" s="61">
        <v>0</v>
      </c>
      <c r="T95" s="61">
        <v>0</v>
      </c>
      <c r="U95" s="61">
        <v>0</v>
      </c>
      <c r="V95" s="61">
        <v>0</v>
      </c>
      <c r="W95" s="61">
        <v>0</v>
      </c>
      <c r="X95" s="61">
        <v>0</v>
      </c>
      <c r="Y95" s="61">
        <v>1.8671134900000002</v>
      </c>
      <c r="Z95" s="61">
        <v>0</v>
      </c>
      <c r="AA95" s="61">
        <v>0</v>
      </c>
      <c r="AB95" s="61">
        <v>0</v>
      </c>
      <c r="AC95" s="61">
        <v>0</v>
      </c>
      <c r="AD95" s="61" t="s">
        <v>1230</v>
      </c>
      <c r="AE95" s="61" t="s">
        <v>1230</v>
      </c>
      <c r="AF95" s="61">
        <v>0</v>
      </c>
      <c r="AG95" s="61">
        <v>1.8671134900000002</v>
      </c>
      <c r="AH95" s="61">
        <v>0</v>
      </c>
      <c r="AI95" s="61">
        <v>0</v>
      </c>
      <c r="AJ95" s="61">
        <v>0</v>
      </c>
      <c r="AK95" s="61">
        <v>0</v>
      </c>
      <c r="AL95" s="61">
        <v>0</v>
      </c>
      <c r="AM95" s="61">
        <v>0</v>
      </c>
      <c r="AN95" s="61">
        <v>0</v>
      </c>
      <c r="AO95" s="61">
        <v>2.4449699999999999E-3</v>
      </c>
      <c r="AP95" s="61">
        <v>0</v>
      </c>
      <c r="AQ95" s="61">
        <v>0</v>
      </c>
      <c r="AR95" s="61">
        <v>0</v>
      </c>
      <c r="AS95" s="61">
        <v>0</v>
      </c>
      <c r="AT95" s="61" t="s">
        <v>1230</v>
      </c>
      <c r="AU95" s="61" t="s">
        <v>1230</v>
      </c>
      <c r="AV95" s="61">
        <v>0</v>
      </c>
      <c r="AW95" s="61">
        <v>2.4449699999999999E-3</v>
      </c>
      <c r="AX95" s="61">
        <v>0</v>
      </c>
      <c r="AY95" s="61">
        <v>0</v>
      </c>
      <c r="AZ95" s="61">
        <v>0</v>
      </c>
      <c r="BA95" s="61">
        <v>0</v>
      </c>
      <c r="BB95" s="61">
        <v>0</v>
      </c>
      <c r="BC95" s="61">
        <v>0</v>
      </c>
      <c r="BD95" s="61">
        <v>0</v>
      </c>
      <c r="BE95" s="61">
        <v>3.2124675500000004</v>
      </c>
      <c r="BF95" s="61">
        <v>0</v>
      </c>
      <c r="BG95" s="61">
        <v>0</v>
      </c>
      <c r="BH95" s="61">
        <v>0</v>
      </c>
      <c r="BI95" s="61">
        <v>0</v>
      </c>
      <c r="BJ95" s="61" t="s">
        <v>1230</v>
      </c>
      <c r="BK95" s="61" t="s">
        <v>1230</v>
      </c>
      <c r="BL95" s="61">
        <v>0</v>
      </c>
      <c r="BM95" s="61">
        <v>3.2124675500000004</v>
      </c>
      <c r="BN95" s="61">
        <v>0</v>
      </c>
    </row>
    <row r="96" spans="1:66" ht="15.6" x14ac:dyDescent="0.3">
      <c r="A96" s="169">
        <v>84</v>
      </c>
      <c r="B96" s="205" t="s">
        <v>198</v>
      </c>
      <c r="C96" s="66">
        <v>0</v>
      </c>
      <c r="D96" s="66">
        <v>0</v>
      </c>
      <c r="E96" s="66">
        <v>0</v>
      </c>
      <c r="F96" s="66">
        <v>0</v>
      </c>
      <c r="G96" s="66">
        <v>0</v>
      </c>
      <c r="H96" s="66">
        <v>0</v>
      </c>
      <c r="I96" s="66">
        <v>6.6419000000000001E-3</v>
      </c>
      <c r="J96" s="66">
        <v>0</v>
      </c>
      <c r="K96" s="66">
        <v>0</v>
      </c>
      <c r="L96" s="66">
        <v>0</v>
      </c>
      <c r="M96" s="66">
        <v>0</v>
      </c>
      <c r="N96" s="67" t="s">
        <v>1230</v>
      </c>
      <c r="O96" s="67" t="s">
        <v>1230</v>
      </c>
      <c r="P96" s="67">
        <v>0</v>
      </c>
      <c r="Q96" s="66">
        <v>6.6419000000000001E-3</v>
      </c>
      <c r="R96" s="67">
        <v>0</v>
      </c>
      <c r="S96" s="66">
        <v>0</v>
      </c>
      <c r="T96" s="66">
        <v>0</v>
      </c>
      <c r="U96" s="66">
        <v>0</v>
      </c>
      <c r="V96" s="66">
        <v>0</v>
      </c>
      <c r="W96" s="66">
        <v>0</v>
      </c>
      <c r="X96" s="66">
        <v>0</v>
      </c>
      <c r="Y96" s="66">
        <v>6.6419000000000001E-3</v>
      </c>
      <c r="Z96" s="66">
        <v>0</v>
      </c>
      <c r="AA96" s="66">
        <v>0</v>
      </c>
      <c r="AB96" s="66">
        <v>0</v>
      </c>
      <c r="AC96" s="66">
        <v>0</v>
      </c>
      <c r="AD96" s="67" t="s">
        <v>1230</v>
      </c>
      <c r="AE96" s="67" t="s">
        <v>1230</v>
      </c>
      <c r="AF96" s="67">
        <v>0</v>
      </c>
      <c r="AG96" s="187">
        <v>6.6419000000000001E-3</v>
      </c>
      <c r="AH96" s="67">
        <v>0</v>
      </c>
      <c r="AI96" s="66">
        <v>0</v>
      </c>
      <c r="AJ96" s="66">
        <v>0</v>
      </c>
      <c r="AK96" s="66">
        <v>0</v>
      </c>
      <c r="AL96" s="66">
        <v>0</v>
      </c>
      <c r="AM96" s="66">
        <v>0</v>
      </c>
      <c r="AN96" s="66">
        <v>0</v>
      </c>
      <c r="AO96" s="66">
        <v>0</v>
      </c>
      <c r="AP96" s="66">
        <v>0</v>
      </c>
      <c r="AQ96" s="66">
        <v>0</v>
      </c>
      <c r="AR96" s="66">
        <v>0</v>
      </c>
      <c r="AS96" s="66">
        <v>0</v>
      </c>
      <c r="AT96" s="67" t="s">
        <v>1230</v>
      </c>
      <c r="AU96" s="67" t="s">
        <v>1230</v>
      </c>
      <c r="AV96" s="67">
        <v>0</v>
      </c>
      <c r="AW96" s="187">
        <v>0</v>
      </c>
      <c r="AX96" s="67">
        <v>0</v>
      </c>
      <c r="AY96" s="66">
        <v>0</v>
      </c>
      <c r="AZ96" s="66">
        <v>0</v>
      </c>
      <c r="BA96" s="66">
        <v>0</v>
      </c>
      <c r="BB96" s="66">
        <v>0</v>
      </c>
      <c r="BC96" s="66">
        <v>0</v>
      </c>
      <c r="BD96" s="66">
        <v>0</v>
      </c>
      <c r="BE96" s="66">
        <v>0</v>
      </c>
      <c r="BF96" s="66">
        <v>0</v>
      </c>
      <c r="BG96" s="66">
        <v>0</v>
      </c>
      <c r="BH96" s="66">
        <v>0</v>
      </c>
      <c r="BI96" s="66">
        <v>0</v>
      </c>
      <c r="BJ96" s="67" t="s">
        <v>1230</v>
      </c>
      <c r="BK96" s="67" t="s">
        <v>1230</v>
      </c>
      <c r="BL96" s="67">
        <v>0</v>
      </c>
      <c r="BM96" s="187">
        <v>0</v>
      </c>
      <c r="BN96" s="67">
        <v>0</v>
      </c>
    </row>
    <row r="97" spans="1:66" ht="15.6" x14ac:dyDescent="0.3">
      <c r="A97" s="169">
        <v>85</v>
      </c>
      <c r="B97" s="205" t="s">
        <v>234</v>
      </c>
      <c r="C97" s="66">
        <v>0</v>
      </c>
      <c r="D97" s="66">
        <v>0</v>
      </c>
      <c r="E97" s="66">
        <v>0</v>
      </c>
      <c r="F97" s="66">
        <v>0</v>
      </c>
      <c r="G97" s="66">
        <v>0</v>
      </c>
      <c r="H97" s="66">
        <v>0</v>
      </c>
      <c r="I97" s="66">
        <v>0</v>
      </c>
      <c r="J97" s="66">
        <v>0</v>
      </c>
      <c r="K97" s="66">
        <v>0</v>
      </c>
      <c r="L97" s="66">
        <v>0</v>
      </c>
      <c r="M97" s="66">
        <v>0</v>
      </c>
      <c r="N97" s="67" t="s">
        <v>1230</v>
      </c>
      <c r="O97" s="67" t="s">
        <v>1230</v>
      </c>
      <c r="P97" s="67">
        <v>0</v>
      </c>
      <c r="Q97" s="66">
        <v>0</v>
      </c>
      <c r="R97" s="67">
        <v>0</v>
      </c>
      <c r="S97" s="66">
        <v>0</v>
      </c>
      <c r="T97" s="66">
        <v>0</v>
      </c>
      <c r="U97" s="66">
        <v>0</v>
      </c>
      <c r="V97" s="66">
        <v>0</v>
      </c>
      <c r="W97" s="66">
        <v>0</v>
      </c>
      <c r="X97" s="66">
        <v>0</v>
      </c>
      <c r="Y97" s="66">
        <v>0</v>
      </c>
      <c r="Z97" s="66">
        <v>0</v>
      </c>
      <c r="AA97" s="66">
        <v>0</v>
      </c>
      <c r="AB97" s="66">
        <v>0</v>
      </c>
      <c r="AC97" s="66">
        <v>0</v>
      </c>
      <c r="AD97" s="67" t="s">
        <v>1230</v>
      </c>
      <c r="AE97" s="67" t="s">
        <v>1230</v>
      </c>
      <c r="AF97" s="67">
        <v>0</v>
      </c>
      <c r="AG97" s="187">
        <v>0</v>
      </c>
      <c r="AH97" s="67">
        <v>0</v>
      </c>
      <c r="AI97" s="66">
        <v>0</v>
      </c>
      <c r="AJ97" s="66">
        <v>0</v>
      </c>
      <c r="AK97" s="66">
        <v>0</v>
      </c>
      <c r="AL97" s="66">
        <v>0</v>
      </c>
      <c r="AM97" s="66">
        <v>0</v>
      </c>
      <c r="AN97" s="66">
        <v>0</v>
      </c>
      <c r="AO97" s="66">
        <v>0</v>
      </c>
      <c r="AP97" s="66">
        <v>0</v>
      </c>
      <c r="AQ97" s="66">
        <v>0</v>
      </c>
      <c r="AR97" s="66">
        <v>0</v>
      </c>
      <c r="AS97" s="66">
        <v>0</v>
      </c>
      <c r="AT97" s="67" t="s">
        <v>1230</v>
      </c>
      <c r="AU97" s="67" t="s">
        <v>1230</v>
      </c>
      <c r="AV97" s="67">
        <v>0</v>
      </c>
      <c r="AW97" s="187">
        <v>0</v>
      </c>
      <c r="AX97" s="67">
        <v>0</v>
      </c>
      <c r="AY97" s="66">
        <v>0</v>
      </c>
      <c r="AZ97" s="66">
        <v>0</v>
      </c>
      <c r="BA97" s="66">
        <v>0</v>
      </c>
      <c r="BB97" s="66">
        <v>0</v>
      </c>
      <c r="BC97" s="66">
        <v>0</v>
      </c>
      <c r="BD97" s="66">
        <v>0</v>
      </c>
      <c r="BE97" s="66">
        <v>0</v>
      </c>
      <c r="BF97" s="66">
        <v>0</v>
      </c>
      <c r="BG97" s="66">
        <v>0</v>
      </c>
      <c r="BH97" s="66">
        <v>0</v>
      </c>
      <c r="BI97" s="66">
        <v>0</v>
      </c>
      <c r="BJ97" s="67" t="s">
        <v>1230</v>
      </c>
      <c r="BK97" s="67" t="s">
        <v>1230</v>
      </c>
      <c r="BL97" s="67">
        <v>0</v>
      </c>
      <c r="BM97" s="187">
        <v>0</v>
      </c>
      <c r="BN97" s="67">
        <v>0</v>
      </c>
    </row>
    <row r="98" spans="1:66" ht="15.6" x14ac:dyDescent="0.3">
      <c r="A98" s="169">
        <v>86</v>
      </c>
      <c r="B98" s="205" t="s">
        <v>210</v>
      </c>
      <c r="C98" s="66">
        <v>0</v>
      </c>
      <c r="D98" s="66">
        <v>0</v>
      </c>
      <c r="E98" s="66">
        <v>0</v>
      </c>
      <c r="F98" s="66">
        <v>0</v>
      </c>
      <c r="G98" s="66">
        <v>0</v>
      </c>
      <c r="H98" s="66">
        <v>0</v>
      </c>
      <c r="I98" s="66">
        <v>2.3602234600000003</v>
      </c>
      <c r="J98" s="66">
        <v>0</v>
      </c>
      <c r="K98" s="66">
        <v>0</v>
      </c>
      <c r="L98" s="66">
        <v>0</v>
      </c>
      <c r="M98" s="66">
        <v>0</v>
      </c>
      <c r="N98" s="67" t="s">
        <v>1230</v>
      </c>
      <c r="O98" s="67" t="s">
        <v>1230</v>
      </c>
      <c r="P98" s="67">
        <v>0</v>
      </c>
      <c r="Q98" s="66">
        <v>2.3602234600000003</v>
      </c>
      <c r="R98" s="67">
        <v>0</v>
      </c>
      <c r="S98" s="66">
        <v>0</v>
      </c>
      <c r="T98" s="66">
        <v>0</v>
      </c>
      <c r="U98" s="66">
        <v>0</v>
      </c>
      <c r="V98" s="66">
        <v>0</v>
      </c>
      <c r="W98" s="66">
        <v>0</v>
      </c>
      <c r="X98" s="66">
        <v>0</v>
      </c>
      <c r="Y98" s="66">
        <v>0.16155512</v>
      </c>
      <c r="Z98" s="66">
        <v>0</v>
      </c>
      <c r="AA98" s="66">
        <v>0</v>
      </c>
      <c r="AB98" s="66">
        <v>0</v>
      </c>
      <c r="AC98" s="66">
        <v>0</v>
      </c>
      <c r="AD98" s="67" t="s">
        <v>1230</v>
      </c>
      <c r="AE98" s="67" t="s">
        <v>1230</v>
      </c>
      <c r="AF98" s="67">
        <v>0</v>
      </c>
      <c r="AG98" s="187">
        <v>0.16155512</v>
      </c>
      <c r="AH98" s="67">
        <v>0</v>
      </c>
      <c r="AI98" s="66">
        <v>0</v>
      </c>
      <c r="AJ98" s="66">
        <v>0</v>
      </c>
      <c r="AK98" s="66">
        <v>0</v>
      </c>
      <c r="AL98" s="66">
        <v>0</v>
      </c>
      <c r="AM98" s="66">
        <v>0</v>
      </c>
      <c r="AN98" s="66">
        <v>0</v>
      </c>
      <c r="AO98" s="66">
        <v>2.4449699999999999E-3</v>
      </c>
      <c r="AP98" s="66">
        <v>0</v>
      </c>
      <c r="AQ98" s="66">
        <v>0</v>
      </c>
      <c r="AR98" s="66">
        <v>0</v>
      </c>
      <c r="AS98" s="66">
        <v>0</v>
      </c>
      <c r="AT98" s="67" t="s">
        <v>1230</v>
      </c>
      <c r="AU98" s="67" t="s">
        <v>1230</v>
      </c>
      <c r="AV98" s="67">
        <v>0</v>
      </c>
      <c r="AW98" s="187">
        <v>2.4449699999999999E-3</v>
      </c>
      <c r="AX98" s="67">
        <v>0</v>
      </c>
      <c r="AY98" s="66">
        <v>0</v>
      </c>
      <c r="AZ98" s="66">
        <v>0</v>
      </c>
      <c r="BA98" s="66">
        <v>0</v>
      </c>
      <c r="BB98" s="66">
        <v>0</v>
      </c>
      <c r="BC98" s="66">
        <v>0</v>
      </c>
      <c r="BD98" s="66">
        <v>0</v>
      </c>
      <c r="BE98" s="66">
        <v>2.1962233700000002</v>
      </c>
      <c r="BF98" s="66">
        <v>0</v>
      </c>
      <c r="BG98" s="66">
        <v>0</v>
      </c>
      <c r="BH98" s="66">
        <v>0</v>
      </c>
      <c r="BI98" s="66">
        <v>0</v>
      </c>
      <c r="BJ98" s="67" t="s">
        <v>1230</v>
      </c>
      <c r="BK98" s="67" t="s">
        <v>1230</v>
      </c>
      <c r="BL98" s="67">
        <v>0</v>
      </c>
      <c r="BM98" s="187">
        <v>2.1962233700000002</v>
      </c>
      <c r="BN98" s="67">
        <v>0</v>
      </c>
    </row>
    <row r="99" spans="1:66" ht="15.6" x14ac:dyDescent="0.3">
      <c r="A99" s="169">
        <v>87</v>
      </c>
      <c r="B99" s="205" t="s">
        <v>237</v>
      </c>
      <c r="C99" s="66">
        <v>0</v>
      </c>
      <c r="D99" s="66">
        <v>0</v>
      </c>
      <c r="E99" s="66">
        <v>0</v>
      </c>
      <c r="F99" s="66">
        <v>0</v>
      </c>
      <c r="G99" s="66">
        <v>0</v>
      </c>
      <c r="H99" s="66">
        <v>0</v>
      </c>
      <c r="I99" s="66">
        <v>0.62578123999999991</v>
      </c>
      <c r="J99" s="66">
        <v>0</v>
      </c>
      <c r="K99" s="66">
        <v>0</v>
      </c>
      <c r="L99" s="66">
        <v>0</v>
      </c>
      <c r="M99" s="66">
        <v>0</v>
      </c>
      <c r="N99" s="67" t="s">
        <v>1230</v>
      </c>
      <c r="O99" s="67" t="s">
        <v>1230</v>
      </c>
      <c r="P99" s="67">
        <v>0</v>
      </c>
      <c r="Q99" s="66">
        <v>0.62578123999999991</v>
      </c>
      <c r="R99" s="67">
        <v>0</v>
      </c>
      <c r="S99" s="66">
        <v>0</v>
      </c>
      <c r="T99" s="66">
        <v>0</v>
      </c>
      <c r="U99" s="66">
        <v>0</v>
      </c>
      <c r="V99" s="66">
        <v>0</v>
      </c>
      <c r="W99" s="66">
        <v>0</v>
      </c>
      <c r="X99" s="66">
        <v>0</v>
      </c>
      <c r="Y99" s="66">
        <v>0.23952526999999998</v>
      </c>
      <c r="Z99" s="66">
        <v>0</v>
      </c>
      <c r="AA99" s="66">
        <v>0</v>
      </c>
      <c r="AB99" s="66">
        <v>0</v>
      </c>
      <c r="AC99" s="66">
        <v>0</v>
      </c>
      <c r="AD99" s="67" t="s">
        <v>1230</v>
      </c>
      <c r="AE99" s="67" t="s">
        <v>1230</v>
      </c>
      <c r="AF99" s="67">
        <v>0</v>
      </c>
      <c r="AG99" s="187">
        <v>0.23952526999999998</v>
      </c>
      <c r="AH99" s="67">
        <v>0</v>
      </c>
      <c r="AI99" s="66">
        <v>0</v>
      </c>
      <c r="AJ99" s="66">
        <v>0</v>
      </c>
      <c r="AK99" s="66">
        <v>0</v>
      </c>
      <c r="AL99" s="66">
        <v>0</v>
      </c>
      <c r="AM99" s="66">
        <v>0</v>
      </c>
      <c r="AN99" s="66">
        <v>0</v>
      </c>
      <c r="AO99" s="66">
        <v>0</v>
      </c>
      <c r="AP99" s="66">
        <v>0</v>
      </c>
      <c r="AQ99" s="66">
        <v>0</v>
      </c>
      <c r="AR99" s="66">
        <v>0</v>
      </c>
      <c r="AS99" s="66">
        <v>0</v>
      </c>
      <c r="AT99" s="67" t="s">
        <v>1230</v>
      </c>
      <c r="AU99" s="67" t="s">
        <v>1230</v>
      </c>
      <c r="AV99" s="67">
        <v>0</v>
      </c>
      <c r="AW99" s="187">
        <v>0</v>
      </c>
      <c r="AX99" s="67">
        <v>0</v>
      </c>
      <c r="AY99" s="66">
        <v>0</v>
      </c>
      <c r="AZ99" s="66">
        <v>0</v>
      </c>
      <c r="BA99" s="66">
        <v>0</v>
      </c>
      <c r="BB99" s="66">
        <v>0</v>
      </c>
      <c r="BC99" s="66">
        <v>0</v>
      </c>
      <c r="BD99" s="66">
        <v>0</v>
      </c>
      <c r="BE99" s="66">
        <v>0.38625596999999995</v>
      </c>
      <c r="BF99" s="66">
        <v>0</v>
      </c>
      <c r="BG99" s="66">
        <v>0</v>
      </c>
      <c r="BH99" s="66">
        <v>0</v>
      </c>
      <c r="BI99" s="66">
        <v>0</v>
      </c>
      <c r="BJ99" s="67" t="s">
        <v>1230</v>
      </c>
      <c r="BK99" s="67" t="s">
        <v>1230</v>
      </c>
      <c r="BL99" s="67">
        <v>0</v>
      </c>
      <c r="BM99" s="187">
        <v>0.38625596999999995</v>
      </c>
      <c r="BN99" s="67">
        <v>0</v>
      </c>
    </row>
    <row r="100" spans="1:66" ht="15.6" x14ac:dyDescent="0.3">
      <c r="A100" s="169">
        <v>88</v>
      </c>
      <c r="B100" s="205" t="s">
        <v>240</v>
      </c>
      <c r="C100" s="66">
        <v>0</v>
      </c>
      <c r="D100" s="66">
        <v>0</v>
      </c>
      <c r="E100" s="66">
        <v>0</v>
      </c>
      <c r="F100" s="66">
        <v>0</v>
      </c>
      <c r="G100" s="66">
        <v>0</v>
      </c>
      <c r="H100" s="66">
        <v>0</v>
      </c>
      <c r="I100" s="66">
        <v>1.3149930599999999</v>
      </c>
      <c r="J100" s="66">
        <v>0</v>
      </c>
      <c r="K100" s="66">
        <v>0</v>
      </c>
      <c r="L100" s="66">
        <v>0</v>
      </c>
      <c r="M100" s="66">
        <v>0</v>
      </c>
      <c r="N100" s="67" t="s">
        <v>1230</v>
      </c>
      <c r="O100" s="67" t="s">
        <v>1230</v>
      </c>
      <c r="P100" s="67">
        <v>0</v>
      </c>
      <c r="Q100" s="66">
        <v>1.3149930599999999</v>
      </c>
      <c r="R100" s="67">
        <v>0</v>
      </c>
      <c r="S100" s="66">
        <v>0</v>
      </c>
      <c r="T100" s="66">
        <v>0</v>
      </c>
      <c r="U100" s="66">
        <v>0</v>
      </c>
      <c r="V100" s="66">
        <v>0</v>
      </c>
      <c r="W100" s="66">
        <v>0</v>
      </c>
      <c r="X100" s="66">
        <v>0</v>
      </c>
      <c r="Y100" s="66">
        <v>1.12048839</v>
      </c>
      <c r="Z100" s="66">
        <v>0</v>
      </c>
      <c r="AA100" s="66">
        <v>0</v>
      </c>
      <c r="AB100" s="66">
        <v>0</v>
      </c>
      <c r="AC100" s="66">
        <v>0</v>
      </c>
      <c r="AD100" s="67" t="s">
        <v>1230</v>
      </c>
      <c r="AE100" s="67" t="s">
        <v>1230</v>
      </c>
      <c r="AF100" s="67">
        <v>0</v>
      </c>
      <c r="AG100" s="187">
        <v>1.12048839</v>
      </c>
      <c r="AH100" s="67">
        <v>0</v>
      </c>
      <c r="AI100" s="66">
        <v>0</v>
      </c>
      <c r="AJ100" s="66">
        <v>0</v>
      </c>
      <c r="AK100" s="66">
        <v>0</v>
      </c>
      <c r="AL100" s="66">
        <v>0</v>
      </c>
      <c r="AM100" s="66">
        <v>0</v>
      </c>
      <c r="AN100" s="66">
        <v>0</v>
      </c>
      <c r="AO100" s="66">
        <v>0</v>
      </c>
      <c r="AP100" s="66">
        <v>0</v>
      </c>
      <c r="AQ100" s="66">
        <v>0</v>
      </c>
      <c r="AR100" s="66">
        <v>0</v>
      </c>
      <c r="AS100" s="66">
        <v>0</v>
      </c>
      <c r="AT100" s="67" t="s">
        <v>1230</v>
      </c>
      <c r="AU100" s="67" t="s">
        <v>1230</v>
      </c>
      <c r="AV100" s="67">
        <v>0</v>
      </c>
      <c r="AW100" s="187">
        <v>0</v>
      </c>
      <c r="AX100" s="67">
        <v>0</v>
      </c>
      <c r="AY100" s="66">
        <v>0</v>
      </c>
      <c r="AZ100" s="66">
        <v>0</v>
      </c>
      <c r="BA100" s="66">
        <v>0</v>
      </c>
      <c r="BB100" s="66">
        <v>0</v>
      </c>
      <c r="BC100" s="66">
        <v>0</v>
      </c>
      <c r="BD100" s="66">
        <v>0</v>
      </c>
      <c r="BE100" s="66">
        <v>0.19450467000000002</v>
      </c>
      <c r="BF100" s="66">
        <v>0</v>
      </c>
      <c r="BG100" s="66">
        <v>0</v>
      </c>
      <c r="BH100" s="66">
        <v>0</v>
      </c>
      <c r="BI100" s="66">
        <v>0</v>
      </c>
      <c r="BJ100" s="67" t="s">
        <v>1230</v>
      </c>
      <c r="BK100" s="67" t="s">
        <v>1230</v>
      </c>
      <c r="BL100" s="67">
        <v>0</v>
      </c>
      <c r="BM100" s="187">
        <v>0.19450467000000002</v>
      </c>
      <c r="BN100" s="67">
        <v>0</v>
      </c>
    </row>
    <row r="101" spans="1:66" ht="15.6" x14ac:dyDescent="0.3">
      <c r="A101" s="169">
        <v>89</v>
      </c>
      <c r="B101" s="205" t="s">
        <v>243</v>
      </c>
      <c r="C101" s="66">
        <v>0</v>
      </c>
      <c r="D101" s="66">
        <v>0</v>
      </c>
      <c r="E101" s="66">
        <v>0</v>
      </c>
      <c r="F101" s="66">
        <v>0</v>
      </c>
      <c r="G101" s="66">
        <v>0</v>
      </c>
      <c r="H101" s="66">
        <v>0</v>
      </c>
      <c r="I101" s="66">
        <v>0</v>
      </c>
      <c r="J101" s="66">
        <v>0</v>
      </c>
      <c r="K101" s="66">
        <v>0</v>
      </c>
      <c r="L101" s="66">
        <v>0</v>
      </c>
      <c r="M101" s="66">
        <v>0</v>
      </c>
      <c r="N101" s="67" t="s">
        <v>1230</v>
      </c>
      <c r="O101" s="67" t="s">
        <v>1230</v>
      </c>
      <c r="P101" s="67">
        <v>0</v>
      </c>
      <c r="Q101" s="66">
        <v>0</v>
      </c>
      <c r="R101" s="67">
        <v>0</v>
      </c>
      <c r="S101" s="66">
        <v>0</v>
      </c>
      <c r="T101" s="66">
        <v>0</v>
      </c>
      <c r="U101" s="66">
        <v>0</v>
      </c>
      <c r="V101" s="66">
        <v>0</v>
      </c>
      <c r="W101" s="66">
        <v>0</v>
      </c>
      <c r="X101" s="66">
        <v>0</v>
      </c>
      <c r="Y101" s="66">
        <v>0</v>
      </c>
      <c r="Z101" s="66">
        <v>0</v>
      </c>
      <c r="AA101" s="66">
        <v>0</v>
      </c>
      <c r="AB101" s="66">
        <v>0</v>
      </c>
      <c r="AC101" s="66">
        <v>0</v>
      </c>
      <c r="AD101" s="67" t="s">
        <v>1230</v>
      </c>
      <c r="AE101" s="67" t="s">
        <v>1230</v>
      </c>
      <c r="AF101" s="67">
        <v>0</v>
      </c>
      <c r="AG101" s="187">
        <v>0</v>
      </c>
      <c r="AH101" s="67">
        <v>0</v>
      </c>
      <c r="AI101" s="66">
        <v>0</v>
      </c>
      <c r="AJ101" s="66">
        <v>0</v>
      </c>
      <c r="AK101" s="66">
        <v>0</v>
      </c>
      <c r="AL101" s="66">
        <v>0</v>
      </c>
      <c r="AM101" s="66">
        <v>0</v>
      </c>
      <c r="AN101" s="66">
        <v>0</v>
      </c>
      <c r="AO101" s="66">
        <v>0</v>
      </c>
      <c r="AP101" s="66">
        <v>0</v>
      </c>
      <c r="AQ101" s="66">
        <v>0</v>
      </c>
      <c r="AR101" s="66">
        <v>0</v>
      </c>
      <c r="AS101" s="66">
        <v>0</v>
      </c>
      <c r="AT101" s="67" t="s">
        <v>1230</v>
      </c>
      <c r="AU101" s="67" t="s">
        <v>1230</v>
      </c>
      <c r="AV101" s="67">
        <v>0</v>
      </c>
      <c r="AW101" s="187">
        <v>0</v>
      </c>
      <c r="AX101" s="67">
        <v>0</v>
      </c>
      <c r="AY101" s="66">
        <v>0</v>
      </c>
      <c r="AZ101" s="66">
        <v>0</v>
      </c>
      <c r="BA101" s="66">
        <v>0</v>
      </c>
      <c r="BB101" s="66">
        <v>0</v>
      </c>
      <c r="BC101" s="66">
        <v>0</v>
      </c>
      <c r="BD101" s="66">
        <v>0</v>
      </c>
      <c r="BE101" s="66">
        <v>0</v>
      </c>
      <c r="BF101" s="66">
        <v>0</v>
      </c>
      <c r="BG101" s="66">
        <v>0</v>
      </c>
      <c r="BH101" s="66">
        <v>0</v>
      </c>
      <c r="BI101" s="66">
        <v>0</v>
      </c>
      <c r="BJ101" s="67" t="s">
        <v>1230</v>
      </c>
      <c r="BK101" s="67" t="s">
        <v>1230</v>
      </c>
      <c r="BL101" s="67">
        <v>0</v>
      </c>
      <c r="BM101" s="187">
        <v>0</v>
      </c>
      <c r="BN101" s="67">
        <v>0</v>
      </c>
    </row>
    <row r="102" spans="1:66" ht="15.6" x14ac:dyDescent="0.3">
      <c r="A102" s="169">
        <v>90</v>
      </c>
      <c r="B102" s="205" t="s">
        <v>246</v>
      </c>
      <c r="C102" s="66">
        <v>0</v>
      </c>
      <c r="D102" s="66">
        <v>0</v>
      </c>
      <c r="E102" s="66">
        <v>0</v>
      </c>
      <c r="F102" s="66">
        <v>0</v>
      </c>
      <c r="G102" s="66">
        <v>0</v>
      </c>
      <c r="H102" s="66">
        <v>0</v>
      </c>
      <c r="I102" s="66">
        <v>0.27063533000000001</v>
      </c>
      <c r="J102" s="66">
        <v>0</v>
      </c>
      <c r="K102" s="66">
        <v>0</v>
      </c>
      <c r="L102" s="66">
        <v>0</v>
      </c>
      <c r="M102" s="66">
        <v>0</v>
      </c>
      <c r="N102" s="67" t="s">
        <v>1230</v>
      </c>
      <c r="O102" s="67" t="s">
        <v>1230</v>
      </c>
      <c r="P102" s="67">
        <v>0</v>
      </c>
      <c r="Q102" s="66">
        <v>0.27063533000000001</v>
      </c>
      <c r="R102" s="67">
        <v>0</v>
      </c>
      <c r="S102" s="66">
        <v>0</v>
      </c>
      <c r="T102" s="66">
        <v>0</v>
      </c>
      <c r="U102" s="66">
        <v>0</v>
      </c>
      <c r="V102" s="66">
        <v>0</v>
      </c>
      <c r="W102" s="66">
        <v>0</v>
      </c>
      <c r="X102" s="66">
        <v>0</v>
      </c>
      <c r="Y102" s="66">
        <v>5.256313E-2</v>
      </c>
      <c r="Z102" s="66">
        <v>0</v>
      </c>
      <c r="AA102" s="66">
        <v>0</v>
      </c>
      <c r="AB102" s="66">
        <v>0</v>
      </c>
      <c r="AC102" s="66">
        <v>0</v>
      </c>
      <c r="AD102" s="67" t="s">
        <v>1230</v>
      </c>
      <c r="AE102" s="67" t="s">
        <v>1230</v>
      </c>
      <c r="AF102" s="67">
        <v>0</v>
      </c>
      <c r="AG102" s="187">
        <v>5.256313E-2</v>
      </c>
      <c r="AH102" s="67">
        <v>0</v>
      </c>
      <c r="AI102" s="66">
        <v>0</v>
      </c>
      <c r="AJ102" s="66">
        <v>0</v>
      </c>
      <c r="AK102" s="66">
        <v>0</v>
      </c>
      <c r="AL102" s="66">
        <v>0</v>
      </c>
      <c r="AM102" s="66">
        <v>0</v>
      </c>
      <c r="AN102" s="66">
        <v>0</v>
      </c>
      <c r="AO102" s="66">
        <v>0</v>
      </c>
      <c r="AP102" s="66">
        <v>0</v>
      </c>
      <c r="AQ102" s="66">
        <v>0</v>
      </c>
      <c r="AR102" s="66">
        <v>0</v>
      </c>
      <c r="AS102" s="66">
        <v>0</v>
      </c>
      <c r="AT102" s="67" t="s">
        <v>1230</v>
      </c>
      <c r="AU102" s="67" t="s">
        <v>1230</v>
      </c>
      <c r="AV102" s="67">
        <v>0</v>
      </c>
      <c r="AW102" s="187">
        <v>0</v>
      </c>
      <c r="AX102" s="67">
        <v>0</v>
      </c>
      <c r="AY102" s="66">
        <v>0</v>
      </c>
      <c r="AZ102" s="66">
        <v>0</v>
      </c>
      <c r="BA102" s="66">
        <v>0</v>
      </c>
      <c r="BB102" s="66">
        <v>0</v>
      </c>
      <c r="BC102" s="66">
        <v>0</v>
      </c>
      <c r="BD102" s="66">
        <v>0</v>
      </c>
      <c r="BE102" s="66">
        <v>0.21807220000000002</v>
      </c>
      <c r="BF102" s="66">
        <v>0</v>
      </c>
      <c r="BG102" s="66">
        <v>0</v>
      </c>
      <c r="BH102" s="66">
        <v>0</v>
      </c>
      <c r="BI102" s="66">
        <v>0</v>
      </c>
      <c r="BJ102" s="67" t="s">
        <v>1230</v>
      </c>
      <c r="BK102" s="67" t="s">
        <v>1230</v>
      </c>
      <c r="BL102" s="67">
        <v>0</v>
      </c>
      <c r="BM102" s="187">
        <v>0.21807220000000002</v>
      </c>
      <c r="BN102" s="67">
        <v>0</v>
      </c>
    </row>
    <row r="103" spans="1:66" ht="15.6" x14ac:dyDescent="0.3">
      <c r="A103" s="169">
        <v>91</v>
      </c>
      <c r="B103" s="205" t="s">
        <v>249</v>
      </c>
      <c r="C103" s="66">
        <v>0</v>
      </c>
      <c r="D103" s="66">
        <v>0</v>
      </c>
      <c r="E103" s="66">
        <v>0</v>
      </c>
      <c r="F103" s="66">
        <v>0</v>
      </c>
      <c r="G103" s="66">
        <v>0</v>
      </c>
      <c r="H103" s="66">
        <v>0</v>
      </c>
      <c r="I103" s="66">
        <v>0.46794144000000004</v>
      </c>
      <c r="J103" s="66">
        <v>0</v>
      </c>
      <c r="K103" s="66">
        <v>0</v>
      </c>
      <c r="L103" s="66">
        <v>0</v>
      </c>
      <c r="M103" s="66">
        <v>0</v>
      </c>
      <c r="N103" s="67" t="s">
        <v>1230</v>
      </c>
      <c r="O103" s="67" t="s">
        <v>1230</v>
      </c>
      <c r="P103" s="67">
        <v>0</v>
      </c>
      <c r="Q103" s="66">
        <v>0.46794144000000004</v>
      </c>
      <c r="R103" s="67">
        <v>0</v>
      </c>
      <c r="S103" s="66">
        <v>0</v>
      </c>
      <c r="T103" s="66">
        <v>0</v>
      </c>
      <c r="U103" s="66">
        <v>0</v>
      </c>
      <c r="V103" s="66">
        <v>0</v>
      </c>
      <c r="W103" s="66">
        <v>0</v>
      </c>
      <c r="X103" s="66">
        <v>0</v>
      </c>
      <c r="Y103" s="66">
        <v>0.25705798000000002</v>
      </c>
      <c r="Z103" s="66">
        <v>0</v>
      </c>
      <c r="AA103" s="66">
        <v>0</v>
      </c>
      <c r="AB103" s="66">
        <v>0</v>
      </c>
      <c r="AC103" s="66">
        <v>0</v>
      </c>
      <c r="AD103" s="67" t="s">
        <v>1230</v>
      </c>
      <c r="AE103" s="67" t="s">
        <v>1230</v>
      </c>
      <c r="AF103" s="67">
        <v>0</v>
      </c>
      <c r="AG103" s="187">
        <v>0.25705798000000002</v>
      </c>
      <c r="AH103" s="67">
        <v>0</v>
      </c>
      <c r="AI103" s="66">
        <v>0</v>
      </c>
      <c r="AJ103" s="66">
        <v>0</v>
      </c>
      <c r="AK103" s="66">
        <v>0</v>
      </c>
      <c r="AL103" s="66">
        <v>0</v>
      </c>
      <c r="AM103" s="66">
        <v>0</v>
      </c>
      <c r="AN103" s="66">
        <v>0</v>
      </c>
      <c r="AO103" s="66">
        <v>0</v>
      </c>
      <c r="AP103" s="66">
        <v>0</v>
      </c>
      <c r="AQ103" s="66">
        <v>0</v>
      </c>
      <c r="AR103" s="66">
        <v>0</v>
      </c>
      <c r="AS103" s="66">
        <v>0</v>
      </c>
      <c r="AT103" s="67" t="s">
        <v>1230</v>
      </c>
      <c r="AU103" s="67" t="s">
        <v>1230</v>
      </c>
      <c r="AV103" s="67">
        <v>0</v>
      </c>
      <c r="AW103" s="187">
        <v>0</v>
      </c>
      <c r="AX103" s="67">
        <v>0</v>
      </c>
      <c r="AY103" s="66">
        <v>0</v>
      </c>
      <c r="AZ103" s="66">
        <v>0</v>
      </c>
      <c r="BA103" s="66">
        <v>0</v>
      </c>
      <c r="BB103" s="66">
        <v>0</v>
      </c>
      <c r="BC103" s="66">
        <v>0</v>
      </c>
      <c r="BD103" s="66">
        <v>0</v>
      </c>
      <c r="BE103" s="66">
        <v>0.21088345999999999</v>
      </c>
      <c r="BF103" s="66">
        <v>0</v>
      </c>
      <c r="BG103" s="66">
        <v>0</v>
      </c>
      <c r="BH103" s="66">
        <v>0</v>
      </c>
      <c r="BI103" s="66">
        <v>0</v>
      </c>
      <c r="BJ103" s="67" t="s">
        <v>1230</v>
      </c>
      <c r="BK103" s="67" t="s">
        <v>1230</v>
      </c>
      <c r="BL103" s="67">
        <v>0</v>
      </c>
      <c r="BM103" s="187">
        <v>0.21088345999999999</v>
      </c>
      <c r="BN103" s="67">
        <v>0</v>
      </c>
    </row>
    <row r="104" spans="1:66" ht="15.6" x14ac:dyDescent="0.3">
      <c r="A104" s="169">
        <v>92</v>
      </c>
      <c r="B104" s="205" t="s">
        <v>252</v>
      </c>
      <c r="C104" s="66">
        <v>0</v>
      </c>
      <c r="D104" s="66">
        <v>0</v>
      </c>
      <c r="E104" s="66">
        <v>0</v>
      </c>
      <c r="F104" s="66">
        <v>0</v>
      </c>
      <c r="G104" s="66">
        <v>0</v>
      </c>
      <c r="H104" s="66">
        <v>0</v>
      </c>
      <c r="I104" s="66">
        <v>0</v>
      </c>
      <c r="J104" s="66">
        <v>0</v>
      </c>
      <c r="K104" s="66">
        <v>0</v>
      </c>
      <c r="L104" s="66">
        <v>0</v>
      </c>
      <c r="M104" s="66">
        <v>0</v>
      </c>
      <c r="N104" s="67" t="s">
        <v>1230</v>
      </c>
      <c r="O104" s="67" t="s">
        <v>1230</v>
      </c>
      <c r="P104" s="67">
        <v>0</v>
      </c>
      <c r="Q104" s="66">
        <v>0</v>
      </c>
      <c r="R104" s="67">
        <v>0</v>
      </c>
      <c r="S104" s="66">
        <v>0</v>
      </c>
      <c r="T104" s="66">
        <v>0</v>
      </c>
      <c r="U104" s="66">
        <v>0</v>
      </c>
      <c r="V104" s="66">
        <v>0</v>
      </c>
      <c r="W104" s="66">
        <v>0</v>
      </c>
      <c r="X104" s="66">
        <v>0</v>
      </c>
      <c r="Y104" s="66">
        <v>0</v>
      </c>
      <c r="Z104" s="66">
        <v>0</v>
      </c>
      <c r="AA104" s="66">
        <v>0</v>
      </c>
      <c r="AB104" s="66">
        <v>0</v>
      </c>
      <c r="AC104" s="66">
        <v>0</v>
      </c>
      <c r="AD104" s="67" t="s">
        <v>1230</v>
      </c>
      <c r="AE104" s="67" t="s">
        <v>1230</v>
      </c>
      <c r="AF104" s="67">
        <v>0</v>
      </c>
      <c r="AG104" s="187">
        <v>0</v>
      </c>
      <c r="AH104" s="67">
        <v>0</v>
      </c>
      <c r="AI104" s="66">
        <v>0</v>
      </c>
      <c r="AJ104" s="66">
        <v>0</v>
      </c>
      <c r="AK104" s="66">
        <v>0</v>
      </c>
      <c r="AL104" s="66">
        <v>0</v>
      </c>
      <c r="AM104" s="66">
        <v>0</v>
      </c>
      <c r="AN104" s="66">
        <v>0</v>
      </c>
      <c r="AO104" s="66">
        <v>0</v>
      </c>
      <c r="AP104" s="66">
        <v>0</v>
      </c>
      <c r="AQ104" s="66">
        <v>0</v>
      </c>
      <c r="AR104" s="66">
        <v>0</v>
      </c>
      <c r="AS104" s="66">
        <v>0</v>
      </c>
      <c r="AT104" s="67" t="s">
        <v>1230</v>
      </c>
      <c r="AU104" s="67" t="s">
        <v>1230</v>
      </c>
      <c r="AV104" s="67">
        <v>0</v>
      </c>
      <c r="AW104" s="187">
        <v>0</v>
      </c>
      <c r="AX104" s="67">
        <v>0</v>
      </c>
      <c r="AY104" s="66">
        <v>0</v>
      </c>
      <c r="AZ104" s="66">
        <v>0</v>
      </c>
      <c r="BA104" s="66">
        <v>0</v>
      </c>
      <c r="BB104" s="66">
        <v>0</v>
      </c>
      <c r="BC104" s="66">
        <v>0</v>
      </c>
      <c r="BD104" s="66">
        <v>0</v>
      </c>
      <c r="BE104" s="66">
        <v>0</v>
      </c>
      <c r="BF104" s="66">
        <v>0</v>
      </c>
      <c r="BG104" s="66">
        <v>0</v>
      </c>
      <c r="BH104" s="66">
        <v>0</v>
      </c>
      <c r="BI104" s="66">
        <v>0</v>
      </c>
      <c r="BJ104" s="67" t="s">
        <v>1230</v>
      </c>
      <c r="BK104" s="67" t="s">
        <v>1230</v>
      </c>
      <c r="BL104" s="67">
        <v>0</v>
      </c>
      <c r="BM104" s="187">
        <v>0</v>
      </c>
      <c r="BN104" s="67">
        <v>0</v>
      </c>
    </row>
    <row r="105" spans="1:66" ht="15.6" x14ac:dyDescent="0.3">
      <c r="A105" s="169">
        <v>93</v>
      </c>
      <c r="B105" s="205" t="s">
        <v>254</v>
      </c>
      <c r="C105" s="66">
        <v>0</v>
      </c>
      <c r="D105" s="66">
        <v>0</v>
      </c>
      <c r="E105" s="66">
        <v>0</v>
      </c>
      <c r="F105" s="66">
        <v>0</v>
      </c>
      <c r="G105" s="66">
        <v>0</v>
      </c>
      <c r="H105" s="66">
        <v>0</v>
      </c>
      <c r="I105" s="66">
        <v>3.5809580000000001E-2</v>
      </c>
      <c r="J105" s="66">
        <v>0</v>
      </c>
      <c r="K105" s="66">
        <v>0</v>
      </c>
      <c r="L105" s="66">
        <v>0</v>
      </c>
      <c r="M105" s="66">
        <v>0</v>
      </c>
      <c r="N105" s="67" t="s">
        <v>1230</v>
      </c>
      <c r="O105" s="67" t="s">
        <v>1230</v>
      </c>
      <c r="P105" s="67">
        <v>0</v>
      </c>
      <c r="Q105" s="66">
        <v>3.5809580000000001E-2</v>
      </c>
      <c r="R105" s="67">
        <v>0</v>
      </c>
      <c r="S105" s="66">
        <v>0</v>
      </c>
      <c r="T105" s="66">
        <v>0</v>
      </c>
      <c r="U105" s="66">
        <v>0</v>
      </c>
      <c r="V105" s="66">
        <v>0</v>
      </c>
      <c r="W105" s="66">
        <v>0</v>
      </c>
      <c r="X105" s="66">
        <v>0</v>
      </c>
      <c r="Y105" s="66">
        <v>2.9281700000000001E-2</v>
      </c>
      <c r="Z105" s="66">
        <v>0</v>
      </c>
      <c r="AA105" s="66">
        <v>0</v>
      </c>
      <c r="AB105" s="66">
        <v>0</v>
      </c>
      <c r="AC105" s="66">
        <v>0</v>
      </c>
      <c r="AD105" s="67" t="s">
        <v>1230</v>
      </c>
      <c r="AE105" s="67" t="s">
        <v>1230</v>
      </c>
      <c r="AF105" s="67">
        <v>0</v>
      </c>
      <c r="AG105" s="187">
        <v>2.9281700000000001E-2</v>
      </c>
      <c r="AH105" s="67">
        <v>0</v>
      </c>
      <c r="AI105" s="66">
        <v>0</v>
      </c>
      <c r="AJ105" s="66">
        <v>0</v>
      </c>
      <c r="AK105" s="66">
        <v>0</v>
      </c>
      <c r="AL105" s="66">
        <v>0</v>
      </c>
      <c r="AM105" s="66">
        <v>0</v>
      </c>
      <c r="AN105" s="66">
        <v>0</v>
      </c>
      <c r="AO105" s="66">
        <v>0</v>
      </c>
      <c r="AP105" s="66">
        <v>0</v>
      </c>
      <c r="AQ105" s="66">
        <v>0</v>
      </c>
      <c r="AR105" s="66">
        <v>0</v>
      </c>
      <c r="AS105" s="66">
        <v>0</v>
      </c>
      <c r="AT105" s="67" t="s">
        <v>1230</v>
      </c>
      <c r="AU105" s="67" t="s">
        <v>1230</v>
      </c>
      <c r="AV105" s="67">
        <v>0</v>
      </c>
      <c r="AW105" s="187">
        <v>0</v>
      </c>
      <c r="AX105" s="67">
        <v>0</v>
      </c>
      <c r="AY105" s="66">
        <v>0</v>
      </c>
      <c r="AZ105" s="66">
        <v>0</v>
      </c>
      <c r="BA105" s="66">
        <v>0</v>
      </c>
      <c r="BB105" s="66">
        <v>0</v>
      </c>
      <c r="BC105" s="66">
        <v>0</v>
      </c>
      <c r="BD105" s="66">
        <v>0</v>
      </c>
      <c r="BE105" s="66">
        <v>6.5278799999999998E-3</v>
      </c>
      <c r="BF105" s="66">
        <v>0</v>
      </c>
      <c r="BG105" s="66">
        <v>0</v>
      </c>
      <c r="BH105" s="66">
        <v>0</v>
      </c>
      <c r="BI105" s="66">
        <v>0</v>
      </c>
      <c r="BJ105" s="67" t="s">
        <v>1230</v>
      </c>
      <c r="BK105" s="67" t="s">
        <v>1230</v>
      </c>
      <c r="BL105" s="67">
        <v>0</v>
      </c>
      <c r="BM105" s="187">
        <v>6.5278799999999998E-3</v>
      </c>
      <c r="BN105" s="67">
        <v>0</v>
      </c>
    </row>
    <row r="106" spans="1:66" ht="15.6" x14ac:dyDescent="0.3">
      <c r="A106" s="169">
        <v>94</v>
      </c>
      <c r="B106" s="205" t="s">
        <v>256</v>
      </c>
      <c r="C106" s="66">
        <v>0</v>
      </c>
      <c r="D106" s="66">
        <v>0</v>
      </c>
      <c r="E106" s="66">
        <v>0</v>
      </c>
      <c r="F106" s="66">
        <v>0</v>
      </c>
      <c r="G106" s="66">
        <v>0</v>
      </c>
      <c r="H106" s="66">
        <v>0</v>
      </c>
      <c r="I106" s="66">
        <v>0</v>
      </c>
      <c r="J106" s="66">
        <v>0</v>
      </c>
      <c r="K106" s="66">
        <v>0</v>
      </c>
      <c r="L106" s="66">
        <v>0</v>
      </c>
      <c r="M106" s="66">
        <v>0</v>
      </c>
      <c r="N106" s="67" t="s">
        <v>1230</v>
      </c>
      <c r="O106" s="67" t="s">
        <v>1230</v>
      </c>
      <c r="P106" s="67">
        <v>0</v>
      </c>
      <c r="Q106" s="66">
        <v>0</v>
      </c>
      <c r="R106" s="67">
        <v>0</v>
      </c>
      <c r="S106" s="66">
        <v>0</v>
      </c>
      <c r="T106" s="66">
        <v>0</v>
      </c>
      <c r="U106" s="66">
        <v>0</v>
      </c>
      <c r="V106" s="66">
        <v>0</v>
      </c>
      <c r="W106" s="66">
        <v>0</v>
      </c>
      <c r="X106" s="66">
        <v>0</v>
      </c>
      <c r="Y106" s="66">
        <v>0</v>
      </c>
      <c r="Z106" s="66">
        <v>0</v>
      </c>
      <c r="AA106" s="66">
        <v>0</v>
      </c>
      <c r="AB106" s="66">
        <v>0</v>
      </c>
      <c r="AC106" s="66">
        <v>0</v>
      </c>
      <c r="AD106" s="67" t="s">
        <v>1230</v>
      </c>
      <c r="AE106" s="67" t="s">
        <v>1230</v>
      </c>
      <c r="AF106" s="67">
        <v>0</v>
      </c>
      <c r="AG106" s="187">
        <v>0</v>
      </c>
      <c r="AH106" s="67">
        <v>0</v>
      </c>
      <c r="AI106" s="66">
        <v>0</v>
      </c>
      <c r="AJ106" s="66">
        <v>0</v>
      </c>
      <c r="AK106" s="66">
        <v>0</v>
      </c>
      <c r="AL106" s="66">
        <v>0</v>
      </c>
      <c r="AM106" s="66">
        <v>0</v>
      </c>
      <c r="AN106" s="66">
        <v>0</v>
      </c>
      <c r="AO106" s="66">
        <v>0</v>
      </c>
      <c r="AP106" s="66">
        <v>0</v>
      </c>
      <c r="AQ106" s="66">
        <v>0</v>
      </c>
      <c r="AR106" s="66">
        <v>0</v>
      </c>
      <c r="AS106" s="66">
        <v>0</v>
      </c>
      <c r="AT106" s="67" t="s">
        <v>1230</v>
      </c>
      <c r="AU106" s="67" t="s">
        <v>1230</v>
      </c>
      <c r="AV106" s="67">
        <v>0</v>
      </c>
      <c r="AW106" s="187">
        <v>0</v>
      </c>
      <c r="AX106" s="67">
        <v>0</v>
      </c>
      <c r="AY106" s="66">
        <v>0</v>
      </c>
      <c r="AZ106" s="66">
        <v>0</v>
      </c>
      <c r="BA106" s="66">
        <v>0</v>
      </c>
      <c r="BB106" s="66">
        <v>0</v>
      </c>
      <c r="BC106" s="66">
        <v>0</v>
      </c>
      <c r="BD106" s="66">
        <v>0</v>
      </c>
      <c r="BE106" s="66">
        <v>0</v>
      </c>
      <c r="BF106" s="66">
        <v>0</v>
      </c>
      <c r="BG106" s="66">
        <v>0</v>
      </c>
      <c r="BH106" s="66">
        <v>0</v>
      </c>
      <c r="BI106" s="66">
        <v>0</v>
      </c>
      <c r="BJ106" s="67" t="s">
        <v>1230</v>
      </c>
      <c r="BK106" s="67" t="s">
        <v>1230</v>
      </c>
      <c r="BL106" s="67">
        <v>0</v>
      </c>
      <c r="BM106" s="187">
        <v>0</v>
      </c>
      <c r="BN106" s="67">
        <v>0</v>
      </c>
    </row>
  </sheetData>
  <mergeCells count="66">
    <mergeCell ref="AY7:BN8"/>
    <mergeCell ref="AY9:AY11"/>
    <mergeCell ref="AZ9:AZ11"/>
    <mergeCell ref="BA9:BC9"/>
    <mergeCell ref="BD9:BD11"/>
    <mergeCell ref="BE9:BE11"/>
    <mergeCell ref="BF9:BI9"/>
    <mergeCell ref="BJ9:BK10"/>
    <mergeCell ref="BL9:BL11"/>
    <mergeCell ref="BM9:BM11"/>
    <mergeCell ref="BN9:BN11"/>
    <mergeCell ref="BA10:BA11"/>
    <mergeCell ref="AX9:AX11"/>
    <mergeCell ref="BB10:BC10"/>
    <mergeCell ref="BF10:BF11"/>
    <mergeCell ref="BG10:BI10"/>
    <mergeCell ref="AA10:AC10"/>
    <mergeCell ref="U9:W9"/>
    <mergeCell ref="E10:E11"/>
    <mergeCell ref="F10:G10"/>
    <mergeCell ref="J10:J11"/>
    <mergeCell ref="K10:M10"/>
    <mergeCell ref="U10:U11"/>
    <mergeCell ref="T9:T11"/>
    <mergeCell ref="AO9:AO11"/>
    <mergeCell ref="AP9:AS9"/>
    <mergeCell ref="AI9:AI11"/>
    <mergeCell ref="AJ9:AJ11"/>
    <mergeCell ref="AK9:AM9"/>
    <mergeCell ref="AN9:AN11"/>
    <mergeCell ref="AK10:AK11"/>
    <mergeCell ref="AL10:AM10"/>
    <mergeCell ref="AT9:AU10"/>
    <mergeCell ref="AV9:AV11"/>
    <mergeCell ref="AW9:AW11"/>
    <mergeCell ref="AP10:AP11"/>
    <mergeCell ref="AQ10:AS10"/>
    <mergeCell ref="Z9:AC9"/>
    <mergeCell ref="AD9:AE10"/>
    <mergeCell ref="J9:M9"/>
    <mergeCell ref="N9:O10"/>
    <mergeCell ref="P9:P11"/>
    <mergeCell ref="Q9:Q11"/>
    <mergeCell ref="R9:R11"/>
    <mergeCell ref="V10:W10"/>
    <mergeCell ref="Z10:Z11"/>
    <mergeCell ref="X9:X11"/>
    <mergeCell ref="Y9:Y11"/>
    <mergeCell ref="A7:A11"/>
    <mergeCell ref="B7:B11"/>
    <mergeCell ref="C7:R8"/>
    <mergeCell ref="S7:AH8"/>
    <mergeCell ref="AI7:AX8"/>
    <mergeCell ref="C9:C11"/>
    <mergeCell ref="S9:S11"/>
    <mergeCell ref="D9:D11"/>
    <mergeCell ref="E9:G9"/>
    <mergeCell ref="H9:H11"/>
    <mergeCell ref="I9:I11"/>
    <mergeCell ref="AF9:AF11"/>
    <mergeCell ref="AG9:AG11"/>
    <mergeCell ref="AH9:AH11"/>
    <mergeCell ref="D5:E5"/>
    <mergeCell ref="T5:U5"/>
    <mergeCell ref="AJ5:AK5"/>
    <mergeCell ref="AZ5:BA5"/>
  </mergeCells>
  <printOptions horizontalCentered="1"/>
  <pageMargins left="0.11811023622047245" right="0.11811023622047245" top="0.35433070866141736" bottom="0.11811023622047245" header="0.31496062992125984" footer="0.31496062992125984"/>
  <pageSetup paperSize="9" scale="42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D106"/>
  <sheetViews>
    <sheetView view="pageBreakPreview" zoomScale="60" zoomScaleNormal="55" workbookViewId="0">
      <pane xSplit="2" ySplit="12" topLeftCell="C13" activePane="bottomRight" state="frozen"/>
      <selection activeCell="D21" sqref="D21"/>
      <selection pane="topRight" activeCell="D21" sqref="D21"/>
      <selection pane="bottomLeft" activeCell="D21" sqref="D21"/>
      <selection pane="bottomRight" activeCell="D5" sqref="D5:E5"/>
    </sheetView>
  </sheetViews>
  <sheetFormatPr defaultColWidth="9.109375" defaultRowHeight="14.4" outlineLevelCol="1" x14ac:dyDescent="0.3"/>
  <cols>
    <col min="1" max="1" width="5" style="126" customWidth="1"/>
    <col min="2" max="2" width="35.109375" style="126" customWidth="1"/>
    <col min="3" max="4" width="18.6640625" style="126" customWidth="1"/>
    <col min="5" max="6" width="18.6640625" style="126" customWidth="1" outlineLevel="1"/>
    <col min="7" max="15" width="18.6640625" style="126" customWidth="1"/>
    <col min="16" max="18" width="18.6640625" style="126" customWidth="1" outlineLevel="1"/>
    <col min="19" max="20" width="18.6640625" style="126" customWidth="1"/>
    <col min="21" max="22" width="18.6640625" style="126" customWidth="1" outlineLevel="1"/>
    <col min="23" max="31" width="18.6640625" style="126" customWidth="1"/>
    <col min="32" max="34" width="18.6640625" style="126" customWidth="1" outlineLevel="1"/>
    <col min="35" max="36" width="18.6640625" style="126" customWidth="1"/>
    <col min="37" max="38" width="18.6640625" style="126" customWidth="1" outlineLevel="1"/>
    <col min="39" max="47" width="18.6640625" style="126" customWidth="1"/>
    <col min="48" max="50" width="18.6640625" style="126" customWidth="1" outlineLevel="1"/>
    <col min="51" max="66" width="18.44140625" style="126" customWidth="1"/>
    <col min="67" max="82" width="18.5546875" style="126" customWidth="1"/>
    <col min="83" max="16384" width="9.109375" style="126"/>
  </cols>
  <sheetData>
    <row r="1" spans="1:82" ht="15.6" x14ac:dyDescent="0.3">
      <c r="B1" s="127"/>
    </row>
    <row r="2" spans="1:82" ht="17.399999999999999" x14ac:dyDescent="0.3">
      <c r="C2" s="254"/>
      <c r="D2" s="252"/>
      <c r="E2" s="252"/>
      <c r="F2" s="252"/>
      <c r="G2" s="252"/>
      <c r="H2" s="252"/>
      <c r="I2" s="252"/>
      <c r="J2" s="252"/>
      <c r="K2" s="252"/>
      <c r="L2" s="252"/>
      <c r="T2" s="252"/>
      <c r="U2" s="252"/>
      <c r="V2" s="252"/>
      <c r="W2" s="252"/>
      <c r="X2" s="252"/>
      <c r="Y2" s="252"/>
      <c r="Z2" s="252"/>
      <c r="AA2" s="252"/>
      <c r="AB2" s="252"/>
      <c r="AJ2" s="252"/>
      <c r="AK2" s="252"/>
      <c r="AL2" s="252"/>
      <c r="AM2" s="252"/>
      <c r="AN2" s="252"/>
      <c r="AO2" s="252"/>
      <c r="AP2" s="252"/>
      <c r="AQ2" s="252"/>
      <c r="AR2" s="252"/>
    </row>
    <row r="3" spans="1:82" ht="20.25" customHeight="1" x14ac:dyDescent="0.35">
      <c r="A3" s="128"/>
      <c r="B3" s="128"/>
      <c r="C3" s="252"/>
      <c r="D3" s="252"/>
      <c r="E3" s="252"/>
      <c r="F3" s="252"/>
      <c r="G3" s="252"/>
      <c r="H3" s="252"/>
      <c r="I3" s="252"/>
      <c r="J3" s="252"/>
      <c r="K3" s="252"/>
      <c r="L3" s="252"/>
      <c r="M3" s="38"/>
      <c r="N3" s="38"/>
      <c r="O3" s="38"/>
      <c r="P3" s="38"/>
      <c r="S3" s="253"/>
      <c r="T3" s="253"/>
      <c r="U3" s="253"/>
      <c r="V3" s="253"/>
      <c r="W3" s="253"/>
      <c r="X3" s="253"/>
      <c r="Y3" s="253"/>
      <c r="Z3" s="253"/>
      <c r="AA3" s="253"/>
      <c r="AB3" s="253"/>
      <c r="AC3" s="38"/>
      <c r="AD3" s="38"/>
      <c r="AE3" s="38"/>
      <c r="AF3" s="38"/>
      <c r="AS3" s="38"/>
      <c r="AT3" s="38"/>
      <c r="AU3" s="38"/>
      <c r="AV3" s="38"/>
    </row>
    <row r="4" spans="1:82" ht="20.25" customHeight="1" x14ac:dyDescent="0.35">
      <c r="A4" s="128"/>
      <c r="B4" s="128"/>
      <c r="C4" s="252"/>
      <c r="D4" s="252"/>
      <c r="E4" s="252"/>
      <c r="F4" s="252"/>
      <c r="G4" s="252"/>
      <c r="H4" s="252"/>
      <c r="I4" s="252"/>
      <c r="J4" s="252"/>
      <c r="K4" s="252"/>
      <c r="L4" s="252"/>
      <c r="M4" s="38"/>
      <c r="N4" s="38"/>
      <c r="O4" s="38"/>
      <c r="P4" s="38"/>
      <c r="T4" s="40"/>
      <c r="U4" s="40"/>
      <c r="V4" s="40"/>
      <c r="W4" s="40"/>
      <c r="X4" s="40"/>
      <c r="Y4" s="40"/>
      <c r="Z4" s="40"/>
      <c r="AA4" s="40"/>
      <c r="AB4" s="40"/>
      <c r="AC4" s="38"/>
      <c r="AD4" s="38"/>
      <c r="AE4" s="38"/>
      <c r="AF4" s="38"/>
      <c r="AJ4" s="40"/>
      <c r="AK4" s="40"/>
      <c r="AL4" s="40"/>
      <c r="AM4" s="40"/>
      <c r="AN4" s="40"/>
      <c r="AO4" s="40"/>
      <c r="AP4" s="40"/>
      <c r="AQ4" s="40"/>
      <c r="AR4" s="40"/>
      <c r="AS4" s="38"/>
      <c r="AT4" s="38"/>
      <c r="AU4" s="38"/>
      <c r="AV4" s="38"/>
    </row>
    <row r="5" spans="1:82" ht="20.399999999999999" x14ac:dyDescent="0.35">
      <c r="A5" s="128"/>
      <c r="B5" s="128"/>
      <c r="D5" s="322" t="s">
        <v>1231</v>
      </c>
      <c r="E5" s="322"/>
      <c r="F5" s="257"/>
      <c r="G5" s="42"/>
      <c r="H5" s="43"/>
      <c r="I5" s="43"/>
      <c r="T5" s="322" t="s">
        <v>1231</v>
      </c>
      <c r="U5" s="322"/>
      <c r="V5" s="257"/>
      <c r="W5" s="42"/>
      <c r="X5" s="43"/>
      <c r="Y5" s="43"/>
      <c r="AJ5" s="322" t="s">
        <v>1231</v>
      </c>
      <c r="AK5" s="322"/>
      <c r="AL5" s="257"/>
      <c r="AM5" s="42"/>
      <c r="AN5" s="43"/>
      <c r="AO5" s="43"/>
      <c r="AZ5" s="322" t="s">
        <v>1231</v>
      </c>
      <c r="BA5" s="322"/>
      <c r="BP5" s="322" t="s">
        <v>1231</v>
      </c>
      <c r="BQ5" s="322"/>
    </row>
    <row r="6" spans="1:82" ht="15.6" x14ac:dyDescent="0.3">
      <c r="B6" s="44" t="s">
        <v>1229</v>
      </c>
      <c r="C6" s="76"/>
      <c r="Q6" s="76"/>
      <c r="R6" s="76"/>
      <c r="S6" s="76"/>
      <c r="AG6" s="76"/>
      <c r="AH6" s="76"/>
      <c r="AI6" s="76"/>
      <c r="AW6" s="76"/>
      <c r="AX6" s="76"/>
    </row>
    <row r="7" spans="1:82" ht="15" customHeight="1" x14ac:dyDescent="0.3">
      <c r="A7" s="326" t="s">
        <v>284</v>
      </c>
      <c r="B7" s="326" t="s">
        <v>285</v>
      </c>
      <c r="C7" s="335" t="s">
        <v>1198</v>
      </c>
      <c r="D7" s="336"/>
      <c r="E7" s="336"/>
      <c r="F7" s="336"/>
      <c r="G7" s="336"/>
      <c r="H7" s="336"/>
      <c r="I7" s="336"/>
      <c r="J7" s="336"/>
      <c r="K7" s="336"/>
      <c r="L7" s="336"/>
      <c r="M7" s="336"/>
      <c r="N7" s="336"/>
      <c r="O7" s="336"/>
      <c r="P7" s="336"/>
      <c r="Q7" s="336"/>
      <c r="R7" s="336"/>
      <c r="S7" s="352" t="s">
        <v>1084</v>
      </c>
      <c r="T7" s="352"/>
      <c r="U7" s="352"/>
      <c r="V7" s="352"/>
      <c r="W7" s="352"/>
      <c r="X7" s="352"/>
      <c r="Y7" s="352"/>
      <c r="Z7" s="352"/>
      <c r="AA7" s="352"/>
      <c r="AB7" s="352"/>
      <c r="AC7" s="352"/>
      <c r="AD7" s="352"/>
      <c r="AE7" s="352"/>
      <c r="AF7" s="352"/>
      <c r="AG7" s="352"/>
      <c r="AH7" s="352"/>
      <c r="AI7" s="353" t="s">
        <v>1085</v>
      </c>
      <c r="AJ7" s="353"/>
      <c r="AK7" s="353"/>
      <c r="AL7" s="353"/>
      <c r="AM7" s="353"/>
      <c r="AN7" s="353"/>
      <c r="AO7" s="353"/>
      <c r="AP7" s="353"/>
      <c r="AQ7" s="353"/>
      <c r="AR7" s="353"/>
      <c r="AS7" s="353"/>
      <c r="AT7" s="353"/>
      <c r="AU7" s="353"/>
      <c r="AV7" s="353"/>
      <c r="AW7" s="353"/>
      <c r="AX7" s="353"/>
      <c r="AY7" s="353" t="s">
        <v>1086</v>
      </c>
      <c r="AZ7" s="353"/>
      <c r="BA7" s="353"/>
      <c r="BB7" s="353"/>
      <c r="BC7" s="353"/>
      <c r="BD7" s="353"/>
      <c r="BE7" s="353"/>
      <c r="BF7" s="353"/>
      <c r="BG7" s="353"/>
      <c r="BH7" s="353"/>
      <c r="BI7" s="353"/>
      <c r="BJ7" s="353"/>
      <c r="BK7" s="353"/>
      <c r="BL7" s="353"/>
      <c r="BM7" s="353"/>
      <c r="BN7" s="353"/>
      <c r="BO7" s="354" t="s">
        <v>1209</v>
      </c>
      <c r="BP7" s="354"/>
      <c r="BQ7" s="354"/>
      <c r="BR7" s="354"/>
      <c r="BS7" s="354"/>
      <c r="BT7" s="354"/>
      <c r="BU7" s="354"/>
      <c r="BV7" s="354"/>
      <c r="BW7" s="354"/>
      <c r="BX7" s="354"/>
      <c r="BY7" s="354"/>
      <c r="BZ7" s="354"/>
      <c r="CA7" s="354"/>
      <c r="CB7" s="354"/>
      <c r="CC7" s="354"/>
      <c r="CD7" s="354"/>
    </row>
    <row r="8" spans="1:82" ht="12.75" customHeight="1" thickBot="1" x14ac:dyDescent="0.35">
      <c r="A8" s="326"/>
      <c r="B8" s="326"/>
      <c r="C8" s="335"/>
      <c r="D8" s="336"/>
      <c r="E8" s="336"/>
      <c r="F8" s="336"/>
      <c r="G8" s="336"/>
      <c r="H8" s="336"/>
      <c r="I8" s="336"/>
      <c r="J8" s="336"/>
      <c r="K8" s="336"/>
      <c r="L8" s="336"/>
      <c r="M8" s="336"/>
      <c r="N8" s="336"/>
      <c r="O8" s="336"/>
      <c r="P8" s="336"/>
      <c r="Q8" s="336"/>
      <c r="R8" s="336"/>
      <c r="S8" s="352"/>
      <c r="T8" s="352"/>
      <c r="U8" s="352"/>
      <c r="V8" s="352"/>
      <c r="W8" s="352"/>
      <c r="X8" s="352"/>
      <c r="Y8" s="352"/>
      <c r="Z8" s="352"/>
      <c r="AA8" s="352"/>
      <c r="AB8" s="352"/>
      <c r="AC8" s="352"/>
      <c r="AD8" s="352"/>
      <c r="AE8" s="352"/>
      <c r="AF8" s="352"/>
      <c r="AG8" s="352"/>
      <c r="AH8" s="352"/>
      <c r="AI8" s="353"/>
      <c r="AJ8" s="353"/>
      <c r="AK8" s="353"/>
      <c r="AL8" s="353"/>
      <c r="AM8" s="353"/>
      <c r="AN8" s="353"/>
      <c r="AO8" s="353"/>
      <c r="AP8" s="353"/>
      <c r="AQ8" s="353"/>
      <c r="AR8" s="353"/>
      <c r="AS8" s="353"/>
      <c r="AT8" s="353"/>
      <c r="AU8" s="353"/>
      <c r="AV8" s="353"/>
      <c r="AW8" s="353"/>
      <c r="AX8" s="353"/>
      <c r="AY8" s="353"/>
      <c r="AZ8" s="353"/>
      <c r="BA8" s="353"/>
      <c r="BB8" s="353"/>
      <c r="BC8" s="353"/>
      <c r="BD8" s="353"/>
      <c r="BE8" s="353"/>
      <c r="BF8" s="353"/>
      <c r="BG8" s="353"/>
      <c r="BH8" s="353"/>
      <c r="BI8" s="353"/>
      <c r="BJ8" s="353"/>
      <c r="BK8" s="353"/>
      <c r="BL8" s="353"/>
      <c r="BM8" s="353"/>
      <c r="BN8" s="353"/>
      <c r="BO8" s="354"/>
      <c r="BP8" s="354"/>
      <c r="BQ8" s="354"/>
      <c r="BR8" s="354"/>
      <c r="BS8" s="354"/>
      <c r="BT8" s="354"/>
      <c r="BU8" s="354"/>
      <c r="BV8" s="354"/>
      <c r="BW8" s="354"/>
      <c r="BX8" s="354"/>
      <c r="BY8" s="354"/>
      <c r="BZ8" s="354"/>
      <c r="CA8" s="354"/>
      <c r="CB8" s="354"/>
      <c r="CC8" s="354"/>
      <c r="CD8" s="354"/>
    </row>
    <row r="9" spans="1:82" ht="15" customHeight="1" x14ac:dyDescent="0.3">
      <c r="A9" s="326"/>
      <c r="B9" s="326"/>
      <c r="C9" s="301" t="s">
        <v>1052</v>
      </c>
      <c r="D9" s="316" t="s">
        <v>1053</v>
      </c>
      <c r="E9" s="316" t="s">
        <v>287</v>
      </c>
      <c r="F9" s="316"/>
      <c r="G9" s="316"/>
      <c r="H9" s="316" t="s">
        <v>312</v>
      </c>
      <c r="I9" s="316" t="s">
        <v>262</v>
      </c>
      <c r="J9" s="316" t="s">
        <v>288</v>
      </c>
      <c r="K9" s="316"/>
      <c r="L9" s="316"/>
      <c r="M9" s="316"/>
      <c r="N9" s="331" t="s">
        <v>289</v>
      </c>
      <c r="O9" s="331"/>
      <c r="P9" s="316" t="s">
        <v>290</v>
      </c>
      <c r="Q9" s="316" t="s">
        <v>266</v>
      </c>
      <c r="R9" s="316" t="s">
        <v>291</v>
      </c>
      <c r="S9" s="301" t="s">
        <v>1052</v>
      </c>
      <c r="T9" s="302" t="s">
        <v>1053</v>
      </c>
      <c r="U9" s="302" t="s">
        <v>287</v>
      </c>
      <c r="V9" s="302"/>
      <c r="W9" s="302"/>
      <c r="X9" s="302" t="s">
        <v>312</v>
      </c>
      <c r="Y9" s="302" t="s">
        <v>262</v>
      </c>
      <c r="Z9" s="302" t="s">
        <v>288</v>
      </c>
      <c r="AA9" s="302"/>
      <c r="AB9" s="302"/>
      <c r="AC9" s="302"/>
      <c r="AD9" s="317" t="s">
        <v>289</v>
      </c>
      <c r="AE9" s="317"/>
      <c r="AF9" s="302" t="s">
        <v>290</v>
      </c>
      <c r="AG9" s="302" t="s">
        <v>266</v>
      </c>
      <c r="AH9" s="302" t="s">
        <v>291</v>
      </c>
      <c r="AI9" s="301" t="s">
        <v>1052</v>
      </c>
      <c r="AJ9" s="302" t="s">
        <v>1053</v>
      </c>
      <c r="AK9" s="302" t="s">
        <v>287</v>
      </c>
      <c r="AL9" s="302"/>
      <c r="AM9" s="302"/>
      <c r="AN9" s="302" t="s">
        <v>312</v>
      </c>
      <c r="AO9" s="302" t="s">
        <v>262</v>
      </c>
      <c r="AP9" s="302" t="s">
        <v>288</v>
      </c>
      <c r="AQ9" s="302"/>
      <c r="AR9" s="302"/>
      <c r="AS9" s="302"/>
      <c r="AT9" s="317" t="s">
        <v>289</v>
      </c>
      <c r="AU9" s="317"/>
      <c r="AV9" s="302" t="s">
        <v>290</v>
      </c>
      <c r="AW9" s="302" t="s">
        <v>266</v>
      </c>
      <c r="AX9" s="302" t="s">
        <v>291</v>
      </c>
      <c r="AY9" s="301" t="s">
        <v>1052</v>
      </c>
      <c r="AZ9" s="302" t="s">
        <v>1053</v>
      </c>
      <c r="BA9" s="302" t="s">
        <v>287</v>
      </c>
      <c r="BB9" s="302"/>
      <c r="BC9" s="302"/>
      <c r="BD9" s="302" t="s">
        <v>312</v>
      </c>
      <c r="BE9" s="302" t="s">
        <v>262</v>
      </c>
      <c r="BF9" s="302" t="s">
        <v>288</v>
      </c>
      <c r="BG9" s="302"/>
      <c r="BH9" s="302"/>
      <c r="BI9" s="302"/>
      <c r="BJ9" s="317" t="s">
        <v>289</v>
      </c>
      <c r="BK9" s="317"/>
      <c r="BL9" s="302" t="s">
        <v>290</v>
      </c>
      <c r="BM9" s="302" t="s">
        <v>266</v>
      </c>
      <c r="BN9" s="302" t="s">
        <v>291</v>
      </c>
      <c r="BO9" s="301" t="s">
        <v>1052</v>
      </c>
      <c r="BP9" s="302" t="s">
        <v>1053</v>
      </c>
      <c r="BQ9" s="302" t="s">
        <v>287</v>
      </c>
      <c r="BR9" s="302"/>
      <c r="BS9" s="302"/>
      <c r="BT9" s="302" t="s">
        <v>312</v>
      </c>
      <c r="BU9" s="302" t="s">
        <v>262</v>
      </c>
      <c r="BV9" s="302" t="s">
        <v>288</v>
      </c>
      <c r="BW9" s="302"/>
      <c r="BX9" s="302"/>
      <c r="BY9" s="302"/>
      <c r="BZ9" s="317" t="s">
        <v>289</v>
      </c>
      <c r="CA9" s="317"/>
      <c r="CB9" s="302" t="s">
        <v>290</v>
      </c>
      <c r="CC9" s="302" t="s">
        <v>266</v>
      </c>
      <c r="CD9" s="302" t="s">
        <v>291</v>
      </c>
    </row>
    <row r="10" spans="1:82" ht="15" customHeight="1" x14ac:dyDescent="0.3">
      <c r="A10" s="326"/>
      <c r="B10" s="326"/>
      <c r="C10" s="265"/>
      <c r="D10" s="269"/>
      <c r="E10" s="269" t="s">
        <v>292</v>
      </c>
      <c r="F10" s="269" t="s">
        <v>293</v>
      </c>
      <c r="G10" s="269"/>
      <c r="H10" s="269"/>
      <c r="I10" s="269"/>
      <c r="J10" s="269" t="s">
        <v>292</v>
      </c>
      <c r="K10" s="269" t="s">
        <v>294</v>
      </c>
      <c r="L10" s="269"/>
      <c r="M10" s="269"/>
      <c r="N10" s="318"/>
      <c r="O10" s="318"/>
      <c r="P10" s="269"/>
      <c r="Q10" s="269"/>
      <c r="R10" s="269"/>
      <c r="S10" s="265"/>
      <c r="T10" s="269"/>
      <c r="U10" s="269" t="s">
        <v>292</v>
      </c>
      <c r="V10" s="269" t="s">
        <v>293</v>
      </c>
      <c r="W10" s="269"/>
      <c r="X10" s="269"/>
      <c r="Y10" s="269"/>
      <c r="Z10" s="269" t="s">
        <v>292</v>
      </c>
      <c r="AA10" s="269" t="s">
        <v>294</v>
      </c>
      <c r="AB10" s="269"/>
      <c r="AC10" s="269"/>
      <c r="AD10" s="318"/>
      <c r="AE10" s="318"/>
      <c r="AF10" s="269"/>
      <c r="AG10" s="269"/>
      <c r="AH10" s="269"/>
      <c r="AI10" s="265"/>
      <c r="AJ10" s="269"/>
      <c r="AK10" s="269" t="s">
        <v>292</v>
      </c>
      <c r="AL10" s="269" t="s">
        <v>293</v>
      </c>
      <c r="AM10" s="269"/>
      <c r="AN10" s="269"/>
      <c r="AO10" s="269"/>
      <c r="AP10" s="269" t="s">
        <v>292</v>
      </c>
      <c r="AQ10" s="269" t="s">
        <v>294</v>
      </c>
      <c r="AR10" s="269"/>
      <c r="AS10" s="269"/>
      <c r="AT10" s="318"/>
      <c r="AU10" s="318"/>
      <c r="AV10" s="269"/>
      <c r="AW10" s="269"/>
      <c r="AX10" s="269"/>
      <c r="AY10" s="265"/>
      <c r="AZ10" s="269"/>
      <c r="BA10" s="269" t="s">
        <v>292</v>
      </c>
      <c r="BB10" s="269" t="s">
        <v>293</v>
      </c>
      <c r="BC10" s="269"/>
      <c r="BD10" s="269"/>
      <c r="BE10" s="269"/>
      <c r="BF10" s="269" t="s">
        <v>292</v>
      </c>
      <c r="BG10" s="269" t="s">
        <v>294</v>
      </c>
      <c r="BH10" s="269"/>
      <c r="BI10" s="269"/>
      <c r="BJ10" s="318"/>
      <c r="BK10" s="318"/>
      <c r="BL10" s="269"/>
      <c r="BM10" s="269"/>
      <c r="BN10" s="269"/>
      <c r="BO10" s="265"/>
      <c r="BP10" s="269"/>
      <c r="BQ10" s="269" t="s">
        <v>292</v>
      </c>
      <c r="BR10" s="269" t="s">
        <v>293</v>
      </c>
      <c r="BS10" s="269"/>
      <c r="BT10" s="269"/>
      <c r="BU10" s="269"/>
      <c r="BV10" s="269" t="s">
        <v>292</v>
      </c>
      <c r="BW10" s="269" t="s">
        <v>294</v>
      </c>
      <c r="BX10" s="269"/>
      <c r="BY10" s="269"/>
      <c r="BZ10" s="318"/>
      <c r="CA10" s="318"/>
      <c r="CB10" s="269"/>
      <c r="CC10" s="269"/>
      <c r="CD10" s="269"/>
    </row>
    <row r="11" spans="1:82" ht="96.6" x14ac:dyDescent="0.3">
      <c r="A11" s="326"/>
      <c r="B11" s="326"/>
      <c r="C11" s="302"/>
      <c r="D11" s="269"/>
      <c r="E11" s="269"/>
      <c r="F11" s="249" t="s">
        <v>259</v>
      </c>
      <c r="G11" s="249" t="s">
        <v>260</v>
      </c>
      <c r="H11" s="269"/>
      <c r="I11" s="269"/>
      <c r="J11" s="269"/>
      <c r="K11" s="249" t="s">
        <v>264</v>
      </c>
      <c r="L11" s="249" t="s">
        <v>303</v>
      </c>
      <c r="M11" s="249" t="s">
        <v>260</v>
      </c>
      <c r="N11" s="249" t="s">
        <v>911</v>
      </c>
      <c r="O11" s="249" t="s">
        <v>295</v>
      </c>
      <c r="P11" s="269"/>
      <c r="Q11" s="269"/>
      <c r="R11" s="269"/>
      <c r="S11" s="302"/>
      <c r="T11" s="269"/>
      <c r="U11" s="269"/>
      <c r="V11" s="249" t="s">
        <v>259</v>
      </c>
      <c r="W11" s="249" t="s">
        <v>260</v>
      </c>
      <c r="X11" s="269"/>
      <c r="Y11" s="269"/>
      <c r="Z11" s="269"/>
      <c r="AA11" s="249" t="s">
        <v>264</v>
      </c>
      <c r="AB11" s="249" t="s">
        <v>303</v>
      </c>
      <c r="AC11" s="249" t="s">
        <v>260</v>
      </c>
      <c r="AD11" s="249" t="s">
        <v>911</v>
      </c>
      <c r="AE11" s="249" t="s">
        <v>295</v>
      </c>
      <c r="AF11" s="269"/>
      <c r="AG11" s="269"/>
      <c r="AH11" s="269"/>
      <c r="AI11" s="302"/>
      <c r="AJ11" s="269"/>
      <c r="AK11" s="269"/>
      <c r="AL11" s="249" t="s">
        <v>259</v>
      </c>
      <c r="AM11" s="249" t="s">
        <v>260</v>
      </c>
      <c r="AN11" s="269"/>
      <c r="AO11" s="269"/>
      <c r="AP11" s="269"/>
      <c r="AQ11" s="249" t="s">
        <v>264</v>
      </c>
      <c r="AR11" s="249" t="s">
        <v>303</v>
      </c>
      <c r="AS11" s="249" t="s">
        <v>260</v>
      </c>
      <c r="AT11" s="249" t="s">
        <v>911</v>
      </c>
      <c r="AU11" s="249" t="s">
        <v>295</v>
      </c>
      <c r="AV11" s="269"/>
      <c r="AW11" s="269"/>
      <c r="AX11" s="269"/>
      <c r="AY11" s="302"/>
      <c r="AZ11" s="269"/>
      <c r="BA11" s="269"/>
      <c r="BB11" s="249" t="s">
        <v>259</v>
      </c>
      <c r="BC11" s="249" t="s">
        <v>260</v>
      </c>
      <c r="BD11" s="269"/>
      <c r="BE11" s="269"/>
      <c r="BF11" s="269"/>
      <c r="BG11" s="249" t="s">
        <v>264</v>
      </c>
      <c r="BH11" s="249" t="s">
        <v>303</v>
      </c>
      <c r="BI11" s="249" t="s">
        <v>260</v>
      </c>
      <c r="BJ11" s="249" t="s">
        <v>911</v>
      </c>
      <c r="BK11" s="249" t="s">
        <v>295</v>
      </c>
      <c r="BL11" s="269"/>
      <c r="BM11" s="269"/>
      <c r="BN11" s="269"/>
      <c r="BO11" s="302"/>
      <c r="BP11" s="269"/>
      <c r="BQ11" s="269"/>
      <c r="BR11" s="255" t="s">
        <v>259</v>
      </c>
      <c r="BS11" s="255" t="s">
        <v>260</v>
      </c>
      <c r="BT11" s="269"/>
      <c r="BU11" s="269"/>
      <c r="BV11" s="269"/>
      <c r="BW11" s="255" t="s">
        <v>264</v>
      </c>
      <c r="BX11" s="255" t="s">
        <v>303</v>
      </c>
      <c r="BY11" s="255" t="s">
        <v>260</v>
      </c>
      <c r="BZ11" s="255" t="s">
        <v>911</v>
      </c>
      <c r="CA11" s="255" t="s">
        <v>295</v>
      </c>
      <c r="CB11" s="269"/>
      <c r="CC11" s="269"/>
      <c r="CD11" s="269"/>
    </row>
    <row r="12" spans="1:82" ht="25.8" customHeight="1" x14ac:dyDescent="0.3">
      <c r="A12" s="199" t="s">
        <v>2</v>
      </c>
      <c r="B12" s="200" t="s">
        <v>3</v>
      </c>
      <c r="C12" s="53">
        <v>6803.7709000000013</v>
      </c>
      <c r="D12" s="53">
        <v>0</v>
      </c>
      <c r="E12" s="53">
        <v>6803.7709000000013</v>
      </c>
      <c r="F12" s="53">
        <v>6803.7709000000013</v>
      </c>
      <c r="G12" s="53">
        <v>0</v>
      </c>
      <c r="H12" s="53">
        <v>6460.6353418499993</v>
      </c>
      <c r="I12" s="53">
        <v>0</v>
      </c>
      <c r="J12" s="53">
        <v>6433.0753562600003</v>
      </c>
      <c r="K12" s="53">
        <v>6433.0753562600003</v>
      </c>
      <c r="L12" s="53">
        <v>0</v>
      </c>
      <c r="M12" s="53">
        <v>0</v>
      </c>
      <c r="N12" s="53">
        <v>94.551616314123677</v>
      </c>
      <c r="O12" s="53" t="s">
        <v>1230</v>
      </c>
      <c r="P12" s="53">
        <v>0</v>
      </c>
      <c r="Q12" s="53">
        <v>0</v>
      </c>
      <c r="R12" s="53">
        <v>27.559985590000053</v>
      </c>
      <c r="S12" s="53">
        <v>16.786000000000001</v>
      </c>
      <c r="T12" s="53">
        <v>0</v>
      </c>
      <c r="U12" s="53">
        <v>16.786000000000001</v>
      </c>
      <c r="V12" s="53">
        <v>16.786000000000001</v>
      </c>
      <c r="W12" s="53">
        <v>0</v>
      </c>
      <c r="X12" s="53">
        <v>16.785914999999999</v>
      </c>
      <c r="Y12" s="53">
        <v>0</v>
      </c>
      <c r="Z12" s="53">
        <v>16.785914999999999</v>
      </c>
      <c r="AA12" s="53">
        <v>16.785914999999999</v>
      </c>
      <c r="AB12" s="53">
        <v>0</v>
      </c>
      <c r="AC12" s="53">
        <v>0</v>
      </c>
      <c r="AD12" s="53">
        <v>99.999493625640397</v>
      </c>
      <c r="AE12" s="53" t="s">
        <v>1230</v>
      </c>
      <c r="AF12" s="53">
        <v>0</v>
      </c>
      <c r="AG12" s="53">
        <v>0</v>
      </c>
      <c r="AH12" s="53">
        <v>0</v>
      </c>
      <c r="AI12" s="53">
        <v>820.90970000000004</v>
      </c>
      <c r="AJ12" s="53">
        <v>0</v>
      </c>
      <c r="AK12" s="53">
        <v>820.90970000000004</v>
      </c>
      <c r="AL12" s="53">
        <v>820.90970000000004</v>
      </c>
      <c r="AM12" s="53">
        <v>0</v>
      </c>
      <c r="AN12" s="53">
        <v>820.90970000000004</v>
      </c>
      <c r="AO12" s="53">
        <v>0</v>
      </c>
      <c r="AP12" s="53">
        <v>804.06294533000005</v>
      </c>
      <c r="AQ12" s="53">
        <v>804.06294533000005</v>
      </c>
      <c r="AR12" s="53">
        <v>0</v>
      </c>
      <c r="AS12" s="53">
        <v>0</v>
      </c>
      <c r="AT12" s="53">
        <v>97.947794420019648</v>
      </c>
      <c r="AU12" s="53" t="s">
        <v>1230</v>
      </c>
      <c r="AV12" s="53">
        <v>0</v>
      </c>
      <c r="AW12" s="53">
        <v>0</v>
      </c>
      <c r="AX12" s="53">
        <v>16.846754669999996</v>
      </c>
      <c r="AY12" s="53">
        <v>5489.5745999999999</v>
      </c>
      <c r="AZ12" s="53">
        <v>0</v>
      </c>
      <c r="BA12" s="53">
        <v>5489.5745999999999</v>
      </c>
      <c r="BB12" s="53">
        <v>5489.5745999999999</v>
      </c>
      <c r="BC12" s="53">
        <v>0</v>
      </c>
      <c r="BD12" s="53">
        <v>5146.4397237499998</v>
      </c>
      <c r="BE12" s="53">
        <v>0</v>
      </c>
      <c r="BF12" s="53">
        <v>5135.7264928300001</v>
      </c>
      <c r="BG12" s="53">
        <v>5135.7264928300001</v>
      </c>
      <c r="BH12" s="53">
        <v>0</v>
      </c>
      <c r="BI12" s="53">
        <v>0</v>
      </c>
      <c r="BJ12" s="53">
        <v>93.554179823514929</v>
      </c>
      <c r="BK12" s="53" t="s">
        <v>1230</v>
      </c>
      <c r="BL12" s="53">
        <v>0</v>
      </c>
      <c r="BM12" s="53">
        <v>0</v>
      </c>
      <c r="BN12" s="53">
        <v>10.713230920000058</v>
      </c>
      <c r="BO12" s="53">
        <v>476.50060000000008</v>
      </c>
      <c r="BP12" s="53">
        <v>0</v>
      </c>
      <c r="BQ12" s="53">
        <v>476.50060000000008</v>
      </c>
      <c r="BR12" s="53">
        <v>476.50060000000008</v>
      </c>
      <c r="BS12" s="53">
        <v>0</v>
      </c>
      <c r="BT12" s="53">
        <v>476.50000310000007</v>
      </c>
      <c r="BU12" s="53">
        <v>0</v>
      </c>
      <c r="BV12" s="53">
        <v>476.50000310000007</v>
      </c>
      <c r="BW12" s="53">
        <v>476.50000310000007</v>
      </c>
      <c r="BX12" s="53">
        <v>0</v>
      </c>
      <c r="BY12" s="53">
        <v>0</v>
      </c>
      <c r="BZ12" s="53">
        <v>99.999874732581659</v>
      </c>
      <c r="CA12" s="53" t="s">
        <v>1230</v>
      </c>
      <c r="CB12" s="53">
        <v>0</v>
      </c>
      <c r="CC12" s="53">
        <v>0</v>
      </c>
      <c r="CD12" s="53">
        <v>0</v>
      </c>
    </row>
    <row r="13" spans="1:82" ht="15.6" hidden="1" x14ac:dyDescent="0.3">
      <c r="A13" s="199"/>
      <c r="B13" s="55" t="s">
        <v>296</v>
      </c>
      <c r="C13" s="80"/>
      <c r="D13" s="53"/>
      <c r="E13" s="53"/>
      <c r="F13" s="8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80"/>
      <c r="T13" s="53"/>
      <c r="U13" s="53"/>
      <c r="V13" s="83"/>
      <c r="W13" s="53"/>
      <c r="X13" s="53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80"/>
      <c r="AJ13" s="53"/>
      <c r="AK13" s="53"/>
      <c r="AL13" s="83"/>
      <c r="AM13" s="53"/>
      <c r="AN13" s="53"/>
      <c r="AO13" s="53"/>
      <c r="AP13" s="53"/>
      <c r="AQ13" s="53"/>
      <c r="AR13" s="53"/>
      <c r="AS13" s="53"/>
      <c r="AT13" s="53"/>
      <c r="AU13" s="53"/>
      <c r="AV13" s="53"/>
      <c r="AW13" s="53"/>
      <c r="AX13" s="53"/>
      <c r="AY13" s="80"/>
      <c r="AZ13" s="53"/>
      <c r="BA13" s="53"/>
      <c r="BB13" s="83"/>
      <c r="BC13" s="53"/>
      <c r="BD13" s="53"/>
      <c r="BE13" s="53"/>
      <c r="BF13" s="53"/>
      <c r="BG13" s="53"/>
      <c r="BH13" s="53"/>
      <c r="BI13" s="53"/>
      <c r="BJ13" s="53"/>
      <c r="BK13" s="53"/>
      <c r="BL13" s="53"/>
      <c r="BM13" s="53"/>
      <c r="BN13" s="53"/>
      <c r="BO13" s="80"/>
      <c r="BP13" s="53"/>
      <c r="BQ13" s="53"/>
      <c r="BR13" s="83"/>
      <c r="BS13" s="53"/>
      <c r="BT13" s="53"/>
      <c r="BU13" s="53"/>
      <c r="BV13" s="53"/>
      <c r="BW13" s="53"/>
      <c r="BX13" s="53"/>
      <c r="BY13" s="53"/>
      <c r="BZ13" s="53"/>
      <c r="CA13" s="53"/>
      <c r="CB13" s="53"/>
      <c r="CC13" s="53"/>
      <c r="CD13" s="53"/>
    </row>
    <row r="14" spans="1:82" ht="15.6" x14ac:dyDescent="0.3">
      <c r="A14" s="202" t="s">
        <v>6</v>
      </c>
      <c r="B14" s="203" t="s">
        <v>7</v>
      </c>
      <c r="C14" s="61">
        <v>0</v>
      </c>
      <c r="D14" s="61">
        <v>0</v>
      </c>
      <c r="E14" s="61">
        <v>0</v>
      </c>
      <c r="F14" s="61">
        <v>0</v>
      </c>
      <c r="G14" s="61">
        <v>0</v>
      </c>
      <c r="H14" s="61">
        <v>0</v>
      </c>
      <c r="I14" s="61">
        <v>0</v>
      </c>
      <c r="J14" s="61">
        <v>0</v>
      </c>
      <c r="K14" s="61">
        <v>0</v>
      </c>
      <c r="L14" s="61">
        <v>0</v>
      </c>
      <c r="M14" s="61">
        <v>0</v>
      </c>
      <c r="N14" s="61" t="s">
        <v>1230</v>
      </c>
      <c r="O14" s="61" t="s">
        <v>1230</v>
      </c>
      <c r="P14" s="61">
        <v>0</v>
      </c>
      <c r="Q14" s="61">
        <v>0</v>
      </c>
      <c r="R14" s="61">
        <v>0</v>
      </c>
      <c r="S14" s="61">
        <v>0</v>
      </c>
      <c r="T14" s="61">
        <v>0</v>
      </c>
      <c r="U14" s="61">
        <v>0</v>
      </c>
      <c r="V14" s="61">
        <v>0</v>
      </c>
      <c r="W14" s="61">
        <v>0</v>
      </c>
      <c r="X14" s="61">
        <v>0</v>
      </c>
      <c r="Y14" s="61">
        <v>0</v>
      </c>
      <c r="Z14" s="61">
        <v>0</v>
      </c>
      <c r="AA14" s="61">
        <v>0</v>
      </c>
      <c r="AB14" s="61">
        <v>0</v>
      </c>
      <c r="AC14" s="61">
        <v>0</v>
      </c>
      <c r="AD14" s="61" t="s">
        <v>1230</v>
      </c>
      <c r="AE14" s="61" t="s">
        <v>1230</v>
      </c>
      <c r="AF14" s="61">
        <v>0</v>
      </c>
      <c r="AG14" s="61">
        <v>0</v>
      </c>
      <c r="AH14" s="61">
        <v>0</v>
      </c>
      <c r="AI14" s="61">
        <v>0</v>
      </c>
      <c r="AJ14" s="61">
        <v>0</v>
      </c>
      <c r="AK14" s="61">
        <v>0</v>
      </c>
      <c r="AL14" s="61">
        <v>0</v>
      </c>
      <c r="AM14" s="61">
        <v>0</v>
      </c>
      <c r="AN14" s="61">
        <v>0</v>
      </c>
      <c r="AO14" s="61">
        <v>0</v>
      </c>
      <c r="AP14" s="61">
        <v>0</v>
      </c>
      <c r="AQ14" s="61">
        <v>0</v>
      </c>
      <c r="AR14" s="61">
        <v>0</v>
      </c>
      <c r="AS14" s="61">
        <v>0</v>
      </c>
      <c r="AT14" s="61" t="s">
        <v>1230</v>
      </c>
      <c r="AU14" s="61" t="s">
        <v>1230</v>
      </c>
      <c r="AV14" s="61">
        <v>0</v>
      </c>
      <c r="AW14" s="61">
        <v>0</v>
      </c>
      <c r="AX14" s="61">
        <v>0</v>
      </c>
      <c r="AY14" s="61">
        <v>0</v>
      </c>
      <c r="AZ14" s="61">
        <v>0</v>
      </c>
      <c r="BA14" s="61">
        <v>0</v>
      </c>
      <c r="BB14" s="61">
        <v>0</v>
      </c>
      <c r="BC14" s="61">
        <v>0</v>
      </c>
      <c r="BD14" s="61">
        <v>0</v>
      </c>
      <c r="BE14" s="61">
        <v>0</v>
      </c>
      <c r="BF14" s="61">
        <v>0</v>
      </c>
      <c r="BG14" s="61">
        <v>0</v>
      </c>
      <c r="BH14" s="61">
        <v>0</v>
      </c>
      <c r="BI14" s="61">
        <v>0</v>
      </c>
      <c r="BJ14" s="61" t="s">
        <v>1230</v>
      </c>
      <c r="BK14" s="61" t="s">
        <v>1230</v>
      </c>
      <c r="BL14" s="61">
        <v>0</v>
      </c>
      <c r="BM14" s="61">
        <v>0</v>
      </c>
      <c r="BN14" s="61">
        <v>0</v>
      </c>
      <c r="BO14" s="61">
        <v>0</v>
      </c>
      <c r="BP14" s="61">
        <v>0</v>
      </c>
      <c r="BQ14" s="61">
        <v>0</v>
      </c>
      <c r="BR14" s="61">
        <v>0</v>
      </c>
      <c r="BS14" s="61">
        <v>0</v>
      </c>
      <c r="BT14" s="61">
        <v>0</v>
      </c>
      <c r="BU14" s="61">
        <v>0</v>
      </c>
      <c r="BV14" s="61">
        <v>0</v>
      </c>
      <c r="BW14" s="61">
        <v>0</v>
      </c>
      <c r="BX14" s="61">
        <v>0</v>
      </c>
      <c r="BY14" s="61">
        <v>0</v>
      </c>
      <c r="BZ14" s="61" t="s">
        <v>1230</v>
      </c>
      <c r="CA14" s="61" t="s">
        <v>1230</v>
      </c>
      <c r="CB14" s="61">
        <v>0</v>
      </c>
      <c r="CC14" s="61">
        <v>0</v>
      </c>
      <c r="CD14" s="61">
        <v>0</v>
      </c>
    </row>
    <row r="15" spans="1:82" ht="15.6" x14ac:dyDescent="0.3">
      <c r="A15" s="169" t="s">
        <v>9</v>
      </c>
      <c r="B15" s="205" t="s">
        <v>10</v>
      </c>
      <c r="C15" s="66">
        <v>0</v>
      </c>
      <c r="D15" s="66">
        <v>0</v>
      </c>
      <c r="E15" s="66">
        <v>0</v>
      </c>
      <c r="F15" s="66">
        <v>0</v>
      </c>
      <c r="G15" s="66">
        <v>0</v>
      </c>
      <c r="H15" s="66">
        <v>0</v>
      </c>
      <c r="I15" s="66">
        <v>0</v>
      </c>
      <c r="J15" s="66">
        <v>0</v>
      </c>
      <c r="K15" s="66">
        <v>0</v>
      </c>
      <c r="L15" s="66">
        <v>0</v>
      </c>
      <c r="M15" s="66">
        <v>0</v>
      </c>
      <c r="N15" s="67" t="s">
        <v>1230</v>
      </c>
      <c r="O15" s="67" t="s">
        <v>1230</v>
      </c>
      <c r="P15" s="67">
        <v>0</v>
      </c>
      <c r="Q15" s="66">
        <v>0</v>
      </c>
      <c r="R15" s="67">
        <v>0</v>
      </c>
      <c r="S15" s="66">
        <v>0</v>
      </c>
      <c r="T15" s="66">
        <v>0</v>
      </c>
      <c r="U15" s="66">
        <v>0</v>
      </c>
      <c r="V15" s="66">
        <v>0</v>
      </c>
      <c r="W15" s="66">
        <v>0</v>
      </c>
      <c r="X15" s="66">
        <v>0</v>
      </c>
      <c r="Y15" s="66">
        <v>0</v>
      </c>
      <c r="Z15" s="66">
        <v>0</v>
      </c>
      <c r="AA15" s="66">
        <v>0</v>
      </c>
      <c r="AB15" s="66">
        <v>0</v>
      </c>
      <c r="AC15" s="66">
        <v>0</v>
      </c>
      <c r="AD15" s="67" t="s">
        <v>1230</v>
      </c>
      <c r="AE15" s="67" t="s">
        <v>1230</v>
      </c>
      <c r="AF15" s="67">
        <v>0</v>
      </c>
      <c r="AG15" s="187">
        <v>0</v>
      </c>
      <c r="AH15" s="67">
        <v>0</v>
      </c>
      <c r="AI15" s="66">
        <v>0</v>
      </c>
      <c r="AJ15" s="66">
        <v>0</v>
      </c>
      <c r="AK15" s="66">
        <v>0</v>
      </c>
      <c r="AL15" s="66">
        <v>0</v>
      </c>
      <c r="AM15" s="66">
        <v>0</v>
      </c>
      <c r="AN15" s="66">
        <v>0</v>
      </c>
      <c r="AO15" s="66">
        <v>0</v>
      </c>
      <c r="AP15" s="66">
        <v>0</v>
      </c>
      <c r="AQ15" s="66">
        <v>0</v>
      </c>
      <c r="AR15" s="66">
        <v>0</v>
      </c>
      <c r="AS15" s="66">
        <v>0</v>
      </c>
      <c r="AT15" s="67" t="s">
        <v>1230</v>
      </c>
      <c r="AU15" s="67" t="s">
        <v>1230</v>
      </c>
      <c r="AV15" s="67">
        <v>0</v>
      </c>
      <c r="AW15" s="187">
        <v>0</v>
      </c>
      <c r="AX15" s="67">
        <v>0</v>
      </c>
      <c r="AY15" s="66">
        <v>0</v>
      </c>
      <c r="AZ15" s="66">
        <v>0</v>
      </c>
      <c r="BA15" s="66">
        <v>0</v>
      </c>
      <c r="BB15" s="66">
        <v>0</v>
      </c>
      <c r="BC15" s="66">
        <v>0</v>
      </c>
      <c r="BD15" s="66">
        <v>0</v>
      </c>
      <c r="BE15" s="66">
        <v>0</v>
      </c>
      <c r="BF15" s="66">
        <v>0</v>
      </c>
      <c r="BG15" s="66">
        <v>0</v>
      </c>
      <c r="BH15" s="66">
        <v>0</v>
      </c>
      <c r="BI15" s="66">
        <v>0</v>
      </c>
      <c r="BJ15" s="67" t="s">
        <v>1230</v>
      </c>
      <c r="BK15" s="67" t="s">
        <v>1230</v>
      </c>
      <c r="BL15" s="67">
        <v>0</v>
      </c>
      <c r="BM15" s="187">
        <v>0</v>
      </c>
      <c r="BN15" s="67">
        <v>0</v>
      </c>
      <c r="BO15" s="66">
        <v>0</v>
      </c>
      <c r="BP15" s="66">
        <v>0</v>
      </c>
      <c r="BQ15" s="66">
        <v>0</v>
      </c>
      <c r="BR15" s="66">
        <v>0</v>
      </c>
      <c r="BS15" s="66">
        <v>0</v>
      </c>
      <c r="BT15" s="66">
        <v>0</v>
      </c>
      <c r="BU15" s="66">
        <v>0</v>
      </c>
      <c r="BV15" s="66">
        <v>0</v>
      </c>
      <c r="BW15" s="66">
        <v>0</v>
      </c>
      <c r="BX15" s="66">
        <v>0</v>
      </c>
      <c r="BY15" s="66">
        <v>0</v>
      </c>
      <c r="BZ15" s="67" t="s">
        <v>1230</v>
      </c>
      <c r="CA15" s="67" t="s">
        <v>1230</v>
      </c>
      <c r="CB15" s="67">
        <v>0</v>
      </c>
      <c r="CC15" s="187">
        <v>0</v>
      </c>
      <c r="CD15" s="67">
        <v>0</v>
      </c>
    </row>
    <row r="16" spans="1:82" ht="15.6" x14ac:dyDescent="0.3">
      <c r="A16" s="169" t="s">
        <v>12</v>
      </c>
      <c r="B16" s="205" t="s">
        <v>13</v>
      </c>
      <c r="C16" s="66">
        <v>0</v>
      </c>
      <c r="D16" s="66">
        <v>0</v>
      </c>
      <c r="E16" s="66">
        <v>0</v>
      </c>
      <c r="F16" s="66">
        <v>0</v>
      </c>
      <c r="G16" s="66">
        <v>0</v>
      </c>
      <c r="H16" s="66">
        <v>0</v>
      </c>
      <c r="I16" s="66">
        <v>0</v>
      </c>
      <c r="J16" s="66">
        <v>0</v>
      </c>
      <c r="K16" s="66">
        <v>0</v>
      </c>
      <c r="L16" s="66">
        <v>0</v>
      </c>
      <c r="M16" s="66">
        <v>0</v>
      </c>
      <c r="N16" s="67" t="s">
        <v>1230</v>
      </c>
      <c r="O16" s="67" t="s">
        <v>1230</v>
      </c>
      <c r="P16" s="67">
        <v>0</v>
      </c>
      <c r="Q16" s="66">
        <v>0</v>
      </c>
      <c r="R16" s="67">
        <v>0</v>
      </c>
      <c r="S16" s="66">
        <v>0</v>
      </c>
      <c r="T16" s="66">
        <v>0</v>
      </c>
      <c r="U16" s="66">
        <v>0</v>
      </c>
      <c r="V16" s="66">
        <v>0</v>
      </c>
      <c r="W16" s="66">
        <v>0</v>
      </c>
      <c r="X16" s="66">
        <v>0</v>
      </c>
      <c r="Y16" s="66">
        <v>0</v>
      </c>
      <c r="Z16" s="66">
        <v>0</v>
      </c>
      <c r="AA16" s="66">
        <v>0</v>
      </c>
      <c r="AB16" s="66">
        <v>0</v>
      </c>
      <c r="AC16" s="66">
        <v>0</v>
      </c>
      <c r="AD16" s="67" t="s">
        <v>1230</v>
      </c>
      <c r="AE16" s="67" t="s">
        <v>1230</v>
      </c>
      <c r="AF16" s="67">
        <v>0</v>
      </c>
      <c r="AG16" s="187">
        <v>0</v>
      </c>
      <c r="AH16" s="67">
        <v>0</v>
      </c>
      <c r="AI16" s="66">
        <v>0</v>
      </c>
      <c r="AJ16" s="66">
        <v>0</v>
      </c>
      <c r="AK16" s="66">
        <v>0</v>
      </c>
      <c r="AL16" s="66">
        <v>0</v>
      </c>
      <c r="AM16" s="66">
        <v>0</v>
      </c>
      <c r="AN16" s="66">
        <v>0</v>
      </c>
      <c r="AO16" s="66">
        <v>0</v>
      </c>
      <c r="AP16" s="66">
        <v>0</v>
      </c>
      <c r="AQ16" s="66">
        <v>0</v>
      </c>
      <c r="AR16" s="66">
        <v>0</v>
      </c>
      <c r="AS16" s="66">
        <v>0</v>
      </c>
      <c r="AT16" s="67" t="s">
        <v>1230</v>
      </c>
      <c r="AU16" s="67" t="s">
        <v>1230</v>
      </c>
      <c r="AV16" s="67">
        <v>0</v>
      </c>
      <c r="AW16" s="187">
        <v>0</v>
      </c>
      <c r="AX16" s="67">
        <v>0</v>
      </c>
      <c r="AY16" s="66">
        <v>0</v>
      </c>
      <c r="AZ16" s="66">
        <v>0</v>
      </c>
      <c r="BA16" s="66">
        <v>0</v>
      </c>
      <c r="BB16" s="66">
        <v>0</v>
      </c>
      <c r="BC16" s="66">
        <v>0</v>
      </c>
      <c r="BD16" s="66">
        <v>0</v>
      </c>
      <c r="BE16" s="66">
        <v>0</v>
      </c>
      <c r="BF16" s="66">
        <v>0</v>
      </c>
      <c r="BG16" s="66">
        <v>0</v>
      </c>
      <c r="BH16" s="66">
        <v>0</v>
      </c>
      <c r="BI16" s="66">
        <v>0</v>
      </c>
      <c r="BJ16" s="67" t="s">
        <v>1230</v>
      </c>
      <c r="BK16" s="67" t="s">
        <v>1230</v>
      </c>
      <c r="BL16" s="67">
        <v>0</v>
      </c>
      <c r="BM16" s="187">
        <v>0</v>
      </c>
      <c r="BN16" s="67">
        <v>0</v>
      </c>
      <c r="BO16" s="66">
        <v>0</v>
      </c>
      <c r="BP16" s="66">
        <v>0</v>
      </c>
      <c r="BQ16" s="66">
        <v>0</v>
      </c>
      <c r="BR16" s="66">
        <v>0</v>
      </c>
      <c r="BS16" s="66">
        <v>0</v>
      </c>
      <c r="BT16" s="66">
        <v>0</v>
      </c>
      <c r="BU16" s="66">
        <v>0</v>
      </c>
      <c r="BV16" s="66">
        <v>0</v>
      </c>
      <c r="BW16" s="66">
        <v>0</v>
      </c>
      <c r="BX16" s="66">
        <v>0</v>
      </c>
      <c r="BY16" s="66">
        <v>0</v>
      </c>
      <c r="BZ16" s="67" t="s">
        <v>1230</v>
      </c>
      <c r="CA16" s="67" t="s">
        <v>1230</v>
      </c>
      <c r="CB16" s="67">
        <v>0</v>
      </c>
      <c r="CC16" s="187">
        <v>0</v>
      </c>
      <c r="CD16" s="67">
        <v>0</v>
      </c>
    </row>
    <row r="17" spans="1:82" ht="15.6" x14ac:dyDescent="0.3">
      <c r="A17" s="169" t="s">
        <v>15</v>
      </c>
      <c r="B17" s="205" t="s">
        <v>16</v>
      </c>
      <c r="C17" s="66">
        <v>0</v>
      </c>
      <c r="D17" s="66">
        <v>0</v>
      </c>
      <c r="E17" s="66">
        <v>0</v>
      </c>
      <c r="F17" s="66">
        <v>0</v>
      </c>
      <c r="G17" s="66">
        <v>0</v>
      </c>
      <c r="H17" s="66">
        <v>0</v>
      </c>
      <c r="I17" s="66">
        <v>0</v>
      </c>
      <c r="J17" s="66">
        <v>0</v>
      </c>
      <c r="K17" s="66">
        <v>0</v>
      </c>
      <c r="L17" s="66">
        <v>0</v>
      </c>
      <c r="M17" s="66">
        <v>0</v>
      </c>
      <c r="N17" s="67" t="s">
        <v>1230</v>
      </c>
      <c r="O17" s="67" t="s">
        <v>1230</v>
      </c>
      <c r="P17" s="67">
        <v>0</v>
      </c>
      <c r="Q17" s="66">
        <v>0</v>
      </c>
      <c r="R17" s="67">
        <v>0</v>
      </c>
      <c r="S17" s="66">
        <v>0</v>
      </c>
      <c r="T17" s="66">
        <v>0</v>
      </c>
      <c r="U17" s="66">
        <v>0</v>
      </c>
      <c r="V17" s="66">
        <v>0</v>
      </c>
      <c r="W17" s="66">
        <v>0</v>
      </c>
      <c r="X17" s="66">
        <v>0</v>
      </c>
      <c r="Y17" s="66">
        <v>0</v>
      </c>
      <c r="Z17" s="66">
        <v>0</v>
      </c>
      <c r="AA17" s="66">
        <v>0</v>
      </c>
      <c r="AB17" s="66">
        <v>0</v>
      </c>
      <c r="AC17" s="66">
        <v>0</v>
      </c>
      <c r="AD17" s="67" t="s">
        <v>1230</v>
      </c>
      <c r="AE17" s="67" t="s">
        <v>1230</v>
      </c>
      <c r="AF17" s="67">
        <v>0</v>
      </c>
      <c r="AG17" s="187">
        <v>0</v>
      </c>
      <c r="AH17" s="67">
        <v>0</v>
      </c>
      <c r="AI17" s="66">
        <v>0</v>
      </c>
      <c r="AJ17" s="66">
        <v>0</v>
      </c>
      <c r="AK17" s="66">
        <v>0</v>
      </c>
      <c r="AL17" s="66">
        <v>0</v>
      </c>
      <c r="AM17" s="66">
        <v>0</v>
      </c>
      <c r="AN17" s="66">
        <v>0</v>
      </c>
      <c r="AO17" s="66">
        <v>0</v>
      </c>
      <c r="AP17" s="66">
        <v>0</v>
      </c>
      <c r="AQ17" s="66">
        <v>0</v>
      </c>
      <c r="AR17" s="66">
        <v>0</v>
      </c>
      <c r="AS17" s="66">
        <v>0</v>
      </c>
      <c r="AT17" s="67" t="s">
        <v>1230</v>
      </c>
      <c r="AU17" s="67" t="s">
        <v>1230</v>
      </c>
      <c r="AV17" s="67">
        <v>0</v>
      </c>
      <c r="AW17" s="187">
        <v>0</v>
      </c>
      <c r="AX17" s="67">
        <v>0</v>
      </c>
      <c r="AY17" s="66">
        <v>0</v>
      </c>
      <c r="AZ17" s="66">
        <v>0</v>
      </c>
      <c r="BA17" s="66">
        <v>0</v>
      </c>
      <c r="BB17" s="66">
        <v>0</v>
      </c>
      <c r="BC17" s="66">
        <v>0</v>
      </c>
      <c r="BD17" s="66">
        <v>0</v>
      </c>
      <c r="BE17" s="66">
        <v>0</v>
      </c>
      <c r="BF17" s="66">
        <v>0</v>
      </c>
      <c r="BG17" s="66">
        <v>0</v>
      </c>
      <c r="BH17" s="66">
        <v>0</v>
      </c>
      <c r="BI17" s="66">
        <v>0</v>
      </c>
      <c r="BJ17" s="67" t="s">
        <v>1230</v>
      </c>
      <c r="BK17" s="67" t="s">
        <v>1230</v>
      </c>
      <c r="BL17" s="67">
        <v>0</v>
      </c>
      <c r="BM17" s="187">
        <v>0</v>
      </c>
      <c r="BN17" s="67">
        <v>0</v>
      </c>
      <c r="BO17" s="66">
        <v>0</v>
      </c>
      <c r="BP17" s="66">
        <v>0</v>
      </c>
      <c r="BQ17" s="66">
        <v>0</v>
      </c>
      <c r="BR17" s="66">
        <v>0</v>
      </c>
      <c r="BS17" s="66">
        <v>0</v>
      </c>
      <c r="BT17" s="66">
        <v>0</v>
      </c>
      <c r="BU17" s="66">
        <v>0</v>
      </c>
      <c r="BV17" s="66">
        <v>0</v>
      </c>
      <c r="BW17" s="66">
        <v>0</v>
      </c>
      <c r="BX17" s="66">
        <v>0</v>
      </c>
      <c r="BY17" s="66">
        <v>0</v>
      </c>
      <c r="BZ17" s="67" t="s">
        <v>1230</v>
      </c>
      <c r="CA17" s="67" t="s">
        <v>1230</v>
      </c>
      <c r="CB17" s="67">
        <v>0</v>
      </c>
      <c r="CC17" s="187">
        <v>0</v>
      </c>
      <c r="CD17" s="67">
        <v>0</v>
      </c>
    </row>
    <row r="18" spans="1:82" ht="15.6" x14ac:dyDescent="0.3">
      <c r="A18" s="169" t="s">
        <v>18</v>
      </c>
      <c r="B18" s="205" t="s">
        <v>19</v>
      </c>
      <c r="C18" s="66">
        <v>0</v>
      </c>
      <c r="D18" s="66">
        <v>0</v>
      </c>
      <c r="E18" s="66">
        <v>0</v>
      </c>
      <c r="F18" s="66">
        <v>0</v>
      </c>
      <c r="G18" s="66">
        <v>0</v>
      </c>
      <c r="H18" s="66">
        <v>0</v>
      </c>
      <c r="I18" s="66">
        <v>0</v>
      </c>
      <c r="J18" s="66">
        <v>0</v>
      </c>
      <c r="K18" s="66">
        <v>0</v>
      </c>
      <c r="L18" s="66">
        <v>0</v>
      </c>
      <c r="M18" s="66">
        <v>0</v>
      </c>
      <c r="N18" s="67" t="s">
        <v>1230</v>
      </c>
      <c r="O18" s="67" t="s">
        <v>1230</v>
      </c>
      <c r="P18" s="67">
        <v>0</v>
      </c>
      <c r="Q18" s="66">
        <v>0</v>
      </c>
      <c r="R18" s="67">
        <v>0</v>
      </c>
      <c r="S18" s="66">
        <v>0</v>
      </c>
      <c r="T18" s="66">
        <v>0</v>
      </c>
      <c r="U18" s="66">
        <v>0</v>
      </c>
      <c r="V18" s="66">
        <v>0</v>
      </c>
      <c r="W18" s="66">
        <v>0</v>
      </c>
      <c r="X18" s="66">
        <v>0</v>
      </c>
      <c r="Y18" s="66">
        <v>0</v>
      </c>
      <c r="Z18" s="66">
        <v>0</v>
      </c>
      <c r="AA18" s="66">
        <v>0</v>
      </c>
      <c r="AB18" s="66">
        <v>0</v>
      </c>
      <c r="AC18" s="66">
        <v>0</v>
      </c>
      <c r="AD18" s="67" t="s">
        <v>1230</v>
      </c>
      <c r="AE18" s="67" t="s">
        <v>1230</v>
      </c>
      <c r="AF18" s="67">
        <v>0</v>
      </c>
      <c r="AG18" s="187">
        <v>0</v>
      </c>
      <c r="AH18" s="67">
        <v>0</v>
      </c>
      <c r="AI18" s="66">
        <v>0</v>
      </c>
      <c r="AJ18" s="66">
        <v>0</v>
      </c>
      <c r="AK18" s="66">
        <v>0</v>
      </c>
      <c r="AL18" s="66">
        <v>0</v>
      </c>
      <c r="AM18" s="66">
        <v>0</v>
      </c>
      <c r="AN18" s="66">
        <v>0</v>
      </c>
      <c r="AO18" s="66">
        <v>0</v>
      </c>
      <c r="AP18" s="66">
        <v>0</v>
      </c>
      <c r="AQ18" s="66">
        <v>0</v>
      </c>
      <c r="AR18" s="66">
        <v>0</v>
      </c>
      <c r="AS18" s="66">
        <v>0</v>
      </c>
      <c r="AT18" s="67" t="s">
        <v>1230</v>
      </c>
      <c r="AU18" s="67" t="s">
        <v>1230</v>
      </c>
      <c r="AV18" s="67">
        <v>0</v>
      </c>
      <c r="AW18" s="187">
        <v>0</v>
      </c>
      <c r="AX18" s="67">
        <v>0</v>
      </c>
      <c r="AY18" s="66">
        <v>0</v>
      </c>
      <c r="AZ18" s="66">
        <v>0</v>
      </c>
      <c r="BA18" s="66">
        <v>0</v>
      </c>
      <c r="BB18" s="66">
        <v>0</v>
      </c>
      <c r="BC18" s="66">
        <v>0</v>
      </c>
      <c r="BD18" s="66">
        <v>0</v>
      </c>
      <c r="BE18" s="66">
        <v>0</v>
      </c>
      <c r="BF18" s="66">
        <v>0</v>
      </c>
      <c r="BG18" s="66">
        <v>0</v>
      </c>
      <c r="BH18" s="66">
        <v>0</v>
      </c>
      <c r="BI18" s="66">
        <v>0</v>
      </c>
      <c r="BJ18" s="67" t="s">
        <v>1230</v>
      </c>
      <c r="BK18" s="67" t="s">
        <v>1230</v>
      </c>
      <c r="BL18" s="67">
        <v>0</v>
      </c>
      <c r="BM18" s="187">
        <v>0</v>
      </c>
      <c r="BN18" s="67">
        <v>0</v>
      </c>
      <c r="BO18" s="66">
        <v>0</v>
      </c>
      <c r="BP18" s="66">
        <v>0</v>
      </c>
      <c r="BQ18" s="66">
        <v>0</v>
      </c>
      <c r="BR18" s="66">
        <v>0</v>
      </c>
      <c r="BS18" s="66">
        <v>0</v>
      </c>
      <c r="BT18" s="66">
        <v>0</v>
      </c>
      <c r="BU18" s="66">
        <v>0</v>
      </c>
      <c r="BV18" s="66">
        <v>0</v>
      </c>
      <c r="BW18" s="66">
        <v>0</v>
      </c>
      <c r="BX18" s="66">
        <v>0</v>
      </c>
      <c r="BY18" s="66">
        <v>0</v>
      </c>
      <c r="BZ18" s="67" t="s">
        <v>1230</v>
      </c>
      <c r="CA18" s="67" t="s">
        <v>1230</v>
      </c>
      <c r="CB18" s="67">
        <v>0</v>
      </c>
      <c r="CC18" s="187">
        <v>0</v>
      </c>
      <c r="CD18" s="67">
        <v>0</v>
      </c>
    </row>
    <row r="19" spans="1:82" ht="15.6" x14ac:dyDescent="0.3">
      <c r="A19" s="169" t="s">
        <v>21</v>
      </c>
      <c r="B19" s="205" t="s">
        <v>22</v>
      </c>
      <c r="C19" s="66">
        <v>0</v>
      </c>
      <c r="D19" s="66">
        <v>0</v>
      </c>
      <c r="E19" s="66">
        <v>0</v>
      </c>
      <c r="F19" s="66">
        <v>0</v>
      </c>
      <c r="G19" s="66">
        <v>0</v>
      </c>
      <c r="H19" s="66">
        <v>0</v>
      </c>
      <c r="I19" s="66">
        <v>0</v>
      </c>
      <c r="J19" s="66">
        <v>0</v>
      </c>
      <c r="K19" s="66">
        <v>0</v>
      </c>
      <c r="L19" s="66">
        <v>0</v>
      </c>
      <c r="M19" s="66">
        <v>0</v>
      </c>
      <c r="N19" s="67" t="s">
        <v>1230</v>
      </c>
      <c r="O19" s="67" t="s">
        <v>1230</v>
      </c>
      <c r="P19" s="67">
        <v>0</v>
      </c>
      <c r="Q19" s="66">
        <v>0</v>
      </c>
      <c r="R19" s="67">
        <v>0</v>
      </c>
      <c r="S19" s="66">
        <v>0</v>
      </c>
      <c r="T19" s="66">
        <v>0</v>
      </c>
      <c r="U19" s="66">
        <v>0</v>
      </c>
      <c r="V19" s="66">
        <v>0</v>
      </c>
      <c r="W19" s="66">
        <v>0</v>
      </c>
      <c r="X19" s="66">
        <v>0</v>
      </c>
      <c r="Y19" s="66">
        <v>0</v>
      </c>
      <c r="Z19" s="66">
        <v>0</v>
      </c>
      <c r="AA19" s="66">
        <v>0</v>
      </c>
      <c r="AB19" s="66">
        <v>0</v>
      </c>
      <c r="AC19" s="66">
        <v>0</v>
      </c>
      <c r="AD19" s="67" t="s">
        <v>1230</v>
      </c>
      <c r="AE19" s="67" t="s">
        <v>1230</v>
      </c>
      <c r="AF19" s="67">
        <v>0</v>
      </c>
      <c r="AG19" s="187">
        <v>0</v>
      </c>
      <c r="AH19" s="67">
        <v>0</v>
      </c>
      <c r="AI19" s="66">
        <v>0</v>
      </c>
      <c r="AJ19" s="66">
        <v>0</v>
      </c>
      <c r="AK19" s="66">
        <v>0</v>
      </c>
      <c r="AL19" s="66">
        <v>0</v>
      </c>
      <c r="AM19" s="66">
        <v>0</v>
      </c>
      <c r="AN19" s="66">
        <v>0</v>
      </c>
      <c r="AO19" s="66">
        <v>0</v>
      </c>
      <c r="AP19" s="66">
        <v>0</v>
      </c>
      <c r="AQ19" s="66">
        <v>0</v>
      </c>
      <c r="AR19" s="66">
        <v>0</v>
      </c>
      <c r="AS19" s="66">
        <v>0</v>
      </c>
      <c r="AT19" s="67" t="s">
        <v>1230</v>
      </c>
      <c r="AU19" s="67" t="s">
        <v>1230</v>
      </c>
      <c r="AV19" s="67">
        <v>0</v>
      </c>
      <c r="AW19" s="187">
        <v>0</v>
      </c>
      <c r="AX19" s="67">
        <v>0</v>
      </c>
      <c r="AY19" s="66">
        <v>0</v>
      </c>
      <c r="AZ19" s="66">
        <v>0</v>
      </c>
      <c r="BA19" s="66">
        <v>0</v>
      </c>
      <c r="BB19" s="66">
        <v>0</v>
      </c>
      <c r="BC19" s="66">
        <v>0</v>
      </c>
      <c r="BD19" s="66">
        <v>0</v>
      </c>
      <c r="BE19" s="66">
        <v>0</v>
      </c>
      <c r="BF19" s="66">
        <v>0</v>
      </c>
      <c r="BG19" s="66">
        <v>0</v>
      </c>
      <c r="BH19" s="66">
        <v>0</v>
      </c>
      <c r="BI19" s="66">
        <v>0</v>
      </c>
      <c r="BJ19" s="67" t="s">
        <v>1230</v>
      </c>
      <c r="BK19" s="67" t="s">
        <v>1230</v>
      </c>
      <c r="BL19" s="67">
        <v>0</v>
      </c>
      <c r="BM19" s="187">
        <v>0</v>
      </c>
      <c r="BN19" s="67">
        <v>0</v>
      </c>
      <c r="BO19" s="66">
        <v>0</v>
      </c>
      <c r="BP19" s="66">
        <v>0</v>
      </c>
      <c r="BQ19" s="66">
        <v>0</v>
      </c>
      <c r="BR19" s="66">
        <v>0</v>
      </c>
      <c r="BS19" s="66">
        <v>0</v>
      </c>
      <c r="BT19" s="66">
        <v>0</v>
      </c>
      <c r="BU19" s="66">
        <v>0</v>
      </c>
      <c r="BV19" s="66">
        <v>0</v>
      </c>
      <c r="BW19" s="66">
        <v>0</v>
      </c>
      <c r="BX19" s="66">
        <v>0</v>
      </c>
      <c r="BY19" s="66">
        <v>0</v>
      </c>
      <c r="BZ19" s="67" t="s">
        <v>1230</v>
      </c>
      <c r="CA19" s="67" t="s">
        <v>1230</v>
      </c>
      <c r="CB19" s="67">
        <v>0</v>
      </c>
      <c r="CC19" s="187">
        <v>0</v>
      </c>
      <c r="CD19" s="67">
        <v>0</v>
      </c>
    </row>
    <row r="20" spans="1:82" ht="15.6" x14ac:dyDescent="0.3">
      <c r="A20" s="169" t="s">
        <v>24</v>
      </c>
      <c r="B20" s="205" t="s">
        <v>25</v>
      </c>
      <c r="C20" s="66">
        <v>0</v>
      </c>
      <c r="D20" s="66">
        <v>0</v>
      </c>
      <c r="E20" s="66">
        <v>0</v>
      </c>
      <c r="F20" s="66">
        <v>0</v>
      </c>
      <c r="G20" s="66">
        <v>0</v>
      </c>
      <c r="H20" s="66">
        <v>0</v>
      </c>
      <c r="I20" s="66">
        <v>0</v>
      </c>
      <c r="J20" s="66">
        <v>0</v>
      </c>
      <c r="K20" s="66">
        <v>0</v>
      </c>
      <c r="L20" s="66">
        <v>0</v>
      </c>
      <c r="M20" s="66">
        <v>0</v>
      </c>
      <c r="N20" s="67" t="s">
        <v>1230</v>
      </c>
      <c r="O20" s="67" t="s">
        <v>1230</v>
      </c>
      <c r="P20" s="67">
        <v>0</v>
      </c>
      <c r="Q20" s="66">
        <v>0</v>
      </c>
      <c r="R20" s="67">
        <v>0</v>
      </c>
      <c r="S20" s="66">
        <v>0</v>
      </c>
      <c r="T20" s="66">
        <v>0</v>
      </c>
      <c r="U20" s="66">
        <v>0</v>
      </c>
      <c r="V20" s="66">
        <v>0</v>
      </c>
      <c r="W20" s="66">
        <v>0</v>
      </c>
      <c r="X20" s="66">
        <v>0</v>
      </c>
      <c r="Y20" s="66">
        <v>0</v>
      </c>
      <c r="Z20" s="66">
        <v>0</v>
      </c>
      <c r="AA20" s="66">
        <v>0</v>
      </c>
      <c r="AB20" s="66">
        <v>0</v>
      </c>
      <c r="AC20" s="66">
        <v>0</v>
      </c>
      <c r="AD20" s="67" t="s">
        <v>1230</v>
      </c>
      <c r="AE20" s="67" t="s">
        <v>1230</v>
      </c>
      <c r="AF20" s="67">
        <v>0</v>
      </c>
      <c r="AG20" s="187">
        <v>0</v>
      </c>
      <c r="AH20" s="67">
        <v>0</v>
      </c>
      <c r="AI20" s="66">
        <v>0</v>
      </c>
      <c r="AJ20" s="66">
        <v>0</v>
      </c>
      <c r="AK20" s="66">
        <v>0</v>
      </c>
      <c r="AL20" s="66">
        <v>0</v>
      </c>
      <c r="AM20" s="66">
        <v>0</v>
      </c>
      <c r="AN20" s="66">
        <v>0</v>
      </c>
      <c r="AO20" s="66">
        <v>0</v>
      </c>
      <c r="AP20" s="66">
        <v>0</v>
      </c>
      <c r="AQ20" s="66">
        <v>0</v>
      </c>
      <c r="AR20" s="66">
        <v>0</v>
      </c>
      <c r="AS20" s="66">
        <v>0</v>
      </c>
      <c r="AT20" s="67" t="s">
        <v>1230</v>
      </c>
      <c r="AU20" s="67" t="s">
        <v>1230</v>
      </c>
      <c r="AV20" s="67">
        <v>0</v>
      </c>
      <c r="AW20" s="187">
        <v>0</v>
      </c>
      <c r="AX20" s="67">
        <v>0</v>
      </c>
      <c r="AY20" s="66">
        <v>0</v>
      </c>
      <c r="AZ20" s="66">
        <v>0</v>
      </c>
      <c r="BA20" s="66">
        <v>0</v>
      </c>
      <c r="BB20" s="66">
        <v>0</v>
      </c>
      <c r="BC20" s="66">
        <v>0</v>
      </c>
      <c r="BD20" s="66">
        <v>0</v>
      </c>
      <c r="BE20" s="66">
        <v>0</v>
      </c>
      <c r="BF20" s="66">
        <v>0</v>
      </c>
      <c r="BG20" s="66">
        <v>0</v>
      </c>
      <c r="BH20" s="66">
        <v>0</v>
      </c>
      <c r="BI20" s="66">
        <v>0</v>
      </c>
      <c r="BJ20" s="67" t="s">
        <v>1230</v>
      </c>
      <c r="BK20" s="67" t="s">
        <v>1230</v>
      </c>
      <c r="BL20" s="67">
        <v>0</v>
      </c>
      <c r="BM20" s="187">
        <v>0</v>
      </c>
      <c r="BN20" s="67">
        <v>0</v>
      </c>
      <c r="BO20" s="66">
        <v>0</v>
      </c>
      <c r="BP20" s="66">
        <v>0</v>
      </c>
      <c r="BQ20" s="66">
        <v>0</v>
      </c>
      <c r="BR20" s="66">
        <v>0</v>
      </c>
      <c r="BS20" s="66">
        <v>0</v>
      </c>
      <c r="BT20" s="66">
        <v>0</v>
      </c>
      <c r="BU20" s="66">
        <v>0</v>
      </c>
      <c r="BV20" s="66">
        <v>0</v>
      </c>
      <c r="BW20" s="66">
        <v>0</v>
      </c>
      <c r="BX20" s="66">
        <v>0</v>
      </c>
      <c r="BY20" s="66">
        <v>0</v>
      </c>
      <c r="BZ20" s="67" t="s">
        <v>1230</v>
      </c>
      <c r="CA20" s="67" t="s">
        <v>1230</v>
      </c>
      <c r="CB20" s="67">
        <v>0</v>
      </c>
      <c r="CC20" s="187">
        <v>0</v>
      </c>
      <c r="CD20" s="67">
        <v>0</v>
      </c>
    </row>
    <row r="21" spans="1:82" ht="15.6" x14ac:dyDescent="0.3">
      <c r="A21" s="169" t="s">
        <v>27</v>
      </c>
      <c r="B21" s="205" t="s">
        <v>28</v>
      </c>
      <c r="C21" s="66">
        <v>0</v>
      </c>
      <c r="D21" s="66">
        <v>0</v>
      </c>
      <c r="E21" s="66">
        <v>0</v>
      </c>
      <c r="F21" s="66">
        <v>0</v>
      </c>
      <c r="G21" s="66">
        <v>0</v>
      </c>
      <c r="H21" s="66">
        <v>0</v>
      </c>
      <c r="I21" s="66">
        <v>0</v>
      </c>
      <c r="J21" s="66">
        <v>0</v>
      </c>
      <c r="K21" s="66">
        <v>0</v>
      </c>
      <c r="L21" s="66">
        <v>0</v>
      </c>
      <c r="M21" s="66">
        <v>0</v>
      </c>
      <c r="N21" s="67" t="s">
        <v>1230</v>
      </c>
      <c r="O21" s="67" t="s">
        <v>1230</v>
      </c>
      <c r="P21" s="67">
        <v>0</v>
      </c>
      <c r="Q21" s="66">
        <v>0</v>
      </c>
      <c r="R21" s="67">
        <v>0</v>
      </c>
      <c r="S21" s="66">
        <v>0</v>
      </c>
      <c r="T21" s="66">
        <v>0</v>
      </c>
      <c r="U21" s="66">
        <v>0</v>
      </c>
      <c r="V21" s="66">
        <v>0</v>
      </c>
      <c r="W21" s="66">
        <v>0</v>
      </c>
      <c r="X21" s="66">
        <v>0</v>
      </c>
      <c r="Y21" s="66">
        <v>0</v>
      </c>
      <c r="Z21" s="66">
        <v>0</v>
      </c>
      <c r="AA21" s="66">
        <v>0</v>
      </c>
      <c r="AB21" s="66">
        <v>0</v>
      </c>
      <c r="AC21" s="66">
        <v>0</v>
      </c>
      <c r="AD21" s="67" t="s">
        <v>1230</v>
      </c>
      <c r="AE21" s="67" t="s">
        <v>1230</v>
      </c>
      <c r="AF21" s="67">
        <v>0</v>
      </c>
      <c r="AG21" s="187">
        <v>0</v>
      </c>
      <c r="AH21" s="67">
        <v>0</v>
      </c>
      <c r="AI21" s="66">
        <v>0</v>
      </c>
      <c r="AJ21" s="66">
        <v>0</v>
      </c>
      <c r="AK21" s="66">
        <v>0</v>
      </c>
      <c r="AL21" s="66">
        <v>0</v>
      </c>
      <c r="AM21" s="66">
        <v>0</v>
      </c>
      <c r="AN21" s="66">
        <v>0</v>
      </c>
      <c r="AO21" s="66">
        <v>0</v>
      </c>
      <c r="AP21" s="66">
        <v>0</v>
      </c>
      <c r="AQ21" s="66">
        <v>0</v>
      </c>
      <c r="AR21" s="66">
        <v>0</v>
      </c>
      <c r="AS21" s="66">
        <v>0</v>
      </c>
      <c r="AT21" s="67" t="s">
        <v>1230</v>
      </c>
      <c r="AU21" s="67" t="s">
        <v>1230</v>
      </c>
      <c r="AV21" s="67">
        <v>0</v>
      </c>
      <c r="AW21" s="187">
        <v>0</v>
      </c>
      <c r="AX21" s="67">
        <v>0</v>
      </c>
      <c r="AY21" s="66">
        <v>0</v>
      </c>
      <c r="AZ21" s="66">
        <v>0</v>
      </c>
      <c r="BA21" s="66">
        <v>0</v>
      </c>
      <c r="BB21" s="66">
        <v>0</v>
      </c>
      <c r="BC21" s="66">
        <v>0</v>
      </c>
      <c r="BD21" s="66">
        <v>0</v>
      </c>
      <c r="BE21" s="66">
        <v>0</v>
      </c>
      <c r="BF21" s="66">
        <v>0</v>
      </c>
      <c r="BG21" s="66">
        <v>0</v>
      </c>
      <c r="BH21" s="66">
        <v>0</v>
      </c>
      <c r="BI21" s="66">
        <v>0</v>
      </c>
      <c r="BJ21" s="67" t="s">
        <v>1230</v>
      </c>
      <c r="BK21" s="67" t="s">
        <v>1230</v>
      </c>
      <c r="BL21" s="67">
        <v>0</v>
      </c>
      <c r="BM21" s="187">
        <v>0</v>
      </c>
      <c r="BN21" s="67">
        <v>0</v>
      </c>
      <c r="BO21" s="66">
        <v>0</v>
      </c>
      <c r="BP21" s="66">
        <v>0</v>
      </c>
      <c r="BQ21" s="66">
        <v>0</v>
      </c>
      <c r="BR21" s="66">
        <v>0</v>
      </c>
      <c r="BS21" s="66">
        <v>0</v>
      </c>
      <c r="BT21" s="66">
        <v>0</v>
      </c>
      <c r="BU21" s="66">
        <v>0</v>
      </c>
      <c r="BV21" s="66">
        <v>0</v>
      </c>
      <c r="BW21" s="66">
        <v>0</v>
      </c>
      <c r="BX21" s="66">
        <v>0</v>
      </c>
      <c r="BY21" s="66">
        <v>0</v>
      </c>
      <c r="BZ21" s="67" t="s">
        <v>1230</v>
      </c>
      <c r="CA21" s="67" t="s">
        <v>1230</v>
      </c>
      <c r="CB21" s="67">
        <v>0</v>
      </c>
      <c r="CC21" s="187">
        <v>0</v>
      </c>
      <c r="CD21" s="67">
        <v>0</v>
      </c>
    </row>
    <row r="22" spans="1:82" ht="15.6" x14ac:dyDescent="0.3">
      <c r="A22" s="169" t="s">
        <v>30</v>
      </c>
      <c r="B22" s="205" t="s">
        <v>31</v>
      </c>
      <c r="C22" s="66">
        <v>0</v>
      </c>
      <c r="D22" s="66">
        <v>0</v>
      </c>
      <c r="E22" s="66">
        <v>0</v>
      </c>
      <c r="F22" s="66">
        <v>0</v>
      </c>
      <c r="G22" s="66">
        <v>0</v>
      </c>
      <c r="H22" s="66">
        <v>0</v>
      </c>
      <c r="I22" s="66">
        <v>0</v>
      </c>
      <c r="J22" s="66">
        <v>0</v>
      </c>
      <c r="K22" s="66">
        <v>0</v>
      </c>
      <c r="L22" s="66">
        <v>0</v>
      </c>
      <c r="M22" s="66">
        <v>0</v>
      </c>
      <c r="N22" s="67" t="s">
        <v>1230</v>
      </c>
      <c r="O22" s="67" t="s">
        <v>1230</v>
      </c>
      <c r="P22" s="67">
        <v>0</v>
      </c>
      <c r="Q22" s="66">
        <v>0</v>
      </c>
      <c r="R22" s="67">
        <v>0</v>
      </c>
      <c r="S22" s="66">
        <v>0</v>
      </c>
      <c r="T22" s="66">
        <v>0</v>
      </c>
      <c r="U22" s="66">
        <v>0</v>
      </c>
      <c r="V22" s="66">
        <v>0</v>
      </c>
      <c r="W22" s="66">
        <v>0</v>
      </c>
      <c r="X22" s="66">
        <v>0</v>
      </c>
      <c r="Y22" s="66">
        <v>0</v>
      </c>
      <c r="Z22" s="66">
        <v>0</v>
      </c>
      <c r="AA22" s="66">
        <v>0</v>
      </c>
      <c r="AB22" s="66">
        <v>0</v>
      </c>
      <c r="AC22" s="66">
        <v>0</v>
      </c>
      <c r="AD22" s="67" t="s">
        <v>1230</v>
      </c>
      <c r="AE22" s="67" t="s">
        <v>1230</v>
      </c>
      <c r="AF22" s="67">
        <v>0</v>
      </c>
      <c r="AG22" s="187">
        <v>0</v>
      </c>
      <c r="AH22" s="67">
        <v>0</v>
      </c>
      <c r="AI22" s="66">
        <v>0</v>
      </c>
      <c r="AJ22" s="66">
        <v>0</v>
      </c>
      <c r="AK22" s="66">
        <v>0</v>
      </c>
      <c r="AL22" s="66">
        <v>0</v>
      </c>
      <c r="AM22" s="66">
        <v>0</v>
      </c>
      <c r="AN22" s="66">
        <v>0</v>
      </c>
      <c r="AO22" s="66">
        <v>0</v>
      </c>
      <c r="AP22" s="66">
        <v>0</v>
      </c>
      <c r="AQ22" s="66">
        <v>0</v>
      </c>
      <c r="AR22" s="66">
        <v>0</v>
      </c>
      <c r="AS22" s="66">
        <v>0</v>
      </c>
      <c r="AT22" s="67" t="s">
        <v>1230</v>
      </c>
      <c r="AU22" s="67" t="s">
        <v>1230</v>
      </c>
      <c r="AV22" s="67">
        <v>0</v>
      </c>
      <c r="AW22" s="187">
        <v>0</v>
      </c>
      <c r="AX22" s="67">
        <v>0</v>
      </c>
      <c r="AY22" s="66">
        <v>0</v>
      </c>
      <c r="AZ22" s="66">
        <v>0</v>
      </c>
      <c r="BA22" s="66">
        <v>0</v>
      </c>
      <c r="BB22" s="66">
        <v>0</v>
      </c>
      <c r="BC22" s="66">
        <v>0</v>
      </c>
      <c r="BD22" s="66">
        <v>0</v>
      </c>
      <c r="BE22" s="66">
        <v>0</v>
      </c>
      <c r="BF22" s="66">
        <v>0</v>
      </c>
      <c r="BG22" s="66">
        <v>0</v>
      </c>
      <c r="BH22" s="66">
        <v>0</v>
      </c>
      <c r="BI22" s="66">
        <v>0</v>
      </c>
      <c r="BJ22" s="67" t="s">
        <v>1230</v>
      </c>
      <c r="BK22" s="67" t="s">
        <v>1230</v>
      </c>
      <c r="BL22" s="67">
        <v>0</v>
      </c>
      <c r="BM22" s="187">
        <v>0</v>
      </c>
      <c r="BN22" s="67">
        <v>0</v>
      </c>
      <c r="BO22" s="66">
        <v>0</v>
      </c>
      <c r="BP22" s="66">
        <v>0</v>
      </c>
      <c r="BQ22" s="66">
        <v>0</v>
      </c>
      <c r="BR22" s="66">
        <v>0</v>
      </c>
      <c r="BS22" s="66">
        <v>0</v>
      </c>
      <c r="BT22" s="66">
        <v>0</v>
      </c>
      <c r="BU22" s="66">
        <v>0</v>
      </c>
      <c r="BV22" s="66">
        <v>0</v>
      </c>
      <c r="BW22" s="66">
        <v>0</v>
      </c>
      <c r="BX22" s="66">
        <v>0</v>
      </c>
      <c r="BY22" s="66">
        <v>0</v>
      </c>
      <c r="BZ22" s="67" t="s">
        <v>1230</v>
      </c>
      <c r="CA22" s="67" t="s">
        <v>1230</v>
      </c>
      <c r="CB22" s="67">
        <v>0</v>
      </c>
      <c r="CC22" s="187">
        <v>0</v>
      </c>
      <c r="CD22" s="67">
        <v>0</v>
      </c>
    </row>
    <row r="23" spans="1:82" ht="15.6" x14ac:dyDescent="0.3">
      <c r="A23" s="169" t="s">
        <v>33</v>
      </c>
      <c r="B23" s="205" t="s">
        <v>34</v>
      </c>
      <c r="C23" s="66">
        <v>0</v>
      </c>
      <c r="D23" s="66">
        <v>0</v>
      </c>
      <c r="E23" s="66">
        <v>0</v>
      </c>
      <c r="F23" s="66">
        <v>0</v>
      </c>
      <c r="G23" s="66">
        <v>0</v>
      </c>
      <c r="H23" s="66">
        <v>0</v>
      </c>
      <c r="I23" s="66">
        <v>0</v>
      </c>
      <c r="J23" s="66">
        <v>0</v>
      </c>
      <c r="K23" s="66">
        <v>0</v>
      </c>
      <c r="L23" s="66">
        <v>0</v>
      </c>
      <c r="M23" s="66">
        <v>0</v>
      </c>
      <c r="N23" s="67" t="s">
        <v>1230</v>
      </c>
      <c r="O23" s="67" t="s">
        <v>1230</v>
      </c>
      <c r="P23" s="67">
        <v>0</v>
      </c>
      <c r="Q23" s="66">
        <v>0</v>
      </c>
      <c r="R23" s="67">
        <v>0</v>
      </c>
      <c r="S23" s="66">
        <v>0</v>
      </c>
      <c r="T23" s="66">
        <v>0</v>
      </c>
      <c r="U23" s="66">
        <v>0</v>
      </c>
      <c r="V23" s="66">
        <v>0</v>
      </c>
      <c r="W23" s="66">
        <v>0</v>
      </c>
      <c r="X23" s="66">
        <v>0</v>
      </c>
      <c r="Y23" s="66">
        <v>0</v>
      </c>
      <c r="Z23" s="66">
        <v>0</v>
      </c>
      <c r="AA23" s="66">
        <v>0</v>
      </c>
      <c r="AB23" s="66">
        <v>0</v>
      </c>
      <c r="AC23" s="66">
        <v>0</v>
      </c>
      <c r="AD23" s="67" t="s">
        <v>1230</v>
      </c>
      <c r="AE23" s="67" t="s">
        <v>1230</v>
      </c>
      <c r="AF23" s="67">
        <v>0</v>
      </c>
      <c r="AG23" s="187">
        <v>0</v>
      </c>
      <c r="AH23" s="67">
        <v>0</v>
      </c>
      <c r="AI23" s="66">
        <v>0</v>
      </c>
      <c r="AJ23" s="66">
        <v>0</v>
      </c>
      <c r="AK23" s="66">
        <v>0</v>
      </c>
      <c r="AL23" s="66">
        <v>0</v>
      </c>
      <c r="AM23" s="66">
        <v>0</v>
      </c>
      <c r="AN23" s="66">
        <v>0</v>
      </c>
      <c r="AO23" s="66">
        <v>0</v>
      </c>
      <c r="AP23" s="66">
        <v>0</v>
      </c>
      <c r="AQ23" s="66">
        <v>0</v>
      </c>
      <c r="AR23" s="66">
        <v>0</v>
      </c>
      <c r="AS23" s="66">
        <v>0</v>
      </c>
      <c r="AT23" s="67" t="s">
        <v>1230</v>
      </c>
      <c r="AU23" s="67" t="s">
        <v>1230</v>
      </c>
      <c r="AV23" s="67">
        <v>0</v>
      </c>
      <c r="AW23" s="187">
        <v>0</v>
      </c>
      <c r="AX23" s="67">
        <v>0</v>
      </c>
      <c r="AY23" s="66">
        <v>0</v>
      </c>
      <c r="AZ23" s="66">
        <v>0</v>
      </c>
      <c r="BA23" s="66">
        <v>0</v>
      </c>
      <c r="BB23" s="66">
        <v>0</v>
      </c>
      <c r="BC23" s="66">
        <v>0</v>
      </c>
      <c r="BD23" s="66">
        <v>0</v>
      </c>
      <c r="BE23" s="66">
        <v>0</v>
      </c>
      <c r="BF23" s="66">
        <v>0</v>
      </c>
      <c r="BG23" s="66">
        <v>0</v>
      </c>
      <c r="BH23" s="66">
        <v>0</v>
      </c>
      <c r="BI23" s="66">
        <v>0</v>
      </c>
      <c r="BJ23" s="67" t="s">
        <v>1230</v>
      </c>
      <c r="BK23" s="67" t="s">
        <v>1230</v>
      </c>
      <c r="BL23" s="67">
        <v>0</v>
      </c>
      <c r="BM23" s="187">
        <v>0</v>
      </c>
      <c r="BN23" s="67">
        <v>0</v>
      </c>
      <c r="BO23" s="66">
        <v>0</v>
      </c>
      <c r="BP23" s="66">
        <v>0</v>
      </c>
      <c r="BQ23" s="66">
        <v>0</v>
      </c>
      <c r="BR23" s="66">
        <v>0</v>
      </c>
      <c r="BS23" s="66">
        <v>0</v>
      </c>
      <c r="BT23" s="66">
        <v>0</v>
      </c>
      <c r="BU23" s="66">
        <v>0</v>
      </c>
      <c r="BV23" s="66">
        <v>0</v>
      </c>
      <c r="BW23" s="66">
        <v>0</v>
      </c>
      <c r="BX23" s="66">
        <v>0</v>
      </c>
      <c r="BY23" s="66">
        <v>0</v>
      </c>
      <c r="BZ23" s="67" t="s">
        <v>1230</v>
      </c>
      <c r="CA23" s="67" t="s">
        <v>1230</v>
      </c>
      <c r="CB23" s="67">
        <v>0</v>
      </c>
      <c r="CC23" s="187">
        <v>0</v>
      </c>
      <c r="CD23" s="67">
        <v>0</v>
      </c>
    </row>
    <row r="24" spans="1:82" ht="15.6" x14ac:dyDescent="0.3">
      <c r="A24" s="169" t="s">
        <v>36</v>
      </c>
      <c r="B24" s="205" t="s">
        <v>37</v>
      </c>
      <c r="C24" s="66">
        <v>0</v>
      </c>
      <c r="D24" s="66">
        <v>0</v>
      </c>
      <c r="E24" s="66">
        <v>0</v>
      </c>
      <c r="F24" s="66">
        <v>0</v>
      </c>
      <c r="G24" s="66">
        <v>0</v>
      </c>
      <c r="H24" s="66">
        <v>0</v>
      </c>
      <c r="I24" s="66">
        <v>0</v>
      </c>
      <c r="J24" s="66">
        <v>0</v>
      </c>
      <c r="K24" s="66">
        <v>0</v>
      </c>
      <c r="L24" s="66">
        <v>0</v>
      </c>
      <c r="M24" s="66">
        <v>0</v>
      </c>
      <c r="N24" s="67" t="s">
        <v>1230</v>
      </c>
      <c r="O24" s="67" t="s">
        <v>1230</v>
      </c>
      <c r="P24" s="67">
        <v>0</v>
      </c>
      <c r="Q24" s="66">
        <v>0</v>
      </c>
      <c r="R24" s="67">
        <v>0</v>
      </c>
      <c r="S24" s="66">
        <v>0</v>
      </c>
      <c r="T24" s="66">
        <v>0</v>
      </c>
      <c r="U24" s="66">
        <v>0</v>
      </c>
      <c r="V24" s="66">
        <v>0</v>
      </c>
      <c r="W24" s="66">
        <v>0</v>
      </c>
      <c r="X24" s="66">
        <v>0</v>
      </c>
      <c r="Y24" s="66">
        <v>0</v>
      </c>
      <c r="Z24" s="66">
        <v>0</v>
      </c>
      <c r="AA24" s="66">
        <v>0</v>
      </c>
      <c r="AB24" s="66">
        <v>0</v>
      </c>
      <c r="AC24" s="66">
        <v>0</v>
      </c>
      <c r="AD24" s="67" t="s">
        <v>1230</v>
      </c>
      <c r="AE24" s="67" t="s">
        <v>1230</v>
      </c>
      <c r="AF24" s="67">
        <v>0</v>
      </c>
      <c r="AG24" s="187">
        <v>0</v>
      </c>
      <c r="AH24" s="67">
        <v>0</v>
      </c>
      <c r="AI24" s="66">
        <v>0</v>
      </c>
      <c r="AJ24" s="66">
        <v>0</v>
      </c>
      <c r="AK24" s="66">
        <v>0</v>
      </c>
      <c r="AL24" s="66">
        <v>0</v>
      </c>
      <c r="AM24" s="66">
        <v>0</v>
      </c>
      <c r="AN24" s="66">
        <v>0</v>
      </c>
      <c r="AO24" s="66">
        <v>0</v>
      </c>
      <c r="AP24" s="66">
        <v>0</v>
      </c>
      <c r="AQ24" s="66">
        <v>0</v>
      </c>
      <c r="AR24" s="66">
        <v>0</v>
      </c>
      <c r="AS24" s="66">
        <v>0</v>
      </c>
      <c r="AT24" s="67" t="s">
        <v>1230</v>
      </c>
      <c r="AU24" s="67" t="s">
        <v>1230</v>
      </c>
      <c r="AV24" s="67">
        <v>0</v>
      </c>
      <c r="AW24" s="187">
        <v>0</v>
      </c>
      <c r="AX24" s="67">
        <v>0</v>
      </c>
      <c r="AY24" s="66">
        <v>0</v>
      </c>
      <c r="AZ24" s="66">
        <v>0</v>
      </c>
      <c r="BA24" s="66">
        <v>0</v>
      </c>
      <c r="BB24" s="66">
        <v>0</v>
      </c>
      <c r="BC24" s="66">
        <v>0</v>
      </c>
      <c r="BD24" s="66">
        <v>0</v>
      </c>
      <c r="BE24" s="66">
        <v>0</v>
      </c>
      <c r="BF24" s="66">
        <v>0</v>
      </c>
      <c r="BG24" s="66">
        <v>0</v>
      </c>
      <c r="BH24" s="66">
        <v>0</v>
      </c>
      <c r="BI24" s="66">
        <v>0</v>
      </c>
      <c r="BJ24" s="67" t="s">
        <v>1230</v>
      </c>
      <c r="BK24" s="67" t="s">
        <v>1230</v>
      </c>
      <c r="BL24" s="67">
        <v>0</v>
      </c>
      <c r="BM24" s="187">
        <v>0</v>
      </c>
      <c r="BN24" s="67">
        <v>0</v>
      </c>
      <c r="BO24" s="66">
        <v>0</v>
      </c>
      <c r="BP24" s="66">
        <v>0</v>
      </c>
      <c r="BQ24" s="66">
        <v>0</v>
      </c>
      <c r="BR24" s="66">
        <v>0</v>
      </c>
      <c r="BS24" s="66">
        <v>0</v>
      </c>
      <c r="BT24" s="66">
        <v>0</v>
      </c>
      <c r="BU24" s="66">
        <v>0</v>
      </c>
      <c r="BV24" s="66">
        <v>0</v>
      </c>
      <c r="BW24" s="66">
        <v>0</v>
      </c>
      <c r="BX24" s="66">
        <v>0</v>
      </c>
      <c r="BY24" s="66">
        <v>0</v>
      </c>
      <c r="BZ24" s="67" t="s">
        <v>1230</v>
      </c>
      <c r="CA24" s="67" t="s">
        <v>1230</v>
      </c>
      <c r="CB24" s="67">
        <v>0</v>
      </c>
      <c r="CC24" s="187">
        <v>0</v>
      </c>
      <c r="CD24" s="67">
        <v>0</v>
      </c>
    </row>
    <row r="25" spans="1:82" ht="15.6" x14ac:dyDescent="0.3">
      <c r="A25" s="169" t="s">
        <v>39</v>
      </c>
      <c r="B25" s="205" t="s">
        <v>297</v>
      </c>
      <c r="C25" s="66">
        <v>0</v>
      </c>
      <c r="D25" s="66">
        <v>0</v>
      </c>
      <c r="E25" s="66">
        <v>0</v>
      </c>
      <c r="F25" s="66">
        <v>0</v>
      </c>
      <c r="G25" s="66">
        <v>0</v>
      </c>
      <c r="H25" s="66">
        <v>0</v>
      </c>
      <c r="I25" s="66">
        <v>0</v>
      </c>
      <c r="J25" s="66">
        <v>0</v>
      </c>
      <c r="K25" s="66">
        <v>0</v>
      </c>
      <c r="L25" s="66">
        <v>0</v>
      </c>
      <c r="M25" s="66">
        <v>0</v>
      </c>
      <c r="N25" s="67" t="s">
        <v>1230</v>
      </c>
      <c r="O25" s="67" t="s">
        <v>1230</v>
      </c>
      <c r="P25" s="67">
        <v>0</v>
      </c>
      <c r="Q25" s="66">
        <v>0</v>
      </c>
      <c r="R25" s="67">
        <v>0</v>
      </c>
      <c r="S25" s="66">
        <v>0</v>
      </c>
      <c r="T25" s="66">
        <v>0</v>
      </c>
      <c r="U25" s="66">
        <v>0</v>
      </c>
      <c r="V25" s="66">
        <v>0</v>
      </c>
      <c r="W25" s="66">
        <v>0</v>
      </c>
      <c r="X25" s="66">
        <v>0</v>
      </c>
      <c r="Y25" s="66">
        <v>0</v>
      </c>
      <c r="Z25" s="66">
        <v>0</v>
      </c>
      <c r="AA25" s="66">
        <v>0</v>
      </c>
      <c r="AB25" s="66">
        <v>0</v>
      </c>
      <c r="AC25" s="66">
        <v>0</v>
      </c>
      <c r="AD25" s="67" t="s">
        <v>1230</v>
      </c>
      <c r="AE25" s="67" t="s">
        <v>1230</v>
      </c>
      <c r="AF25" s="67">
        <v>0</v>
      </c>
      <c r="AG25" s="187">
        <v>0</v>
      </c>
      <c r="AH25" s="67">
        <v>0</v>
      </c>
      <c r="AI25" s="66">
        <v>0</v>
      </c>
      <c r="AJ25" s="66">
        <v>0</v>
      </c>
      <c r="AK25" s="66">
        <v>0</v>
      </c>
      <c r="AL25" s="66">
        <v>0</v>
      </c>
      <c r="AM25" s="66">
        <v>0</v>
      </c>
      <c r="AN25" s="66">
        <v>0</v>
      </c>
      <c r="AO25" s="66">
        <v>0</v>
      </c>
      <c r="AP25" s="66">
        <v>0</v>
      </c>
      <c r="AQ25" s="66">
        <v>0</v>
      </c>
      <c r="AR25" s="66">
        <v>0</v>
      </c>
      <c r="AS25" s="66">
        <v>0</v>
      </c>
      <c r="AT25" s="67" t="s">
        <v>1230</v>
      </c>
      <c r="AU25" s="67" t="s">
        <v>1230</v>
      </c>
      <c r="AV25" s="67">
        <v>0</v>
      </c>
      <c r="AW25" s="187">
        <v>0</v>
      </c>
      <c r="AX25" s="67">
        <v>0</v>
      </c>
      <c r="AY25" s="66">
        <v>0</v>
      </c>
      <c r="AZ25" s="66">
        <v>0</v>
      </c>
      <c r="BA25" s="66">
        <v>0</v>
      </c>
      <c r="BB25" s="66">
        <v>0</v>
      </c>
      <c r="BC25" s="66">
        <v>0</v>
      </c>
      <c r="BD25" s="66">
        <v>0</v>
      </c>
      <c r="BE25" s="66">
        <v>0</v>
      </c>
      <c r="BF25" s="66">
        <v>0</v>
      </c>
      <c r="BG25" s="66">
        <v>0</v>
      </c>
      <c r="BH25" s="66">
        <v>0</v>
      </c>
      <c r="BI25" s="66">
        <v>0</v>
      </c>
      <c r="BJ25" s="67" t="s">
        <v>1230</v>
      </c>
      <c r="BK25" s="67" t="s">
        <v>1230</v>
      </c>
      <c r="BL25" s="67">
        <v>0</v>
      </c>
      <c r="BM25" s="187">
        <v>0</v>
      </c>
      <c r="BN25" s="67">
        <v>0</v>
      </c>
      <c r="BO25" s="66">
        <v>0</v>
      </c>
      <c r="BP25" s="66">
        <v>0</v>
      </c>
      <c r="BQ25" s="66">
        <v>0</v>
      </c>
      <c r="BR25" s="66">
        <v>0</v>
      </c>
      <c r="BS25" s="66">
        <v>0</v>
      </c>
      <c r="BT25" s="66">
        <v>0</v>
      </c>
      <c r="BU25" s="66">
        <v>0</v>
      </c>
      <c r="BV25" s="66">
        <v>0</v>
      </c>
      <c r="BW25" s="66">
        <v>0</v>
      </c>
      <c r="BX25" s="66">
        <v>0</v>
      </c>
      <c r="BY25" s="66">
        <v>0</v>
      </c>
      <c r="BZ25" s="67" t="s">
        <v>1230</v>
      </c>
      <c r="CA25" s="67" t="s">
        <v>1230</v>
      </c>
      <c r="CB25" s="67">
        <v>0</v>
      </c>
      <c r="CC25" s="187">
        <v>0</v>
      </c>
      <c r="CD25" s="67">
        <v>0</v>
      </c>
    </row>
    <row r="26" spans="1:82" ht="15.6" x14ac:dyDescent="0.3">
      <c r="A26" s="169" t="s">
        <v>41</v>
      </c>
      <c r="B26" s="205" t="s">
        <v>42</v>
      </c>
      <c r="C26" s="66">
        <v>0</v>
      </c>
      <c r="D26" s="66">
        <v>0</v>
      </c>
      <c r="E26" s="66">
        <v>0</v>
      </c>
      <c r="F26" s="66">
        <v>0</v>
      </c>
      <c r="G26" s="66">
        <v>0</v>
      </c>
      <c r="H26" s="66">
        <v>0</v>
      </c>
      <c r="I26" s="66">
        <v>0</v>
      </c>
      <c r="J26" s="66">
        <v>0</v>
      </c>
      <c r="K26" s="66">
        <v>0</v>
      </c>
      <c r="L26" s="66">
        <v>0</v>
      </c>
      <c r="M26" s="66">
        <v>0</v>
      </c>
      <c r="N26" s="67" t="s">
        <v>1230</v>
      </c>
      <c r="O26" s="67" t="s">
        <v>1230</v>
      </c>
      <c r="P26" s="67">
        <v>0</v>
      </c>
      <c r="Q26" s="66">
        <v>0</v>
      </c>
      <c r="R26" s="67">
        <v>0</v>
      </c>
      <c r="S26" s="66">
        <v>0</v>
      </c>
      <c r="T26" s="66">
        <v>0</v>
      </c>
      <c r="U26" s="66">
        <v>0</v>
      </c>
      <c r="V26" s="66">
        <v>0</v>
      </c>
      <c r="W26" s="66">
        <v>0</v>
      </c>
      <c r="X26" s="66">
        <v>0</v>
      </c>
      <c r="Y26" s="66">
        <v>0</v>
      </c>
      <c r="Z26" s="66">
        <v>0</v>
      </c>
      <c r="AA26" s="66">
        <v>0</v>
      </c>
      <c r="AB26" s="66">
        <v>0</v>
      </c>
      <c r="AC26" s="66">
        <v>0</v>
      </c>
      <c r="AD26" s="67" t="s">
        <v>1230</v>
      </c>
      <c r="AE26" s="67" t="s">
        <v>1230</v>
      </c>
      <c r="AF26" s="67">
        <v>0</v>
      </c>
      <c r="AG26" s="187">
        <v>0</v>
      </c>
      <c r="AH26" s="67">
        <v>0</v>
      </c>
      <c r="AI26" s="66">
        <v>0</v>
      </c>
      <c r="AJ26" s="66">
        <v>0</v>
      </c>
      <c r="AK26" s="66">
        <v>0</v>
      </c>
      <c r="AL26" s="66">
        <v>0</v>
      </c>
      <c r="AM26" s="66">
        <v>0</v>
      </c>
      <c r="AN26" s="66">
        <v>0</v>
      </c>
      <c r="AO26" s="66">
        <v>0</v>
      </c>
      <c r="AP26" s="66">
        <v>0</v>
      </c>
      <c r="AQ26" s="66">
        <v>0</v>
      </c>
      <c r="AR26" s="66">
        <v>0</v>
      </c>
      <c r="AS26" s="66">
        <v>0</v>
      </c>
      <c r="AT26" s="67" t="s">
        <v>1230</v>
      </c>
      <c r="AU26" s="67" t="s">
        <v>1230</v>
      </c>
      <c r="AV26" s="67">
        <v>0</v>
      </c>
      <c r="AW26" s="187">
        <v>0</v>
      </c>
      <c r="AX26" s="67">
        <v>0</v>
      </c>
      <c r="AY26" s="66">
        <v>0</v>
      </c>
      <c r="AZ26" s="66">
        <v>0</v>
      </c>
      <c r="BA26" s="66">
        <v>0</v>
      </c>
      <c r="BB26" s="66">
        <v>0</v>
      </c>
      <c r="BC26" s="66">
        <v>0</v>
      </c>
      <c r="BD26" s="66">
        <v>0</v>
      </c>
      <c r="BE26" s="66">
        <v>0</v>
      </c>
      <c r="BF26" s="66">
        <v>0</v>
      </c>
      <c r="BG26" s="66">
        <v>0</v>
      </c>
      <c r="BH26" s="66">
        <v>0</v>
      </c>
      <c r="BI26" s="66">
        <v>0</v>
      </c>
      <c r="BJ26" s="67" t="s">
        <v>1230</v>
      </c>
      <c r="BK26" s="67" t="s">
        <v>1230</v>
      </c>
      <c r="BL26" s="67">
        <v>0</v>
      </c>
      <c r="BM26" s="187">
        <v>0</v>
      </c>
      <c r="BN26" s="67">
        <v>0</v>
      </c>
      <c r="BO26" s="66">
        <v>0</v>
      </c>
      <c r="BP26" s="66">
        <v>0</v>
      </c>
      <c r="BQ26" s="66">
        <v>0</v>
      </c>
      <c r="BR26" s="66">
        <v>0</v>
      </c>
      <c r="BS26" s="66">
        <v>0</v>
      </c>
      <c r="BT26" s="66">
        <v>0</v>
      </c>
      <c r="BU26" s="66">
        <v>0</v>
      </c>
      <c r="BV26" s="66">
        <v>0</v>
      </c>
      <c r="BW26" s="66">
        <v>0</v>
      </c>
      <c r="BX26" s="66">
        <v>0</v>
      </c>
      <c r="BY26" s="66">
        <v>0</v>
      </c>
      <c r="BZ26" s="67" t="s">
        <v>1230</v>
      </c>
      <c r="CA26" s="67" t="s">
        <v>1230</v>
      </c>
      <c r="CB26" s="67">
        <v>0</v>
      </c>
      <c r="CC26" s="187">
        <v>0</v>
      </c>
      <c r="CD26" s="67">
        <v>0</v>
      </c>
    </row>
    <row r="27" spans="1:82" ht="15.6" x14ac:dyDescent="0.3">
      <c r="A27" s="169" t="s">
        <v>44</v>
      </c>
      <c r="B27" s="205" t="s">
        <v>45</v>
      </c>
      <c r="C27" s="66">
        <v>0</v>
      </c>
      <c r="D27" s="66">
        <v>0</v>
      </c>
      <c r="E27" s="66">
        <v>0</v>
      </c>
      <c r="F27" s="66">
        <v>0</v>
      </c>
      <c r="G27" s="66">
        <v>0</v>
      </c>
      <c r="H27" s="66">
        <v>0</v>
      </c>
      <c r="I27" s="66">
        <v>0</v>
      </c>
      <c r="J27" s="66">
        <v>0</v>
      </c>
      <c r="K27" s="66">
        <v>0</v>
      </c>
      <c r="L27" s="66">
        <v>0</v>
      </c>
      <c r="M27" s="66">
        <v>0</v>
      </c>
      <c r="N27" s="67" t="s">
        <v>1230</v>
      </c>
      <c r="O27" s="67" t="s">
        <v>1230</v>
      </c>
      <c r="P27" s="67">
        <v>0</v>
      </c>
      <c r="Q27" s="66">
        <v>0</v>
      </c>
      <c r="R27" s="67">
        <v>0</v>
      </c>
      <c r="S27" s="66">
        <v>0</v>
      </c>
      <c r="T27" s="66">
        <v>0</v>
      </c>
      <c r="U27" s="66">
        <v>0</v>
      </c>
      <c r="V27" s="66">
        <v>0</v>
      </c>
      <c r="W27" s="66">
        <v>0</v>
      </c>
      <c r="X27" s="66">
        <v>0</v>
      </c>
      <c r="Y27" s="66">
        <v>0</v>
      </c>
      <c r="Z27" s="66">
        <v>0</v>
      </c>
      <c r="AA27" s="66">
        <v>0</v>
      </c>
      <c r="AB27" s="66">
        <v>0</v>
      </c>
      <c r="AC27" s="66">
        <v>0</v>
      </c>
      <c r="AD27" s="67" t="s">
        <v>1230</v>
      </c>
      <c r="AE27" s="67" t="s">
        <v>1230</v>
      </c>
      <c r="AF27" s="67">
        <v>0</v>
      </c>
      <c r="AG27" s="187">
        <v>0</v>
      </c>
      <c r="AH27" s="67">
        <v>0</v>
      </c>
      <c r="AI27" s="66">
        <v>0</v>
      </c>
      <c r="AJ27" s="66">
        <v>0</v>
      </c>
      <c r="AK27" s="66">
        <v>0</v>
      </c>
      <c r="AL27" s="66">
        <v>0</v>
      </c>
      <c r="AM27" s="66">
        <v>0</v>
      </c>
      <c r="AN27" s="66">
        <v>0</v>
      </c>
      <c r="AO27" s="66">
        <v>0</v>
      </c>
      <c r="AP27" s="66">
        <v>0</v>
      </c>
      <c r="AQ27" s="66">
        <v>0</v>
      </c>
      <c r="AR27" s="66">
        <v>0</v>
      </c>
      <c r="AS27" s="66">
        <v>0</v>
      </c>
      <c r="AT27" s="67" t="s">
        <v>1230</v>
      </c>
      <c r="AU27" s="67" t="s">
        <v>1230</v>
      </c>
      <c r="AV27" s="67">
        <v>0</v>
      </c>
      <c r="AW27" s="187">
        <v>0</v>
      </c>
      <c r="AX27" s="67">
        <v>0</v>
      </c>
      <c r="AY27" s="66">
        <v>0</v>
      </c>
      <c r="AZ27" s="66">
        <v>0</v>
      </c>
      <c r="BA27" s="66">
        <v>0</v>
      </c>
      <c r="BB27" s="66">
        <v>0</v>
      </c>
      <c r="BC27" s="66">
        <v>0</v>
      </c>
      <c r="BD27" s="66">
        <v>0</v>
      </c>
      <c r="BE27" s="66">
        <v>0</v>
      </c>
      <c r="BF27" s="66">
        <v>0</v>
      </c>
      <c r="BG27" s="66">
        <v>0</v>
      </c>
      <c r="BH27" s="66">
        <v>0</v>
      </c>
      <c r="BI27" s="66">
        <v>0</v>
      </c>
      <c r="BJ27" s="67" t="s">
        <v>1230</v>
      </c>
      <c r="BK27" s="67" t="s">
        <v>1230</v>
      </c>
      <c r="BL27" s="67">
        <v>0</v>
      </c>
      <c r="BM27" s="187">
        <v>0</v>
      </c>
      <c r="BN27" s="67">
        <v>0</v>
      </c>
      <c r="BO27" s="66">
        <v>0</v>
      </c>
      <c r="BP27" s="66">
        <v>0</v>
      </c>
      <c r="BQ27" s="66">
        <v>0</v>
      </c>
      <c r="BR27" s="66">
        <v>0</v>
      </c>
      <c r="BS27" s="66">
        <v>0</v>
      </c>
      <c r="BT27" s="66">
        <v>0</v>
      </c>
      <c r="BU27" s="66">
        <v>0</v>
      </c>
      <c r="BV27" s="66">
        <v>0</v>
      </c>
      <c r="BW27" s="66">
        <v>0</v>
      </c>
      <c r="BX27" s="66">
        <v>0</v>
      </c>
      <c r="BY27" s="66">
        <v>0</v>
      </c>
      <c r="BZ27" s="67" t="s">
        <v>1230</v>
      </c>
      <c r="CA27" s="67" t="s">
        <v>1230</v>
      </c>
      <c r="CB27" s="67">
        <v>0</v>
      </c>
      <c r="CC27" s="187">
        <v>0</v>
      </c>
      <c r="CD27" s="67">
        <v>0</v>
      </c>
    </row>
    <row r="28" spans="1:82" ht="15.6" x14ac:dyDescent="0.3">
      <c r="A28" s="169" t="s">
        <v>47</v>
      </c>
      <c r="B28" s="205" t="s">
        <v>48</v>
      </c>
      <c r="C28" s="66">
        <v>0</v>
      </c>
      <c r="D28" s="66">
        <v>0</v>
      </c>
      <c r="E28" s="66">
        <v>0</v>
      </c>
      <c r="F28" s="66">
        <v>0</v>
      </c>
      <c r="G28" s="66">
        <v>0</v>
      </c>
      <c r="H28" s="66">
        <v>0</v>
      </c>
      <c r="I28" s="66">
        <v>0</v>
      </c>
      <c r="J28" s="66">
        <v>0</v>
      </c>
      <c r="K28" s="66">
        <v>0</v>
      </c>
      <c r="L28" s="66">
        <v>0</v>
      </c>
      <c r="M28" s="66">
        <v>0</v>
      </c>
      <c r="N28" s="67" t="s">
        <v>1230</v>
      </c>
      <c r="O28" s="67" t="s">
        <v>1230</v>
      </c>
      <c r="P28" s="67">
        <v>0</v>
      </c>
      <c r="Q28" s="66">
        <v>0</v>
      </c>
      <c r="R28" s="67">
        <v>0</v>
      </c>
      <c r="S28" s="66">
        <v>0</v>
      </c>
      <c r="T28" s="66">
        <v>0</v>
      </c>
      <c r="U28" s="66">
        <v>0</v>
      </c>
      <c r="V28" s="66">
        <v>0</v>
      </c>
      <c r="W28" s="66">
        <v>0</v>
      </c>
      <c r="X28" s="66">
        <v>0</v>
      </c>
      <c r="Y28" s="66">
        <v>0</v>
      </c>
      <c r="Z28" s="66">
        <v>0</v>
      </c>
      <c r="AA28" s="66">
        <v>0</v>
      </c>
      <c r="AB28" s="66">
        <v>0</v>
      </c>
      <c r="AC28" s="66">
        <v>0</v>
      </c>
      <c r="AD28" s="67" t="s">
        <v>1230</v>
      </c>
      <c r="AE28" s="67" t="s">
        <v>1230</v>
      </c>
      <c r="AF28" s="67">
        <v>0</v>
      </c>
      <c r="AG28" s="187">
        <v>0</v>
      </c>
      <c r="AH28" s="67">
        <v>0</v>
      </c>
      <c r="AI28" s="66">
        <v>0</v>
      </c>
      <c r="AJ28" s="66">
        <v>0</v>
      </c>
      <c r="AK28" s="66">
        <v>0</v>
      </c>
      <c r="AL28" s="66">
        <v>0</v>
      </c>
      <c r="AM28" s="66">
        <v>0</v>
      </c>
      <c r="AN28" s="66">
        <v>0</v>
      </c>
      <c r="AO28" s="66">
        <v>0</v>
      </c>
      <c r="AP28" s="66">
        <v>0</v>
      </c>
      <c r="AQ28" s="66">
        <v>0</v>
      </c>
      <c r="AR28" s="66">
        <v>0</v>
      </c>
      <c r="AS28" s="66">
        <v>0</v>
      </c>
      <c r="AT28" s="67" t="s">
        <v>1230</v>
      </c>
      <c r="AU28" s="67" t="s">
        <v>1230</v>
      </c>
      <c r="AV28" s="67">
        <v>0</v>
      </c>
      <c r="AW28" s="187">
        <v>0</v>
      </c>
      <c r="AX28" s="67">
        <v>0</v>
      </c>
      <c r="AY28" s="66">
        <v>0</v>
      </c>
      <c r="AZ28" s="66">
        <v>0</v>
      </c>
      <c r="BA28" s="66">
        <v>0</v>
      </c>
      <c r="BB28" s="66">
        <v>0</v>
      </c>
      <c r="BC28" s="66">
        <v>0</v>
      </c>
      <c r="BD28" s="66">
        <v>0</v>
      </c>
      <c r="BE28" s="66">
        <v>0</v>
      </c>
      <c r="BF28" s="66">
        <v>0</v>
      </c>
      <c r="BG28" s="66">
        <v>0</v>
      </c>
      <c r="BH28" s="66">
        <v>0</v>
      </c>
      <c r="BI28" s="66">
        <v>0</v>
      </c>
      <c r="BJ28" s="67" t="s">
        <v>1230</v>
      </c>
      <c r="BK28" s="67" t="s">
        <v>1230</v>
      </c>
      <c r="BL28" s="67">
        <v>0</v>
      </c>
      <c r="BM28" s="187">
        <v>0</v>
      </c>
      <c r="BN28" s="67">
        <v>0</v>
      </c>
      <c r="BO28" s="66">
        <v>0</v>
      </c>
      <c r="BP28" s="66">
        <v>0</v>
      </c>
      <c r="BQ28" s="66">
        <v>0</v>
      </c>
      <c r="BR28" s="66">
        <v>0</v>
      </c>
      <c r="BS28" s="66">
        <v>0</v>
      </c>
      <c r="BT28" s="66">
        <v>0</v>
      </c>
      <c r="BU28" s="66">
        <v>0</v>
      </c>
      <c r="BV28" s="66">
        <v>0</v>
      </c>
      <c r="BW28" s="66">
        <v>0</v>
      </c>
      <c r="BX28" s="66">
        <v>0</v>
      </c>
      <c r="BY28" s="66">
        <v>0</v>
      </c>
      <c r="BZ28" s="67" t="s">
        <v>1230</v>
      </c>
      <c r="CA28" s="67" t="s">
        <v>1230</v>
      </c>
      <c r="CB28" s="67">
        <v>0</v>
      </c>
      <c r="CC28" s="187">
        <v>0</v>
      </c>
      <c r="CD28" s="67">
        <v>0</v>
      </c>
    </row>
    <row r="29" spans="1:82" ht="15.6" x14ac:dyDescent="0.3">
      <c r="A29" s="169" t="s">
        <v>50</v>
      </c>
      <c r="B29" s="205" t="s">
        <v>51</v>
      </c>
      <c r="C29" s="66">
        <v>0</v>
      </c>
      <c r="D29" s="66">
        <v>0</v>
      </c>
      <c r="E29" s="66">
        <v>0</v>
      </c>
      <c r="F29" s="66">
        <v>0</v>
      </c>
      <c r="G29" s="66">
        <v>0</v>
      </c>
      <c r="H29" s="66">
        <v>0</v>
      </c>
      <c r="I29" s="66">
        <v>0</v>
      </c>
      <c r="J29" s="66">
        <v>0</v>
      </c>
      <c r="K29" s="66">
        <v>0</v>
      </c>
      <c r="L29" s="66">
        <v>0</v>
      </c>
      <c r="M29" s="66">
        <v>0</v>
      </c>
      <c r="N29" s="67" t="s">
        <v>1230</v>
      </c>
      <c r="O29" s="67" t="s">
        <v>1230</v>
      </c>
      <c r="P29" s="67">
        <v>0</v>
      </c>
      <c r="Q29" s="66">
        <v>0</v>
      </c>
      <c r="R29" s="67">
        <v>0</v>
      </c>
      <c r="S29" s="66">
        <v>0</v>
      </c>
      <c r="T29" s="66">
        <v>0</v>
      </c>
      <c r="U29" s="66">
        <v>0</v>
      </c>
      <c r="V29" s="66">
        <v>0</v>
      </c>
      <c r="W29" s="66">
        <v>0</v>
      </c>
      <c r="X29" s="66">
        <v>0</v>
      </c>
      <c r="Y29" s="66">
        <v>0</v>
      </c>
      <c r="Z29" s="66">
        <v>0</v>
      </c>
      <c r="AA29" s="66">
        <v>0</v>
      </c>
      <c r="AB29" s="66">
        <v>0</v>
      </c>
      <c r="AC29" s="66">
        <v>0</v>
      </c>
      <c r="AD29" s="67" t="s">
        <v>1230</v>
      </c>
      <c r="AE29" s="67" t="s">
        <v>1230</v>
      </c>
      <c r="AF29" s="67">
        <v>0</v>
      </c>
      <c r="AG29" s="187">
        <v>0</v>
      </c>
      <c r="AH29" s="67">
        <v>0</v>
      </c>
      <c r="AI29" s="66">
        <v>0</v>
      </c>
      <c r="AJ29" s="66">
        <v>0</v>
      </c>
      <c r="AK29" s="66">
        <v>0</v>
      </c>
      <c r="AL29" s="66">
        <v>0</v>
      </c>
      <c r="AM29" s="66">
        <v>0</v>
      </c>
      <c r="AN29" s="66">
        <v>0</v>
      </c>
      <c r="AO29" s="66">
        <v>0</v>
      </c>
      <c r="AP29" s="66">
        <v>0</v>
      </c>
      <c r="AQ29" s="66">
        <v>0</v>
      </c>
      <c r="AR29" s="66">
        <v>0</v>
      </c>
      <c r="AS29" s="66">
        <v>0</v>
      </c>
      <c r="AT29" s="67" t="s">
        <v>1230</v>
      </c>
      <c r="AU29" s="67" t="s">
        <v>1230</v>
      </c>
      <c r="AV29" s="67">
        <v>0</v>
      </c>
      <c r="AW29" s="187">
        <v>0</v>
      </c>
      <c r="AX29" s="67">
        <v>0</v>
      </c>
      <c r="AY29" s="66">
        <v>0</v>
      </c>
      <c r="AZ29" s="66">
        <v>0</v>
      </c>
      <c r="BA29" s="66">
        <v>0</v>
      </c>
      <c r="BB29" s="66">
        <v>0</v>
      </c>
      <c r="BC29" s="66">
        <v>0</v>
      </c>
      <c r="BD29" s="66">
        <v>0</v>
      </c>
      <c r="BE29" s="66">
        <v>0</v>
      </c>
      <c r="BF29" s="66">
        <v>0</v>
      </c>
      <c r="BG29" s="66">
        <v>0</v>
      </c>
      <c r="BH29" s="66">
        <v>0</v>
      </c>
      <c r="BI29" s="66">
        <v>0</v>
      </c>
      <c r="BJ29" s="67" t="s">
        <v>1230</v>
      </c>
      <c r="BK29" s="67" t="s">
        <v>1230</v>
      </c>
      <c r="BL29" s="67">
        <v>0</v>
      </c>
      <c r="BM29" s="187">
        <v>0</v>
      </c>
      <c r="BN29" s="67">
        <v>0</v>
      </c>
      <c r="BO29" s="66">
        <v>0</v>
      </c>
      <c r="BP29" s="66">
        <v>0</v>
      </c>
      <c r="BQ29" s="66">
        <v>0</v>
      </c>
      <c r="BR29" s="66">
        <v>0</v>
      </c>
      <c r="BS29" s="66">
        <v>0</v>
      </c>
      <c r="BT29" s="66">
        <v>0</v>
      </c>
      <c r="BU29" s="66">
        <v>0</v>
      </c>
      <c r="BV29" s="66">
        <v>0</v>
      </c>
      <c r="BW29" s="66">
        <v>0</v>
      </c>
      <c r="BX29" s="66">
        <v>0</v>
      </c>
      <c r="BY29" s="66">
        <v>0</v>
      </c>
      <c r="BZ29" s="67" t="s">
        <v>1230</v>
      </c>
      <c r="CA29" s="67" t="s">
        <v>1230</v>
      </c>
      <c r="CB29" s="67">
        <v>0</v>
      </c>
      <c r="CC29" s="187">
        <v>0</v>
      </c>
      <c r="CD29" s="67">
        <v>0</v>
      </c>
    </row>
    <row r="30" spans="1:82" ht="15.6" x14ac:dyDescent="0.3">
      <c r="A30" s="169" t="s">
        <v>53</v>
      </c>
      <c r="B30" s="205" t="s">
        <v>54</v>
      </c>
      <c r="C30" s="66">
        <v>0</v>
      </c>
      <c r="D30" s="66">
        <v>0</v>
      </c>
      <c r="E30" s="66">
        <v>0</v>
      </c>
      <c r="F30" s="66">
        <v>0</v>
      </c>
      <c r="G30" s="66">
        <v>0</v>
      </c>
      <c r="H30" s="66">
        <v>0</v>
      </c>
      <c r="I30" s="66">
        <v>0</v>
      </c>
      <c r="J30" s="66">
        <v>0</v>
      </c>
      <c r="K30" s="66">
        <v>0</v>
      </c>
      <c r="L30" s="66">
        <v>0</v>
      </c>
      <c r="M30" s="66">
        <v>0</v>
      </c>
      <c r="N30" s="67" t="s">
        <v>1230</v>
      </c>
      <c r="O30" s="67" t="s">
        <v>1230</v>
      </c>
      <c r="P30" s="67">
        <v>0</v>
      </c>
      <c r="Q30" s="66">
        <v>0</v>
      </c>
      <c r="R30" s="67">
        <v>0</v>
      </c>
      <c r="S30" s="66">
        <v>0</v>
      </c>
      <c r="T30" s="66">
        <v>0</v>
      </c>
      <c r="U30" s="66">
        <v>0</v>
      </c>
      <c r="V30" s="66">
        <v>0</v>
      </c>
      <c r="W30" s="66">
        <v>0</v>
      </c>
      <c r="X30" s="66">
        <v>0</v>
      </c>
      <c r="Y30" s="66">
        <v>0</v>
      </c>
      <c r="Z30" s="66">
        <v>0</v>
      </c>
      <c r="AA30" s="66">
        <v>0</v>
      </c>
      <c r="AB30" s="66">
        <v>0</v>
      </c>
      <c r="AC30" s="66">
        <v>0</v>
      </c>
      <c r="AD30" s="67" t="s">
        <v>1230</v>
      </c>
      <c r="AE30" s="67" t="s">
        <v>1230</v>
      </c>
      <c r="AF30" s="67">
        <v>0</v>
      </c>
      <c r="AG30" s="187">
        <v>0</v>
      </c>
      <c r="AH30" s="67">
        <v>0</v>
      </c>
      <c r="AI30" s="66">
        <v>0</v>
      </c>
      <c r="AJ30" s="66">
        <v>0</v>
      </c>
      <c r="AK30" s="66">
        <v>0</v>
      </c>
      <c r="AL30" s="66">
        <v>0</v>
      </c>
      <c r="AM30" s="66">
        <v>0</v>
      </c>
      <c r="AN30" s="66">
        <v>0</v>
      </c>
      <c r="AO30" s="66">
        <v>0</v>
      </c>
      <c r="AP30" s="66">
        <v>0</v>
      </c>
      <c r="AQ30" s="66">
        <v>0</v>
      </c>
      <c r="AR30" s="66">
        <v>0</v>
      </c>
      <c r="AS30" s="66">
        <v>0</v>
      </c>
      <c r="AT30" s="67" t="s">
        <v>1230</v>
      </c>
      <c r="AU30" s="67" t="s">
        <v>1230</v>
      </c>
      <c r="AV30" s="67">
        <v>0</v>
      </c>
      <c r="AW30" s="187">
        <v>0</v>
      </c>
      <c r="AX30" s="67">
        <v>0</v>
      </c>
      <c r="AY30" s="66">
        <v>0</v>
      </c>
      <c r="AZ30" s="66">
        <v>0</v>
      </c>
      <c r="BA30" s="66">
        <v>0</v>
      </c>
      <c r="BB30" s="66">
        <v>0</v>
      </c>
      <c r="BC30" s="66">
        <v>0</v>
      </c>
      <c r="BD30" s="66">
        <v>0</v>
      </c>
      <c r="BE30" s="66">
        <v>0</v>
      </c>
      <c r="BF30" s="66">
        <v>0</v>
      </c>
      <c r="BG30" s="66">
        <v>0</v>
      </c>
      <c r="BH30" s="66">
        <v>0</v>
      </c>
      <c r="BI30" s="66">
        <v>0</v>
      </c>
      <c r="BJ30" s="67" t="s">
        <v>1230</v>
      </c>
      <c r="BK30" s="67" t="s">
        <v>1230</v>
      </c>
      <c r="BL30" s="67">
        <v>0</v>
      </c>
      <c r="BM30" s="187">
        <v>0</v>
      </c>
      <c r="BN30" s="67">
        <v>0</v>
      </c>
      <c r="BO30" s="66">
        <v>0</v>
      </c>
      <c r="BP30" s="66">
        <v>0</v>
      </c>
      <c r="BQ30" s="66">
        <v>0</v>
      </c>
      <c r="BR30" s="66">
        <v>0</v>
      </c>
      <c r="BS30" s="66">
        <v>0</v>
      </c>
      <c r="BT30" s="66">
        <v>0</v>
      </c>
      <c r="BU30" s="66">
        <v>0</v>
      </c>
      <c r="BV30" s="66">
        <v>0</v>
      </c>
      <c r="BW30" s="66">
        <v>0</v>
      </c>
      <c r="BX30" s="66">
        <v>0</v>
      </c>
      <c r="BY30" s="66">
        <v>0</v>
      </c>
      <c r="BZ30" s="67" t="s">
        <v>1230</v>
      </c>
      <c r="CA30" s="67" t="s">
        <v>1230</v>
      </c>
      <c r="CB30" s="67">
        <v>0</v>
      </c>
      <c r="CC30" s="187">
        <v>0</v>
      </c>
      <c r="CD30" s="67">
        <v>0</v>
      </c>
    </row>
    <row r="31" spans="1:82" ht="15.6" x14ac:dyDescent="0.3">
      <c r="A31" s="169" t="s">
        <v>56</v>
      </c>
      <c r="B31" s="205" t="s">
        <v>57</v>
      </c>
      <c r="C31" s="66">
        <v>0</v>
      </c>
      <c r="D31" s="66">
        <v>0</v>
      </c>
      <c r="E31" s="66">
        <v>0</v>
      </c>
      <c r="F31" s="66">
        <v>0</v>
      </c>
      <c r="G31" s="66">
        <v>0</v>
      </c>
      <c r="H31" s="66">
        <v>0</v>
      </c>
      <c r="I31" s="66">
        <v>0</v>
      </c>
      <c r="J31" s="66">
        <v>0</v>
      </c>
      <c r="K31" s="66">
        <v>0</v>
      </c>
      <c r="L31" s="66">
        <v>0</v>
      </c>
      <c r="M31" s="66">
        <v>0</v>
      </c>
      <c r="N31" s="67" t="s">
        <v>1230</v>
      </c>
      <c r="O31" s="67" t="s">
        <v>1230</v>
      </c>
      <c r="P31" s="67">
        <v>0</v>
      </c>
      <c r="Q31" s="66">
        <v>0</v>
      </c>
      <c r="R31" s="67">
        <v>0</v>
      </c>
      <c r="S31" s="66">
        <v>0</v>
      </c>
      <c r="T31" s="66">
        <v>0</v>
      </c>
      <c r="U31" s="66">
        <v>0</v>
      </c>
      <c r="V31" s="66">
        <v>0</v>
      </c>
      <c r="W31" s="66">
        <v>0</v>
      </c>
      <c r="X31" s="66">
        <v>0</v>
      </c>
      <c r="Y31" s="66">
        <v>0</v>
      </c>
      <c r="Z31" s="66">
        <v>0</v>
      </c>
      <c r="AA31" s="66">
        <v>0</v>
      </c>
      <c r="AB31" s="66">
        <v>0</v>
      </c>
      <c r="AC31" s="66">
        <v>0</v>
      </c>
      <c r="AD31" s="67" t="s">
        <v>1230</v>
      </c>
      <c r="AE31" s="67" t="s">
        <v>1230</v>
      </c>
      <c r="AF31" s="67">
        <v>0</v>
      </c>
      <c r="AG31" s="187">
        <v>0</v>
      </c>
      <c r="AH31" s="67">
        <v>0</v>
      </c>
      <c r="AI31" s="66">
        <v>0</v>
      </c>
      <c r="AJ31" s="66">
        <v>0</v>
      </c>
      <c r="AK31" s="66">
        <v>0</v>
      </c>
      <c r="AL31" s="66">
        <v>0</v>
      </c>
      <c r="AM31" s="66">
        <v>0</v>
      </c>
      <c r="AN31" s="66">
        <v>0</v>
      </c>
      <c r="AO31" s="66">
        <v>0</v>
      </c>
      <c r="AP31" s="66">
        <v>0</v>
      </c>
      <c r="AQ31" s="66">
        <v>0</v>
      </c>
      <c r="AR31" s="66">
        <v>0</v>
      </c>
      <c r="AS31" s="66">
        <v>0</v>
      </c>
      <c r="AT31" s="67" t="s">
        <v>1230</v>
      </c>
      <c r="AU31" s="67" t="s">
        <v>1230</v>
      </c>
      <c r="AV31" s="67">
        <v>0</v>
      </c>
      <c r="AW31" s="187">
        <v>0</v>
      </c>
      <c r="AX31" s="67">
        <v>0</v>
      </c>
      <c r="AY31" s="66">
        <v>0</v>
      </c>
      <c r="AZ31" s="66">
        <v>0</v>
      </c>
      <c r="BA31" s="66">
        <v>0</v>
      </c>
      <c r="BB31" s="66">
        <v>0</v>
      </c>
      <c r="BC31" s="66">
        <v>0</v>
      </c>
      <c r="BD31" s="66">
        <v>0</v>
      </c>
      <c r="BE31" s="66">
        <v>0</v>
      </c>
      <c r="BF31" s="66">
        <v>0</v>
      </c>
      <c r="BG31" s="66">
        <v>0</v>
      </c>
      <c r="BH31" s="66">
        <v>0</v>
      </c>
      <c r="BI31" s="66">
        <v>0</v>
      </c>
      <c r="BJ31" s="67" t="s">
        <v>1230</v>
      </c>
      <c r="BK31" s="67" t="s">
        <v>1230</v>
      </c>
      <c r="BL31" s="67">
        <v>0</v>
      </c>
      <c r="BM31" s="187">
        <v>0</v>
      </c>
      <c r="BN31" s="67">
        <v>0</v>
      </c>
      <c r="BO31" s="66">
        <v>0</v>
      </c>
      <c r="BP31" s="66">
        <v>0</v>
      </c>
      <c r="BQ31" s="66">
        <v>0</v>
      </c>
      <c r="BR31" s="66">
        <v>0</v>
      </c>
      <c r="BS31" s="66">
        <v>0</v>
      </c>
      <c r="BT31" s="66">
        <v>0</v>
      </c>
      <c r="BU31" s="66">
        <v>0</v>
      </c>
      <c r="BV31" s="66">
        <v>0</v>
      </c>
      <c r="BW31" s="66">
        <v>0</v>
      </c>
      <c r="BX31" s="66">
        <v>0</v>
      </c>
      <c r="BY31" s="66">
        <v>0</v>
      </c>
      <c r="BZ31" s="67" t="s">
        <v>1230</v>
      </c>
      <c r="CA31" s="67" t="s">
        <v>1230</v>
      </c>
      <c r="CB31" s="67">
        <v>0</v>
      </c>
      <c r="CC31" s="187">
        <v>0</v>
      </c>
      <c r="CD31" s="67">
        <v>0</v>
      </c>
    </row>
    <row r="32" spans="1:82" ht="15.6" x14ac:dyDescent="0.3">
      <c r="A32" s="169" t="s">
        <v>59</v>
      </c>
      <c r="B32" s="205" t="s">
        <v>60</v>
      </c>
      <c r="C32" s="66">
        <v>0</v>
      </c>
      <c r="D32" s="66">
        <v>0</v>
      </c>
      <c r="E32" s="66">
        <v>0</v>
      </c>
      <c r="F32" s="66">
        <v>0</v>
      </c>
      <c r="G32" s="66">
        <v>0</v>
      </c>
      <c r="H32" s="66">
        <v>0</v>
      </c>
      <c r="I32" s="66">
        <v>0</v>
      </c>
      <c r="J32" s="66">
        <v>0</v>
      </c>
      <c r="K32" s="66">
        <v>0</v>
      </c>
      <c r="L32" s="66">
        <v>0</v>
      </c>
      <c r="M32" s="66">
        <v>0</v>
      </c>
      <c r="N32" s="67" t="s">
        <v>1230</v>
      </c>
      <c r="O32" s="67" t="s">
        <v>1230</v>
      </c>
      <c r="P32" s="67">
        <v>0</v>
      </c>
      <c r="Q32" s="66">
        <v>0</v>
      </c>
      <c r="R32" s="67">
        <v>0</v>
      </c>
      <c r="S32" s="66">
        <v>0</v>
      </c>
      <c r="T32" s="66">
        <v>0</v>
      </c>
      <c r="U32" s="66">
        <v>0</v>
      </c>
      <c r="V32" s="66">
        <v>0</v>
      </c>
      <c r="W32" s="66">
        <v>0</v>
      </c>
      <c r="X32" s="66">
        <v>0</v>
      </c>
      <c r="Y32" s="66">
        <v>0</v>
      </c>
      <c r="Z32" s="66">
        <v>0</v>
      </c>
      <c r="AA32" s="66">
        <v>0</v>
      </c>
      <c r="AB32" s="66">
        <v>0</v>
      </c>
      <c r="AC32" s="66">
        <v>0</v>
      </c>
      <c r="AD32" s="67" t="s">
        <v>1230</v>
      </c>
      <c r="AE32" s="67" t="s">
        <v>1230</v>
      </c>
      <c r="AF32" s="67">
        <v>0</v>
      </c>
      <c r="AG32" s="187">
        <v>0</v>
      </c>
      <c r="AH32" s="67">
        <v>0</v>
      </c>
      <c r="AI32" s="66">
        <v>0</v>
      </c>
      <c r="AJ32" s="66">
        <v>0</v>
      </c>
      <c r="AK32" s="66">
        <v>0</v>
      </c>
      <c r="AL32" s="66">
        <v>0</v>
      </c>
      <c r="AM32" s="66">
        <v>0</v>
      </c>
      <c r="AN32" s="66">
        <v>0</v>
      </c>
      <c r="AO32" s="66">
        <v>0</v>
      </c>
      <c r="AP32" s="66">
        <v>0</v>
      </c>
      <c r="AQ32" s="66">
        <v>0</v>
      </c>
      <c r="AR32" s="66">
        <v>0</v>
      </c>
      <c r="AS32" s="66">
        <v>0</v>
      </c>
      <c r="AT32" s="67" t="s">
        <v>1230</v>
      </c>
      <c r="AU32" s="67" t="s">
        <v>1230</v>
      </c>
      <c r="AV32" s="67">
        <v>0</v>
      </c>
      <c r="AW32" s="187">
        <v>0</v>
      </c>
      <c r="AX32" s="67">
        <v>0</v>
      </c>
      <c r="AY32" s="66">
        <v>0</v>
      </c>
      <c r="AZ32" s="66">
        <v>0</v>
      </c>
      <c r="BA32" s="66">
        <v>0</v>
      </c>
      <c r="BB32" s="66">
        <v>0</v>
      </c>
      <c r="BC32" s="66">
        <v>0</v>
      </c>
      <c r="BD32" s="66">
        <v>0</v>
      </c>
      <c r="BE32" s="66">
        <v>0</v>
      </c>
      <c r="BF32" s="66">
        <v>0</v>
      </c>
      <c r="BG32" s="66">
        <v>0</v>
      </c>
      <c r="BH32" s="66">
        <v>0</v>
      </c>
      <c r="BI32" s="66">
        <v>0</v>
      </c>
      <c r="BJ32" s="67" t="s">
        <v>1230</v>
      </c>
      <c r="BK32" s="67" t="s">
        <v>1230</v>
      </c>
      <c r="BL32" s="67">
        <v>0</v>
      </c>
      <c r="BM32" s="187">
        <v>0</v>
      </c>
      <c r="BN32" s="67">
        <v>0</v>
      </c>
      <c r="BO32" s="66">
        <v>0</v>
      </c>
      <c r="BP32" s="66">
        <v>0</v>
      </c>
      <c r="BQ32" s="66">
        <v>0</v>
      </c>
      <c r="BR32" s="66">
        <v>0</v>
      </c>
      <c r="BS32" s="66">
        <v>0</v>
      </c>
      <c r="BT32" s="66">
        <v>0</v>
      </c>
      <c r="BU32" s="66">
        <v>0</v>
      </c>
      <c r="BV32" s="66">
        <v>0</v>
      </c>
      <c r="BW32" s="66">
        <v>0</v>
      </c>
      <c r="BX32" s="66">
        <v>0</v>
      </c>
      <c r="BY32" s="66">
        <v>0</v>
      </c>
      <c r="BZ32" s="67" t="s">
        <v>1230</v>
      </c>
      <c r="CA32" s="67" t="s">
        <v>1230</v>
      </c>
      <c r="CB32" s="67">
        <v>0</v>
      </c>
      <c r="CC32" s="187">
        <v>0</v>
      </c>
      <c r="CD32" s="67">
        <v>0</v>
      </c>
    </row>
    <row r="33" spans="1:82" ht="15.6" x14ac:dyDescent="0.3">
      <c r="A33" s="202" t="s">
        <v>62</v>
      </c>
      <c r="B33" s="203" t="s">
        <v>63</v>
      </c>
      <c r="C33" s="61">
        <v>0</v>
      </c>
      <c r="D33" s="61">
        <v>0</v>
      </c>
      <c r="E33" s="61">
        <v>0</v>
      </c>
      <c r="F33" s="61">
        <v>0</v>
      </c>
      <c r="G33" s="61">
        <v>0</v>
      </c>
      <c r="H33" s="61">
        <v>0</v>
      </c>
      <c r="I33" s="61">
        <v>0</v>
      </c>
      <c r="J33" s="61">
        <v>0</v>
      </c>
      <c r="K33" s="61">
        <v>0</v>
      </c>
      <c r="L33" s="61">
        <v>0</v>
      </c>
      <c r="M33" s="61">
        <v>0</v>
      </c>
      <c r="N33" s="61" t="s">
        <v>1230</v>
      </c>
      <c r="O33" s="61" t="s">
        <v>1230</v>
      </c>
      <c r="P33" s="61">
        <v>0</v>
      </c>
      <c r="Q33" s="61">
        <v>0</v>
      </c>
      <c r="R33" s="61">
        <v>0</v>
      </c>
      <c r="S33" s="61">
        <v>0</v>
      </c>
      <c r="T33" s="61">
        <v>0</v>
      </c>
      <c r="U33" s="61">
        <v>0</v>
      </c>
      <c r="V33" s="61">
        <v>0</v>
      </c>
      <c r="W33" s="61">
        <v>0</v>
      </c>
      <c r="X33" s="61">
        <v>0</v>
      </c>
      <c r="Y33" s="61">
        <v>0</v>
      </c>
      <c r="Z33" s="61">
        <v>0</v>
      </c>
      <c r="AA33" s="61">
        <v>0</v>
      </c>
      <c r="AB33" s="61">
        <v>0</v>
      </c>
      <c r="AC33" s="61">
        <v>0</v>
      </c>
      <c r="AD33" s="61" t="s">
        <v>1230</v>
      </c>
      <c r="AE33" s="61" t="s">
        <v>1230</v>
      </c>
      <c r="AF33" s="61">
        <v>0</v>
      </c>
      <c r="AG33" s="61">
        <v>0</v>
      </c>
      <c r="AH33" s="61">
        <v>0</v>
      </c>
      <c r="AI33" s="61">
        <v>0</v>
      </c>
      <c r="AJ33" s="61">
        <v>0</v>
      </c>
      <c r="AK33" s="61">
        <v>0</v>
      </c>
      <c r="AL33" s="61">
        <v>0</v>
      </c>
      <c r="AM33" s="61">
        <v>0</v>
      </c>
      <c r="AN33" s="61">
        <v>0</v>
      </c>
      <c r="AO33" s="61">
        <v>0</v>
      </c>
      <c r="AP33" s="61">
        <v>0</v>
      </c>
      <c r="AQ33" s="61">
        <v>0</v>
      </c>
      <c r="AR33" s="61">
        <v>0</v>
      </c>
      <c r="AS33" s="61">
        <v>0</v>
      </c>
      <c r="AT33" s="61" t="s">
        <v>1230</v>
      </c>
      <c r="AU33" s="61" t="s">
        <v>1230</v>
      </c>
      <c r="AV33" s="61">
        <v>0</v>
      </c>
      <c r="AW33" s="61">
        <v>0</v>
      </c>
      <c r="AX33" s="61">
        <v>0</v>
      </c>
      <c r="AY33" s="61">
        <v>0</v>
      </c>
      <c r="AZ33" s="61">
        <v>0</v>
      </c>
      <c r="BA33" s="61">
        <v>0</v>
      </c>
      <c r="BB33" s="61">
        <v>0</v>
      </c>
      <c r="BC33" s="61">
        <v>0</v>
      </c>
      <c r="BD33" s="61">
        <v>0</v>
      </c>
      <c r="BE33" s="61">
        <v>0</v>
      </c>
      <c r="BF33" s="61">
        <v>0</v>
      </c>
      <c r="BG33" s="61">
        <v>0</v>
      </c>
      <c r="BH33" s="61">
        <v>0</v>
      </c>
      <c r="BI33" s="61">
        <v>0</v>
      </c>
      <c r="BJ33" s="61" t="s">
        <v>1230</v>
      </c>
      <c r="BK33" s="61" t="s">
        <v>1230</v>
      </c>
      <c r="BL33" s="61">
        <v>0</v>
      </c>
      <c r="BM33" s="61">
        <v>0</v>
      </c>
      <c r="BN33" s="61">
        <v>0</v>
      </c>
      <c r="BO33" s="61">
        <v>0</v>
      </c>
      <c r="BP33" s="61">
        <v>0</v>
      </c>
      <c r="BQ33" s="61">
        <v>0</v>
      </c>
      <c r="BR33" s="61">
        <v>0</v>
      </c>
      <c r="BS33" s="61">
        <v>0</v>
      </c>
      <c r="BT33" s="61">
        <v>0</v>
      </c>
      <c r="BU33" s="61">
        <v>0</v>
      </c>
      <c r="BV33" s="61">
        <v>0</v>
      </c>
      <c r="BW33" s="61">
        <v>0</v>
      </c>
      <c r="BX33" s="61">
        <v>0</v>
      </c>
      <c r="BY33" s="61">
        <v>0</v>
      </c>
      <c r="BZ33" s="61" t="s">
        <v>1230</v>
      </c>
      <c r="CA33" s="61" t="s">
        <v>1230</v>
      </c>
      <c r="CB33" s="61">
        <v>0</v>
      </c>
      <c r="CC33" s="61">
        <v>0</v>
      </c>
      <c r="CD33" s="61">
        <v>0</v>
      </c>
    </row>
    <row r="34" spans="1:82" ht="15.6" x14ac:dyDescent="0.3">
      <c r="A34" s="169" t="s">
        <v>65</v>
      </c>
      <c r="B34" s="205" t="s">
        <v>66</v>
      </c>
      <c r="C34" s="66">
        <v>0</v>
      </c>
      <c r="D34" s="66">
        <v>0</v>
      </c>
      <c r="E34" s="66">
        <v>0</v>
      </c>
      <c r="F34" s="66">
        <v>0</v>
      </c>
      <c r="G34" s="66">
        <v>0</v>
      </c>
      <c r="H34" s="66">
        <v>0</v>
      </c>
      <c r="I34" s="66">
        <v>0</v>
      </c>
      <c r="J34" s="66">
        <v>0</v>
      </c>
      <c r="K34" s="66">
        <v>0</v>
      </c>
      <c r="L34" s="66">
        <v>0</v>
      </c>
      <c r="M34" s="66">
        <v>0</v>
      </c>
      <c r="N34" s="67" t="s">
        <v>1230</v>
      </c>
      <c r="O34" s="67" t="s">
        <v>1230</v>
      </c>
      <c r="P34" s="67">
        <v>0</v>
      </c>
      <c r="Q34" s="66">
        <v>0</v>
      </c>
      <c r="R34" s="67">
        <v>0</v>
      </c>
      <c r="S34" s="66">
        <v>0</v>
      </c>
      <c r="T34" s="66">
        <v>0</v>
      </c>
      <c r="U34" s="66">
        <v>0</v>
      </c>
      <c r="V34" s="66">
        <v>0</v>
      </c>
      <c r="W34" s="66">
        <v>0</v>
      </c>
      <c r="X34" s="66">
        <v>0</v>
      </c>
      <c r="Y34" s="66">
        <v>0</v>
      </c>
      <c r="Z34" s="66">
        <v>0</v>
      </c>
      <c r="AA34" s="66">
        <v>0</v>
      </c>
      <c r="AB34" s="66">
        <v>0</v>
      </c>
      <c r="AC34" s="66">
        <v>0</v>
      </c>
      <c r="AD34" s="67" t="s">
        <v>1230</v>
      </c>
      <c r="AE34" s="67" t="s">
        <v>1230</v>
      </c>
      <c r="AF34" s="67">
        <v>0</v>
      </c>
      <c r="AG34" s="187">
        <v>0</v>
      </c>
      <c r="AH34" s="67">
        <v>0</v>
      </c>
      <c r="AI34" s="66">
        <v>0</v>
      </c>
      <c r="AJ34" s="66">
        <v>0</v>
      </c>
      <c r="AK34" s="66">
        <v>0</v>
      </c>
      <c r="AL34" s="66">
        <v>0</v>
      </c>
      <c r="AM34" s="66">
        <v>0</v>
      </c>
      <c r="AN34" s="66">
        <v>0</v>
      </c>
      <c r="AO34" s="66">
        <v>0</v>
      </c>
      <c r="AP34" s="66">
        <v>0</v>
      </c>
      <c r="AQ34" s="66">
        <v>0</v>
      </c>
      <c r="AR34" s="66">
        <v>0</v>
      </c>
      <c r="AS34" s="66">
        <v>0</v>
      </c>
      <c r="AT34" s="67" t="s">
        <v>1230</v>
      </c>
      <c r="AU34" s="67" t="s">
        <v>1230</v>
      </c>
      <c r="AV34" s="67">
        <v>0</v>
      </c>
      <c r="AW34" s="187">
        <v>0</v>
      </c>
      <c r="AX34" s="67">
        <v>0</v>
      </c>
      <c r="AY34" s="66">
        <v>0</v>
      </c>
      <c r="AZ34" s="66">
        <v>0</v>
      </c>
      <c r="BA34" s="66">
        <v>0</v>
      </c>
      <c r="BB34" s="66">
        <v>0</v>
      </c>
      <c r="BC34" s="66">
        <v>0</v>
      </c>
      <c r="BD34" s="66">
        <v>0</v>
      </c>
      <c r="BE34" s="66">
        <v>0</v>
      </c>
      <c r="BF34" s="66">
        <v>0</v>
      </c>
      <c r="BG34" s="66">
        <v>0</v>
      </c>
      <c r="BH34" s="66">
        <v>0</v>
      </c>
      <c r="BI34" s="66">
        <v>0</v>
      </c>
      <c r="BJ34" s="67" t="s">
        <v>1230</v>
      </c>
      <c r="BK34" s="67" t="s">
        <v>1230</v>
      </c>
      <c r="BL34" s="67">
        <v>0</v>
      </c>
      <c r="BM34" s="187">
        <v>0</v>
      </c>
      <c r="BN34" s="67">
        <v>0</v>
      </c>
      <c r="BO34" s="66">
        <v>0</v>
      </c>
      <c r="BP34" s="66">
        <v>0</v>
      </c>
      <c r="BQ34" s="66">
        <v>0</v>
      </c>
      <c r="BR34" s="66">
        <v>0</v>
      </c>
      <c r="BS34" s="66">
        <v>0</v>
      </c>
      <c r="BT34" s="66">
        <v>0</v>
      </c>
      <c r="BU34" s="66">
        <v>0</v>
      </c>
      <c r="BV34" s="66">
        <v>0</v>
      </c>
      <c r="BW34" s="66">
        <v>0</v>
      </c>
      <c r="BX34" s="66">
        <v>0</v>
      </c>
      <c r="BY34" s="66">
        <v>0</v>
      </c>
      <c r="BZ34" s="67" t="s">
        <v>1230</v>
      </c>
      <c r="CA34" s="67" t="s">
        <v>1230</v>
      </c>
      <c r="CB34" s="67">
        <v>0</v>
      </c>
      <c r="CC34" s="187">
        <v>0</v>
      </c>
      <c r="CD34" s="67">
        <v>0</v>
      </c>
    </row>
    <row r="35" spans="1:82" ht="15.6" x14ac:dyDescent="0.3">
      <c r="A35" s="169" t="s">
        <v>68</v>
      </c>
      <c r="B35" s="205" t="s">
        <v>69</v>
      </c>
      <c r="C35" s="66">
        <v>0</v>
      </c>
      <c r="D35" s="66">
        <v>0</v>
      </c>
      <c r="E35" s="66">
        <v>0</v>
      </c>
      <c r="F35" s="66">
        <v>0</v>
      </c>
      <c r="G35" s="66">
        <v>0</v>
      </c>
      <c r="H35" s="66">
        <v>0</v>
      </c>
      <c r="I35" s="66">
        <v>0</v>
      </c>
      <c r="J35" s="66">
        <v>0</v>
      </c>
      <c r="K35" s="66">
        <v>0</v>
      </c>
      <c r="L35" s="66">
        <v>0</v>
      </c>
      <c r="M35" s="66">
        <v>0</v>
      </c>
      <c r="N35" s="67" t="s">
        <v>1230</v>
      </c>
      <c r="O35" s="67" t="s">
        <v>1230</v>
      </c>
      <c r="P35" s="67">
        <v>0</v>
      </c>
      <c r="Q35" s="66">
        <v>0</v>
      </c>
      <c r="R35" s="67">
        <v>0</v>
      </c>
      <c r="S35" s="66">
        <v>0</v>
      </c>
      <c r="T35" s="66">
        <v>0</v>
      </c>
      <c r="U35" s="66">
        <v>0</v>
      </c>
      <c r="V35" s="66">
        <v>0</v>
      </c>
      <c r="W35" s="66">
        <v>0</v>
      </c>
      <c r="X35" s="66">
        <v>0</v>
      </c>
      <c r="Y35" s="66">
        <v>0</v>
      </c>
      <c r="Z35" s="66">
        <v>0</v>
      </c>
      <c r="AA35" s="66">
        <v>0</v>
      </c>
      <c r="AB35" s="66">
        <v>0</v>
      </c>
      <c r="AC35" s="66">
        <v>0</v>
      </c>
      <c r="AD35" s="67" t="s">
        <v>1230</v>
      </c>
      <c r="AE35" s="67" t="s">
        <v>1230</v>
      </c>
      <c r="AF35" s="67">
        <v>0</v>
      </c>
      <c r="AG35" s="187">
        <v>0</v>
      </c>
      <c r="AH35" s="67">
        <v>0</v>
      </c>
      <c r="AI35" s="66">
        <v>0</v>
      </c>
      <c r="AJ35" s="66">
        <v>0</v>
      </c>
      <c r="AK35" s="66">
        <v>0</v>
      </c>
      <c r="AL35" s="66">
        <v>0</v>
      </c>
      <c r="AM35" s="66">
        <v>0</v>
      </c>
      <c r="AN35" s="66">
        <v>0</v>
      </c>
      <c r="AO35" s="66">
        <v>0</v>
      </c>
      <c r="AP35" s="66">
        <v>0</v>
      </c>
      <c r="AQ35" s="66">
        <v>0</v>
      </c>
      <c r="AR35" s="66">
        <v>0</v>
      </c>
      <c r="AS35" s="66">
        <v>0</v>
      </c>
      <c r="AT35" s="67" t="s">
        <v>1230</v>
      </c>
      <c r="AU35" s="67" t="s">
        <v>1230</v>
      </c>
      <c r="AV35" s="67">
        <v>0</v>
      </c>
      <c r="AW35" s="187">
        <v>0</v>
      </c>
      <c r="AX35" s="67">
        <v>0</v>
      </c>
      <c r="AY35" s="66">
        <v>0</v>
      </c>
      <c r="AZ35" s="66">
        <v>0</v>
      </c>
      <c r="BA35" s="66">
        <v>0</v>
      </c>
      <c r="BB35" s="66">
        <v>0</v>
      </c>
      <c r="BC35" s="66">
        <v>0</v>
      </c>
      <c r="BD35" s="66">
        <v>0</v>
      </c>
      <c r="BE35" s="66">
        <v>0</v>
      </c>
      <c r="BF35" s="66">
        <v>0</v>
      </c>
      <c r="BG35" s="66">
        <v>0</v>
      </c>
      <c r="BH35" s="66">
        <v>0</v>
      </c>
      <c r="BI35" s="66">
        <v>0</v>
      </c>
      <c r="BJ35" s="67" t="s">
        <v>1230</v>
      </c>
      <c r="BK35" s="67" t="s">
        <v>1230</v>
      </c>
      <c r="BL35" s="67">
        <v>0</v>
      </c>
      <c r="BM35" s="187">
        <v>0</v>
      </c>
      <c r="BN35" s="67">
        <v>0</v>
      </c>
      <c r="BO35" s="66">
        <v>0</v>
      </c>
      <c r="BP35" s="66">
        <v>0</v>
      </c>
      <c r="BQ35" s="66">
        <v>0</v>
      </c>
      <c r="BR35" s="66">
        <v>0</v>
      </c>
      <c r="BS35" s="66">
        <v>0</v>
      </c>
      <c r="BT35" s="66">
        <v>0</v>
      </c>
      <c r="BU35" s="66">
        <v>0</v>
      </c>
      <c r="BV35" s="66">
        <v>0</v>
      </c>
      <c r="BW35" s="66">
        <v>0</v>
      </c>
      <c r="BX35" s="66">
        <v>0</v>
      </c>
      <c r="BY35" s="66">
        <v>0</v>
      </c>
      <c r="BZ35" s="67" t="s">
        <v>1230</v>
      </c>
      <c r="CA35" s="67" t="s">
        <v>1230</v>
      </c>
      <c r="CB35" s="67">
        <v>0</v>
      </c>
      <c r="CC35" s="187">
        <v>0</v>
      </c>
      <c r="CD35" s="67">
        <v>0</v>
      </c>
    </row>
    <row r="36" spans="1:82" ht="15.6" x14ac:dyDescent="0.3">
      <c r="A36" s="169" t="s">
        <v>71</v>
      </c>
      <c r="B36" s="205" t="s">
        <v>72</v>
      </c>
      <c r="C36" s="66">
        <v>0</v>
      </c>
      <c r="D36" s="66">
        <v>0</v>
      </c>
      <c r="E36" s="66">
        <v>0</v>
      </c>
      <c r="F36" s="66">
        <v>0</v>
      </c>
      <c r="G36" s="66">
        <v>0</v>
      </c>
      <c r="H36" s="66">
        <v>0</v>
      </c>
      <c r="I36" s="66">
        <v>0</v>
      </c>
      <c r="J36" s="66">
        <v>0</v>
      </c>
      <c r="K36" s="66">
        <v>0</v>
      </c>
      <c r="L36" s="66">
        <v>0</v>
      </c>
      <c r="M36" s="66">
        <v>0</v>
      </c>
      <c r="N36" s="67" t="s">
        <v>1230</v>
      </c>
      <c r="O36" s="67" t="s">
        <v>1230</v>
      </c>
      <c r="P36" s="67">
        <v>0</v>
      </c>
      <c r="Q36" s="66">
        <v>0</v>
      </c>
      <c r="R36" s="67">
        <v>0</v>
      </c>
      <c r="S36" s="66">
        <v>0</v>
      </c>
      <c r="T36" s="66">
        <v>0</v>
      </c>
      <c r="U36" s="66">
        <v>0</v>
      </c>
      <c r="V36" s="66">
        <v>0</v>
      </c>
      <c r="W36" s="66">
        <v>0</v>
      </c>
      <c r="X36" s="66">
        <v>0</v>
      </c>
      <c r="Y36" s="66">
        <v>0</v>
      </c>
      <c r="Z36" s="66">
        <v>0</v>
      </c>
      <c r="AA36" s="66">
        <v>0</v>
      </c>
      <c r="AB36" s="66">
        <v>0</v>
      </c>
      <c r="AC36" s="66">
        <v>0</v>
      </c>
      <c r="AD36" s="67" t="s">
        <v>1230</v>
      </c>
      <c r="AE36" s="67" t="s">
        <v>1230</v>
      </c>
      <c r="AF36" s="67">
        <v>0</v>
      </c>
      <c r="AG36" s="187">
        <v>0</v>
      </c>
      <c r="AH36" s="67">
        <v>0</v>
      </c>
      <c r="AI36" s="66">
        <v>0</v>
      </c>
      <c r="AJ36" s="66">
        <v>0</v>
      </c>
      <c r="AK36" s="66">
        <v>0</v>
      </c>
      <c r="AL36" s="66">
        <v>0</v>
      </c>
      <c r="AM36" s="66">
        <v>0</v>
      </c>
      <c r="AN36" s="66">
        <v>0</v>
      </c>
      <c r="AO36" s="66">
        <v>0</v>
      </c>
      <c r="AP36" s="66">
        <v>0</v>
      </c>
      <c r="AQ36" s="66">
        <v>0</v>
      </c>
      <c r="AR36" s="66">
        <v>0</v>
      </c>
      <c r="AS36" s="66">
        <v>0</v>
      </c>
      <c r="AT36" s="67" t="s">
        <v>1230</v>
      </c>
      <c r="AU36" s="67" t="s">
        <v>1230</v>
      </c>
      <c r="AV36" s="67">
        <v>0</v>
      </c>
      <c r="AW36" s="187">
        <v>0</v>
      </c>
      <c r="AX36" s="67">
        <v>0</v>
      </c>
      <c r="AY36" s="66">
        <v>0</v>
      </c>
      <c r="AZ36" s="66">
        <v>0</v>
      </c>
      <c r="BA36" s="66">
        <v>0</v>
      </c>
      <c r="BB36" s="66">
        <v>0</v>
      </c>
      <c r="BC36" s="66">
        <v>0</v>
      </c>
      <c r="BD36" s="66">
        <v>0</v>
      </c>
      <c r="BE36" s="66">
        <v>0</v>
      </c>
      <c r="BF36" s="66">
        <v>0</v>
      </c>
      <c r="BG36" s="66">
        <v>0</v>
      </c>
      <c r="BH36" s="66">
        <v>0</v>
      </c>
      <c r="BI36" s="66">
        <v>0</v>
      </c>
      <c r="BJ36" s="67" t="s">
        <v>1230</v>
      </c>
      <c r="BK36" s="67" t="s">
        <v>1230</v>
      </c>
      <c r="BL36" s="67">
        <v>0</v>
      </c>
      <c r="BM36" s="187">
        <v>0</v>
      </c>
      <c r="BN36" s="67">
        <v>0</v>
      </c>
      <c r="BO36" s="66">
        <v>0</v>
      </c>
      <c r="BP36" s="66">
        <v>0</v>
      </c>
      <c r="BQ36" s="66">
        <v>0</v>
      </c>
      <c r="BR36" s="66">
        <v>0</v>
      </c>
      <c r="BS36" s="66">
        <v>0</v>
      </c>
      <c r="BT36" s="66">
        <v>0</v>
      </c>
      <c r="BU36" s="66">
        <v>0</v>
      </c>
      <c r="BV36" s="66">
        <v>0</v>
      </c>
      <c r="BW36" s="66">
        <v>0</v>
      </c>
      <c r="BX36" s="66">
        <v>0</v>
      </c>
      <c r="BY36" s="66">
        <v>0</v>
      </c>
      <c r="BZ36" s="67" t="s">
        <v>1230</v>
      </c>
      <c r="CA36" s="67" t="s">
        <v>1230</v>
      </c>
      <c r="CB36" s="67">
        <v>0</v>
      </c>
      <c r="CC36" s="187">
        <v>0</v>
      </c>
      <c r="CD36" s="67">
        <v>0</v>
      </c>
    </row>
    <row r="37" spans="1:82" ht="15.6" x14ac:dyDescent="0.3">
      <c r="A37" s="169" t="s">
        <v>74</v>
      </c>
      <c r="B37" s="205" t="s">
        <v>1078</v>
      </c>
      <c r="C37" s="66">
        <v>0</v>
      </c>
      <c r="D37" s="66">
        <v>0</v>
      </c>
      <c r="E37" s="66">
        <v>0</v>
      </c>
      <c r="F37" s="66">
        <v>0</v>
      </c>
      <c r="G37" s="66">
        <v>0</v>
      </c>
      <c r="H37" s="66">
        <v>0</v>
      </c>
      <c r="I37" s="66">
        <v>0</v>
      </c>
      <c r="J37" s="66">
        <v>0</v>
      </c>
      <c r="K37" s="66">
        <v>0</v>
      </c>
      <c r="L37" s="66">
        <v>0</v>
      </c>
      <c r="M37" s="66">
        <v>0</v>
      </c>
      <c r="N37" s="67" t="s">
        <v>1230</v>
      </c>
      <c r="O37" s="67" t="s">
        <v>1230</v>
      </c>
      <c r="P37" s="67">
        <v>0</v>
      </c>
      <c r="Q37" s="66">
        <v>0</v>
      </c>
      <c r="R37" s="67">
        <v>0</v>
      </c>
      <c r="S37" s="66">
        <v>0</v>
      </c>
      <c r="T37" s="66">
        <v>0</v>
      </c>
      <c r="U37" s="66">
        <v>0</v>
      </c>
      <c r="V37" s="66">
        <v>0</v>
      </c>
      <c r="W37" s="66">
        <v>0</v>
      </c>
      <c r="X37" s="66">
        <v>0</v>
      </c>
      <c r="Y37" s="66">
        <v>0</v>
      </c>
      <c r="Z37" s="66">
        <v>0</v>
      </c>
      <c r="AA37" s="66">
        <v>0</v>
      </c>
      <c r="AB37" s="66">
        <v>0</v>
      </c>
      <c r="AC37" s="66">
        <v>0</v>
      </c>
      <c r="AD37" s="67" t="s">
        <v>1230</v>
      </c>
      <c r="AE37" s="67" t="s">
        <v>1230</v>
      </c>
      <c r="AF37" s="67">
        <v>0</v>
      </c>
      <c r="AG37" s="187">
        <v>0</v>
      </c>
      <c r="AH37" s="67">
        <v>0</v>
      </c>
      <c r="AI37" s="66">
        <v>0</v>
      </c>
      <c r="AJ37" s="66">
        <v>0</v>
      </c>
      <c r="AK37" s="66">
        <v>0</v>
      </c>
      <c r="AL37" s="66">
        <v>0</v>
      </c>
      <c r="AM37" s="66">
        <v>0</v>
      </c>
      <c r="AN37" s="66">
        <v>0</v>
      </c>
      <c r="AO37" s="66">
        <v>0</v>
      </c>
      <c r="AP37" s="66">
        <v>0</v>
      </c>
      <c r="AQ37" s="66">
        <v>0</v>
      </c>
      <c r="AR37" s="66">
        <v>0</v>
      </c>
      <c r="AS37" s="66">
        <v>0</v>
      </c>
      <c r="AT37" s="67" t="s">
        <v>1230</v>
      </c>
      <c r="AU37" s="67" t="s">
        <v>1230</v>
      </c>
      <c r="AV37" s="67">
        <v>0</v>
      </c>
      <c r="AW37" s="187">
        <v>0</v>
      </c>
      <c r="AX37" s="67">
        <v>0</v>
      </c>
      <c r="AY37" s="66">
        <v>0</v>
      </c>
      <c r="AZ37" s="66">
        <v>0</v>
      </c>
      <c r="BA37" s="66">
        <v>0</v>
      </c>
      <c r="BB37" s="66">
        <v>0</v>
      </c>
      <c r="BC37" s="66">
        <v>0</v>
      </c>
      <c r="BD37" s="66">
        <v>0</v>
      </c>
      <c r="BE37" s="66">
        <v>0</v>
      </c>
      <c r="BF37" s="66">
        <v>0</v>
      </c>
      <c r="BG37" s="66">
        <v>0</v>
      </c>
      <c r="BH37" s="66">
        <v>0</v>
      </c>
      <c r="BI37" s="66">
        <v>0</v>
      </c>
      <c r="BJ37" s="67" t="s">
        <v>1230</v>
      </c>
      <c r="BK37" s="67" t="s">
        <v>1230</v>
      </c>
      <c r="BL37" s="67">
        <v>0</v>
      </c>
      <c r="BM37" s="187">
        <v>0</v>
      </c>
      <c r="BN37" s="67">
        <v>0</v>
      </c>
      <c r="BO37" s="66">
        <v>0</v>
      </c>
      <c r="BP37" s="66">
        <v>0</v>
      </c>
      <c r="BQ37" s="66">
        <v>0</v>
      </c>
      <c r="BR37" s="66">
        <v>0</v>
      </c>
      <c r="BS37" s="66">
        <v>0</v>
      </c>
      <c r="BT37" s="66">
        <v>0</v>
      </c>
      <c r="BU37" s="66">
        <v>0</v>
      </c>
      <c r="BV37" s="66">
        <v>0</v>
      </c>
      <c r="BW37" s="66">
        <v>0</v>
      </c>
      <c r="BX37" s="66">
        <v>0</v>
      </c>
      <c r="BY37" s="66">
        <v>0</v>
      </c>
      <c r="BZ37" s="67" t="s">
        <v>1230</v>
      </c>
      <c r="CA37" s="67" t="s">
        <v>1230</v>
      </c>
      <c r="CB37" s="67">
        <v>0</v>
      </c>
      <c r="CC37" s="187">
        <v>0</v>
      </c>
      <c r="CD37" s="67">
        <v>0</v>
      </c>
    </row>
    <row r="38" spans="1:82" ht="15.6" x14ac:dyDescent="0.3">
      <c r="A38" s="169" t="s">
        <v>76</v>
      </c>
      <c r="B38" s="205" t="s">
        <v>77</v>
      </c>
      <c r="C38" s="66">
        <v>0</v>
      </c>
      <c r="D38" s="66">
        <v>0</v>
      </c>
      <c r="E38" s="66">
        <v>0</v>
      </c>
      <c r="F38" s="66">
        <v>0</v>
      </c>
      <c r="G38" s="66">
        <v>0</v>
      </c>
      <c r="H38" s="66">
        <v>0</v>
      </c>
      <c r="I38" s="66">
        <v>0</v>
      </c>
      <c r="J38" s="66">
        <v>0</v>
      </c>
      <c r="K38" s="66">
        <v>0</v>
      </c>
      <c r="L38" s="66">
        <v>0</v>
      </c>
      <c r="M38" s="66">
        <v>0</v>
      </c>
      <c r="N38" s="67" t="s">
        <v>1230</v>
      </c>
      <c r="O38" s="67" t="s">
        <v>1230</v>
      </c>
      <c r="P38" s="67">
        <v>0</v>
      </c>
      <c r="Q38" s="66">
        <v>0</v>
      </c>
      <c r="R38" s="67">
        <v>0</v>
      </c>
      <c r="S38" s="66">
        <v>0</v>
      </c>
      <c r="T38" s="66">
        <v>0</v>
      </c>
      <c r="U38" s="66">
        <v>0</v>
      </c>
      <c r="V38" s="66">
        <v>0</v>
      </c>
      <c r="W38" s="66">
        <v>0</v>
      </c>
      <c r="X38" s="66">
        <v>0</v>
      </c>
      <c r="Y38" s="66">
        <v>0</v>
      </c>
      <c r="Z38" s="66">
        <v>0</v>
      </c>
      <c r="AA38" s="66">
        <v>0</v>
      </c>
      <c r="AB38" s="66">
        <v>0</v>
      </c>
      <c r="AC38" s="66">
        <v>0</v>
      </c>
      <c r="AD38" s="67" t="s">
        <v>1230</v>
      </c>
      <c r="AE38" s="67" t="s">
        <v>1230</v>
      </c>
      <c r="AF38" s="67">
        <v>0</v>
      </c>
      <c r="AG38" s="187">
        <v>0</v>
      </c>
      <c r="AH38" s="67">
        <v>0</v>
      </c>
      <c r="AI38" s="66">
        <v>0</v>
      </c>
      <c r="AJ38" s="66">
        <v>0</v>
      </c>
      <c r="AK38" s="66">
        <v>0</v>
      </c>
      <c r="AL38" s="66">
        <v>0</v>
      </c>
      <c r="AM38" s="66">
        <v>0</v>
      </c>
      <c r="AN38" s="66">
        <v>0</v>
      </c>
      <c r="AO38" s="66">
        <v>0</v>
      </c>
      <c r="AP38" s="66">
        <v>0</v>
      </c>
      <c r="AQ38" s="66">
        <v>0</v>
      </c>
      <c r="AR38" s="66">
        <v>0</v>
      </c>
      <c r="AS38" s="66">
        <v>0</v>
      </c>
      <c r="AT38" s="67" t="s">
        <v>1230</v>
      </c>
      <c r="AU38" s="67" t="s">
        <v>1230</v>
      </c>
      <c r="AV38" s="67">
        <v>0</v>
      </c>
      <c r="AW38" s="187">
        <v>0</v>
      </c>
      <c r="AX38" s="67">
        <v>0</v>
      </c>
      <c r="AY38" s="66">
        <v>0</v>
      </c>
      <c r="AZ38" s="66">
        <v>0</v>
      </c>
      <c r="BA38" s="66">
        <v>0</v>
      </c>
      <c r="BB38" s="66">
        <v>0</v>
      </c>
      <c r="BC38" s="66">
        <v>0</v>
      </c>
      <c r="BD38" s="66">
        <v>0</v>
      </c>
      <c r="BE38" s="66">
        <v>0</v>
      </c>
      <c r="BF38" s="66">
        <v>0</v>
      </c>
      <c r="BG38" s="66">
        <v>0</v>
      </c>
      <c r="BH38" s="66">
        <v>0</v>
      </c>
      <c r="BI38" s="66">
        <v>0</v>
      </c>
      <c r="BJ38" s="67" t="s">
        <v>1230</v>
      </c>
      <c r="BK38" s="67" t="s">
        <v>1230</v>
      </c>
      <c r="BL38" s="67">
        <v>0</v>
      </c>
      <c r="BM38" s="187">
        <v>0</v>
      </c>
      <c r="BN38" s="67">
        <v>0</v>
      </c>
      <c r="BO38" s="66">
        <v>0</v>
      </c>
      <c r="BP38" s="66">
        <v>0</v>
      </c>
      <c r="BQ38" s="66">
        <v>0</v>
      </c>
      <c r="BR38" s="66">
        <v>0</v>
      </c>
      <c r="BS38" s="66">
        <v>0</v>
      </c>
      <c r="BT38" s="66">
        <v>0</v>
      </c>
      <c r="BU38" s="66">
        <v>0</v>
      </c>
      <c r="BV38" s="66">
        <v>0</v>
      </c>
      <c r="BW38" s="66">
        <v>0</v>
      </c>
      <c r="BX38" s="66">
        <v>0</v>
      </c>
      <c r="BY38" s="66">
        <v>0</v>
      </c>
      <c r="BZ38" s="67" t="s">
        <v>1230</v>
      </c>
      <c r="CA38" s="67" t="s">
        <v>1230</v>
      </c>
      <c r="CB38" s="67">
        <v>0</v>
      </c>
      <c r="CC38" s="187">
        <v>0</v>
      </c>
      <c r="CD38" s="67">
        <v>0</v>
      </c>
    </row>
    <row r="39" spans="1:82" ht="15.6" x14ac:dyDescent="0.3">
      <c r="A39" s="169" t="s">
        <v>79</v>
      </c>
      <c r="B39" s="205" t="s">
        <v>80</v>
      </c>
      <c r="C39" s="66">
        <v>0</v>
      </c>
      <c r="D39" s="66">
        <v>0</v>
      </c>
      <c r="E39" s="66">
        <v>0</v>
      </c>
      <c r="F39" s="66">
        <v>0</v>
      </c>
      <c r="G39" s="66">
        <v>0</v>
      </c>
      <c r="H39" s="66">
        <v>0</v>
      </c>
      <c r="I39" s="66">
        <v>0</v>
      </c>
      <c r="J39" s="66">
        <v>0</v>
      </c>
      <c r="K39" s="66">
        <v>0</v>
      </c>
      <c r="L39" s="66">
        <v>0</v>
      </c>
      <c r="M39" s="66">
        <v>0</v>
      </c>
      <c r="N39" s="67" t="s">
        <v>1230</v>
      </c>
      <c r="O39" s="67" t="s">
        <v>1230</v>
      </c>
      <c r="P39" s="67">
        <v>0</v>
      </c>
      <c r="Q39" s="66">
        <v>0</v>
      </c>
      <c r="R39" s="67">
        <v>0</v>
      </c>
      <c r="S39" s="66">
        <v>0</v>
      </c>
      <c r="T39" s="66">
        <v>0</v>
      </c>
      <c r="U39" s="66">
        <v>0</v>
      </c>
      <c r="V39" s="66">
        <v>0</v>
      </c>
      <c r="W39" s="66">
        <v>0</v>
      </c>
      <c r="X39" s="66">
        <v>0</v>
      </c>
      <c r="Y39" s="66">
        <v>0</v>
      </c>
      <c r="Z39" s="66">
        <v>0</v>
      </c>
      <c r="AA39" s="66">
        <v>0</v>
      </c>
      <c r="AB39" s="66">
        <v>0</v>
      </c>
      <c r="AC39" s="66">
        <v>0</v>
      </c>
      <c r="AD39" s="67" t="s">
        <v>1230</v>
      </c>
      <c r="AE39" s="67" t="s">
        <v>1230</v>
      </c>
      <c r="AF39" s="67">
        <v>0</v>
      </c>
      <c r="AG39" s="187">
        <v>0</v>
      </c>
      <c r="AH39" s="67">
        <v>0</v>
      </c>
      <c r="AI39" s="66">
        <v>0</v>
      </c>
      <c r="AJ39" s="66">
        <v>0</v>
      </c>
      <c r="AK39" s="66">
        <v>0</v>
      </c>
      <c r="AL39" s="66">
        <v>0</v>
      </c>
      <c r="AM39" s="66">
        <v>0</v>
      </c>
      <c r="AN39" s="66">
        <v>0</v>
      </c>
      <c r="AO39" s="66">
        <v>0</v>
      </c>
      <c r="AP39" s="66">
        <v>0</v>
      </c>
      <c r="AQ39" s="66">
        <v>0</v>
      </c>
      <c r="AR39" s="66">
        <v>0</v>
      </c>
      <c r="AS39" s="66">
        <v>0</v>
      </c>
      <c r="AT39" s="67" t="s">
        <v>1230</v>
      </c>
      <c r="AU39" s="67" t="s">
        <v>1230</v>
      </c>
      <c r="AV39" s="67">
        <v>0</v>
      </c>
      <c r="AW39" s="187">
        <v>0</v>
      </c>
      <c r="AX39" s="67">
        <v>0</v>
      </c>
      <c r="AY39" s="66">
        <v>0</v>
      </c>
      <c r="AZ39" s="66">
        <v>0</v>
      </c>
      <c r="BA39" s="66">
        <v>0</v>
      </c>
      <c r="BB39" s="66">
        <v>0</v>
      </c>
      <c r="BC39" s="66">
        <v>0</v>
      </c>
      <c r="BD39" s="66">
        <v>0</v>
      </c>
      <c r="BE39" s="66">
        <v>0</v>
      </c>
      <c r="BF39" s="66">
        <v>0</v>
      </c>
      <c r="BG39" s="66">
        <v>0</v>
      </c>
      <c r="BH39" s="66">
        <v>0</v>
      </c>
      <c r="BI39" s="66">
        <v>0</v>
      </c>
      <c r="BJ39" s="67" t="s">
        <v>1230</v>
      </c>
      <c r="BK39" s="67" t="s">
        <v>1230</v>
      </c>
      <c r="BL39" s="67">
        <v>0</v>
      </c>
      <c r="BM39" s="187">
        <v>0</v>
      </c>
      <c r="BN39" s="67">
        <v>0</v>
      </c>
      <c r="BO39" s="66">
        <v>0</v>
      </c>
      <c r="BP39" s="66">
        <v>0</v>
      </c>
      <c r="BQ39" s="66">
        <v>0</v>
      </c>
      <c r="BR39" s="66">
        <v>0</v>
      </c>
      <c r="BS39" s="66">
        <v>0</v>
      </c>
      <c r="BT39" s="66">
        <v>0</v>
      </c>
      <c r="BU39" s="66">
        <v>0</v>
      </c>
      <c r="BV39" s="66">
        <v>0</v>
      </c>
      <c r="BW39" s="66">
        <v>0</v>
      </c>
      <c r="BX39" s="66">
        <v>0</v>
      </c>
      <c r="BY39" s="66">
        <v>0</v>
      </c>
      <c r="BZ39" s="67" t="s">
        <v>1230</v>
      </c>
      <c r="CA39" s="67" t="s">
        <v>1230</v>
      </c>
      <c r="CB39" s="67">
        <v>0</v>
      </c>
      <c r="CC39" s="187">
        <v>0</v>
      </c>
      <c r="CD39" s="67">
        <v>0</v>
      </c>
    </row>
    <row r="40" spans="1:82" ht="15.6" x14ac:dyDescent="0.3">
      <c r="A40" s="169" t="s">
        <v>82</v>
      </c>
      <c r="B40" s="205" t="s">
        <v>83</v>
      </c>
      <c r="C40" s="66">
        <v>0</v>
      </c>
      <c r="D40" s="66">
        <v>0</v>
      </c>
      <c r="E40" s="66">
        <v>0</v>
      </c>
      <c r="F40" s="66">
        <v>0</v>
      </c>
      <c r="G40" s="66">
        <v>0</v>
      </c>
      <c r="H40" s="66">
        <v>0</v>
      </c>
      <c r="I40" s="66">
        <v>0</v>
      </c>
      <c r="J40" s="66">
        <v>0</v>
      </c>
      <c r="K40" s="66">
        <v>0</v>
      </c>
      <c r="L40" s="66">
        <v>0</v>
      </c>
      <c r="M40" s="66">
        <v>0</v>
      </c>
      <c r="N40" s="67" t="s">
        <v>1230</v>
      </c>
      <c r="O40" s="67" t="s">
        <v>1230</v>
      </c>
      <c r="P40" s="67">
        <v>0</v>
      </c>
      <c r="Q40" s="66">
        <v>0</v>
      </c>
      <c r="R40" s="67">
        <v>0</v>
      </c>
      <c r="S40" s="66">
        <v>0</v>
      </c>
      <c r="T40" s="66">
        <v>0</v>
      </c>
      <c r="U40" s="66">
        <v>0</v>
      </c>
      <c r="V40" s="66">
        <v>0</v>
      </c>
      <c r="W40" s="66">
        <v>0</v>
      </c>
      <c r="X40" s="66">
        <v>0</v>
      </c>
      <c r="Y40" s="66">
        <v>0</v>
      </c>
      <c r="Z40" s="66">
        <v>0</v>
      </c>
      <c r="AA40" s="66">
        <v>0</v>
      </c>
      <c r="AB40" s="66">
        <v>0</v>
      </c>
      <c r="AC40" s="66">
        <v>0</v>
      </c>
      <c r="AD40" s="67" t="s">
        <v>1230</v>
      </c>
      <c r="AE40" s="67" t="s">
        <v>1230</v>
      </c>
      <c r="AF40" s="67">
        <v>0</v>
      </c>
      <c r="AG40" s="187">
        <v>0</v>
      </c>
      <c r="AH40" s="67">
        <v>0</v>
      </c>
      <c r="AI40" s="66">
        <v>0</v>
      </c>
      <c r="AJ40" s="66">
        <v>0</v>
      </c>
      <c r="AK40" s="66">
        <v>0</v>
      </c>
      <c r="AL40" s="66">
        <v>0</v>
      </c>
      <c r="AM40" s="66">
        <v>0</v>
      </c>
      <c r="AN40" s="66">
        <v>0</v>
      </c>
      <c r="AO40" s="66">
        <v>0</v>
      </c>
      <c r="AP40" s="66">
        <v>0</v>
      </c>
      <c r="AQ40" s="66">
        <v>0</v>
      </c>
      <c r="AR40" s="66">
        <v>0</v>
      </c>
      <c r="AS40" s="66">
        <v>0</v>
      </c>
      <c r="AT40" s="67" t="s">
        <v>1230</v>
      </c>
      <c r="AU40" s="67" t="s">
        <v>1230</v>
      </c>
      <c r="AV40" s="67">
        <v>0</v>
      </c>
      <c r="AW40" s="187">
        <v>0</v>
      </c>
      <c r="AX40" s="67">
        <v>0</v>
      </c>
      <c r="AY40" s="66">
        <v>0</v>
      </c>
      <c r="AZ40" s="66">
        <v>0</v>
      </c>
      <c r="BA40" s="66">
        <v>0</v>
      </c>
      <c r="BB40" s="66">
        <v>0</v>
      </c>
      <c r="BC40" s="66">
        <v>0</v>
      </c>
      <c r="BD40" s="66">
        <v>0</v>
      </c>
      <c r="BE40" s="66">
        <v>0</v>
      </c>
      <c r="BF40" s="66">
        <v>0</v>
      </c>
      <c r="BG40" s="66">
        <v>0</v>
      </c>
      <c r="BH40" s="66">
        <v>0</v>
      </c>
      <c r="BI40" s="66">
        <v>0</v>
      </c>
      <c r="BJ40" s="67" t="s">
        <v>1230</v>
      </c>
      <c r="BK40" s="67" t="s">
        <v>1230</v>
      </c>
      <c r="BL40" s="67">
        <v>0</v>
      </c>
      <c r="BM40" s="187">
        <v>0</v>
      </c>
      <c r="BN40" s="67">
        <v>0</v>
      </c>
      <c r="BO40" s="66">
        <v>0</v>
      </c>
      <c r="BP40" s="66">
        <v>0</v>
      </c>
      <c r="BQ40" s="66">
        <v>0</v>
      </c>
      <c r="BR40" s="66">
        <v>0</v>
      </c>
      <c r="BS40" s="66">
        <v>0</v>
      </c>
      <c r="BT40" s="66">
        <v>0</v>
      </c>
      <c r="BU40" s="66">
        <v>0</v>
      </c>
      <c r="BV40" s="66">
        <v>0</v>
      </c>
      <c r="BW40" s="66">
        <v>0</v>
      </c>
      <c r="BX40" s="66">
        <v>0</v>
      </c>
      <c r="BY40" s="66">
        <v>0</v>
      </c>
      <c r="BZ40" s="67" t="s">
        <v>1230</v>
      </c>
      <c r="CA40" s="67" t="s">
        <v>1230</v>
      </c>
      <c r="CB40" s="67">
        <v>0</v>
      </c>
      <c r="CC40" s="187">
        <v>0</v>
      </c>
      <c r="CD40" s="67">
        <v>0</v>
      </c>
    </row>
    <row r="41" spans="1:82" ht="15.6" x14ac:dyDescent="0.3">
      <c r="A41" s="169" t="s">
        <v>85</v>
      </c>
      <c r="B41" s="205" t="s">
        <v>299</v>
      </c>
      <c r="C41" s="66">
        <v>0</v>
      </c>
      <c r="D41" s="66">
        <v>0</v>
      </c>
      <c r="E41" s="66">
        <v>0</v>
      </c>
      <c r="F41" s="66">
        <v>0</v>
      </c>
      <c r="G41" s="66">
        <v>0</v>
      </c>
      <c r="H41" s="66">
        <v>0</v>
      </c>
      <c r="I41" s="66">
        <v>0</v>
      </c>
      <c r="J41" s="66">
        <v>0</v>
      </c>
      <c r="K41" s="66">
        <v>0</v>
      </c>
      <c r="L41" s="66">
        <v>0</v>
      </c>
      <c r="M41" s="66">
        <v>0</v>
      </c>
      <c r="N41" s="67" t="s">
        <v>1230</v>
      </c>
      <c r="O41" s="67" t="s">
        <v>1230</v>
      </c>
      <c r="P41" s="67">
        <v>0</v>
      </c>
      <c r="Q41" s="66">
        <v>0</v>
      </c>
      <c r="R41" s="67">
        <v>0</v>
      </c>
      <c r="S41" s="66">
        <v>0</v>
      </c>
      <c r="T41" s="66">
        <v>0</v>
      </c>
      <c r="U41" s="66">
        <v>0</v>
      </c>
      <c r="V41" s="66">
        <v>0</v>
      </c>
      <c r="W41" s="66">
        <v>0</v>
      </c>
      <c r="X41" s="66">
        <v>0</v>
      </c>
      <c r="Y41" s="66">
        <v>0</v>
      </c>
      <c r="Z41" s="66">
        <v>0</v>
      </c>
      <c r="AA41" s="66">
        <v>0</v>
      </c>
      <c r="AB41" s="66">
        <v>0</v>
      </c>
      <c r="AC41" s="66">
        <v>0</v>
      </c>
      <c r="AD41" s="67" t="s">
        <v>1230</v>
      </c>
      <c r="AE41" s="67" t="s">
        <v>1230</v>
      </c>
      <c r="AF41" s="67">
        <v>0</v>
      </c>
      <c r="AG41" s="187">
        <v>0</v>
      </c>
      <c r="AH41" s="67">
        <v>0</v>
      </c>
      <c r="AI41" s="66">
        <v>0</v>
      </c>
      <c r="AJ41" s="66">
        <v>0</v>
      </c>
      <c r="AK41" s="66">
        <v>0</v>
      </c>
      <c r="AL41" s="66">
        <v>0</v>
      </c>
      <c r="AM41" s="66">
        <v>0</v>
      </c>
      <c r="AN41" s="66">
        <v>0</v>
      </c>
      <c r="AO41" s="66">
        <v>0</v>
      </c>
      <c r="AP41" s="66">
        <v>0</v>
      </c>
      <c r="AQ41" s="66">
        <v>0</v>
      </c>
      <c r="AR41" s="66">
        <v>0</v>
      </c>
      <c r="AS41" s="66">
        <v>0</v>
      </c>
      <c r="AT41" s="67" t="s">
        <v>1230</v>
      </c>
      <c r="AU41" s="67" t="s">
        <v>1230</v>
      </c>
      <c r="AV41" s="67">
        <v>0</v>
      </c>
      <c r="AW41" s="187">
        <v>0</v>
      </c>
      <c r="AX41" s="67">
        <v>0</v>
      </c>
      <c r="AY41" s="66">
        <v>0</v>
      </c>
      <c r="AZ41" s="66">
        <v>0</v>
      </c>
      <c r="BA41" s="66">
        <v>0</v>
      </c>
      <c r="BB41" s="66">
        <v>0</v>
      </c>
      <c r="BC41" s="66">
        <v>0</v>
      </c>
      <c r="BD41" s="66">
        <v>0</v>
      </c>
      <c r="BE41" s="66">
        <v>0</v>
      </c>
      <c r="BF41" s="66">
        <v>0</v>
      </c>
      <c r="BG41" s="66">
        <v>0</v>
      </c>
      <c r="BH41" s="66">
        <v>0</v>
      </c>
      <c r="BI41" s="66">
        <v>0</v>
      </c>
      <c r="BJ41" s="67" t="s">
        <v>1230</v>
      </c>
      <c r="BK41" s="67" t="s">
        <v>1230</v>
      </c>
      <c r="BL41" s="67">
        <v>0</v>
      </c>
      <c r="BM41" s="187">
        <v>0</v>
      </c>
      <c r="BN41" s="67">
        <v>0</v>
      </c>
      <c r="BO41" s="66">
        <v>0</v>
      </c>
      <c r="BP41" s="66">
        <v>0</v>
      </c>
      <c r="BQ41" s="66">
        <v>0</v>
      </c>
      <c r="BR41" s="66">
        <v>0</v>
      </c>
      <c r="BS41" s="66">
        <v>0</v>
      </c>
      <c r="BT41" s="66">
        <v>0</v>
      </c>
      <c r="BU41" s="66">
        <v>0</v>
      </c>
      <c r="BV41" s="66">
        <v>0</v>
      </c>
      <c r="BW41" s="66">
        <v>0</v>
      </c>
      <c r="BX41" s="66">
        <v>0</v>
      </c>
      <c r="BY41" s="66">
        <v>0</v>
      </c>
      <c r="BZ41" s="67" t="s">
        <v>1230</v>
      </c>
      <c r="CA41" s="67" t="s">
        <v>1230</v>
      </c>
      <c r="CB41" s="67">
        <v>0</v>
      </c>
      <c r="CC41" s="187">
        <v>0</v>
      </c>
      <c r="CD41" s="67">
        <v>0</v>
      </c>
    </row>
    <row r="42" spans="1:82" ht="15.6" x14ac:dyDescent="0.3">
      <c r="A42" s="169" t="s">
        <v>87</v>
      </c>
      <c r="B42" s="205" t="s">
        <v>88</v>
      </c>
      <c r="C42" s="66">
        <v>0</v>
      </c>
      <c r="D42" s="66">
        <v>0</v>
      </c>
      <c r="E42" s="66">
        <v>0</v>
      </c>
      <c r="F42" s="66">
        <v>0</v>
      </c>
      <c r="G42" s="66">
        <v>0</v>
      </c>
      <c r="H42" s="66">
        <v>0</v>
      </c>
      <c r="I42" s="66">
        <v>0</v>
      </c>
      <c r="J42" s="66">
        <v>0</v>
      </c>
      <c r="K42" s="66">
        <v>0</v>
      </c>
      <c r="L42" s="66">
        <v>0</v>
      </c>
      <c r="M42" s="66">
        <v>0</v>
      </c>
      <c r="N42" s="67" t="s">
        <v>1230</v>
      </c>
      <c r="O42" s="67" t="s">
        <v>1230</v>
      </c>
      <c r="P42" s="67">
        <v>0</v>
      </c>
      <c r="Q42" s="66">
        <v>0</v>
      </c>
      <c r="R42" s="67">
        <v>0</v>
      </c>
      <c r="S42" s="66">
        <v>0</v>
      </c>
      <c r="T42" s="66">
        <v>0</v>
      </c>
      <c r="U42" s="66">
        <v>0</v>
      </c>
      <c r="V42" s="66">
        <v>0</v>
      </c>
      <c r="W42" s="66">
        <v>0</v>
      </c>
      <c r="X42" s="66">
        <v>0</v>
      </c>
      <c r="Y42" s="66">
        <v>0</v>
      </c>
      <c r="Z42" s="66">
        <v>0</v>
      </c>
      <c r="AA42" s="66">
        <v>0</v>
      </c>
      <c r="AB42" s="66">
        <v>0</v>
      </c>
      <c r="AC42" s="66">
        <v>0</v>
      </c>
      <c r="AD42" s="67" t="s">
        <v>1230</v>
      </c>
      <c r="AE42" s="67" t="s">
        <v>1230</v>
      </c>
      <c r="AF42" s="67">
        <v>0</v>
      </c>
      <c r="AG42" s="187">
        <v>0</v>
      </c>
      <c r="AH42" s="67">
        <v>0</v>
      </c>
      <c r="AI42" s="66">
        <v>0</v>
      </c>
      <c r="AJ42" s="66">
        <v>0</v>
      </c>
      <c r="AK42" s="66">
        <v>0</v>
      </c>
      <c r="AL42" s="66">
        <v>0</v>
      </c>
      <c r="AM42" s="66">
        <v>0</v>
      </c>
      <c r="AN42" s="66">
        <v>0</v>
      </c>
      <c r="AO42" s="66">
        <v>0</v>
      </c>
      <c r="AP42" s="66">
        <v>0</v>
      </c>
      <c r="AQ42" s="66">
        <v>0</v>
      </c>
      <c r="AR42" s="66">
        <v>0</v>
      </c>
      <c r="AS42" s="66">
        <v>0</v>
      </c>
      <c r="AT42" s="67" t="s">
        <v>1230</v>
      </c>
      <c r="AU42" s="67" t="s">
        <v>1230</v>
      </c>
      <c r="AV42" s="67">
        <v>0</v>
      </c>
      <c r="AW42" s="187">
        <v>0</v>
      </c>
      <c r="AX42" s="67">
        <v>0</v>
      </c>
      <c r="AY42" s="66">
        <v>0</v>
      </c>
      <c r="AZ42" s="66">
        <v>0</v>
      </c>
      <c r="BA42" s="66">
        <v>0</v>
      </c>
      <c r="BB42" s="66">
        <v>0</v>
      </c>
      <c r="BC42" s="66">
        <v>0</v>
      </c>
      <c r="BD42" s="66">
        <v>0</v>
      </c>
      <c r="BE42" s="66">
        <v>0</v>
      </c>
      <c r="BF42" s="66">
        <v>0</v>
      </c>
      <c r="BG42" s="66">
        <v>0</v>
      </c>
      <c r="BH42" s="66">
        <v>0</v>
      </c>
      <c r="BI42" s="66">
        <v>0</v>
      </c>
      <c r="BJ42" s="67" t="s">
        <v>1230</v>
      </c>
      <c r="BK42" s="67" t="s">
        <v>1230</v>
      </c>
      <c r="BL42" s="67">
        <v>0</v>
      </c>
      <c r="BM42" s="187">
        <v>0</v>
      </c>
      <c r="BN42" s="67">
        <v>0</v>
      </c>
      <c r="BO42" s="66">
        <v>0</v>
      </c>
      <c r="BP42" s="66">
        <v>0</v>
      </c>
      <c r="BQ42" s="66">
        <v>0</v>
      </c>
      <c r="BR42" s="66">
        <v>0</v>
      </c>
      <c r="BS42" s="66">
        <v>0</v>
      </c>
      <c r="BT42" s="66">
        <v>0</v>
      </c>
      <c r="BU42" s="66">
        <v>0</v>
      </c>
      <c r="BV42" s="66">
        <v>0</v>
      </c>
      <c r="BW42" s="66">
        <v>0</v>
      </c>
      <c r="BX42" s="66">
        <v>0</v>
      </c>
      <c r="BY42" s="66">
        <v>0</v>
      </c>
      <c r="BZ42" s="67" t="s">
        <v>1230</v>
      </c>
      <c r="CA42" s="67" t="s">
        <v>1230</v>
      </c>
      <c r="CB42" s="67">
        <v>0</v>
      </c>
      <c r="CC42" s="187">
        <v>0</v>
      </c>
      <c r="CD42" s="67">
        <v>0</v>
      </c>
    </row>
    <row r="43" spans="1:82" ht="15.6" x14ac:dyDescent="0.3">
      <c r="A43" s="169" t="s">
        <v>90</v>
      </c>
      <c r="B43" s="205" t="s">
        <v>91</v>
      </c>
      <c r="C43" s="66">
        <v>0</v>
      </c>
      <c r="D43" s="66">
        <v>0</v>
      </c>
      <c r="E43" s="66">
        <v>0</v>
      </c>
      <c r="F43" s="66">
        <v>0</v>
      </c>
      <c r="G43" s="66">
        <v>0</v>
      </c>
      <c r="H43" s="66">
        <v>0</v>
      </c>
      <c r="I43" s="66">
        <v>0</v>
      </c>
      <c r="J43" s="66">
        <v>0</v>
      </c>
      <c r="K43" s="66">
        <v>0</v>
      </c>
      <c r="L43" s="66">
        <v>0</v>
      </c>
      <c r="M43" s="66">
        <v>0</v>
      </c>
      <c r="N43" s="67" t="s">
        <v>1230</v>
      </c>
      <c r="O43" s="67" t="s">
        <v>1230</v>
      </c>
      <c r="P43" s="67">
        <v>0</v>
      </c>
      <c r="Q43" s="66">
        <v>0</v>
      </c>
      <c r="R43" s="67">
        <v>0</v>
      </c>
      <c r="S43" s="66">
        <v>0</v>
      </c>
      <c r="T43" s="66">
        <v>0</v>
      </c>
      <c r="U43" s="66">
        <v>0</v>
      </c>
      <c r="V43" s="66">
        <v>0</v>
      </c>
      <c r="W43" s="66">
        <v>0</v>
      </c>
      <c r="X43" s="66">
        <v>0</v>
      </c>
      <c r="Y43" s="66">
        <v>0</v>
      </c>
      <c r="Z43" s="66">
        <v>0</v>
      </c>
      <c r="AA43" s="66">
        <v>0</v>
      </c>
      <c r="AB43" s="66">
        <v>0</v>
      </c>
      <c r="AC43" s="66">
        <v>0</v>
      </c>
      <c r="AD43" s="67" t="s">
        <v>1230</v>
      </c>
      <c r="AE43" s="67" t="s">
        <v>1230</v>
      </c>
      <c r="AF43" s="67">
        <v>0</v>
      </c>
      <c r="AG43" s="187">
        <v>0</v>
      </c>
      <c r="AH43" s="67">
        <v>0</v>
      </c>
      <c r="AI43" s="66">
        <v>0</v>
      </c>
      <c r="AJ43" s="66">
        <v>0</v>
      </c>
      <c r="AK43" s="66">
        <v>0</v>
      </c>
      <c r="AL43" s="66">
        <v>0</v>
      </c>
      <c r="AM43" s="66">
        <v>0</v>
      </c>
      <c r="AN43" s="66">
        <v>0</v>
      </c>
      <c r="AO43" s="66">
        <v>0</v>
      </c>
      <c r="AP43" s="66">
        <v>0</v>
      </c>
      <c r="AQ43" s="66">
        <v>0</v>
      </c>
      <c r="AR43" s="66">
        <v>0</v>
      </c>
      <c r="AS43" s="66">
        <v>0</v>
      </c>
      <c r="AT43" s="67" t="s">
        <v>1230</v>
      </c>
      <c r="AU43" s="67" t="s">
        <v>1230</v>
      </c>
      <c r="AV43" s="67">
        <v>0</v>
      </c>
      <c r="AW43" s="187">
        <v>0</v>
      </c>
      <c r="AX43" s="67">
        <v>0</v>
      </c>
      <c r="AY43" s="66">
        <v>0</v>
      </c>
      <c r="AZ43" s="66">
        <v>0</v>
      </c>
      <c r="BA43" s="66">
        <v>0</v>
      </c>
      <c r="BB43" s="66">
        <v>0</v>
      </c>
      <c r="BC43" s="66">
        <v>0</v>
      </c>
      <c r="BD43" s="66">
        <v>0</v>
      </c>
      <c r="BE43" s="66">
        <v>0</v>
      </c>
      <c r="BF43" s="66">
        <v>0</v>
      </c>
      <c r="BG43" s="66">
        <v>0</v>
      </c>
      <c r="BH43" s="66">
        <v>0</v>
      </c>
      <c r="BI43" s="66">
        <v>0</v>
      </c>
      <c r="BJ43" s="67" t="s">
        <v>1230</v>
      </c>
      <c r="BK43" s="67" t="s">
        <v>1230</v>
      </c>
      <c r="BL43" s="67">
        <v>0</v>
      </c>
      <c r="BM43" s="187">
        <v>0</v>
      </c>
      <c r="BN43" s="67">
        <v>0</v>
      </c>
      <c r="BO43" s="66">
        <v>0</v>
      </c>
      <c r="BP43" s="66">
        <v>0</v>
      </c>
      <c r="BQ43" s="66">
        <v>0</v>
      </c>
      <c r="BR43" s="66">
        <v>0</v>
      </c>
      <c r="BS43" s="66">
        <v>0</v>
      </c>
      <c r="BT43" s="66">
        <v>0</v>
      </c>
      <c r="BU43" s="66">
        <v>0</v>
      </c>
      <c r="BV43" s="66">
        <v>0</v>
      </c>
      <c r="BW43" s="66">
        <v>0</v>
      </c>
      <c r="BX43" s="66">
        <v>0</v>
      </c>
      <c r="BY43" s="66">
        <v>0</v>
      </c>
      <c r="BZ43" s="67" t="s">
        <v>1230</v>
      </c>
      <c r="CA43" s="67" t="s">
        <v>1230</v>
      </c>
      <c r="CB43" s="67">
        <v>0</v>
      </c>
      <c r="CC43" s="187">
        <v>0</v>
      </c>
      <c r="CD43" s="67">
        <v>0</v>
      </c>
    </row>
    <row r="44" spans="1:82" ht="15.6" x14ac:dyDescent="0.3">
      <c r="A44" s="206">
        <v>32</v>
      </c>
      <c r="B44" s="205" t="s">
        <v>93</v>
      </c>
      <c r="C44" s="66">
        <v>0</v>
      </c>
      <c r="D44" s="66">
        <v>0</v>
      </c>
      <c r="E44" s="66">
        <v>0</v>
      </c>
      <c r="F44" s="66">
        <v>0</v>
      </c>
      <c r="G44" s="66">
        <v>0</v>
      </c>
      <c r="H44" s="66">
        <v>0</v>
      </c>
      <c r="I44" s="66">
        <v>0</v>
      </c>
      <c r="J44" s="66">
        <v>0</v>
      </c>
      <c r="K44" s="66">
        <v>0</v>
      </c>
      <c r="L44" s="66">
        <v>0</v>
      </c>
      <c r="M44" s="66">
        <v>0</v>
      </c>
      <c r="N44" s="67" t="s">
        <v>1230</v>
      </c>
      <c r="O44" s="67" t="s">
        <v>1230</v>
      </c>
      <c r="P44" s="67">
        <v>0</v>
      </c>
      <c r="Q44" s="66">
        <v>0</v>
      </c>
      <c r="R44" s="67">
        <v>0</v>
      </c>
      <c r="S44" s="66">
        <v>0</v>
      </c>
      <c r="T44" s="66">
        <v>0</v>
      </c>
      <c r="U44" s="66">
        <v>0</v>
      </c>
      <c r="V44" s="66">
        <v>0</v>
      </c>
      <c r="W44" s="66">
        <v>0</v>
      </c>
      <c r="X44" s="66">
        <v>0</v>
      </c>
      <c r="Y44" s="66">
        <v>0</v>
      </c>
      <c r="Z44" s="66">
        <v>0</v>
      </c>
      <c r="AA44" s="66">
        <v>0</v>
      </c>
      <c r="AB44" s="66">
        <v>0</v>
      </c>
      <c r="AC44" s="66">
        <v>0</v>
      </c>
      <c r="AD44" s="67" t="s">
        <v>1230</v>
      </c>
      <c r="AE44" s="67" t="s">
        <v>1230</v>
      </c>
      <c r="AF44" s="67">
        <v>0</v>
      </c>
      <c r="AG44" s="187">
        <v>0</v>
      </c>
      <c r="AH44" s="67">
        <v>0</v>
      </c>
      <c r="AI44" s="66">
        <v>0</v>
      </c>
      <c r="AJ44" s="66">
        <v>0</v>
      </c>
      <c r="AK44" s="66">
        <v>0</v>
      </c>
      <c r="AL44" s="66">
        <v>0</v>
      </c>
      <c r="AM44" s="66">
        <v>0</v>
      </c>
      <c r="AN44" s="66">
        <v>0</v>
      </c>
      <c r="AO44" s="66">
        <v>0</v>
      </c>
      <c r="AP44" s="66">
        <v>0</v>
      </c>
      <c r="AQ44" s="66">
        <v>0</v>
      </c>
      <c r="AR44" s="66">
        <v>0</v>
      </c>
      <c r="AS44" s="66">
        <v>0</v>
      </c>
      <c r="AT44" s="67" t="s">
        <v>1230</v>
      </c>
      <c r="AU44" s="67" t="s">
        <v>1230</v>
      </c>
      <c r="AV44" s="67">
        <v>0</v>
      </c>
      <c r="AW44" s="187">
        <v>0</v>
      </c>
      <c r="AX44" s="67">
        <v>0</v>
      </c>
      <c r="AY44" s="66">
        <v>0</v>
      </c>
      <c r="AZ44" s="66">
        <v>0</v>
      </c>
      <c r="BA44" s="66">
        <v>0</v>
      </c>
      <c r="BB44" s="66">
        <v>0</v>
      </c>
      <c r="BC44" s="66">
        <v>0</v>
      </c>
      <c r="BD44" s="66">
        <v>0</v>
      </c>
      <c r="BE44" s="66">
        <v>0</v>
      </c>
      <c r="BF44" s="66">
        <v>0</v>
      </c>
      <c r="BG44" s="66">
        <v>0</v>
      </c>
      <c r="BH44" s="66">
        <v>0</v>
      </c>
      <c r="BI44" s="66">
        <v>0</v>
      </c>
      <c r="BJ44" s="67" t="s">
        <v>1230</v>
      </c>
      <c r="BK44" s="67" t="s">
        <v>1230</v>
      </c>
      <c r="BL44" s="67">
        <v>0</v>
      </c>
      <c r="BM44" s="187">
        <v>0</v>
      </c>
      <c r="BN44" s="67">
        <v>0</v>
      </c>
      <c r="BO44" s="66">
        <v>0</v>
      </c>
      <c r="BP44" s="66">
        <v>0</v>
      </c>
      <c r="BQ44" s="66">
        <v>0</v>
      </c>
      <c r="BR44" s="66">
        <v>0</v>
      </c>
      <c r="BS44" s="66">
        <v>0</v>
      </c>
      <c r="BT44" s="66">
        <v>0</v>
      </c>
      <c r="BU44" s="66">
        <v>0</v>
      </c>
      <c r="BV44" s="66">
        <v>0</v>
      </c>
      <c r="BW44" s="66">
        <v>0</v>
      </c>
      <c r="BX44" s="66">
        <v>0</v>
      </c>
      <c r="BY44" s="66">
        <v>0</v>
      </c>
      <c r="BZ44" s="67" t="s">
        <v>1230</v>
      </c>
      <c r="CA44" s="67" t="s">
        <v>1230</v>
      </c>
      <c r="CB44" s="67">
        <v>0</v>
      </c>
      <c r="CC44" s="187">
        <v>0</v>
      </c>
      <c r="CD44" s="67">
        <v>0</v>
      </c>
    </row>
    <row r="45" spans="1:82" ht="15.6" x14ac:dyDescent="0.3">
      <c r="A45" s="208">
        <v>33</v>
      </c>
      <c r="B45" s="209" t="s">
        <v>95</v>
      </c>
      <c r="C45" s="61">
        <v>0</v>
      </c>
      <c r="D45" s="61">
        <v>0</v>
      </c>
      <c r="E45" s="61">
        <v>0</v>
      </c>
      <c r="F45" s="61">
        <v>0</v>
      </c>
      <c r="G45" s="61">
        <v>0</v>
      </c>
      <c r="H45" s="61">
        <v>0</v>
      </c>
      <c r="I45" s="61">
        <v>0</v>
      </c>
      <c r="J45" s="61">
        <v>0</v>
      </c>
      <c r="K45" s="61">
        <v>0</v>
      </c>
      <c r="L45" s="61">
        <v>0</v>
      </c>
      <c r="M45" s="61">
        <v>0</v>
      </c>
      <c r="N45" s="61" t="s">
        <v>1230</v>
      </c>
      <c r="O45" s="61" t="s">
        <v>1230</v>
      </c>
      <c r="P45" s="61">
        <v>0</v>
      </c>
      <c r="Q45" s="61">
        <v>0</v>
      </c>
      <c r="R45" s="61">
        <v>0</v>
      </c>
      <c r="S45" s="61">
        <v>0</v>
      </c>
      <c r="T45" s="61">
        <v>0</v>
      </c>
      <c r="U45" s="61">
        <v>0</v>
      </c>
      <c r="V45" s="61">
        <v>0</v>
      </c>
      <c r="W45" s="61">
        <v>0</v>
      </c>
      <c r="X45" s="61">
        <v>0</v>
      </c>
      <c r="Y45" s="61">
        <v>0</v>
      </c>
      <c r="Z45" s="61">
        <v>0</v>
      </c>
      <c r="AA45" s="61">
        <v>0</v>
      </c>
      <c r="AB45" s="61">
        <v>0</v>
      </c>
      <c r="AC45" s="61">
        <v>0</v>
      </c>
      <c r="AD45" s="61" t="s">
        <v>1230</v>
      </c>
      <c r="AE45" s="61" t="s">
        <v>1230</v>
      </c>
      <c r="AF45" s="61">
        <v>0</v>
      </c>
      <c r="AG45" s="61">
        <v>0</v>
      </c>
      <c r="AH45" s="61">
        <v>0</v>
      </c>
      <c r="AI45" s="61">
        <v>0</v>
      </c>
      <c r="AJ45" s="61">
        <v>0</v>
      </c>
      <c r="AK45" s="61">
        <v>0</v>
      </c>
      <c r="AL45" s="61">
        <v>0</v>
      </c>
      <c r="AM45" s="61">
        <v>0</v>
      </c>
      <c r="AN45" s="61">
        <v>0</v>
      </c>
      <c r="AO45" s="61">
        <v>0</v>
      </c>
      <c r="AP45" s="61">
        <v>0</v>
      </c>
      <c r="AQ45" s="61">
        <v>0</v>
      </c>
      <c r="AR45" s="61">
        <v>0</v>
      </c>
      <c r="AS45" s="61">
        <v>0</v>
      </c>
      <c r="AT45" s="61" t="s">
        <v>1230</v>
      </c>
      <c r="AU45" s="61" t="s">
        <v>1230</v>
      </c>
      <c r="AV45" s="61">
        <v>0</v>
      </c>
      <c r="AW45" s="61">
        <v>0</v>
      </c>
      <c r="AX45" s="61">
        <v>0</v>
      </c>
      <c r="AY45" s="61">
        <v>0</v>
      </c>
      <c r="AZ45" s="61">
        <v>0</v>
      </c>
      <c r="BA45" s="61">
        <v>0</v>
      </c>
      <c r="BB45" s="61">
        <v>0</v>
      </c>
      <c r="BC45" s="61">
        <v>0</v>
      </c>
      <c r="BD45" s="61">
        <v>0</v>
      </c>
      <c r="BE45" s="61">
        <v>0</v>
      </c>
      <c r="BF45" s="61">
        <v>0</v>
      </c>
      <c r="BG45" s="61">
        <v>0</v>
      </c>
      <c r="BH45" s="61">
        <v>0</v>
      </c>
      <c r="BI45" s="61">
        <v>0</v>
      </c>
      <c r="BJ45" s="61" t="s">
        <v>1230</v>
      </c>
      <c r="BK45" s="61" t="s">
        <v>1230</v>
      </c>
      <c r="BL45" s="61">
        <v>0</v>
      </c>
      <c r="BM45" s="61">
        <v>0</v>
      </c>
      <c r="BN45" s="61">
        <v>0</v>
      </c>
      <c r="BO45" s="61">
        <v>0</v>
      </c>
      <c r="BP45" s="61">
        <v>0</v>
      </c>
      <c r="BQ45" s="61">
        <v>0</v>
      </c>
      <c r="BR45" s="61">
        <v>0</v>
      </c>
      <c r="BS45" s="61">
        <v>0</v>
      </c>
      <c r="BT45" s="61">
        <v>0</v>
      </c>
      <c r="BU45" s="61">
        <v>0</v>
      </c>
      <c r="BV45" s="61">
        <v>0</v>
      </c>
      <c r="BW45" s="61">
        <v>0</v>
      </c>
      <c r="BX45" s="61">
        <v>0</v>
      </c>
      <c r="BY45" s="61">
        <v>0</v>
      </c>
      <c r="BZ45" s="61" t="s">
        <v>1230</v>
      </c>
      <c r="CA45" s="61" t="s">
        <v>1230</v>
      </c>
      <c r="CB45" s="61">
        <v>0</v>
      </c>
      <c r="CC45" s="61">
        <v>0</v>
      </c>
      <c r="CD45" s="61">
        <v>0</v>
      </c>
    </row>
    <row r="46" spans="1:82" ht="15.6" x14ac:dyDescent="0.3">
      <c r="A46" s="171">
        <v>34</v>
      </c>
      <c r="B46" s="211" t="s">
        <v>97</v>
      </c>
      <c r="C46" s="66">
        <v>0</v>
      </c>
      <c r="D46" s="66">
        <v>0</v>
      </c>
      <c r="E46" s="66">
        <v>0</v>
      </c>
      <c r="F46" s="66">
        <v>0</v>
      </c>
      <c r="G46" s="66">
        <v>0</v>
      </c>
      <c r="H46" s="66">
        <v>0</v>
      </c>
      <c r="I46" s="66">
        <v>0</v>
      </c>
      <c r="J46" s="66">
        <v>0</v>
      </c>
      <c r="K46" s="66">
        <v>0</v>
      </c>
      <c r="L46" s="66">
        <v>0</v>
      </c>
      <c r="M46" s="66">
        <v>0</v>
      </c>
      <c r="N46" s="67" t="s">
        <v>1230</v>
      </c>
      <c r="O46" s="67" t="s">
        <v>1230</v>
      </c>
      <c r="P46" s="67">
        <v>0</v>
      </c>
      <c r="Q46" s="66">
        <v>0</v>
      </c>
      <c r="R46" s="67">
        <v>0</v>
      </c>
      <c r="S46" s="66">
        <v>0</v>
      </c>
      <c r="T46" s="66">
        <v>0</v>
      </c>
      <c r="U46" s="66">
        <v>0</v>
      </c>
      <c r="V46" s="66">
        <v>0</v>
      </c>
      <c r="W46" s="66">
        <v>0</v>
      </c>
      <c r="X46" s="66">
        <v>0</v>
      </c>
      <c r="Y46" s="66">
        <v>0</v>
      </c>
      <c r="Z46" s="66">
        <v>0</v>
      </c>
      <c r="AA46" s="66">
        <v>0</v>
      </c>
      <c r="AB46" s="66">
        <v>0</v>
      </c>
      <c r="AC46" s="66">
        <v>0</v>
      </c>
      <c r="AD46" s="67" t="s">
        <v>1230</v>
      </c>
      <c r="AE46" s="67" t="s">
        <v>1230</v>
      </c>
      <c r="AF46" s="67">
        <v>0</v>
      </c>
      <c r="AG46" s="187">
        <v>0</v>
      </c>
      <c r="AH46" s="67">
        <v>0</v>
      </c>
      <c r="AI46" s="66">
        <v>0</v>
      </c>
      <c r="AJ46" s="66">
        <v>0</v>
      </c>
      <c r="AK46" s="66">
        <v>0</v>
      </c>
      <c r="AL46" s="66">
        <v>0</v>
      </c>
      <c r="AM46" s="66">
        <v>0</v>
      </c>
      <c r="AN46" s="66">
        <v>0</v>
      </c>
      <c r="AO46" s="66">
        <v>0</v>
      </c>
      <c r="AP46" s="66">
        <v>0</v>
      </c>
      <c r="AQ46" s="66">
        <v>0</v>
      </c>
      <c r="AR46" s="66">
        <v>0</v>
      </c>
      <c r="AS46" s="66">
        <v>0</v>
      </c>
      <c r="AT46" s="67" t="s">
        <v>1230</v>
      </c>
      <c r="AU46" s="67" t="s">
        <v>1230</v>
      </c>
      <c r="AV46" s="67">
        <v>0</v>
      </c>
      <c r="AW46" s="187">
        <v>0</v>
      </c>
      <c r="AX46" s="67">
        <v>0</v>
      </c>
      <c r="AY46" s="66">
        <v>0</v>
      </c>
      <c r="AZ46" s="66">
        <v>0</v>
      </c>
      <c r="BA46" s="66">
        <v>0</v>
      </c>
      <c r="BB46" s="66">
        <v>0</v>
      </c>
      <c r="BC46" s="66">
        <v>0</v>
      </c>
      <c r="BD46" s="66">
        <v>0</v>
      </c>
      <c r="BE46" s="66">
        <v>0</v>
      </c>
      <c r="BF46" s="66">
        <v>0</v>
      </c>
      <c r="BG46" s="66">
        <v>0</v>
      </c>
      <c r="BH46" s="66">
        <v>0</v>
      </c>
      <c r="BI46" s="66">
        <v>0</v>
      </c>
      <c r="BJ46" s="67" t="s">
        <v>1230</v>
      </c>
      <c r="BK46" s="67" t="s">
        <v>1230</v>
      </c>
      <c r="BL46" s="67">
        <v>0</v>
      </c>
      <c r="BM46" s="187">
        <v>0</v>
      </c>
      <c r="BN46" s="67">
        <v>0</v>
      </c>
      <c r="BO46" s="66">
        <v>0</v>
      </c>
      <c r="BP46" s="66">
        <v>0</v>
      </c>
      <c r="BQ46" s="66">
        <v>0</v>
      </c>
      <c r="BR46" s="66">
        <v>0</v>
      </c>
      <c r="BS46" s="66">
        <v>0</v>
      </c>
      <c r="BT46" s="66">
        <v>0</v>
      </c>
      <c r="BU46" s="66">
        <v>0</v>
      </c>
      <c r="BV46" s="66">
        <v>0</v>
      </c>
      <c r="BW46" s="66">
        <v>0</v>
      </c>
      <c r="BX46" s="66">
        <v>0</v>
      </c>
      <c r="BY46" s="66">
        <v>0</v>
      </c>
      <c r="BZ46" s="67" t="s">
        <v>1230</v>
      </c>
      <c r="CA46" s="67" t="s">
        <v>1230</v>
      </c>
      <c r="CB46" s="67">
        <v>0</v>
      </c>
      <c r="CC46" s="187">
        <v>0</v>
      </c>
      <c r="CD46" s="67">
        <v>0</v>
      </c>
    </row>
    <row r="47" spans="1:82" ht="15.6" x14ac:dyDescent="0.3">
      <c r="A47" s="171">
        <v>35</v>
      </c>
      <c r="B47" s="211" t="s">
        <v>99</v>
      </c>
      <c r="C47" s="66">
        <v>0</v>
      </c>
      <c r="D47" s="66">
        <v>0</v>
      </c>
      <c r="E47" s="66">
        <v>0</v>
      </c>
      <c r="F47" s="66">
        <v>0</v>
      </c>
      <c r="G47" s="66">
        <v>0</v>
      </c>
      <c r="H47" s="66">
        <v>0</v>
      </c>
      <c r="I47" s="66">
        <v>0</v>
      </c>
      <c r="J47" s="66">
        <v>0</v>
      </c>
      <c r="K47" s="66">
        <v>0</v>
      </c>
      <c r="L47" s="66">
        <v>0</v>
      </c>
      <c r="M47" s="66">
        <v>0</v>
      </c>
      <c r="N47" s="67" t="s">
        <v>1230</v>
      </c>
      <c r="O47" s="67" t="s">
        <v>1230</v>
      </c>
      <c r="P47" s="67">
        <v>0</v>
      </c>
      <c r="Q47" s="66">
        <v>0</v>
      </c>
      <c r="R47" s="67">
        <v>0</v>
      </c>
      <c r="S47" s="66">
        <v>0</v>
      </c>
      <c r="T47" s="66">
        <v>0</v>
      </c>
      <c r="U47" s="66">
        <v>0</v>
      </c>
      <c r="V47" s="66">
        <v>0</v>
      </c>
      <c r="W47" s="66">
        <v>0</v>
      </c>
      <c r="X47" s="66">
        <v>0</v>
      </c>
      <c r="Y47" s="66">
        <v>0</v>
      </c>
      <c r="Z47" s="66">
        <v>0</v>
      </c>
      <c r="AA47" s="66">
        <v>0</v>
      </c>
      <c r="AB47" s="66">
        <v>0</v>
      </c>
      <c r="AC47" s="66">
        <v>0</v>
      </c>
      <c r="AD47" s="67" t="s">
        <v>1230</v>
      </c>
      <c r="AE47" s="67" t="s">
        <v>1230</v>
      </c>
      <c r="AF47" s="67">
        <v>0</v>
      </c>
      <c r="AG47" s="187">
        <v>0</v>
      </c>
      <c r="AH47" s="67">
        <v>0</v>
      </c>
      <c r="AI47" s="66">
        <v>0</v>
      </c>
      <c r="AJ47" s="66">
        <v>0</v>
      </c>
      <c r="AK47" s="66">
        <v>0</v>
      </c>
      <c r="AL47" s="66">
        <v>0</v>
      </c>
      <c r="AM47" s="66">
        <v>0</v>
      </c>
      <c r="AN47" s="66">
        <v>0</v>
      </c>
      <c r="AO47" s="66">
        <v>0</v>
      </c>
      <c r="AP47" s="66">
        <v>0</v>
      </c>
      <c r="AQ47" s="66">
        <v>0</v>
      </c>
      <c r="AR47" s="66">
        <v>0</v>
      </c>
      <c r="AS47" s="66">
        <v>0</v>
      </c>
      <c r="AT47" s="67" t="s">
        <v>1230</v>
      </c>
      <c r="AU47" s="67" t="s">
        <v>1230</v>
      </c>
      <c r="AV47" s="67">
        <v>0</v>
      </c>
      <c r="AW47" s="187">
        <v>0</v>
      </c>
      <c r="AX47" s="67">
        <v>0</v>
      </c>
      <c r="AY47" s="66">
        <v>0</v>
      </c>
      <c r="AZ47" s="66">
        <v>0</v>
      </c>
      <c r="BA47" s="66">
        <v>0</v>
      </c>
      <c r="BB47" s="66">
        <v>0</v>
      </c>
      <c r="BC47" s="66">
        <v>0</v>
      </c>
      <c r="BD47" s="66">
        <v>0</v>
      </c>
      <c r="BE47" s="66">
        <v>0</v>
      </c>
      <c r="BF47" s="66">
        <v>0</v>
      </c>
      <c r="BG47" s="66">
        <v>0</v>
      </c>
      <c r="BH47" s="66">
        <v>0</v>
      </c>
      <c r="BI47" s="66">
        <v>0</v>
      </c>
      <c r="BJ47" s="67" t="s">
        <v>1230</v>
      </c>
      <c r="BK47" s="67" t="s">
        <v>1230</v>
      </c>
      <c r="BL47" s="67">
        <v>0</v>
      </c>
      <c r="BM47" s="187">
        <v>0</v>
      </c>
      <c r="BN47" s="67">
        <v>0</v>
      </c>
      <c r="BO47" s="66">
        <v>0</v>
      </c>
      <c r="BP47" s="66">
        <v>0</v>
      </c>
      <c r="BQ47" s="66">
        <v>0</v>
      </c>
      <c r="BR47" s="66">
        <v>0</v>
      </c>
      <c r="BS47" s="66">
        <v>0</v>
      </c>
      <c r="BT47" s="66">
        <v>0</v>
      </c>
      <c r="BU47" s="66">
        <v>0</v>
      </c>
      <c r="BV47" s="66">
        <v>0</v>
      </c>
      <c r="BW47" s="66">
        <v>0</v>
      </c>
      <c r="BX47" s="66">
        <v>0</v>
      </c>
      <c r="BY47" s="66">
        <v>0</v>
      </c>
      <c r="BZ47" s="67" t="s">
        <v>1230</v>
      </c>
      <c r="CA47" s="67" t="s">
        <v>1230</v>
      </c>
      <c r="CB47" s="67">
        <v>0</v>
      </c>
      <c r="CC47" s="187">
        <v>0</v>
      </c>
      <c r="CD47" s="67">
        <v>0</v>
      </c>
    </row>
    <row r="48" spans="1:82" ht="15.6" x14ac:dyDescent="0.3">
      <c r="A48" s="169">
        <v>36</v>
      </c>
      <c r="B48" s="205" t="s">
        <v>318</v>
      </c>
      <c r="C48" s="66">
        <v>0</v>
      </c>
      <c r="D48" s="66">
        <v>0</v>
      </c>
      <c r="E48" s="66">
        <v>0</v>
      </c>
      <c r="F48" s="66">
        <v>0</v>
      </c>
      <c r="G48" s="66">
        <v>0</v>
      </c>
      <c r="H48" s="66">
        <v>0</v>
      </c>
      <c r="I48" s="66">
        <v>0</v>
      </c>
      <c r="J48" s="66">
        <v>0</v>
      </c>
      <c r="K48" s="66">
        <v>0</v>
      </c>
      <c r="L48" s="66">
        <v>0</v>
      </c>
      <c r="M48" s="66">
        <v>0</v>
      </c>
      <c r="N48" s="67" t="s">
        <v>1230</v>
      </c>
      <c r="O48" s="67" t="s">
        <v>1230</v>
      </c>
      <c r="P48" s="67">
        <v>0</v>
      </c>
      <c r="Q48" s="66">
        <v>0</v>
      </c>
      <c r="R48" s="67">
        <v>0</v>
      </c>
      <c r="S48" s="66">
        <v>0</v>
      </c>
      <c r="T48" s="66">
        <v>0</v>
      </c>
      <c r="U48" s="66">
        <v>0</v>
      </c>
      <c r="V48" s="66">
        <v>0</v>
      </c>
      <c r="W48" s="66">
        <v>0</v>
      </c>
      <c r="X48" s="66">
        <v>0</v>
      </c>
      <c r="Y48" s="66">
        <v>0</v>
      </c>
      <c r="Z48" s="66">
        <v>0</v>
      </c>
      <c r="AA48" s="66">
        <v>0</v>
      </c>
      <c r="AB48" s="66">
        <v>0</v>
      </c>
      <c r="AC48" s="66">
        <v>0</v>
      </c>
      <c r="AD48" s="67" t="s">
        <v>1230</v>
      </c>
      <c r="AE48" s="67" t="s">
        <v>1230</v>
      </c>
      <c r="AF48" s="67">
        <v>0</v>
      </c>
      <c r="AG48" s="187">
        <v>0</v>
      </c>
      <c r="AH48" s="67">
        <v>0</v>
      </c>
      <c r="AI48" s="66">
        <v>0</v>
      </c>
      <c r="AJ48" s="66">
        <v>0</v>
      </c>
      <c r="AK48" s="66">
        <v>0</v>
      </c>
      <c r="AL48" s="66">
        <v>0</v>
      </c>
      <c r="AM48" s="66">
        <v>0</v>
      </c>
      <c r="AN48" s="66">
        <v>0</v>
      </c>
      <c r="AO48" s="66">
        <v>0</v>
      </c>
      <c r="AP48" s="66">
        <v>0</v>
      </c>
      <c r="AQ48" s="66">
        <v>0</v>
      </c>
      <c r="AR48" s="66">
        <v>0</v>
      </c>
      <c r="AS48" s="66">
        <v>0</v>
      </c>
      <c r="AT48" s="67" t="s">
        <v>1230</v>
      </c>
      <c r="AU48" s="67" t="s">
        <v>1230</v>
      </c>
      <c r="AV48" s="67">
        <v>0</v>
      </c>
      <c r="AW48" s="187">
        <v>0</v>
      </c>
      <c r="AX48" s="67">
        <v>0</v>
      </c>
      <c r="AY48" s="66">
        <v>0</v>
      </c>
      <c r="AZ48" s="66">
        <v>0</v>
      </c>
      <c r="BA48" s="66">
        <v>0</v>
      </c>
      <c r="BB48" s="66">
        <v>0</v>
      </c>
      <c r="BC48" s="66">
        <v>0</v>
      </c>
      <c r="BD48" s="66">
        <v>0</v>
      </c>
      <c r="BE48" s="66">
        <v>0</v>
      </c>
      <c r="BF48" s="66">
        <v>0</v>
      </c>
      <c r="BG48" s="66">
        <v>0</v>
      </c>
      <c r="BH48" s="66">
        <v>0</v>
      </c>
      <c r="BI48" s="66">
        <v>0</v>
      </c>
      <c r="BJ48" s="67" t="s">
        <v>1230</v>
      </c>
      <c r="BK48" s="67" t="s">
        <v>1230</v>
      </c>
      <c r="BL48" s="67">
        <v>0</v>
      </c>
      <c r="BM48" s="187">
        <v>0</v>
      </c>
      <c r="BN48" s="67">
        <v>0</v>
      </c>
      <c r="BO48" s="66">
        <v>0</v>
      </c>
      <c r="BP48" s="66">
        <v>0</v>
      </c>
      <c r="BQ48" s="66">
        <v>0</v>
      </c>
      <c r="BR48" s="66">
        <v>0</v>
      </c>
      <c r="BS48" s="66">
        <v>0</v>
      </c>
      <c r="BT48" s="66">
        <v>0</v>
      </c>
      <c r="BU48" s="66">
        <v>0</v>
      </c>
      <c r="BV48" s="66">
        <v>0</v>
      </c>
      <c r="BW48" s="66">
        <v>0</v>
      </c>
      <c r="BX48" s="66">
        <v>0</v>
      </c>
      <c r="BY48" s="66">
        <v>0</v>
      </c>
      <c r="BZ48" s="67" t="s">
        <v>1230</v>
      </c>
      <c r="CA48" s="67" t="s">
        <v>1230</v>
      </c>
      <c r="CB48" s="67">
        <v>0</v>
      </c>
      <c r="CC48" s="187">
        <v>0</v>
      </c>
      <c r="CD48" s="67">
        <v>0</v>
      </c>
    </row>
    <row r="49" spans="1:82" ht="15.6" x14ac:dyDescent="0.3">
      <c r="A49" s="171">
        <v>37</v>
      </c>
      <c r="B49" s="211" t="s">
        <v>101</v>
      </c>
      <c r="C49" s="66">
        <v>0</v>
      </c>
      <c r="D49" s="66">
        <v>0</v>
      </c>
      <c r="E49" s="66">
        <v>0</v>
      </c>
      <c r="F49" s="66">
        <v>0</v>
      </c>
      <c r="G49" s="66">
        <v>0</v>
      </c>
      <c r="H49" s="66">
        <v>0</v>
      </c>
      <c r="I49" s="66">
        <v>0</v>
      </c>
      <c r="J49" s="66">
        <v>0</v>
      </c>
      <c r="K49" s="66">
        <v>0</v>
      </c>
      <c r="L49" s="66">
        <v>0</v>
      </c>
      <c r="M49" s="66">
        <v>0</v>
      </c>
      <c r="N49" s="67" t="s">
        <v>1230</v>
      </c>
      <c r="O49" s="67" t="s">
        <v>1230</v>
      </c>
      <c r="P49" s="67">
        <v>0</v>
      </c>
      <c r="Q49" s="66">
        <v>0</v>
      </c>
      <c r="R49" s="67">
        <v>0</v>
      </c>
      <c r="S49" s="66">
        <v>0</v>
      </c>
      <c r="T49" s="66">
        <v>0</v>
      </c>
      <c r="U49" s="66">
        <v>0</v>
      </c>
      <c r="V49" s="66">
        <v>0</v>
      </c>
      <c r="W49" s="66">
        <v>0</v>
      </c>
      <c r="X49" s="66">
        <v>0</v>
      </c>
      <c r="Y49" s="66">
        <v>0</v>
      </c>
      <c r="Z49" s="66">
        <v>0</v>
      </c>
      <c r="AA49" s="66">
        <v>0</v>
      </c>
      <c r="AB49" s="66">
        <v>0</v>
      </c>
      <c r="AC49" s="66">
        <v>0</v>
      </c>
      <c r="AD49" s="67" t="s">
        <v>1230</v>
      </c>
      <c r="AE49" s="67" t="s">
        <v>1230</v>
      </c>
      <c r="AF49" s="67">
        <v>0</v>
      </c>
      <c r="AG49" s="187">
        <v>0</v>
      </c>
      <c r="AH49" s="67">
        <v>0</v>
      </c>
      <c r="AI49" s="66">
        <v>0</v>
      </c>
      <c r="AJ49" s="66">
        <v>0</v>
      </c>
      <c r="AK49" s="66">
        <v>0</v>
      </c>
      <c r="AL49" s="66">
        <v>0</v>
      </c>
      <c r="AM49" s="66">
        <v>0</v>
      </c>
      <c r="AN49" s="66">
        <v>0</v>
      </c>
      <c r="AO49" s="66">
        <v>0</v>
      </c>
      <c r="AP49" s="66">
        <v>0</v>
      </c>
      <c r="AQ49" s="66">
        <v>0</v>
      </c>
      <c r="AR49" s="66">
        <v>0</v>
      </c>
      <c r="AS49" s="66">
        <v>0</v>
      </c>
      <c r="AT49" s="67" t="s">
        <v>1230</v>
      </c>
      <c r="AU49" s="67" t="s">
        <v>1230</v>
      </c>
      <c r="AV49" s="67">
        <v>0</v>
      </c>
      <c r="AW49" s="187">
        <v>0</v>
      </c>
      <c r="AX49" s="67">
        <v>0</v>
      </c>
      <c r="AY49" s="66">
        <v>0</v>
      </c>
      <c r="AZ49" s="66">
        <v>0</v>
      </c>
      <c r="BA49" s="66">
        <v>0</v>
      </c>
      <c r="BB49" s="66">
        <v>0</v>
      </c>
      <c r="BC49" s="66">
        <v>0</v>
      </c>
      <c r="BD49" s="66">
        <v>0</v>
      </c>
      <c r="BE49" s="66">
        <v>0</v>
      </c>
      <c r="BF49" s="66">
        <v>0</v>
      </c>
      <c r="BG49" s="66">
        <v>0</v>
      </c>
      <c r="BH49" s="66">
        <v>0</v>
      </c>
      <c r="BI49" s="66">
        <v>0</v>
      </c>
      <c r="BJ49" s="67" t="s">
        <v>1230</v>
      </c>
      <c r="BK49" s="67" t="s">
        <v>1230</v>
      </c>
      <c r="BL49" s="67">
        <v>0</v>
      </c>
      <c r="BM49" s="187">
        <v>0</v>
      </c>
      <c r="BN49" s="67">
        <v>0</v>
      </c>
      <c r="BO49" s="66">
        <v>0</v>
      </c>
      <c r="BP49" s="66">
        <v>0</v>
      </c>
      <c r="BQ49" s="66">
        <v>0</v>
      </c>
      <c r="BR49" s="66">
        <v>0</v>
      </c>
      <c r="BS49" s="66">
        <v>0</v>
      </c>
      <c r="BT49" s="66">
        <v>0</v>
      </c>
      <c r="BU49" s="66">
        <v>0</v>
      </c>
      <c r="BV49" s="66">
        <v>0</v>
      </c>
      <c r="BW49" s="66">
        <v>0</v>
      </c>
      <c r="BX49" s="66">
        <v>0</v>
      </c>
      <c r="BY49" s="66">
        <v>0</v>
      </c>
      <c r="BZ49" s="67" t="s">
        <v>1230</v>
      </c>
      <c r="CA49" s="67" t="s">
        <v>1230</v>
      </c>
      <c r="CB49" s="67">
        <v>0</v>
      </c>
      <c r="CC49" s="187">
        <v>0</v>
      </c>
      <c r="CD49" s="67">
        <v>0</v>
      </c>
    </row>
    <row r="50" spans="1:82" ht="15.6" x14ac:dyDescent="0.3">
      <c r="A50" s="171">
        <v>38</v>
      </c>
      <c r="B50" s="211" t="s">
        <v>103</v>
      </c>
      <c r="C50" s="66">
        <v>0</v>
      </c>
      <c r="D50" s="66">
        <v>0</v>
      </c>
      <c r="E50" s="66">
        <v>0</v>
      </c>
      <c r="F50" s="66">
        <v>0</v>
      </c>
      <c r="G50" s="66">
        <v>0</v>
      </c>
      <c r="H50" s="66">
        <v>0</v>
      </c>
      <c r="I50" s="66">
        <v>0</v>
      </c>
      <c r="J50" s="66">
        <v>0</v>
      </c>
      <c r="K50" s="66">
        <v>0</v>
      </c>
      <c r="L50" s="66">
        <v>0</v>
      </c>
      <c r="M50" s="66">
        <v>0</v>
      </c>
      <c r="N50" s="67" t="s">
        <v>1230</v>
      </c>
      <c r="O50" s="67" t="s">
        <v>1230</v>
      </c>
      <c r="P50" s="67">
        <v>0</v>
      </c>
      <c r="Q50" s="66">
        <v>0</v>
      </c>
      <c r="R50" s="67">
        <v>0</v>
      </c>
      <c r="S50" s="66">
        <v>0</v>
      </c>
      <c r="T50" s="66">
        <v>0</v>
      </c>
      <c r="U50" s="66">
        <v>0</v>
      </c>
      <c r="V50" s="66">
        <v>0</v>
      </c>
      <c r="W50" s="66">
        <v>0</v>
      </c>
      <c r="X50" s="66">
        <v>0</v>
      </c>
      <c r="Y50" s="66">
        <v>0</v>
      </c>
      <c r="Z50" s="66">
        <v>0</v>
      </c>
      <c r="AA50" s="66">
        <v>0</v>
      </c>
      <c r="AB50" s="66">
        <v>0</v>
      </c>
      <c r="AC50" s="66">
        <v>0</v>
      </c>
      <c r="AD50" s="67" t="s">
        <v>1230</v>
      </c>
      <c r="AE50" s="67" t="s">
        <v>1230</v>
      </c>
      <c r="AF50" s="67">
        <v>0</v>
      </c>
      <c r="AG50" s="187">
        <v>0</v>
      </c>
      <c r="AH50" s="67">
        <v>0</v>
      </c>
      <c r="AI50" s="66">
        <v>0</v>
      </c>
      <c r="AJ50" s="66">
        <v>0</v>
      </c>
      <c r="AK50" s="66">
        <v>0</v>
      </c>
      <c r="AL50" s="66">
        <v>0</v>
      </c>
      <c r="AM50" s="66">
        <v>0</v>
      </c>
      <c r="AN50" s="66">
        <v>0</v>
      </c>
      <c r="AO50" s="66">
        <v>0</v>
      </c>
      <c r="AP50" s="66">
        <v>0</v>
      </c>
      <c r="AQ50" s="66">
        <v>0</v>
      </c>
      <c r="AR50" s="66">
        <v>0</v>
      </c>
      <c r="AS50" s="66">
        <v>0</v>
      </c>
      <c r="AT50" s="67" t="s">
        <v>1230</v>
      </c>
      <c r="AU50" s="67" t="s">
        <v>1230</v>
      </c>
      <c r="AV50" s="67">
        <v>0</v>
      </c>
      <c r="AW50" s="187">
        <v>0</v>
      </c>
      <c r="AX50" s="67">
        <v>0</v>
      </c>
      <c r="AY50" s="66">
        <v>0</v>
      </c>
      <c r="AZ50" s="66">
        <v>0</v>
      </c>
      <c r="BA50" s="66">
        <v>0</v>
      </c>
      <c r="BB50" s="66">
        <v>0</v>
      </c>
      <c r="BC50" s="66">
        <v>0</v>
      </c>
      <c r="BD50" s="66">
        <v>0</v>
      </c>
      <c r="BE50" s="66">
        <v>0</v>
      </c>
      <c r="BF50" s="66">
        <v>0</v>
      </c>
      <c r="BG50" s="66">
        <v>0</v>
      </c>
      <c r="BH50" s="66">
        <v>0</v>
      </c>
      <c r="BI50" s="66">
        <v>0</v>
      </c>
      <c r="BJ50" s="67" t="s">
        <v>1230</v>
      </c>
      <c r="BK50" s="67" t="s">
        <v>1230</v>
      </c>
      <c r="BL50" s="67">
        <v>0</v>
      </c>
      <c r="BM50" s="187">
        <v>0</v>
      </c>
      <c r="BN50" s="67">
        <v>0</v>
      </c>
      <c r="BO50" s="66">
        <v>0</v>
      </c>
      <c r="BP50" s="66">
        <v>0</v>
      </c>
      <c r="BQ50" s="66">
        <v>0</v>
      </c>
      <c r="BR50" s="66">
        <v>0</v>
      </c>
      <c r="BS50" s="66">
        <v>0</v>
      </c>
      <c r="BT50" s="66">
        <v>0</v>
      </c>
      <c r="BU50" s="66">
        <v>0</v>
      </c>
      <c r="BV50" s="66">
        <v>0</v>
      </c>
      <c r="BW50" s="66">
        <v>0</v>
      </c>
      <c r="BX50" s="66">
        <v>0</v>
      </c>
      <c r="BY50" s="66">
        <v>0</v>
      </c>
      <c r="BZ50" s="67" t="s">
        <v>1230</v>
      </c>
      <c r="CA50" s="67" t="s">
        <v>1230</v>
      </c>
      <c r="CB50" s="67">
        <v>0</v>
      </c>
      <c r="CC50" s="187">
        <v>0</v>
      </c>
      <c r="CD50" s="67">
        <v>0</v>
      </c>
    </row>
    <row r="51" spans="1:82" ht="15.6" x14ac:dyDescent="0.3">
      <c r="A51" s="171">
        <v>39</v>
      </c>
      <c r="B51" s="211" t="s">
        <v>105</v>
      </c>
      <c r="C51" s="66">
        <v>0</v>
      </c>
      <c r="D51" s="66">
        <v>0</v>
      </c>
      <c r="E51" s="66">
        <v>0</v>
      </c>
      <c r="F51" s="66">
        <v>0</v>
      </c>
      <c r="G51" s="66">
        <v>0</v>
      </c>
      <c r="H51" s="66">
        <v>0</v>
      </c>
      <c r="I51" s="66">
        <v>0</v>
      </c>
      <c r="J51" s="66">
        <v>0</v>
      </c>
      <c r="K51" s="66">
        <v>0</v>
      </c>
      <c r="L51" s="66">
        <v>0</v>
      </c>
      <c r="M51" s="66">
        <v>0</v>
      </c>
      <c r="N51" s="67" t="s">
        <v>1230</v>
      </c>
      <c r="O51" s="67" t="s">
        <v>1230</v>
      </c>
      <c r="P51" s="67">
        <v>0</v>
      </c>
      <c r="Q51" s="66">
        <v>0</v>
      </c>
      <c r="R51" s="67">
        <v>0</v>
      </c>
      <c r="S51" s="66">
        <v>0</v>
      </c>
      <c r="T51" s="66">
        <v>0</v>
      </c>
      <c r="U51" s="66">
        <v>0</v>
      </c>
      <c r="V51" s="66">
        <v>0</v>
      </c>
      <c r="W51" s="66">
        <v>0</v>
      </c>
      <c r="X51" s="66">
        <v>0</v>
      </c>
      <c r="Y51" s="66">
        <v>0</v>
      </c>
      <c r="Z51" s="66">
        <v>0</v>
      </c>
      <c r="AA51" s="66">
        <v>0</v>
      </c>
      <c r="AB51" s="66">
        <v>0</v>
      </c>
      <c r="AC51" s="66">
        <v>0</v>
      </c>
      <c r="AD51" s="67" t="s">
        <v>1230</v>
      </c>
      <c r="AE51" s="67" t="s">
        <v>1230</v>
      </c>
      <c r="AF51" s="67">
        <v>0</v>
      </c>
      <c r="AG51" s="187">
        <v>0</v>
      </c>
      <c r="AH51" s="67">
        <v>0</v>
      </c>
      <c r="AI51" s="66">
        <v>0</v>
      </c>
      <c r="AJ51" s="66">
        <v>0</v>
      </c>
      <c r="AK51" s="66">
        <v>0</v>
      </c>
      <c r="AL51" s="66">
        <v>0</v>
      </c>
      <c r="AM51" s="66">
        <v>0</v>
      </c>
      <c r="AN51" s="66">
        <v>0</v>
      </c>
      <c r="AO51" s="66">
        <v>0</v>
      </c>
      <c r="AP51" s="66">
        <v>0</v>
      </c>
      <c r="AQ51" s="66">
        <v>0</v>
      </c>
      <c r="AR51" s="66">
        <v>0</v>
      </c>
      <c r="AS51" s="66">
        <v>0</v>
      </c>
      <c r="AT51" s="67" t="s">
        <v>1230</v>
      </c>
      <c r="AU51" s="67" t="s">
        <v>1230</v>
      </c>
      <c r="AV51" s="67">
        <v>0</v>
      </c>
      <c r="AW51" s="187">
        <v>0</v>
      </c>
      <c r="AX51" s="67">
        <v>0</v>
      </c>
      <c r="AY51" s="66">
        <v>0</v>
      </c>
      <c r="AZ51" s="66">
        <v>0</v>
      </c>
      <c r="BA51" s="66">
        <v>0</v>
      </c>
      <c r="BB51" s="66">
        <v>0</v>
      </c>
      <c r="BC51" s="66">
        <v>0</v>
      </c>
      <c r="BD51" s="66">
        <v>0</v>
      </c>
      <c r="BE51" s="66">
        <v>0</v>
      </c>
      <c r="BF51" s="66">
        <v>0</v>
      </c>
      <c r="BG51" s="66">
        <v>0</v>
      </c>
      <c r="BH51" s="66">
        <v>0</v>
      </c>
      <c r="BI51" s="66">
        <v>0</v>
      </c>
      <c r="BJ51" s="67" t="s">
        <v>1230</v>
      </c>
      <c r="BK51" s="67" t="s">
        <v>1230</v>
      </c>
      <c r="BL51" s="67">
        <v>0</v>
      </c>
      <c r="BM51" s="187">
        <v>0</v>
      </c>
      <c r="BN51" s="67">
        <v>0</v>
      </c>
      <c r="BO51" s="66">
        <v>0</v>
      </c>
      <c r="BP51" s="66">
        <v>0</v>
      </c>
      <c r="BQ51" s="66">
        <v>0</v>
      </c>
      <c r="BR51" s="66">
        <v>0</v>
      </c>
      <c r="BS51" s="66">
        <v>0</v>
      </c>
      <c r="BT51" s="66">
        <v>0</v>
      </c>
      <c r="BU51" s="66">
        <v>0</v>
      </c>
      <c r="BV51" s="66">
        <v>0</v>
      </c>
      <c r="BW51" s="66">
        <v>0</v>
      </c>
      <c r="BX51" s="66">
        <v>0</v>
      </c>
      <c r="BY51" s="66">
        <v>0</v>
      </c>
      <c r="BZ51" s="67" t="s">
        <v>1230</v>
      </c>
      <c r="CA51" s="67" t="s">
        <v>1230</v>
      </c>
      <c r="CB51" s="67">
        <v>0</v>
      </c>
      <c r="CC51" s="187">
        <v>0</v>
      </c>
      <c r="CD51" s="67">
        <v>0</v>
      </c>
    </row>
    <row r="52" spans="1:82" ht="15.6" x14ac:dyDescent="0.3">
      <c r="A52" s="206">
        <v>40</v>
      </c>
      <c r="B52" s="211" t="s">
        <v>107</v>
      </c>
      <c r="C52" s="66">
        <v>0</v>
      </c>
      <c r="D52" s="66">
        <v>0</v>
      </c>
      <c r="E52" s="66">
        <v>0</v>
      </c>
      <c r="F52" s="66">
        <v>0</v>
      </c>
      <c r="G52" s="66">
        <v>0</v>
      </c>
      <c r="H52" s="66">
        <v>0</v>
      </c>
      <c r="I52" s="66">
        <v>0</v>
      </c>
      <c r="J52" s="66">
        <v>0</v>
      </c>
      <c r="K52" s="66">
        <v>0</v>
      </c>
      <c r="L52" s="66">
        <v>0</v>
      </c>
      <c r="M52" s="66">
        <v>0</v>
      </c>
      <c r="N52" s="67" t="s">
        <v>1230</v>
      </c>
      <c r="O52" s="67" t="s">
        <v>1230</v>
      </c>
      <c r="P52" s="67">
        <v>0</v>
      </c>
      <c r="Q52" s="66">
        <v>0</v>
      </c>
      <c r="R52" s="67">
        <v>0</v>
      </c>
      <c r="S52" s="66">
        <v>0</v>
      </c>
      <c r="T52" s="66">
        <v>0</v>
      </c>
      <c r="U52" s="66">
        <v>0</v>
      </c>
      <c r="V52" s="66">
        <v>0</v>
      </c>
      <c r="W52" s="66">
        <v>0</v>
      </c>
      <c r="X52" s="66">
        <v>0</v>
      </c>
      <c r="Y52" s="66">
        <v>0</v>
      </c>
      <c r="Z52" s="66">
        <v>0</v>
      </c>
      <c r="AA52" s="66">
        <v>0</v>
      </c>
      <c r="AB52" s="66">
        <v>0</v>
      </c>
      <c r="AC52" s="66">
        <v>0</v>
      </c>
      <c r="AD52" s="67" t="s">
        <v>1230</v>
      </c>
      <c r="AE52" s="67" t="s">
        <v>1230</v>
      </c>
      <c r="AF52" s="67">
        <v>0</v>
      </c>
      <c r="AG52" s="187">
        <v>0</v>
      </c>
      <c r="AH52" s="67">
        <v>0</v>
      </c>
      <c r="AI52" s="66">
        <v>0</v>
      </c>
      <c r="AJ52" s="66">
        <v>0</v>
      </c>
      <c r="AK52" s="66">
        <v>0</v>
      </c>
      <c r="AL52" s="66">
        <v>0</v>
      </c>
      <c r="AM52" s="66">
        <v>0</v>
      </c>
      <c r="AN52" s="66">
        <v>0</v>
      </c>
      <c r="AO52" s="66">
        <v>0</v>
      </c>
      <c r="AP52" s="66">
        <v>0</v>
      </c>
      <c r="AQ52" s="66">
        <v>0</v>
      </c>
      <c r="AR52" s="66">
        <v>0</v>
      </c>
      <c r="AS52" s="66">
        <v>0</v>
      </c>
      <c r="AT52" s="67" t="s">
        <v>1230</v>
      </c>
      <c r="AU52" s="67" t="s">
        <v>1230</v>
      </c>
      <c r="AV52" s="67">
        <v>0</v>
      </c>
      <c r="AW52" s="187">
        <v>0</v>
      </c>
      <c r="AX52" s="67">
        <v>0</v>
      </c>
      <c r="AY52" s="66">
        <v>0</v>
      </c>
      <c r="AZ52" s="66">
        <v>0</v>
      </c>
      <c r="BA52" s="66">
        <v>0</v>
      </c>
      <c r="BB52" s="66">
        <v>0</v>
      </c>
      <c r="BC52" s="66">
        <v>0</v>
      </c>
      <c r="BD52" s="66">
        <v>0</v>
      </c>
      <c r="BE52" s="66">
        <v>0</v>
      </c>
      <c r="BF52" s="66">
        <v>0</v>
      </c>
      <c r="BG52" s="66">
        <v>0</v>
      </c>
      <c r="BH52" s="66">
        <v>0</v>
      </c>
      <c r="BI52" s="66">
        <v>0</v>
      </c>
      <c r="BJ52" s="67" t="s">
        <v>1230</v>
      </c>
      <c r="BK52" s="67" t="s">
        <v>1230</v>
      </c>
      <c r="BL52" s="67">
        <v>0</v>
      </c>
      <c r="BM52" s="187">
        <v>0</v>
      </c>
      <c r="BN52" s="67">
        <v>0</v>
      </c>
      <c r="BO52" s="66">
        <v>0</v>
      </c>
      <c r="BP52" s="66">
        <v>0</v>
      </c>
      <c r="BQ52" s="66">
        <v>0</v>
      </c>
      <c r="BR52" s="66">
        <v>0</v>
      </c>
      <c r="BS52" s="66">
        <v>0</v>
      </c>
      <c r="BT52" s="66">
        <v>0</v>
      </c>
      <c r="BU52" s="66">
        <v>0</v>
      </c>
      <c r="BV52" s="66">
        <v>0</v>
      </c>
      <c r="BW52" s="66">
        <v>0</v>
      </c>
      <c r="BX52" s="66">
        <v>0</v>
      </c>
      <c r="BY52" s="66">
        <v>0</v>
      </c>
      <c r="BZ52" s="67" t="s">
        <v>1230</v>
      </c>
      <c r="CA52" s="67" t="s">
        <v>1230</v>
      </c>
      <c r="CB52" s="67">
        <v>0</v>
      </c>
      <c r="CC52" s="187">
        <v>0</v>
      </c>
      <c r="CD52" s="67">
        <v>0</v>
      </c>
    </row>
    <row r="53" spans="1:82" ht="15.6" x14ac:dyDescent="0.3">
      <c r="A53" s="169">
        <v>41</v>
      </c>
      <c r="B53" s="205" t="s">
        <v>319</v>
      </c>
      <c r="C53" s="66">
        <v>0</v>
      </c>
      <c r="D53" s="66">
        <v>0</v>
      </c>
      <c r="E53" s="66">
        <v>0</v>
      </c>
      <c r="F53" s="66">
        <v>0</v>
      </c>
      <c r="G53" s="66">
        <v>0</v>
      </c>
      <c r="H53" s="66">
        <v>0</v>
      </c>
      <c r="I53" s="66">
        <v>0</v>
      </c>
      <c r="J53" s="66">
        <v>0</v>
      </c>
      <c r="K53" s="66">
        <v>0</v>
      </c>
      <c r="L53" s="66">
        <v>0</v>
      </c>
      <c r="M53" s="66">
        <v>0</v>
      </c>
      <c r="N53" s="67" t="s">
        <v>1230</v>
      </c>
      <c r="O53" s="67" t="s">
        <v>1230</v>
      </c>
      <c r="P53" s="67">
        <v>0</v>
      </c>
      <c r="Q53" s="66">
        <v>0</v>
      </c>
      <c r="R53" s="67">
        <v>0</v>
      </c>
      <c r="S53" s="66">
        <v>0</v>
      </c>
      <c r="T53" s="66">
        <v>0</v>
      </c>
      <c r="U53" s="66">
        <v>0</v>
      </c>
      <c r="V53" s="66">
        <v>0</v>
      </c>
      <c r="W53" s="66">
        <v>0</v>
      </c>
      <c r="X53" s="66">
        <v>0</v>
      </c>
      <c r="Y53" s="66">
        <v>0</v>
      </c>
      <c r="Z53" s="66">
        <v>0</v>
      </c>
      <c r="AA53" s="66">
        <v>0</v>
      </c>
      <c r="AB53" s="66">
        <v>0</v>
      </c>
      <c r="AC53" s="66">
        <v>0</v>
      </c>
      <c r="AD53" s="67" t="s">
        <v>1230</v>
      </c>
      <c r="AE53" s="67" t="s">
        <v>1230</v>
      </c>
      <c r="AF53" s="67">
        <v>0</v>
      </c>
      <c r="AG53" s="187">
        <v>0</v>
      </c>
      <c r="AH53" s="67">
        <v>0</v>
      </c>
      <c r="AI53" s="66">
        <v>0</v>
      </c>
      <c r="AJ53" s="66">
        <v>0</v>
      </c>
      <c r="AK53" s="66">
        <v>0</v>
      </c>
      <c r="AL53" s="66">
        <v>0</v>
      </c>
      <c r="AM53" s="66">
        <v>0</v>
      </c>
      <c r="AN53" s="66">
        <v>0</v>
      </c>
      <c r="AO53" s="66">
        <v>0</v>
      </c>
      <c r="AP53" s="66">
        <v>0</v>
      </c>
      <c r="AQ53" s="66">
        <v>0</v>
      </c>
      <c r="AR53" s="66">
        <v>0</v>
      </c>
      <c r="AS53" s="66">
        <v>0</v>
      </c>
      <c r="AT53" s="67" t="s">
        <v>1230</v>
      </c>
      <c r="AU53" s="67" t="s">
        <v>1230</v>
      </c>
      <c r="AV53" s="67">
        <v>0</v>
      </c>
      <c r="AW53" s="187">
        <v>0</v>
      </c>
      <c r="AX53" s="67">
        <v>0</v>
      </c>
      <c r="AY53" s="66">
        <v>0</v>
      </c>
      <c r="AZ53" s="66">
        <v>0</v>
      </c>
      <c r="BA53" s="66">
        <v>0</v>
      </c>
      <c r="BB53" s="66">
        <v>0</v>
      </c>
      <c r="BC53" s="66">
        <v>0</v>
      </c>
      <c r="BD53" s="66">
        <v>0</v>
      </c>
      <c r="BE53" s="66">
        <v>0</v>
      </c>
      <c r="BF53" s="66">
        <v>0</v>
      </c>
      <c r="BG53" s="66">
        <v>0</v>
      </c>
      <c r="BH53" s="66">
        <v>0</v>
      </c>
      <c r="BI53" s="66">
        <v>0</v>
      </c>
      <c r="BJ53" s="67" t="s">
        <v>1230</v>
      </c>
      <c r="BK53" s="67" t="s">
        <v>1230</v>
      </c>
      <c r="BL53" s="67">
        <v>0</v>
      </c>
      <c r="BM53" s="187">
        <v>0</v>
      </c>
      <c r="BN53" s="67">
        <v>0</v>
      </c>
      <c r="BO53" s="66">
        <v>0</v>
      </c>
      <c r="BP53" s="66">
        <v>0</v>
      </c>
      <c r="BQ53" s="66">
        <v>0</v>
      </c>
      <c r="BR53" s="66">
        <v>0</v>
      </c>
      <c r="BS53" s="66">
        <v>0</v>
      </c>
      <c r="BT53" s="66">
        <v>0</v>
      </c>
      <c r="BU53" s="66">
        <v>0</v>
      </c>
      <c r="BV53" s="66">
        <v>0</v>
      </c>
      <c r="BW53" s="66">
        <v>0</v>
      </c>
      <c r="BX53" s="66">
        <v>0</v>
      </c>
      <c r="BY53" s="66">
        <v>0</v>
      </c>
      <c r="BZ53" s="67" t="s">
        <v>1230</v>
      </c>
      <c r="CA53" s="67" t="s">
        <v>1230</v>
      </c>
      <c r="CB53" s="67">
        <v>0</v>
      </c>
      <c r="CC53" s="187">
        <v>0</v>
      </c>
      <c r="CD53" s="67">
        <v>0</v>
      </c>
    </row>
    <row r="54" spans="1:82" ht="15.6" x14ac:dyDescent="0.3">
      <c r="A54" s="208">
        <v>42</v>
      </c>
      <c r="B54" s="212" t="s">
        <v>109</v>
      </c>
      <c r="C54" s="61">
        <v>13.337300000000001</v>
      </c>
      <c r="D54" s="61">
        <v>0</v>
      </c>
      <c r="E54" s="61">
        <v>13.337300000000001</v>
      </c>
      <c r="F54" s="61">
        <v>13.337300000000001</v>
      </c>
      <c r="G54" s="61">
        <v>0</v>
      </c>
      <c r="H54" s="61">
        <v>13.337300000000001</v>
      </c>
      <c r="I54" s="61">
        <v>0</v>
      </c>
      <c r="J54" s="61">
        <v>13.337300000000001</v>
      </c>
      <c r="K54" s="61">
        <v>13.337300000000001</v>
      </c>
      <c r="L54" s="61">
        <v>0</v>
      </c>
      <c r="M54" s="61">
        <v>0</v>
      </c>
      <c r="N54" s="61">
        <v>100</v>
      </c>
      <c r="O54" s="61" t="s">
        <v>1230</v>
      </c>
      <c r="P54" s="61">
        <v>0</v>
      </c>
      <c r="Q54" s="61">
        <v>0</v>
      </c>
      <c r="R54" s="61">
        <v>0</v>
      </c>
      <c r="S54" s="61">
        <v>0</v>
      </c>
      <c r="T54" s="61">
        <v>0</v>
      </c>
      <c r="U54" s="61">
        <v>0</v>
      </c>
      <c r="V54" s="61">
        <v>0</v>
      </c>
      <c r="W54" s="61">
        <v>0</v>
      </c>
      <c r="X54" s="61">
        <v>0</v>
      </c>
      <c r="Y54" s="61">
        <v>0</v>
      </c>
      <c r="Z54" s="61">
        <v>0</v>
      </c>
      <c r="AA54" s="61">
        <v>0</v>
      </c>
      <c r="AB54" s="61">
        <v>0</v>
      </c>
      <c r="AC54" s="61">
        <v>0</v>
      </c>
      <c r="AD54" s="61" t="s">
        <v>1230</v>
      </c>
      <c r="AE54" s="61" t="s">
        <v>1230</v>
      </c>
      <c r="AF54" s="61">
        <v>0</v>
      </c>
      <c r="AG54" s="61">
        <v>0</v>
      </c>
      <c r="AH54" s="61">
        <v>0</v>
      </c>
      <c r="AI54" s="61">
        <v>0</v>
      </c>
      <c r="AJ54" s="61">
        <v>0</v>
      </c>
      <c r="AK54" s="61">
        <v>0</v>
      </c>
      <c r="AL54" s="61">
        <v>0</v>
      </c>
      <c r="AM54" s="61">
        <v>0</v>
      </c>
      <c r="AN54" s="61">
        <v>0</v>
      </c>
      <c r="AO54" s="61">
        <v>0</v>
      </c>
      <c r="AP54" s="61">
        <v>0</v>
      </c>
      <c r="AQ54" s="61">
        <v>0</v>
      </c>
      <c r="AR54" s="61">
        <v>0</v>
      </c>
      <c r="AS54" s="61">
        <v>0</v>
      </c>
      <c r="AT54" s="61" t="s">
        <v>1230</v>
      </c>
      <c r="AU54" s="61" t="s">
        <v>1230</v>
      </c>
      <c r="AV54" s="61">
        <v>0</v>
      </c>
      <c r="AW54" s="61">
        <v>0</v>
      </c>
      <c r="AX54" s="61">
        <v>0</v>
      </c>
      <c r="AY54" s="61">
        <v>0</v>
      </c>
      <c r="AZ54" s="61">
        <v>0</v>
      </c>
      <c r="BA54" s="61">
        <v>0</v>
      </c>
      <c r="BB54" s="61">
        <v>0</v>
      </c>
      <c r="BC54" s="61">
        <v>0</v>
      </c>
      <c r="BD54" s="61">
        <v>0</v>
      </c>
      <c r="BE54" s="61">
        <v>0</v>
      </c>
      <c r="BF54" s="61">
        <v>0</v>
      </c>
      <c r="BG54" s="61">
        <v>0</v>
      </c>
      <c r="BH54" s="61">
        <v>0</v>
      </c>
      <c r="BI54" s="61">
        <v>0</v>
      </c>
      <c r="BJ54" s="61" t="s">
        <v>1230</v>
      </c>
      <c r="BK54" s="61" t="s">
        <v>1230</v>
      </c>
      <c r="BL54" s="61">
        <v>0</v>
      </c>
      <c r="BM54" s="61">
        <v>0</v>
      </c>
      <c r="BN54" s="61">
        <v>0</v>
      </c>
      <c r="BO54" s="61">
        <v>13.337300000000001</v>
      </c>
      <c r="BP54" s="61">
        <v>0</v>
      </c>
      <c r="BQ54" s="61">
        <v>13.337300000000001</v>
      </c>
      <c r="BR54" s="61">
        <v>13.337300000000001</v>
      </c>
      <c r="BS54" s="61">
        <v>0</v>
      </c>
      <c r="BT54" s="61">
        <v>13.337300000000001</v>
      </c>
      <c r="BU54" s="61">
        <v>0</v>
      </c>
      <c r="BV54" s="61">
        <v>13.337300000000001</v>
      </c>
      <c r="BW54" s="61">
        <v>13.337300000000001</v>
      </c>
      <c r="BX54" s="61">
        <v>0</v>
      </c>
      <c r="BY54" s="61">
        <v>0</v>
      </c>
      <c r="BZ54" s="61">
        <v>100</v>
      </c>
      <c r="CA54" s="61" t="s">
        <v>1230</v>
      </c>
      <c r="CB54" s="61">
        <v>0</v>
      </c>
      <c r="CC54" s="61">
        <v>0</v>
      </c>
      <c r="CD54" s="61">
        <v>0</v>
      </c>
    </row>
    <row r="55" spans="1:82" ht="15.6" x14ac:dyDescent="0.3">
      <c r="A55" s="171">
        <v>43</v>
      </c>
      <c r="B55" s="211" t="s">
        <v>111</v>
      </c>
      <c r="C55" s="66">
        <v>0</v>
      </c>
      <c r="D55" s="66">
        <v>0</v>
      </c>
      <c r="E55" s="66">
        <v>0</v>
      </c>
      <c r="F55" s="66">
        <v>0</v>
      </c>
      <c r="G55" s="66">
        <v>0</v>
      </c>
      <c r="H55" s="66">
        <v>0</v>
      </c>
      <c r="I55" s="66">
        <v>0</v>
      </c>
      <c r="J55" s="66">
        <v>0</v>
      </c>
      <c r="K55" s="66">
        <v>0</v>
      </c>
      <c r="L55" s="66">
        <v>0</v>
      </c>
      <c r="M55" s="66">
        <v>0</v>
      </c>
      <c r="N55" s="67" t="s">
        <v>1230</v>
      </c>
      <c r="O55" s="67" t="s">
        <v>1230</v>
      </c>
      <c r="P55" s="67">
        <v>0</v>
      </c>
      <c r="Q55" s="66">
        <v>0</v>
      </c>
      <c r="R55" s="67">
        <v>0</v>
      </c>
      <c r="S55" s="66">
        <v>0</v>
      </c>
      <c r="T55" s="66">
        <v>0</v>
      </c>
      <c r="U55" s="66">
        <v>0</v>
      </c>
      <c r="V55" s="66">
        <v>0</v>
      </c>
      <c r="W55" s="66">
        <v>0</v>
      </c>
      <c r="X55" s="66">
        <v>0</v>
      </c>
      <c r="Y55" s="66">
        <v>0</v>
      </c>
      <c r="Z55" s="66">
        <v>0</v>
      </c>
      <c r="AA55" s="66">
        <v>0</v>
      </c>
      <c r="AB55" s="66">
        <v>0</v>
      </c>
      <c r="AC55" s="66">
        <v>0</v>
      </c>
      <c r="AD55" s="67" t="s">
        <v>1230</v>
      </c>
      <c r="AE55" s="67" t="s">
        <v>1230</v>
      </c>
      <c r="AF55" s="67">
        <v>0</v>
      </c>
      <c r="AG55" s="187">
        <v>0</v>
      </c>
      <c r="AH55" s="67">
        <v>0</v>
      </c>
      <c r="AI55" s="66">
        <v>0</v>
      </c>
      <c r="AJ55" s="66">
        <v>0</v>
      </c>
      <c r="AK55" s="66">
        <v>0</v>
      </c>
      <c r="AL55" s="66">
        <v>0</v>
      </c>
      <c r="AM55" s="66">
        <v>0</v>
      </c>
      <c r="AN55" s="66">
        <v>0</v>
      </c>
      <c r="AO55" s="66">
        <v>0</v>
      </c>
      <c r="AP55" s="66">
        <v>0</v>
      </c>
      <c r="AQ55" s="66">
        <v>0</v>
      </c>
      <c r="AR55" s="66">
        <v>0</v>
      </c>
      <c r="AS55" s="66">
        <v>0</v>
      </c>
      <c r="AT55" s="67" t="s">
        <v>1230</v>
      </c>
      <c r="AU55" s="67" t="s">
        <v>1230</v>
      </c>
      <c r="AV55" s="67">
        <v>0</v>
      </c>
      <c r="AW55" s="187">
        <v>0</v>
      </c>
      <c r="AX55" s="67">
        <v>0</v>
      </c>
      <c r="AY55" s="66">
        <v>0</v>
      </c>
      <c r="AZ55" s="66">
        <v>0</v>
      </c>
      <c r="BA55" s="66">
        <v>0</v>
      </c>
      <c r="BB55" s="66">
        <v>0</v>
      </c>
      <c r="BC55" s="66">
        <v>0</v>
      </c>
      <c r="BD55" s="66">
        <v>0</v>
      </c>
      <c r="BE55" s="66">
        <v>0</v>
      </c>
      <c r="BF55" s="66">
        <v>0</v>
      </c>
      <c r="BG55" s="66">
        <v>0</v>
      </c>
      <c r="BH55" s="66">
        <v>0</v>
      </c>
      <c r="BI55" s="66">
        <v>0</v>
      </c>
      <c r="BJ55" s="67" t="s">
        <v>1230</v>
      </c>
      <c r="BK55" s="67" t="s">
        <v>1230</v>
      </c>
      <c r="BL55" s="67">
        <v>0</v>
      </c>
      <c r="BM55" s="187">
        <v>0</v>
      </c>
      <c r="BN55" s="67">
        <v>0</v>
      </c>
      <c r="BO55" s="66">
        <v>0</v>
      </c>
      <c r="BP55" s="66">
        <v>0</v>
      </c>
      <c r="BQ55" s="66">
        <v>0</v>
      </c>
      <c r="BR55" s="66">
        <v>0</v>
      </c>
      <c r="BS55" s="66">
        <v>0</v>
      </c>
      <c r="BT55" s="66">
        <v>0</v>
      </c>
      <c r="BU55" s="66">
        <v>0</v>
      </c>
      <c r="BV55" s="66">
        <v>0</v>
      </c>
      <c r="BW55" s="66">
        <v>0</v>
      </c>
      <c r="BX55" s="66">
        <v>0</v>
      </c>
      <c r="BY55" s="66">
        <v>0</v>
      </c>
      <c r="BZ55" s="67" t="s">
        <v>1230</v>
      </c>
      <c r="CA55" s="67" t="s">
        <v>1230</v>
      </c>
      <c r="CB55" s="67">
        <v>0</v>
      </c>
      <c r="CC55" s="187">
        <v>0</v>
      </c>
      <c r="CD55" s="67">
        <v>0</v>
      </c>
    </row>
    <row r="56" spans="1:82" ht="15.6" x14ac:dyDescent="0.3">
      <c r="A56" s="171">
        <v>44</v>
      </c>
      <c r="B56" s="211" t="s">
        <v>113</v>
      </c>
      <c r="C56" s="66">
        <v>13.337300000000001</v>
      </c>
      <c r="D56" s="66">
        <v>0</v>
      </c>
      <c r="E56" s="66">
        <v>13.337300000000001</v>
      </c>
      <c r="F56" s="66">
        <v>13.337300000000001</v>
      </c>
      <c r="G56" s="66">
        <v>0</v>
      </c>
      <c r="H56" s="66">
        <v>13.337300000000001</v>
      </c>
      <c r="I56" s="66">
        <v>0</v>
      </c>
      <c r="J56" s="66">
        <v>13.337300000000001</v>
      </c>
      <c r="K56" s="66">
        <v>13.337300000000001</v>
      </c>
      <c r="L56" s="66">
        <v>0</v>
      </c>
      <c r="M56" s="66">
        <v>0</v>
      </c>
      <c r="N56" s="67">
        <v>100</v>
      </c>
      <c r="O56" s="67" t="s">
        <v>1230</v>
      </c>
      <c r="P56" s="67">
        <v>0</v>
      </c>
      <c r="Q56" s="66">
        <v>0</v>
      </c>
      <c r="R56" s="67">
        <v>0</v>
      </c>
      <c r="S56" s="66">
        <v>0</v>
      </c>
      <c r="T56" s="66">
        <v>0</v>
      </c>
      <c r="U56" s="66">
        <v>0</v>
      </c>
      <c r="V56" s="66">
        <v>0</v>
      </c>
      <c r="W56" s="66">
        <v>0</v>
      </c>
      <c r="X56" s="66">
        <v>0</v>
      </c>
      <c r="Y56" s="66">
        <v>0</v>
      </c>
      <c r="Z56" s="66">
        <v>0</v>
      </c>
      <c r="AA56" s="66">
        <v>0</v>
      </c>
      <c r="AB56" s="66">
        <v>0</v>
      </c>
      <c r="AC56" s="66">
        <v>0</v>
      </c>
      <c r="AD56" s="67" t="s">
        <v>1230</v>
      </c>
      <c r="AE56" s="67" t="s">
        <v>1230</v>
      </c>
      <c r="AF56" s="67">
        <v>0</v>
      </c>
      <c r="AG56" s="187">
        <v>0</v>
      </c>
      <c r="AH56" s="67">
        <v>0</v>
      </c>
      <c r="AI56" s="66">
        <v>0</v>
      </c>
      <c r="AJ56" s="66">
        <v>0</v>
      </c>
      <c r="AK56" s="66">
        <v>0</v>
      </c>
      <c r="AL56" s="66">
        <v>0</v>
      </c>
      <c r="AM56" s="66">
        <v>0</v>
      </c>
      <c r="AN56" s="66">
        <v>0</v>
      </c>
      <c r="AO56" s="66">
        <v>0</v>
      </c>
      <c r="AP56" s="66">
        <v>0</v>
      </c>
      <c r="AQ56" s="66">
        <v>0</v>
      </c>
      <c r="AR56" s="66">
        <v>0</v>
      </c>
      <c r="AS56" s="66">
        <v>0</v>
      </c>
      <c r="AT56" s="67" t="s">
        <v>1230</v>
      </c>
      <c r="AU56" s="67" t="s">
        <v>1230</v>
      </c>
      <c r="AV56" s="67">
        <v>0</v>
      </c>
      <c r="AW56" s="187">
        <v>0</v>
      </c>
      <c r="AX56" s="67">
        <v>0</v>
      </c>
      <c r="AY56" s="66">
        <v>0</v>
      </c>
      <c r="AZ56" s="66">
        <v>0</v>
      </c>
      <c r="BA56" s="66">
        <v>0</v>
      </c>
      <c r="BB56" s="66">
        <v>0</v>
      </c>
      <c r="BC56" s="66">
        <v>0</v>
      </c>
      <c r="BD56" s="66">
        <v>0</v>
      </c>
      <c r="BE56" s="66">
        <v>0</v>
      </c>
      <c r="BF56" s="66">
        <v>0</v>
      </c>
      <c r="BG56" s="66">
        <v>0</v>
      </c>
      <c r="BH56" s="66">
        <v>0</v>
      </c>
      <c r="BI56" s="66">
        <v>0</v>
      </c>
      <c r="BJ56" s="67" t="s">
        <v>1230</v>
      </c>
      <c r="BK56" s="67" t="s">
        <v>1230</v>
      </c>
      <c r="BL56" s="67">
        <v>0</v>
      </c>
      <c r="BM56" s="187">
        <v>0</v>
      </c>
      <c r="BN56" s="67">
        <v>0</v>
      </c>
      <c r="BO56" s="66">
        <v>13.337300000000001</v>
      </c>
      <c r="BP56" s="66">
        <v>0</v>
      </c>
      <c r="BQ56" s="66">
        <v>13.337300000000001</v>
      </c>
      <c r="BR56" s="66">
        <v>13.337300000000001</v>
      </c>
      <c r="BS56" s="66">
        <v>0</v>
      </c>
      <c r="BT56" s="66">
        <v>13.337300000000001</v>
      </c>
      <c r="BU56" s="66">
        <v>0</v>
      </c>
      <c r="BV56" s="66">
        <v>13.337300000000001</v>
      </c>
      <c r="BW56" s="66">
        <v>13.337300000000001</v>
      </c>
      <c r="BX56" s="66">
        <v>0</v>
      </c>
      <c r="BY56" s="66">
        <v>0</v>
      </c>
      <c r="BZ56" s="67">
        <v>100</v>
      </c>
      <c r="CA56" s="67" t="s">
        <v>1230</v>
      </c>
      <c r="CB56" s="67">
        <v>0</v>
      </c>
      <c r="CC56" s="187">
        <v>0</v>
      </c>
      <c r="CD56" s="67">
        <v>0</v>
      </c>
    </row>
    <row r="57" spans="1:82" ht="31.2" x14ac:dyDescent="0.3">
      <c r="A57" s="171">
        <v>45</v>
      </c>
      <c r="B57" s="211" t="s">
        <v>115</v>
      </c>
      <c r="C57" s="66">
        <v>0</v>
      </c>
      <c r="D57" s="66">
        <v>0</v>
      </c>
      <c r="E57" s="66">
        <v>0</v>
      </c>
      <c r="F57" s="66">
        <v>0</v>
      </c>
      <c r="G57" s="66">
        <v>0</v>
      </c>
      <c r="H57" s="66">
        <v>0</v>
      </c>
      <c r="I57" s="66">
        <v>0</v>
      </c>
      <c r="J57" s="66">
        <v>0</v>
      </c>
      <c r="K57" s="66">
        <v>0</v>
      </c>
      <c r="L57" s="66">
        <v>0</v>
      </c>
      <c r="M57" s="66">
        <v>0</v>
      </c>
      <c r="N57" s="67" t="s">
        <v>1230</v>
      </c>
      <c r="O57" s="67" t="s">
        <v>1230</v>
      </c>
      <c r="P57" s="67">
        <v>0</v>
      </c>
      <c r="Q57" s="66">
        <v>0</v>
      </c>
      <c r="R57" s="67">
        <v>0</v>
      </c>
      <c r="S57" s="66">
        <v>0</v>
      </c>
      <c r="T57" s="66">
        <v>0</v>
      </c>
      <c r="U57" s="66">
        <v>0</v>
      </c>
      <c r="V57" s="66">
        <v>0</v>
      </c>
      <c r="W57" s="66">
        <v>0</v>
      </c>
      <c r="X57" s="66">
        <v>0</v>
      </c>
      <c r="Y57" s="66">
        <v>0</v>
      </c>
      <c r="Z57" s="66">
        <v>0</v>
      </c>
      <c r="AA57" s="66">
        <v>0</v>
      </c>
      <c r="AB57" s="66">
        <v>0</v>
      </c>
      <c r="AC57" s="66">
        <v>0</v>
      </c>
      <c r="AD57" s="67" t="s">
        <v>1230</v>
      </c>
      <c r="AE57" s="67" t="s">
        <v>1230</v>
      </c>
      <c r="AF57" s="67">
        <v>0</v>
      </c>
      <c r="AG57" s="187">
        <v>0</v>
      </c>
      <c r="AH57" s="67">
        <v>0</v>
      </c>
      <c r="AI57" s="66">
        <v>0</v>
      </c>
      <c r="AJ57" s="66">
        <v>0</v>
      </c>
      <c r="AK57" s="66">
        <v>0</v>
      </c>
      <c r="AL57" s="66">
        <v>0</v>
      </c>
      <c r="AM57" s="66">
        <v>0</v>
      </c>
      <c r="AN57" s="66">
        <v>0</v>
      </c>
      <c r="AO57" s="66">
        <v>0</v>
      </c>
      <c r="AP57" s="66">
        <v>0</v>
      </c>
      <c r="AQ57" s="66">
        <v>0</v>
      </c>
      <c r="AR57" s="66">
        <v>0</v>
      </c>
      <c r="AS57" s="66">
        <v>0</v>
      </c>
      <c r="AT57" s="67" t="s">
        <v>1230</v>
      </c>
      <c r="AU57" s="67" t="s">
        <v>1230</v>
      </c>
      <c r="AV57" s="67">
        <v>0</v>
      </c>
      <c r="AW57" s="187">
        <v>0</v>
      </c>
      <c r="AX57" s="67">
        <v>0</v>
      </c>
      <c r="AY57" s="66">
        <v>0</v>
      </c>
      <c r="AZ57" s="66">
        <v>0</v>
      </c>
      <c r="BA57" s="66">
        <v>0</v>
      </c>
      <c r="BB57" s="66">
        <v>0</v>
      </c>
      <c r="BC57" s="66">
        <v>0</v>
      </c>
      <c r="BD57" s="66">
        <v>0</v>
      </c>
      <c r="BE57" s="66">
        <v>0</v>
      </c>
      <c r="BF57" s="66">
        <v>0</v>
      </c>
      <c r="BG57" s="66">
        <v>0</v>
      </c>
      <c r="BH57" s="66">
        <v>0</v>
      </c>
      <c r="BI57" s="66">
        <v>0</v>
      </c>
      <c r="BJ57" s="67" t="s">
        <v>1230</v>
      </c>
      <c r="BK57" s="67" t="s">
        <v>1230</v>
      </c>
      <c r="BL57" s="67">
        <v>0</v>
      </c>
      <c r="BM57" s="187">
        <v>0</v>
      </c>
      <c r="BN57" s="67">
        <v>0</v>
      </c>
      <c r="BO57" s="66">
        <v>0</v>
      </c>
      <c r="BP57" s="66">
        <v>0</v>
      </c>
      <c r="BQ57" s="66">
        <v>0</v>
      </c>
      <c r="BR57" s="66">
        <v>0</v>
      </c>
      <c r="BS57" s="66">
        <v>0</v>
      </c>
      <c r="BT57" s="66">
        <v>0</v>
      </c>
      <c r="BU57" s="66">
        <v>0</v>
      </c>
      <c r="BV57" s="66">
        <v>0</v>
      </c>
      <c r="BW57" s="66">
        <v>0</v>
      </c>
      <c r="BX57" s="66">
        <v>0</v>
      </c>
      <c r="BY57" s="66">
        <v>0</v>
      </c>
      <c r="BZ57" s="67" t="s">
        <v>1230</v>
      </c>
      <c r="CA57" s="67" t="s">
        <v>1230</v>
      </c>
      <c r="CB57" s="67">
        <v>0</v>
      </c>
      <c r="CC57" s="187">
        <v>0</v>
      </c>
      <c r="CD57" s="67">
        <v>0</v>
      </c>
    </row>
    <row r="58" spans="1:82" ht="15.6" x14ac:dyDescent="0.3">
      <c r="A58" s="171">
        <v>46</v>
      </c>
      <c r="B58" s="211" t="s">
        <v>117</v>
      </c>
      <c r="C58" s="66">
        <v>0</v>
      </c>
      <c r="D58" s="66">
        <v>0</v>
      </c>
      <c r="E58" s="66">
        <v>0</v>
      </c>
      <c r="F58" s="66">
        <v>0</v>
      </c>
      <c r="G58" s="66">
        <v>0</v>
      </c>
      <c r="H58" s="66">
        <v>0</v>
      </c>
      <c r="I58" s="66">
        <v>0</v>
      </c>
      <c r="J58" s="66">
        <v>0</v>
      </c>
      <c r="K58" s="66">
        <v>0</v>
      </c>
      <c r="L58" s="66">
        <v>0</v>
      </c>
      <c r="M58" s="66">
        <v>0</v>
      </c>
      <c r="N58" s="67" t="s">
        <v>1230</v>
      </c>
      <c r="O58" s="67" t="s">
        <v>1230</v>
      </c>
      <c r="P58" s="67">
        <v>0</v>
      </c>
      <c r="Q58" s="66">
        <v>0</v>
      </c>
      <c r="R58" s="67">
        <v>0</v>
      </c>
      <c r="S58" s="66">
        <v>0</v>
      </c>
      <c r="T58" s="66">
        <v>0</v>
      </c>
      <c r="U58" s="66">
        <v>0</v>
      </c>
      <c r="V58" s="66">
        <v>0</v>
      </c>
      <c r="W58" s="66">
        <v>0</v>
      </c>
      <c r="X58" s="66">
        <v>0</v>
      </c>
      <c r="Y58" s="66">
        <v>0</v>
      </c>
      <c r="Z58" s="66">
        <v>0</v>
      </c>
      <c r="AA58" s="66">
        <v>0</v>
      </c>
      <c r="AB58" s="66">
        <v>0</v>
      </c>
      <c r="AC58" s="66">
        <v>0</v>
      </c>
      <c r="AD58" s="67" t="s">
        <v>1230</v>
      </c>
      <c r="AE58" s="67" t="s">
        <v>1230</v>
      </c>
      <c r="AF58" s="67">
        <v>0</v>
      </c>
      <c r="AG58" s="187">
        <v>0</v>
      </c>
      <c r="AH58" s="67">
        <v>0</v>
      </c>
      <c r="AI58" s="66">
        <v>0</v>
      </c>
      <c r="AJ58" s="66">
        <v>0</v>
      </c>
      <c r="AK58" s="66">
        <v>0</v>
      </c>
      <c r="AL58" s="66">
        <v>0</v>
      </c>
      <c r="AM58" s="66">
        <v>0</v>
      </c>
      <c r="AN58" s="66">
        <v>0</v>
      </c>
      <c r="AO58" s="66">
        <v>0</v>
      </c>
      <c r="AP58" s="66">
        <v>0</v>
      </c>
      <c r="AQ58" s="66">
        <v>0</v>
      </c>
      <c r="AR58" s="66">
        <v>0</v>
      </c>
      <c r="AS58" s="66">
        <v>0</v>
      </c>
      <c r="AT58" s="67" t="s">
        <v>1230</v>
      </c>
      <c r="AU58" s="67" t="s">
        <v>1230</v>
      </c>
      <c r="AV58" s="67">
        <v>0</v>
      </c>
      <c r="AW58" s="187">
        <v>0</v>
      </c>
      <c r="AX58" s="67">
        <v>0</v>
      </c>
      <c r="AY58" s="66">
        <v>0</v>
      </c>
      <c r="AZ58" s="66">
        <v>0</v>
      </c>
      <c r="BA58" s="66">
        <v>0</v>
      </c>
      <c r="BB58" s="66">
        <v>0</v>
      </c>
      <c r="BC58" s="66">
        <v>0</v>
      </c>
      <c r="BD58" s="66">
        <v>0</v>
      </c>
      <c r="BE58" s="66">
        <v>0</v>
      </c>
      <c r="BF58" s="66">
        <v>0</v>
      </c>
      <c r="BG58" s="66">
        <v>0</v>
      </c>
      <c r="BH58" s="66">
        <v>0</v>
      </c>
      <c r="BI58" s="66">
        <v>0</v>
      </c>
      <c r="BJ58" s="67" t="s">
        <v>1230</v>
      </c>
      <c r="BK58" s="67" t="s">
        <v>1230</v>
      </c>
      <c r="BL58" s="67">
        <v>0</v>
      </c>
      <c r="BM58" s="187">
        <v>0</v>
      </c>
      <c r="BN58" s="67">
        <v>0</v>
      </c>
      <c r="BO58" s="66">
        <v>0</v>
      </c>
      <c r="BP58" s="66">
        <v>0</v>
      </c>
      <c r="BQ58" s="66">
        <v>0</v>
      </c>
      <c r="BR58" s="66">
        <v>0</v>
      </c>
      <c r="BS58" s="66">
        <v>0</v>
      </c>
      <c r="BT58" s="66">
        <v>0</v>
      </c>
      <c r="BU58" s="66">
        <v>0</v>
      </c>
      <c r="BV58" s="66">
        <v>0</v>
      </c>
      <c r="BW58" s="66">
        <v>0</v>
      </c>
      <c r="BX58" s="66">
        <v>0</v>
      </c>
      <c r="BY58" s="66">
        <v>0</v>
      </c>
      <c r="BZ58" s="67" t="s">
        <v>1230</v>
      </c>
      <c r="CA58" s="67" t="s">
        <v>1230</v>
      </c>
      <c r="CB58" s="67">
        <v>0</v>
      </c>
      <c r="CC58" s="187">
        <v>0</v>
      </c>
      <c r="CD58" s="67">
        <v>0</v>
      </c>
    </row>
    <row r="59" spans="1:82" ht="31.2" x14ac:dyDescent="0.3">
      <c r="A59" s="171">
        <v>47</v>
      </c>
      <c r="B59" s="211" t="s">
        <v>119</v>
      </c>
      <c r="C59" s="66">
        <v>0</v>
      </c>
      <c r="D59" s="66">
        <v>0</v>
      </c>
      <c r="E59" s="66">
        <v>0</v>
      </c>
      <c r="F59" s="66">
        <v>0</v>
      </c>
      <c r="G59" s="66">
        <v>0</v>
      </c>
      <c r="H59" s="66">
        <v>0</v>
      </c>
      <c r="I59" s="66">
        <v>0</v>
      </c>
      <c r="J59" s="66">
        <v>0</v>
      </c>
      <c r="K59" s="66">
        <v>0</v>
      </c>
      <c r="L59" s="66">
        <v>0</v>
      </c>
      <c r="M59" s="66">
        <v>0</v>
      </c>
      <c r="N59" s="67" t="s">
        <v>1230</v>
      </c>
      <c r="O59" s="67" t="s">
        <v>1230</v>
      </c>
      <c r="P59" s="67">
        <v>0</v>
      </c>
      <c r="Q59" s="66">
        <v>0</v>
      </c>
      <c r="R59" s="67">
        <v>0</v>
      </c>
      <c r="S59" s="66">
        <v>0</v>
      </c>
      <c r="T59" s="66">
        <v>0</v>
      </c>
      <c r="U59" s="66">
        <v>0</v>
      </c>
      <c r="V59" s="66">
        <v>0</v>
      </c>
      <c r="W59" s="66">
        <v>0</v>
      </c>
      <c r="X59" s="66">
        <v>0</v>
      </c>
      <c r="Y59" s="66">
        <v>0</v>
      </c>
      <c r="Z59" s="66">
        <v>0</v>
      </c>
      <c r="AA59" s="66">
        <v>0</v>
      </c>
      <c r="AB59" s="66">
        <v>0</v>
      </c>
      <c r="AC59" s="66">
        <v>0</v>
      </c>
      <c r="AD59" s="67" t="s">
        <v>1230</v>
      </c>
      <c r="AE59" s="67" t="s">
        <v>1230</v>
      </c>
      <c r="AF59" s="67">
        <v>0</v>
      </c>
      <c r="AG59" s="187">
        <v>0</v>
      </c>
      <c r="AH59" s="67">
        <v>0</v>
      </c>
      <c r="AI59" s="66">
        <v>0</v>
      </c>
      <c r="AJ59" s="66">
        <v>0</v>
      </c>
      <c r="AK59" s="66">
        <v>0</v>
      </c>
      <c r="AL59" s="66">
        <v>0</v>
      </c>
      <c r="AM59" s="66">
        <v>0</v>
      </c>
      <c r="AN59" s="66">
        <v>0</v>
      </c>
      <c r="AO59" s="66">
        <v>0</v>
      </c>
      <c r="AP59" s="66">
        <v>0</v>
      </c>
      <c r="AQ59" s="66">
        <v>0</v>
      </c>
      <c r="AR59" s="66">
        <v>0</v>
      </c>
      <c r="AS59" s="66">
        <v>0</v>
      </c>
      <c r="AT59" s="67" t="s">
        <v>1230</v>
      </c>
      <c r="AU59" s="67" t="s">
        <v>1230</v>
      </c>
      <c r="AV59" s="67">
        <v>0</v>
      </c>
      <c r="AW59" s="187">
        <v>0</v>
      </c>
      <c r="AX59" s="67">
        <v>0</v>
      </c>
      <c r="AY59" s="66">
        <v>0</v>
      </c>
      <c r="AZ59" s="66">
        <v>0</v>
      </c>
      <c r="BA59" s="66">
        <v>0</v>
      </c>
      <c r="BB59" s="66">
        <v>0</v>
      </c>
      <c r="BC59" s="66">
        <v>0</v>
      </c>
      <c r="BD59" s="66">
        <v>0</v>
      </c>
      <c r="BE59" s="66">
        <v>0</v>
      </c>
      <c r="BF59" s="66">
        <v>0</v>
      </c>
      <c r="BG59" s="66">
        <v>0</v>
      </c>
      <c r="BH59" s="66">
        <v>0</v>
      </c>
      <c r="BI59" s="66">
        <v>0</v>
      </c>
      <c r="BJ59" s="67" t="s">
        <v>1230</v>
      </c>
      <c r="BK59" s="67" t="s">
        <v>1230</v>
      </c>
      <c r="BL59" s="67">
        <v>0</v>
      </c>
      <c r="BM59" s="187">
        <v>0</v>
      </c>
      <c r="BN59" s="67">
        <v>0</v>
      </c>
      <c r="BO59" s="66">
        <v>0</v>
      </c>
      <c r="BP59" s="66">
        <v>0</v>
      </c>
      <c r="BQ59" s="66">
        <v>0</v>
      </c>
      <c r="BR59" s="66">
        <v>0</v>
      </c>
      <c r="BS59" s="66">
        <v>0</v>
      </c>
      <c r="BT59" s="66">
        <v>0</v>
      </c>
      <c r="BU59" s="66">
        <v>0</v>
      </c>
      <c r="BV59" s="66">
        <v>0</v>
      </c>
      <c r="BW59" s="66">
        <v>0</v>
      </c>
      <c r="BX59" s="66">
        <v>0</v>
      </c>
      <c r="BY59" s="66">
        <v>0</v>
      </c>
      <c r="BZ59" s="67" t="s">
        <v>1230</v>
      </c>
      <c r="CA59" s="67" t="s">
        <v>1230</v>
      </c>
      <c r="CB59" s="67">
        <v>0</v>
      </c>
      <c r="CC59" s="187">
        <v>0</v>
      </c>
      <c r="CD59" s="67">
        <v>0</v>
      </c>
    </row>
    <row r="60" spans="1:82" ht="15.6" x14ac:dyDescent="0.3">
      <c r="A60" s="169">
        <v>48</v>
      </c>
      <c r="B60" s="211" t="s">
        <v>122</v>
      </c>
      <c r="C60" s="66">
        <v>0</v>
      </c>
      <c r="D60" s="66">
        <v>0</v>
      </c>
      <c r="E60" s="66">
        <v>0</v>
      </c>
      <c r="F60" s="66">
        <v>0</v>
      </c>
      <c r="G60" s="66">
        <v>0</v>
      </c>
      <c r="H60" s="66">
        <v>0</v>
      </c>
      <c r="I60" s="66">
        <v>0</v>
      </c>
      <c r="J60" s="66">
        <v>0</v>
      </c>
      <c r="K60" s="66">
        <v>0</v>
      </c>
      <c r="L60" s="66">
        <v>0</v>
      </c>
      <c r="M60" s="66">
        <v>0</v>
      </c>
      <c r="N60" s="67" t="s">
        <v>1230</v>
      </c>
      <c r="O60" s="67" t="s">
        <v>1230</v>
      </c>
      <c r="P60" s="67">
        <v>0</v>
      </c>
      <c r="Q60" s="66">
        <v>0</v>
      </c>
      <c r="R60" s="67">
        <v>0</v>
      </c>
      <c r="S60" s="66">
        <v>0</v>
      </c>
      <c r="T60" s="66">
        <v>0</v>
      </c>
      <c r="U60" s="66">
        <v>0</v>
      </c>
      <c r="V60" s="66">
        <v>0</v>
      </c>
      <c r="W60" s="66">
        <v>0</v>
      </c>
      <c r="X60" s="66">
        <v>0</v>
      </c>
      <c r="Y60" s="66">
        <v>0</v>
      </c>
      <c r="Z60" s="66">
        <v>0</v>
      </c>
      <c r="AA60" s="66">
        <v>0</v>
      </c>
      <c r="AB60" s="66">
        <v>0</v>
      </c>
      <c r="AC60" s="66">
        <v>0</v>
      </c>
      <c r="AD60" s="67" t="s">
        <v>1230</v>
      </c>
      <c r="AE60" s="67" t="s">
        <v>1230</v>
      </c>
      <c r="AF60" s="67">
        <v>0</v>
      </c>
      <c r="AG60" s="187">
        <v>0</v>
      </c>
      <c r="AH60" s="67">
        <v>0</v>
      </c>
      <c r="AI60" s="66">
        <v>0</v>
      </c>
      <c r="AJ60" s="66">
        <v>0</v>
      </c>
      <c r="AK60" s="66">
        <v>0</v>
      </c>
      <c r="AL60" s="66">
        <v>0</v>
      </c>
      <c r="AM60" s="66">
        <v>0</v>
      </c>
      <c r="AN60" s="66">
        <v>0</v>
      </c>
      <c r="AO60" s="66">
        <v>0</v>
      </c>
      <c r="AP60" s="66">
        <v>0</v>
      </c>
      <c r="AQ60" s="66">
        <v>0</v>
      </c>
      <c r="AR60" s="66">
        <v>0</v>
      </c>
      <c r="AS60" s="66">
        <v>0</v>
      </c>
      <c r="AT60" s="67" t="s">
        <v>1230</v>
      </c>
      <c r="AU60" s="67" t="s">
        <v>1230</v>
      </c>
      <c r="AV60" s="67">
        <v>0</v>
      </c>
      <c r="AW60" s="187">
        <v>0</v>
      </c>
      <c r="AX60" s="67">
        <v>0</v>
      </c>
      <c r="AY60" s="66">
        <v>0</v>
      </c>
      <c r="AZ60" s="66">
        <v>0</v>
      </c>
      <c r="BA60" s="66">
        <v>0</v>
      </c>
      <c r="BB60" s="66">
        <v>0</v>
      </c>
      <c r="BC60" s="66">
        <v>0</v>
      </c>
      <c r="BD60" s="66">
        <v>0</v>
      </c>
      <c r="BE60" s="66">
        <v>0</v>
      </c>
      <c r="BF60" s="66">
        <v>0</v>
      </c>
      <c r="BG60" s="66">
        <v>0</v>
      </c>
      <c r="BH60" s="66">
        <v>0</v>
      </c>
      <c r="BI60" s="66">
        <v>0</v>
      </c>
      <c r="BJ60" s="67" t="s">
        <v>1230</v>
      </c>
      <c r="BK60" s="67" t="s">
        <v>1230</v>
      </c>
      <c r="BL60" s="67">
        <v>0</v>
      </c>
      <c r="BM60" s="187">
        <v>0</v>
      </c>
      <c r="BN60" s="67">
        <v>0</v>
      </c>
      <c r="BO60" s="66">
        <v>0</v>
      </c>
      <c r="BP60" s="66">
        <v>0</v>
      </c>
      <c r="BQ60" s="66">
        <v>0</v>
      </c>
      <c r="BR60" s="66">
        <v>0</v>
      </c>
      <c r="BS60" s="66">
        <v>0</v>
      </c>
      <c r="BT60" s="66">
        <v>0</v>
      </c>
      <c r="BU60" s="66">
        <v>0</v>
      </c>
      <c r="BV60" s="66">
        <v>0</v>
      </c>
      <c r="BW60" s="66">
        <v>0</v>
      </c>
      <c r="BX60" s="66">
        <v>0</v>
      </c>
      <c r="BY60" s="66">
        <v>0</v>
      </c>
      <c r="BZ60" s="67" t="s">
        <v>1230</v>
      </c>
      <c r="CA60" s="67" t="s">
        <v>1230</v>
      </c>
      <c r="CB60" s="67">
        <v>0</v>
      </c>
      <c r="CC60" s="187">
        <v>0</v>
      </c>
      <c r="CD60" s="67">
        <v>0</v>
      </c>
    </row>
    <row r="61" spans="1:82" ht="15.6" x14ac:dyDescent="0.3">
      <c r="A61" s="215">
        <v>49</v>
      </c>
      <c r="B61" s="211" t="s">
        <v>125</v>
      </c>
      <c r="C61" s="66">
        <v>0</v>
      </c>
      <c r="D61" s="66">
        <v>0</v>
      </c>
      <c r="E61" s="66">
        <v>0</v>
      </c>
      <c r="F61" s="66">
        <v>0</v>
      </c>
      <c r="G61" s="66">
        <v>0</v>
      </c>
      <c r="H61" s="66">
        <v>0</v>
      </c>
      <c r="I61" s="66">
        <v>0</v>
      </c>
      <c r="J61" s="66">
        <v>0</v>
      </c>
      <c r="K61" s="66">
        <v>0</v>
      </c>
      <c r="L61" s="66">
        <v>0</v>
      </c>
      <c r="M61" s="66">
        <v>0</v>
      </c>
      <c r="N61" s="67" t="s">
        <v>1230</v>
      </c>
      <c r="O61" s="67" t="s">
        <v>1230</v>
      </c>
      <c r="P61" s="67">
        <v>0</v>
      </c>
      <c r="Q61" s="66">
        <v>0</v>
      </c>
      <c r="R61" s="67">
        <v>0</v>
      </c>
      <c r="S61" s="66">
        <v>0</v>
      </c>
      <c r="T61" s="66">
        <v>0</v>
      </c>
      <c r="U61" s="66">
        <v>0</v>
      </c>
      <c r="V61" s="66">
        <v>0</v>
      </c>
      <c r="W61" s="66">
        <v>0</v>
      </c>
      <c r="X61" s="66">
        <v>0</v>
      </c>
      <c r="Y61" s="66">
        <v>0</v>
      </c>
      <c r="Z61" s="66">
        <v>0</v>
      </c>
      <c r="AA61" s="66">
        <v>0</v>
      </c>
      <c r="AB61" s="66">
        <v>0</v>
      </c>
      <c r="AC61" s="66">
        <v>0</v>
      </c>
      <c r="AD61" s="67" t="s">
        <v>1230</v>
      </c>
      <c r="AE61" s="67" t="s">
        <v>1230</v>
      </c>
      <c r="AF61" s="67">
        <v>0</v>
      </c>
      <c r="AG61" s="187">
        <v>0</v>
      </c>
      <c r="AH61" s="67">
        <v>0</v>
      </c>
      <c r="AI61" s="66">
        <v>0</v>
      </c>
      <c r="AJ61" s="66">
        <v>0</v>
      </c>
      <c r="AK61" s="66">
        <v>0</v>
      </c>
      <c r="AL61" s="66">
        <v>0</v>
      </c>
      <c r="AM61" s="66">
        <v>0</v>
      </c>
      <c r="AN61" s="66">
        <v>0</v>
      </c>
      <c r="AO61" s="66">
        <v>0</v>
      </c>
      <c r="AP61" s="66">
        <v>0</v>
      </c>
      <c r="AQ61" s="66">
        <v>0</v>
      </c>
      <c r="AR61" s="66">
        <v>0</v>
      </c>
      <c r="AS61" s="66">
        <v>0</v>
      </c>
      <c r="AT61" s="67" t="s">
        <v>1230</v>
      </c>
      <c r="AU61" s="67" t="s">
        <v>1230</v>
      </c>
      <c r="AV61" s="67">
        <v>0</v>
      </c>
      <c r="AW61" s="187">
        <v>0</v>
      </c>
      <c r="AX61" s="67">
        <v>0</v>
      </c>
      <c r="AY61" s="66">
        <v>0</v>
      </c>
      <c r="AZ61" s="66">
        <v>0</v>
      </c>
      <c r="BA61" s="66">
        <v>0</v>
      </c>
      <c r="BB61" s="66">
        <v>0</v>
      </c>
      <c r="BC61" s="66">
        <v>0</v>
      </c>
      <c r="BD61" s="66">
        <v>0</v>
      </c>
      <c r="BE61" s="66">
        <v>0</v>
      </c>
      <c r="BF61" s="66">
        <v>0</v>
      </c>
      <c r="BG61" s="66">
        <v>0</v>
      </c>
      <c r="BH61" s="66">
        <v>0</v>
      </c>
      <c r="BI61" s="66">
        <v>0</v>
      </c>
      <c r="BJ61" s="67" t="s">
        <v>1230</v>
      </c>
      <c r="BK61" s="67" t="s">
        <v>1230</v>
      </c>
      <c r="BL61" s="67">
        <v>0</v>
      </c>
      <c r="BM61" s="187">
        <v>0</v>
      </c>
      <c r="BN61" s="67">
        <v>0</v>
      </c>
      <c r="BO61" s="66">
        <v>0</v>
      </c>
      <c r="BP61" s="66">
        <v>0</v>
      </c>
      <c r="BQ61" s="66">
        <v>0</v>
      </c>
      <c r="BR61" s="66">
        <v>0</v>
      </c>
      <c r="BS61" s="66">
        <v>0</v>
      </c>
      <c r="BT61" s="66">
        <v>0</v>
      </c>
      <c r="BU61" s="66">
        <v>0</v>
      </c>
      <c r="BV61" s="66">
        <v>0</v>
      </c>
      <c r="BW61" s="66">
        <v>0</v>
      </c>
      <c r="BX61" s="66">
        <v>0</v>
      </c>
      <c r="BY61" s="66">
        <v>0</v>
      </c>
      <c r="BZ61" s="67" t="s">
        <v>1230</v>
      </c>
      <c r="CA61" s="67" t="s">
        <v>1230</v>
      </c>
      <c r="CB61" s="67">
        <v>0</v>
      </c>
      <c r="CC61" s="187">
        <v>0</v>
      </c>
      <c r="CD61" s="67">
        <v>0</v>
      </c>
    </row>
    <row r="62" spans="1:82" ht="15.6" x14ac:dyDescent="0.3">
      <c r="A62" s="202">
        <v>50</v>
      </c>
      <c r="B62" s="203" t="s">
        <v>128</v>
      </c>
      <c r="C62" s="61">
        <v>363.50880000000006</v>
      </c>
      <c r="D62" s="61">
        <v>0</v>
      </c>
      <c r="E62" s="61">
        <v>363.50880000000006</v>
      </c>
      <c r="F62" s="61">
        <v>363.50880000000006</v>
      </c>
      <c r="G62" s="61">
        <v>0</v>
      </c>
      <c r="H62" s="61">
        <v>363.50829310000006</v>
      </c>
      <c r="I62" s="61">
        <v>0</v>
      </c>
      <c r="J62" s="61">
        <v>363.50829310000006</v>
      </c>
      <c r="K62" s="61">
        <v>363.50829310000006</v>
      </c>
      <c r="L62" s="61">
        <v>0</v>
      </c>
      <c r="M62" s="61">
        <v>0</v>
      </c>
      <c r="N62" s="61">
        <v>99.999860553582195</v>
      </c>
      <c r="O62" s="61" t="s">
        <v>1230</v>
      </c>
      <c r="P62" s="61">
        <v>0</v>
      </c>
      <c r="Q62" s="61">
        <v>0</v>
      </c>
      <c r="R62" s="61">
        <v>0</v>
      </c>
      <c r="S62" s="61">
        <v>0</v>
      </c>
      <c r="T62" s="61">
        <v>0</v>
      </c>
      <c r="U62" s="61">
        <v>0</v>
      </c>
      <c r="V62" s="61">
        <v>0</v>
      </c>
      <c r="W62" s="61">
        <v>0</v>
      </c>
      <c r="X62" s="61">
        <v>0</v>
      </c>
      <c r="Y62" s="61">
        <v>0</v>
      </c>
      <c r="Z62" s="61">
        <v>0</v>
      </c>
      <c r="AA62" s="61">
        <v>0</v>
      </c>
      <c r="AB62" s="61">
        <v>0</v>
      </c>
      <c r="AC62" s="61">
        <v>0</v>
      </c>
      <c r="AD62" s="61" t="s">
        <v>1230</v>
      </c>
      <c r="AE62" s="61" t="s">
        <v>1230</v>
      </c>
      <c r="AF62" s="61">
        <v>0</v>
      </c>
      <c r="AG62" s="61">
        <v>0</v>
      </c>
      <c r="AH62" s="61">
        <v>0</v>
      </c>
      <c r="AI62" s="61">
        <v>0</v>
      </c>
      <c r="AJ62" s="61">
        <v>0</v>
      </c>
      <c r="AK62" s="61">
        <v>0</v>
      </c>
      <c r="AL62" s="61">
        <v>0</v>
      </c>
      <c r="AM62" s="61">
        <v>0</v>
      </c>
      <c r="AN62" s="61">
        <v>0</v>
      </c>
      <c r="AO62" s="61">
        <v>0</v>
      </c>
      <c r="AP62" s="61">
        <v>0</v>
      </c>
      <c r="AQ62" s="61">
        <v>0</v>
      </c>
      <c r="AR62" s="61">
        <v>0</v>
      </c>
      <c r="AS62" s="61">
        <v>0</v>
      </c>
      <c r="AT62" s="61" t="s">
        <v>1230</v>
      </c>
      <c r="AU62" s="61" t="s">
        <v>1230</v>
      </c>
      <c r="AV62" s="61">
        <v>0</v>
      </c>
      <c r="AW62" s="61">
        <v>0</v>
      </c>
      <c r="AX62" s="61">
        <v>0</v>
      </c>
      <c r="AY62" s="61">
        <v>0</v>
      </c>
      <c r="AZ62" s="61">
        <v>0</v>
      </c>
      <c r="BA62" s="61">
        <v>0</v>
      </c>
      <c r="BB62" s="61">
        <v>0</v>
      </c>
      <c r="BC62" s="61">
        <v>0</v>
      </c>
      <c r="BD62" s="61">
        <v>0</v>
      </c>
      <c r="BE62" s="61">
        <v>0</v>
      </c>
      <c r="BF62" s="61">
        <v>0</v>
      </c>
      <c r="BG62" s="61">
        <v>0</v>
      </c>
      <c r="BH62" s="61">
        <v>0</v>
      </c>
      <c r="BI62" s="61">
        <v>0</v>
      </c>
      <c r="BJ62" s="61" t="s">
        <v>1230</v>
      </c>
      <c r="BK62" s="61" t="s">
        <v>1230</v>
      </c>
      <c r="BL62" s="61">
        <v>0</v>
      </c>
      <c r="BM62" s="61">
        <v>0</v>
      </c>
      <c r="BN62" s="61">
        <v>0</v>
      </c>
      <c r="BO62" s="61">
        <v>363.50880000000006</v>
      </c>
      <c r="BP62" s="61">
        <v>0</v>
      </c>
      <c r="BQ62" s="61">
        <v>363.50880000000006</v>
      </c>
      <c r="BR62" s="61">
        <v>363.50880000000006</v>
      </c>
      <c r="BS62" s="61">
        <v>0</v>
      </c>
      <c r="BT62" s="61">
        <v>363.50829310000006</v>
      </c>
      <c r="BU62" s="61">
        <v>0</v>
      </c>
      <c r="BV62" s="61">
        <v>363.50829310000006</v>
      </c>
      <c r="BW62" s="61">
        <v>363.50829310000006</v>
      </c>
      <c r="BX62" s="61">
        <v>0</v>
      </c>
      <c r="BY62" s="61">
        <v>0</v>
      </c>
      <c r="BZ62" s="61">
        <v>99.999860553582195</v>
      </c>
      <c r="CA62" s="61" t="s">
        <v>1230</v>
      </c>
      <c r="CB62" s="61">
        <v>0</v>
      </c>
      <c r="CC62" s="61">
        <v>0</v>
      </c>
      <c r="CD62" s="61">
        <v>0</v>
      </c>
    </row>
    <row r="63" spans="1:82" ht="15.6" x14ac:dyDescent="0.3">
      <c r="A63" s="169">
        <v>51</v>
      </c>
      <c r="B63" s="205" t="s">
        <v>131</v>
      </c>
      <c r="C63" s="66">
        <v>47.136299999999999</v>
      </c>
      <c r="D63" s="66">
        <v>0</v>
      </c>
      <c r="E63" s="66">
        <v>47.136299999999999</v>
      </c>
      <c r="F63" s="66">
        <v>47.136299999999999</v>
      </c>
      <c r="G63" s="66">
        <v>0</v>
      </c>
      <c r="H63" s="66">
        <v>47.136240000000001</v>
      </c>
      <c r="I63" s="66">
        <v>0</v>
      </c>
      <c r="J63" s="66">
        <v>47.136240000000001</v>
      </c>
      <c r="K63" s="66">
        <v>47.136240000000001</v>
      </c>
      <c r="L63" s="66">
        <v>0</v>
      </c>
      <c r="M63" s="66">
        <v>0</v>
      </c>
      <c r="N63" s="67">
        <v>99.999872709567796</v>
      </c>
      <c r="O63" s="67" t="s">
        <v>1230</v>
      </c>
      <c r="P63" s="67">
        <v>0</v>
      </c>
      <c r="Q63" s="66">
        <v>0</v>
      </c>
      <c r="R63" s="67">
        <v>0</v>
      </c>
      <c r="S63" s="66">
        <v>0</v>
      </c>
      <c r="T63" s="66">
        <v>0</v>
      </c>
      <c r="U63" s="66">
        <v>0</v>
      </c>
      <c r="V63" s="66">
        <v>0</v>
      </c>
      <c r="W63" s="66">
        <v>0</v>
      </c>
      <c r="X63" s="66">
        <v>0</v>
      </c>
      <c r="Y63" s="66">
        <v>0</v>
      </c>
      <c r="Z63" s="66">
        <v>0</v>
      </c>
      <c r="AA63" s="66">
        <v>0</v>
      </c>
      <c r="AB63" s="66">
        <v>0</v>
      </c>
      <c r="AC63" s="66">
        <v>0</v>
      </c>
      <c r="AD63" s="67" t="s">
        <v>1230</v>
      </c>
      <c r="AE63" s="67" t="s">
        <v>1230</v>
      </c>
      <c r="AF63" s="67">
        <v>0</v>
      </c>
      <c r="AG63" s="187">
        <v>0</v>
      </c>
      <c r="AH63" s="67">
        <v>0</v>
      </c>
      <c r="AI63" s="66">
        <v>0</v>
      </c>
      <c r="AJ63" s="66">
        <v>0</v>
      </c>
      <c r="AK63" s="66">
        <v>0</v>
      </c>
      <c r="AL63" s="66">
        <v>0</v>
      </c>
      <c r="AM63" s="66">
        <v>0</v>
      </c>
      <c r="AN63" s="66">
        <v>0</v>
      </c>
      <c r="AO63" s="66">
        <v>0</v>
      </c>
      <c r="AP63" s="66">
        <v>0</v>
      </c>
      <c r="AQ63" s="66">
        <v>0</v>
      </c>
      <c r="AR63" s="66">
        <v>0</v>
      </c>
      <c r="AS63" s="66">
        <v>0</v>
      </c>
      <c r="AT63" s="67" t="s">
        <v>1230</v>
      </c>
      <c r="AU63" s="67" t="s">
        <v>1230</v>
      </c>
      <c r="AV63" s="67">
        <v>0</v>
      </c>
      <c r="AW63" s="187">
        <v>0</v>
      </c>
      <c r="AX63" s="67">
        <v>0</v>
      </c>
      <c r="AY63" s="66">
        <v>0</v>
      </c>
      <c r="AZ63" s="66">
        <v>0</v>
      </c>
      <c r="BA63" s="66">
        <v>0</v>
      </c>
      <c r="BB63" s="66">
        <v>0</v>
      </c>
      <c r="BC63" s="66">
        <v>0</v>
      </c>
      <c r="BD63" s="66">
        <v>0</v>
      </c>
      <c r="BE63" s="66">
        <v>0</v>
      </c>
      <c r="BF63" s="66">
        <v>0</v>
      </c>
      <c r="BG63" s="66">
        <v>0</v>
      </c>
      <c r="BH63" s="66">
        <v>0</v>
      </c>
      <c r="BI63" s="66">
        <v>0</v>
      </c>
      <c r="BJ63" s="67" t="s">
        <v>1230</v>
      </c>
      <c r="BK63" s="67" t="s">
        <v>1230</v>
      </c>
      <c r="BL63" s="67">
        <v>0</v>
      </c>
      <c r="BM63" s="187">
        <v>0</v>
      </c>
      <c r="BN63" s="67">
        <v>0</v>
      </c>
      <c r="BO63" s="66">
        <v>47.136299999999999</v>
      </c>
      <c r="BP63" s="66">
        <v>0</v>
      </c>
      <c r="BQ63" s="66">
        <v>47.136299999999999</v>
      </c>
      <c r="BR63" s="66">
        <v>47.136299999999999</v>
      </c>
      <c r="BS63" s="66">
        <v>0</v>
      </c>
      <c r="BT63" s="66">
        <v>47.136240000000001</v>
      </c>
      <c r="BU63" s="66">
        <v>0</v>
      </c>
      <c r="BV63" s="66">
        <v>47.136240000000001</v>
      </c>
      <c r="BW63" s="66">
        <v>47.136240000000001</v>
      </c>
      <c r="BX63" s="66">
        <v>0</v>
      </c>
      <c r="BY63" s="66">
        <v>0</v>
      </c>
      <c r="BZ63" s="67">
        <v>99.999872709567796</v>
      </c>
      <c r="CA63" s="67" t="s">
        <v>1230</v>
      </c>
      <c r="CB63" s="67">
        <v>0</v>
      </c>
      <c r="CC63" s="187">
        <v>0</v>
      </c>
      <c r="CD63" s="67">
        <v>0</v>
      </c>
    </row>
    <row r="64" spans="1:82" ht="15.6" x14ac:dyDescent="0.3">
      <c r="A64" s="169">
        <v>52</v>
      </c>
      <c r="B64" s="205" t="s">
        <v>134</v>
      </c>
      <c r="C64" s="66">
        <v>0</v>
      </c>
      <c r="D64" s="66">
        <v>0</v>
      </c>
      <c r="E64" s="66">
        <v>0</v>
      </c>
      <c r="F64" s="66">
        <v>0</v>
      </c>
      <c r="G64" s="66">
        <v>0</v>
      </c>
      <c r="H64" s="66">
        <v>0</v>
      </c>
      <c r="I64" s="66">
        <v>0</v>
      </c>
      <c r="J64" s="66">
        <v>0</v>
      </c>
      <c r="K64" s="66">
        <v>0</v>
      </c>
      <c r="L64" s="66">
        <v>0</v>
      </c>
      <c r="M64" s="66">
        <v>0</v>
      </c>
      <c r="N64" s="67" t="s">
        <v>1230</v>
      </c>
      <c r="O64" s="67" t="s">
        <v>1230</v>
      </c>
      <c r="P64" s="67">
        <v>0</v>
      </c>
      <c r="Q64" s="66">
        <v>0</v>
      </c>
      <c r="R64" s="67">
        <v>0</v>
      </c>
      <c r="S64" s="66">
        <v>0</v>
      </c>
      <c r="T64" s="66">
        <v>0</v>
      </c>
      <c r="U64" s="66">
        <v>0</v>
      </c>
      <c r="V64" s="66">
        <v>0</v>
      </c>
      <c r="W64" s="66">
        <v>0</v>
      </c>
      <c r="X64" s="66">
        <v>0</v>
      </c>
      <c r="Y64" s="66">
        <v>0</v>
      </c>
      <c r="Z64" s="66">
        <v>0</v>
      </c>
      <c r="AA64" s="66">
        <v>0</v>
      </c>
      <c r="AB64" s="66">
        <v>0</v>
      </c>
      <c r="AC64" s="66">
        <v>0</v>
      </c>
      <c r="AD64" s="67" t="s">
        <v>1230</v>
      </c>
      <c r="AE64" s="67" t="s">
        <v>1230</v>
      </c>
      <c r="AF64" s="67">
        <v>0</v>
      </c>
      <c r="AG64" s="187">
        <v>0</v>
      </c>
      <c r="AH64" s="67">
        <v>0</v>
      </c>
      <c r="AI64" s="66">
        <v>0</v>
      </c>
      <c r="AJ64" s="66">
        <v>0</v>
      </c>
      <c r="AK64" s="66">
        <v>0</v>
      </c>
      <c r="AL64" s="66">
        <v>0</v>
      </c>
      <c r="AM64" s="66">
        <v>0</v>
      </c>
      <c r="AN64" s="66">
        <v>0</v>
      </c>
      <c r="AO64" s="66">
        <v>0</v>
      </c>
      <c r="AP64" s="66">
        <v>0</v>
      </c>
      <c r="AQ64" s="66">
        <v>0</v>
      </c>
      <c r="AR64" s="66">
        <v>0</v>
      </c>
      <c r="AS64" s="66">
        <v>0</v>
      </c>
      <c r="AT64" s="67" t="s">
        <v>1230</v>
      </c>
      <c r="AU64" s="67" t="s">
        <v>1230</v>
      </c>
      <c r="AV64" s="67">
        <v>0</v>
      </c>
      <c r="AW64" s="187">
        <v>0</v>
      </c>
      <c r="AX64" s="67">
        <v>0</v>
      </c>
      <c r="AY64" s="66">
        <v>0</v>
      </c>
      <c r="AZ64" s="66">
        <v>0</v>
      </c>
      <c r="BA64" s="66">
        <v>0</v>
      </c>
      <c r="BB64" s="66">
        <v>0</v>
      </c>
      <c r="BC64" s="66">
        <v>0</v>
      </c>
      <c r="BD64" s="66">
        <v>0</v>
      </c>
      <c r="BE64" s="66">
        <v>0</v>
      </c>
      <c r="BF64" s="66">
        <v>0</v>
      </c>
      <c r="BG64" s="66">
        <v>0</v>
      </c>
      <c r="BH64" s="66">
        <v>0</v>
      </c>
      <c r="BI64" s="66">
        <v>0</v>
      </c>
      <c r="BJ64" s="67" t="s">
        <v>1230</v>
      </c>
      <c r="BK64" s="67" t="s">
        <v>1230</v>
      </c>
      <c r="BL64" s="67">
        <v>0</v>
      </c>
      <c r="BM64" s="187">
        <v>0</v>
      </c>
      <c r="BN64" s="67">
        <v>0</v>
      </c>
      <c r="BO64" s="66">
        <v>0</v>
      </c>
      <c r="BP64" s="66">
        <v>0</v>
      </c>
      <c r="BQ64" s="66">
        <v>0</v>
      </c>
      <c r="BR64" s="66">
        <v>0</v>
      </c>
      <c r="BS64" s="66">
        <v>0</v>
      </c>
      <c r="BT64" s="66">
        <v>0</v>
      </c>
      <c r="BU64" s="66">
        <v>0</v>
      </c>
      <c r="BV64" s="66">
        <v>0</v>
      </c>
      <c r="BW64" s="66">
        <v>0</v>
      </c>
      <c r="BX64" s="66">
        <v>0</v>
      </c>
      <c r="BY64" s="66">
        <v>0</v>
      </c>
      <c r="BZ64" s="67" t="s">
        <v>1230</v>
      </c>
      <c r="CA64" s="67" t="s">
        <v>1230</v>
      </c>
      <c r="CB64" s="67">
        <v>0</v>
      </c>
      <c r="CC64" s="187">
        <v>0</v>
      </c>
      <c r="CD64" s="67">
        <v>0</v>
      </c>
    </row>
    <row r="65" spans="1:82" ht="15.6" x14ac:dyDescent="0.3">
      <c r="A65" s="169">
        <v>53</v>
      </c>
      <c r="B65" s="205" t="s">
        <v>137</v>
      </c>
      <c r="C65" s="66">
        <v>124.1574</v>
      </c>
      <c r="D65" s="66">
        <v>0</v>
      </c>
      <c r="E65" s="66">
        <v>124.1574</v>
      </c>
      <c r="F65" s="66">
        <v>124.1574</v>
      </c>
      <c r="G65" s="66">
        <v>0</v>
      </c>
      <c r="H65" s="66">
        <v>124.15734999999999</v>
      </c>
      <c r="I65" s="66">
        <v>0</v>
      </c>
      <c r="J65" s="66">
        <v>124.15734999999999</v>
      </c>
      <c r="K65" s="66">
        <v>124.15734999999999</v>
      </c>
      <c r="L65" s="66">
        <v>0</v>
      </c>
      <c r="M65" s="66">
        <v>0</v>
      </c>
      <c r="N65" s="67">
        <v>99.99995972853813</v>
      </c>
      <c r="O65" s="67" t="s">
        <v>1230</v>
      </c>
      <c r="P65" s="67">
        <v>0</v>
      </c>
      <c r="Q65" s="66">
        <v>0</v>
      </c>
      <c r="R65" s="67">
        <v>0</v>
      </c>
      <c r="S65" s="66">
        <v>0</v>
      </c>
      <c r="T65" s="66">
        <v>0</v>
      </c>
      <c r="U65" s="66">
        <v>0</v>
      </c>
      <c r="V65" s="66">
        <v>0</v>
      </c>
      <c r="W65" s="66">
        <v>0</v>
      </c>
      <c r="X65" s="66">
        <v>0</v>
      </c>
      <c r="Y65" s="66">
        <v>0</v>
      </c>
      <c r="Z65" s="66">
        <v>0</v>
      </c>
      <c r="AA65" s="66">
        <v>0</v>
      </c>
      <c r="AB65" s="66">
        <v>0</v>
      </c>
      <c r="AC65" s="66">
        <v>0</v>
      </c>
      <c r="AD65" s="67" t="s">
        <v>1230</v>
      </c>
      <c r="AE65" s="67" t="s">
        <v>1230</v>
      </c>
      <c r="AF65" s="67">
        <v>0</v>
      </c>
      <c r="AG65" s="187">
        <v>0</v>
      </c>
      <c r="AH65" s="67">
        <v>0</v>
      </c>
      <c r="AI65" s="66">
        <v>0</v>
      </c>
      <c r="AJ65" s="66">
        <v>0</v>
      </c>
      <c r="AK65" s="66">
        <v>0</v>
      </c>
      <c r="AL65" s="66">
        <v>0</v>
      </c>
      <c r="AM65" s="66">
        <v>0</v>
      </c>
      <c r="AN65" s="66">
        <v>0</v>
      </c>
      <c r="AO65" s="66">
        <v>0</v>
      </c>
      <c r="AP65" s="66">
        <v>0</v>
      </c>
      <c r="AQ65" s="66">
        <v>0</v>
      </c>
      <c r="AR65" s="66">
        <v>0</v>
      </c>
      <c r="AS65" s="66">
        <v>0</v>
      </c>
      <c r="AT65" s="67" t="s">
        <v>1230</v>
      </c>
      <c r="AU65" s="67" t="s">
        <v>1230</v>
      </c>
      <c r="AV65" s="67">
        <v>0</v>
      </c>
      <c r="AW65" s="187">
        <v>0</v>
      </c>
      <c r="AX65" s="67">
        <v>0</v>
      </c>
      <c r="AY65" s="66">
        <v>0</v>
      </c>
      <c r="AZ65" s="66">
        <v>0</v>
      </c>
      <c r="BA65" s="66">
        <v>0</v>
      </c>
      <c r="BB65" s="66">
        <v>0</v>
      </c>
      <c r="BC65" s="66">
        <v>0</v>
      </c>
      <c r="BD65" s="66">
        <v>0</v>
      </c>
      <c r="BE65" s="66">
        <v>0</v>
      </c>
      <c r="BF65" s="66">
        <v>0</v>
      </c>
      <c r="BG65" s="66">
        <v>0</v>
      </c>
      <c r="BH65" s="66">
        <v>0</v>
      </c>
      <c r="BI65" s="66">
        <v>0</v>
      </c>
      <c r="BJ65" s="67" t="s">
        <v>1230</v>
      </c>
      <c r="BK65" s="67" t="s">
        <v>1230</v>
      </c>
      <c r="BL65" s="67">
        <v>0</v>
      </c>
      <c r="BM65" s="187">
        <v>0</v>
      </c>
      <c r="BN65" s="67">
        <v>0</v>
      </c>
      <c r="BO65" s="66">
        <v>124.1574</v>
      </c>
      <c r="BP65" s="66">
        <v>0</v>
      </c>
      <c r="BQ65" s="66">
        <v>124.1574</v>
      </c>
      <c r="BR65" s="66">
        <v>124.1574</v>
      </c>
      <c r="BS65" s="66">
        <v>0</v>
      </c>
      <c r="BT65" s="66">
        <v>124.15734999999999</v>
      </c>
      <c r="BU65" s="66">
        <v>0</v>
      </c>
      <c r="BV65" s="66">
        <v>124.15734999999999</v>
      </c>
      <c r="BW65" s="66">
        <v>124.15734999999999</v>
      </c>
      <c r="BX65" s="66">
        <v>0</v>
      </c>
      <c r="BY65" s="66">
        <v>0</v>
      </c>
      <c r="BZ65" s="67">
        <v>99.99995972853813</v>
      </c>
      <c r="CA65" s="67" t="s">
        <v>1230</v>
      </c>
      <c r="CB65" s="67">
        <v>0</v>
      </c>
      <c r="CC65" s="187">
        <v>0</v>
      </c>
      <c r="CD65" s="67">
        <v>0</v>
      </c>
    </row>
    <row r="66" spans="1:82" ht="15.6" x14ac:dyDescent="0.3">
      <c r="A66" s="169">
        <v>54</v>
      </c>
      <c r="B66" s="205" t="s">
        <v>140</v>
      </c>
      <c r="C66" s="66">
        <v>120.1549</v>
      </c>
      <c r="D66" s="66">
        <v>0</v>
      </c>
      <c r="E66" s="66">
        <v>120.1549</v>
      </c>
      <c r="F66" s="66">
        <v>120.1549</v>
      </c>
      <c r="G66" s="66">
        <v>0</v>
      </c>
      <c r="H66" s="66">
        <v>120.15488999999999</v>
      </c>
      <c r="I66" s="66">
        <v>0</v>
      </c>
      <c r="J66" s="66">
        <v>120.15488999999999</v>
      </c>
      <c r="K66" s="66">
        <v>120.15488999999999</v>
      </c>
      <c r="L66" s="66">
        <v>0</v>
      </c>
      <c r="M66" s="66">
        <v>0</v>
      </c>
      <c r="N66" s="67">
        <v>99.999991677409739</v>
      </c>
      <c r="O66" s="67" t="s">
        <v>1230</v>
      </c>
      <c r="P66" s="67">
        <v>0</v>
      </c>
      <c r="Q66" s="66">
        <v>0</v>
      </c>
      <c r="R66" s="67">
        <v>0</v>
      </c>
      <c r="S66" s="66">
        <v>0</v>
      </c>
      <c r="T66" s="66">
        <v>0</v>
      </c>
      <c r="U66" s="66">
        <v>0</v>
      </c>
      <c r="V66" s="66">
        <v>0</v>
      </c>
      <c r="W66" s="66">
        <v>0</v>
      </c>
      <c r="X66" s="66">
        <v>0</v>
      </c>
      <c r="Y66" s="66">
        <v>0</v>
      </c>
      <c r="Z66" s="66">
        <v>0</v>
      </c>
      <c r="AA66" s="66">
        <v>0</v>
      </c>
      <c r="AB66" s="66">
        <v>0</v>
      </c>
      <c r="AC66" s="66">
        <v>0</v>
      </c>
      <c r="AD66" s="67" t="s">
        <v>1230</v>
      </c>
      <c r="AE66" s="67" t="s">
        <v>1230</v>
      </c>
      <c r="AF66" s="67">
        <v>0</v>
      </c>
      <c r="AG66" s="187">
        <v>0</v>
      </c>
      <c r="AH66" s="67">
        <v>0</v>
      </c>
      <c r="AI66" s="66">
        <v>0</v>
      </c>
      <c r="AJ66" s="66">
        <v>0</v>
      </c>
      <c r="AK66" s="66">
        <v>0</v>
      </c>
      <c r="AL66" s="66">
        <v>0</v>
      </c>
      <c r="AM66" s="66">
        <v>0</v>
      </c>
      <c r="AN66" s="66">
        <v>0</v>
      </c>
      <c r="AO66" s="66">
        <v>0</v>
      </c>
      <c r="AP66" s="66">
        <v>0</v>
      </c>
      <c r="AQ66" s="66">
        <v>0</v>
      </c>
      <c r="AR66" s="66">
        <v>0</v>
      </c>
      <c r="AS66" s="66">
        <v>0</v>
      </c>
      <c r="AT66" s="67" t="s">
        <v>1230</v>
      </c>
      <c r="AU66" s="67" t="s">
        <v>1230</v>
      </c>
      <c r="AV66" s="67">
        <v>0</v>
      </c>
      <c r="AW66" s="187">
        <v>0</v>
      </c>
      <c r="AX66" s="67">
        <v>0</v>
      </c>
      <c r="AY66" s="66">
        <v>0</v>
      </c>
      <c r="AZ66" s="66">
        <v>0</v>
      </c>
      <c r="BA66" s="66">
        <v>0</v>
      </c>
      <c r="BB66" s="66">
        <v>0</v>
      </c>
      <c r="BC66" s="66">
        <v>0</v>
      </c>
      <c r="BD66" s="66">
        <v>0</v>
      </c>
      <c r="BE66" s="66">
        <v>0</v>
      </c>
      <c r="BF66" s="66">
        <v>0</v>
      </c>
      <c r="BG66" s="66">
        <v>0</v>
      </c>
      <c r="BH66" s="66">
        <v>0</v>
      </c>
      <c r="BI66" s="66">
        <v>0</v>
      </c>
      <c r="BJ66" s="67" t="s">
        <v>1230</v>
      </c>
      <c r="BK66" s="67" t="s">
        <v>1230</v>
      </c>
      <c r="BL66" s="67">
        <v>0</v>
      </c>
      <c r="BM66" s="187">
        <v>0</v>
      </c>
      <c r="BN66" s="67">
        <v>0</v>
      </c>
      <c r="BO66" s="66">
        <v>120.1549</v>
      </c>
      <c r="BP66" s="66">
        <v>0</v>
      </c>
      <c r="BQ66" s="66">
        <v>120.1549</v>
      </c>
      <c r="BR66" s="66">
        <v>120.1549</v>
      </c>
      <c r="BS66" s="66">
        <v>0</v>
      </c>
      <c r="BT66" s="66">
        <v>120.15488999999999</v>
      </c>
      <c r="BU66" s="66">
        <v>0</v>
      </c>
      <c r="BV66" s="66">
        <v>120.15488999999999</v>
      </c>
      <c r="BW66" s="66">
        <v>120.15488999999999</v>
      </c>
      <c r="BX66" s="66">
        <v>0</v>
      </c>
      <c r="BY66" s="66">
        <v>0</v>
      </c>
      <c r="BZ66" s="67">
        <v>99.999991677409739</v>
      </c>
      <c r="CA66" s="67" t="s">
        <v>1230</v>
      </c>
      <c r="CB66" s="67">
        <v>0</v>
      </c>
      <c r="CC66" s="187">
        <v>0</v>
      </c>
      <c r="CD66" s="67">
        <v>0</v>
      </c>
    </row>
    <row r="67" spans="1:82" ht="15.6" x14ac:dyDescent="0.3">
      <c r="A67" s="169">
        <v>55</v>
      </c>
      <c r="B67" s="205" t="s">
        <v>143</v>
      </c>
      <c r="C67" s="66">
        <v>0</v>
      </c>
      <c r="D67" s="66">
        <v>0</v>
      </c>
      <c r="E67" s="66">
        <v>0</v>
      </c>
      <c r="F67" s="66">
        <v>0</v>
      </c>
      <c r="G67" s="66">
        <v>0</v>
      </c>
      <c r="H67" s="66">
        <v>0</v>
      </c>
      <c r="I67" s="66">
        <v>0</v>
      </c>
      <c r="J67" s="66">
        <v>0</v>
      </c>
      <c r="K67" s="66">
        <v>0</v>
      </c>
      <c r="L67" s="66">
        <v>0</v>
      </c>
      <c r="M67" s="66">
        <v>0</v>
      </c>
      <c r="N67" s="67" t="s">
        <v>1230</v>
      </c>
      <c r="O67" s="67" t="s">
        <v>1230</v>
      </c>
      <c r="P67" s="67">
        <v>0</v>
      </c>
      <c r="Q67" s="66">
        <v>0</v>
      </c>
      <c r="R67" s="67">
        <v>0</v>
      </c>
      <c r="S67" s="66">
        <v>0</v>
      </c>
      <c r="T67" s="66">
        <v>0</v>
      </c>
      <c r="U67" s="66">
        <v>0</v>
      </c>
      <c r="V67" s="66">
        <v>0</v>
      </c>
      <c r="W67" s="66">
        <v>0</v>
      </c>
      <c r="X67" s="66">
        <v>0</v>
      </c>
      <c r="Y67" s="66">
        <v>0</v>
      </c>
      <c r="Z67" s="66">
        <v>0</v>
      </c>
      <c r="AA67" s="66">
        <v>0</v>
      </c>
      <c r="AB67" s="66">
        <v>0</v>
      </c>
      <c r="AC67" s="66">
        <v>0</v>
      </c>
      <c r="AD67" s="67" t="s">
        <v>1230</v>
      </c>
      <c r="AE67" s="67" t="s">
        <v>1230</v>
      </c>
      <c r="AF67" s="67">
        <v>0</v>
      </c>
      <c r="AG67" s="187">
        <v>0</v>
      </c>
      <c r="AH67" s="67">
        <v>0</v>
      </c>
      <c r="AI67" s="66">
        <v>0</v>
      </c>
      <c r="AJ67" s="66">
        <v>0</v>
      </c>
      <c r="AK67" s="66">
        <v>0</v>
      </c>
      <c r="AL67" s="66">
        <v>0</v>
      </c>
      <c r="AM67" s="66">
        <v>0</v>
      </c>
      <c r="AN67" s="66">
        <v>0</v>
      </c>
      <c r="AO67" s="66">
        <v>0</v>
      </c>
      <c r="AP67" s="66">
        <v>0</v>
      </c>
      <c r="AQ67" s="66">
        <v>0</v>
      </c>
      <c r="AR67" s="66">
        <v>0</v>
      </c>
      <c r="AS67" s="66">
        <v>0</v>
      </c>
      <c r="AT67" s="67" t="s">
        <v>1230</v>
      </c>
      <c r="AU67" s="67" t="s">
        <v>1230</v>
      </c>
      <c r="AV67" s="67">
        <v>0</v>
      </c>
      <c r="AW67" s="187">
        <v>0</v>
      </c>
      <c r="AX67" s="67">
        <v>0</v>
      </c>
      <c r="AY67" s="66">
        <v>0</v>
      </c>
      <c r="AZ67" s="66">
        <v>0</v>
      </c>
      <c r="BA67" s="66">
        <v>0</v>
      </c>
      <c r="BB67" s="66">
        <v>0</v>
      </c>
      <c r="BC67" s="66">
        <v>0</v>
      </c>
      <c r="BD67" s="66">
        <v>0</v>
      </c>
      <c r="BE67" s="66">
        <v>0</v>
      </c>
      <c r="BF67" s="66">
        <v>0</v>
      </c>
      <c r="BG67" s="66">
        <v>0</v>
      </c>
      <c r="BH67" s="66">
        <v>0</v>
      </c>
      <c r="BI67" s="66">
        <v>0</v>
      </c>
      <c r="BJ67" s="67" t="s">
        <v>1230</v>
      </c>
      <c r="BK67" s="67" t="s">
        <v>1230</v>
      </c>
      <c r="BL67" s="67">
        <v>0</v>
      </c>
      <c r="BM67" s="187">
        <v>0</v>
      </c>
      <c r="BN67" s="67">
        <v>0</v>
      </c>
      <c r="BO67" s="66">
        <v>0</v>
      </c>
      <c r="BP67" s="66">
        <v>0</v>
      </c>
      <c r="BQ67" s="66">
        <v>0</v>
      </c>
      <c r="BR67" s="66">
        <v>0</v>
      </c>
      <c r="BS67" s="66">
        <v>0</v>
      </c>
      <c r="BT67" s="66">
        <v>0</v>
      </c>
      <c r="BU67" s="66">
        <v>0</v>
      </c>
      <c r="BV67" s="66">
        <v>0</v>
      </c>
      <c r="BW67" s="66">
        <v>0</v>
      </c>
      <c r="BX67" s="66">
        <v>0</v>
      </c>
      <c r="BY67" s="66">
        <v>0</v>
      </c>
      <c r="BZ67" s="67" t="s">
        <v>1230</v>
      </c>
      <c r="CA67" s="67" t="s">
        <v>1230</v>
      </c>
      <c r="CB67" s="67">
        <v>0</v>
      </c>
      <c r="CC67" s="187">
        <v>0</v>
      </c>
      <c r="CD67" s="67">
        <v>0</v>
      </c>
    </row>
    <row r="68" spans="1:82" ht="15.6" x14ac:dyDescent="0.3">
      <c r="A68" s="169">
        <v>56</v>
      </c>
      <c r="B68" s="205" t="s">
        <v>146</v>
      </c>
      <c r="C68" s="66">
        <v>1.4533</v>
      </c>
      <c r="D68" s="66">
        <v>0</v>
      </c>
      <c r="E68" s="66">
        <v>1.4533</v>
      </c>
      <c r="F68" s="66">
        <v>1.4533</v>
      </c>
      <c r="G68" s="66">
        <v>0</v>
      </c>
      <c r="H68" s="66">
        <v>1.4532799999999999</v>
      </c>
      <c r="I68" s="66">
        <v>0</v>
      </c>
      <c r="J68" s="66">
        <v>1.4532799999999999</v>
      </c>
      <c r="K68" s="66">
        <v>1.4532799999999999</v>
      </c>
      <c r="L68" s="66">
        <v>0</v>
      </c>
      <c r="M68" s="66">
        <v>0</v>
      </c>
      <c r="N68" s="67">
        <v>99.998623821647286</v>
      </c>
      <c r="O68" s="67" t="s">
        <v>1230</v>
      </c>
      <c r="P68" s="67">
        <v>0</v>
      </c>
      <c r="Q68" s="66">
        <v>0</v>
      </c>
      <c r="R68" s="67">
        <v>0</v>
      </c>
      <c r="S68" s="66">
        <v>0</v>
      </c>
      <c r="T68" s="66">
        <v>0</v>
      </c>
      <c r="U68" s="66">
        <v>0</v>
      </c>
      <c r="V68" s="66">
        <v>0</v>
      </c>
      <c r="W68" s="66">
        <v>0</v>
      </c>
      <c r="X68" s="66">
        <v>0</v>
      </c>
      <c r="Y68" s="66">
        <v>0</v>
      </c>
      <c r="Z68" s="66">
        <v>0</v>
      </c>
      <c r="AA68" s="66">
        <v>0</v>
      </c>
      <c r="AB68" s="66">
        <v>0</v>
      </c>
      <c r="AC68" s="66">
        <v>0</v>
      </c>
      <c r="AD68" s="67" t="s">
        <v>1230</v>
      </c>
      <c r="AE68" s="67" t="s">
        <v>1230</v>
      </c>
      <c r="AF68" s="67">
        <v>0</v>
      </c>
      <c r="AG68" s="187">
        <v>0</v>
      </c>
      <c r="AH68" s="67">
        <v>0</v>
      </c>
      <c r="AI68" s="66">
        <v>0</v>
      </c>
      <c r="AJ68" s="66">
        <v>0</v>
      </c>
      <c r="AK68" s="66">
        <v>0</v>
      </c>
      <c r="AL68" s="66">
        <v>0</v>
      </c>
      <c r="AM68" s="66">
        <v>0</v>
      </c>
      <c r="AN68" s="66">
        <v>0</v>
      </c>
      <c r="AO68" s="66">
        <v>0</v>
      </c>
      <c r="AP68" s="66">
        <v>0</v>
      </c>
      <c r="AQ68" s="66">
        <v>0</v>
      </c>
      <c r="AR68" s="66">
        <v>0</v>
      </c>
      <c r="AS68" s="66">
        <v>0</v>
      </c>
      <c r="AT68" s="67" t="s">
        <v>1230</v>
      </c>
      <c r="AU68" s="67" t="s">
        <v>1230</v>
      </c>
      <c r="AV68" s="67">
        <v>0</v>
      </c>
      <c r="AW68" s="187">
        <v>0</v>
      </c>
      <c r="AX68" s="67">
        <v>0</v>
      </c>
      <c r="AY68" s="66">
        <v>0</v>
      </c>
      <c r="AZ68" s="66">
        <v>0</v>
      </c>
      <c r="BA68" s="66">
        <v>0</v>
      </c>
      <c r="BB68" s="66">
        <v>0</v>
      </c>
      <c r="BC68" s="66">
        <v>0</v>
      </c>
      <c r="BD68" s="66">
        <v>0</v>
      </c>
      <c r="BE68" s="66">
        <v>0</v>
      </c>
      <c r="BF68" s="66">
        <v>0</v>
      </c>
      <c r="BG68" s="66">
        <v>0</v>
      </c>
      <c r="BH68" s="66">
        <v>0</v>
      </c>
      <c r="BI68" s="66">
        <v>0</v>
      </c>
      <c r="BJ68" s="67" t="s">
        <v>1230</v>
      </c>
      <c r="BK68" s="67" t="s">
        <v>1230</v>
      </c>
      <c r="BL68" s="67">
        <v>0</v>
      </c>
      <c r="BM68" s="187">
        <v>0</v>
      </c>
      <c r="BN68" s="67">
        <v>0</v>
      </c>
      <c r="BO68" s="66">
        <v>1.4533</v>
      </c>
      <c r="BP68" s="66">
        <v>0</v>
      </c>
      <c r="BQ68" s="66">
        <v>1.4533</v>
      </c>
      <c r="BR68" s="66">
        <v>1.4533</v>
      </c>
      <c r="BS68" s="66">
        <v>0</v>
      </c>
      <c r="BT68" s="66">
        <v>1.4532799999999999</v>
      </c>
      <c r="BU68" s="66">
        <v>0</v>
      </c>
      <c r="BV68" s="66">
        <v>1.4532799999999999</v>
      </c>
      <c r="BW68" s="66">
        <v>1.4532799999999999</v>
      </c>
      <c r="BX68" s="66">
        <v>0</v>
      </c>
      <c r="BY68" s="66">
        <v>0</v>
      </c>
      <c r="BZ68" s="67">
        <v>99.998623821647286</v>
      </c>
      <c r="CA68" s="67" t="s">
        <v>1230</v>
      </c>
      <c r="CB68" s="67">
        <v>0</v>
      </c>
      <c r="CC68" s="187">
        <v>0</v>
      </c>
      <c r="CD68" s="67">
        <v>0</v>
      </c>
    </row>
    <row r="69" spans="1:82" ht="15.6" x14ac:dyDescent="0.3">
      <c r="A69" s="169">
        <v>57</v>
      </c>
      <c r="B69" s="205" t="s">
        <v>149</v>
      </c>
      <c r="C69" s="66">
        <v>3.0840000000000001</v>
      </c>
      <c r="D69" s="66">
        <v>0</v>
      </c>
      <c r="E69" s="66">
        <v>3.0840000000000001</v>
      </c>
      <c r="F69" s="66">
        <v>3.0840000000000001</v>
      </c>
      <c r="G69" s="66">
        <v>0</v>
      </c>
      <c r="H69" s="66">
        <v>3.0839831000000002</v>
      </c>
      <c r="I69" s="66">
        <v>0</v>
      </c>
      <c r="J69" s="66">
        <v>3.0839831000000002</v>
      </c>
      <c r="K69" s="66">
        <v>3.0839831000000002</v>
      </c>
      <c r="L69" s="66">
        <v>0</v>
      </c>
      <c r="M69" s="66">
        <v>0</v>
      </c>
      <c r="N69" s="67">
        <v>99.999452010376146</v>
      </c>
      <c r="O69" s="67" t="s">
        <v>1230</v>
      </c>
      <c r="P69" s="67">
        <v>0</v>
      </c>
      <c r="Q69" s="66">
        <v>0</v>
      </c>
      <c r="R69" s="67">
        <v>0</v>
      </c>
      <c r="S69" s="66">
        <v>0</v>
      </c>
      <c r="T69" s="66">
        <v>0</v>
      </c>
      <c r="U69" s="66">
        <v>0</v>
      </c>
      <c r="V69" s="66">
        <v>0</v>
      </c>
      <c r="W69" s="66">
        <v>0</v>
      </c>
      <c r="X69" s="66">
        <v>0</v>
      </c>
      <c r="Y69" s="66">
        <v>0</v>
      </c>
      <c r="Z69" s="66">
        <v>0</v>
      </c>
      <c r="AA69" s="66">
        <v>0</v>
      </c>
      <c r="AB69" s="66">
        <v>0</v>
      </c>
      <c r="AC69" s="66">
        <v>0</v>
      </c>
      <c r="AD69" s="67" t="s">
        <v>1230</v>
      </c>
      <c r="AE69" s="67" t="s">
        <v>1230</v>
      </c>
      <c r="AF69" s="67">
        <v>0</v>
      </c>
      <c r="AG69" s="187">
        <v>0</v>
      </c>
      <c r="AH69" s="67">
        <v>0</v>
      </c>
      <c r="AI69" s="66">
        <v>0</v>
      </c>
      <c r="AJ69" s="66">
        <v>0</v>
      </c>
      <c r="AK69" s="66">
        <v>0</v>
      </c>
      <c r="AL69" s="66">
        <v>0</v>
      </c>
      <c r="AM69" s="66">
        <v>0</v>
      </c>
      <c r="AN69" s="66">
        <v>0</v>
      </c>
      <c r="AO69" s="66">
        <v>0</v>
      </c>
      <c r="AP69" s="66">
        <v>0</v>
      </c>
      <c r="AQ69" s="66">
        <v>0</v>
      </c>
      <c r="AR69" s="66">
        <v>0</v>
      </c>
      <c r="AS69" s="66">
        <v>0</v>
      </c>
      <c r="AT69" s="67" t="s">
        <v>1230</v>
      </c>
      <c r="AU69" s="67" t="s">
        <v>1230</v>
      </c>
      <c r="AV69" s="67">
        <v>0</v>
      </c>
      <c r="AW69" s="187">
        <v>0</v>
      </c>
      <c r="AX69" s="67">
        <v>0</v>
      </c>
      <c r="AY69" s="66">
        <v>0</v>
      </c>
      <c r="AZ69" s="66">
        <v>0</v>
      </c>
      <c r="BA69" s="66">
        <v>0</v>
      </c>
      <c r="BB69" s="66">
        <v>0</v>
      </c>
      <c r="BC69" s="66">
        <v>0</v>
      </c>
      <c r="BD69" s="66">
        <v>0</v>
      </c>
      <c r="BE69" s="66">
        <v>0</v>
      </c>
      <c r="BF69" s="66">
        <v>0</v>
      </c>
      <c r="BG69" s="66">
        <v>0</v>
      </c>
      <c r="BH69" s="66">
        <v>0</v>
      </c>
      <c r="BI69" s="66">
        <v>0</v>
      </c>
      <c r="BJ69" s="67" t="s">
        <v>1230</v>
      </c>
      <c r="BK69" s="67" t="s">
        <v>1230</v>
      </c>
      <c r="BL69" s="67">
        <v>0</v>
      </c>
      <c r="BM69" s="187">
        <v>0</v>
      </c>
      <c r="BN69" s="67">
        <v>0</v>
      </c>
      <c r="BO69" s="66">
        <v>3.0840000000000001</v>
      </c>
      <c r="BP69" s="66">
        <v>0</v>
      </c>
      <c r="BQ69" s="66">
        <v>3.0840000000000001</v>
      </c>
      <c r="BR69" s="66">
        <v>3.0840000000000001</v>
      </c>
      <c r="BS69" s="66">
        <v>0</v>
      </c>
      <c r="BT69" s="66">
        <v>3.0839831000000002</v>
      </c>
      <c r="BU69" s="66">
        <v>0</v>
      </c>
      <c r="BV69" s="66">
        <v>3.0839831000000002</v>
      </c>
      <c r="BW69" s="66">
        <v>3.0839831000000002</v>
      </c>
      <c r="BX69" s="66">
        <v>0</v>
      </c>
      <c r="BY69" s="66">
        <v>0</v>
      </c>
      <c r="BZ69" s="67">
        <v>99.999452010376146</v>
      </c>
      <c r="CA69" s="67" t="s">
        <v>1230</v>
      </c>
      <c r="CB69" s="67">
        <v>0</v>
      </c>
      <c r="CC69" s="187">
        <v>0</v>
      </c>
      <c r="CD69" s="67">
        <v>0</v>
      </c>
    </row>
    <row r="70" spans="1:82" ht="15.6" x14ac:dyDescent="0.3">
      <c r="A70" s="169">
        <v>58</v>
      </c>
      <c r="B70" s="205" t="s">
        <v>152</v>
      </c>
      <c r="C70" s="66">
        <v>0</v>
      </c>
      <c r="D70" s="66">
        <v>0</v>
      </c>
      <c r="E70" s="66">
        <v>0</v>
      </c>
      <c r="F70" s="66">
        <v>0</v>
      </c>
      <c r="G70" s="66">
        <v>0</v>
      </c>
      <c r="H70" s="66">
        <v>0</v>
      </c>
      <c r="I70" s="66">
        <v>0</v>
      </c>
      <c r="J70" s="66">
        <v>0</v>
      </c>
      <c r="K70" s="66">
        <v>0</v>
      </c>
      <c r="L70" s="66">
        <v>0</v>
      </c>
      <c r="M70" s="66">
        <v>0</v>
      </c>
      <c r="N70" s="67" t="s">
        <v>1230</v>
      </c>
      <c r="O70" s="67" t="s">
        <v>1230</v>
      </c>
      <c r="P70" s="67">
        <v>0</v>
      </c>
      <c r="Q70" s="66">
        <v>0</v>
      </c>
      <c r="R70" s="67">
        <v>0</v>
      </c>
      <c r="S70" s="66">
        <v>0</v>
      </c>
      <c r="T70" s="66">
        <v>0</v>
      </c>
      <c r="U70" s="66">
        <v>0</v>
      </c>
      <c r="V70" s="66">
        <v>0</v>
      </c>
      <c r="W70" s="66">
        <v>0</v>
      </c>
      <c r="X70" s="66">
        <v>0</v>
      </c>
      <c r="Y70" s="66">
        <v>0</v>
      </c>
      <c r="Z70" s="66">
        <v>0</v>
      </c>
      <c r="AA70" s="66">
        <v>0</v>
      </c>
      <c r="AB70" s="66">
        <v>0</v>
      </c>
      <c r="AC70" s="66">
        <v>0</v>
      </c>
      <c r="AD70" s="67" t="s">
        <v>1230</v>
      </c>
      <c r="AE70" s="67" t="s">
        <v>1230</v>
      </c>
      <c r="AF70" s="67">
        <v>0</v>
      </c>
      <c r="AG70" s="187">
        <v>0</v>
      </c>
      <c r="AH70" s="67">
        <v>0</v>
      </c>
      <c r="AI70" s="66">
        <v>0</v>
      </c>
      <c r="AJ70" s="66">
        <v>0</v>
      </c>
      <c r="AK70" s="66">
        <v>0</v>
      </c>
      <c r="AL70" s="66">
        <v>0</v>
      </c>
      <c r="AM70" s="66">
        <v>0</v>
      </c>
      <c r="AN70" s="66">
        <v>0</v>
      </c>
      <c r="AO70" s="66">
        <v>0</v>
      </c>
      <c r="AP70" s="66">
        <v>0</v>
      </c>
      <c r="AQ70" s="66">
        <v>0</v>
      </c>
      <c r="AR70" s="66">
        <v>0</v>
      </c>
      <c r="AS70" s="66">
        <v>0</v>
      </c>
      <c r="AT70" s="67" t="s">
        <v>1230</v>
      </c>
      <c r="AU70" s="67" t="s">
        <v>1230</v>
      </c>
      <c r="AV70" s="67">
        <v>0</v>
      </c>
      <c r="AW70" s="187">
        <v>0</v>
      </c>
      <c r="AX70" s="67">
        <v>0</v>
      </c>
      <c r="AY70" s="66">
        <v>0</v>
      </c>
      <c r="AZ70" s="66">
        <v>0</v>
      </c>
      <c r="BA70" s="66">
        <v>0</v>
      </c>
      <c r="BB70" s="66">
        <v>0</v>
      </c>
      <c r="BC70" s="66">
        <v>0</v>
      </c>
      <c r="BD70" s="66">
        <v>0</v>
      </c>
      <c r="BE70" s="66">
        <v>0</v>
      </c>
      <c r="BF70" s="66">
        <v>0</v>
      </c>
      <c r="BG70" s="66">
        <v>0</v>
      </c>
      <c r="BH70" s="66">
        <v>0</v>
      </c>
      <c r="BI70" s="66">
        <v>0</v>
      </c>
      <c r="BJ70" s="67" t="s">
        <v>1230</v>
      </c>
      <c r="BK70" s="67" t="s">
        <v>1230</v>
      </c>
      <c r="BL70" s="67">
        <v>0</v>
      </c>
      <c r="BM70" s="187">
        <v>0</v>
      </c>
      <c r="BN70" s="67">
        <v>0</v>
      </c>
      <c r="BO70" s="66">
        <v>0</v>
      </c>
      <c r="BP70" s="66">
        <v>0</v>
      </c>
      <c r="BQ70" s="66">
        <v>0</v>
      </c>
      <c r="BR70" s="66">
        <v>0</v>
      </c>
      <c r="BS70" s="66">
        <v>0</v>
      </c>
      <c r="BT70" s="66">
        <v>0</v>
      </c>
      <c r="BU70" s="66">
        <v>0</v>
      </c>
      <c r="BV70" s="66">
        <v>0</v>
      </c>
      <c r="BW70" s="66">
        <v>0</v>
      </c>
      <c r="BX70" s="66">
        <v>0</v>
      </c>
      <c r="BY70" s="66">
        <v>0</v>
      </c>
      <c r="BZ70" s="67" t="s">
        <v>1230</v>
      </c>
      <c r="CA70" s="67" t="s">
        <v>1230</v>
      </c>
      <c r="CB70" s="67">
        <v>0</v>
      </c>
      <c r="CC70" s="187">
        <v>0</v>
      </c>
      <c r="CD70" s="67">
        <v>0</v>
      </c>
    </row>
    <row r="71" spans="1:82" ht="15.6" x14ac:dyDescent="0.3">
      <c r="A71" s="169">
        <v>59</v>
      </c>
      <c r="B71" s="205" t="s">
        <v>155</v>
      </c>
      <c r="C71" s="66">
        <v>27.011500000000002</v>
      </c>
      <c r="D71" s="66">
        <v>0</v>
      </c>
      <c r="E71" s="66">
        <v>27.011500000000002</v>
      </c>
      <c r="F71" s="66">
        <v>27.011500000000002</v>
      </c>
      <c r="G71" s="66">
        <v>0</v>
      </c>
      <c r="H71" s="66">
        <v>27.011410000000001</v>
      </c>
      <c r="I71" s="66">
        <v>0</v>
      </c>
      <c r="J71" s="66">
        <v>27.011410000000001</v>
      </c>
      <c r="K71" s="66">
        <v>27.011410000000001</v>
      </c>
      <c r="L71" s="66">
        <v>0</v>
      </c>
      <c r="M71" s="66">
        <v>0</v>
      </c>
      <c r="N71" s="67">
        <v>99.999666808581537</v>
      </c>
      <c r="O71" s="67" t="s">
        <v>1230</v>
      </c>
      <c r="P71" s="67">
        <v>0</v>
      </c>
      <c r="Q71" s="66">
        <v>0</v>
      </c>
      <c r="R71" s="67">
        <v>0</v>
      </c>
      <c r="S71" s="66">
        <v>0</v>
      </c>
      <c r="T71" s="66">
        <v>0</v>
      </c>
      <c r="U71" s="66">
        <v>0</v>
      </c>
      <c r="V71" s="66">
        <v>0</v>
      </c>
      <c r="W71" s="66">
        <v>0</v>
      </c>
      <c r="X71" s="66">
        <v>0</v>
      </c>
      <c r="Y71" s="66">
        <v>0</v>
      </c>
      <c r="Z71" s="66">
        <v>0</v>
      </c>
      <c r="AA71" s="66">
        <v>0</v>
      </c>
      <c r="AB71" s="66">
        <v>0</v>
      </c>
      <c r="AC71" s="66">
        <v>0</v>
      </c>
      <c r="AD71" s="67" t="s">
        <v>1230</v>
      </c>
      <c r="AE71" s="67" t="s">
        <v>1230</v>
      </c>
      <c r="AF71" s="67">
        <v>0</v>
      </c>
      <c r="AG71" s="187">
        <v>0</v>
      </c>
      <c r="AH71" s="67">
        <v>0</v>
      </c>
      <c r="AI71" s="66">
        <v>0</v>
      </c>
      <c r="AJ71" s="66">
        <v>0</v>
      </c>
      <c r="AK71" s="66">
        <v>0</v>
      </c>
      <c r="AL71" s="66">
        <v>0</v>
      </c>
      <c r="AM71" s="66">
        <v>0</v>
      </c>
      <c r="AN71" s="66">
        <v>0</v>
      </c>
      <c r="AO71" s="66">
        <v>0</v>
      </c>
      <c r="AP71" s="66">
        <v>0</v>
      </c>
      <c r="AQ71" s="66">
        <v>0</v>
      </c>
      <c r="AR71" s="66">
        <v>0</v>
      </c>
      <c r="AS71" s="66">
        <v>0</v>
      </c>
      <c r="AT71" s="67" t="s">
        <v>1230</v>
      </c>
      <c r="AU71" s="67" t="s">
        <v>1230</v>
      </c>
      <c r="AV71" s="67">
        <v>0</v>
      </c>
      <c r="AW71" s="187">
        <v>0</v>
      </c>
      <c r="AX71" s="67">
        <v>0</v>
      </c>
      <c r="AY71" s="66">
        <v>0</v>
      </c>
      <c r="AZ71" s="66">
        <v>0</v>
      </c>
      <c r="BA71" s="66">
        <v>0</v>
      </c>
      <c r="BB71" s="66">
        <v>0</v>
      </c>
      <c r="BC71" s="66">
        <v>0</v>
      </c>
      <c r="BD71" s="66">
        <v>0</v>
      </c>
      <c r="BE71" s="66">
        <v>0</v>
      </c>
      <c r="BF71" s="66">
        <v>0</v>
      </c>
      <c r="BG71" s="66">
        <v>0</v>
      </c>
      <c r="BH71" s="66">
        <v>0</v>
      </c>
      <c r="BI71" s="66">
        <v>0</v>
      </c>
      <c r="BJ71" s="67" t="s">
        <v>1230</v>
      </c>
      <c r="BK71" s="67" t="s">
        <v>1230</v>
      </c>
      <c r="BL71" s="67">
        <v>0</v>
      </c>
      <c r="BM71" s="187">
        <v>0</v>
      </c>
      <c r="BN71" s="67">
        <v>0</v>
      </c>
      <c r="BO71" s="66">
        <v>27.011500000000002</v>
      </c>
      <c r="BP71" s="66">
        <v>0</v>
      </c>
      <c r="BQ71" s="66">
        <v>27.011500000000002</v>
      </c>
      <c r="BR71" s="66">
        <v>27.011500000000002</v>
      </c>
      <c r="BS71" s="66">
        <v>0</v>
      </c>
      <c r="BT71" s="66">
        <v>27.011410000000001</v>
      </c>
      <c r="BU71" s="66">
        <v>0</v>
      </c>
      <c r="BV71" s="66">
        <v>27.011410000000001</v>
      </c>
      <c r="BW71" s="66">
        <v>27.011410000000001</v>
      </c>
      <c r="BX71" s="66">
        <v>0</v>
      </c>
      <c r="BY71" s="66">
        <v>0</v>
      </c>
      <c r="BZ71" s="67">
        <v>99.999666808581537</v>
      </c>
      <c r="CA71" s="67" t="s">
        <v>1230</v>
      </c>
      <c r="CB71" s="67">
        <v>0</v>
      </c>
      <c r="CC71" s="187">
        <v>0</v>
      </c>
      <c r="CD71" s="67">
        <v>0</v>
      </c>
    </row>
    <row r="72" spans="1:82" ht="15.6" x14ac:dyDescent="0.3">
      <c r="A72" s="169">
        <v>60</v>
      </c>
      <c r="B72" s="205" t="s">
        <v>158</v>
      </c>
      <c r="C72" s="66">
        <v>16.782399999999999</v>
      </c>
      <c r="D72" s="66">
        <v>0</v>
      </c>
      <c r="E72" s="66">
        <v>16.782399999999999</v>
      </c>
      <c r="F72" s="66">
        <v>16.782399999999999</v>
      </c>
      <c r="G72" s="66">
        <v>0</v>
      </c>
      <c r="H72" s="66">
        <v>16.782309999999999</v>
      </c>
      <c r="I72" s="66">
        <v>0</v>
      </c>
      <c r="J72" s="66">
        <v>16.782309999999999</v>
      </c>
      <c r="K72" s="66">
        <v>16.782309999999999</v>
      </c>
      <c r="L72" s="66">
        <v>0</v>
      </c>
      <c r="M72" s="66">
        <v>0</v>
      </c>
      <c r="N72" s="67">
        <v>99.999463723901229</v>
      </c>
      <c r="O72" s="67" t="s">
        <v>1230</v>
      </c>
      <c r="P72" s="67">
        <v>0</v>
      </c>
      <c r="Q72" s="66">
        <v>0</v>
      </c>
      <c r="R72" s="67">
        <v>0</v>
      </c>
      <c r="S72" s="66">
        <v>0</v>
      </c>
      <c r="T72" s="66">
        <v>0</v>
      </c>
      <c r="U72" s="66">
        <v>0</v>
      </c>
      <c r="V72" s="66">
        <v>0</v>
      </c>
      <c r="W72" s="66">
        <v>0</v>
      </c>
      <c r="X72" s="66">
        <v>0</v>
      </c>
      <c r="Y72" s="66">
        <v>0</v>
      </c>
      <c r="Z72" s="66">
        <v>0</v>
      </c>
      <c r="AA72" s="66">
        <v>0</v>
      </c>
      <c r="AB72" s="66">
        <v>0</v>
      </c>
      <c r="AC72" s="66">
        <v>0</v>
      </c>
      <c r="AD72" s="67" t="s">
        <v>1230</v>
      </c>
      <c r="AE72" s="67" t="s">
        <v>1230</v>
      </c>
      <c r="AF72" s="67">
        <v>0</v>
      </c>
      <c r="AG72" s="187">
        <v>0</v>
      </c>
      <c r="AH72" s="67">
        <v>0</v>
      </c>
      <c r="AI72" s="66">
        <v>0</v>
      </c>
      <c r="AJ72" s="66">
        <v>0</v>
      </c>
      <c r="AK72" s="66">
        <v>0</v>
      </c>
      <c r="AL72" s="66">
        <v>0</v>
      </c>
      <c r="AM72" s="66">
        <v>0</v>
      </c>
      <c r="AN72" s="66">
        <v>0</v>
      </c>
      <c r="AO72" s="66">
        <v>0</v>
      </c>
      <c r="AP72" s="66">
        <v>0</v>
      </c>
      <c r="AQ72" s="66">
        <v>0</v>
      </c>
      <c r="AR72" s="66">
        <v>0</v>
      </c>
      <c r="AS72" s="66">
        <v>0</v>
      </c>
      <c r="AT72" s="67" t="s">
        <v>1230</v>
      </c>
      <c r="AU72" s="67" t="s">
        <v>1230</v>
      </c>
      <c r="AV72" s="67">
        <v>0</v>
      </c>
      <c r="AW72" s="187">
        <v>0</v>
      </c>
      <c r="AX72" s="67">
        <v>0</v>
      </c>
      <c r="AY72" s="66">
        <v>0</v>
      </c>
      <c r="AZ72" s="66">
        <v>0</v>
      </c>
      <c r="BA72" s="66">
        <v>0</v>
      </c>
      <c r="BB72" s="66">
        <v>0</v>
      </c>
      <c r="BC72" s="66">
        <v>0</v>
      </c>
      <c r="BD72" s="66">
        <v>0</v>
      </c>
      <c r="BE72" s="66">
        <v>0</v>
      </c>
      <c r="BF72" s="66">
        <v>0</v>
      </c>
      <c r="BG72" s="66">
        <v>0</v>
      </c>
      <c r="BH72" s="66">
        <v>0</v>
      </c>
      <c r="BI72" s="66">
        <v>0</v>
      </c>
      <c r="BJ72" s="67" t="s">
        <v>1230</v>
      </c>
      <c r="BK72" s="67" t="s">
        <v>1230</v>
      </c>
      <c r="BL72" s="67">
        <v>0</v>
      </c>
      <c r="BM72" s="187">
        <v>0</v>
      </c>
      <c r="BN72" s="67">
        <v>0</v>
      </c>
      <c r="BO72" s="66">
        <v>16.782399999999999</v>
      </c>
      <c r="BP72" s="66">
        <v>0</v>
      </c>
      <c r="BQ72" s="66">
        <v>16.782399999999999</v>
      </c>
      <c r="BR72" s="66">
        <v>16.782399999999999</v>
      </c>
      <c r="BS72" s="66">
        <v>0</v>
      </c>
      <c r="BT72" s="66">
        <v>16.782309999999999</v>
      </c>
      <c r="BU72" s="66">
        <v>0</v>
      </c>
      <c r="BV72" s="66">
        <v>16.782309999999999</v>
      </c>
      <c r="BW72" s="66">
        <v>16.782309999999999</v>
      </c>
      <c r="BX72" s="66">
        <v>0</v>
      </c>
      <c r="BY72" s="66">
        <v>0</v>
      </c>
      <c r="BZ72" s="67">
        <v>99.999463723901229</v>
      </c>
      <c r="CA72" s="67" t="s">
        <v>1230</v>
      </c>
      <c r="CB72" s="67">
        <v>0</v>
      </c>
      <c r="CC72" s="187">
        <v>0</v>
      </c>
      <c r="CD72" s="67">
        <v>0</v>
      </c>
    </row>
    <row r="73" spans="1:82" ht="15.6" x14ac:dyDescent="0.3">
      <c r="A73" s="169">
        <v>61</v>
      </c>
      <c r="B73" s="205" t="s">
        <v>161</v>
      </c>
      <c r="C73" s="66">
        <v>6.9546000000000001</v>
      </c>
      <c r="D73" s="66">
        <v>0</v>
      </c>
      <c r="E73" s="66">
        <v>6.9546000000000001</v>
      </c>
      <c r="F73" s="66">
        <v>6.9546000000000001</v>
      </c>
      <c r="G73" s="66">
        <v>0</v>
      </c>
      <c r="H73" s="66">
        <v>6.95451</v>
      </c>
      <c r="I73" s="66">
        <v>0</v>
      </c>
      <c r="J73" s="66">
        <v>6.95451</v>
      </c>
      <c r="K73" s="66">
        <v>6.95451</v>
      </c>
      <c r="L73" s="66">
        <v>0</v>
      </c>
      <c r="M73" s="66">
        <v>0</v>
      </c>
      <c r="N73" s="67">
        <v>99.998705892502798</v>
      </c>
      <c r="O73" s="67" t="s">
        <v>1230</v>
      </c>
      <c r="P73" s="67">
        <v>0</v>
      </c>
      <c r="Q73" s="66">
        <v>0</v>
      </c>
      <c r="R73" s="67">
        <v>0</v>
      </c>
      <c r="S73" s="66">
        <v>0</v>
      </c>
      <c r="T73" s="66">
        <v>0</v>
      </c>
      <c r="U73" s="66">
        <v>0</v>
      </c>
      <c r="V73" s="66">
        <v>0</v>
      </c>
      <c r="W73" s="66">
        <v>0</v>
      </c>
      <c r="X73" s="66">
        <v>0</v>
      </c>
      <c r="Y73" s="66">
        <v>0</v>
      </c>
      <c r="Z73" s="66">
        <v>0</v>
      </c>
      <c r="AA73" s="66">
        <v>0</v>
      </c>
      <c r="AB73" s="66">
        <v>0</v>
      </c>
      <c r="AC73" s="66">
        <v>0</v>
      </c>
      <c r="AD73" s="67" t="s">
        <v>1230</v>
      </c>
      <c r="AE73" s="67" t="s">
        <v>1230</v>
      </c>
      <c r="AF73" s="67">
        <v>0</v>
      </c>
      <c r="AG73" s="187">
        <v>0</v>
      </c>
      <c r="AH73" s="67">
        <v>0</v>
      </c>
      <c r="AI73" s="66">
        <v>0</v>
      </c>
      <c r="AJ73" s="66">
        <v>0</v>
      </c>
      <c r="AK73" s="66">
        <v>0</v>
      </c>
      <c r="AL73" s="66">
        <v>0</v>
      </c>
      <c r="AM73" s="66">
        <v>0</v>
      </c>
      <c r="AN73" s="66">
        <v>0</v>
      </c>
      <c r="AO73" s="66">
        <v>0</v>
      </c>
      <c r="AP73" s="66">
        <v>0</v>
      </c>
      <c r="AQ73" s="66">
        <v>0</v>
      </c>
      <c r="AR73" s="66">
        <v>0</v>
      </c>
      <c r="AS73" s="66">
        <v>0</v>
      </c>
      <c r="AT73" s="67" t="s">
        <v>1230</v>
      </c>
      <c r="AU73" s="67" t="s">
        <v>1230</v>
      </c>
      <c r="AV73" s="67">
        <v>0</v>
      </c>
      <c r="AW73" s="187">
        <v>0</v>
      </c>
      <c r="AX73" s="67">
        <v>0</v>
      </c>
      <c r="AY73" s="66">
        <v>0</v>
      </c>
      <c r="AZ73" s="66">
        <v>0</v>
      </c>
      <c r="BA73" s="66">
        <v>0</v>
      </c>
      <c r="BB73" s="66">
        <v>0</v>
      </c>
      <c r="BC73" s="66">
        <v>0</v>
      </c>
      <c r="BD73" s="66">
        <v>0</v>
      </c>
      <c r="BE73" s="66">
        <v>0</v>
      </c>
      <c r="BF73" s="66">
        <v>0</v>
      </c>
      <c r="BG73" s="66">
        <v>0</v>
      </c>
      <c r="BH73" s="66">
        <v>0</v>
      </c>
      <c r="BI73" s="66">
        <v>0</v>
      </c>
      <c r="BJ73" s="67" t="s">
        <v>1230</v>
      </c>
      <c r="BK73" s="67" t="s">
        <v>1230</v>
      </c>
      <c r="BL73" s="67">
        <v>0</v>
      </c>
      <c r="BM73" s="187">
        <v>0</v>
      </c>
      <c r="BN73" s="67">
        <v>0</v>
      </c>
      <c r="BO73" s="66">
        <v>6.9546000000000001</v>
      </c>
      <c r="BP73" s="66">
        <v>0</v>
      </c>
      <c r="BQ73" s="66">
        <v>6.9546000000000001</v>
      </c>
      <c r="BR73" s="66">
        <v>6.9546000000000001</v>
      </c>
      <c r="BS73" s="66">
        <v>0</v>
      </c>
      <c r="BT73" s="66">
        <v>6.95451</v>
      </c>
      <c r="BU73" s="66">
        <v>0</v>
      </c>
      <c r="BV73" s="66">
        <v>6.95451</v>
      </c>
      <c r="BW73" s="66">
        <v>6.95451</v>
      </c>
      <c r="BX73" s="66">
        <v>0</v>
      </c>
      <c r="BY73" s="66">
        <v>0</v>
      </c>
      <c r="BZ73" s="67">
        <v>99.998705892502798</v>
      </c>
      <c r="CA73" s="67" t="s">
        <v>1230</v>
      </c>
      <c r="CB73" s="67">
        <v>0</v>
      </c>
      <c r="CC73" s="187">
        <v>0</v>
      </c>
      <c r="CD73" s="67">
        <v>0</v>
      </c>
    </row>
    <row r="74" spans="1:82" ht="15.6" x14ac:dyDescent="0.3">
      <c r="A74" s="169">
        <v>62</v>
      </c>
      <c r="B74" s="205" t="s">
        <v>164</v>
      </c>
      <c r="C74" s="66">
        <v>0</v>
      </c>
      <c r="D74" s="66">
        <v>0</v>
      </c>
      <c r="E74" s="66">
        <v>0</v>
      </c>
      <c r="F74" s="66">
        <v>0</v>
      </c>
      <c r="G74" s="66">
        <v>0</v>
      </c>
      <c r="H74" s="66">
        <v>0</v>
      </c>
      <c r="I74" s="66">
        <v>0</v>
      </c>
      <c r="J74" s="66">
        <v>0</v>
      </c>
      <c r="K74" s="66">
        <v>0</v>
      </c>
      <c r="L74" s="66">
        <v>0</v>
      </c>
      <c r="M74" s="66">
        <v>0</v>
      </c>
      <c r="N74" s="67" t="s">
        <v>1230</v>
      </c>
      <c r="O74" s="67" t="s">
        <v>1230</v>
      </c>
      <c r="P74" s="67">
        <v>0</v>
      </c>
      <c r="Q74" s="66">
        <v>0</v>
      </c>
      <c r="R74" s="67">
        <v>0</v>
      </c>
      <c r="S74" s="66">
        <v>0</v>
      </c>
      <c r="T74" s="66">
        <v>0</v>
      </c>
      <c r="U74" s="66">
        <v>0</v>
      </c>
      <c r="V74" s="66">
        <v>0</v>
      </c>
      <c r="W74" s="66">
        <v>0</v>
      </c>
      <c r="X74" s="66">
        <v>0</v>
      </c>
      <c r="Y74" s="66">
        <v>0</v>
      </c>
      <c r="Z74" s="66">
        <v>0</v>
      </c>
      <c r="AA74" s="66">
        <v>0</v>
      </c>
      <c r="AB74" s="66">
        <v>0</v>
      </c>
      <c r="AC74" s="66">
        <v>0</v>
      </c>
      <c r="AD74" s="67" t="s">
        <v>1230</v>
      </c>
      <c r="AE74" s="67" t="s">
        <v>1230</v>
      </c>
      <c r="AF74" s="67">
        <v>0</v>
      </c>
      <c r="AG74" s="187">
        <v>0</v>
      </c>
      <c r="AH74" s="67">
        <v>0</v>
      </c>
      <c r="AI74" s="66">
        <v>0</v>
      </c>
      <c r="AJ74" s="66">
        <v>0</v>
      </c>
      <c r="AK74" s="66">
        <v>0</v>
      </c>
      <c r="AL74" s="66">
        <v>0</v>
      </c>
      <c r="AM74" s="66">
        <v>0</v>
      </c>
      <c r="AN74" s="66">
        <v>0</v>
      </c>
      <c r="AO74" s="66">
        <v>0</v>
      </c>
      <c r="AP74" s="66">
        <v>0</v>
      </c>
      <c r="AQ74" s="66">
        <v>0</v>
      </c>
      <c r="AR74" s="66">
        <v>0</v>
      </c>
      <c r="AS74" s="66">
        <v>0</v>
      </c>
      <c r="AT74" s="67" t="s">
        <v>1230</v>
      </c>
      <c r="AU74" s="67" t="s">
        <v>1230</v>
      </c>
      <c r="AV74" s="67">
        <v>0</v>
      </c>
      <c r="AW74" s="187">
        <v>0</v>
      </c>
      <c r="AX74" s="67">
        <v>0</v>
      </c>
      <c r="AY74" s="66">
        <v>0</v>
      </c>
      <c r="AZ74" s="66">
        <v>0</v>
      </c>
      <c r="BA74" s="66">
        <v>0</v>
      </c>
      <c r="BB74" s="66">
        <v>0</v>
      </c>
      <c r="BC74" s="66">
        <v>0</v>
      </c>
      <c r="BD74" s="66">
        <v>0</v>
      </c>
      <c r="BE74" s="66">
        <v>0</v>
      </c>
      <c r="BF74" s="66">
        <v>0</v>
      </c>
      <c r="BG74" s="66">
        <v>0</v>
      </c>
      <c r="BH74" s="66">
        <v>0</v>
      </c>
      <c r="BI74" s="66">
        <v>0</v>
      </c>
      <c r="BJ74" s="67" t="s">
        <v>1230</v>
      </c>
      <c r="BK74" s="67" t="s">
        <v>1230</v>
      </c>
      <c r="BL74" s="67">
        <v>0</v>
      </c>
      <c r="BM74" s="187">
        <v>0</v>
      </c>
      <c r="BN74" s="67">
        <v>0</v>
      </c>
      <c r="BO74" s="66">
        <v>0</v>
      </c>
      <c r="BP74" s="66">
        <v>0</v>
      </c>
      <c r="BQ74" s="66">
        <v>0</v>
      </c>
      <c r="BR74" s="66">
        <v>0</v>
      </c>
      <c r="BS74" s="66">
        <v>0</v>
      </c>
      <c r="BT74" s="66">
        <v>0</v>
      </c>
      <c r="BU74" s="66">
        <v>0</v>
      </c>
      <c r="BV74" s="66">
        <v>0</v>
      </c>
      <c r="BW74" s="66">
        <v>0</v>
      </c>
      <c r="BX74" s="66">
        <v>0</v>
      </c>
      <c r="BY74" s="66">
        <v>0</v>
      </c>
      <c r="BZ74" s="67" t="s">
        <v>1230</v>
      </c>
      <c r="CA74" s="67" t="s">
        <v>1230</v>
      </c>
      <c r="CB74" s="67">
        <v>0</v>
      </c>
      <c r="CC74" s="187">
        <v>0</v>
      </c>
      <c r="CD74" s="67">
        <v>0</v>
      </c>
    </row>
    <row r="75" spans="1:82" ht="15.6" x14ac:dyDescent="0.3">
      <c r="A75" s="169">
        <v>63</v>
      </c>
      <c r="B75" s="205" t="s">
        <v>167</v>
      </c>
      <c r="C75" s="66">
        <v>16.7744</v>
      </c>
      <c r="D75" s="66">
        <v>0</v>
      </c>
      <c r="E75" s="66">
        <v>16.7744</v>
      </c>
      <c r="F75" s="66">
        <v>16.7744</v>
      </c>
      <c r="G75" s="66">
        <v>0</v>
      </c>
      <c r="H75" s="66">
        <v>16.774319999999999</v>
      </c>
      <c r="I75" s="66">
        <v>0</v>
      </c>
      <c r="J75" s="66">
        <v>16.774319999999999</v>
      </c>
      <c r="K75" s="66">
        <v>16.774319999999999</v>
      </c>
      <c r="L75" s="66">
        <v>0</v>
      </c>
      <c r="M75" s="66">
        <v>0</v>
      </c>
      <c r="N75" s="67">
        <v>99.999523082792834</v>
      </c>
      <c r="O75" s="67" t="s">
        <v>1230</v>
      </c>
      <c r="P75" s="67">
        <v>0</v>
      </c>
      <c r="Q75" s="66">
        <v>0</v>
      </c>
      <c r="R75" s="67">
        <v>0</v>
      </c>
      <c r="S75" s="66">
        <v>0</v>
      </c>
      <c r="T75" s="66">
        <v>0</v>
      </c>
      <c r="U75" s="66">
        <v>0</v>
      </c>
      <c r="V75" s="66">
        <v>0</v>
      </c>
      <c r="W75" s="66">
        <v>0</v>
      </c>
      <c r="X75" s="66">
        <v>0</v>
      </c>
      <c r="Y75" s="66">
        <v>0</v>
      </c>
      <c r="Z75" s="66">
        <v>0</v>
      </c>
      <c r="AA75" s="66">
        <v>0</v>
      </c>
      <c r="AB75" s="66">
        <v>0</v>
      </c>
      <c r="AC75" s="66">
        <v>0</v>
      </c>
      <c r="AD75" s="67" t="s">
        <v>1230</v>
      </c>
      <c r="AE75" s="67" t="s">
        <v>1230</v>
      </c>
      <c r="AF75" s="67">
        <v>0</v>
      </c>
      <c r="AG75" s="187">
        <v>0</v>
      </c>
      <c r="AH75" s="67">
        <v>0</v>
      </c>
      <c r="AI75" s="66">
        <v>0</v>
      </c>
      <c r="AJ75" s="66">
        <v>0</v>
      </c>
      <c r="AK75" s="66">
        <v>0</v>
      </c>
      <c r="AL75" s="66">
        <v>0</v>
      </c>
      <c r="AM75" s="66">
        <v>0</v>
      </c>
      <c r="AN75" s="66">
        <v>0</v>
      </c>
      <c r="AO75" s="66">
        <v>0</v>
      </c>
      <c r="AP75" s="66">
        <v>0</v>
      </c>
      <c r="AQ75" s="66">
        <v>0</v>
      </c>
      <c r="AR75" s="66">
        <v>0</v>
      </c>
      <c r="AS75" s="66">
        <v>0</v>
      </c>
      <c r="AT75" s="67" t="s">
        <v>1230</v>
      </c>
      <c r="AU75" s="67" t="s">
        <v>1230</v>
      </c>
      <c r="AV75" s="67">
        <v>0</v>
      </c>
      <c r="AW75" s="187">
        <v>0</v>
      </c>
      <c r="AX75" s="67">
        <v>0</v>
      </c>
      <c r="AY75" s="66">
        <v>0</v>
      </c>
      <c r="AZ75" s="66">
        <v>0</v>
      </c>
      <c r="BA75" s="66">
        <v>0</v>
      </c>
      <c r="BB75" s="66">
        <v>0</v>
      </c>
      <c r="BC75" s="66">
        <v>0</v>
      </c>
      <c r="BD75" s="66">
        <v>0</v>
      </c>
      <c r="BE75" s="66">
        <v>0</v>
      </c>
      <c r="BF75" s="66">
        <v>0</v>
      </c>
      <c r="BG75" s="66">
        <v>0</v>
      </c>
      <c r="BH75" s="66">
        <v>0</v>
      </c>
      <c r="BI75" s="66">
        <v>0</v>
      </c>
      <c r="BJ75" s="67" t="s">
        <v>1230</v>
      </c>
      <c r="BK75" s="67" t="s">
        <v>1230</v>
      </c>
      <c r="BL75" s="67">
        <v>0</v>
      </c>
      <c r="BM75" s="187">
        <v>0</v>
      </c>
      <c r="BN75" s="67">
        <v>0</v>
      </c>
      <c r="BO75" s="66">
        <v>16.7744</v>
      </c>
      <c r="BP75" s="66">
        <v>0</v>
      </c>
      <c r="BQ75" s="66">
        <v>16.7744</v>
      </c>
      <c r="BR75" s="66">
        <v>16.7744</v>
      </c>
      <c r="BS75" s="66">
        <v>0</v>
      </c>
      <c r="BT75" s="66">
        <v>16.774319999999999</v>
      </c>
      <c r="BU75" s="66">
        <v>0</v>
      </c>
      <c r="BV75" s="66">
        <v>16.774319999999999</v>
      </c>
      <c r="BW75" s="66">
        <v>16.774319999999999</v>
      </c>
      <c r="BX75" s="66">
        <v>0</v>
      </c>
      <c r="BY75" s="66">
        <v>0</v>
      </c>
      <c r="BZ75" s="67">
        <v>99.999523082792834</v>
      </c>
      <c r="CA75" s="67" t="s">
        <v>1230</v>
      </c>
      <c r="CB75" s="67">
        <v>0</v>
      </c>
      <c r="CC75" s="187">
        <v>0</v>
      </c>
      <c r="CD75" s="67">
        <v>0</v>
      </c>
    </row>
    <row r="76" spans="1:82" ht="15.6" x14ac:dyDescent="0.3">
      <c r="A76" s="215">
        <v>64</v>
      </c>
      <c r="B76" s="205" t="s">
        <v>170</v>
      </c>
      <c r="C76" s="66">
        <v>0</v>
      </c>
      <c r="D76" s="66">
        <v>0</v>
      </c>
      <c r="E76" s="66">
        <v>0</v>
      </c>
      <c r="F76" s="66">
        <v>0</v>
      </c>
      <c r="G76" s="66">
        <v>0</v>
      </c>
      <c r="H76" s="66">
        <v>0</v>
      </c>
      <c r="I76" s="66">
        <v>0</v>
      </c>
      <c r="J76" s="66">
        <v>0</v>
      </c>
      <c r="K76" s="66">
        <v>0</v>
      </c>
      <c r="L76" s="66">
        <v>0</v>
      </c>
      <c r="M76" s="66">
        <v>0</v>
      </c>
      <c r="N76" s="67" t="s">
        <v>1230</v>
      </c>
      <c r="O76" s="67" t="s">
        <v>1230</v>
      </c>
      <c r="P76" s="67">
        <v>0</v>
      </c>
      <c r="Q76" s="66">
        <v>0</v>
      </c>
      <c r="R76" s="67">
        <v>0</v>
      </c>
      <c r="S76" s="66">
        <v>0</v>
      </c>
      <c r="T76" s="66">
        <v>0</v>
      </c>
      <c r="U76" s="66">
        <v>0</v>
      </c>
      <c r="V76" s="66">
        <v>0</v>
      </c>
      <c r="W76" s="66">
        <v>0</v>
      </c>
      <c r="X76" s="66">
        <v>0</v>
      </c>
      <c r="Y76" s="66">
        <v>0</v>
      </c>
      <c r="Z76" s="66">
        <v>0</v>
      </c>
      <c r="AA76" s="66">
        <v>0</v>
      </c>
      <c r="AB76" s="66">
        <v>0</v>
      </c>
      <c r="AC76" s="66">
        <v>0</v>
      </c>
      <c r="AD76" s="67" t="s">
        <v>1230</v>
      </c>
      <c r="AE76" s="67" t="s">
        <v>1230</v>
      </c>
      <c r="AF76" s="67">
        <v>0</v>
      </c>
      <c r="AG76" s="187">
        <v>0</v>
      </c>
      <c r="AH76" s="67">
        <v>0</v>
      </c>
      <c r="AI76" s="66">
        <v>0</v>
      </c>
      <c r="AJ76" s="66">
        <v>0</v>
      </c>
      <c r="AK76" s="66">
        <v>0</v>
      </c>
      <c r="AL76" s="66">
        <v>0</v>
      </c>
      <c r="AM76" s="66">
        <v>0</v>
      </c>
      <c r="AN76" s="66">
        <v>0</v>
      </c>
      <c r="AO76" s="66">
        <v>0</v>
      </c>
      <c r="AP76" s="66">
        <v>0</v>
      </c>
      <c r="AQ76" s="66">
        <v>0</v>
      </c>
      <c r="AR76" s="66">
        <v>0</v>
      </c>
      <c r="AS76" s="66">
        <v>0</v>
      </c>
      <c r="AT76" s="67" t="s">
        <v>1230</v>
      </c>
      <c r="AU76" s="67" t="s">
        <v>1230</v>
      </c>
      <c r="AV76" s="67">
        <v>0</v>
      </c>
      <c r="AW76" s="187">
        <v>0</v>
      </c>
      <c r="AX76" s="67">
        <v>0</v>
      </c>
      <c r="AY76" s="66">
        <v>0</v>
      </c>
      <c r="AZ76" s="66">
        <v>0</v>
      </c>
      <c r="BA76" s="66">
        <v>0</v>
      </c>
      <c r="BB76" s="66">
        <v>0</v>
      </c>
      <c r="BC76" s="66">
        <v>0</v>
      </c>
      <c r="BD76" s="66">
        <v>0</v>
      </c>
      <c r="BE76" s="66">
        <v>0</v>
      </c>
      <c r="BF76" s="66">
        <v>0</v>
      </c>
      <c r="BG76" s="66">
        <v>0</v>
      </c>
      <c r="BH76" s="66">
        <v>0</v>
      </c>
      <c r="BI76" s="66">
        <v>0</v>
      </c>
      <c r="BJ76" s="67" t="s">
        <v>1230</v>
      </c>
      <c r="BK76" s="67" t="s">
        <v>1230</v>
      </c>
      <c r="BL76" s="67">
        <v>0</v>
      </c>
      <c r="BM76" s="187">
        <v>0</v>
      </c>
      <c r="BN76" s="67">
        <v>0</v>
      </c>
      <c r="BO76" s="66">
        <v>0</v>
      </c>
      <c r="BP76" s="66">
        <v>0</v>
      </c>
      <c r="BQ76" s="66">
        <v>0</v>
      </c>
      <c r="BR76" s="66">
        <v>0</v>
      </c>
      <c r="BS76" s="66">
        <v>0</v>
      </c>
      <c r="BT76" s="66">
        <v>0</v>
      </c>
      <c r="BU76" s="66">
        <v>0</v>
      </c>
      <c r="BV76" s="66">
        <v>0</v>
      </c>
      <c r="BW76" s="66">
        <v>0</v>
      </c>
      <c r="BX76" s="66">
        <v>0</v>
      </c>
      <c r="BY76" s="66">
        <v>0</v>
      </c>
      <c r="BZ76" s="67" t="s">
        <v>1230</v>
      </c>
      <c r="CA76" s="67" t="s">
        <v>1230</v>
      </c>
      <c r="CB76" s="67">
        <v>0</v>
      </c>
      <c r="CC76" s="187">
        <v>0</v>
      </c>
      <c r="CD76" s="67">
        <v>0</v>
      </c>
    </row>
    <row r="77" spans="1:82" ht="15.6" x14ac:dyDescent="0.3">
      <c r="A77" s="202">
        <v>65</v>
      </c>
      <c r="B77" s="203" t="s">
        <v>173</v>
      </c>
      <c r="C77" s="61">
        <v>0</v>
      </c>
      <c r="D77" s="61">
        <v>0</v>
      </c>
      <c r="E77" s="61">
        <v>0</v>
      </c>
      <c r="F77" s="61">
        <v>0</v>
      </c>
      <c r="G77" s="61">
        <v>0</v>
      </c>
      <c r="H77" s="61">
        <v>0</v>
      </c>
      <c r="I77" s="61">
        <v>0</v>
      </c>
      <c r="J77" s="61">
        <v>0</v>
      </c>
      <c r="K77" s="61">
        <v>0</v>
      </c>
      <c r="L77" s="61">
        <v>0</v>
      </c>
      <c r="M77" s="61">
        <v>0</v>
      </c>
      <c r="N77" s="61" t="s">
        <v>1230</v>
      </c>
      <c r="O77" s="61" t="s">
        <v>1230</v>
      </c>
      <c r="P77" s="61">
        <v>0</v>
      </c>
      <c r="Q77" s="61">
        <v>0</v>
      </c>
      <c r="R77" s="61">
        <v>0</v>
      </c>
      <c r="S77" s="61">
        <v>0</v>
      </c>
      <c r="T77" s="61">
        <v>0</v>
      </c>
      <c r="U77" s="61">
        <v>0</v>
      </c>
      <c r="V77" s="61">
        <v>0</v>
      </c>
      <c r="W77" s="61">
        <v>0</v>
      </c>
      <c r="X77" s="61">
        <v>0</v>
      </c>
      <c r="Y77" s="61">
        <v>0</v>
      </c>
      <c r="Z77" s="61">
        <v>0</v>
      </c>
      <c r="AA77" s="61">
        <v>0</v>
      </c>
      <c r="AB77" s="61">
        <v>0</v>
      </c>
      <c r="AC77" s="61">
        <v>0</v>
      </c>
      <c r="AD77" s="61" t="s">
        <v>1230</v>
      </c>
      <c r="AE77" s="61" t="s">
        <v>1230</v>
      </c>
      <c r="AF77" s="61">
        <v>0</v>
      </c>
      <c r="AG77" s="61">
        <v>0</v>
      </c>
      <c r="AH77" s="61">
        <v>0</v>
      </c>
      <c r="AI77" s="61">
        <v>0</v>
      </c>
      <c r="AJ77" s="61">
        <v>0</v>
      </c>
      <c r="AK77" s="61">
        <v>0</v>
      </c>
      <c r="AL77" s="61">
        <v>0</v>
      </c>
      <c r="AM77" s="61">
        <v>0</v>
      </c>
      <c r="AN77" s="61">
        <v>0</v>
      </c>
      <c r="AO77" s="61">
        <v>0</v>
      </c>
      <c r="AP77" s="61">
        <v>0</v>
      </c>
      <c r="AQ77" s="61">
        <v>0</v>
      </c>
      <c r="AR77" s="61">
        <v>0</v>
      </c>
      <c r="AS77" s="61">
        <v>0</v>
      </c>
      <c r="AT77" s="61" t="s">
        <v>1230</v>
      </c>
      <c r="AU77" s="61" t="s">
        <v>1230</v>
      </c>
      <c r="AV77" s="61">
        <v>0</v>
      </c>
      <c r="AW77" s="61">
        <v>0</v>
      </c>
      <c r="AX77" s="61">
        <v>0</v>
      </c>
      <c r="AY77" s="61">
        <v>0</v>
      </c>
      <c r="AZ77" s="61">
        <v>0</v>
      </c>
      <c r="BA77" s="61">
        <v>0</v>
      </c>
      <c r="BB77" s="61">
        <v>0</v>
      </c>
      <c r="BC77" s="61">
        <v>0</v>
      </c>
      <c r="BD77" s="61">
        <v>0</v>
      </c>
      <c r="BE77" s="61">
        <v>0</v>
      </c>
      <c r="BF77" s="61">
        <v>0</v>
      </c>
      <c r="BG77" s="61">
        <v>0</v>
      </c>
      <c r="BH77" s="61">
        <v>0</v>
      </c>
      <c r="BI77" s="61">
        <v>0</v>
      </c>
      <c r="BJ77" s="61" t="s">
        <v>1230</v>
      </c>
      <c r="BK77" s="61" t="s">
        <v>1230</v>
      </c>
      <c r="BL77" s="61">
        <v>0</v>
      </c>
      <c r="BM77" s="61">
        <v>0</v>
      </c>
      <c r="BN77" s="61">
        <v>0</v>
      </c>
      <c r="BO77" s="61">
        <v>0</v>
      </c>
      <c r="BP77" s="61">
        <v>0</v>
      </c>
      <c r="BQ77" s="61">
        <v>0</v>
      </c>
      <c r="BR77" s="61">
        <v>0</v>
      </c>
      <c r="BS77" s="61">
        <v>0</v>
      </c>
      <c r="BT77" s="61">
        <v>0</v>
      </c>
      <c r="BU77" s="61">
        <v>0</v>
      </c>
      <c r="BV77" s="61">
        <v>0</v>
      </c>
      <c r="BW77" s="61">
        <v>0</v>
      </c>
      <c r="BX77" s="61">
        <v>0</v>
      </c>
      <c r="BY77" s="61">
        <v>0</v>
      </c>
      <c r="BZ77" s="61" t="s">
        <v>1230</v>
      </c>
      <c r="CA77" s="61" t="s">
        <v>1230</v>
      </c>
      <c r="CB77" s="61">
        <v>0</v>
      </c>
      <c r="CC77" s="61">
        <v>0</v>
      </c>
      <c r="CD77" s="61">
        <v>0</v>
      </c>
    </row>
    <row r="78" spans="1:82" ht="15.6" x14ac:dyDescent="0.3">
      <c r="A78" s="169">
        <v>66</v>
      </c>
      <c r="B78" s="205" t="s">
        <v>176</v>
      </c>
      <c r="C78" s="66">
        <v>0</v>
      </c>
      <c r="D78" s="66">
        <v>0</v>
      </c>
      <c r="E78" s="66">
        <v>0</v>
      </c>
      <c r="F78" s="66">
        <v>0</v>
      </c>
      <c r="G78" s="66">
        <v>0</v>
      </c>
      <c r="H78" s="66">
        <v>0</v>
      </c>
      <c r="I78" s="66">
        <v>0</v>
      </c>
      <c r="J78" s="66">
        <v>0</v>
      </c>
      <c r="K78" s="66">
        <v>0</v>
      </c>
      <c r="L78" s="66">
        <v>0</v>
      </c>
      <c r="M78" s="66">
        <v>0</v>
      </c>
      <c r="N78" s="67" t="s">
        <v>1230</v>
      </c>
      <c r="O78" s="67" t="s">
        <v>1230</v>
      </c>
      <c r="P78" s="67">
        <v>0</v>
      </c>
      <c r="Q78" s="66">
        <v>0</v>
      </c>
      <c r="R78" s="67">
        <v>0</v>
      </c>
      <c r="S78" s="66">
        <v>0</v>
      </c>
      <c r="T78" s="66">
        <v>0</v>
      </c>
      <c r="U78" s="66">
        <v>0</v>
      </c>
      <c r="V78" s="66">
        <v>0</v>
      </c>
      <c r="W78" s="66">
        <v>0</v>
      </c>
      <c r="X78" s="66">
        <v>0</v>
      </c>
      <c r="Y78" s="66">
        <v>0</v>
      </c>
      <c r="Z78" s="66">
        <v>0</v>
      </c>
      <c r="AA78" s="66">
        <v>0</v>
      </c>
      <c r="AB78" s="66">
        <v>0</v>
      </c>
      <c r="AC78" s="66">
        <v>0</v>
      </c>
      <c r="AD78" s="67" t="s">
        <v>1230</v>
      </c>
      <c r="AE78" s="67" t="s">
        <v>1230</v>
      </c>
      <c r="AF78" s="67">
        <v>0</v>
      </c>
      <c r="AG78" s="187">
        <v>0</v>
      </c>
      <c r="AH78" s="67">
        <v>0</v>
      </c>
      <c r="AI78" s="66">
        <v>0</v>
      </c>
      <c r="AJ78" s="66">
        <v>0</v>
      </c>
      <c r="AK78" s="66">
        <v>0</v>
      </c>
      <c r="AL78" s="66">
        <v>0</v>
      </c>
      <c r="AM78" s="66">
        <v>0</v>
      </c>
      <c r="AN78" s="66">
        <v>0</v>
      </c>
      <c r="AO78" s="66">
        <v>0</v>
      </c>
      <c r="AP78" s="66">
        <v>0</v>
      </c>
      <c r="AQ78" s="66">
        <v>0</v>
      </c>
      <c r="AR78" s="66">
        <v>0</v>
      </c>
      <c r="AS78" s="66">
        <v>0</v>
      </c>
      <c r="AT78" s="67" t="s">
        <v>1230</v>
      </c>
      <c r="AU78" s="67" t="s">
        <v>1230</v>
      </c>
      <c r="AV78" s="67">
        <v>0</v>
      </c>
      <c r="AW78" s="187">
        <v>0</v>
      </c>
      <c r="AX78" s="67">
        <v>0</v>
      </c>
      <c r="AY78" s="66">
        <v>0</v>
      </c>
      <c r="AZ78" s="66">
        <v>0</v>
      </c>
      <c r="BA78" s="66">
        <v>0</v>
      </c>
      <c r="BB78" s="66">
        <v>0</v>
      </c>
      <c r="BC78" s="66">
        <v>0</v>
      </c>
      <c r="BD78" s="66">
        <v>0</v>
      </c>
      <c r="BE78" s="66">
        <v>0</v>
      </c>
      <c r="BF78" s="66">
        <v>0</v>
      </c>
      <c r="BG78" s="66">
        <v>0</v>
      </c>
      <c r="BH78" s="66">
        <v>0</v>
      </c>
      <c r="BI78" s="66">
        <v>0</v>
      </c>
      <c r="BJ78" s="67" t="s">
        <v>1230</v>
      </c>
      <c r="BK78" s="67" t="s">
        <v>1230</v>
      </c>
      <c r="BL78" s="67">
        <v>0</v>
      </c>
      <c r="BM78" s="187">
        <v>0</v>
      </c>
      <c r="BN78" s="67">
        <v>0</v>
      </c>
      <c r="BO78" s="66">
        <v>0</v>
      </c>
      <c r="BP78" s="66">
        <v>0</v>
      </c>
      <c r="BQ78" s="66">
        <v>0</v>
      </c>
      <c r="BR78" s="66">
        <v>0</v>
      </c>
      <c r="BS78" s="66">
        <v>0</v>
      </c>
      <c r="BT78" s="66">
        <v>0</v>
      </c>
      <c r="BU78" s="66">
        <v>0</v>
      </c>
      <c r="BV78" s="66">
        <v>0</v>
      </c>
      <c r="BW78" s="66">
        <v>0</v>
      </c>
      <c r="BX78" s="66">
        <v>0</v>
      </c>
      <c r="BY78" s="66">
        <v>0</v>
      </c>
      <c r="BZ78" s="67" t="s">
        <v>1230</v>
      </c>
      <c r="CA78" s="67" t="s">
        <v>1230</v>
      </c>
      <c r="CB78" s="67">
        <v>0</v>
      </c>
      <c r="CC78" s="187">
        <v>0</v>
      </c>
      <c r="CD78" s="67">
        <v>0</v>
      </c>
    </row>
    <row r="79" spans="1:82" ht="15.6" x14ac:dyDescent="0.3">
      <c r="A79" s="169">
        <v>67</v>
      </c>
      <c r="B79" s="205" t="s">
        <v>179</v>
      </c>
      <c r="C79" s="66">
        <v>0</v>
      </c>
      <c r="D79" s="66">
        <v>0</v>
      </c>
      <c r="E79" s="66">
        <v>0</v>
      </c>
      <c r="F79" s="66">
        <v>0</v>
      </c>
      <c r="G79" s="66">
        <v>0</v>
      </c>
      <c r="H79" s="66">
        <v>0</v>
      </c>
      <c r="I79" s="66">
        <v>0</v>
      </c>
      <c r="J79" s="66">
        <v>0</v>
      </c>
      <c r="K79" s="66">
        <v>0</v>
      </c>
      <c r="L79" s="66">
        <v>0</v>
      </c>
      <c r="M79" s="66">
        <v>0</v>
      </c>
      <c r="N79" s="67" t="s">
        <v>1230</v>
      </c>
      <c r="O79" s="67" t="s">
        <v>1230</v>
      </c>
      <c r="P79" s="67">
        <v>0</v>
      </c>
      <c r="Q79" s="66">
        <v>0</v>
      </c>
      <c r="R79" s="67">
        <v>0</v>
      </c>
      <c r="S79" s="66">
        <v>0</v>
      </c>
      <c r="T79" s="66">
        <v>0</v>
      </c>
      <c r="U79" s="66">
        <v>0</v>
      </c>
      <c r="V79" s="66">
        <v>0</v>
      </c>
      <c r="W79" s="66">
        <v>0</v>
      </c>
      <c r="X79" s="66">
        <v>0</v>
      </c>
      <c r="Y79" s="66">
        <v>0</v>
      </c>
      <c r="Z79" s="66">
        <v>0</v>
      </c>
      <c r="AA79" s="66">
        <v>0</v>
      </c>
      <c r="AB79" s="66">
        <v>0</v>
      </c>
      <c r="AC79" s="66">
        <v>0</v>
      </c>
      <c r="AD79" s="67" t="s">
        <v>1230</v>
      </c>
      <c r="AE79" s="67" t="s">
        <v>1230</v>
      </c>
      <c r="AF79" s="67">
        <v>0</v>
      </c>
      <c r="AG79" s="187">
        <v>0</v>
      </c>
      <c r="AH79" s="67">
        <v>0</v>
      </c>
      <c r="AI79" s="66">
        <v>0</v>
      </c>
      <c r="AJ79" s="66">
        <v>0</v>
      </c>
      <c r="AK79" s="66">
        <v>0</v>
      </c>
      <c r="AL79" s="66">
        <v>0</v>
      </c>
      <c r="AM79" s="66">
        <v>0</v>
      </c>
      <c r="AN79" s="66">
        <v>0</v>
      </c>
      <c r="AO79" s="66">
        <v>0</v>
      </c>
      <c r="AP79" s="66">
        <v>0</v>
      </c>
      <c r="AQ79" s="66">
        <v>0</v>
      </c>
      <c r="AR79" s="66">
        <v>0</v>
      </c>
      <c r="AS79" s="66">
        <v>0</v>
      </c>
      <c r="AT79" s="67" t="s">
        <v>1230</v>
      </c>
      <c r="AU79" s="67" t="s">
        <v>1230</v>
      </c>
      <c r="AV79" s="67">
        <v>0</v>
      </c>
      <c r="AW79" s="187">
        <v>0</v>
      </c>
      <c r="AX79" s="67">
        <v>0</v>
      </c>
      <c r="AY79" s="66">
        <v>0</v>
      </c>
      <c r="AZ79" s="66">
        <v>0</v>
      </c>
      <c r="BA79" s="66">
        <v>0</v>
      </c>
      <c r="BB79" s="66">
        <v>0</v>
      </c>
      <c r="BC79" s="66">
        <v>0</v>
      </c>
      <c r="BD79" s="66">
        <v>0</v>
      </c>
      <c r="BE79" s="66">
        <v>0</v>
      </c>
      <c r="BF79" s="66">
        <v>0</v>
      </c>
      <c r="BG79" s="66">
        <v>0</v>
      </c>
      <c r="BH79" s="66">
        <v>0</v>
      </c>
      <c r="BI79" s="66">
        <v>0</v>
      </c>
      <c r="BJ79" s="67" t="s">
        <v>1230</v>
      </c>
      <c r="BK79" s="67" t="s">
        <v>1230</v>
      </c>
      <c r="BL79" s="67">
        <v>0</v>
      </c>
      <c r="BM79" s="187">
        <v>0</v>
      </c>
      <c r="BN79" s="67">
        <v>0</v>
      </c>
      <c r="BO79" s="66">
        <v>0</v>
      </c>
      <c r="BP79" s="66">
        <v>0</v>
      </c>
      <c r="BQ79" s="66">
        <v>0</v>
      </c>
      <c r="BR79" s="66">
        <v>0</v>
      </c>
      <c r="BS79" s="66">
        <v>0</v>
      </c>
      <c r="BT79" s="66">
        <v>0</v>
      </c>
      <c r="BU79" s="66">
        <v>0</v>
      </c>
      <c r="BV79" s="66">
        <v>0</v>
      </c>
      <c r="BW79" s="66">
        <v>0</v>
      </c>
      <c r="BX79" s="66">
        <v>0</v>
      </c>
      <c r="BY79" s="66">
        <v>0</v>
      </c>
      <c r="BZ79" s="67" t="s">
        <v>1230</v>
      </c>
      <c r="CA79" s="67" t="s">
        <v>1230</v>
      </c>
      <c r="CB79" s="67">
        <v>0</v>
      </c>
      <c r="CC79" s="187">
        <v>0</v>
      </c>
      <c r="CD79" s="67">
        <v>0</v>
      </c>
    </row>
    <row r="80" spans="1:82" ht="15.6" x14ac:dyDescent="0.3">
      <c r="A80" s="169">
        <v>68</v>
      </c>
      <c r="B80" s="205" t="s">
        <v>182</v>
      </c>
      <c r="C80" s="66">
        <v>0</v>
      </c>
      <c r="D80" s="66">
        <v>0</v>
      </c>
      <c r="E80" s="66">
        <v>0</v>
      </c>
      <c r="F80" s="66">
        <v>0</v>
      </c>
      <c r="G80" s="66">
        <v>0</v>
      </c>
      <c r="H80" s="66">
        <v>0</v>
      </c>
      <c r="I80" s="66">
        <v>0</v>
      </c>
      <c r="J80" s="66">
        <v>0</v>
      </c>
      <c r="K80" s="66">
        <v>0</v>
      </c>
      <c r="L80" s="66">
        <v>0</v>
      </c>
      <c r="M80" s="66">
        <v>0</v>
      </c>
      <c r="N80" s="67" t="s">
        <v>1230</v>
      </c>
      <c r="O80" s="67" t="s">
        <v>1230</v>
      </c>
      <c r="P80" s="67">
        <v>0</v>
      </c>
      <c r="Q80" s="66">
        <v>0</v>
      </c>
      <c r="R80" s="67">
        <v>0</v>
      </c>
      <c r="S80" s="66">
        <v>0</v>
      </c>
      <c r="T80" s="66">
        <v>0</v>
      </c>
      <c r="U80" s="66">
        <v>0</v>
      </c>
      <c r="V80" s="66">
        <v>0</v>
      </c>
      <c r="W80" s="66">
        <v>0</v>
      </c>
      <c r="X80" s="66">
        <v>0</v>
      </c>
      <c r="Y80" s="66">
        <v>0</v>
      </c>
      <c r="Z80" s="66">
        <v>0</v>
      </c>
      <c r="AA80" s="66">
        <v>0</v>
      </c>
      <c r="AB80" s="66">
        <v>0</v>
      </c>
      <c r="AC80" s="66">
        <v>0</v>
      </c>
      <c r="AD80" s="67" t="s">
        <v>1230</v>
      </c>
      <c r="AE80" s="67" t="s">
        <v>1230</v>
      </c>
      <c r="AF80" s="67">
        <v>0</v>
      </c>
      <c r="AG80" s="187">
        <v>0</v>
      </c>
      <c r="AH80" s="67">
        <v>0</v>
      </c>
      <c r="AI80" s="66">
        <v>0</v>
      </c>
      <c r="AJ80" s="66">
        <v>0</v>
      </c>
      <c r="AK80" s="66">
        <v>0</v>
      </c>
      <c r="AL80" s="66">
        <v>0</v>
      </c>
      <c r="AM80" s="66">
        <v>0</v>
      </c>
      <c r="AN80" s="66">
        <v>0</v>
      </c>
      <c r="AO80" s="66">
        <v>0</v>
      </c>
      <c r="AP80" s="66">
        <v>0</v>
      </c>
      <c r="AQ80" s="66">
        <v>0</v>
      </c>
      <c r="AR80" s="66">
        <v>0</v>
      </c>
      <c r="AS80" s="66">
        <v>0</v>
      </c>
      <c r="AT80" s="67" t="s">
        <v>1230</v>
      </c>
      <c r="AU80" s="67" t="s">
        <v>1230</v>
      </c>
      <c r="AV80" s="67">
        <v>0</v>
      </c>
      <c r="AW80" s="187">
        <v>0</v>
      </c>
      <c r="AX80" s="67">
        <v>0</v>
      </c>
      <c r="AY80" s="66">
        <v>0</v>
      </c>
      <c r="AZ80" s="66">
        <v>0</v>
      </c>
      <c r="BA80" s="66">
        <v>0</v>
      </c>
      <c r="BB80" s="66">
        <v>0</v>
      </c>
      <c r="BC80" s="66">
        <v>0</v>
      </c>
      <c r="BD80" s="66">
        <v>0</v>
      </c>
      <c r="BE80" s="66">
        <v>0</v>
      </c>
      <c r="BF80" s="66">
        <v>0</v>
      </c>
      <c r="BG80" s="66">
        <v>0</v>
      </c>
      <c r="BH80" s="66">
        <v>0</v>
      </c>
      <c r="BI80" s="66">
        <v>0</v>
      </c>
      <c r="BJ80" s="67" t="s">
        <v>1230</v>
      </c>
      <c r="BK80" s="67" t="s">
        <v>1230</v>
      </c>
      <c r="BL80" s="67">
        <v>0</v>
      </c>
      <c r="BM80" s="187">
        <v>0</v>
      </c>
      <c r="BN80" s="67">
        <v>0</v>
      </c>
      <c r="BO80" s="66">
        <v>0</v>
      </c>
      <c r="BP80" s="66">
        <v>0</v>
      </c>
      <c r="BQ80" s="66">
        <v>0</v>
      </c>
      <c r="BR80" s="66">
        <v>0</v>
      </c>
      <c r="BS80" s="66">
        <v>0</v>
      </c>
      <c r="BT80" s="66">
        <v>0</v>
      </c>
      <c r="BU80" s="66">
        <v>0</v>
      </c>
      <c r="BV80" s="66">
        <v>0</v>
      </c>
      <c r="BW80" s="66">
        <v>0</v>
      </c>
      <c r="BX80" s="66">
        <v>0</v>
      </c>
      <c r="BY80" s="66">
        <v>0</v>
      </c>
      <c r="BZ80" s="67" t="s">
        <v>1230</v>
      </c>
      <c r="CA80" s="67" t="s">
        <v>1230</v>
      </c>
      <c r="CB80" s="67">
        <v>0</v>
      </c>
      <c r="CC80" s="187">
        <v>0</v>
      </c>
      <c r="CD80" s="67">
        <v>0</v>
      </c>
    </row>
    <row r="81" spans="1:82" ht="31.2" x14ac:dyDescent="0.3">
      <c r="A81" s="169">
        <v>69</v>
      </c>
      <c r="B81" s="213" t="s">
        <v>300</v>
      </c>
      <c r="C81" s="66">
        <v>0</v>
      </c>
      <c r="D81" s="66">
        <v>0</v>
      </c>
      <c r="E81" s="66">
        <v>0</v>
      </c>
      <c r="F81" s="66">
        <v>0</v>
      </c>
      <c r="G81" s="66">
        <v>0</v>
      </c>
      <c r="H81" s="66">
        <v>0</v>
      </c>
      <c r="I81" s="66">
        <v>0</v>
      </c>
      <c r="J81" s="66">
        <v>0</v>
      </c>
      <c r="K81" s="66">
        <v>0</v>
      </c>
      <c r="L81" s="66">
        <v>0</v>
      </c>
      <c r="M81" s="66">
        <v>0</v>
      </c>
      <c r="N81" s="67" t="s">
        <v>1230</v>
      </c>
      <c r="O81" s="67" t="s">
        <v>1230</v>
      </c>
      <c r="P81" s="67">
        <v>0</v>
      </c>
      <c r="Q81" s="66">
        <v>0</v>
      </c>
      <c r="R81" s="67">
        <v>0</v>
      </c>
      <c r="S81" s="66">
        <v>0</v>
      </c>
      <c r="T81" s="66">
        <v>0</v>
      </c>
      <c r="U81" s="66">
        <v>0</v>
      </c>
      <c r="V81" s="66">
        <v>0</v>
      </c>
      <c r="W81" s="66">
        <v>0</v>
      </c>
      <c r="X81" s="66">
        <v>0</v>
      </c>
      <c r="Y81" s="66">
        <v>0</v>
      </c>
      <c r="Z81" s="66">
        <v>0</v>
      </c>
      <c r="AA81" s="66">
        <v>0</v>
      </c>
      <c r="AB81" s="66">
        <v>0</v>
      </c>
      <c r="AC81" s="66">
        <v>0</v>
      </c>
      <c r="AD81" s="67" t="s">
        <v>1230</v>
      </c>
      <c r="AE81" s="67" t="s">
        <v>1230</v>
      </c>
      <c r="AF81" s="67">
        <v>0</v>
      </c>
      <c r="AG81" s="187">
        <v>0</v>
      </c>
      <c r="AH81" s="67">
        <v>0</v>
      </c>
      <c r="AI81" s="66">
        <v>0</v>
      </c>
      <c r="AJ81" s="66">
        <v>0</v>
      </c>
      <c r="AK81" s="66">
        <v>0</v>
      </c>
      <c r="AL81" s="66">
        <v>0</v>
      </c>
      <c r="AM81" s="66">
        <v>0</v>
      </c>
      <c r="AN81" s="66">
        <v>0</v>
      </c>
      <c r="AO81" s="66">
        <v>0</v>
      </c>
      <c r="AP81" s="66">
        <v>0</v>
      </c>
      <c r="AQ81" s="66">
        <v>0</v>
      </c>
      <c r="AR81" s="66">
        <v>0</v>
      </c>
      <c r="AS81" s="66">
        <v>0</v>
      </c>
      <c r="AT81" s="67" t="s">
        <v>1230</v>
      </c>
      <c r="AU81" s="67" t="s">
        <v>1230</v>
      </c>
      <c r="AV81" s="67">
        <v>0</v>
      </c>
      <c r="AW81" s="187">
        <v>0</v>
      </c>
      <c r="AX81" s="67">
        <v>0</v>
      </c>
      <c r="AY81" s="66">
        <v>0</v>
      </c>
      <c r="AZ81" s="66">
        <v>0</v>
      </c>
      <c r="BA81" s="66">
        <v>0</v>
      </c>
      <c r="BB81" s="66">
        <v>0</v>
      </c>
      <c r="BC81" s="66">
        <v>0</v>
      </c>
      <c r="BD81" s="66">
        <v>0</v>
      </c>
      <c r="BE81" s="66">
        <v>0</v>
      </c>
      <c r="BF81" s="66">
        <v>0</v>
      </c>
      <c r="BG81" s="66">
        <v>0</v>
      </c>
      <c r="BH81" s="66">
        <v>0</v>
      </c>
      <c r="BI81" s="66">
        <v>0</v>
      </c>
      <c r="BJ81" s="67" t="s">
        <v>1230</v>
      </c>
      <c r="BK81" s="67" t="s">
        <v>1230</v>
      </c>
      <c r="BL81" s="67">
        <v>0</v>
      </c>
      <c r="BM81" s="187">
        <v>0</v>
      </c>
      <c r="BN81" s="67">
        <v>0</v>
      </c>
      <c r="BO81" s="66">
        <v>0</v>
      </c>
      <c r="BP81" s="66">
        <v>0</v>
      </c>
      <c r="BQ81" s="66">
        <v>0</v>
      </c>
      <c r="BR81" s="66">
        <v>0</v>
      </c>
      <c r="BS81" s="66">
        <v>0</v>
      </c>
      <c r="BT81" s="66">
        <v>0</v>
      </c>
      <c r="BU81" s="66">
        <v>0</v>
      </c>
      <c r="BV81" s="66">
        <v>0</v>
      </c>
      <c r="BW81" s="66">
        <v>0</v>
      </c>
      <c r="BX81" s="66">
        <v>0</v>
      </c>
      <c r="BY81" s="66">
        <v>0</v>
      </c>
      <c r="BZ81" s="67" t="s">
        <v>1230</v>
      </c>
      <c r="CA81" s="67" t="s">
        <v>1230</v>
      </c>
      <c r="CB81" s="67">
        <v>0</v>
      </c>
      <c r="CC81" s="187">
        <v>0</v>
      </c>
      <c r="CD81" s="67">
        <v>0</v>
      </c>
    </row>
    <row r="82" spans="1:82" ht="31.2" x14ac:dyDescent="0.3">
      <c r="A82" s="169">
        <v>70</v>
      </c>
      <c r="B82" s="213" t="s">
        <v>301</v>
      </c>
      <c r="C82" s="66">
        <v>0</v>
      </c>
      <c r="D82" s="66">
        <v>0</v>
      </c>
      <c r="E82" s="66">
        <v>0</v>
      </c>
      <c r="F82" s="66">
        <v>0</v>
      </c>
      <c r="G82" s="66">
        <v>0</v>
      </c>
      <c r="H82" s="66">
        <v>0</v>
      </c>
      <c r="I82" s="66">
        <v>0</v>
      </c>
      <c r="J82" s="66">
        <v>0</v>
      </c>
      <c r="K82" s="66">
        <v>0</v>
      </c>
      <c r="L82" s="66">
        <v>0</v>
      </c>
      <c r="M82" s="66">
        <v>0</v>
      </c>
      <c r="N82" s="67" t="s">
        <v>1230</v>
      </c>
      <c r="O82" s="67" t="s">
        <v>1230</v>
      </c>
      <c r="P82" s="67">
        <v>0</v>
      </c>
      <c r="Q82" s="66">
        <v>0</v>
      </c>
      <c r="R82" s="67">
        <v>0</v>
      </c>
      <c r="S82" s="66">
        <v>0</v>
      </c>
      <c r="T82" s="66">
        <v>0</v>
      </c>
      <c r="U82" s="66">
        <v>0</v>
      </c>
      <c r="V82" s="66">
        <v>0</v>
      </c>
      <c r="W82" s="66">
        <v>0</v>
      </c>
      <c r="X82" s="66">
        <v>0</v>
      </c>
      <c r="Y82" s="66">
        <v>0</v>
      </c>
      <c r="Z82" s="66">
        <v>0</v>
      </c>
      <c r="AA82" s="66">
        <v>0</v>
      </c>
      <c r="AB82" s="66">
        <v>0</v>
      </c>
      <c r="AC82" s="66">
        <v>0</v>
      </c>
      <c r="AD82" s="67" t="s">
        <v>1230</v>
      </c>
      <c r="AE82" s="67" t="s">
        <v>1230</v>
      </c>
      <c r="AF82" s="67">
        <v>0</v>
      </c>
      <c r="AG82" s="187">
        <v>0</v>
      </c>
      <c r="AH82" s="67">
        <v>0</v>
      </c>
      <c r="AI82" s="66">
        <v>0</v>
      </c>
      <c r="AJ82" s="66">
        <v>0</v>
      </c>
      <c r="AK82" s="66">
        <v>0</v>
      </c>
      <c r="AL82" s="66">
        <v>0</v>
      </c>
      <c r="AM82" s="66">
        <v>0</v>
      </c>
      <c r="AN82" s="66">
        <v>0</v>
      </c>
      <c r="AO82" s="66">
        <v>0</v>
      </c>
      <c r="AP82" s="66">
        <v>0</v>
      </c>
      <c r="AQ82" s="66">
        <v>0</v>
      </c>
      <c r="AR82" s="66">
        <v>0</v>
      </c>
      <c r="AS82" s="66">
        <v>0</v>
      </c>
      <c r="AT82" s="67" t="s">
        <v>1230</v>
      </c>
      <c r="AU82" s="67" t="s">
        <v>1230</v>
      </c>
      <c r="AV82" s="67">
        <v>0</v>
      </c>
      <c r="AW82" s="187">
        <v>0</v>
      </c>
      <c r="AX82" s="67">
        <v>0</v>
      </c>
      <c r="AY82" s="66">
        <v>0</v>
      </c>
      <c r="AZ82" s="66">
        <v>0</v>
      </c>
      <c r="BA82" s="66">
        <v>0</v>
      </c>
      <c r="BB82" s="66">
        <v>0</v>
      </c>
      <c r="BC82" s="66">
        <v>0</v>
      </c>
      <c r="BD82" s="66">
        <v>0</v>
      </c>
      <c r="BE82" s="66">
        <v>0</v>
      </c>
      <c r="BF82" s="66">
        <v>0</v>
      </c>
      <c r="BG82" s="66">
        <v>0</v>
      </c>
      <c r="BH82" s="66">
        <v>0</v>
      </c>
      <c r="BI82" s="66">
        <v>0</v>
      </c>
      <c r="BJ82" s="67" t="s">
        <v>1230</v>
      </c>
      <c r="BK82" s="67" t="s">
        <v>1230</v>
      </c>
      <c r="BL82" s="67">
        <v>0</v>
      </c>
      <c r="BM82" s="187">
        <v>0</v>
      </c>
      <c r="BN82" s="67">
        <v>0</v>
      </c>
      <c r="BO82" s="66">
        <v>0</v>
      </c>
      <c r="BP82" s="66">
        <v>0</v>
      </c>
      <c r="BQ82" s="66">
        <v>0</v>
      </c>
      <c r="BR82" s="66">
        <v>0</v>
      </c>
      <c r="BS82" s="66">
        <v>0</v>
      </c>
      <c r="BT82" s="66">
        <v>0</v>
      </c>
      <c r="BU82" s="66">
        <v>0</v>
      </c>
      <c r="BV82" s="66">
        <v>0</v>
      </c>
      <c r="BW82" s="66">
        <v>0</v>
      </c>
      <c r="BX82" s="66">
        <v>0</v>
      </c>
      <c r="BY82" s="66">
        <v>0</v>
      </c>
      <c r="BZ82" s="67" t="s">
        <v>1230</v>
      </c>
      <c r="CA82" s="67" t="s">
        <v>1230</v>
      </c>
      <c r="CB82" s="67">
        <v>0</v>
      </c>
      <c r="CC82" s="187">
        <v>0</v>
      </c>
      <c r="CD82" s="67">
        <v>0</v>
      </c>
    </row>
    <row r="83" spans="1:82" ht="15.6" x14ac:dyDescent="0.3">
      <c r="A83" s="215">
        <v>71</v>
      </c>
      <c r="B83" s="205" t="s">
        <v>189</v>
      </c>
      <c r="C83" s="66">
        <v>0</v>
      </c>
      <c r="D83" s="66">
        <v>0</v>
      </c>
      <c r="E83" s="66">
        <v>0</v>
      </c>
      <c r="F83" s="66">
        <v>0</v>
      </c>
      <c r="G83" s="66">
        <v>0</v>
      </c>
      <c r="H83" s="66">
        <v>0</v>
      </c>
      <c r="I83" s="66">
        <v>0</v>
      </c>
      <c r="J83" s="66">
        <v>0</v>
      </c>
      <c r="K83" s="66">
        <v>0</v>
      </c>
      <c r="L83" s="66">
        <v>0</v>
      </c>
      <c r="M83" s="66">
        <v>0</v>
      </c>
      <c r="N83" s="67" t="s">
        <v>1230</v>
      </c>
      <c r="O83" s="67" t="s">
        <v>1230</v>
      </c>
      <c r="P83" s="67">
        <v>0</v>
      </c>
      <c r="Q83" s="66">
        <v>0</v>
      </c>
      <c r="R83" s="67">
        <v>0</v>
      </c>
      <c r="S83" s="66">
        <v>0</v>
      </c>
      <c r="T83" s="66">
        <v>0</v>
      </c>
      <c r="U83" s="66">
        <v>0</v>
      </c>
      <c r="V83" s="66">
        <v>0</v>
      </c>
      <c r="W83" s="66">
        <v>0</v>
      </c>
      <c r="X83" s="66">
        <v>0</v>
      </c>
      <c r="Y83" s="66">
        <v>0</v>
      </c>
      <c r="Z83" s="66">
        <v>0</v>
      </c>
      <c r="AA83" s="66">
        <v>0</v>
      </c>
      <c r="AB83" s="66">
        <v>0</v>
      </c>
      <c r="AC83" s="66">
        <v>0</v>
      </c>
      <c r="AD83" s="67" t="s">
        <v>1230</v>
      </c>
      <c r="AE83" s="67" t="s">
        <v>1230</v>
      </c>
      <c r="AF83" s="67">
        <v>0</v>
      </c>
      <c r="AG83" s="187">
        <v>0</v>
      </c>
      <c r="AH83" s="67">
        <v>0</v>
      </c>
      <c r="AI83" s="66">
        <v>0</v>
      </c>
      <c r="AJ83" s="66">
        <v>0</v>
      </c>
      <c r="AK83" s="66">
        <v>0</v>
      </c>
      <c r="AL83" s="66">
        <v>0</v>
      </c>
      <c r="AM83" s="66">
        <v>0</v>
      </c>
      <c r="AN83" s="66">
        <v>0</v>
      </c>
      <c r="AO83" s="66">
        <v>0</v>
      </c>
      <c r="AP83" s="66">
        <v>0</v>
      </c>
      <c r="AQ83" s="66">
        <v>0</v>
      </c>
      <c r="AR83" s="66">
        <v>0</v>
      </c>
      <c r="AS83" s="66">
        <v>0</v>
      </c>
      <c r="AT83" s="67" t="s">
        <v>1230</v>
      </c>
      <c r="AU83" s="67" t="s">
        <v>1230</v>
      </c>
      <c r="AV83" s="67">
        <v>0</v>
      </c>
      <c r="AW83" s="187">
        <v>0</v>
      </c>
      <c r="AX83" s="67">
        <v>0</v>
      </c>
      <c r="AY83" s="66">
        <v>0</v>
      </c>
      <c r="AZ83" s="66">
        <v>0</v>
      </c>
      <c r="BA83" s="66">
        <v>0</v>
      </c>
      <c r="BB83" s="66">
        <v>0</v>
      </c>
      <c r="BC83" s="66">
        <v>0</v>
      </c>
      <c r="BD83" s="66">
        <v>0</v>
      </c>
      <c r="BE83" s="66">
        <v>0</v>
      </c>
      <c r="BF83" s="66">
        <v>0</v>
      </c>
      <c r="BG83" s="66">
        <v>0</v>
      </c>
      <c r="BH83" s="66">
        <v>0</v>
      </c>
      <c r="BI83" s="66">
        <v>0</v>
      </c>
      <c r="BJ83" s="67" t="s">
        <v>1230</v>
      </c>
      <c r="BK83" s="67" t="s">
        <v>1230</v>
      </c>
      <c r="BL83" s="67">
        <v>0</v>
      </c>
      <c r="BM83" s="187">
        <v>0</v>
      </c>
      <c r="BN83" s="67">
        <v>0</v>
      </c>
      <c r="BO83" s="66">
        <v>0</v>
      </c>
      <c r="BP83" s="66">
        <v>0</v>
      </c>
      <c r="BQ83" s="66">
        <v>0</v>
      </c>
      <c r="BR83" s="66">
        <v>0</v>
      </c>
      <c r="BS83" s="66">
        <v>0</v>
      </c>
      <c r="BT83" s="66">
        <v>0</v>
      </c>
      <c r="BU83" s="66">
        <v>0</v>
      </c>
      <c r="BV83" s="66">
        <v>0</v>
      </c>
      <c r="BW83" s="66">
        <v>0</v>
      </c>
      <c r="BX83" s="66">
        <v>0</v>
      </c>
      <c r="BY83" s="66">
        <v>0</v>
      </c>
      <c r="BZ83" s="67" t="s">
        <v>1230</v>
      </c>
      <c r="CA83" s="67" t="s">
        <v>1230</v>
      </c>
      <c r="CB83" s="67">
        <v>0</v>
      </c>
      <c r="CC83" s="187">
        <v>0</v>
      </c>
      <c r="CD83" s="67">
        <v>0</v>
      </c>
    </row>
    <row r="84" spans="1:82" ht="15.6" x14ac:dyDescent="0.3">
      <c r="A84" s="202">
        <v>72</v>
      </c>
      <c r="B84" s="203" t="s">
        <v>192</v>
      </c>
      <c r="C84" s="61">
        <v>528.13919999999996</v>
      </c>
      <c r="D84" s="61">
        <v>0</v>
      </c>
      <c r="E84" s="61">
        <v>528.13919999999996</v>
      </c>
      <c r="F84" s="61">
        <v>528.13919999999996</v>
      </c>
      <c r="G84" s="61">
        <v>0</v>
      </c>
      <c r="H84" s="61">
        <v>528.13911500000006</v>
      </c>
      <c r="I84" s="61">
        <v>0</v>
      </c>
      <c r="J84" s="61">
        <v>517.43441344999997</v>
      </c>
      <c r="K84" s="61">
        <v>517.43441344999997</v>
      </c>
      <c r="L84" s="61">
        <v>0</v>
      </c>
      <c r="M84" s="61">
        <v>0</v>
      </c>
      <c r="N84" s="61">
        <v>97.973112666130447</v>
      </c>
      <c r="O84" s="61" t="s">
        <v>1230</v>
      </c>
      <c r="P84" s="61">
        <v>0</v>
      </c>
      <c r="Q84" s="61">
        <v>0</v>
      </c>
      <c r="R84" s="61">
        <v>10.704701550000038</v>
      </c>
      <c r="S84" s="61">
        <v>16.786000000000001</v>
      </c>
      <c r="T84" s="61">
        <v>0</v>
      </c>
      <c r="U84" s="61">
        <v>16.786000000000001</v>
      </c>
      <c r="V84" s="61">
        <v>16.786000000000001</v>
      </c>
      <c r="W84" s="61">
        <v>0</v>
      </c>
      <c r="X84" s="61">
        <v>16.785914999999999</v>
      </c>
      <c r="Y84" s="61">
        <v>0</v>
      </c>
      <c r="Z84" s="61">
        <v>16.785914999999999</v>
      </c>
      <c r="AA84" s="61">
        <v>16.785914999999999</v>
      </c>
      <c r="AB84" s="61">
        <v>0</v>
      </c>
      <c r="AC84" s="61">
        <v>0</v>
      </c>
      <c r="AD84" s="61">
        <v>99.999493625640397</v>
      </c>
      <c r="AE84" s="61" t="s">
        <v>1230</v>
      </c>
      <c r="AF84" s="61">
        <v>0</v>
      </c>
      <c r="AG84" s="61">
        <v>0</v>
      </c>
      <c r="AH84" s="61">
        <v>0</v>
      </c>
      <c r="AI84" s="61">
        <v>0</v>
      </c>
      <c r="AJ84" s="61">
        <v>0</v>
      </c>
      <c r="AK84" s="61">
        <v>0</v>
      </c>
      <c r="AL84" s="61">
        <v>0</v>
      </c>
      <c r="AM84" s="61">
        <v>0</v>
      </c>
      <c r="AN84" s="61">
        <v>0</v>
      </c>
      <c r="AO84" s="61">
        <v>0</v>
      </c>
      <c r="AP84" s="61">
        <v>0</v>
      </c>
      <c r="AQ84" s="61">
        <v>0</v>
      </c>
      <c r="AR84" s="61">
        <v>0</v>
      </c>
      <c r="AS84" s="61">
        <v>0</v>
      </c>
      <c r="AT84" s="61" t="s">
        <v>1230</v>
      </c>
      <c r="AU84" s="61" t="s">
        <v>1230</v>
      </c>
      <c r="AV84" s="61">
        <v>0</v>
      </c>
      <c r="AW84" s="61">
        <v>0</v>
      </c>
      <c r="AX84" s="61">
        <v>0</v>
      </c>
      <c r="AY84" s="61">
        <v>511.35320000000002</v>
      </c>
      <c r="AZ84" s="61">
        <v>0</v>
      </c>
      <c r="BA84" s="61">
        <v>511.35320000000002</v>
      </c>
      <c r="BB84" s="61">
        <v>511.35320000000002</v>
      </c>
      <c r="BC84" s="61">
        <v>0</v>
      </c>
      <c r="BD84" s="61">
        <v>511.35320000000002</v>
      </c>
      <c r="BE84" s="61">
        <v>0</v>
      </c>
      <c r="BF84" s="61">
        <v>500.64849844999998</v>
      </c>
      <c r="BG84" s="61">
        <v>500.64849844999998</v>
      </c>
      <c r="BH84" s="61">
        <v>0</v>
      </c>
      <c r="BI84" s="61">
        <v>0</v>
      </c>
      <c r="BJ84" s="61">
        <v>97.90659341723098</v>
      </c>
      <c r="BK84" s="61" t="s">
        <v>1230</v>
      </c>
      <c r="BL84" s="61">
        <v>0</v>
      </c>
      <c r="BM84" s="61">
        <v>0</v>
      </c>
      <c r="BN84" s="61">
        <v>10.704701550000038</v>
      </c>
      <c r="BO84" s="61">
        <v>0</v>
      </c>
      <c r="BP84" s="61">
        <v>0</v>
      </c>
      <c r="BQ84" s="61">
        <v>0</v>
      </c>
      <c r="BR84" s="61">
        <v>0</v>
      </c>
      <c r="BS84" s="61">
        <v>0</v>
      </c>
      <c r="BT84" s="61">
        <v>0</v>
      </c>
      <c r="BU84" s="61">
        <v>0</v>
      </c>
      <c r="BV84" s="61">
        <v>0</v>
      </c>
      <c r="BW84" s="61">
        <v>0</v>
      </c>
      <c r="BX84" s="61">
        <v>0</v>
      </c>
      <c r="BY84" s="61">
        <v>0</v>
      </c>
      <c r="BZ84" s="61" t="s">
        <v>1230</v>
      </c>
      <c r="CA84" s="61" t="s">
        <v>1230</v>
      </c>
      <c r="CB84" s="61">
        <v>0</v>
      </c>
      <c r="CC84" s="61">
        <v>0</v>
      </c>
      <c r="CD84" s="61">
        <v>0</v>
      </c>
    </row>
    <row r="85" spans="1:82" ht="15.6" x14ac:dyDescent="0.3">
      <c r="A85" s="169">
        <v>73</v>
      </c>
      <c r="B85" s="205" t="s">
        <v>195</v>
      </c>
      <c r="C85" s="66">
        <v>0</v>
      </c>
      <c r="D85" s="66">
        <v>0</v>
      </c>
      <c r="E85" s="66">
        <v>0</v>
      </c>
      <c r="F85" s="66">
        <v>0</v>
      </c>
      <c r="G85" s="66">
        <v>0</v>
      </c>
      <c r="H85" s="66">
        <v>0</v>
      </c>
      <c r="I85" s="66">
        <v>0</v>
      </c>
      <c r="J85" s="66">
        <v>0</v>
      </c>
      <c r="K85" s="66">
        <v>0</v>
      </c>
      <c r="L85" s="66">
        <v>0</v>
      </c>
      <c r="M85" s="66">
        <v>0</v>
      </c>
      <c r="N85" s="67" t="s">
        <v>1230</v>
      </c>
      <c r="O85" s="67" t="s">
        <v>1230</v>
      </c>
      <c r="P85" s="67">
        <v>0</v>
      </c>
      <c r="Q85" s="66">
        <v>0</v>
      </c>
      <c r="R85" s="67">
        <v>0</v>
      </c>
      <c r="S85" s="66">
        <v>0</v>
      </c>
      <c r="T85" s="66">
        <v>0</v>
      </c>
      <c r="U85" s="66">
        <v>0</v>
      </c>
      <c r="V85" s="66">
        <v>0</v>
      </c>
      <c r="W85" s="66">
        <v>0</v>
      </c>
      <c r="X85" s="66">
        <v>0</v>
      </c>
      <c r="Y85" s="66">
        <v>0</v>
      </c>
      <c r="Z85" s="66">
        <v>0</v>
      </c>
      <c r="AA85" s="66">
        <v>0</v>
      </c>
      <c r="AB85" s="66">
        <v>0</v>
      </c>
      <c r="AC85" s="66">
        <v>0</v>
      </c>
      <c r="AD85" s="67" t="s">
        <v>1230</v>
      </c>
      <c r="AE85" s="67" t="s">
        <v>1230</v>
      </c>
      <c r="AF85" s="67">
        <v>0</v>
      </c>
      <c r="AG85" s="187">
        <v>0</v>
      </c>
      <c r="AH85" s="67">
        <v>0</v>
      </c>
      <c r="AI85" s="66">
        <v>0</v>
      </c>
      <c r="AJ85" s="66">
        <v>0</v>
      </c>
      <c r="AK85" s="66">
        <v>0</v>
      </c>
      <c r="AL85" s="66">
        <v>0</v>
      </c>
      <c r="AM85" s="66">
        <v>0</v>
      </c>
      <c r="AN85" s="66">
        <v>0</v>
      </c>
      <c r="AO85" s="66">
        <v>0</v>
      </c>
      <c r="AP85" s="66">
        <v>0</v>
      </c>
      <c r="AQ85" s="66">
        <v>0</v>
      </c>
      <c r="AR85" s="66">
        <v>0</v>
      </c>
      <c r="AS85" s="66">
        <v>0</v>
      </c>
      <c r="AT85" s="67" t="s">
        <v>1230</v>
      </c>
      <c r="AU85" s="67" t="s">
        <v>1230</v>
      </c>
      <c r="AV85" s="67">
        <v>0</v>
      </c>
      <c r="AW85" s="187">
        <v>0</v>
      </c>
      <c r="AX85" s="67">
        <v>0</v>
      </c>
      <c r="AY85" s="66">
        <v>0</v>
      </c>
      <c r="AZ85" s="66">
        <v>0</v>
      </c>
      <c r="BA85" s="66">
        <v>0</v>
      </c>
      <c r="BB85" s="66">
        <v>0</v>
      </c>
      <c r="BC85" s="66">
        <v>0</v>
      </c>
      <c r="BD85" s="66">
        <v>0</v>
      </c>
      <c r="BE85" s="66">
        <v>0</v>
      </c>
      <c r="BF85" s="66">
        <v>0</v>
      </c>
      <c r="BG85" s="66">
        <v>0</v>
      </c>
      <c r="BH85" s="66">
        <v>0</v>
      </c>
      <c r="BI85" s="66">
        <v>0</v>
      </c>
      <c r="BJ85" s="67" t="s">
        <v>1230</v>
      </c>
      <c r="BK85" s="67" t="s">
        <v>1230</v>
      </c>
      <c r="BL85" s="67">
        <v>0</v>
      </c>
      <c r="BM85" s="187">
        <v>0</v>
      </c>
      <c r="BN85" s="67">
        <v>0</v>
      </c>
      <c r="BO85" s="66">
        <v>0</v>
      </c>
      <c r="BP85" s="66">
        <v>0</v>
      </c>
      <c r="BQ85" s="66">
        <v>0</v>
      </c>
      <c r="BR85" s="66">
        <v>0</v>
      </c>
      <c r="BS85" s="66">
        <v>0</v>
      </c>
      <c r="BT85" s="66">
        <v>0</v>
      </c>
      <c r="BU85" s="66">
        <v>0</v>
      </c>
      <c r="BV85" s="66">
        <v>0</v>
      </c>
      <c r="BW85" s="66">
        <v>0</v>
      </c>
      <c r="BX85" s="66">
        <v>0</v>
      </c>
      <c r="BY85" s="66">
        <v>0</v>
      </c>
      <c r="BZ85" s="67" t="s">
        <v>1230</v>
      </c>
      <c r="CA85" s="67" t="s">
        <v>1230</v>
      </c>
      <c r="CB85" s="67">
        <v>0</v>
      </c>
      <c r="CC85" s="187">
        <v>0</v>
      </c>
      <c r="CD85" s="67">
        <v>0</v>
      </c>
    </row>
    <row r="86" spans="1:82" ht="15.6" x14ac:dyDescent="0.3">
      <c r="A86" s="169">
        <v>74</v>
      </c>
      <c r="B86" s="205" t="s">
        <v>201</v>
      </c>
      <c r="C86" s="66">
        <v>9.9080999999999992</v>
      </c>
      <c r="D86" s="66">
        <v>0</v>
      </c>
      <c r="E86" s="66">
        <v>9.9080999999999992</v>
      </c>
      <c r="F86" s="66">
        <v>9.9080999999999992</v>
      </c>
      <c r="G86" s="66">
        <v>0</v>
      </c>
      <c r="H86" s="66">
        <v>9.9080999999999992</v>
      </c>
      <c r="I86" s="66">
        <v>0</v>
      </c>
      <c r="J86" s="66">
        <v>9.9080999999999992</v>
      </c>
      <c r="K86" s="66">
        <v>9.9080999999999992</v>
      </c>
      <c r="L86" s="66">
        <v>0</v>
      </c>
      <c r="M86" s="66">
        <v>0</v>
      </c>
      <c r="N86" s="67">
        <v>100</v>
      </c>
      <c r="O86" s="67" t="s">
        <v>1230</v>
      </c>
      <c r="P86" s="67">
        <v>0</v>
      </c>
      <c r="Q86" s="66">
        <v>0</v>
      </c>
      <c r="R86" s="67">
        <v>0</v>
      </c>
      <c r="S86" s="66">
        <v>9.9080999999999992</v>
      </c>
      <c r="T86" s="66">
        <v>0</v>
      </c>
      <c r="U86" s="66">
        <v>9.9080999999999992</v>
      </c>
      <c r="V86" s="66">
        <v>9.9080999999999992</v>
      </c>
      <c r="W86" s="66">
        <v>0</v>
      </c>
      <c r="X86" s="66">
        <v>9.9080999999999992</v>
      </c>
      <c r="Y86" s="66">
        <v>0</v>
      </c>
      <c r="Z86" s="66">
        <v>9.9080999999999992</v>
      </c>
      <c r="AA86" s="66">
        <v>9.9080999999999992</v>
      </c>
      <c r="AB86" s="66">
        <v>0</v>
      </c>
      <c r="AC86" s="66">
        <v>0</v>
      </c>
      <c r="AD86" s="67">
        <v>100</v>
      </c>
      <c r="AE86" s="67" t="s">
        <v>1230</v>
      </c>
      <c r="AF86" s="67">
        <v>0</v>
      </c>
      <c r="AG86" s="187">
        <v>0</v>
      </c>
      <c r="AH86" s="67">
        <v>0</v>
      </c>
      <c r="AI86" s="66">
        <v>0</v>
      </c>
      <c r="AJ86" s="66">
        <v>0</v>
      </c>
      <c r="AK86" s="66">
        <v>0</v>
      </c>
      <c r="AL86" s="66">
        <v>0</v>
      </c>
      <c r="AM86" s="66">
        <v>0</v>
      </c>
      <c r="AN86" s="66">
        <v>0</v>
      </c>
      <c r="AO86" s="66">
        <v>0</v>
      </c>
      <c r="AP86" s="66">
        <v>0</v>
      </c>
      <c r="AQ86" s="66">
        <v>0</v>
      </c>
      <c r="AR86" s="66">
        <v>0</v>
      </c>
      <c r="AS86" s="66">
        <v>0</v>
      </c>
      <c r="AT86" s="67" t="s">
        <v>1230</v>
      </c>
      <c r="AU86" s="67" t="s">
        <v>1230</v>
      </c>
      <c r="AV86" s="67">
        <v>0</v>
      </c>
      <c r="AW86" s="187">
        <v>0</v>
      </c>
      <c r="AX86" s="67">
        <v>0</v>
      </c>
      <c r="AY86" s="66">
        <v>0</v>
      </c>
      <c r="AZ86" s="66">
        <v>0</v>
      </c>
      <c r="BA86" s="66">
        <v>0</v>
      </c>
      <c r="BB86" s="66">
        <v>0</v>
      </c>
      <c r="BC86" s="66">
        <v>0</v>
      </c>
      <c r="BD86" s="66">
        <v>0</v>
      </c>
      <c r="BE86" s="66">
        <v>0</v>
      </c>
      <c r="BF86" s="66">
        <v>0</v>
      </c>
      <c r="BG86" s="66">
        <v>0</v>
      </c>
      <c r="BH86" s="66">
        <v>0</v>
      </c>
      <c r="BI86" s="66">
        <v>0</v>
      </c>
      <c r="BJ86" s="67" t="s">
        <v>1230</v>
      </c>
      <c r="BK86" s="67" t="s">
        <v>1230</v>
      </c>
      <c r="BL86" s="67">
        <v>0</v>
      </c>
      <c r="BM86" s="187">
        <v>0</v>
      </c>
      <c r="BN86" s="67">
        <v>0</v>
      </c>
      <c r="BO86" s="66">
        <v>0</v>
      </c>
      <c r="BP86" s="66">
        <v>0</v>
      </c>
      <c r="BQ86" s="66">
        <v>0</v>
      </c>
      <c r="BR86" s="66">
        <v>0</v>
      </c>
      <c r="BS86" s="66">
        <v>0</v>
      </c>
      <c r="BT86" s="66">
        <v>0</v>
      </c>
      <c r="BU86" s="66">
        <v>0</v>
      </c>
      <c r="BV86" s="66">
        <v>0</v>
      </c>
      <c r="BW86" s="66">
        <v>0</v>
      </c>
      <c r="BX86" s="66">
        <v>0</v>
      </c>
      <c r="BY86" s="66">
        <v>0</v>
      </c>
      <c r="BZ86" s="67" t="s">
        <v>1230</v>
      </c>
      <c r="CA86" s="67" t="s">
        <v>1230</v>
      </c>
      <c r="CB86" s="67">
        <v>0</v>
      </c>
      <c r="CC86" s="187">
        <v>0</v>
      </c>
      <c r="CD86" s="67">
        <v>0</v>
      </c>
    </row>
    <row r="87" spans="1:82" ht="15.6" x14ac:dyDescent="0.3">
      <c r="A87" s="169">
        <v>75</v>
      </c>
      <c r="B87" s="205" t="s">
        <v>204</v>
      </c>
      <c r="C87" s="66">
        <v>0</v>
      </c>
      <c r="D87" s="66">
        <v>0</v>
      </c>
      <c r="E87" s="66">
        <v>0</v>
      </c>
      <c r="F87" s="66">
        <v>0</v>
      </c>
      <c r="G87" s="66">
        <v>0</v>
      </c>
      <c r="H87" s="66">
        <v>0</v>
      </c>
      <c r="I87" s="66">
        <v>0</v>
      </c>
      <c r="J87" s="66">
        <v>0</v>
      </c>
      <c r="K87" s="66">
        <v>0</v>
      </c>
      <c r="L87" s="66">
        <v>0</v>
      </c>
      <c r="M87" s="66">
        <v>0</v>
      </c>
      <c r="N87" s="67" t="s">
        <v>1230</v>
      </c>
      <c r="O87" s="67" t="s">
        <v>1230</v>
      </c>
      <c r="P87" s="67">
        <v>0</v>
      </c>
      <c r="Q87" s="66">
        <v>0</v>
      </c>
      <c r="R87" s="67">
        <v>0</v>
      </c>
      <c r="S87" s="66">
        <v>0</v>
      </c>
      <c r="T87" s="66">
        <v>0</v>
      </c>
      <c r="U87" s="66">
        <v>0</v>
      </c>
      <c r="V87" s="66">
        <v>0</v>
      </c>
      <c r="W87" s="66">
        <v>0</v>
      </c>
      <c r="X87" s="66">
        <v>0</v>
      </c>
      <c r="Y87" s="66">
        <v>0</v>
      </c>
      <c r="Z87" s="66">
        <v>0</v>
      </c>
      <c r="AA87" s="66">
        <v>0</v>
      </c>
      <c r="AB87" s="66">
        <v>0</v>
      </c>
      <c r="AC87" s="66">
        <v>0</v>
      </c>
      <c r="AD87" s="67" t="s">
        <v>1230</v>
      </c>
      <c r="AE87" s="67" t="s">
        <v>1230</v>
      </c>
      <c r="AF87" s="67">
        <v>0</v>
      </c>
      <c r="AG87" s="187">
        <v>0</v>
      </c>
      <c r="AH87" s="67">
        <v>0</v>
      </c>
      <c r="AI87" s="66">
        <v>0</v>
      </c>
      <c r="AJ87" s="66">
        <v>0</v>
      </c>
      <c r="AK87" s="66">
        <v>0</v>
      </c>
      <c r="AL87" s="66">
        <v>0</v>
      </c>
      <c r="AM87" s="66">
        <v>0</v>
      </c>
      <c r="AN87" s="66">
        <v>0</v>
      </c>
      <c r="AO87" s="66">
        <v>0</v>
      </c>
      <c r="AP87" s="66">
        <v>0</v>
      </c>
      <c r="AQ87" s="66">
        <v>0</v>
      </c>
      <c r="AR87" s="66">
        <v>0</v>
      </c>
      <c r="AS87" s="66">
        <v>0</v>
      </c>
      <c r="AT87" s="67" t="s">
        <v>1230</v>
      </c>
      <c r="AU87" s="67" t="s">
        <v>1230</v>
      </c>
      <c r="AV87" s="67">
        <v>0</v>
      </c>
      <c r="AW87" s="187">
        <v>0</v>
      </c>
      <c r="AX87" s="67">
        <v>0</v>
      </c>
      <c r="AY87" s="66">
        <v>0</v>
      </c>
      <c r="AZ87" s="66">
        <v>0</v>
      </c>
      <c r="BA87" s="66">
        <v>0</v>
      </c>
      <c r="BB87" s="66">
        <v>0</v>
      </c>
      <c r="BC87" s="66">
        <v>0</v>
      </c>
      <c r="BD87" s="66">
        <v>0</v>
      </c>
      <c r="BE87" s="66">
        <v>0</v>
      </c>
      <c r="BF87" s="66">
        <v>0</v>
      </c>
      <c r="BG87" s="66">
        <v>0</v>
      </c>
      <c r="BH87" s="66">
        <v>0</v>
      </c>
      <c r="BI87" s="66">
        <v>0</v>
      </c>
      <c r="BJ87" s="67" t="s">
        <v>1230</v>
      </c>
      <c r="BK87" s="67" t="s">
        <v>1230</v>
      </c>
      <c r="BL87" s="67">
        <v>0</v>
      </c>
      <c r="BM87" s="187">
        <v>0</v>
      </c>
      <c r="BN87" s="67">
        <v>0</v>
      </c>
      <c r="BO87" s="66">
        <v>0</v>
      </c>
      <c r="BP87" s="66">
        <v>0</v>
      </c>
      <c r="BQ87" s="66">
        <v>0</v>
      </c>
      <c r="BR87" s="66">
        <v>0</v>
      </c>
      <c r="BS87" s="66">
        <v>0</v>
      </c>
      <c r="BT87" s="66">
        <v>0</v>
      </c>
      <c r="BU87" s="66">
        <v>0</v>
      </c>
      <c r="BV87" s="66">
        <v>0</v>
      </c>
      <c r="BW87" s="66">
        <v>0</v>
      </c>
      <c r="BX87" s="66">
        <v>0</v>
      </c>
      <c r="BY87" s="66">
        <v>0</v>
      </c>
      <c r="BZ87" s="67" t="s">
        <v>1230</v>
      </c>
      <c r="CA87" s="67" t="s">
        <v>1230</v>
      </c>
      <c r="CB87" s="67">
        <v>0</v>
      </c>
      <c r="CC87" s="187">
        <v>0</v>
      </c>
      <c r="CD87" s="67">
        <v>0</v>
      </c>
    </row>
    <row r="88" spans="1:82" ht="15.6" x14ac:dyDescent="0.3">
      <c r="A88" s="169">
        <v>76</v>
      </c>
      <c r="B88" s="205" t="s">
        <v>207</v>
      </c>
      <c r="C88" s="66">
        <v>0</v>
      </c>
      <c r="D88" s="66">
        <v>0</v>
      </c>
      <c r="E88" s="66">
        <v>0</v>
      </c>
      <c r="F88" s="66">
        <v>0</v>
      </c>
      <c r="G88" s="66">
        <v>0</v>
      </c>
      <c r="H88" s="66">
        <v>0</v>
      </c>
      <c r="I88" s="66">
        <v>0</v>
      </c>
      <c r="J88" s="66">
        <v>0</v>
      </c>
      <c r="K88" s="66">
        <v>0</v>
      </c>
      <c r="L88" s="66">
        <v>0</v>
      </c>
      <c r="M88" s="66">
        <v>0</v>
      </c>
      <c r="N88" s="67" t="s">
        <v>1230</v>
      </c>
      <c r="O88" s="67" t="s">
        <v>1230</v>
      </c>
      <c r="P88" s="67">
        <v>0</v>
      </c>
      <c r="Q88" s="66">
        <v>0</v>
      </c>
      <c r="R88" s="67">
        <v>0</v>
      </c>
      <c r="S88" s="66">
        <v>0</v>
      </c>
      <c r="T88" s="66">
        <v>0</v>
      </c>
      <c r="U88" s="66">
        <v>0</v>
      </c>
      <c r="V88" s="66">
        <v>0</v>
      </c>
      <c r="W88" s="66">
        <v>0</v>
      </c>
      <c r="X88" s="66">
        <v>0</v>
      </c>
      <c r="Y88" s="66">
        <v>0</v>
      </c>
      <c r="Z88" s="66">
        <v>0</v>
      </c>
      <c r="AA88" s="66">
        <v>0</v>
      </c>
      <c r="AB88" s="66">
        <v>0</v>
      </c>
      <c r="AC88" s="66">
        <v>0</v>
      </c>
      <c r="AD88" s="67" t="s">
        <v>1230</v>
      </c>
      <c r="AE88" s="67" t="s">
        <v>1230</v>
      </c>
      <c r="AF88" s="67">
        <v>0</v>
      </c>
      <c r="AG88" s="187">
        <v>0</v>
      </c>
      <c r="AH88" s="67">
        <v>0</v>
      </c>
      <c r="AI88" s="66">
        <v>0</v>
      </c>
      <c r="AJ88" s="66">
        <v>0</v>
      </c>
      <c r="AK88" s="66">
        <v>0</v>
      </c>
      <c r="AL88" s="66">
        <v>0</v>
      </c>
      <c r="AM88" s="66">
        <v>0</v>
      </c>
      <c r="AN88" s="66">
        <v>0</v>
      </c>
      <c r="AO88" s="66">
        <v>0</v>
      </c>
      <c r="AP88" s="66">
        <v>0</v>
      </c>
      <c r="AQ88" s="66">
        <v>0</v>
      </c>
      <c r="AR88" s="66">
        <v>0</v>
      </c>
      <c r="AS88" s="66">
        <v>0</v>
      </c>
      <c r="AT88" s="67" t="s">
        <v>1230</v>
      </c>
      <c r="AU88" s="67" t="s">
        <v>1230</v>
      </c>
      <c r="AV88" s="67">
        <v>0</v>
      </c>
      <c r="AW88" s="187">
        <v>0</v>
      </c>
      <c r="AX88" s="67">
        <v>0</v>
      </c>
      <c r="AY88" s="66">
        <v>0</v>
      </c>
      <c r="AZ88" s="66">
        <v>0</v>
      </c>
      <c r="BA88" s="66">
        <v>0</v>
      </c>
      <c r="BB88" s="66">
        <v>0</v>
      </c>
      <c r="BC88" s="66">
        <v>0</v>
      </c>
      <c r="BD88" s="66">
        <v>0</v>
      </c>
      <c r="BE88" s="66">
        <v>0</v>
      </c>
      <c r="BF88" s="66">
        <v>0</v>
      </c>
      <c r="BG88" s="66">
        <v>0</v>
      </c>
      <c r="BH88" s="66">
        <v>0</v>
      </c>
      <c r="BI88" s="66">
        <v>0</v>
      </c>
      <c r="BJ88" s="67" t="s">
        <v>1230</v>
      </c>
      <c r="BK88" s="67" t="s">
        <v>1230</v>
      </c>
      <c r="BL88" s="67">
        <v>0</v>
      </c>
      <c r="BM88" s="187">
        <v>0</v>
      </c>
      <c r="BN88" s="67">
        <v>0</v>
      </c>
      <c r="BO88" s="66">
        <v>0</v>
      </c>
      <c r="BP88" s="66">
        <v>0</v>
      </c>
      <c r="BQ88" s="66">
        <v>0</v>
      </c>
      <c r="BR88" s="66">
        <v>0</v>
      </c>
      <c r="BS88" s="66">
        <v>0</v>
      </c>
      <c r="BT88" s="66">
        <v>0</v>
      </c>
      <c r="BU88" s="66">
        <v>0</v>
      </c>
      <c r="BV88" s="66">
        <v>0</v>
      </c>
      <c r="BW88" s="66">
        <v>0</v>
      </c>
      <c r="BX88" s="66">
        <v>0</v>
      </c>
      <c r="BY88" s="66">
        <v>0</v>
      </c>
      <c r="BZ88" s="67" t="s">
        <v>1230</v>
      </c>
      <c r="CA88" s="67" t="s">
        <v>1230</v>
      </c>
      <c r="CB88" s="67">
        <v>0</v>
      </c>
      <c r="CC88" s="187">
        <v>0</v>
      </c>
      <c r="CD88" s="67">
        <v>0</v>
      </c>
    </row>
    <row r="89" spans="1:82" ht="15.6" x14ac:dyDescent="0.3">
      <c r="A89" s="169">
        <v>77</v>
      </c>
      <c r="B89" s="205" t="s">
        <v>213</v>
      </c>
      <c r="C89" s="66">
        <v>0</v>
      </c>
      <c r="D89" s="66">
        <v>0</v>
      </c>
      <c r="E89" s="66">
        <v>0</v>
      </c>
      <c r="F89" s="66">
        <v>0</v>
      </c>
      <c r="G89" s="66">
        <v>0</v>
      </c>
      <c r="H89" s="66">
        <v>0</v>
      </c>
      <c r="I89" s="66">
        <v>0</v>
      </c>
      <c r="J89" s="66">
        <v>0</v>
      </c>
      <c r="K89" s="66">
        <v>0</v>
      </c>
      <c r="L89" s="66">
        <v>0</v>
      </c>
      <c r="M89" s="66">
        <v>0</v>
      </c>
      <c r="N89" s="67" t="s">
        <v>1230</v>
      </c>
      <c r="O89" s="67" t="s">
        <v>1230</v>
      </c>
      <c r="P89" s="67">
        <v>0</v>
      </c>
      <c r="Q89" s="66">
        <v>0</v>
      </c>
      <c r="R89" s="67">
        <v>0</v>
      </c>
      <c r="S89" s="66">
        <v>0</v>
      </c>
      <c r="T89" s="66">
        <v>0</v>
      </c>
      <c r="U89" s="66">
        <v>0</v>
      </c>
      <c r="V89" s="66">
        <v>0</v>
      </c>
      <c r="W89" s="66">
        <v>0</v>
      </c>
      <c r="X89" s="66">
        <v>0</v>
      </c>
      <c r="Y89" s="66">
        <v>0</v>
      </c>
      <c r="Z89" s="66">
        <v>0</v>
      </c>
      <c r="AA89" s="66">
        <v>0</v>
      </c>
      <c r="AB89" s="66">
        <v>0</v>
      </c>
      <c r="AC89" s="66">
        <v>0</v>
      </c>
      <c r="AD89" s="67" t="s">
        <v>1230</v>
      </c>
      <c r="AE89" s="67" t="s">
        <v>1230</v>
      </c>
      <c r="AF89" s="67">
        <v>0</v>
      </c>
      <c r="AG89" s="187">
        <v>0</v>
      </c>
      <c r="AH89" s="67">
        <v>0</v>
      </c>
      <c r="AI89" s="66">
        <v>0</v>
      </c>
      <c r="AJ89" s="66">
        <v>0</v>
      </c>
      <c r="AK89" s="66">
        <v>0</v>
      </c>
      <c r="AL89" s="66">
        <v>0</v>
      </c>
      <c r="AM89" s="66">
        <v>0</v>
      </c>
      <c r="AN89" s="66">
        <v>0</v>
      </c>
      <c r="AO89" s="66">
        <v>0</v>
      </c>
      <c r="AP89" s="66">
        <v>0</v>
      </c>
      <c r="AQ89" s="66">
        <v>0</v>
      </c>
      <c r="AR89" s="66">
        <v>0</v>
      </c>
      <c r="AS89" s="66">
        <v>0</v>
      </c>
      <c r="AT89" s="67" t="s">
        <v>1230</v>
      </c>
      <c r="AU89" s="67" t="s">
        <v>1230</v>
      </c>
      <c r="AV89" s="67">
        <v>0</v>
      </c>
      <c r="AW89" s="187">
        <v>0</v>
      </c>
      <c r="AX89" s="67">
        <v>0</v>
      </c>
      <c r="AY89" s="66">
        <v>0</v>
      </c>
      <c r="AZ89" s="66">
        <v>0</v>
      </c>
      <c r="BA89" s="66">
        <v>0</v>
      </c>
      <c r="BB89" s="66">
        <v>0</v>
      </c>
      <c r="BC89" s="66">
        <v>0</v>
      </c>
      <c r="BD89" s="66">
        <v>0</v>
      </c>
      <c r="BE89" s="66">
        <v>0</v>
      </c>
      <c r="BF89" s="66">
        <v>0</v>
      </c>
      <c r="BG89" s="66">
        <v>0</v>
      </c>
      <c r="BH89" s="66">
        <v>0</v>
      </c>
      <c r="BI89" s="66">
        <v>0</v>
      </c>
      <c r="BJ89" s="67" t="s">
        <v>1230</v>
      </c>
      <c r="BK89" s="67" t="s">
        <v>1230</v>
      </c>
      <c r="BL89" s="67">
        <v>0</v>
      </c>
      <c r="BM89" s="187">
        <v>0</v>
      </c>
      <c r="BN89" s="67">
        <v>0</v>
      </c>
      <c r="BO89" s="66">
        <v>0</v>
      </c>
      <c r="BP89" s="66">
        <v>0</v>
      </c>
      <c r="BQ89" s="66">
        <v>0</v>
      </c>
      <c r="BR89" s="66">
        <v>0</v>
      </c>
      <c r="BS89" s="66">
        <v>0</v>
      </c>
      <c r="BT89" s="66">
        <v>0</v>
      </c>
      <c r="BU89" s="66">
        <v>0</v>
      </c>
      <c r="BV89" s="66">
        <v>0</v>
      </c>
      <c r="BW89" s="66">
        <v>0</v>
      </c>
      <c r="BX89" s="66">
        <v>0</v>
      </c>
      <c r="BY89" s="66">
        <v>0</v>
      </c>
      <c r="BZ89" s="67" t="s">
        <v>1230</v>
      </c>
      <c r="CA89" s="67" t="s">
        <v>1230</v>
      </c>
      <c r="CB89" s="67">
        <v>0</v>
      </c>
      <c r="CC89" s="187">
        <v>0</v>
      </c>
      <c r="CD89" s="67">
        <v>0</v>
      </c>
    </row>
    <row r="90" spans="1:82" ht="15.6" x14ac:dyDescent="0.3">
      <c r="A90" s="169">
        <v>78</v>
      </c>
      <c r="B90" s="205" t="s">
        <v>216</v>
      </c>
      <c r="C90" s="66">
        <v>511.35320000000002</v>
      </c>
      <c r="D90" s="66">
        <v>0</v>
      </c>
      <c r="E90" s="66">
        <v>511.35320000000002</v>
      </c>
      <c r="F90" s="66">
        <v>511.35320000000002</v>
      </c>
      <c r="G90" s="66">
        <v>0</v>
      </c>
      <c r="H90" s="66">
        <v>511.35320000000002</v>
      </c>
      <c r="I90" s="66">
        <v>0</v>
      </c>
      <c r="J90" s="66">
        <v>500.64849844999998</v>
      </c>
      <c r="K90" s="66">
        <v>500.64849844999998</v>
      </c>
      <c r="L90" s="66">
        <v>0</v>
      </c>
      <c r="M90" s="66">
        <v>0</v>
      </c>
      <c r="N90" s="67">
        <v>97.90659341723098</v>
      </c>
      <c r="O90" s="67" t="s">
        <v>1230</v>
      </c>
      <c r="P90" s="67">
        <v>0</v>
      </c>
      <c r="Q90" s="66">
        <v>0</v>
      </c>
      <c r="R90" s="67">
        <v>10.704701550000038</v>
      </c>
      <c r="S90" s="66">
        <v>0</v>
      </c>
      <c r="T90" s="66">
        <v>0</v>
      </c>
      <c r="U90" s="66">
        <v>0</v>
      </c>
      <c r="V90" s="66">
        <v>0</v>
      </c>
      <c r="W90" s="66">
        <v>0</v>
      </c>
      <c r="X90" s="66">
        <v>0</v>
      </c>
      <c r="Y90" s="66">
        <v>0</v>
      </c>
      <c r="Z90" s="66">
        <v>0</v>
      </c>
      <c r="AA90" s="66">
        <v>0</v>
      </c>
      <c r="AB90" s="66">
        <v>0</v>
      </c>
      <c r="AC90" s="66">
        <v>0</v>
      </c>
      <c r="AD90" s="67" t="s">
        <v>1230</v>
      </c>
      <c r="AE90" s="67" t="s">
        <v>1230</v>
      </c>
      <c r="AF90" s="67">
        <v>0</v>
      </c>
      <c r="AG90" s="187">
        <v>0</v>
      </c>
      <c r="AH90" s="67">
        <v>0</v>
      </c>
      <c r="AI90" s="66">
        <v>0</v>
      </c>
      <c r="AJ90" s="66">
        <v>0</v>
      </c>
      <c r="AK90" s="66">
        <v>0</v>
      </c>
      <c r="AL90" s="66">
        <v>0</v>
      </c>
      <c r="AM90" s="66">
        <v>0</v>
      </c>
      <c r="AN90" s="66">
        <v>0</v>
      </c>
      <c r="AO90" s="66">
        <v>0</v>
      </c>
      <c r="AP90" s="66">
        <v>0</v>
      </c>
      <c r="AQ90" s="66">
        <v>0</v>
      </c>
      <c r="AR90" s="66">
        <v>0</v>
      </c>
      <c r="AS90" s="66">
        <v>0</v>
      </c>
      <c r="AT90" s="67" t="s">
        <v>1230</v>
      </c>
      <c r="AU90" s="67" t="s">
        <v>1230</v>
      </c>
      <c r="AV90" s="67">
        <v>0</v>
      </c>
      <c r="AW90" s="187">
        <v>0</v>
      </c>
      <c r="AX90" s="67">
        <v>0</v>
      </c>
      <c r="AY90" s="66">
        <v>511.35320000000002</v>
      </c>
      <c r="AZ90" s="66">
        <v>0</v>
      </c>
      <c r="BA90" s="66">
        <v>511.35320000000002</v>
      </c>
      <c r="BB90" s="66">
        <v>511.35320000000002</v>
      </c>
      <c r="BC90" s="66">
        <v>0</v>
      </c>
      <c r="BD90" s="66">
        <v>511.35320000000002</v>
      </c>
      <c r="BE90" s="66">
        <v>0</v>
      </c>
      <c r="BF90" s="66">
        <v>500.64849844999998</v>
      </c>
      <c r="BG90" s="66">
        <v>500.64849844999998</v>
      </c>
      <c r="BH90" s="66">
        <v>0</v>
      </c>
      <c r="BI90" s="66">
        <v>0</v>
      </c>
      <c r="BJ90" s="67">
        <v>97.90659341723098</v>
      </c>
      <c r="BK90" s="67" t="s">
        <v>1230</v>
      </c>
      <c r="BL90" s="67">
        <v>0</v>
      </c>
      <c r="BM90" s="187">
        <v>0</v>
      </c>
      <c r="BN90" s="67">
        <v>10.704701550000038</v>
      </c>
      <c r="BO90" s="66">
        <v>0</v>
      </c>
      <c r="BP90" s="66">
        <v>0</v>
      </c>
      <c r="BQ90" s="66">
        <v>0</v>
      </c>
      <c r="BR90" s="66">
        <v>0</v>
      </c>
      <c r="BS90" s="66">
        <v>0</v>
      </c>
      <c r="BT90" s="66">
        <v>0</v>
      </c>
      <c r="BU90" s="66">
        <v>0</v>
      </c>
      <c r="BV90" s="66">
        <v>0</v>
      </c>
      <c r="BW90" s="66">
        <v>0</v>
      </c>
      <c r="BX90" s="66">
        <v>0</v>
      </c>
      <c r="BY90" s="66">
        <v>0</v>
      </c>
      <c r="BZ90" s="67" t="s">
        <v>1230</v>
      </c>
      <c r="CA90" s="67" t="s">
        <v>1230</v>
      </c>
      <c r="CB90" s="67">
        <v>0</v>
      </c>
      <c r="CC90" s="187">
        <v>0</v>
      </c>
      <c r="CD90" s="67">
        <v>0</v>
      </c>
    </row>
    <row r="91" spans="1:82" ht="15.6" x14ac:dyDescent="0.3">
      <c r="A91" s="169">
        <v>79</v>
      </c>
      <c r="B91" s="205" t="s">
        <v>219</v>
      </c>
      <c r="C91" s="66">
        <v>0</v>
      </c>
      <c r="D91" s="66">
        <v>0</v>
      </c>
      <c r="E91" s="66">
        <v>0</v>
      </c>
      <c r="F91" s="66">
        <v>0</v>
      </c>
      <c r="G91" s="66">
        <v>0</v>
      </c>
      <c r="H91" s="66">
        <v>0</v>
      </c>
      <c r="I91" s="66">
        <v>0</v>
      </c>
      <c r="J91" s="66">
        <v>0</v>
      </c>
      <c r="K91" s="66">
        <v>0</v>
      </c>
      <c r="L91" s="66">
        <v>0</v>
      </c>
      <c r="M91" s="66">
        <v>0</v>
      </c>
      <c r="N91" s="67" t="s">
        <v>1230</v>
      </c>
      <c r="O91" s="67" t="s">
        <v>1230</v>
      </c>
      <c r="P91" s="67">
        <v>0</v>
      </c>
      <c r="Q91" s="66">
        <v>0</v>
      </c>
      <c r="R91" s="67">
        <v>0</v>
      </c>
      <c r="S91" s="66">
        <v>0</v>
      </c>
      <c r="T91" s="66">
        <v>0</v>
      </c>
      <c r="U91" s="66">
        <v>0</v>
      </c>
      <c r="V91" s="66">
        <v>0</v>
      </c>
      <c r="W91" s="66">
        <v>0</v>
      </c>
      <c r="X91" s="66">
        <v>0</v>
      </c>
      <c r="Y91" s="66">
        <v>0</v>
      </c>
      <c r="Z91" s="66">
        <v>0</v>
      </c>
      <c r="AA91" s="66">
        <v>0</v>
      </c>
      <c r="AB91" s="66">
        <v>0</v>
      </c>
      <c r="AC91" s="66">
        <v>0</v>
      </c>
      <c r="AD91" s="67" t="s">
        <v>1230</v>
      </c>
      <c r="AE91" s="67" t="s">
        <v>1230</v>
      </c>
      <c r="AF91" s="67">
        <v>0</v>
      </c>
      <c r="AG91" s="187">
        <v>0</v>
      </c>
      <c r="AH91" s="67">
        <v>0</v>
      </c>
      <c r="AI91" s="66">
        <v>0</v>
      </c>
      <c r="AJ91" s="66">
        <v>0</v>
      </c>
      <c r="AK91" s="66">
        <v>0</v>
      </c>
      <c r="AL91" s="66">
        <v>0</v>
      </c>
      <c r="AM91" s="66">
        <v>0</v>
      </c>
      <c r="AN91" s="66">
        <v>0</v>
      </c>
      <c r="AO91" s="66">
        <v>0</v>
      </c>
      <c r="AP91" s="66">
        <v>0</v>
      </c>
      <c r="AQ91" s="66">
        <v>0</v>
      </c>
      <c r="AR91" s="66">
        <v>0</v>
      </c>
      <c r="AS91" s="66">
        <v>0</v>
      </c>
      <c r="AT91" s="67" t="s">
        <v>1230</v>
      </c>
      <c r="AU91" s="67" t="s">
        <v>1230</v>
      </c>
      <c r="AV91" s="67">
        <v>0</v>
      </c>
      <c r="AW91" s="187">
        <v>0</v>
      </c>
      <c r="AX91" s="67">
        <v>0</v>
      </c>
      <c r="AY91" s="66">
        <v>0</v>
      </c>
      <c r="AZ91" s="66">
        <v>0</v>
      </c>
      <c r="BA91" s="66">
        <v>0</v>
      </c>
      <c r="BB91" s="66">
        <v>0</v>
      </c>
      <c r="BC91" s="66">
        <v>0</v>
      </c>
      <c r="BD91" s="66">
        <v>0</v>
      </c>
      <c r="BE91" s="66">
        <v>0</v>
      </c>
      <c r="BF91" s="66">
        <v>0</v>
      </c>
      <c r="BG91" s="66">
        <v>0</v>
      </c>
      <c r="BH91" s="66">
        <v>0</v>
      </c>
      <c r="BI91" s="66">
        <v>0</v>
      </c>
      <c r="BJ91" s="67" t="s">
        <v>1230</v>
      </c>
      <c r="BK91" s="67" t="s">
        <v>1230</v>
      </c>
      <c r="BL91" s="67">
        <v>0</v>
      </c>
      <c r="BM91" s="187">
        <v>0</v>
      </c>
      <c r="BN91" s="67">
        <v>0</v>
      </c>
      <c r="BO91" s="66">
        <v>0</v>
      </c>
      <c r="BP91" s="66">
        <v>0</v>
      </c>
      <c r="BQ91" s="66">
        <v>0</v>
      </c>
      <c r="BR91" s="66">
        <v>0</v>
      </c>
      <c r="BS91" s="66">
        <v>0</v>
      </c>
      <c r="BT91" s="66">
        <v>0</v>
      </c>
      <c r="BU91" s="66">
        <v>0</v>
      </c>
      <c r="BV91" s="66">
        <v>0</v>
      </c>
      <c r="BW91" s="66">
        <v>0</v>
      </c>
      <c r="BX91" s="66">
        <v>0</v>
      </c>
      <c r="BY91" s="66">
        <v>0</v>
      </c>
      <c r="BZ91" s="67" t="s">
        <v>1230</v>
      </c>
      <c r="CA91" s="67" t="s">
        <v>1230</v>
      </c>
      <c r="CB91" s="67">
        <v>0</v>
      </c>
      <c r="CC91" s="187">
        <v>0</v>
      </c>
      <c r="CD91" s="67">
        <v>0</v>
      </c>
    </row>
    <row r="92" spans="1:82" ht="15.6" x14ac:dyDescent="0.3">
      <c r="A92" s="169">
        <v>80</v>
      </c>
      <c r="B92" s="205" t="s">
        <v>222</v>
      </c>
      <c r="C92" s="66">
        <v>0</v>
      </c>
      <c r="D92" s="66">
        <v>0</v>
      </c>
      <c r="E92" s="66">
        <v>0</v>
      </c>
      <c r="F92" s="66">
        <v>0</v>
      </c>
      <c r="G92" s="66">
        <v>0</v>
      </c>
      <c r="H92" s="66">
        <v>0</v>
      </c>
      <c r="I92" s="66">
        <v>0</v>
      </c>
      <c r="J92" s="66">
        <v>0</v>
      </c>
      <c r="K92" s="66">
        <v>0</v>
      </c>
      <c r="L92" s="66">
        <v>0</v>
      </c>
      <c r="M92" s="66">
        <v>0</v>
      </c>
      <c r="N92" s="67" t="s">
        <v>1230</v>
      </c>
      <c r="O92" s="67" t="s">
        <v>1230</v>
      </c>
      <c r="P92" s="67">
        <v>0</v>
      </c>
      <c r="Q92" s="66">
        <v>0</v>
      </c>
      <c r="R92" s="67">
        <v>0</v>
      </c>
      <c r="S92" s="66">
        <v>0</v>
      </c>
      <c r="T92" s="66">
        <v>0</v>
      </c>
      <c r="U92" s="66">
        <v>0</v>
      </c>
      <c r="V92" s="66">
        <v>0</v>
      </c>
      <c r="W92" s="66">
        <v>0</v>
      </c>
      <c r="X92" s="66">
        <v>0</v>
      </c>
      <c r="Y92" s="66">
        <v>0</v>
      </c>
      <c r="Z92" s="66">
        <v>0</v>
      </c>
      <c r="AA92" s="66">
        <v>0</v>
      </c>
      <c r="AB92" s="66">
        <v>0</v>
      </c>
      <c r="AC92" s="66">
        <v>0</v>
      </c>
      <c r="AD92" s="67" t="s">
        <v>1230</v>
      </c>
      <c r="AE92" s="67" t="s">
        <v>1230</v>
      </c>
      <c r="AF92" s="67">
        <v>0</v>
      </c>
      <c r="AG92" s="187">
        <v>0</v>
      </c>
      <c r="AH92" s="67">
        <v>0</v>
      </c>
      <c r="AI92" s="66">
        <v>0</v>
      </c>
      <c r="AJ92" s="66">
        <v>0</v>
      </c>
      <c r="AK92" s="66">
        <v>0</v>
      </c>
      <c r="AL92" s="66">
        <v>0</v>
      </c>
      <c r="AM92" s="66">
        <v>0</v>
      </c>
      <c r="AN92" s="66">
        <v>0</v>
      </c>
      <c r="AO92" s="66">
        <v>0</v>
      </c>
      <c r="AP92" s="66">
        <v>0</v>
      </c>
      <c r="AQ92" s="66">
        <v>0</v>
      </c>
      <c r="AR92" s="66">
        <v>0</v>
      </c>
      <c r="AS92" s="66">
        <v>0</v>
      </c>
      <c r="AT92" s="67" t="s">
        <v>1230</v>
      </c>
      <c r="AU92" s="67" t="s">
        <v>1230</v>
      </c>
      <c r="AV92" s="67">
        <v>0</v>
      </c>
      <c r="AW92" s="187">
        <v>0</v>
      </c>
      <c r="AX92" s="67">
        <v>0</v>
      </c>
      <c r="AY92" s="66">
        <v>0</v>
      </c>
      <c r="AZ92" s="66">
        <v>0</v>
      </c>
      <c r="BA92" s="66">
        <v>0</v>
      </c>
      <c r="BB92" s="66">
        <v>0</v>
      </c>
      <c r="BC92" s="66">
        <v>0</v>
      </c>
      <c r="BD92" s="66">
        <v>0</v>
      </c>
      <c r="BE92" s="66">
        <v>0</v>
      </c>
      <c r="BF92" s="66">
        <v>0</v>
      </c>
      <c r="BG92" s="66">
        <v>0</v>
      </c>
      <c r="BH92" s="66">
        <v>0</v>
      </c>
      <c r="BI92" s="66">
        <v>0</v>
      </c>
      <c r="BJ92" s="67" t="s">
        <v>1230</v>
      </c>
      <c r="BK92" s="67" t="s">
        <v>1230</v>
      </c>
      <c r="BL92" s="67">
        <v>0</v>
      </c>
      <c r="BM92" s="187">
        <v>0</v>
      </c>
      <c r="BN92" s="67">
        <v>0</v>
      </c>
      <c r="BO92" s="66">
        <v>0</v>
      </c>
      <c r="BP92" s="66">
        <v>0</v>
      </c>
      <c r="BQ92" s="66">
        <v>0</v>
      </c>
      <c r="BR92" s="66">
        <v>0</v>
      </c>
      <c r="BS92" s="66">
        <v>0</v>
      </c>
      <c r="BT92" s="66">
        <v>0</v>
      </c>
      <c r="BU92" s="66">
        <v>0</v>
      </c>
      <c r="BV92" s="66">
        <v>0</v>
      </c>
      <c r="BW92" s="66">
        <v>0</v>
      </c>
      <c r="BX92" s="66">
        <v>0</v>
      </c>
      <c r="BY92" s="66">
        <v>0</v>
      </c>
      <c r="BZ92" s="67" t="s">
        <v>1230</v>
      </c>
      <c r="CA92" s="67" t="s">
        <v>1230</v>
      </c>
      <c r="CB92" s="67">
        <v>0</v>
      </c>
      <c r="CC92" s="187">
        <v>0</v>
      </c>
      <c r="CD92" s="67">
        <v>0</v>
      </c>
    </row>
    <row r="93" spans="1:82" ht="15.6" x14ac:dyDescent="0.3">
      <c r="A93" s="169">
        <v>81</v>
      </c>
      <c r="B93" s="205" t="s">
        <v>225</v>
      </c>
      <c r="C93" s="66">
        <v>6.8779000000000003</v>
      </c>
      <c r="D93" s="66">
        <v>0</v>
      </c>
      <c r="E93" s="66">
        <v>6.8779000000000003</v>
      </c>
      <c r="F93" s="66">
        <v>6.8779000000000003</v>
      </c>
      <c r="G93" s="66">
        <v>0</v>
      </c>
      <c r="H93" s="66">
        <v>6.877815</v>
      </c>
      <c r="I93" s="66">
        <v>0</v>
      </c>
      <c r="J93" s="66">
        <v>6.877815</v>
      </c>
      <c r="K93" s="66">
        <v>6.877815</v>
      </c>
      <c r="L93" s="66">
        <v>0</v>
      </c>
      <c r="M93" s="66">
        <v>0</v>
      </c>
      <c r="N93" s="67">
        <v>99.998764157664397</v>
      </c>
      <c r="O93" s="67" t="s">
        <v>1230</v>
      </c>
      <c r="P93" s="67">
        <v>0</v>
      </c>
      <c r="Q93" s="66">
        <v>0</v>
      </c>
      <c r="R93" s="67">
        <v>0</v>
      </c>
      <c r="S93" s="66">
        <v>6.8779000000000003</v>
      </c>
      <c r="T93" s="66">
        <v>0</v>
      </c>
      <c r="U93" s="66">
        <v>6.8779000000000003</v>
      </c>
      <c r="V93" s="66">
        <v>6.8779000000000003</v>
      </c>
      <c r="W93" s="66">
        <v>0</v>
      </c>
      <c r="X93" s="66">
        <v>6.877815</v>
      </c>
      <c r="Y93" s="66">
        <v>0</v>
      </c>
      <c r="Z93" s="66">
        <v>6.877815</v>
      </c>
      <c r="AA93" s="66">
        <v>6.877815</v>
      </c>
      <c r="AB93" s="66">
        <v>0</v>
      </c>
      <c r="AC93" s="66">
        <v>0</v>
      </c>
      <c r="AD93" s="67">
        <v>99.998764157664397</v>
      </c>
      <c r="AE93" s="67" t="s">
        <v>1230</v>
      </c>
      <c r="AF93" s="67">
        <v>0</v>
      </c>
      <c r="AG93" s="187">
        <v>0</v>
      </c>
      <c r="AH93" s="67">
        <v>0</v>
      </c>
      <c r="AI93" s="66">
        <v>0</v>
      </c>
      <c r="AJ93" s="66">
        <v>0</v>
      </c>
      <c r="AK93" s="66">
        <v>0</v>
      </c>
      <c r="AL93" s="66">
        <v>0</v>
      </c>
      <c r="AM93" s="66">
        <v>0</v>
      </c>
      <c r="AN93" s="66">
        <v>0</v>
      </c>
      <c r="AO93" s="66">
        <v>0</v>
      </c>
      <c r="AP93" s="66">
        <v>0</v>
      </c>
      <c r="AQ93" s="66">
        <v>0</v>
      </c>
      <c r="AR93" s="66">
        <v>0</v>
      </c>
      <c r="AS93" s="66">
        <v>0</v>
      </c>
      <c r="AT93" s="67" t="s">
        <v>1230</v>
      </c>
      <c r="AU93" s="67" t="s">
        <v>1230</v>
      </c>
      <c r="AV93" s="67">
        <v>0</v>
      </c>
      <c r="AW93" s="187">
        <v>0</v>
      </c>
      <c r="AX93" s="67">
        <v>0</v>
      </c>
      <c r="AY93" s="66">
        <v>0</v>
      </c>
      <c r="AZ93" s="66">
        <v>0</v>
      </c>
      <c r="BA93" s="66">
        <v>0</v>
      </c>
      <c r="BB93" s="66">
        <v>0</v>
      </c>
      <c r="BC93" s="66">
        <v>0</v>
      </c>
      <c r="BD93" s="66">
        <v>0</v>
      </c>
      <c r="BE93" s="66">
        <v>0</v>
      </c>
      <c r="BF93" s="66">
        <v>0</v>
      </c>
      <c r="BG93" s="66">
        <v>0</v>
      </c>
      <c r="BH93" s="66">
        <v>0</v>
      </c>
      <c r="BI93" s="66">
        <v>0</v>
      </c>
      <c r="BJ93" s="67" t="s">
        <v>1230</v>
      </c>
      <c r="BK93" s="67" t="s">
        <v>1230</v>
      </c>
      <c r="BL93" s="67">
        <v>0</v>
      </c>
      <c r="BM93" s="187">
        <v>0</v>
      </c>
      <c r="BN93" s="67">
        <v>0</v>
      </c>
      <c r="BO93" s="66">
        <v>0</v>
      </c>
      <c r="BP93" s="66">
        <v>0</v>
      </c>
      <c r="BQ93" s="66">
        <v>0</v>
      </c>
      <c r="BR93" s="66">
        <v>0</v>
      </c>
      <c r="BS93" s="66">
        <v>0</v>
      </c>
      <c r="BT93" s="66">
        <v>0</v>
      </c>
      <c r="BU93" s="66">
        <v>0</v>
      </c>
      <c r="BV93" s="66">
        <v>0</v>
      </c>
      <c r="BW93" s="66">
        <v>0</v>
      </c>
      <c r="BX93" s="66">
        <v>0</v>
      </c>
      <c r="BY93" s="66">
        <v>0</v>
      </c>
      <c r="BZ93" s="67" t="s">
        <v>1230</v>
      </c>
      <c r="CA93" s="67" t="s">
        <v>1230</v>
      </c>
      <c r="CB93" s="67">
        <v>0</v>
      </c>
      <c r="CC93" s="187">
        <v>0</v>
      </c>
      <c r="CD93" s="67">
        <v>0</v>
      </c>
    </row>
    <row r="94" spans="1:82" ht="15.6" x14ac:dyDescent="0.3">
      <c r="A94" s="169">
        <v>82</v>
      </c>
      <c r="B94" s="205" t="s">
        <v>228</v>
      </c>
      <c r="C94" s="66">
        <v>0</v>
      </c>
      <c r="D94" s="66">
        <v>0</v>
      </c>
      <c r="E94" s="66">
        <v>0</v>
      </c>
      <c r="F94" s="66">
        <v>0</v>
      </c>
      <c r="G94" s="66">
        <v>0</v>
      </c>
      <c r="H94" s="66">
        <v>0</v>
      </c>
      <c r="I94" s="66">
        <v>0</v>
      </c>
      <c r="J94" s="66">
        <v>0</v>
      </c>
      <c r="K94" s="66">
        <v>0</v>
      </c>
      <c r="L94" s="66">
        <v>0</v>
      </c>
      <c r="M94" s="66">
        <v>0</v>
      </c>
      <c r="N94" s="67" t="s">
        <v>1230</v>
      </c>
      <c r="O94" s="67" t="s">
        <v>1230</v>
      </c>
      <c r="P94" s="67">
        <v>0</v>
      </c>
      <c r="Q94" s="66">
        <v>0</v>
      </c>
      <c r="R94" s="67">
        <v>0</v>
      </c>
      <c r="S94" s="66">
        <v>0</v>
      </c>
      <c r="T94" s="66">
        <v>0</v>
      </c>
      <c r="U94" s="66">
        <v>0</v>
      </c>
      <c r="V94" s="66">
        <v>0</v>
      </c>
      <c r="W94" s="66">
        <v>0</v>
      </c>
      <c r="X94" s="66">
        <v>0</v>
      </c>
      <c r="Y94" s="66">
        <v>0</v>
      </c>
      <c r="Z94" s="66">
        <v>0</v>
      </c>
      <c r="AA94" s="66">
        <v>0</v>
      </c>
      <c r="AB94" s="66">
        <v>0</v>
      </c>
      <c r="AC94" s="66">
        <v>0</v>
      </c>
      <c r="AD94" s="67" t="s">
        <v>1230</v>
      </c>
      <c r="AE94" s="67" t="s">
        <v>1230</v>
      </c>
      <c r="AF94" s="67">
        <v>0</v>
      </c>
      <c r="AG94" s="187">
        <v>0</v>
      </c>
      <c r="AH94" s="67">
        <v>0</v>
      </c>
      <c r="AI94" s="66">
        <v>0</v>
      </c>
      <c r="AJ94" s="66">
        <v>0</v>
      </c>
      <c r="AK94" s="66">
        <v>0</v>
      </c>
      <c r="AL94" s="66">
        <v>0</v>
      </c>
      <c r="AM94" s="66">
        <v>0</v>
      </c>
      <c r="AN94" s="66">
        <v>0</v>
      </c>
      <c r="AO94" s="66">
        <v>0</v>
      </c>
      <c r="AP94" s="66">
        <v>0</v>
      </c>
      <c r="AQ94" s="66">
        <v>0</v>
      </c>
      <c r="AR94" s="66">
        <v>0</v>
      </c>
      <c r="AS94" s="66">
        <v>0</v>
      </c>
      <c r="AT94" s="67" t="s">
        <v>1230</v>
      </c>
      <c r="AU94" s="67" t="s">
        <v>1230</v>
      </c>
      <c r="AV94" s="67">
        <v>0</v>
      </c>
      <c r="AW94" s="187">
        <v>0</v>
      </c>
      <c r="AX94" s="67">
        <v>0</v>
      </c>
      <c r="AY94" s="66">
        <v>0</v>
      </c>
      <c r="AZ94" s="66">
        <v>0</v>
      </c>
      <c r="BA94" s="66">
        <v>0</v>
      </c>
      <c r="BB94" s="66">
        <v>0</v>
      </c>
      <c r="BC94" s="66">
        <v>0</v>
      </c>
      <c r="BD94" s="66">
        <v>0</v>
      </c>
      <c r="BE94" s="66">
        <v>0</v>
      </c>
      <c r="BF94" s="66">
        <v>0</v>
      </c>
      <c r="BG94" s="66">
        <v>0</v>
      </c>
      <c r="BH94" s="66">
        <v>0</v>
      </c>
      <c r="BI94" s="66">
        <v>0</v>
      </c>
      <c r="BJ94" s="67" t="s">
        <v>1230</v>
      </c>
      <c r="BK94" s="67" t="s">
        <v>1230</v>
      </c>
      <c r="BL94" s="67">
        <v>0</v>
      </c>
      <c r="BM94" s="187">
        <v>0</v>
      </c>
      <c r="BN94" s="67">
        <v>0</v>
      </c>
      <c r="BO94" s="66">
        <v>0</v>
      </c>
      <c r="BP94" s="66">
        <v>0</v>
      </c>
      <c r="BQ94" s="66">
        <v>0</v>
      </c>
      <c r="BR94" s="66">
        <v>0</v>
      </c>
      <c r="BS94" s="66">
        <v>0</v>
      </c>
      <c r="BT94" s="66">
        <v>0</v>
      </c>
      <c r="BU94" s="66">
        <v>0</v>
      </c>
      <c r="BV94" s="66">
        <v>0</v>
      </c>
      <c r="BW94" s="66">
        <v>0</v>
      </c>
      <c r="BX94" s="66">
        <v>0</v>
      </c>
      <c r="BY94" s="66">
        <v>0</v>
      </c>
      <c r="BZ94" s="67" t="s">
        <v>1230</v>
      </c>
      <c r="CA94" s="67" t="s">
        <v>1230</v>
      </c>
      <c r="CB94" s="67">
        <v>0</v>
      </c>
      <c r="CC94" s="187">
        <v>0</v>
      </c>
      <c r="CD94" s="67">
        <v>0</v>
      </c>
    </row>
    <row r="95" spans="1:82" ht="15.6" x14ac:dyDescent="0.3">
      <c r="A95" s="202">
        <v>83</v>
      </c>
      <c r="B95" s="203" t="s">
        <v>231</v>
      </c>
      <c r="C95" s="61">
        <v>5898.7856000000011</v>
      </c>
      <c r="D95" s="61">
        <v>0</v>
      </c>
      <c r="E95" s="61">
        <v>5898.7856000000011</v>
      </c>
      <c r="F95" s="61">
        <v>5898.7856000000011</v>
      </c>
      <c r="G95" s="61">
        <v>0</v>
      </c>
      <c r="H95" s="61">
        <v>5555.6506337499995</v>
      </c>
      <c r="I95" s="61">
        <v>0</v>
      </c>
      <c r="J95" s="61">
        <v>5538.7953497099998</v>
      </c>
      <c r="K95" s="61">
        <v>5538.7953497099998</v>
      </c>
      <c r="L95" s="61">
        <v>0</v>
      </c>
      <c r="M95" s="61">
        <v>0</v>
      </c>
      <c r="N95" s="61">
        <v>93.897214194562324</v>
      </c>
      <c r="O95" s="61" t="s">
        <v>1230</v>
      </c>
      <c r="P95" s="61">
        <v>0</v>
      </c>
      <c r="Q95" s="61">
        <v>0</v>
      </c>
      <c r="R95" s="61">
        <v>16.855284040000015</v>
      </c>
      <c r="S95" s="61">
        <v>0</v>
      </c>
      <c r="T95" s="61">
        <v>0</v>
      </c>
      <c r="U95" s="61">
        <v>0</v>
      </c>
      <c r="V95" s="61">
        <v>0</v>
      </c>
      <c r="W95" s="61">
        <v>0</v>
      </c>
      <c r="X95" s="61">
        <v>0</v>
      </c>
      <c r="Y95" s="61">
        <v>0</v>
      </c>
      <c r="Z95" s="61">
        <v>0</v>
      </c>
      <c r="AA95" s="61">
        <v>0</v>
      </c>
      <c r="AB95" s="61">
        <v>0</v>
      </c>
      <c r="AC95" s="61">
        <v>0</v>
      </c>
      <c r="AD95" s="61" t="s">
        <v>1230</v>
      </c>
      <c r="AE95" s="61" t="s">
        <v>1230</v>
      </c>
      <c r="AF95" s="61">
        <v>0</v>
      </c>
      <c r="AG95" s="61">
        <v>0</v>
      </c>
      <c r="AH95" s="61">
        <v>0</v>
      </c>
      <c r="AI95" s="61">
        <v>820.90970000000004</v>
      </c>
      <c r="AJ95" s="61">
        <v>0</v>
      </c>
      <c r="AK95" s="61">
        <v>820.90970000000004</v>
      </c>
      <c r="AL95" s="61">
        <v>820.90970000000004</v>
      </c>
      <c r="AM95" s="61">
        <v>0</v>
      </c>
      <c r="AN95" s="61">
        <v>820.90970000000004</v>
      </c>
      <c r="AO95" s="61">
        <v>0</v>
      </c>
      <c r="AP95" s="61">
        <v>804.06294533000005</v>
      </c>
      <c r="AQ95" s="61">
        <v>804.06294533000005</v>
      </c>
      <c r="AR95" s="61">
        <v>0</v>
      </c>
      <c r="AS95" s="61">
        <v>0</v>
      </c>
      <c r="AT95" s="61">
        <v>97.947794420019648</v>
      </c>
      <c r="AU95" s="61" t="s">
        <v>1230</v>
      </c>
      <c r="AV95" s="61">
        <v>0</v>
      </c>
      <c r="AW95" s="61">
        <v>0</v>
      </c>
      <c r="AX95" s="61">
        <v>16.846754669999996</v>
      </c>
      <c r="AY95" s="61">
        <v>4978.2214000000004</v>
      </c>
      <c r="AZ95" s="61">
        <v>0</v>
      </c>
      <c r="BA95" s="61">
        <v>4978.2214000000004</v>
      </c>
      <c r="BB95" s="61">
        <v>4978.2214000000004</v>
      </c>
      <c r="BC95" s="61">
        <v>0</v>
      </c>
      <c r="BD95" s="61">
        <v>4635.0865237500002</v>
      </c>
      <c r="BE95" s="61">
        <v>0</v>
      </c>
      <c r="BF95" s="61">
        <v>4635.0779943799998</v>
      </c>
      <c r="BG95" s="61">
        <v>4635.0779943799998</v>
      </c>
      <c r="BH95" s="61">
        <v>0</v>
      </c>
      <c r="BI95" s="61">
        <v>0</v>
      </c>
      <c r="BJ95" s="61">
        <v>93.107108381720423</v>
      </c>
      <c r="BK95" s="61" t="s">
        <v>1230</v>
      </c>
      <c r="BL95" s="61">
        <v>0</v>
      </c>
      <c r="BM95" s="61">
        <v>0</v>
      </c>
      <c r="BN95" s="61">
        <v>8.5293700000192985E-3</v>
      </c>
      <c r="BO95" s="61">
        <v>99.654499999999999</v>
      </c>
      <c r="BP95" s="61">
        <v>0</v>
      </c>
      <c r="BQ95" s="61">
        <v>99.654499999999999</v>
      </c>
      <c r="BR95" s="61">
        <v>99.654499999999999</v>
      </c>
      <c r="BS95" s="61">
        <v>0</v>
      </c>
      <c r="BT95" s="61">
        <v>99.654409999999999</v>
      </c>
      <c r="BU95" s="61">
        <v>0</v>
      </c>
      <c r="BV95" s="61">
        <v>99.654409999999999</v>
      </c>
      <c r="BW95" s="61">
        <v>99.654409999999999</v>
      </c>
      <c r="BX95" s="61">
        <v>0</v>
      </c>
      <c r="BY95" s="61">
        <v>0</v>
      </c>
      <c r="BZ95" s="61">
        <v>99.99990968797195</v>
      </c>
      <c r="CA95" s="61" t="s">
        <v>1230</v>
      </c>
      <c r="CB95" s="61">
        <v>0</v>
      </c>
      <c r="CC95" s="61">
        <v>0</v>
      </c>
      <c r="CD95" s="61">
        <v>0</v>
      </c>
    </row>
    <row r="96" spans="1:82" ht="15.6" x14ac:dyDescent="0.3">
      <c r="A96" s="169">
        <v>84</v>
      </c>
      <c r="B96" s="205" t="s">
        <v>198</v>
      </c>
      <c r="C96" s="66">
        <v>0</v>
      </c>
      <c r="D96" s="66">
        <v>0</v>
      </c>
      <c r="E96" s="66">
        <v>0</v>
      </c>
      <c r="F96" s="66">
        <v>0</v>
      </c>
      <c r="G96" s="66">
        <v>0</v>
      </c>
      <c r="H96" s="66">
        <v>0</v>
      </c>
      <c r="I96" s="66">
        <v>0</v>
      </c>
      <c r="J96" s="66">
        <v>0</v>
      </c>
      <c r="K96" s="66">
        <v>0</v>
      </c>
      <c r="L96" s="66">
        <v>0</v>
      </c>
      <c r="M96" s="66">
        <v>0</v>
      </c>
      <c r="N96" s="67" t="s">
        <v>1230</v>
      </c>
      <c r="O96" s="67" t="s">
        <v>1230</v>
      </c>
      <c r="P96" s="67">
        <v>0</v>
      </c>
      <c r="Q96" s="66">
        <v>0</v>
      </c>
      <c r="R96" s="67">
        <v>0</v>
      </c>
      <c r="S96" s="66">
        <v>0</v>
      </c>
      <c r="T96" s="66">
        <v>0</v>
      </c>
      <c r="U96" s="66">
        <v>0</v>
      </c>
      <c r="V96" s="66">
        <v>0</v>
      </c>
      <c r="W96" s="66">
        <v>0</v>
      </c>
      <c r="X96" s="66">
        <v>0</v>
      </c>
      <c r="Y96" s="66">
        <v>0</v>
      </c>
      <c r="Z96" s="66">
        <v>0</v>
      </c>
      <c r="AA96" s="66">
        <v>0</v>
      </c>
      <c r="AB96" s="66">
        <v>0</v>
      </c>
      <c r="AC96" s="66">
        <v>0</v>
      </c>
      <c r="AD96" s="67" t="s">
        <v>1230</v>
      </c>
      <c r="AE96" s="67" t="s">
        <v>1230</v>
      </c>
      <c r="AF96" s="67">
        <v>0</v>
      </c>
      <c r="AG96" s="187">
        <v>0</v>
      </c>
      <c r="AH96" s="67">
        <v>0</v>
      </c>
      <c r="AI96" s="66">
        <v>0</v>
      </c>
      <c r="AJ96" s="66">
        <v>0</v>
      </c>
      <c r="AK96" s="66">
        <v>0</v>
      </c>
      <c r="AL96" s="66">
        <v>0</v>
      </c>
      <c r="AM96" s="66">
        <v>0</v>
      </c>
      <c r="AN96" s="66">
        <v>0</v>
      </c>
      <c r="AO96" s="66">
        <v>0</v>
      </c>
      <c r="AP96" s="66">
        <v>0</v>
      </c>
      <c r="AQ96" s="66">
        <v>0</v>
      </c>
      <c r="AR96" s="66">
        <v>0</v>
      </c>
      <c r="AS96" s="66">
        <v>0</v>
      </c>
      <c r="AT96" s="67" t="s">
        <v>1230</v>
      </c>
      <c r="AU96" s="67" t="s">
        <v>1230</v>
      </c>
      <c r="AV96" s="67">
        <v>0</v>
      </c>
      <c r="AW96" s="187">
        <v>0</v>
      </c>
      <c r="AX96" s="67">
        <v>0</v>
      </c>
      <c r="AY96" s="66">
        <v>0</v>
      </c>
      <c r="AZ96" s="66">
        <v>0</v>
      </c>
      <c r="BA96" s="66">
        <v>0</v>
      </c>
      <c r="BB96" s="66">
        <v>0</v>
      </c>
      <c r="BC96" s="66">
        <v>0</v>
      </c>
      <c r="BD96" s="66">
        <v>0</v>
      </c>
      <c r="BE96" s="66">
        <v>0</v>
      </c>
      <c r="BF96" s="66">
        <v>0</v>
      </c>
      <c r="BG96" s="66">
        <v>0</v>
      </c>
      <c r="BH96" s="66">
        <v>0</v>
      </c>
      <c r="BI96" s="66">
        <v>0</v>
      </c>
      <c r="BJ96" s="67" t="s">
        <v>1230</v>
      </c>
      <c r="BK96" s="67" t="s">
        <v>1230</v>
      </c>
      <c r="BL96" s="67">
        <v>0</v>
      </c>
      <c r="BM96" s="187">
        <v>0</v>
      </c>
      <c r="BN96" s="67">
        <v>0</v>
      </c>
      <c r="BO96" s="66">
        <v>0</v>
      </c>
      <c r="BP96" s="66">
        <v>0</v>
      </c>
      <c r="BQ96" s="66">
        <v>0</v>
      </c>
      <c r="BR96" s="66">
        <v>0</v>
      </c>
      <c r="BS96" s="66">
        <v>0</v>
      </c>
      <c r="BT96" s="66">
        <v>0</v>
      </c>
      <c r="BU96" s="66">
        <v>0</v>
      </c>
      <c r="BV96" s="66">
        <v>0</v>
      </c>
      <c r="BW96" s="66">
        <v>0</v>
      </c>
      <c r="BX96" s="66">
        <v>0</v>
      </c>
      <c r="BY96" s="66">
        <v>0</v>
      </c>
      <c r="BZ96" s="67" t="s">
        <v>1230</v>
      </c>
      <c r="CA96" s="67" t="s">
        <v>1230</v>
      </c>
      <c r="CB96" s="67">
        <v>0</v>
      </c>
      <c r="CC96" s="187">
        <v>0</v>
      </c>
      <c r="CD96" s="67">
        <v>0</v>
      </c>
    </row>
    <row r="97" spans="1:82" ht="15.6" x14ac:dyDescent="0.3">
      <c r="A97" s="169">
        <v>85</v>
      </c>
      <c r="B97" s="205" t="s">
        <v>234</v>
      </c>
      <c r="C97" s="66">
        <v>0</v>
      </c>
      <c r="D97" s="66">
        <v>0</v>
      </c>
      <c r="E97" s="66">
        <v>0</v>
      </c>
      <c r="F97" s="66">
        <v>0</v>
      </c>
      <c r="G97" s="66">
        <v>0</v>
      </c>
      <c r="H97" s="66">
        <v>0</v>
      </c>
      <c r="I97" s="66">
        <v>0</v>
      </c>
      <c r="J97" s="66">
        <v>0</v>
      </c>
      <c r="K97" s="66">
        <v>0</v>
      </c>
      <c r="L97" s="66">
        <v>0</v>
      </c>
      <c r="M97" s="66">
        <v>0</v>
      </c>
      <c r="N97" s="67" t="s">
        <v>1230</v>
      </c>
      <c r="O97" s="67" t="s">
        <v>1230</v>
      </c>
      <c r="P97" s="67">
        <v>0</v>
      </c>
      <c r="Q97" s="66">
        <v>0</v>
      </c>
      <c r="R97" s="67">
        <v>0</v>
      </c>
      <c r="S97" s="66">
        <v>0</v>
      </c>
      <c r="T97" s="66">
        <v>0</v>
      </c>
      <c r="U97" s="66">
        <v>0</v>
      </c>
      <c r="V97" s="66">
        <v>0</v>
      </c>
      <c r="W97" s="66">
        <v>0</v>
      </c>
      <c r="X97" s="66">
        <v>0</v>
      </c>
      <c r="Y97" s="66">
        <v>0</v>
      </c>
      <c r="Z97" s="66">
        <v>0</v>
      </c>
      <c r="AA97" s="66">
        <v>0</v>
      </c>
      <c r="AB97" s="66">
        <v>0</v>
      </c>
      <c r="AC97" s="66">
        <v>0</v>
      </c>
      <c r="AD97" s="67" t="s">
        <v>1230</v>
      </c>
      <c r="AE97" s="67" t="s">
        <v>1230</v>
      </c>
      <c r="AF97" s="67">
        <v>0</v>
      </c>
      <c r="AG97" s="187">
        <v>0</v>
      </c>
      <c r="AH97" s="67">
        <v>0</v>
      </c>
      <c r="AI97" s="66">
        <v>0</v>
      </c>
      <c r="AJ97" s="66">
        <v>0</v>
      </c>
      <c r="AK97" s="66">
        <v>0</v>
      </c>
      <c r="AL97" s="66">
        <v>0</v>
      </c>
      <c r="AM97" s="66">
        <v>0</v>
      </c>
      <c r="AN97" s="66">
        <v>0</v>
      </c>
      <c r="AO97" s="66">
        <v>0</v>
      </c>
      <c r="AP97" s="66">
        <v>0</v>
      </c>
      <c r="AQ97" s="66">
        <v>0</v>
      </c>
      <c r="AR97" s="66">
        <v>0</v>
      </c>
      <c r="AS97" s="66">
        <v>0</v>
      </c>
      <c r="AT97" s="67" t="s">
        <v>1230</v>
      </c>
      <c r="AU97" s="67" t="s">
        <v>1230</v>
      </c>
      <c r="AV97" s="67">
        <v>0</v>
      </c>
      <c r="AW97" s="187">
        <v>0</v>
      </c>
      <c r="AX97" s="67">
        <v>0</v>
      </c>
      <c r="AY97" s="66">
        <v>0</v>
      </c>
      <c r="AZ97" s="66">
        <v>0</v>
      </c>
      <c r="BA97" s="66">
        <v>0</v>
      </c>
      <c r="BB97" s="66">
        <v>0</v>
      </c>
      <c r="BC97" s="66">
        <v>0</v>
      </c>
      <c r="BD97" s="66">
        <v>0</v>
      </c>
      <c r="BE97" s="66">
        <v>0</v>
      </c>
      <c r="BF97" s="66">
        <v>0</v>
      </c>
      <c r="BG97" s="66">
        <v>0</v>
      </c>
      <c r="BH97" s="66">
        <v>0</v>
      </c>
      <c r="BI97" s="66">
        <v>0</v>
      </c>
      <c r="BJ97" s="67" t="s">
        <v>1230</v>
      </c>
      <c r="BK97" s="67" t="s">
        <v>1230</v>
      </c>
      <c r="BL97" s="67">
        <v>0</v>
      </c>
      <c r="BM97" s="187">
        <v>0</v>
      </c>
      <c r="BN97" s="67">
        <v>0</v>
      </c>
      <c r="BO97" s="66">
        <v>0</v>
      </c>
      <c r="BP97" s="66">
        <v>0</v>
      </c>
      <c r="BQ97" s="66">
        <v>0</v>
      </c>
      <c r="BR97" s="66">
        <v>0</v>
      </c>
      <c r="BS97" s="66">
        <v>0</v>
      </c>
      <c r="BT97" s="66">
        <v>0</v>
      </c>
      <c r="BU97" s="66">
        <v>0</v>
      </c>
      <c r="BV97" s="66">
        <v>0</v>
      </c>
      <c r="BW97" s="66">
        <v>0</v>
      </c>
      <c r="BX97" s="66">
        <v>0</v>
      </c>
      <c r="BY97" s="66">
        <v>0</v>
      </c>
      <c r="BZ97" s="67" t="s">
        <v>1230</v>
      </c>
      <c r="CA97" s="67" t="s">
        <v>1230</v>
      </c>
      <c r="CB97" s="67">
        <v>0</v>
      </c>
      <c r="CC97" s="187">
        <v>0</v>
      </c>
      <c r="CD97" s="67">
        <v>0</v>
      </c>
    </row>
    <row r="98" spans="1:82" ht="15.6" x14ac:dyDescent="0.3">
      <c r="A98" s="169">
        <v>86</v>
      </c>
      <c r="B98" s="205" t="s">
        <v>210</v>
      </c>
      <c r="C98" s="66">
        <v>920.56420000000003</v>
      </c>
      <c r="D98" s="66">
        <v>0</v>
      </c>
      <c r="E98" s="66">
        <v>920.56420000000003</v>
      </c>
      <c r="F98" s="66">
        <v>920.56420000000003</v>
      </c>
      <c r="G98" s="66">
        <v>0</v>
      </c>
      <c r="H98" s="66">
        <v>920.56411000000003</v>
      </c>
      <c r="I98" s="66">
        <v>0</v>
      </c>
      <c r="J98" s="66">
        <v>903.71735533000003</v>
      </c>
      <c r="K98" s="66">
        <v>903.71735533000003</v>
      </c>
      <c r="L98" s="66">
        <v>0</v>
      </c>
      <c r="M98" s="66">
        <v>0</v>
      </c>
      <c r="N98" s="67">
        <v>98.169943533541712</v>
      </c>
      <c r="O98" s="67" t="s">
        <v>1230</v>
      </c>
      <c r="P98" s="67">
        <v>0</v>
      </c>
      <c r="Q98" s="66">
        <v>0</v>
      </c>
      <c r="R98" s="67">
        <v>16.846754669999996</v>
      </c>
      <c r="S98" s="66">
        <v>0</v>
      </c>
      <c r="T98" s="66">
        <v>0</v>
      </c>
      <c r="U98" s="66">
        <v>0</v>
      </c>
      <c r="V98" s="66">
        <v>0</v>
      </c>
      <c r="W98" s="66">
        <v>0</v>
      </c>
      <c r="X98" s="66">
        <v>0</v>
      </c>
      <c r="Y98" s="66">
        <v>0</v>
      </c>
      <c r="Z98" s="66">
        <v>0</v>
      </c>
      <c r="AA98" s="66">
        <v>0</v>
      </c>
      <c r="AB98" s="66">
        <v>0</v>
      </c>
      <c r="AC98" s="66">
        <v>0</v>
      </c>
      <c r="AD98" s="67" t="s">
        <v>1230</v>
      </c>
      <c r="AE98" s="67" t="s">
        <v>1230</v>
      </c>
      <c r="AF98" s="67">
        <v>0</v>
      </c>
      <c r="AG98" s="187">
        <v>0</v>
      </c>
      <c r="AH98" s="67">
        <v>0</v>
      </c>
      <c r="AI98" s="66">
        <v>820.90970000000004</v>
      </c>
      <c r="AJ98" s="66">
        <v>0</v>
      </c>
      <c r="AK98" s="66">
        <v>820.90970000000004</v>
      </c>
      <c r="AL98" s="66">
        <v>820.90970000000004</v>
      </c>
      <c r="AM98" s="66">
        <v>0</v>
      </c>
      <c r="AN98" s="66">
        <v>820.90970000000004</v>
      </c>
      <c r="AO98" s="66">
        <v>0</v>
      </c>
      <c r="AP98" s="66">
        <v>804.06294533000005</v>
      </c>
      <c r="AQ98" s="66">
        <v>804.06294533000005</v>
      </c>
      <c r="AR98" s="66">
        <v>0</v>
      </c>
      <c r="AS98" s="66">
        <v>0</v>
      </c>
      <c r="AT98" s="67">
        <v>97.947794420019648</v>
      </c>
      <c r="AU98" s="67" t="s">
        <v>1230</v>
      </c>
      <c r="AV98" s="67">
        <v>0</v>
      </c>
      <c r="AW98" s="187">
        <v>0</v>
      </c>
      <c r="AX98" s="67">
        <v>16.846754669999996</v>
      </c>
      <c r="AY98" s="66">
        <v>0</v>
      </c>
      <c r="AZ98" s="66">
        <v>0</v>
      </c>
      <c r="BA98" s="66">
        <v>0</v>
      </c>
      <c r="BB98" s="66">
        <v>0</v>
      </c>
      <c r="BC98" s="66">
        <v>0</v>
      </c>
      <c r="BD98" s="66">
        <v>0</v>
      </c>
      <c r="BE98" s="66">
        <v>0</v>
      </c>
      <c r="BF98" s="66">
        <v>0</v>
      </c>
      <c r="BG98" s="66">
        <v>0</v>
      </c>
      <c r="BH98" s="66">
        <v>0</v>
      </c>
      <c r="BI98" s="66">
        <v>0</v>
      </c>
      <c r="BJ98" s="67" t="s">
        <v>1230</v>
      </c>
      <c r="BK98" s="67" t="s">
        <v>1230</v>
      </c>
      <c r="BL98" s="67">
        <v>0</v>
      </c>
      <c r="BM98" s="187">
        <v>0</v>
      </c>
      <c r="BN98" s="67">
        <v>0</v>
      </c>
      <c r="BO98" s="66">
        <v>99.654499999999999</v>
      </c>
      <c r="BP98" s="66">
        <v>0</v>
      </c>
      <c r="BQ98" s="66">
        <v>99.654499999999999</v>
      </c>
      <c r="BR98" s="66">
        <v>99.654499999999999</v>
      </c>
      <c r="BS98" s="66">
        <v>0</v>
      </c>
      <c r="BT98" s="66">
        <v>99.654409999999999</v>
      </c>
      <c r="BU98" s="66">
        <v>0</v>
      </c>
      <c r="BV98" s="66">
        <v>99.654409999999999</v>
      </c>
      <c r="BW98" s="66">
        <v>99.654409999999999</v>
      </c>
      <c r="BX98" s="66">
        <v>0</v>
      </c>
      <c r="BY98" s="66">
        <v>0</v>
      </c>
      <c r="BZ98" s="67">
        <v>99.99990968797195</v>
      </c>
      <c r="CA98" s="67" t="s">
        <v>1230</v>
      </c>
      <c r="CB98" s="67">
        <v>0</v>
      </c>
      <c r="CC98" s="187">
        <v>0</v>
      </c>
      <c r="CD98" s="67">
        <v>0</v>
      </c>
    </row>
    <row r="99" spans="1:82" ht="15.6" x14ac:dyDescent="0.3">
      <c r="A99" s="169">
        <v>87</v>
      </c>
      <c r="B99" s="205" t="s">
        <v>237</v>
      </c>
      <c r="C99" s="66">
        <v>0</v>
      </c>
      <c r="D99" s="66">
        <v>0</v>
      </c>
      <c r="E99" s="66">
        <v>0</v>
      </c>
      <c r="F99" s="66">
        <v>0</v>
      </c>
      <c r="G99" s="66">
        <v>0</v>
      </c>
      <c r="H99" s="66">
        <v>0</v>
      </c>
      <c r="I99" s="66">
        <v>0</v>
      </c>
      <c r="J99" s="66">
        <v>0</v>
      </c>
      <c r="K99" s="66">
        <v>0</v>
      </c>
      <c r="L99" s="66">
        <v>0</v>
      </c>
      <c r="M99" s="66">
        <v>0</v>
      </c>
      <c r="N99" s="67" t="s">
        <v>1230</v>
      </c>
      <c r="O99" s="67" t="s">
        <v>1230</v>
      </c>
      <c r="P99" s="67">
        <v>0</v>
      </c>
      <c r="Q99" s="66">
        <v>0</v>
      </c>
      <c r="R99" s="67">
        <v>0</v>
      </c>
      <c r="S99" s="66">
        <v>0</v>
      </c>
      <c r="T99" s="66">
        <v>0</v>
      </c>
      <c r="U99" s="66">
        <v>0</v>
      </c>
      <c r="V99" s="66">
        <v>0</v>
      </c>
      <c r="W99" s="66">
        <v>0</v>
      </c>
      <c r="X99" s="66">
        <v>0</v>
      </c>
      <c r="Y99" s="66">
        <v>0</v>
      </c>
      <c r="Z99" s="66">
        <v>0</v>
      </c>
      <c r="AA99" s="66">
        <v>0</v>
      </c>
      <c r="AB99" s="66">
        <v>0</v>
      </c>
      <c r="AC99" s="66">
        <v>0</v>
      </c>
      <c r="AD99" s="67" t="s">
        <v>1230</v>
      </c>
      <c r="AE99" s="67" t="s">
        <v>1230</v>
      </c>
      <c r="AF99" s="67">
        <v>0</v>
      </c>
      <c r="AG99" s="187">
        <v>0</v>
      </c>
      <c r="AH99" s="67">
        <v>0</v>
      </c>
      <c r="AI99" s="66">
        <v>0</v>
      </c>
      <c r="AJ99" s="66">
        <v>0</v>
      </c>
      <c r="AK99" s="66">
        <v>0</v>
      </c>
      <c r="AL99" s="66">
        <v>0</v>
      </c>
      <c r="AM99" s="66">
        <v>0</v>
      </c>
      <c r="AN99" s="66">
        <v>0</v>
      </c>
      <c r="AO99" s="66">
        <v>0</v>
      </c>
      <c r="AP99" s="66">
        <v>0</v>
      </c>
      <c r="AQ99" s="66">
        <v>0</v>
      </c>
      <c r="AR99" s="66">
        <v>0</v>
      </c>
      <c r="AS99" s="66">
        <v>0</v>
      </c>
      <c r="AT99" s="67" t="s">
        <v>1230</v>
      </c>
      <c r="AU99" s="67" t="s">
        <v>1230</v>
      </c>
      <c r="AV99" s="67">
        <v>0</v>
      </c>
      <c r="AW99" s="187">
        <v>0</v>
      </c>
      <c r="AX99" s="67">
        <v>0</v>
      </c>
      <c r="AY99" s="66">
        <v>0</v>
      </c>
      <c r="AZ99" s="66">
        <v>0</v>
      </c>
      <c r="BA99" s="66">
        <v>0</v>
      </c>
      <c r="BB99" s="66">
        <v>0</v>
      </c>
      <c r="BC99" s="66">
        <v>0</v>
      </c>
      <c r="BD99" s="66">
        <v>0</v>
      </c>
      <c r="BE99" s="66">
        <v>0</v>
      </c>
      <c r="BF99" s="66">
        <v>0</v>
      </c>
      <c r="BG99" s="66">
        <v>0</v>
      </c>
      <c r="BH99" s="66">
        <v>0</v>
      </c>
      <c r="BI99" s="66">
        <v>0</v>
      </c>
      <c r="BJ99" s="67" t="s">
        <v>1230</v>
      </c>
      <c r="BK99" s="67" t="s">
        <v>1230</v>
      </c>
      <c r="BL99" s="67">
        <v>0</v>
      </c>
      <c r="BM99" s="187">
        <v>0</v>
      </c>
      <c r="BN99" s="67">
        <v>0</v>
      </c>
      <c r="BO99" s="66">
        <v>0</v>
      </c>
      <c r="BP99" s="66">
        <v>0</v>
      </c>
      <c r="BQ99" s="66">
        <v>0</v>
      </c>
      <c r="BR99" s="66">
        <v>0</v>
      </c>
      <c r="BS99" s="66">
        <v>0</v>
      </c>
      <c r="BT99" s="66">
        <v>0</v>
      </c>
      <c r="BU99" s="66">
        <v>0</v>
      </c>
      <c r="BV99" s="66">
        <v>0</v>
      </c>
      <c r="BW99" s="66">
        <v>0</v>
      </c>
      <c r="BX99" s="66">
        <v>0</v>
      </c>
      <c r="BY99" s="66">
        <v>0</v>
      </c>
      <c r="BZ99" s="67" t="s">
        <v>1230</v>
      </c>
      <c r="CA99" s="67" t="s">
        <v>1230</v>
      </c>
      <c r="CB99" s="67">
        <v>0</v>
      </c>
      <c r="CC99" s="187">
        <v>0</v>
      </c>
      <c r="CD99" s="67">
        <v>0</v>
      </c>
    </row>
    <row r="100" spans="1:82" ht="15.6" x14ac:dyDescent="0.3">
      <c r="A100" s="169">
        <v>88</v>
      </c>
      <c r="B100" s="205" t="s">
        <v>240</v>
      </c>
      <c r="C100" s="66">
        <v>405.40019999999998</v>
      </c>
      <c r="D100" s="66">
        <v>0</v>
      </c>
      <c r="E100" s="66">
        <v>405.40019999999998</v>
      </c>
      <c r="F100" s="66">
        <v>405.40019999999998</v>
      </c>
      <c r="G100" s="66">
        <v>0</v>
      </c>
      <c r="H100" s="66">
        <v>403.52150377999999</v>
      </c>
      <c r="I100" s="66">
        <v>0</v>
      </c>
      <c r="J100" s="66">
        <v>403.52150377999999</v>
      </c>
      <c r="K100" s="66">
        <v>403.52150377999999</v>
      </c>
      <c r="L100" s="66">
        <v>0</v>
      </c>
      <c r="M100" s="66">
        <v>0</v>
      </c>
      <c r="N100" s="67">
        <v>99.536582315450261</v>
      </c>
      <c r="O100" s="67" t="s">
        <v>1230</v>
      </c>
      <c r="P100" s="67">
        <v>0</v>
      </c>
      <c r="Q100" s="66">
        <v>0</v>
      </c>
      <c r="R100" s="67">
        <v>0</v>
      </c>
      <c r="S100" s="66">
        <v>0</v>
      </c>
      <c r="T100" s="66">
        <v>0</v>
      </c>
      <c r="U100" s="66">
        <v>0</v>
      </c>
      <c r="V100" s="66">
        <v>0</v>
      </c>
      <c r="W100" s="66">
        <v>0</v>
      </c>
      <c r="X100" s="66">
        <v>0</v>
      </c>
      <c r="Y100" s="66">
        <v>0</v>
      </c>
      <c r="Z100" s="66">
        <v>0</v>
      </c>
      <c r="AA100" s="66">
        <v>0</v>
      </c>
      <c r="AB100" s="66">
        <v>0</v>
      </c>
      <c r="AC100" s="66">
        <v>0</v>
      </c>
      <c r="AD100" s="67" t="s">
        <v>1230</v>
      </c>
      <c r="AE100" s="67" t="s">
        <v>1230</v>
      </c>
      <c r="AF100" s="67">
        <v>0</v>
      </c>
      <c r="AG100" s="187">
        <v>0</v>
      </c>
      <c r="AH100" s="67">
        <v>0</v>
      </c>
      <c r="AI100" s="66">
        <v>0</v>
      </c>
      <c r="AJ100" s="66">
        <v>0</v>
      </c>
      <c r="AK100" s="66">
        <v>0</v>
      </c>
      <c r="AL100" s="66">
        <v>0</v>
      </c>
      <c r="AM100" s="66">
        <v>0</v>
      </c>
      <c r="AN100" s="66">
        <v>0</v>
      </c>
      <c r="AO100" s="66">
        <v>0</v>
      </c>
      <c r="AP100" s="66">
        <v>0</v>
      </c>
      <c r="AQ100" s="66">
        <v>0</v>
      </c>
      <c r="AR100" s="66">
        <v>0</v>
      </c>
      <c r="AS100" s="66">
        <v>0</v>
      </c>
      <c r="AT100" s="67" t="s">
        <v>1230</v>
      </c>
      <c r="AU100" s="67" t="s">
        <v>1230</v>
      </c>
      <c r="AV100" s="67">
        <v>0</v>
      </c>
      <c r="AW100" s="187">
        <v>0</v>
      </c>
      <c r="AX100" s="67">
        <v>0</v>
      </c>
      <c r="AY100" s="66">
        <v>405.40019999999998</v>
      </c>
      <c r="AZ100" s="66">
        <v>0</v>
      </c>
      <c r="BA100" s="66">
        <v>405.40019999999998</v>
      </c>
      <c r="BB100" s="66">
        <v>405.40019999999998</v>
      </c>
      <c r="BC100" s="66">
        <v>0</v>
      </c>
      <c r="BD100" s="66">
        <v>403.52150377999999</v>
      </c>
      <c r="BE100" s="66">
        <v>0</v>
      </c>
      <c r="BF100" s="66">
        <v>403.52150377999999</v>
      </c>
      <c r="BG100" s="66">
        <v>403.52150377999999</v>
      </c>
      <c r="BH100" s="66">
        <v>0</v>
      </c>
      <c r="BI100" s="66">
        <v>0</v>
      </c>
      <c r="BJ100" s="67">
        <v>99.536582315450261</v>
      </c>
      <c r="BK100" s="67" t="s">
        <v>1230</v>
      </c>
      <c r="BL100" s="67">
        <v>0</v>
      </c>
      <c r="BM100" s="187">
        <v>0</v>
      </c>
      <c r="BN100" s="67">
        <v>0</v>
      </c>
      <c r="BO100" s="66">
        <v>0</v>
      </c>
      <c r="BP100" s="66">
        <v>0</v>
      </c>
      <c r="BQ100" s="66">
        <v>0</v>
      </c>
      <c r="BR100" s="66">
        <v>0</v>
      </c>
      <c r="BS100" s="66">
        <v>0</v>
      </c>
      <c r="BT100" s="66">
        <v>0</v>
      </c>
      <c r="BU100" s="66">
        <v>0</v>
      </c>
      <c r="BV100" s="66">
        <v>0</v>
      </c>
      <c r="BW100" s="66">
        <v>0</v>
      </c>
      <c r="BX100" s="66">
        <v>0</v>
      </c>
      <c r="BY100" s="66">
        <v>0</v>
      </c>
      <c r="BZ100" s="67" t="s">
        <v>1230</v>
      </c>
      <c r="CA100" s="67" t="s">
        <v>1230</v>
      </c>
      <c r="CB100" s="67">
        <v>0</v>
      </c>
      <c r="CC100" s="187">
        <v>0</v>
      </c>
      <c r="CD100" s="67">
        <v>0</v>
      </c>
    </row>
    <row r="101" spans="1:82" ht="15.6" x14ac:dyDescent="0.3">
      <c r="A101" s="169">
        <v>89</v>
      </c>
      <c r="B101" s="205" t="s">
        <v>243</v>
      </c>
      <c r="C101" s="66">
        <v>205.16650000000001</v>
      </c>
      <c r="D101" s="66">
        <v>0</v>
      </c>
      <c r="E101" s="66">
        <v>205.16650000000001</v>
      </c>
      <c r="F101" s="66">
        <v>205.16650000000001</v>
      </c>
      <c r="G101" s="66">
        <v>0</v>
      </c>
      <c r="H101" s="66">
        <v>198.76877965</v>
      </c>
      <c r="I101" s="66">
        <v>0</v>
      </c>
      <c r="J101" s="66">
        <v>198.76877965</v>
      </c>
      <c r="K101" s="66">
        <v>198.76877965</v>
      </c>
      <c r="L101" s="66">
        <v>0</v>
      </c>
      <c r="M101" s="66">
        <v>0</v>
      </c>
      <c r="N101" s="67">
        <v>96.881693478223781</v>
      </c>
      <c r="O101" s="67" t="s">
        <v>1230</v>
      </c>
      <c r="P101" s="67">
        <v>0</v>
      </c>
      <c r="Q101" s="66">
        <v>0</v>
      </c>
      <c r="R101" s="67">
        <v>0</v>
      </c>
      <c r="S101" s="66">
        <v>0</v>
      </c>
      <c r="T101" s="66">
        <v>0</v>
      </c>
      <c r="U101" s="66">
        <v>0</v>
      </c>
      <c r="V101" s="66">
        <v>0</v>
      </c>
      <c r="W101" s="66">
        <v>0</v>
      </c>
      <c r="X101" s="66">
        <v>0</v>
      </c>
      <c r="Y101" s="66">
        <v>0</v>
      </c>
      <c r="Z101" s="66">
        <v>0</v>
      </c>
      <c r="AA101" s="66">
        <v>0</v>
      </c>
      <c r="AB101" s="66">
        <v>0</v>
      </c>
      <c r="AC101" s="66">
        <v>0</v>
      </c>
      <c r="AD101" s="67" t="s">
        <v>1230</v>
      </c>
      <c r="AE101" s="67" t="s">
        <v>1230</v>
      </c>
      <c r="AF101" s="67">
        <v>0</v>
      </c>
      <c r="AG101" s="187">
        <v>0</v>
      </c>
      <c r="AH101" s="67">
        <v>0</v>
      </c>
      <c r="AI101" s="66">
        <v>0</v>
      </c>
      <c r="AJ101" s="66">
        <v>0</v>
      </c>
      <c r="AK101" s="66">
        <v>0</v>
      </c>
      <c r="AL101" s="66">
        <v>0</v>
      </c>
      <c r="AM101" s="66">
        <v>0</v>
      </c>
      <c r="AN101" s="66">
        <v>0</v>
      </c>
      <c r="AO101" s="66">
        <v>0</v>
      </c>
      <c r="AP101" s="66">
        <v>0</v>
      </c>
      <c r="AQ101" s="66">
        <v>0</v>
      </c>
      <c r="AR101" s="66">
        <v>0</v>
      </c>
      <c r="AS101" s="66">
        <v>0</v>
      </c>
      <c r="AT101" s="67" t="s">
        <v>1230</v>
      </c>
      <c r="AU101" s="67" t="s">
        <v>1230</v>
      </c>
      <c r="AV101" s="67">
        <v>0</v>
      </c>
      <c r="AW101" s="187">
        <v>0</v>
      </c>
      <c r="AX101" s="67">
        <v>0</v>
      </c>
      <c r="AY101" s="66">
        <v>205.16650000000001</v>
      </c>
      <c r="AZ101" s="66">
        <v>0</v>
      </c>
      <c r="BA101" s="66">
        <v>205.16650000000001</v>
      </c>
      <c r="BB101" s="66">
        <v>205.16650000000001</v>
      </c>
      <c r="BC101" s="66">
        <v>0</v>
      </c>
      <c r="BD101" s="66">
        <v>198.76877965</v>
      </c>
      <c r="BE101" s="66">
        <v>0</v>
      </c>
      <c r="BF101" s="66">
        <v>198.76877965</v>
      </c>
      <c r="BG101" s="66">
        <v>198.76877965</v>
      </c>
      <c r="BH101" s="66">
        <v>0</v>
      </c>
      <c r="BI101" s="66">
        <v>0</v>
      </c>
      <c r="BJ101" s="67">
        <v>96.881693478223781</v>
      </c>
      <c r="BK101" s="67" t="s">
        <v>1230</v>
      </c>
      <c r="BL101" s="67">
        <v>0</v>
      </c>
      <c r="BM101" s="187">
        <v>0</v>
      </c>
      <c r="BN101" s="67">
        <v>0</v>
      </c>
      <c r="BO101" s="66">
        <v>0</v>
      </c>
      <c r="BP101" s="66">
        <v>0</v>
      </c>
      <c r="BQ101" s="66">
        <v>0</v>
      </c>
      <c r="BR101" s="66">
        <v>0</v>
      </c>
      <c r="BS101" s="66">
        <v>0</v>
      </c>
      <c r="BT101" s="66">
        <v>0</v>
      </c>
      <c r="BU101" s="66">
        <v>0</v>
      </c>
      <c r="BV101" s="66">
        <v>0</v>
      </c>
      <c r="BW101" s="66">
        <v>0</v>
      </c>
      <c r="BX101" s="66">
        <v>0</v>
      </c>
      <c r="BY101" s="66">
        <v>0</v>
      </c>
      <c r="BZ101" s="67" t="s">
        <v>1230</v>
      </c>
      <c r="CA101" s="67" t="s">
        <v>1230</v>
      </c>
      <c r="CB101" s="67">
        <v>0</v>
      </c>
      <c r="CC101" s="187">
        <v>0</v>
      </c>
      <c r="CD101" s="67">
        <v>0</v>
      </c>
    </row>
    <row r="102" spans="1:82" ht="15.6" x14ac:dyDescent="0.3">
      <c r="A102" s="169">
        <v>90</v>
      </c>
      <c r="B102" s="205" t="s">
        <v>246</v>
      </c>
      <c r="C102" s="66">
        <v>3933.1172000000001</v>
      </c>
      <c r="D102" s="66">
        <v>0</v>
      </c>
      <c r="E102" s="66">
        <v>3933.1172000000001</v>
      </c>
      <c r="F102" s="66">
        <v>3933.1172000000001</v>
      </c>
      <c r="G102" s="66">
        <v>0</v>
      </c>
      <c r="H102" s="66">
        <v>3624.9872160899995</v>
      </c>
      <c r="I102" s="66">
        <v>0</v>
      </c>
      <c r="J102" s="66">
        <v>3624.9872160899995</v>
      </c>
      <c r="K102" s="66">
        <v>3624.9872160899995</v>
      </c>
      <c r="L102" s="66">
        <v>0</v>
      </c>
      <c r="M102" s="66">
        <v>0</v>
      </c>
      <c r="N102" s="67">
        <v>92.165756364697174</v>
      </c>
      <c r="O102" s="67" t="s">
        <v>1230</v>
      </c>
      <c r="P102" s="67">
        <v>0</v>
      </c>
      <c r="Q102" s="66">
        <v>0</v>
      </c>
      <c r="R102" s="67">
        <v>0</v>
      </c>
      <c r="S102" s="66">
        <v>0</v>
      </c>
      <c r="T102" s="66">
        <v>0</v>
      </c>
      <c r="U102" s="66">
        <v>0</v>
      </c>
      <c r="V102" s="66">
        <v>0</v>
      </c>
      <c r="W102" s="66">
        <v>0</v>
      </c>
      <c r="X102" s="66">
        <v>0</v>
      </c>
      <c r="Y102" s="66">
        <v>0</v>
      </c>
      <c r="Z102" s="66">
        <v>0</v>
      </c>
      <c r="AA102" s="66">
        <v>0</v>
      </c>
      <c r="AB102" s="66">
        <v>0</v>
      </c>
      <c r="AC102" s="66">
        <v>0</v>
      </c>
      <c r="AD102" s="67" t="s">
        <v>1230</v>
      </c>
      <c r="AE102" s="67" t="s">
        <v>1230</v>
      </c>
      <c r="AF102" s="67">
        <v>0</v>
      </c>
      <c r="AG102" s="187">
        <v>0</v>
      </c>
      <c r="AH102" s="67">
        <v>0</v>
      </c>
      <c r="AI102" s="66">
        <v>0</v>
      </c>
      <c r="AJ102" s="66">
        <v>0</v>
      </c>
      <c r="AK102" s="66">
        <v>0</v>
      </c>
      <c r="AL102" s="66">
        <v>0</v>
      </c>
      <c r="AM102" s="66">
        <v>0</v>
      </c>
      <c r="AN102" s="66">
        <v>0</v>
      </c>
      <c r="AO102" s="66">
        <v>0</v>
      </c>
      <c r="AP102" s="66">
        <v>0</v>
      </c>
      <c r="AQ102" s="66">
        <v>0</v>
      </c>
      <c r="AR102" s="66">
        <v>0</v>
      </c>
      <c r="AS102" s="66">
        <v>0</v>
      </c>
      <c r="AT102" s="67" t="s">
        <v>1230</v>
      </c>
      <c r="AU102" s="67" t="s">
        <v>1230</v>
      </c>
      <c r="AV102" s="67">
        <v>0</v>
      </c>
      <c r="AW102" s="187">
        <v>0</v>
      </c>
      <c r="AX102" s="67">
        <v>0</v>
      </c>
      <c r="AY102" s="66">
        <v>3933.1172000000001</v>
      </c>
      <c r="AZ102" s="66">
        <v>0</v>
      </c>
      <c r="BA102" s="66">
        <v>3933.1172000000001</v>
      </c>
      <c r="BB102" s="66">
        <v>3933.1172000000001</v>
      </c>
      <c r="BC102" s="66">
        <v>0</v>
      </c>
      <c r="BD102" s="66">
        <v>3624.9872160899995</v>
      </c>
      <c r="BE102" s="66">
        <v>0</v>
      </c>
      <c r="BF102" s="66">
        <v>3624.9872160899995</v>
      </c>
      <c r="BG102" s="66">
        <v>3624.9872160899995</v>
      </c>
      <c r="BH102" s="66">
        <v>0</v>
      </c>
      <c r="BI102" s="66">
        <v>0</v>
      </c>
      <c r="BJ102" s="67">
        <v>92.165756364697174</v>
      </c>
      <c r="BK102" s="67" t="s">
        <v>1230</v>
      </c>
      <c r="BL102" s="67">
        <v>0</v>
      </c>
      <c r="BM102" s="187">
        <v>0</v>
      </c>
      <c r="BN102" s="67">
        <v>0</v>
      </c>
      <c r="BO102" s="66">
        <v>0</v>
      </c>
      <c r="BP102" s="66">
        <v>0</v>
      </c>
      <c r="BQ102" s="66">
        <v>0</v>
      </c>
      <c r="BR102" s="66">
        <v>0</v>
      </c>
      <c r="BS102" s="66">
        <v>0</v>
      </c>
      <c r="BT102" s="66">
        <v>0</v>
      </c>
      <c r="BU102" s="66">
        <v>0</v>
      </c>
      <c r="BV102" s="66">
        <v>0</v>
      </c>
      <c r="BW102" s="66">
        <v>0</v>
      </c>
      <c r="BX102" s="66">
        <v>0</v>
      </c>
      <c r="BY102" s="66">
        <v>0</v>
      </c>
      <c r="BZ102" s="67" t="s">
        <v>1230</v>
      </c>
      <c r="CA102" s="67" t="s">
        <v>1230</v>
      </c>
      <c r="CB102" s="67">
        <v>0</v>
      </c>
      <c r="CC102" s="187">
        <v>0</v>
      </c>
      <c r="CD102" s="67">
        <v>0</v>
      </c>
    </row>
    <row r="103" spans="1:82" ht="15.6" x14ac:dyDescent="0.3">
      <c r="A103" s="169">
        <v>91</v>
      </c>
      <c r="B103" s="205" t="s">
        <v>249</v>
      </c>
      <c r="C103" s="66">
        <v>0</v>
      </c>
      <c r="D103" s="66">
        <v>0</v>
      </c>
      <c r="E103" s="66">
        <v>0</v>
      </c>
      <c r="F103" s="66">
        <v>0</v>
      </c>
      <c r="G103" s="66">
        <v>0</v>
      </c>
      <c r="H103" s="66">
        <v>0</v>
      </c>
      <c r="I103" s="66">
        <v>0</v>
      </c>
      <c r="J103" s="66">
        <v>0</v>
      </c>
      <c r="K103" s="66">
        <v>0</v>
      </c>
      <c r="L103" s="66">
        <v>0</v>
      </c>
      <c r="M103" s="66">
        <v>0</v>
      </c>
      <c r="N103" s="67" t="s">
        <v>1230</v>
      </c>
      <c r="O103" s="67" t="s">
        <v>1230</v>
      </c>
      <c r="P103" s="67">
        <v>0</v>
      </c>
      <c r="Q103" s="66">
        <v>0</v>
      </c>
      <c r="R103" s="67">
        <v>0</v>
      </c>
      <c r="S103" s="66">
        <v>0</v>
      </c>
      <c r="T103" s="66">
        <v>0</v>
      </c>
      <c r="U103" s="66">
        <v>0</v>
      </c>
      <c r="V103" s="66">
        <v>0</v>
      </c>
      <c r="W103" s="66">
        <v>0</v>
      </c>
      <c r="X103" s="66">
        <v>0</v>
      </c>
      <c r="Y103" s="66">
        <v>0</v>
      </c>
      <c r="Z103" s="66">
        <v>0</v>
      </c>
      <c r="AA103" s="66">
        <v>0</v>
      </c>
      <c r="AB103" s="66">
        <v>0</v>
      </c>
      <c r="AC103" s="66">
        <v>0</v>
      </c>
      <c r="AD103" s="67" t="s">
        <v>1230</v>
      </c>
      <c r="AE103" s="67" t="s">
        <v>1230</v>
      </c>
      <c r="AF103" s="67">
        <v>0</v>
      </c>
      <c r="AG103" s="187">
        <v>0</v>
      </c>
      <c r="AH103" s="67">
        <v>0</v>
      </c>
      <c r="AI103" s="66">
        <v>0</v>
      </c>
      <c r="AJ103" s="66">
        <v>0</v>
      </c>
      <c r="AK103" s="66">
        <v>0</v>
      </c>
      <c r="AL103" s="66">
        <v>0</v>
      </c>
      <c r="AM103" s="66">
        <v>0</v>
      </c>
      <c r="AN103" s="66">
        <v>0</v>
      </c>
      <c r="AO103" s="66">
        <v>0</v>
      </c>
      <c r="AP103" s="66">
        <v>0</v>
      </c>
      <c r="AQ103" s="66">
        <v>0</v>
      </c>
      <c r="AR103" s="66">
        <v>0</v>
      </c>
      <c r="AS103" s="66">
        <v>0</v>
      </c>
      <c r="AT103" s="67" t="s">
        <v>1230</v>
      </c>
      <c r="AU103" s="67" t="s">
        <v>1230</v>
      </c>
      <c r="AV103" s="67">
        <v>0</v>
      </c>
      <c r="AW103" s="187">
        <v>0</v>
      </c>
      <c r="AX103" s="67">
        <v>0</v>
      </c>
      <c r="AY103" s="66">
        <v>0</v>
      </c>
      <c r="AZ103" s="66">
        <v>0</v>
      </c>
      <c r="BA103" s="66">
        <v>0</v>
      </c>
      <c r="BB103" s="66">
        <v>0</v>
      </c>
      <c r="BC103" s="66">
        <v>0</v>
      </c>
      <c r="BD103" s="66">
        <v>0</v>
      </c>
      <c r="BE103" s="66">
        <v>0</v>
      </c>
      <c r="BF103" s="66">
        <v>0</v>
      </c>
      <c r="BG103" s="66">
        <v>0</v>
      </c>
      <c r="BH103" s="66">
        <v>0</v>
      </c>
      <c r="BI103" s="66">
        <v>0</v>
      </c>
      <c r="BJ103" s="67" t="s">
        <v>1230</v>
      </c>
      <c r="BK103" s="67" t="s">
        <v>1230</v>
      </c>
      <c r="BL103" s="67">
        <v>0</v>
      </c>
      <c r="BM103" s="187">
        <v>0</v>
      </c>
      <c r="BN103" s="67">
        <v>0</v>
      </c>
      <c r="BO103" s="66">
        <v>0</v>
      </c>
      <c r="BP103" s="66">
        <v>0</v>
      </c>
      <c r="BQ103" s="66">
        <v>0</v>
      </c>
      <c r="BR103" s="66">
        <v>0</v>
      </c>
      <c r="BS103" s="66">
        <v>0</v>
      </c>
      <c r="BT103" s="66">
        <v>0</v>
      </c>
      <c r="BU103" s="66">
        <v>0</v>
      </c>
      <c r="BV103" s="66">
        <v>0</v>
      </c>
      <c r="BW103" s="66">
        <v>0</v>
      </c>
      <c r="BX103" s="66">
        <v>0</v>
      </c>
      <c r="BY103" s="66">
        <v>0</v>
      </c>
      <c r="BZ103" s="67" t="s">
        <v>1230</v>
      </c>
      <c r="CA103" s="67" t="s">
        <v>1230</v>
      </c>
      <c r="CB103" s="67">
        <v>0</v>
      </c>
      <c r="CC103" s="187">
        <v>0</v>
      </c>
      <c r="CD103" s="67">
        <v>0</v>
      </c>
    </row>
    <row r="104" spans="1:82" ht="15.6" x14ac:dyDescent="0.3">
      <c r="A104" s="169">
        <v>92</v>
      </c>
      <c r="B104" s="205" t="s">
        <v>252</v>
      </c>
      <c r="C104" s="66">
        <v>0</v>
      </c>
      <c r="D104" s="66">
        <v>0</v>
      </c>
      <c r="E104" s="66">
        <v>0</v>
      </c>
      <c r="F104" s="66">
        <v>0</v>
      </c>
      <c r="G104" s="66">
        <v>0</v>
      </c>
      <c r="H104" s="66">
        <v>0</v>
      </c>
      <c r="I104" s="66">
        <v>0</v>
      </c>
      <c r="J104" s="66">
        <v>0</v>
      </c>
      <c r="K104" s="66">
        <v>0</v>
      </c>
      <c r="L104" s="66">
        <v>0</v>
      </c>
      <c r="M104" s="66">
        <v>0</v>
      </c>
      <c r="N104" s="67" t="s">
        <v>1230</v>
      </c>
      <c r="O104" s="67" t="s">
        <v>1230</v>
      </c>
      <c r="P104" s="67">
        <v>0</v>
      </c>
      <c r="Q104" s="66">
        <v>0</v>
      </c>
      <c r="R104" s="67">
        <v>0</v>
      </c>
      <c r="S104" s="66">
        <v>0</v>
      </c>
      <c r="T104" s="66">
        <v>0</v>
      </c>
      <c r="U104" s="66">
        <v>0</v>
      </c>
      <c r="V104" s="66">
        <v>0</v>
      </c>
      <c r="W104" s="66">
        <v>0</v>
      </c>
      <c r="X104" s="66">
        <v>0</v>
      </c>
      <c r="Y104" s="66">
        <v>0</v>
      </c>
      <c r="Z104" s="66">
        <v>0</v>
      </c>
      <c r="AA104" s="66">
        <v>0</v>
      </c>
      <c r="AB104" s="66">
        <v>0</v>
      </c>
      <c r="AC104" s="66">
        <v>0</v>
      </c>
      <c r="AD104" s="67" t="s">
        <v>1230</v>
      </c>
      <c r="AE104" s="67" t="s">
        <v>1230</v>
      </c>
      <c r="AF104" s="67">
        <v>0</v>
      </c>
      <c r="AG104" s="187">
        <v>0</v>
      </c>
      <c r="AH104" s="67">
        <v>0</v>
      </c>
      <c r="AI104" s="66">
        <v>0</v>
      </c>
      <c r="AJ104" s="66">
        <v>0</v>
      </c>
      <c r="AK104" s="66">
        <v>0</v>
      </c>
      <c r="AL104" s="66">
        <v>0</v>
      </c>
      <c r="AM104" s="66">
        <v>0</v>
      </c>
      <c r="AN104" s="66">
        <v>0</v>
      </c>
      <c r="AO104" s="66">
        <v>0</v>
      </c>
      <c r="AP104" s="66">
        <v>0</v>
      </c>
      <c r="AQ104" s="66">
        <v>0</v>
      </c>
      <c r="AR104" s="66">
        <v>0</v>
      </c>
      <c r="AS104" s="66">
        <v>0</v>
      </c>
      <c r="AT104" s="67" t="s">
        <v>1230</v>
      </c>
      <c r="AU104" s="67" t="s">
        <v>1230</v>
      </c>
      <c r="AV104" s="67">
        <v>0</v>
      </c>
      <c r="AW104" s="187">
        <v>0</v>
      </c>
      <c r="AX104" s="67">
        <v>0</v>
      </c>
      <c r="AY104" s="66">
        <v>0</v>
      </c>
      <c r="AZ104" s="66">
        <v>0</v>
      </c>
      <c r="BA104" s="66">
        <v>0</v>
      </c>
      <c r="BB104" s="66">
        <v>0</v>
      </c>
      <c r="BC104" s="66">
        <v>0</v>
      </c>
      <c r="BD104" s="66">
        <v>0</v>
      </c>
      <c r="BE104" s="66">
        <v>0</v>
      </c>
      <c r="BF104" s="66">
        <v>0</v>
      </c>
      <c r="BG104" s="66">
        <v>0</v>
      </c>
      <c r="BH104" s="66">
        <v>0</v>
      </c>
      <c r="BI104" s="66">
        <v>0</v>
      </c>
      <c r="BJ104" s="67" t="s">
        <v>1230</v>
      </c>
      <c r="BK104" s="67" t="s">
        <v>1230</v>
      </c>
      <c r="BL104" s="67">
        <v>0</v>
      </c>
      <c r="BM104" s="187">
        <v>0</v>
      </c>
      <c r="BN104" s="67">
        <v>0</v>
      </c>
      <c r="BO104" s="66">
        <v>0</v>
      </c>
      <c r="BP104" s="66">
        <v>0</v>
      </c>
      <c r="BQ104" s="66">
        <v>0</v>
      </c>
      <c r="BR104" s="66">
        <v>0</v>
      </c>
      <c r="BS104" s="66">
        <v>0</v>
      </c>
      <c r="BT104" s="66">
        <v>0</v>
      </c>
      <c r="BU104" s="66">
        <v>0</v>
      </c>
      <c r="BV104" s="66">
        <v>0</v>
      </c>
      <c r="BW104" s="66">
        <v>0</v>
      </c>
      <c r="BX104" s="66">
        <v>0</v>
      </c>
      <c r="BY104" s="66">
        <v>0</v>
      </c>
      <c r="BZ104" s="67" t="s">
        <v>1230</v>
      </c>
      <c r="CA104" s="67" t="s">
        <v>1230</v>
      </c>
      <c r="CB104" s="67">
        <v>0</v>
      </c>
      <c r="CC104" s="187">
        <v>0</v>
      </c>
      <c r="CD104" s="67">
        <v>0</v>
      </c>
    </row>
    <row r="105" spans="1:82" ht="15.6" x14ac:dyDescent="0.3">
      <c r="A105" s="169">
        <v>93</v>
      </c>
      <c r="B105" s="205" t="s">
        <v>254</v>
      </c>
      <c r="C105" s="66">
        <v>434.53750000000002</v>
      </c>
      <c r="D105" s="66">
        <v>0</v>
      </c>
      <c r="E105" s="66">
        <v>434.53750000000002</v>
      </c>
      <c r="F105" s="66">
        <v>434.53750000000002</v>
      </c>
      <c r="G105" s="66">
        <v>0</v>
      </c>
      <c r="H105" s="66">
        <v>407.80902423000003</v>
      </c>
      <c r="I105" s="66">
        <v>0</v>
      </c>
      <c r="J105" s="66">
        <v>407.80049486000001</v>
      </c>
      <c r="K105" s="66">
        <v>407.80049486000001</v>
      </c>
      <c r="L105" s="66">
        <v>0</v>
      </c>
      <c r="M105" s="66">
        <v>0</v>
      </c>
      <c r="N105" s="67">
        <v>93.847020075367482</v>
      </c>
      <c r="O105" s="67" t="s">
        <v>1230</v>
      </c>
      <c r="P105" s="67">
        <v>0</v>
      </c>
      <c r="Q105" s="66">
        <v>0</v>
      </c>
      <c r="R105" s="67">
        <v>8.5293700000192985E-3</v>
      </c>
      <c r="S105" s="66">
        <v>0</v>
      </c>
      <c r="T105" s="66">
        <v>0</v>
      </c>
      <c r="U105" s="66">
        <v>0</v>
      </c>
      <c r="V105" s="66">
        <v>0</v>
      </c>
      <c r="W105" s="66">
        <v>0</v>
      </c>
      <c r="X105" s="66">
        <v>0</v>
      </c>
      <c r="Y105" s="66">
        <v>0</v>
      </c>
      <c r="Z105" s="66">
        <v>0</v>
      </c>
      <c r="AA105" s="66">
        <v>0</v>
      </c>
      <c r="AB105" s="66">
        <v>0</v>
      </c>
      <c r="AC105" s="66">
        <v>0</v>
      </c>
      <c r="AD105" s="67" t="s">
        <v>1230</v>
      </c>
      <c r="AE105" s="67" t="s">
        <v>1230</v>
      </c>
      <c r="AF105" s="67">
        <v>0</v>
      </c>
      <c r="AG105" s="187">
        <v>0</v>
      </c>
      <c r="AH105" s="67">
        <v>0</v>
      </c>
      <c r="AI105" s="66">
        <v>0</v>
      </c>
      <c r="AJ105" s="66">
        <v>0</v>
      </c>
      <c r="AK105" s="66">
        <v>0</v>
      </c>
      <c r="AL105" s="66">
        <v>0</v>
      </c>
      <c r="AM105" s="66">
        <v>0</v>
      </c>
      <c r="AN105" s="66">
        <v>0</v>
      </c>
      <c r="AO105" s="66">
        <v>0</v>
      </c>
      <c r="AP105" s="66">
        <v>0</v>
      </c>
      <c r="AQ105" s="66">
        <v>0</v>
      </c>
      <c r="AR105" s="66">
        <v>0</v>
      </c>
      <c r="AS105" s="66">
        <v>0</v>
      </c>
      <c r="AT105" s="67" t="s">
        <v>1230</v>
      </c>
      <c r="AU105" s="67" t="s">
        <v>1230</v>
      </c>
      <c r="AV105" s="67">
        <v>0</v>
      </c>
      <c r="AW105" s="187">
        <v>0</v>
      </c>
      <c r="AX105" s="67">
        <v>0</v>
      </c>
      <c r="AY105" s="66">
        <v>434.53750000000002</v>
      </c>
      <c r="AZ105" s="66">
        <v>0</v>
      </c>
      <c r="BA105" s="66">
        <v>434.53750000000002</v>
      </c>
      <c r="BB105" s="66">
        <v>434.53750000000002</v>
      </c>
      <c r="BC105" s="66">
        <v>0</v>
      </c>
      <c r="BD105" s="66">
        <v>407.80902423000003</v>
      </c>
      <c r="BE105" s="66">
        <v>0</v>
      </c>
      <c r="BF105" s="66">
        <v>407.80049486000001</v>
      </c>
      <c r="BG105" s="66">
        <v>407.80049486000001</v>
      </c>
      <c r="BH105" s="66">
        <v>0</v>
      </c>
      <c r="BI105" s="66">
        <v>0</v>
      </c>
      <c r="BJ105" s="67">
        <v>93.847020075367482</v>
      </c>
      <c r="BK105" s="67" t="s">
        <v>1230</v>
      </c>
      <c r="BL105" s="67">
        <v>0</v>
      </c>
      <c r="BM105" s="187">
        <v>0</v>
      </c>
      <c r="BN105" s="67">
        <v>8.5293700000192985E-3</v>
      </c>
      <c r="BO105" s="66">
        <v>0</v>
      </c>
      <c r="BP105" s="66">
        <v>0</v>
      </c>
      <c r="BQ105" s="66">
        <v>0</v>
      </c>
      <c r="BR105" s="66">
        <v>0</v>
      </c>
      <c r="BS105" s="66">
        <v>0</v>
      </c>
      <c r="BT105" s="66">
        <v>0</v>
      </c>
      <c r="BU105" s="66">
        <v>0</v>
      </c>
      <c r="BV105" s="66">
        <v>0</v>
      </c>
      <c r="BW105" s="66">
        <v>0</v>
      </c>
      <c r="BX105" s="66">
        <v>0</v>
      </c>
      <c r="BY105" s="66">
        <v>0</v>
      </c>
      <c r="BZ105" s="67" t="s">
        <v>1230</v>
      </c>
      <c r="CA105" s="67" t="s">
        <v>1230</v>
      </c>
      <c r="CB105" s="67">
        <v>0</v>
      </c>
      <c r="CC105" s="187">
        <v>0</v>
      </c>
      <c r="CD105" s="67">
        <v>0</v>
      </c>
    </row>
    <row r="106" spans="1:82" ht="15.6" x14ac:dyDescent="0.3">
      <c r="A106" s="169">
        <v>94</v>
      </c>
      <c r="B106" s="205" t="s">
        <v>256</v>
      </c>
      <c r="C106" s="66">
        <v>0</v>
      </c>
      <c r="D106" s="66">
        <v>0</v>
      </c>
      <c r="E106" s="66">
        <v>0</v>
      </c>
      <c r="F106" s="66">
        <v>0</v>
      </c>
      <c r="G106" s="66">
        <v>0</v>
      </c>
      <c r="H106" s="66">
        <v>0</v>
      </c>
      <c r="I106" s="66">
        <v>0</v>
      </c>
      <c r="J106" s="66">
        <v>0</v>
      </c>
      <c r="K106" s="66">
        <v>0</v>
      </c>
      <c r="L106" s="66">
        <v>0</v>
      </c>
      <c r="M106" s="66">
        <v>0</v>
      </c>
      <c r="N106" s="67" t="s">
        <v>1230</v>
      </c>
      <c r="O106" s="67" t="s">
        <v>1230</v>
      </c>
      <c r="P106" s="67">
        <v>0</v>
      </c>
      <c r="Q106" s="66">
        <v>0</v>
      </c>
      <c r="R106" s="67">
        <v>0</v>
      </c>
      <c r="S106" s="66">
        <v>0</v>
      </c>
      <c r="T106" s="66">
        <v>0</v>
      </c>
      <c r="U106" s="66">
        <v>0</v>
      </c>
      <c r="V106" s="66">
        <v>0</v>
      </c>
      <c r="W106" s="66">
        <v>0</v>
      </c>
      <c r="X106" s="66">
        <v>0</v>
      </c>
      <c r="Y106" s="66">
        <v>0</v>
      </c>
      <c r="Z106" s="66">
        <v>0</v>
      </c>
      <c r="AA106" s="66">
        <v>0</v>
      </c>
      <c r="AB106" s="66">
        <v>0</v>
      </c>
      <c r="AC106" s="66">
        <v>0</v>
      </c>
      <c r="AD106" s="67" t="s">
        <v>1230</v>
      </c>
      <c r="AE106" s="67" t="s">
        <v>1230</v>
      </c>
      <c r="AF106" s="67">
        <v>0</v>
      </c>
      <c r="AG106" s="187">
        <v>0</v>
      </c>
      <c r="AH106" s="67">
        <v>0</v>
      </c>
      <c r="AI106" s="66">
        <v>0</v>
      </c>
      <c r="AJ106" s="66">
        <v>0</v>
      </c>
      <c r="AK106" s="66">
        <v>0</v>
      </c>
      <c r="AL106" s="66">
        <v>0</v>
      </c>
      <c r="AM106" s="66">
        <v>0</v>
      </c>
      <c r="AN106" s="66">
        <v>0</v>
      </c>
      <c r="AO106" s="66">
        <v>0</v>
      </c>
      <c r="AP106" s="66">
        <v>0</v>
      </c>
      <c r="AQ106" s="66">
        <v>0</v>
      </c>
      <c r="AR106" s="66">
        <v>0</v>
      </c>
      <c r="AS106" s="66">
        <v>0</v>
      </c>
      <c r="AT106" s="67" t="s">
        <v>1230</v>
      </c>
      <c r="AU106" s="67" t="s">
        <v>1230</v>
      </c>
      <c r="AV106" s="67">
        <v>0</v>
      </c>
      <c r="AW106" s="187">
        <v>0</v>
      </c>
      <c r="AX106" s="67">
        <v>0</v>
      </c>
      <c r="AY106" s="66">
        <v>0</v>
      </c>
      <c r="AZ106" s="66">
        <v>0</v>
      </c>
      <c r="BA106" s="66">
        <v>0</v>
      </c>
      <c r="BB106" s="66">
        <v>0</v>
      </c>
      <c r="BC106" s="66">
        <v>0</v>
      </c>
      <c r="BD106" s="66">
        <v>0</v>
      </c>
      <c r="BE106" s="66">
        <v>0</v>
      </c>
      <c r="BF106" s="66">
        <v>0</v>
      </c>
      <c r="BG106" s="66">
        <v>0</v>
      </c>
      <c r="BH106" s="66">
        <v>0</v>
      </c>
      <c r="BI106" s="66">
        <v>0</v>
      </c>
      <c r="BJ106" s="67" t="s">
        <v>1230</v>
      </c>
      <c r="BK106" s="67" t="s">
        <v>1230</v>
      </c>
      <c r="BL106" s="67">
        <v>0</v>
      </c>
      <c r="BM106" s="187">
        <v>0</v>
      </c>
      <c r="BN106" s="67">
        <v>0</v>
      </c>
      <c r="BO106" s="66">
        <v>0</v>
      </c>
      <c r="BP106" s="66">
        <v>0</v>
      </c>
      <c r="BQ106" s="66">
        <v>0</v>
      </c>
      <c r="BR106" s="66">
        <v>0</v>
      </c>
      <c r="BS106" s="66">
        <v>0</v>
      </c>
      <c r="BT106" s="66">
        <v>0</v>
      </c>
      <c r="BU106" s="66">
        <v>0</v>
      </c>
      <c r="BV106" s="66">
        <v>0</v>
      </c>
      <c r="BW106" s="66">
        <v>0</v>
      </c>
      <c r="BX106" s="66">
        <v>0</v>
      </c>
      <c r="BY106" s="66">
        <v>0</v>
      </c>
      <c r="BZ106" s="67" t="s">
        <v>1230</v>
      </c>
      <c r="CA106" s="67" t="s">
        <v>1230</v>
      </c>
      <c r="CB106" s="67">
        <v>0</v>
      </c>
      <c r="CC106" s="187">
        <v>0</v>
      </c>
      <c r="CD106" s="67">
        <v>0</v>
      </c>
    </row>
  </sheetData>
  <mergeCells count="82">
    <mergeCell ref="AZ5:BA5"/>
    <mergeCell ref="BP5:BQ5"/>
    <mergeCell ref="BR10:BS10"/>
    <mergeCell ref="BV10:BV11"/>
    <mergeCell ref="BW10:BY10"/>
    <mergeCell ref="BO7:CD8"/>
    <mergeCell ref="BO9:BO11"/>
    <mergeCell ref="BP9:BP11"/>
    <mergeCell ref="BQ9:BS9"/>
    <mergeCell ref="BT9:BT11"/>
    <mergeCell ref="BU9:BU11"/>
    <mergeCell ref="BV9:BY9"/>
    <mergeCell ref="BZ9:CA10"/>
    <mergeCell ref="CB9:CB11"/>
    <mergeCell ref="CC9:CC11"/>
    <mergeCell ref="CD9:CD11"/>
    <mergeCell ref="BQ10:BQ11"/>
    <mergeCell ref="A7:A11"/>
    <mergeCell ref="B7:B11"/>
    <mergeCell ref="C7:R8"/>
    <mergeCell ref="S7:AH8"/>
    <mergeCell ref="AI7:AX8"/>
    <mergeCell ref="P9:P11"/>
    <mergeCell ref="Q9:Q11"/>
    <mergeCell ref="U9:W9"/>
    <mergeCell ref="X9:X11"/>
    <mergeCell ref="Y9:Y11"/>
    <mergeCell ref="Z9:AC9"/>
    <mergeCell ref="T9:T11"/>
    <mergeCell ref="AT9:AU10"/>
    <mergeCell ref="AV9:AV11"/>
    <mergeCell ref="AW9:AW11"/>
    <mergeCell ref="AN9:AN11"/>
    <mergeCell ref="AO9:AO11"/>
    <mergeCell ref="AK10:AK11"/>
    <mergeCell ref="AL10:AM10"/>
    <mergeCell ref="AP10:AP11"/>
    <mergeCell ref="AQ10:AS10"/>
    <mergeCell ref="AJ9:AJ11"/>
    <mergeCell ref="D5:E5"/>
    <mergeCell ref="AI9:AI11"/>
    <mergeCell ref="AD9:AE10"/>
    <mergeCell ref="AH9:AH11"/>
    <mergeCell ref="AK9:AM9"/>
    <mergeCell ref="T5:U5"/>
    <mergeCell ref="AJ5:AK5"/>
    <mergeCell ref="BD9:BD11"/>
    <mergeCell ref="BE9:BE11"/>
    <mergeCell ref="BA10:BA11"/>
    <mergeCell ref="BB10:BC10"/>
    <mergeCell ref="AY7:BN8"/>
    <mergeCell ref="C9:C11"/>
    <mergeCell ref="D9:D11"/>
    <mergeCell ref="E9:G9"/>
    <mergeCell ref="H9:H11"/>
    <mergeCell ref="I9:I11"/>
    <mergeCell ref="J9:M9"/>
    <mergeCell ref="N9:O10"/>
    <mergeCell ref="R9:R11"/>
    <mergeCell ref="S9:S11"/>
    <mergeCell ref="AF9:AF11"/>
    <mergeCell ref="AG9:AG11"/>
    <mergeCell ref="AX9:AX11"/>
    <mergeCell ref="AP9:AS9"/>
    <mergeCell ref="E10:E11"/>
    <mergeCell ref="F10:G10"/>
    <mergeCell ref="J10:J11"/>
    <mergeCell ref="K10:M10"/>
    <mergeCell ref="U10:U11"/>
    <mergeCell ref="V10:W10"/>
    <mergeCell ref="Z10:Z11"/>
    <mergeCell ref="AA10:AC10"/>
    <mergeCell ref="BF9:BI9"/>
    <mergeCell ref="BJ9:BK10"/>
    <mergeCell ref="BL9:BL11"/>
    <mergeCell ref="BM9:BM11"/>
    <mergeCell ref="BN9:BN11"/>
    <mergeCell ref="BF10:BF11"/>
    <mergeCell ref="BG10:BI10"/>
    <mergeCell ref="AY9:AY11"/>
    <mergeCell ref="AZ9:AZ11"/>
    <mergeCell ref="BA9:BC9"/>
  </mergeCells>
  <printOptions horizontalCentered="1"/>
  <pageMargins left="0.11811023622047245" right="0.11811023622047245" top="0.35433070866141736" bottom="0.11811023622047245" header="0.31496062992125984" footer="0.31496062992125984"/>
  <pageSetup paperSize="9" scale="42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17</vt:i4>
      </vt:variant>
      <vt:variant>
        <vt:lpstr>Именованные диапазоны</vt:lpstr>
      </vt:variant>
      <vt:variant>
        <vt:i4>638</vt:i4>
      </vt:variant>
    </vt:vector>
  </HeadingPairs>
  <TitlesOfParts>
    <vt:vector size="655" baseType="lpstr">
      <vt:lpstr>data_1</vt:lpstr>
      <vt:lpstr>1.4 (1.4.1-1.4.2)</vt:lpstr>
      <vt:lpstr>Направления</vt:lpstr>
      <vt:lpstr>dataФО</vt:lpstr>
      <vt:lpstr>Списки</vt:lpstr>
      <vt:lpstr>Итого</vt:lpstr>
      <vt:lpstr>1</vt:lpstr>
      <vt:lpstr>1.1</vt:lpstr>
      <vt:lpstr>1.2</vt:lpstr>
      <vt:lpstr>1.3</vt:lpstr>
      <vt:lpstr>1.4</vt:lpstr>
      <vt:lpstr>1.5</vt:lpstr>
      <vt:lpstr>1.6</vt:lpstr>
      <vt:lpstr>1.7</vt:lpstr>
      <vt:lpstr>2</vt:lpstr>
      <vt:lpstr>3</vt:lpstr>
      <vt:lpstr>4</vt:lpstr>
      <vt:lpstr>date</vt:lpstr>
      <vt:lpstr>'1.2'!Print_Area</vt:lpstr>
      <vt:lpstr>'1.4 (1.4.1-1.4.2)'!Print_Area</vt:lpstr>
      <vt:lpstr>'1.7'!Print_Area</vt:lpstr>
      <vt:lpstr>Итого!Print_Area</vt:lpstr>
      <vt:lpstr>'1'!Print_Titles</vt:lpstr>
      <vt:lpstr>'1.1'!Print_Titles</vt:lpstr>
      <vt:lpstr>'1.2'!Print_Titles</vt:lpstr>
      <vt:lpstr>'1.3'!Print_Titles</vt:lpstr>
      <vt:lpstr>'1.4'!Print_Titles</vt:lpstr>
      <vt:lpstr>'1.4 (1.4.1-1.4.2)'!Print_Titles</vt:lpstr>
      <vt:lpstr>'1.5'!Print_Titles</vt:lpstr>
      <vt:lpstr>'1.6'!Print_Titles</vt:lpstr>
      <vt:lpstr>'1.7'!Print_Titles</vt:lpstr>
      <vt:lpstr>'2'!Print_Titles</vt:lpstr>
      <vt:lpstr>'3'!Print_Titles</vt:lpstr>
      <vt:lpstr>'4'!Print_Titles</vt:lpstr>
      <vt:lpstr>Итого!Print_Titles</vt:lpstr>
      <vt:lpstr>ЕдиницаВыбор</vt:lpstr>
      <vt:lpstr>ЕдиницаМатрица</vt:lpstr>
      <vt:lpstr>'1'!Заголовки_для_печати</vt:lpstr>
      <vt:lpstr>'1.1'!Заголовки_для_печати</vt:lpstr>
      <vt:lpstr>'1.2'!Заголовки_для_печати</vt:lpstr>
      <vt:lpstr>'1.3'!Заголовки_для_печати</vt:lpstr>
      <vt:lpstr>'1.4'!Заголовки_для_печати</vt:lpstr>
      <vt:lpstr>'1.5'!Заголовки_для_печати</vt:lpstr>
      <vt:lpstr>'1.6'!Заголовки_для_печати</vt:lpstr>
      <vt:lpstr>'1.7'!Заголовки_для_печати</vt:lpstr>
      <vt:lpstr>'2'!Заголовки_для_печати</vt:lpstr>
      <vt:lpstr>'3'!Заголовки_для_печати</vt:lpstr>
      <vt:lpstr>'4'!Заголовки_для_печати</vt:lpstr>
      <vt:lpstr>Итого!Заголовки_для_печати</vt:lpstr>
      <vt:lpstr>КОЛ01704</vt:lpstr>
      <vt:lpstr>КОЛ01705</vt:lpstr>
      <vt:lpstr>КОЛ01706</vt:lpstr>
      <vt:lpstr>КОЛ01707</vt:lpstr>
      <vt:lpstr>КОЛ01708</vt:lpstr>
      <vt:lpstr>КОЛ01709</vt:lpstr>
      <vt:lpstr>КОЛ01710</vt:lpstr>
      <vt:lpstr>КОЛ01711</vt:lpstr>
      <vt:lpstr>КОЛ01712</vt:lpstr>
      <vt:lpstr>КОЛ01713</vt:lpstr>
      <vt:lpstr>КОЛ01714</vt:lpstr>
      <vt:lpstr>КОЛ01715</vt:lpstr>
      <vt:lpstr>КОЛ01716</vt:lpstr>
      <vt:lpstr>КОЛ01719</vt:lpstr>
      <vt:lpstr>КОЛ01721</vt:lpstr>
      <vt:lpstr>КОЛ01723</vt:lpstr>
      <vt:lpstr>КОЛ01751</vt:lpstr>
      <vt:lpstr>КОЛ01752</vt:lpstr>
      <vt:lpstr>КОЛ03704</vt:lpstr>
      <vt:lpstr>КОЛ03705</vt:lpstr>
      <vt:lpstr>КОЛ03706</vt:lpstr>
      <vt:lpstr>КОЛ03707</vt:lpstr>
      <vt:lpstr>КОЛ03708</vt:lpstr>
      <vt:lpstr>КОЛ03709</vt:lpstr>
      <vt:lpstr>КОЛ03710</vt:lpstr>
      <vt:lpstr>КОЛ03711</vt:lpstr>
      <vt:lpstr>КОЛ03712</vt:lpstr>
      <vt:lpstr>КОЛ03713</vt:lpstr>
      <vt:lpstr>КОЛ03714</vt:lpstr>
      <vt:lpstr>КОЛ03715</vt:lpstr>
      <vt:lpstr>КОЛ03716</vt:lpstr>
      <vt:lpstr>КОЛ03719</vt:lpstr>
      <vt:lpstr>КОЛ03721</vt:lpstr>
      <vt:lpstr>КОЛ03723</vt:lpstr>
      <vt:lpstr>КОЛ03751</vt:lpstr>
      <vt:lpstr>КОЛ03752</vt:lpstr>
      <vt:lpstr>КОЛ04904</vt:lpstr>
      <vt:lpstr>КОЛ04905</vt:lpstr>
      <vt:lpstr>КОЛ04906</vt:lpstr>
      <vt:lpstr>КОЛ04907</vt:lpstr>
      <vt:lpstr>КОЛ04908</vt:lpstr>
      <vt:lpstr>КОЛ04909</vt:lpstr>
      <vt:lpstr>КОЛ04910</vt:lpstr>
      <vt:lpstr>КОЛ04911</vt:lpstr>
      <vt:lpstr>КОЛ04912</vt:lpstr>
      <vt:lpstr>КОЛ04913</vt:lpstr>
      <vt:lpstr>КОЛ04914</vt:lpstr>
      <vt:lpstr>КОЛ04915</vt:lpstr>
      <vt:lpstr>КОЛ04916</vt:lpstr>
      <vt:lpstr>КОЛ04919</vt:lpstr>
      <vt:lpstr>КОЛ04921</vt:lpstr>
      <vt:lpstr>КОЛ04923</vt:lpstr>
      <vt:lpstr>КОЛ04951</vt:lpstr>
      <vt:lpstr>КОЛ04952</vt:lpstr>
      <vt:lpstr>КОЛ05104</vt:lpstr>
      <vt:lpstr>КОЛ05105</vt:lpstr>
      <vt:lpstr>КОЛ05106</vt:lpstr>
      <vt:lpstr>КОЛ05107</vt:lpstr>
      <vt:lpstr>КОЛ05108</vt:lpstr>
      <vt:lpstr>КОЛ05109</vt:lpstr>
      <vt:lpstr>КОЛ05110</vt:lpstr>
      <vt:lpstr>КОЛ05111</vt:lpstr>
      <vt:lpstr>КОЛ05112</vt:lpstr>
      <vt:lpstr>КОЛ05113</vt:lpstr>
      <vt:lpstr>КОЛ05114</vt:lpstr>
      <vt:lpstr>КОЛ05115</vt:lpstr>
      <vt:lpstr>КОЛ05116</vt:lpstr>
      <vt:lpstr>КОЛ05119</vt:lpstr>
      <vt:lpstr>КОЛ05121</vt:lpstr>
      <vt:lpstr>КОЛ05123</vt:lpstr>
      <vt:lpstr>КОЛ05151</vt:lpstr>
      <vt:lpstr>КОЛ05152</vt:lpstr>
      <vt:lpstr>КОЛ05204</vt:lpstr>
      <vt:lpstr>КОЛ05205</vt:lpstr>
      <vt:lpstr>КОЛ05206</vt:lpstr>
      <vt:lpstr>КОЛ05207</vt:lpstr>
      <vt:lpstr>КОЛ05208</vt:lpstr>
      <vt:lpstr>КОЛ05209</vt:lpstr>
      <vt:lpstr>КОЛ05210</vt:lpstr>
      <vt:lpstr>КОЛ05211</vt:lpstr>
      <vt:lpstr>КОЛ05212</vt:lpstr>
      <vt:lpstr>КОЛ05213</vt:lpstr>
      <vt:lpstr>КОЛ05214</vt:lpstr>
      <vt:lpstr>КОЛ05215</vt:lpstr>
      <vt:lpstr>КОЛ05216</vt:lpstr>
      <vt:lpstr>КОЛ05219</vt:lpstr>
      <vt:lpstr>КОЛ05221</vt:lpstr>
      <vt:lpstr>КОЛ05223</vt:lpstr>
      <vt:lpstr>КОЛ05251</vt:lpstr>
      <vt:lpstr>КОЛ05252</vt:lpstr>
      <vt:lpstr>КОЛ05304</vt:lpstr>
      <vt:lpstr>КОЛ05305</vt:lpstr>
      <vt:lpstr>КОЛ05306</vt:lpstr>
      <vt:lpstr>КОЛ05307</vt:lpstr>
      <vt:lpstr>КОЛ05308</vt:lpstr>
      <vt:lpstr>КОЛ05309</vt:lpstr>
      <vt:lpstr>КОЛ05310</vt:lpstr>
      <vt:lpstr>КОЛ05311</vt:lpstr>
      <vt:lpstr>КОЛ05312</vt:lpstr>
      <vt:lpstr>КОЛ05313</vt:lpstr>
      <vt:lpstr>КОЛ05314</vt:lpstr>
      <vt:lpstr>КОЛ05315</vt:lpstr>
      <vt:lpstr>КОЛ05316</vt:lpstr>
      <vt:lpstr>КОЛ05319</vt:lpstr>
      <vt:lpstr>КОЛ05321</vt:lpstr>
      <vt:lpstr>КОЛ05323</vt:lpstr>
      <vt:lpstr>КОЛ05351</vt:lpstr>
      <vt:lpstr>КОЛ05352</vt:lpstr>
      <vt:lpstr>КОЛ05404</vt:lpstr>
      <vt:lpstr>КОЛ05405</vt:lpstr>
      <vt:lpstr>КОЛ05406</vt:lpstr>
      <vt:lpstr>КОЛ05407</vt:lpstr>
      <vt:lpstr>КОЛ05408</vt:lpstr>
      <vt:lpstr>КОЛ05409</vt:lpstr>
      <vt:lpstr>КОЛ05410</vt:lpstr>
      <vt:lpstr>КОЛ05411</vt:lpstr>
      <vt:lpstr>КОЛ05412</vt:lpstr>
      <vt:lpstr>КОЛ05413</vt:lpstr>
      <vt:lpstr>КОЛ05414</vt:lpstr>
      <vt:lpstr>КОЛ05415</vt:lpstr>
      <vt:lpstr>КОЛ05416</vt:lpstr>
      <vt:lpstr>КОЛ05419</vt:lpstr>
      <vt:lpstr>КОЛ05421</vt:lpstr>
      <vt:lpstr>КОЛ05423</vt:lpstr>
      <vt:lpstr>КОЛ05451</vt:lpstr>
      <vt:lpstr>КОЛ05452</vt:lpstr>
      <vt:lpstr>КОЛ05504</vt:lpstr>
      <vt:lpstr>КОЛ05505</vt:lpstr>
      <vt:lpstr>КОЛ05506</vt:lpstr>
      <vt:lpstr>КОЛ05507</vt:lpstr>
      <vt:lpstr>КОЛ05508</vt:lpstr>
      <vt:lpstr>КОЛ05509</vt:lpstr>
      <vt:lpstr>КОЛ05510</vt:lpstr>
      <vt:lpstr>КОЛ05511</vt:lpstr>
      <vt:lpstr>КОЛ05512</vt:lpstr>
      <vt:lpstr>КОЛ05513</vt:lpstr>
      <vt:lpstr>КОЛ05514</vt:lpstr>
      <vt:lpstr>КОЛ05515</vt:lpstr>
      <vt:lpstr>КОЛ05516</vt:lpstr>
      <vt:lpstr>КОЛ05519</vt:lpstr>
      <vt:lpstr>КОЛ05521</vt:lpstr>
      <vt:lpstr>КОЛ05523</vt:lpstr>
      <vt:lpstr>КОЛ05551</vt:lpstr>
      <vt:lpstr>КОЛ05552</vt:lpstr>
      <vt:lpstr>КОЛ06004</vt:lpstr>
      <vt:lpstr>КОЛ06005</vt:lpstr>
      <vt:lpstr>КОЛ06006</vt:lpstr>
      <vt:lpstr>КОЛ06007</vt:lpstr>
      <vt:lpstr>КОЛ06008</vt:lpstr>
      <vt:lpstr>КОЛ06009</vt:lpstr>
      <vt:lpstr>КОЛ06010</vt:lpstr>
      <vt:lpstr>КОЛ06011</vt:lpstr>
      <vt:lpstr>КОЛ06012</vt:lpstr>
      <vt:lpstr>КОЛ06013</vt:lpstr>
      <vt:lpstr>КОЛ06014</vt:lpstr>
      <vt:lpstr>КОЛ06015</vt:lpstr>
      <vt:lpstr>КОЛ06016</vt:lpstr>
      <vt:lpstr>КОЛ06019</vt:lpstr>
      <vt:lpstr>КОЛ06021</vt:lpstr>
      <vt:lpstr>КОЛ06023</vt:lpstr>
      <vt:lpstr>КОЛ06051</vt:lpstr>
      <vt:lpstr>КОЛ06052</vt:lpstr>
      <vt:lpstr>КОЛ06104</vt:lpstr>
      <vt:lpstr>КОЛ06105</vt:lpstr>
      <vt:lpstr>КОЛ06106</vt:lpstr>
      <vt:lpstr>КОЛ06107</vt:lpstr>
      <vt:lpstr>КОЛ06108</vt:lpstr>
      <vt:lpstr>КОЛ06109</vt:lpstr>
      <vt:lpstr>КОЛ06110</vt:lpstr>
      <vt:lpstr>КОЛ06111</vt:lpstr>
      <vt:lpstr>КОЛ06112</vt:lpstr>
      <vt:lpstr>КОЛ06113</vt:lpstr>
      <vt:lpstr>КОЛ06114</vt:lpstr>
      <vt:lpstr>КОЛ06115</vt:lpstr>
      <vt:lpstr>КОЛ06116</vt:lpstr>
      <vt:lpstr>КОЛ06119</vt:lpstr>
      <vt:lpstr>КОЛ06121</vt:lpstr>
      <vt:lpstr>КОЛ06123</vt:lpstr>
      <vt:lpstr>КОЛ06151</vt:lpstr>
      <vt:lpstr>КОЛ06152</vt:lpstr>
      <vt:lpstr>КОЛ06404</vt:lpstr>
      <vt:lpstr>КОЛ06405</vt:lpstr>
      <vt:lpstr>КОЛ06406</vt:lpstr>
      <vt:lpstr>КОЛ06407</vt:lpstr>
      <vt:lpstr>КОЛ06408</vt:lpstr>
      <vt:lpstr>КОЛ06409</vt:lpstr>
      <vt:lpstr>КОЛ06410</vt:lpstr>
      <vt:lpstr>КОЛ06411</vt:lpstr>
      <vt:lpstr>КОЛ06412</vt:lpstr>
      <vt:lpstr>КОЛ06413</vt:lpstr>
      <vt:lpstr>КОЛ06414</vt:lpstr>
      <vt:lpstr>КОЛ06415</vt:lpstr>
      <vt:lpstr>КОЛ06416</vt:lpstr>
      <vt:lpstr>КОЛ06419</vt:lpstr>
      <vt:lpstr>КОЛ06421</vt:lpstr>
      <vt:lpstr>КОЛ06423</vt:lpstr>
      <vt:lpstr>КОЛ06451</vt:lpstr>
      <vt:lpstr>КОЛ06452</vt:lpstr>
      <vt:lpstr>КОЛ06604</vt:lpstr>
      <vt:lpstr>КОЛ06605</vt:lpstr>
      <vt:lpstr>КОЛ06606</vt:lpstr>
      <vt:lpstr>КОЛ06607</vt:lpstr>
      <vt:lpstr>КОЛ06608</vt:lpstr>
      <vt:lpstr>КОЛ06609</vt:lpstr>
      <vt:lpstr>КОЛ06610</vt:lpstr>
      <vt:lpstr>КОЛ06611</vt:lpstr>
      <vt:lpstr>КОЛ06612</vt:lpstr>
      <vt:lpstr>КОЛ06613</vt:lpstr>
      <vt:lpstr>КОЛ06614</vt:lpstr>
      <vt:lpstr>КОЛ06615</vt:lpstr>
      <vt:lpstr>КОЛ06616</vt:lpstr>
      <vt:lpstr>КОЛ06619</vt:lpstr>
      <vt:lpstr>КОЛ06621</vt:lpstr>
      <vt:lpstr>КОЛ06623</vt:lpstr>
      <vt:lpstr>КОЛ06651</vt:lpstr>
      <vt:lpstr>КОЛ06652</vt:lpstr>
      <vt:lpstr>КОЛ06804</vt:lpstr>
      <vt:lpstr>КОЛ06805</vt:lpstr>
      <vt:lpstr>КОЛ06806</vt:lpstr>
      <vt:lpstr>КОЛ06807</vt:lpstr>
      <vt:lpstr>КОЛ06808</vt:lpstr>
      <vt:lpstr>КОЛ06809</vt:lpstr>
      <vt:lpstr>КОЛ06810</vt:lpstr>
      <vt:lpstr>КОЛ06811</vt:lpstr>
      <vt:lpstr>КОЛ06812</vt:lpstr>
      <vt:lpstr>КОЛ06813</vt:lpstr>
      <vt:lpstr>КОЛ06814</vt:lpstr>
      <vt:lpstr>КОЛ06815</vt:lpstr>
      <vt:lpstr>КОЛ06816</vt:lpstr>
      <vt:lpstr>КОЛ06819</vt:lpstr>
      <vt:lpstr>КОЛ06821</vt:lpstr>
      <vt:lpstr>КОЛ06823</vt:lpstr>
      <vt:lpstr>КОЛ06851</vt:lpstr>
      <vt:lpstr>КОЛ06852</vt:lpstr>
      <vt:lpstr>КОЛ07004</vt:lpstr>
      <vt:lpstr>КОЛ07005</vt:lpstr>
      <vt:lpstr>КОЛ07006</vt:lpstr>
      <vt:lpstr>КОЛ07007</vt:lpstr>
      <vt:lpstr>КОЛ07008</vt:lpstr>
      <vt:lpstr>КОЛ07009</vt:lpstr>
      <vt:lpstr>КОЛ07010</vt:lpstr>
      <vt:lpstr>КОЛ07011</vt:lpstr>
      <vt:lpstr>КОЛ07012</vt:lpstr>
      <vt:lpstr>КОЛ07013</vt:lpstr>
      <vt:lpstr>КОЛ07014</vt:lpstr>
      <vt:lpstr>КОЛ07015</vt:lpstr>
      <vt:lpstr>КОЛ07016</vt:lpstr>
      <vt:lpstr>КОЛ07019</vt:lpstr>
      <vt:lpstr>КОЛ07021</vt:lpstr>
      <vt:lpstr>КОЛ07023</vt:lpstr>
      <vt:lpstr>КОЛ07051</vt:lpstr>
      <vt:lpstr>КОЛ07052</vt:lpstr>
      <vt:lpstr>КОЛ1020</vt:lpstr>
      <vt:lpstr>КОЛ1704</vt:lpstr>
      <vt:lpstr>КОЛ1705</vt:lpstr>
      <vt:lpstr>КОЛ1706</vt:lpstr>
      <vt:lpstr>КОЛ1707</vt:lpstr>
      <vt:lpstr>КОЛ1708</vt:lpstr>
      <vt:lpstr>КОЛ1709</vt:lpstr>
      <vt:lpstr>КОЛ1710</vt:lpstr>
      <vt:lpstr>КОЛ1711</vt:lpstr>
      <vt:lpstr>КОЛ1712</vt:lpstr>
      <vt:lpstr>КОЛ1713</vt:lpstr>
      <vt:lpstr>КОЛ1714</vt:lpstr>
      <vt:lpstr>КОЛ1715</vt:lpstr>
      <vt:lpstr>КОЛ1716</vt:lpstr>
      <vt:lpstr>КОЛ1719</vt:lpstr>
      <vt:lpstr>КОЛ1721</vt:lpstr>
      <vt:lpstr>КОЛ1723</vt:lpstr>
      <vt:lpstr>КОЛ1751</vt:lpstr>
      <vt:lpstr>КОЛ1752</vt:lpstr>
      <vt:lpstr>КОЛ3704</vt:lpstr>
      <vt:lpstr>КОЛ3705</vt:lpstr>
      <vt:lpstr>КОЛ3706</vt:lpstr>
      <vt:lpstr>КОЛ3707</vt:lpstr>
      <vt:lpstr>КОЛ3708</vt:lpstr>
      <vt:lpstr>КОЛ3709</vt:lpstr>
      <vt:lpstr>КОЛ3710</vt:lpstr>
      <vt:lpstr>КОЛ3711</vt:lpstr>
      <vt:lpstr>КОЛ3712</vt:lpstr>
      <vt:lpstr>КОЛ3713</vt:lpstr>
      <vt:lpstr>КОЛ3714</vt:lpstr>
      <vt:lpstr>КОЛ3715</vt:lpstr>
      <vt:lpstr>КОЛ3716</vt:lpstr>
      <vt:lpstr>КОЛ3719</vt:lpstr>
      <vt:lpstr>КОЛ3721</vt:lpstr>
      <vt:lpstr>КОЛ3723</vt:lpstr>
      <vt:lpstr>КОЛ3751</vt:lpstr>
      <vt:lpstr>КОЛ3752</vt:lpstr>
      <vt:lpstr>КОЛ4504</vt:lpstr>
      <vt:lpstr>КОЛ4505</vt:lpstr>
      <vt:lpstr>КОЛ4506</vt:lpstr>
      <vt:lpstr>КОЛ4507</vt:lpstr>
      <vt:lpstr>КОЛ4508</vt:lpstr>
      <vt:lpstr>КОЛ4509</vt:lpstr>
      <vt:lpstr>КОЛ4510</vt:lpstr>
      <vt:lpstr>КОЛ4511</vt:lpstr>
      <vt:lpstr>КОЛ4512</vt:lpstr>
      <vt:lpstr>КОЛ4513</vt:lpstr>
      <vt:lpstr>КОЛ4514</vt:lpstr>
      <vt:lpstr>КОЛ4515</vt:lpstr>
      <vt:lpstr>КОЛ4516</vt:lpstr>
      <vt:lpstr>КОЛ4519</vt:lpstr>
      <vt:lpstr>КОЛ4521</vt:lpstr>
      <vt:lpstr>КОЛ4523</vt:lpstr>
      <vt:lpstr>КОЛ4551</vt:lpstr>
      <vt:lpstr>КОЛ4552</vt:lpstr>
      <vt:lpstr>КОЛ5104</vt:lpstr>
      <vt:lpstr>КОЛ5105</vt:lpstr>
      <vt:lpstr>КОЛ5106</vt:lpstr>
      <vt:lpstr>КОЛ5107</vt:lpstr>
      <vt:lpstr>КОЛ5108</vt:lpstr>
      <vt:lpstr>КОЛ5109</vt:lpstr>
      <vt:lpstr>КОЛ5110</vt:lpstr>
      <vt:lpstr>КОЛ5111</vt:lpstr>
      <vt:lpstr>КОЛ5112</vt:lpstr>
      <vt:lpstr>КОЛ5113</vt:lpstr>
      <vt:lpstr>КОЛ5114</vt:lpstr>
      <vt:lpstr>КОЛ5115</vt:lpstr>
      <vt:lpstr>КОЛ5116</vt:lpstr>
      <vt:lpstr>КОЛ5119</vt:lpstr>
      <vt:lpstr>КОЛ5121</vt:lpstr>
      <vt:lpstr>КОЛ5123</vt:lpstr>
      <vt:lpstr>КОЛ5151</vt:lpstr>
      <vt:lpstr>КОЛ5152</vt:lpstr>
      <vt:lpstr>КОЛ5204</vt:lpstr>
      <vt:lpstr>КОЛ5205</vt:lpstr>
      <vt:lpstr>КОЛ5206</vt:lpstr>
      <vt:lpstr>КОЛ5207</vt:lpstr>
      <vt:lpstr>КОЛ5208</vt:lpstr>
      <vt:lpstr>КОЛ5209</vt:lpstr>
      <vt:lpstr>КОЛ5210</vt:lpstr>
      <vt:lpstr>КОЛ5211</vt:lpstr>
      <vt:lpstr>КОЛ5212</vt:lpstr>
      <vt:lpstr>КОЛ5213</vt:lpstr>
      <vt:lpstr>КОЛ5214</vt:lpstr>
      <vt:lpstr>КОЛ5215</vt:lpstr>
      <vt:lpstr>КОЛ5216</vt:lpstr>
      <vt:lpstr>КОЛ5219</vt:lpstr>
      <vt:lpstr>КОЛ5221</vt:lpstr>
      <vt:lpstr>КОЛ5223</vt:lpstr>
      <vt:lpstr>КОЛ5251</vt:lpstr>
      <vt:lpstr>КОЛ5252</vt:lpstr>
      <vt:lpstr>КОЛ5304</vt:lpstr>
      <vt:lpstr>КОЛ5305</vt:lpstr>
      <vt:lpstr>КОЛ5306</vt:lpstr>
      <vt:lpstr>КОЛ5307</vt:lpstr>
      <vt:lpstr>КОЛ5308</vt:lpstr>
      <vt:lpstr>КОЛ5309</vt:lpstr>
      <vt:lpstr>КОЛ5310</vt:lpstr>
      <vt:lpstr>КОЛ5311</vt:lpstr>
      <vt:lpstr>КОЛ5312</vt:lpstr>
      <vt:lpstr>КОЛ5313</vt:lpstr>
      <vt:lpstr>КОЛ5314</vt:lpstr>
      <vt:lpstr>КОЛ5315</vt:lpstr>
      <vt:lpstr>КОЛ5316</vt:lpstr>
      <vt:lpstr>КОЛ5319</vt:lpstr>
      <vt:lpstr>КОЛ5321</vt:lpstr>
      <vt:lpstr>КОЛ5323</vt:lpstr>
      <vt:lpstr>КОЛ5351</vt:lpstr>
      <vt:lpstr>КОЛ5352</vt:lpstr>
      <vt:lpstr>КОЛ5404</vt:lpstr>
      <vt:lpstr>КОЛ5405</vt:lpstr>
      <vt:lpstr>КОЛ5406</vt:lpstr>
      <vt:lpstr>КОЛ5407</vt:lpstr>
      <vt:lpstr>КОЛ5408</vt:lpstr>
      <vt:lpstr>КОЛ5409</vt:lpstr>
      <vt:lpstr>КОЛ5410</vt:lpstr>
      <vt:lpstr>КОЛ5411</vt:lpstr>
      <vt:lpstr>КОЛ5412</vt:lpstr>
      <vt:lpstr>КОЛ5413</vt:lpstr>
      <vt:lpstr>КОЛ5414</vt:lpstr>
      <vt:lpstr>КОЛ5415</vt:lpstr>
      <vt:lpstr>КОЛ5416</vt:lpstr>
      <vt:lpstr>КОЛ5419</vt:lpstr>
      <vt:lpstr>КОЛ5421</vt:lpstr>
      <vt:lpstr>КОЛ5423</vt:lpstr>
      <vt:lpstr>КОЛ5451</vt:lpstr>
      <vt:lpstr>КОЛ5452</vt:lpstr>
      <vt:lpstr>КОЛ5704</vt:lpstr>
      <vt:lpstr>КОЛ5705</vt:lpstr>
      <vt:lpstr>КОЛ5706</vt:lpstr>
      <vt:lpstr>КОЛ5707</vt:lpstr>
      <vt:lpstr>КОЛ5708</vt:lpstr>
      <vt:lpstr>КОЛ5709</vt:lpstr>
      <vt:lpstr>КОЛ5710</vt:lpstr>
      <vt:lpstr>КОЛ5711</vt:lpstr>
      <vt:lpstr>КОЛ5712</vt:lpstr>
      <vt:lpstr>КОЛ5713</vt:lpstr>
      <vt:lpstr>КОЛ5714</vt:lpstr>
      <vt:lpstr>КОЛ5715</vt:lpstr>
      <vt:lpstr>КОЛ5716</vt:lpstr>
      <vt:lpstr>КОЛ5719</vt:lpstr>
      <vt:lpstr>КОЛ5721</vt:lpstr>
      <vt:lpstr>КОЛ5723</vt:lpstr>
      <vt:lpstr>КОЛ5751</vt:lpstr>
      <vt:lpstr>КОЛ5752</vt:lpstr>
      <vt:lpstr>КОЛ5804</vt:lpstr>
      <vt:lpstr>КОЛ5805</vt:lpstr>
      <vt:lpstr>КОЛ5806</vt:lpstr>
      <vt:lpstr>КОЛ5807</vt:lpstr>
      <vt:lpstr>КОЛ5808</vt:lpstr>
      <vt:lpstr>КОЛ5809</vt:lpstr>
      <vt:lpstr>КОЛ5810</vt:lpstr>
      <vt:lpstr>КОЛ5811</vt:lpstr>
      <vt:lpstr>КОЛ5812</vt:lpstr>
      <vt:lpstr>КОЛ5813</vt:lpstr>
      <vt:lpstr>КОЛ5814</vt:lpstr>
      <vt:lpstr>КОЛ5815</vt:lpstr>
      <vt:lpstr>КОЛ5816</vt:lpstr>
      <vt:lpstr>КОЛ5819</vt:lpstr>
      <vt:lpstr>КОЛ5821</vt:lpstr>
      <vt:lpstr>КОЛ5823</vt:lpstr>
      <vt:lpstr>КОЛ5851</vt:lpstr>
      <vt:lpstr>КОЛ5852</vt:lpstr>
      <vt:lpstr>КОЛ5904</vt:lpstr>
      <vt:lpstr>КОЛ5905</vt:lpstr>
      <vt:lpstr>КОЛ5906</vt:lpstr>
      <vt:lpstr>КОЛ5907</vt:lpstr>
      <vt:lpstr>КОЛ5908</vt:lpstr>
      <vt:lpstr>КОЛ5909</vt:lpstr>
      <vt:lpstr>КОЛ5910</vt:lpstr>
      <vt:lpstr>КОЛ5911</vt:lpstr>
      <vt:lpstr>КОЛ5912</vt:lpstr>
      <vt:lpstr>КОЛ5913</vt:lpstr>
      <vt:lpstr>КОЛ5914</vt:lpstr>
      <vt:lpstr>КОЛ5915</vt:lpstr>
      <vt:lpstr>КОЛ5916</vt:lpstr>
      <vt:lpstr>КОЛ5919</vt:lpstr>
      <vt:lpstr>КОЛ5921</vt:lpstr>
      <vt:lpstr>КОЛ5923</vt:lpstr>
      <vt:lpstr>КОЛ5951</vt:lpstr>
      <vt:lpstr>КОЛ5952</vt:lpstr>
      <vt:lpstr>КОЛ6004</vt:lpstr>
      <vt:lpstr>КОЛ6005</vt:lpstr>
      <vt:lpstr>КОЛ6006</vt:lpstr>
      <vt:lpstr>КОЛ6007</vt:lpstr>
      <vt:lpstr>КОЛ6008</vt:lpstr>
      <vt:lpstr>КОЛ6009</vt:lpstr>
      <vt:lpstr>КОЛ6010</vt:lpstr>
      <vt:lpstr>КОЛ6011</vt:lpstr>
      <vt:lpstr>КОЛ6012</vt:lpstr>
      <vt:lpstr>КОЛ6013</vt:lpstr>
      <vt:lpstr>КОЛ6014</vt:lpstr>
      <vt:lpstr>КОЛ6015</vt:lpstr>
      <vt:lpstr>КОЛ6016</vt:lpstr>
      <vt:lpstr>КОЛ6019</vt:lpstr>
      <vt:lpstr>КОЛ6021</vt:lpstr>
      <vt:lpstr>КОЛ6023</vt:lpstr>
      <vt:lpstr>КОЛ6051</vt:lpstr>
      <vt:lpstr>КОЛ6052</vt:lpstr>
      <vt:lpstr>КОЛ6104</vt:lpstr>
      <vt:lpstr>КОЛ6105</vt:lpstr>
      <vt:lpstr>КОЛ6106</vt:lpstr>
      <vt:lpstr>КОЛ6107</vt:lpstr>
      <vt:lpstr>КОЛ6108</vt:lpstr>
      <vt:lpstr>КОЛ6109</vt:lpstr>
      <vt:lpstr>КОЛ6110</vt:lpstr>
      <vt:lpstr>КОЛ6111</vt:lpstr>
      <vt:lpstr>КОЛ6112</vt:lpstr>
      <vt:lpstr>КОЛ6113</vt:lpstr>
      <vt:lpstr>КОЛ6114</vt:lpstr>
      <vt:lpstr>КОЛ6115</vt:lpstr>
      <vt:lpstr>КОЛ6116</vt:lpstr>
      <vt:lpstr>КОЛ6119</vt:lpstr>
      <vt:lpstr>КОЛ6121</vt:lpstr>
      <vt:lpstr>КОЛ6123</vt:lpstr>
      <vt:lpstr>КОЛ6151</vt:lpstr>
      <vt:lpstr>КОЛ6152</vt:lpstr>
      <vt:lpstr>КОЛ6204</vt:lpstr>
      <vt:lpstr>КОЛ6205</vt:lpstr>
      <vt:lpstr>КОЛ6206</vt:lpstr>
      <vt:lpstr>КОЛ6207</vt:lpstr>
      <vt:lpstr>КОЛ6208</vt:lpstr>
      <vt:lpstr>КОЛ6209</vt:lpstr>
      <vt:lpstr>КОЛ6210</vt:lpstr>
      <vt:lpstr>КОЛ6211</vt:lpstr>
      <vt:lpstr>КОЛ6212</vt:lpstr>
      <vt:lpstr>КОЛ6213</vt:lpstr>
      <vt:lpstr>КОЛ6214</vt:lpstr>
      <vt:lpstr>КОЛ6215</vt:lpstr>
      <vt:lpstr>КОЛ6216</vt:lpstr>
      <vt:lpstr>КОЛ6219</vt:lpstr>
      <vt:lpstr>КОЛ6221</vt:lpstr>
      <vt:lpstr>КОЛ6223</vt:lpstr>
      <vt:lpstr>КОЛ6251</vt:lpstr>
      <vt:lpstr>КОЛ6252</vt:lpstr>
      <vt:lpstr>КОЛ6304</vt:lpstr>
      <vt:lpstr>КОЛ6305</vt:lpstr>
      <vt:lpstr>КОЛ6306</vt:lpstr>
      <vt:lpstr>КОЛ6307</vt:lpstr>
      <vt:lpstr>КОЛ6308</vt:lpstr>
      <vt:lpstr>КОЛ6309</vt:lpstr>
      <vt:lpstr>КОЛ6310</vt:lpstr>
      <vt:lpstr>КОЛ6311</vt:lpstr>
      <vt:lpstr>КОЛ6312</vt:lpstr>
      <vt:lpstr>КОЛ6313</vt:lpstr>
      <vt:lpstr>КОЛ6314</vt:lpstr>
      <vt:lpstr>КОЛ6315</vt:lpstr>
      <vt:lpstr>КОЛ6316</vt:lpstr>
      <vt:lpstr>КОЛ6319</vt:lpstr>
      <vt:lpstr>КОЛ6321</vt:lpstr>
      <vt:lpstr>КОЛ6323</vt:lpstr>
      <vt:lpstr>КОЛ6351</vt:lpstr>
      <vt:lpstr>КОЛ6352</vt:lpstr>
      <vt:lpstr>КОЛ6504</vt:lpstr>
      <vt:lpstr>КОЛ6505</vt:lpstr>
      <vt:lpstr>КОЛ6506</vt:lpstr>
      <vt:lpstr>КОЛ6507</vt:lpstr>
      <vt:lpstr>КОЛ6508</vt:lpstr>
      <vt:lpstr>КОЛ6509</vt:lpstr>
      <vt:lpstr>КОЛ6510</vt:lpstr>
      <vt:lpstr>КОЛ6511</vt:lpstr>
      <vt:lpstr>КОЛ6512</vt:lpstr>
      <vt:lpstr>КОЛ6513</vt:lpstr>
      <vt:lpstr>КОЛ6514</vt:lpstr>
      <vt:lpstr>КОЛ6515</vt:lpstr>
      <vt:lpstr>КОЛ6516</vt:lpstr>
      <vt:lpstr>КОЛ6519</vt:lpstr>
      <vt:lpstr>КОЛ6521</vt:lpstr>
      <vt:lpstr>КОЛ6523</vt:lpstr>
      <vt:lpstr>КОЛ6551</vt:lpstr>
      <vt:lpstr>КОЛ6552</vt:lpstr>
      <vt:lpstr>КОЛ6604</vt:lpstr>
      <vt:lpstr>КОЛ6605</vt:lpstr>
      <vt:lpstr>КОЛ6606</vt:lpstr>
      <vt:lpstr>КОЛ6607</vt:lpstr>
      <vt:lpstr>КОЛ6608</vt:lpstr>
      <vt:lpstr>КОЛ6609</vt:lpstr>
      <vt:lpstr>КОЛ6610</vt:lpstr>
      <vt:lpstr>КОЛ6611</vt:lpstr>
      <vt:lpstr>КОЛ6612</vt:lpstr>
      <vt:lpstr>КОЛ6613</vt:lpstr>
      <vt:lpstr>КОЛ6614</vt:lpstr>
      <vt:lpstr>КОЛ6615</vt:lpstr>
      <vt:lpstr>КОЛ6616</vt:lpstr>
      <vt:lpstr>КОЛ6619</vt:lpstr>
      <vt:lpstr>КОЛ6621</vt:lpstr>
      <vt:lpstr>КОЛ6623</vt:lpstr>
      <vt:lpstr>КОЛ6651</vt:lpstr>
      <vt:lpstr>КОЛ6652</vt:lpstr>
      <vt:lpstr>КОЛ6704</vt:lpstr>
      <vt:lpstr>КОЛ6705</vt:lpstr>
      <vt:lpstr>КОЛ6706</vt:lpstr>
      <vt:lpstr>КОЛ6707</vt:lpstr>
      <vt:lpstr>КОЛ6708</vt:lpstr>
      <vt:lpstr>КОЛ6709</vt:lpstr>
      <vt:lpstr>КОЛ6710</vt:lpstr>
      <vt:lpstr>КОЛ6711</vt:lpstr>
      <vt:lpstr>КОЛ6712</vt:lpstr>
      <vt:lpstr>КОЛ6713</vt:lpstr>
      <vt:lpstr>КОЛ6714</vt:lpstr>
      <vt:lpstr>КОЛ6715</vt:lpstr>
      <vt:lpstr>КОЛ6716</vt:lpstr>
      <vt:lpstr>КОЛ6719</vt:lpstr>
      <vt:lpstr>КОЛ6721</vt:lpstr>
      <vt:lpstr>КОЛ6723</vt:lpstr>
      <vt:lpstr>КОЛ6751</vt:lpstr>
      <vt:lpstr>КОЛ6752</vt:lpstr>
      <vt:lpstr>КОЛ6804</vt:lpstr>
      <vt:lpstr>КОЛ6805</vt:lpstr>
      <vt:lpstr>КОЛ6806</vt:lpstr>
      <vt:lpstr>КОЛ6807</vt:lpstr>
      <vt:lpstr>КОЛ6808</vt:lpstr>
      <vt:lpstr>КОЛ6809</vt:lpstr>
      <vt:lpstr>КОЛ6810</vt:lpstr>
      <vt:lpstr>КОЛ6811</vt:lpstr>
      <vt:lpstr>КОЛ6812</vt:lpstr>
      <vt:lpstr>КОЛ6813</vt:lpstr>
      <vt:lpstr>КОЛ6814</vt:lpstr>
      <vt:lpstr>КОЛ6815</vt:lpstr>
      <vt:lpstr>КОЛ6816</vt:lpstr>
      <vt:lpstr>КОЛ6819</vt:lpstr>
      <vt:lpstr>КОЛ6821</vt:lpstr>
      <vt:lpstr>КОЛ6823</vt:lpstr>
      <vt:lpstr>КОЛ6851</vt:lpstr>
      <vt:lpstr>КОЛ6852</vt:lpstr>
      <vt:lpstr>КОЛ6904</vt:lpstr>
      <vt:lpstr>КОЛ6905</vt:lpstr>
      <vt:lpstr>КОЛ6906</vt:lpstr>
      <vt:lpstr>КОЛ6907</vt:lpstr>
      <vt:lpstr>КОЛ6908</vt:lpstr>
      <vt:lpstr>КОЛ6909</vt:lpstr>
      <vt:lpstr>КОЛ6910</vt:lpstr>
      <vt:lpstr>КОЛ6911</vt:lpstr>
      <vt:lpstr>КОЛ6912</vt:lpstr>
      <vt:lpstr>КОЛ6913</vt:lpstr>
      <vt:lpstr>КОЛ6914</vt:lpstr>
      <vt:lpstr>КОЛ6915</vt:lpstr>
      <vt:lpstr>КОЛ6916</vt:lpstr>
      <vt:lpstr>КОЛ6919</vt:lpstr>
      <vt:lpstr>КОЛ6921</vt:lpstr>
      <vt:lpstr>КОЛ6923</vt:lpstr>
      <vt:lpstr>КОЛ6951</vt:lpstr>
      <vt:lpstr>КОЛ6952</vt:lpstr>
      <vt:lpstr>КолонкиМатрица</vt:lpstr>
      <vt:lpstr>МассивИтоговФО</vt:lpstr>
      <vt:lpstr>'1.1'!Область_печати</vt:lpstr>
      <vt:lpstr>'1.2'!Область_печати</vt:lpstr>
      <vt:lpstr>'1.4'!Область_печати</vt:lpstr>
      <vt:lpstr>'1.7'!Область_печати</vt:lpstr>
      <vt:lpstr>Итого!Область_печати</vt:lpstr>
      <vt:lpstr>РегионыВыбор</vt:lpstr>
      <vt:lpstr>РегионыМатрица</vt:lpstr>
      <vt:lpstr>ФОвыбор</vt:lpstr>
      <vt:lpstr>ФОматрица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2020-05-18T15:08:41Z</dcterms:modified>
</cp:coreProperties>
</file>